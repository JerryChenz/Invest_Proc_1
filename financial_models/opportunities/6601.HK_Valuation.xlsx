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73890BB-4DA2-4882-B0CC-92609CA7BE55}"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50" i="2"/>
  <c r="O48" i="2"/>
  <c r="Q19" i="2"/>
  <c r="Q50" i="2"/>
  <c r="Q12" i="2" s="1"/>
  <c r="Q48" i="2"/>
  <c r="L19" i="2"/>
  <c r="L50" i="2"/>
  <c r="L12" i="2" s="1"/>
  <c r="L80" i="2" s="1"/>
  <c r="L48" i="2"/>
  <c r="M19" i="2"/>
  <c r="M50" i="2"/>
  <c r="M48" i="2"/>
  <c r="N19" i="2"/>
  <c r="N50" i="2"/>
  <c r="N48" i="2"/>
  <c r="P19" i="2"/>
  <c r="P50" i="2"/>
  <c r="P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K48" i="2"/>
  <c r="K50" i="2" s="1"/>
  <c r="K12" i="2" s="1"/>
  <c r="I48" i="2"/>
  <c r="I50" i="2" s="1"/>
  <c r="I12" i="2" s="1"/>
  <c r="J48" i="2"/>
  <c r="J50" i="2" s="1"/>
  <c r="J12" i="2" s="1"/>
  <c r="C87" i="3"/>
  <c r="D87" i="3" s="1"/>
  <c r="C90" i="6"/>
  <c r="C91" i="6" s="1"/>
  <c r="C40" i="6"/>
  <c r="H48" i="2"/>
  <c r="H50" i="2" s="1"/>
  <c r="H12" i="2" s="1"/>
  <c r="G48" i="2"/>
  <c r="G50" i="2" s="1"/>
  <c r="G12" i="2" s="1"/>
  <c r="C73" i="2"/>
  <c r="C41" i="3"/>
  <c r="J80" i="2" l="1"/>
  <c r="J43" i="2"/>
  <c r="I80" i="2"/>
  <c r="I43" i="2"/>
  <c r="K80" i="2"/>
  <c r="K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<sst xmlns="http://schemas.openxmlformats.org/spreadsheetml/2006/main" count="562" uniqueCount="392">
  <si>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</si>
  <si>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</si>
  <si>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</si>
  <si>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</si>
  <si>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</si>
  <si>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</si>
  <si>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</si>
  <si>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</si>
  <si>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</si>
  <si>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</si>
  <si>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</si>
  <si>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</si>
  <si>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</si>
  <si>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</si>
  <si>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</si>
  <si>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</si>
  <si>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</si>
  <si>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</si>
  <si>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</si>
  <si>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</si>
  <si>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</si>
  <si>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</si>
  <si>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</si>
  <si>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</si>
  <si>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</si>
  <si>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</si>
  <si>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</si>
  <si>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</si>
  <si>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</si>
  <si>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</si>
  <si>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</si>
  <si>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</si>
  <si>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</si>
  <si>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</si>
  <si>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</si>
  <si>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</si>
  <si>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</si>
  <si>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</si>
  <si>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</si>
  <si>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</si>
  <si>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</si>
  <si>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</si>
  <si>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</si>
  <si>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</si>
  <si>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</si>
  <si>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</si>
  <si>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</si>
  <si>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</si>
  <si>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</si>
  <si>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</si>
  <si>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</si>
  <si>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</si>
  <si>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</si>
  <si>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</si>
  <si>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</si>
  <si>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</si>
  <si>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</si>
  <si>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</si>
  <si>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</si>
  <si>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</si>
  <si>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</si>
  <si>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</si>
  <si>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</si>
  <si>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</si>
  <si>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</si>
  <si>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</si>
  <si>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</si>
  <si>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</si>
  <si>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</si>
  <si>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</si>
  <si>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</si>
  <si>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</si>
  <si>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</si>
  <si>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</si>
  <si>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</si>
  <si>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</si>
  <si>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</si>
  <si>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</si>
  <si>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</si>
  <si>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</si>
  <si>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</si>
  <si>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</si>
  <si>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</si>
  <si>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</si>
  <si>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</si>
  <si>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</si>
  <si>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</si>
  <si>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</si>
  <si>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</si>
  <si>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</si>
  <si>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</si>
  <si>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</si>
  <si>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</si>
  <si>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</si>
  <si>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</si>
  <si>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</si>
  <si>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</si>
  <si>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</si>
  <si>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</si>
  <si>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</si>
  <si>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</si>
  <si>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</si>
  <si>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</si>
  <si>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</si>
  <si>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</si>
  <si>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</si>
  <si>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</si>
  <si>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</si>
  <si>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</si>
  <si>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</si>
  <si>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</si>
  <si>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</si>
  <si>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</si>
  <si>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</si>
  <si>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</si>
  <si>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</si>
  <si>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</si>
  <si>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</si>
  <si>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</si>
  <si>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</si>
  <si>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</si>
  <si>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</si>
  <si>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</si>
  <si>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</si>
  <si>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</si>
  <si>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</si>
  <si>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</si>
  <si>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</si>
  <si>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</si>
  <si>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</si>
  <si>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</si>
  <si>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</si>
  <si>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</si>
  <si>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</si>
  <si>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</si>
  <si>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</si>
  <si>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</si>
  <si>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</si>
  <si>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</si>
  <si>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</si>
  <si>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</si>
  <si>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</si>
  <si>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</si>
  <si>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</si>
  <si>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</si>
  <si>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</si>
  <si>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</si>
  <si>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</si>
  <si>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</si>
  <si>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</si>
  <si>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</si>
  <si>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</si>
  <si>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</si>
  <si>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</si>
  <si>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</si>
  <si>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</si>
  <si>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</si>
  <si>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</si>
  <si>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</si>
  <si>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</si>
  <si>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</si>
  <si>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</si>
  <si>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</si>
  <si>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</si>
  <si>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</si>
  <si>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</si>
  <si>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</si>
  <si>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</si>
  <si>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</si>
  <si>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</si>
  <si>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</si>
  <si>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</si>
  <si>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</si>
  <si>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</si>
  <si>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</si>
  <si>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</si>
  <si>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</si>
  <si>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</si>
  <si>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</si>
  <si>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</si>
  <si>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</si>
  <si>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</si>
  <si>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</si>
  <si>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</si>
  <si>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</si>
  <si>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</si>
  <si>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</si>
  <si>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</si>
  <si>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</si>
  <si>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</si>
  <si>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</si>
  <si>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</si>
  <si>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</si>
  <si>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</si>
  <si>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</si>
  <si>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</si>
  <si>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</si>
  <si>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</si>
  <si>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</si>
  <si>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</si>
  <si>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</si>
  <si>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</si>
  <si>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</si>
  <si>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</si>
  <si>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</si>
  <si>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</si>
  <si>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</si>
  <si>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</si>
  <si>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</si>
  <si>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</si>
  <si>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</si>
  <si>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</si>
  <si>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</si>
  <si>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</si>
  <si>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</si>
  <si>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</si>
  <si>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</si>
  <si>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</si>
  <si>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</si>
  <si>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</si>
  <si>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</si>
  <si>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</si>
  <si>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</si>
  <si>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</si>
  <si>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</si>
  <si>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</si>
  <si>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</si>
  <si>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</si>
  <si>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</si>
  <si>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</si>
  <si>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</si>
  <si>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</si>
  <si>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</si>
  <si>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</si>
  <si>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</si>
  <si>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</si>
  <si>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</si>
  <si>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</si>
  <si>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</si>
  <si>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</si>
  <si>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</si>
  <si>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</si>
  <si>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</si>
  <si>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</si>
  <si>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</si>
  <si>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</si>
  <si>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</si>
  <si>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</si>
  <si>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</si>
  <si>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</si>
  <si>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</si>
  <si>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</si>
  <si>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</si>
  <si>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</si>
  <si>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</si>
  <si>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</si>
  <si>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</si>
  <si>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</si>
  <si>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</si>
  <si>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</si>
  <si>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</si>
  <si>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</si>
  <si>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</si>
  <si>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</si>
  <si>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</si>
  <si>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</si>
  <si>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</si>
  <si>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</si>
  <si>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</si>
  <si>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</si>
  <si>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</si>
  <si>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</si>
  <si>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</si>
  <si>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</si>
  <si>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</si>
  <si>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</si>
  <si>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</si>
  <si>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</si>
  <si>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</si>
  <si>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</si>
  <si>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</si>
  <si>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</si>
  <si>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</si>
  <si>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</si>
  <si>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</si>
  <si>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</si>
  <si>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</si>
  <si>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</si>
  <si>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</si>
  <si>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</si>
  <si>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</si>
  <si>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</si>
  <si>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</si>
  <si>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</si>
  <si>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</si>
  <si>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</si>
  <si>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</si>
  <si>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</si>
  <si>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</si>
  <si>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</si>
  <si>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</si>
  <si>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</si>
  <si>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</si>
  <si>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</si>
  <si>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</si>
  <si>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</si>
  <si>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</si>
  <si>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</si>
  <si>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</si>
  <si>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</si>
  <si>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</si>
  <si>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</si>
  <si>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</si>
  <si>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</si>
  <si>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</si>
  <si>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</si>
  <si>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</si>
  <si>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</si>
  <si>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</si>
  <si>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</si>
  <si>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</si>
  <si>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</si>
  <si>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</si>
  <si>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</si>
  <si>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</si>
  <si>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</si>
  <si>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</si>
  <si>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</si>
  <si>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</si>
  <si>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</si>
  <si>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</si>
  <si>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</si>
  <si>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</si>
  <si>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</si>
  <si>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</si>
  <si>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</si>
  <si>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</si>
  <si>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</si>
  <si>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</si>
  <si>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</si>
  <si>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</si>
  <si>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</si>
  <si>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</si>
  <si>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</si>
  <si>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</si>
  <si>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</si>
  <si>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</si>
  <si>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</si>
  <si>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</si>
  <si>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</si>
  <si>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</si>
  <si>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</si>
  <si>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</si>
  <si>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</si>
  <si>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</si>
  <si>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</si>
  <si>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</si>
  <si>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</si>
  <si>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</si>
  <si>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</si>
  <si>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</si>
  <si>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</si>
  <si>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</si>
  <si>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</si>
  <si>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</si>
  <si>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</si>
  <si>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</si>
  <si>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</si>
  <si>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</si>
  <si>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</si>
  <si>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</si>
  <si>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</si>
  <si>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</si>
  <si>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</si>
  <si>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</si>
  <si>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</si>
  <si>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</si>
  <si>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</si>
  <si>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</si>
  <si>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</si>
  <si>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</si>
  <si>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</si>
  <si>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</si>
  <si>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</si>
  <si>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</si>
  <si>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</si>
  <si>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</si>
  <si>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朝云集团</t>
    <phoneticPr fontId="2" type="noConversion"/>
  </si>
  <si>
    <t>6601.HK</t>
    <phoneticPr fontId="2" type="noConversion"/>
  </si>
  <si>
    <t>CNY</t>
    <phoneticPr fontId="2" type="noConversion"/>
  </si>
  <si>
    <t>CNS_04</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</si>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</sst>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386</v>
      </c>
      <c r="F1" s="290" t="s">
        <v>349</v>
      </c>
    </row>
    <row r="2" spans="1:10" ht="13.9" x14ac:dyDescent="0.45">
      <c r="A2" s="253" t="s">
        <v>280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343</v>
      </c>
      <c r="C5" s="48" t="s">
        <v>387</v>
      </c>
      <c r="D5" s="49" t="s">
        <v>388</v>
      </c>
    </row>
    <row r="6" spans="1:10" x14ac:dyDescent="0.35">
      <c r="B6" s="4" t="s">
        <v>98</v>
      </c>
      <c r="C6" s="50">
        <v>2.1800000000000002</v>
      </c>
      <c r="D6" s="48" t="s">
        <v>42</v>
      </c>
      <c r="E6" s="48"/>
    </row>
    <row r="7" spans="1:10" x14ac:dyDescent="0.35">
      <c r="B7" s="4" t="s">
        <v>0</v>
      </c>
      <c r="C7" s="51">
        <v>1333333500</v>
      </c>
      <c r="D7" s="34"/>
      <c r="E7" s="34"/>
    </row>
    <row r="8" spans="1:10" x14ac:dyDescent="0.35">
      <c r="B8" s="2" t="s">
        <v>332</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2906.6670300000001</v>
      </c>
      <c r="D10" s="32"/>
      <c r="E10" s="5"/>
    </row>
    <row r="11" spans="1:10" x14ac:dyDescent="0.35">
      <c r="D11" s="5"/>
      <c r="E11" s="5"/>
    </row>
    <row r="12" spans="1:10" ht="24.4" customHeight="1" x14ac:dyDescent="0.35">
      <c r="B12" s="338" t="s">
        <v>285</v>
      </c>
      <c r="C12" s="338"/>
      <c r="D12" s="338"/>
      <c r="E12" s="338"/>
      <c r="F12" s="338"/>
    </row>
    <row r="14" spans="1:10" x14ac:dyDescent="0.35">
      <c r="B14" s="45" t="s">
        <v>331</v>
      </c>
      <c r="C14" s="46"/>
      <c r="D14" s="5"/>
    </row>
    <row r="15" spans="1:10" x14ac:dyDescent="0.35">
      <c r="B15" s="2" t="s">
        <v>381</v>
      </c>
      <c r="C15" s="32" t="str">
        <f>IF(Scenarios!C69="Y",Scenarios!B69,"")&amp;IF(Scenarios!C70="Y",Scenarios!B70,"")&amp;IF(Scenarios!C71="Y",Scenarios!B71,"")&amp;" "&amp;IF(Scenarios!C72="Y",Scenarios!B72,"")</f>
        <v>Low Growth Asset Play</v>
      </c>
      <c r="E15" s="5"/>
    </row>
    <row r="16" spans="1:10" x14ac:dyDescent="0.35">
      <c r="B16" s="4" t="s">
        <v>380</v>
      </c>
      <c r="C16" s="48" t="s">
        <v>389</v>
      </c>
      <c r="D16" s="32"/>
      <c r="E16" s="5"/>
    </row>
    <row r="17" spans="1:6" x14ac:dyDescent="0.35">
      <c r="B17" s="4" t="s">
        <v>1</v>
      </c>
      <c r="C17" s="50">
        <v>1.0705486500000001</v>
      </c>
      <c r="D17" s="32" t="str">
        <f>IF(C16=D6,D6,C16&amp;"/"&amp;D6)</f>
        <v>CNY/HKD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1.5466941106484338</v>
      </c>
      <c r="D20" s="1" t="s">
        <v>334</v>
      </c>
      <c r="E20" s="336">
        <v>3</v>
      </c>
    </row>
    <row r="21" spans="1:6" x14ac:dyDescent="0.35">
      <c r="B21" s="1" t="s">
        <v>333</v>
      </c>
      <c r="C21" s="286">
        <f ca="1">Scenarios!C87</f>
        <v>6.3214262000776955E-2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370</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58602.662537660683</v>
      </c>
      <c r="D30" s="1" t="str">
        <f>Reporting_currency</f>
        <v>CNY</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35974</v>
      </c>
      <c r="D33" s="1" t="str">
        <f>Reporting_currency</f>
        <v>CNY</v>
      </c>
    </row>
    <row r="34" spans="2:6" x14ac:dyDescent="0.35">
      <c r="B34" s="52" t="s">
        <v>241</v>
      </c>
      <c r="C34" s="191">
        <f>Normalized_FCF!C10</f>
        <v>-35974</v>
      </c>
      <c r="D34" s="1" t="str">
        <f>Reporting_currency</f>
        <v>CNY</v>
      </c>
    </row>
    <row r="36" spans="2:6" x14ac:dyDescent="0.35">
      <c r="B36" s="340" t="s">
        <v>242</v>
      </c>
      <c r="C36" s="340"/>
      <c r="D36" s="340"/>
      <c r="E36" s="340"/>
      <c r="F36" s="340"/>
    </row>
    <row r="37" spans="2:6" x14ac:dyDescent="0.35">
      <c r="B37" s="47" t="s">
        <v>243</v>
      </c>
      <c r="C37" s="191">
        <f>Normalized_FCF!C11</f>
        <v>0</v>
      </c>
      <c r="D37" s="1" t="str">
        <f>Reporting_currency</f>
        <v>CNY</v>
      </c>
    </row>
    <row r="39" spans="2:6" x14ac:dyDescent="0.35">
      <c r="B39" s="340" t="s">
        <v>246</v>
      </c>
      <c r="C39" s="340"/>
      <c r="D39" s="340"/>
      <c r="E39" s="340"/>
      <c r="F39" s="340"/>
    </row>
    <row r="40" spans="2:6" x14ac:dyDescent="0.35">
      <c r="B40" s="47" t="s">
        <v>371</v>
      </c>
      <c r="C40" s="328">
        <f>Normalized_FCF!C48</f>
        <v>23291.09073065874</v>
      </c>
      <c r="D40" s="1" t="str">
        <f>Reporting_currency</f>
        <v>CNY</v>
      </c>
      <c r="E40" s="327"/>
      <c r="F40" s="327"/>
    </row>
    <row r="41" spans="2:6" x14ac:dyDescent="0.35">
      <c r="B41" s="47" t="s">
        <v>372</v>
      </c>
      <c r="C41" s="328">
        <f>Normalized_FCF!C47</f>
        <v>-1003</v>
      </c>
      <c r="D41" s="1" t="str">
        <f>Reporting_currency</f>
        <v>CNY</v>
      </c>
      <c r="E41" s="327"/>
      <c r="F41" s="327"/>
    </row>
    <row r="42" spans="2:6" x14ac:dyDescent="0.35">
      <c r="B42" s="47" t="s">
        <v>244</v>
      </c>
      <c r="C42" s="191">
        <f>Normalized_FCF!C12</f>
        <v>22288.09073065874</v>
      </c>
      <c r="D42" s="1" t="str">
        <f>Reporting_currency</f>
        <v>CNY</v>
      </c>
    </row>
    <row r="44" spans="2:6" x14ac:dyDescent="0.35">
      <c r="B44" s="1" t="s">
        <v>252</v>
      </c>
    </row>
    <row r="45" spans="2:6" x14ac:dyDescent="0.35">
      <c r="B45" s="47" t="s">
        <v>278</v>
      </c>
      <c r="C45" s="191">
        <f>Normalized_FCF!C15</f>
        <v>-2089.6737831682049</v>
      </c>
      <c r="D45" s="1" t="str">
        <f>Reporting_currency</f>
        <v>CNY</v>
      </c>
    </row>
    <row r="47" spans="2:6" x14ac:dyDescent="0.35">
      <c r="B47" s="340" t="s">
        <v>247</v>
      </c>
      <c r="C47" s="340"/>
      <c r="D47" s="340"/>
      <c r="E47" s="340"/>
      <c r="F47" s="340"/>
    </row>
    <row r="48" spans="2:6" x14ac:dyDescent="0.35">
      <c r="B48" s="47" t="s">
        <v>245</v>
      </c>
      <c r="C48" s="191">
        <f>Normalized_FCF!C14</f>
        <v>-20222.688317079854</v>
      </c>
      <c r="D48" s="1" t="str">
        <f>Reporting_currency</f>
        <v>CNY</v>
      </c>
    </row>
    <row r="50" spans="1:6" x14ac:dyDescent="0.35">
      <c r="B50" s="340" t="s">
        <v>369</v>
      </c>
      <c r="C50" s="341"/>
      <c r="D50" s="341"/>
      <c r="E50" s="341"/>
      <c r="F50" s="341"/>
    </row>
    <row r="51" spans="1:6" x14ac:dyDescent="0.35">
      <c r="B51" s="47" t="s">
        <v>248</v>
      </c>
      <c r="C51" s="1">
        <f>Normalized_FCF!C17</f>
        <v>0</v>
      </c>
      <c r="D51" s="1" t="str">
        <f>Reporting_currency</f>
        <v>CNY</v>
      </c>
    </row>
    <row r="53" spans="1:6" ht="24.4" customHeight="1" x14ac:dyDescent="0.35">
      <c r="B53" s="338" t="s">
        <v>374</v>
      </c>
      <c r="C53" s="338"/>
      <c r="D53" s="338"/>
      <c r="E53" s="338"/>
      <c r="F53" s="338"/>
    </row>
    <row r="54" spans="1:6" ht="24.4" customHeight="1" x14ac:dyDescent="0.35">
      <c r="B54" s="338" t="s">
        <v>267</v>
      </c>
      <c r="C54" s="338"/>
      <c r="D54" s="338"/>
      <c r="E54" s="338"/>
      <c r="F54" s="338"/>
    </row>
    <row r="56" spans="1:6" x14ac:dyDescent="0.35">
      <c r="B56" s="47" t="s">
        <v>284</v>
      </c>
      <c r="C56" s="191">
        <f>Normalized_FCF!G19</f>
        <v>101456.09073065873</v>
      </c>
      <c r="D56" s="1" t="str">
        <f>Reporting_currency</f>
        <v>CNY</v>
      </c>
    </row>
    <row r="57" spans="1:6" x14ac:dyDescent="0.35">
      <c r="B57" s="47" t="s">
        <v>254</v>
      </c>
      <c r="C57" s="191">
        <f>Normalized_FCF!C19</f>
        <v>58578.391168071357</v>
      </c>
      <c r="D57" s="1" t="str">
        <f>Reporting_currency</f>
        <v>CNY</v>
      </c>
    </row>
    <row r="58" spans="1:6" x14ac:dyDescent="0.35">
      <c r="B58" s="260" t="s">
        <v>283</v>
      </c>
      <c r="C58" s="94">
        <f>Normalized_FCF!C121</f>
        <v>2.1574888673832972E-2</v>
      </c>
    </row>
    <row r="59" spans="1:6" x14ac:dyDescent="0.35">
      <c r="B59" s="260" t="s">
        <v>335</v>
      </c>
      <c r="C59" s="94">
        <f>Normalized_FCF!C93</f>
        <v>5.4036697247706419E-2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306</v>
      </c>
      <c r="C67" s="317">
        <v>0.08</v>
      </c>
    </row>
    <row r="68" spans="1:6" x14ac:dyDescent="0.35">
      <c r="B68" s="1" t="s">
        <v>308</v>
      </c>
      <c r="C68" s="269">
        <f>IF(D68="Y",1%,0)</f>
        <v>0</v>
      </c>
      <c r="D68" s="292" t="s">
        <v>349</v>
      </c>
    </row>
    <row r="69" spans="1:6" x14ac:dyDescent="0.35">
      <c r="B69" s="1" t="s">
        <v>307</v>
      </c>
      <c r="C69" s="269">
        <f>IF(D69="Y",1%,0)</f>
        <v>0</v>
      </c>
      <c r="D69" s="292" t="s">
        <v>349</v>
      </c>
    </row>
    <row r="70" spans="1:6" x14ac:dyDescent="0.35">
      <c r="B70" s="82" t="s">
        <v>253</v>
      </c>
      <c r="C70" s="269">
        <f>SUM(C67:C69)</f>
        <v>0.08</v>
      </c>
    </row>
    <row r="71" spans="1:6" x14ac:dyDescent="0.35">
      <c r="C71" s="125"/>
    </row>
    <row r="72" spans="1:6" x14ac:dyDescent="0.35">
      <c r="B72" s="338" t="s">
        <v>375</v>
      </c>
      <c r="C72" s="338"/>
      <c r="D72" s="338"/>
      <c r="E72" s="338"/>
      <c r="F72" s="338"/>
    </row>
    <row r="73" spans="1:6" ht="24.4" customHeight="1" x14ac:dyDescent="0.35">
      <c r="B73" s="338" t="s">
        <v>376</v>
      </c>
      <c r="C73" s="338"/>
      <c r="D73" s="338"/>
      <c r="E73" s="338"/>
      <c r="F73" s="338"/>
    </row>
    <row r="75" spans="1:6" x14ac:dyDescent="0.35">
      <c r="B75" s="47" t="s">
        <v>257</v>
      </c>
      <c r="C75" s="269">
        <v>0</v>
      </c>
    </row>
    <row r="76" spans="1:6" x14ac:dyDescent="0.35">
      <c r="B76" s="47" t="s">
        <v>300</v>
      </c>
      <c r="C76" s="254">
        <f>Valuation_Model!C6*C28*Exchange_Rate/Common_Shares</f>
        <v>0.58791571636194839</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377</v>
      </c>
      <c r="C84" s="338"/>
      <c r="D84" s="338"/>
      <c r="E84" s="338"/>
      <c r="F84" s="338"/>
    </row>
    <row r="85" spans="2:6" x14ac:dyDescent="0.35">
      <c r="B85" s="47" t="s">
        <v>263</v>
      </c>
      <c r="C85" s="191">
        <f>Valuation_Model!C7</f>
        <v>33999</v>
      </c>
      <c r="D85" s="1" t="str">
        <f>Reporting_currency</f>
        <v>CNY</v>
      </c>
    </row>
    <row r="86" spans="2:6" x14ac:dyDescent="0.35">
      <c r="B86" s="47" t="s">
        <v>303</v>
      </c>
      <c r="C86" s="254">
        <f>C85*C28*Exchange_Rate/Common_Shares</f>
        <v>2.7298184251239473E-2</v>
      </c>
      <c r="D86" s="1" t="str">
        <f>Market_currency</f>
        <v>HKD</v>
      </c>
    </row>
    <row r="88" spans="2:6" x14ac:dyDescent="0.35">
      <c r="B88" s="1" t="s">
        <v>262</v>
      </c>
    </row>
    <row r="89" spans="2:6" x14ac:dyDescent="0.35">
      <c r="B89" s="47" t="s">
        <v>277</v>
      </c>
      <c r="C89" s="191">
        <f>BS!C66</f>
        <v>2664732</v>
      </c>
      <c r="D89" s="1" t="str">
        <f>Reporting_currency</f>
        <v>CNY</v>
      </c>
    </row>
    <row r="90" spans="2:6" x14ac:dyDescent="0.35">
      <c r="B90" s="47" t="s">
        <v>279</v>
      </c>
      <c r="C90" s="191">
        <f>Valuation_Model!C8</f>
        <v>1823806.3881188305</v>
      </c>
      <c r="D90" s="1" t="str">
        <f>Reporting_currency</f>
        <v>CNY</v>
      </c>
    </row>
    <row r="91" spans="2:6" x14ac:dyDescent="0.35">
      <c r="B91" s="47" t="s">
        <v>304</v>
      </c>
      <c r="C91" s="254">
        <f>C90*C28*Exchange_Rate/Common_Shares</f>
        <v>1.4643549169521279</v>
      </c>
      <c r="D91" s="1" t="str">
        <f>Market_currency</f>
        <v>HKD</v>
      </c>
    </row>
    <row r="93" spans="2:6" x14ac:dyDescent="0.35">
      <c r="B93" s="1" t="s">
        <v>264</v>
      </c>
    </row>
    <row r="94" spans="2:6" x14ac:dyDescent="0.35">
      <c r="B94" s="47" t="s">
        <v>265</v>
      </c>
      <c r="C94" s="191">
        <f>Valuation_Model!C9</f>
        <v>227656.8</v>
      </c>
      <c r="D94" s="1" t="str">
        <f>Reporting_currency</f>
        <v>CNY</v>
      </c>
    </row>
    <row r="95" spans="2:6" x14ac:dyDescent="0.35">
      <c r="B95" s="47" t="s">
        <v>305</v>
      </c>
      <c r="C95" s="254">
        <f>C94*C28*Exchange_Rate/Common_Shares</f>
        <v>0.18278823707896039</v>
      </c>
      <c r="D95" s="1" t="str">
        <f>Market_currency</f>
        <v>HKD</v>
      </c>
    </row>
    <row r="97" spans="1:6" ht="24.4" customHeight="1" x14ac:dyDescent="0.35">
      <c r="B97" s="338" t="s">
        <v>266</v>
      </c>
      <c r="C97" s="338"/>
      <c r="D97" s="338"/>
      <c r="E97" s="338"/>
      <c r="F97" s="338"/>
    </row>
    <row r="99" spans="1:6" x14ac:dyDescent="0.35">
      <c r="B99" s="47" t="s">
        <v>299</v>
      </c>
      <c r="C99" s="254">
        <f>Valuation_Model!C12</f>
        <v>2.2077606861417975</v>
      </c>
      <c r="D99" s="1" t="str">
        <f>Market_currency</f>
        <v>HKD</v>
      </c>
    </row>
    <row r="101" spans="1:6" ht="13.9" x14ac:dyDescent="0.45">
      <c r="A101" s="253" t="s">
        <v>276</v>
      </c>
      <c r="B101" s="36"/>
      <c r="C101" s="36"/>
      <c r="D101" s="36"/>
      <c r="E101" s="36"/>
      <c r="F101" s="36"/>
    </row>
    <row r="103" spans="1:6" ht="24.4" customHeight="1" x14ac:dyDescent="0.35">
      <c r="B103" s="340" t="s">
        <v>360</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0.08</v>
      </c>
      <c r="D106" s="263">
        <f>Valuation_Model!D74</f>
        <v>15</v>
      </c>
      <c r="E106" s="264" t="str">
        <f>ROUND(Valuation_Model!E74,2)&amp;" "&amp;Market_currency</f>
        <v>2.53 HKD</v>
      </c>
      <c r="F106" s="265">
        <f>Valuation_Model!F74</f>
        <v>0.05</v>
      </c>
    </row>
    <row r="107" spans="1:6" x14ac:dyDescent="0.35">
      <c r="B107" s="248" t="str">
        <f>Valuation_Model!B75</f>
        <v>Optimistic</v>
      </c>
      <c r="C107" s="249">
        <f>Valuation_Model!C75</f>
        <v>0.06</v>
      </c>
      <c r="D107" s="250">
        <f>Valuation_Model!D75</f>
        <v>10</v>
      </c>
      <c r="E107" s="251" t="str">
        <f>ROUND(Valuation_Model!E75,2)&amp;" "&amp;Market_currency</f>
        <v>2.33 HKD</v>
      </c>
      <c r="F107" s="252">
        <f>Valuation_Model!F75</f>
        <v>0.21249999999999999</v>
      </c>
    </row>
    <row r="108" spans="1:6" x14ac:dyDescent="0.35">
      <c r="B108" s="248" t="str">
        <f>Valuation_Model!B76</f>
        <v>Base</v>
      </c>
      <c r="C108" s="249">
        <f>Valuation_Model!C76</f>
        <v>0.02</v>
      </c>
      <c r="D108" s="250">
        <f>Valuation_Model!D76</f>
        <v>10</v>
      </c>
      <c r="E108" s="251" t="str">
        <f>ROUND(Valuation_Model!E76,2)&amp;" "&amp;Market_currency</f>
        <v>2.25 HKD</v>
      </c>
      <c r="F108" s="252">
        <f>Valuation_Model!F76</f>
        <v>0.51</v>
      </c>
    </row>
    <row r="109" spans="1:6" x14ac:dyDescent="0.35">
      <c r="B109" s="248" t="str">
        <f>Valuation_Model!B77</f>
        <v>Pessimistic</v>
      </c>
      <c r="C109" s="249">
        <f>Valuation_Model!C77</f>
        <v>-0.06</v>
      </c>
      <c r="D109" s="250">
        <f>Valuation_Model!D77</f>
        <v>10</v>
      </c>
      <c r="E109" s="251" t="str">
        <f>ROUND(Valuation_Model!E77,2)&amp;" "&amp;Market_currency</f>
        <v>2.11 HKD</v>
      </c>
      <c r="F109" s="252">
        <f>Valuation_Model!F77</f>
        <v>0.1275</v>
      </c>
    </row>
    <row r="110" spans="1:6" x14ac:dyDescent="0.35">
      <c r="B110" s="248" t="str">
        <f>Valuation_Model!B78</f>
        <v>Devil's advocate</v>
      </c>
      <c r="C110" s="249">
        <f>Valuation_Model!C78</f>
        <v>-0.06</v>
      </c>
      <c r="D110" s="250">
        <f>Valuation_Model!D78</f>
        <v>15</v>
      </c>
      <c r="E110" s="251" t="str">
        <f>ROUND(Valuation_Model!E78,2)&amp;" "&amp;Market_currency</f>
        <v>2.07 HKD</v>
      </c>
      <c r="F110" s="252">
        <f>Valuation_Model!F78</f>
        <v>0.1</v>
      </c>
    </row>
    <row r="112" spans="1:6" x14ac:dyDescent="0.35">
      <c r="B112" s="241" t="s">
        <v>268</v>
      </c>
      <c r="C112" s="247">
        <f>Scenarios!C60</f>
        <v>2.2438954232004935</v>
      </c>
      <c r="D112" s="242" t="str">
        <f>Market_currency</f>
        <v>HKD</v>
      </c>
    </row>
    <row r="114" spans="1:6" ht="24.4" customHeight="1" x14ac:dyDescent="0.35">
      <c r="B114" s="343" t="s">
        <v>361</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0.1178</v>
      </c>
      <c r="D122" s="242" t="str">
        <f>Market_currency</f>
        <v>HKD</v>
      </c>
    </row>
    <row r="124" spans="1:6" x14ac:dyDescent="0.35">
      <c r="B124" s="240" t="s">
        <v>273</v>
      </c>
    </row>
    <row r="125" spans="1:6" x14ac:dyDescent="0.35">
      <c r="B125" s="242" t="str">
        <f>"PV("&amp;C120&amp;" yrs of Dividends)"</f>
        <v>PV(3 yrs of Dividends)</v>
      </c>
      <c r="C125" s="246">
        <f>Scenarios!C81</f>
        <v>0.24814351851851849</v>
      </c>
    </row>
    <row r="126" spans="1:6" x14ac:dyDescent="0.35">
      <c r="B126" s="242" t="str">
        <f>"+ PV(Equity Value realized at year "&amp;C120&amp;")"</f>
        <v>+ PV(Equity Value realized at year 3)</v>
      </c>
      <c r="C126" s="246">
        <f>Scenarios!C82</f>
        <v>1.2985505921299152</v>
      </c>
    </row>
    <row r="127" spans="1:6" x14ac:dyDescent="0.35">
      <c r="B127" s="82" t="s">
        <v>270</v>
      </c>
      <c r="C127" s="245">
        <f>Scenarios!C83</f>
        <v>1.5466941106484338</v>
      </c>
      <c r="D127" s="47" t="str">
        <f>Reporting_currency</f>
        <v>CNY</v>
      </c>
    </row>
    <row r="128" spans="1:6" x14ac:dyDescent="0.35">
      <c r="B128" s="244" t="s">
        <v>272</v>
      </c>
      <c r="C128" s="94">
        <f>Scenarios!F83</f>
        <v>0.31071025206586211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45</v>
      </c>
      <c r="C5" s="193">
        <v>897327</v>
      </c>
      <c r="D5" s="184">
        <v>845264</v>
      </c>
      <c r="E5" s="184">
        <v>981731</v>
      </c>
      <c r="F5" s="184">
        <v>959572</v>
      </c>
      <c r="G5" s="184">
        <v>783542</v>
      </c>
      <c r="H5" s="184"/>
      <c r="I5" s="184"/>
      <c r="J5" s="184"/>
      <c r="K5" s="184"/>
      <c r="L5" s="184"/>
      <c r="M5" s="184"/>
    </row>
    <row r="6" spans="2:13" x14ac:dyDescent="0.35">
      <c r="B6" s="40" t="s">
        <v>57</v>
      </c>
      <c r="C6" s="193">
        <v>613104</v>
      </c>
      <c r="D6" s="184">
        <v>599182</v>
      </c>
      <c r="E6" s="184">
        <v>705390</v>
      </c>
      <c r="F6" s="184">
        <v>456610</v>
      </c>
      <c r="G6" s="184">
        <v>396643</v>
      </c>
      <c r="H6" s="184"/>
      <c r="I6" s="184"/>
      <c r="J6" s="184"/>
      <c r="K6" s="184"/>
      <c r="L6" s="184"/>
      <c r="M6" s="184"/>
    </row>
    <row r="7" spans="2:13" x14ac:dyDescent="0.35">
      <c r="B7" s="70" t="s">
        <v>64</v>
      </c>
      <c r="C7" s="194">
        <v>425033</v>
      </c>
      <c r="D7" s="192">
        <v>435254</v>
      </c>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c r="D9" s="184"/>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70</v>
      </c>
      <c r="C13" s="193">
        <v>73805</v>
      </c>
      <c r="D13" s="184">
        <v>45350</v>
      </c>
      <c r="E13" s="184"/>
      <c r="F13" s="184"/>
      <c r="G13" s="184"/>
      <c r="H13" s="184"/>
      <c r="I13" s="184"/>
      <c r="J13" s="184"/>
      <c r="K13" s="184"/>
      <c r="L13" s="184"/>
      <c r="M13" s="184"/>
    </row>
    <row r="14" spans="2:13" x14ac:dyDescent="0.35">
      <c r="B14" s="40" t="s">
        <v>52</v>
      </c>
      <c r="C14" s="193">
        <v>44449</v>
      </c>
      <c r="D14" s="184">
        <v>21017</v>
      </c>
      <c r="E14" s="184"/>
      <c r="F14" s="184"/>
      <c r="G14" s="184"/>
      <c r="H14" s="184"/>
      <c r="I14" s="184"/>
      <c r="J14" s="184"/>
      <c r="K14" s="184"/>
      <c r="L14" s="184"/>
      <c r="M14" s="184"/>
    </row>
    <row r="15" spans="2:13" x14ac:dyDescent="0.35">
      <c r="B15" s="43" t="s">
        <v>44</v>
      </c>
      <c r="C15" s="195">
        <v>172817</v>
      </c>
      <c r="D15" s="185">
        <v>65456</v>
      </c>
      <c r="E15" s="185">
        <v>5735.3965490000001</v>
      </c>
      <c r="F15" s="185">
        <v>9646.0369900000005</v>
      </c>
      <c r="G15" s="185"/>
      <c r="H15" s="185"/>
      <c r="I15" s="185"/>
      <c r="J15" s="185"/>
      <c r="K15" s="185"/>
      <c r="L15" s="185"/>
      <c r="M15" s="185"/>
    </row>
    <row r="16" spans="2:13" x14ac:dyDescent="0.35">
      <c r="B16" s="28" t="s">
        <v>46</v>
      </c>
      <c r="C16" s="193">
        <v>2199</v>
      </c>
      <c r="D16" s="184">
        <v>645</v>
      </c>
      <c r="E16" s="184"/>
      <c r="F16" s="184"/>
      <c r="G16" s="184"/>
      <c r="H16" s="184"/>
      <c r="I16" s="184"/>
      <c r="J16" s="184"/>
      <c r="K16" s="184"/>
      <c r="L16" s="184"/>
      <c r="M16" s="184"/>
    </row>
    <row r="18" spans="2:13" x14ac:dyDescent="0.35">
      <c r="B18" s="16" t="s">
        <v>53</v>
      </c>
      <c r="C18" s="9"/>
    </row>
    <row r="19" spans="2:13" x14ac:dyDescent="0.35">
      <c r="B19" s="27" t="s">
        <v>49</v>
      </c>
      <c r="C19" s="184">
        <v>35974</v>
      </c>
      <c r="D19" s="184">
        <v>32106</v>
      </c>
      <c r="E19" s="184">
        <v>181.018</v>
      </c>
      <c r="F19" s="184">
        <v>186.14699999999999</v>
      </c>
      <c r="G19" s="184"/>
      <c r="H19" s="184"/>
      <c r="I19" s="184"/>
      <c r="J19" s="184"/>
      <c r="K19" s="184"/>
      <c r="L19" s="184"/>
      <c r="M19" s="184"/>
    </row>
    <row r="20" spans="2:13" x14ac:dyDescent="0.35">
      <c r="B20" s="27" t="s">
        <v>55</v>
      </c>
      <c r="C20" s="184">
        <v>15312</v>
      </c>
      <c r="D20" s="184">
        <v>11600</v>
      </c>
      <c r="E20" s="184"/>
      <c r="F20" s="184"/>
      <c r="G20" s="184"/>
      <c r="H20" s="184"/>
      <c r="I20" s="184"/>
      <c r="J20" s="184"/>
      <c r="K20" s="184"/>
      <c r="L20" s="184"/>
      <c r="M20" s="184"/>
    </row>
    <row r="21" spans="2:13" x14ac:dyDescent="0.35">
      <c r="B21" s="27" t="s">
        <v>54</v>
      </c>
      <c r="C21" s="184">
        <v>-169280</v>
      </c>
      <c r="D21" s="184">
        <v>-50846</v>
      </c>
      <c r="E21" s="184"/>
      <c r="F21" s="184"/>
      <c r="G21" s="184"/>
      <c r="H21" s="184"/>
      <c r="I21" s="184"/>
      <c r="J21" s="184"/>
      <c r="K21" s="184"/>
      <c r="L21" s="184"/>
      <c r="M21" s="184"/>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28</v>
      </c>
      <c r="C24" s="9"/>
    </row>
    <row r="25" spans="2:13" x14ac:dyDescent="0.35">
      <c r="B25" s="26" t="s">
        <v>24</v>
      </c>
      <c r="C25" s="186"/>
      <c r="D25" s="184"/>
      <c r="E25" s="184"/>
      <c r="F25" s="184"/>
      <c r="G25" s="184"/>
      <c r="H25" s="184"/>
      <c r="I25" s="184"/>
      <c r="J25" s="184"/>
      <c r="K25" s="184"/>
      <c r="L25" s="184"/>
      <c r="M25" s="184"/>
    </row>
    <row r="26" spans="2:13" x14ac:dyDescent="0.35">
      <c r="B26" s="26" t="s">
        <v>32</v>
      </c>
      <c r="C26" s="186"/>
      <c r="D26" s="184"/>
      <c r="E26" s="184"/>
      <c r="F26" s="184"/>
      <c r="G26" s="184"/>
      <c r="H26" s="184"/>
      <c r="I26" s="184"/>
      <c r="J26" s="184"/>
      <c r="K26" s="184"/>
      <c r="L26" s="184"/>
      <c r="M26" s="184"/>
    </row>
    <row r="27" spans="2:13" x14ac:dyDescent="0.35">
      <c r="B27" s="29" t="s">
        <v>40</v>
      </c>
      <c r="C27" s="185">
        <v>642877</v>
      </c>
      <c r="D27" s="185">
        <v>734909</v>
      </c>
      <c r="E27" s="185">
        <v>677999</v>
      </c>
      <c r="F27" s="185">
        <v>1352795</v>
      </c>
      <c r="G27" s="185">
        <v>1205068</v>
      </c>
      <c r="H27" s="185"/>
      <c r="I27" s="185"/>
      <c r="J27" s="185"/>
      <c r="K27" s="185"/>
      <c r="L27" s="185"/>
      <c r="M27" s="185"/>
    </row>
    <row r="28" spans="2:13" x14ac:dyDescent="0.35">
      <c r="B28" s="29" t="s">
        <v>30</v>
      </c>
      <c r="C28" s="185">
        <v>3027292</v>
      </c>
      <c r="D28" s="185">
        <v>2824568</v>
      </c>
      <c r="E28" s="185">
        <v>2735259</v>
      </c>
      <c r="F28" s="185">
        <v>250534</v>
      </c>
      <c r="G28" s="185">
        <v>13930</v>
      </c>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180994</v>
      </c>
      <c r="D4" s="300">
        <v>0.6</v>
      </c>
      <c r="E4" s="25"/>
      <c r="F4" s="4" t="s">
        <v>81</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181</v>
      </c>
      <c r="G6" s="19">
        <v>0</v>
      </c>
      <c r="H6" s="300">
        <v>0.6</v>
      </c>
    </row>
    <row r="7" spans="2:8" ht="15" customHeight="1" x14ac:dyDescent="0.35">
      <c r="B7" s="1" t="s">
        <v>72</v>
      </c>
      <c r="C7" s="19">
        <v>0</v>
      </c>
      <c r="D7" s="300">
        <v>0.6</v>
      </c>
      <c r="E7" s="25"/>
      <c r="F7" s="4" t="s">
        <v>182</v>
      </c>
      <c r="G7" s="19">
        <v>253051</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75</v>
      </c>
      <c r="C12" s="83">
        <f>SUM(C4:C11)</f>
        <v>345016</v>
      </c>
      <c r="D12" s="20">
        <f>C4*D4+C5*D5+C9*D9+C6*D6+C8*D8+C7*D7+C10*D10+C11*D11</f>
        <v>192972.19999999998</v>
      </c>
      <c r="F12" s="82" t="s">
        <v>73</v>
      </c>
      <c r="G12" s="83">
        <f>SUM(G4:G9)</f>
        <v>2638358</v>
      </c>
      <c r="H12" s="20">
        <f>G4*H4+G5*H5+G6*H6+G7*H7+G8*H8+G9*H9</f>
        <v>2298606.9000000004</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0</v>
      </c>
      <c r="D15" s="300">
        <v>0.4</v>
      </c>
      <c r="F15" s="4" t="s">
        <v>82</v>
      </c>
      <c r="G15" s="19">
        <v>279425</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126127</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193915</v>
      </c>
      <c r="D19" s="300">
        <v>0.1</v>
      </c>
      <c r="F19" s="4" t="s">
        <v>186</v>
      </c>
      <c r="G19" s="19">
        <v>1500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9704</v>
      </c>
      <c r="D21" s="300">
        <v>0.05</v>
      </c>
      <c r="F21" s="1" t="s">
        <v>184</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77</v>
      </c>
      <c r="C24" s="83">
        <f>SUM(C15:C23)</f>
        <v>279743</v>
      </c>
      <c r="D24" s="20">
        <f>C15*D15+C16*D16+C18*D18+C17*D17+C19*D19+C20*D20+C21*D21+C22*D22+C23*D23</f>
        <v>88388.3</v>
      </c>
      <c r="F24" s="82" t="s">
        <v>74</v>
      </c>
      <c r="G24" s="83">
        <f>SUM(G15:G21)</f>
        <v>407052</v>
      </c>
      <c r="H24" s="20">
        <f>G15*H15+G16*H16+G17*H17+G18*H18+G19*H19+G20*H20+G21*H21</f>
        <v>299366.2</v>
      </c>
    </row>
    <row r="26" spans="2:8" ht="15" customHeight="1" x14ac:dyDescent="0.35">
      <c r="B26" s="16" t="s">
        <v>204</v>
      </c>
      <c r="C26" s="209" t="s">
        <v>140</v>
      </c>
      <c r="F26" s="211" t="s">
        <v>200</v>
      </c>
      <c r="G26" s="212" t="s">
        <v>140</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250</v>
      </c>
      <c r="G28" s="184">
        <v>3990</v>
      </c>
      <c r="H28" s="215"/>
    </row>
    <row r="29" spans="2:8" ht="15" customHeight="1" x14ac:dyDescent="0.35">
      <c r="B29" s="4" t="s">
        <v>7</v>
      </c>
      <c r="C29" s="19">
        <v>0</v>
      </c>
      <c r="F29" s="217" t="s">
        <v>79</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207</v>
      </c>
      <c r="C31" s="83">
        <f>SUM(C27:C30)</f>
        <v>13416</v>
      </c>
      <c r="F31" s="217" t="s">
        <v>80</v>
      </c>
      <c r="G31" s="218">
        <f>C31+C40</f>
        <v>33999</v>
      </c>
      <c r="H31" s="215"/>
    </row>
    <row r="32" spans="2:8" ht="15" customHeight="1" x14ac:dyDescent="0.35">
      <c r="B32" s="4" t="s">
        <v>9</v>
      </c>
      <c r="C32" s="21">
        <f>C33-C31</f>
        <v>598515</v>
      </c>
      <c r="F32" s="219" t="s">
        <v>78</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624759</v>
      </c>
      <c r="H35" s="227">
        <f>D12+D24</f>
        <v>281360.5</v>
      </c>
    </row>
    <row r="36" spans="2:8" ht="15" customHeight="1" x14ac:dyDescent="0.35">
      <c r="B36" s="4" t="s">
        <v>13</v>
      </c>
      <c r="C36" s="19">
        <v>0</v>
      </c>
      <c r="F36" s="217" t="s">
        <v>201</v>
      </c>
      <c r="G36" s="218">
        <f>C4+C15</f>
        <v>180994</v>
      </c>
      <c r="H36" s="222"/>
    </row>
    <row r="37" spans="2:8" ht="15" customHeight="1" x14ac:dyDescent="0.35">
      <c r="B37" s="4" t="s">
        <v>14</v>
      </c>
      <c r="C37" s="19">
        <v>20583</v>
      </c>
      <c r="F37" s="217" t="s">
        <v>202</v>
      </c>
      <c r="G37" s="218">
        <f>C6</f>
        <v>158110</v>
      </c>
      <c r="H37" s="222"/>
    </row>
    <row r="38" spans="2:8" ht="15" customHeight="1" x14ac:dyDescent="0.35">
      <c r="B38" s="4" t="s">
        <v>15</v>
      </c>
      <c r="C38" s="19">
        <v>0</v>
      </c>
      <c r="F38" s="217" t="s">
        <v>203</v>
      </c>
      <c r="G38" s="218">
        <f>C7+C17</f>
        <v>0</v>
      </c>
      <c r="H38" s="222"/>
    </row>
    <row r="39" spans="2:8" ht="15" customHeight="1" x14ac:dyDescent="0.35">
      <c r="B39" s="2" t="s">
        <v>16</v>
      </c>
      <c r="C39" s="19">
        <v>0</v>
      </c>
      <c r="F39" s="217" t="s">
        <v>83</v>
      </c>
      <c r="G39" s="218">
        <f>C7+C17+C19+C20</f>
        <v>193915</v>
      </c>
      <c r="H39" s="215">
        <f>C7*D7+C17*D17+C19*D19+C20*D20</f>
        <v>19391.5</v>
      </c>
    </row>
    <row r="40" spans="2:8" ht="15" customHeight="1" x14ac:dyDescent="0.35">
      <c r="B40" s="82" t="s">
        <v>208</v>
      </c>
      <c r="C40" s="83">
        <f>SUM(C36:C39)</f>
        <v>20583</v>
      </c>
      <c r="F40" s="226" t="s">
        <v>142</v>
      </c>
      <c r="G40" s="220">
        <f>G12+G24</f>
        <v>3045410</v>
      </c>
      <c r="H40" s="227">
        <f>H12+H24</f>
        <v>2597973.1000000006</v>
      </c>
    </row>
    <row r="41" spans="2:8" ht="15" customHeight="1" x14ac:dyDescent="0.35">
      <c r="B41" s="4" t="s">
        <v>17</v>
      </c>
      <c r="C41" s="21">
        <f>C42-C40</f>
        <v>10363</v>
      </c>
      <c r="F41" s="217" t="s">
        <v>195</v>
      </c>
      <c r="G41" s="218">
        <f>C70</f>
        <v>2664732</v>
      </c>
      <c r="H41" s="227">
        <f>H40-H42</f>
        <v>2370316.3000000007</v>
      </c>
    </row>
    <row r="42" spans="2:8" ht="15" customHeight="1" x14ac:dyDescent="0.35">
      <c r="B42" s="85" t="s">
        <v>22</v>
      </c>
      <c r="C42" s="86">
        <v>30946</v>
      </c>
      <c r="F42" s="228" t="s">
        <v>196</v>
      </c>
      <c r="G42" s="229">
        <f>C82</f>
        <v>380678</v>
      </c>
      <c r="H42" s="230">
        <f>D82</f>
        <v>227656.8</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3023302</v>
      </c>
      <c r="D46" s="191">
        <f>H29</f>
        <v>2232466.6000000006</v>
      </c>
      <c r="F46" s="289"/>
    </row>
    <row r="47" spans="2:8" ht="15" customHeight="1" x14ac:dyDescent="0.35">
      <c r="B47" s="1" t="str">
        <f>"Equity per share ("&amp;Market_currency&amp;")"</f>
        <v>Equity per share (HKD)</v>
      </c>
      <c r="C47" s="151">
        <f>C46*H1/Common_Shares*Exchange_Rate</f>
        <v>2.4274436025512749</v>
      </c>
      <c r="D47" s="151">
        <f>D46*H1/Common_Shares*Exchange_Rate</f>
        <v>1.7924728545409614</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0.58016135321753903</v>
      </c>
      <c r="D50" s="98">
        <f>G31/Normalized_FCF!G8</f>
        <v>0.3233257888430302</v>
      </c>
      <c r="F50" s="289"/>
    </row>
    <row r="51" spans="2:8" ht="15" customHeight="1" x14ac:dyDescent="0.35">
      <c r="B51" s="1" t="s">
        <v>180</v>
      </c>
      <c r="C51" s="208"/>
      <c r="D51" s="94">
        <f>G29/G32</f>
        <v>0.82375007799368372</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9.3800429505874555E-2</v>
      </c>
      <c r="D54" s="94">
        <f>Normalized_FCF!G8/G35</f>
        <v>0.16831130083760298</v>
      </c>
      <c r="F54" s="289"/>
    </row>
    <row r="55" spans="2:8" ht="15" customHeight="1" x14ac:dyDescent="0.35">
      <c r="B55" s="1" t="s">
        <v>145</v>
      </c>
      <c r="C55" s="94">
        <f>Normalized_FCF!C11/G40</f>
        <v>0</v>
      </c>
      <c r="D55" s="94">
        <f>Normalized_FCF!G11/G40</f>
        <v>0</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0.18551427171698939</v>
      </c>
      <c r="F58" s="5"/>
    </row>
    <row r="59" spans="2:8" ht="15" customHeight="1" x14ac:dyDescent="0.35">
      <c r="B59" s="1" t="s">
        <v>96</v>
      </c>
      <c r="C59" s="101"/>
      <c r="D59" s="94">
        <f>G39/G32</f>
        <v>5.2835441637701153E-2</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1.3197490690642218E-3</v>
      </c>
      <c r="D62" s="94">
        <f>G28/G29</f>
        <v>1.3197490690642218E-3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310</v>
      </c>
      <c r="F65" s="293" t="s">
        <v>62</v>
      </c>
    </row>
    <row r="66" spans="2:6" ht="15" customHeight="1" x14ac:dyDescent="0.35">
      <c r="B66" s="108" t="s">
        <v>191</v>
      </c>
      <c r="C66" s="20">
        <f>G4+G5+G15</f>
        <v>2664732</v>
      </c>
      <c r="D66" s="191">
        <f>C66-D75</f>
        <v>1823806.3881188305</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2664732</v>
      </c>
      <c r="F70" s="289"/>
    </row>
    <row r="71" spans="2:6" ht="15" customHeight="1" x14ac:dyDescent="0.35">
      <c r="F71" s="289"/>
    </row>
    <row r="72" spans="2:6" ht="15" customHeight="1" x14ac:dyDescent="0.35">
      <c r="B72" s="291" t="s">
        <v>346</v>
      </c>
      <c r="C72" s="267" t="s">
        <v>99</v>
      </c>
      <c r="D72" s="209" t="s">
        <v>60</v>
      </c>
      <c r="F72" s="289"/>
    </row>
    <row r="73" spans="2:6" ht="15" customHeight="1" x14ac:dyDescent="0.35">
      <c r="B73" s="108" t="s">
        <v>345</v>
      </c>
      <c r="C73" s="191">
        <f>(Normalized_FCF!G25+Normalized_FCF!G35-Normalized_FCF!G91)/12</f>
        <v>-138958.140525</v>
      </c>
      <c r="D73" s="191">
        <f>(Normalized_FCF!C25+Normalized_FCF!C35-Normalized_FCF!C91)/12</f>
        <v>-140154.2686468616</v>
      </c>
      <c r="F73" s="1" t="s">
        <v>384</v>
      </c>
    </row>
    <row r="74" spans="2:6" ht="15" customHeight="1" x14ac:dyDescent="0.35">
      <c r="B74" s="294" t="s">
        <v>350</v>
      </c>
      <c r="C74" s="295">
        <f>-$C$66/C73</f>
        <v>19.176508766829585</v>
      </c>
      <c r="D74" s="295">
        <f>-$C$66/D73</f>
        <v>19.012849381806323</v>
      </c>
      <c r="F74" s="289" t="s">
        <v>347</v>
      </c>
    </row>
    <row r="75" spans="2:6" ht="15" customHeight="1" x14ac:dyDescent="0.35">
      <c r="B75" s="82" t="s">
        <v>348</v>
      </c>
      <c r="C75" s="299"/>
      <c r="D75" s="298">
        <f>MAX(-D73*D76,G5)</f>
        <v>840925.61188116961</v>
      </c>
      <c r="F75" s="289" t="s">
        <v>385</v>
      </c>
    </row>
    <row r="76" spans="2:6" ht="15" customHeight="1" x14ac:dyDescent="0.35">
      <c r="B76" s="296" t="s">
        <v>351</v>
      </c>
      <c r="C76" s="297"/>
      <c r="D76" s="333">
        <f>IF(D74&lt;=3,1,IF(D74&gt;18,6,2))</f>
        <v>6</v>
      </c>
      <c r="F76" s="289" t="s">
        <v>352</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379178</v>
      </c>
      <c r="D79" s="191">
        <f>G7*H7+G17*H17</f>
        <v>227506.8</v>
      </c>
      <c r="F79" s="289"/>
    </row>
    <row r="80" spans="2:6" ht="15" customHeight="1" x14ac:dyDescent="0.35">
      <c r="B80" s="108" t="s">
        <v>186</v>
      </c>
      <c r="C80" s="20">
        <f>G19</f>
        <v>1500</v>
      </c>
      <c r="D80" s="191">
        <f>G19*H19</f>
        <v>150</v>
      </c>
      <c r="F80" s="289"/>
    </row>
    <row r="81" spans="2:8" ht="15" customHeight="1" x14ac:dyDescent="0.35">
      <c r="B81" s="108" t="s">
        <v>184</v>
      </c>
      <c r="C81" s="20">
        <f>G9+G21</f>
        <v>0</v>
      </c>
      <c r="D81" s="191">
        <f>G9*H9+G21*H21</f>
        <v>0</v>
      </c>
      <c r="F81" s="289"/>
    </row>
    <row r="82" spans="2:8" ht="15" customHeight="1" x14ac:dyDescent="0.35">
      <c r="B82" s="82" t="s">
        <v>193</v>
      </c>
      <c r="C82" s="83">
        <f>SUM(C79:C81)</f>
        <v>380678</v>
      </c>
      <c r="D82" s="83">
        <f>SUM(D79:D81)</f>
        <v>227656.8</v>
      </c>
      <c r="F82" s="289"/>
    </row>
    <row r="84" spans="2:8" ht="15" customHeight="1" x14ac:dyDescent="0.35">
      <c r="B84" s="81" t="s">
        <v>313</v>
      </c>
      <c r="C84" s="37"/>
      <c r="D84" s="37"/>
      <c r="E84" s="37"/>
      <c r="F84" s="37"/>
      <c r="G84" s="37"/>
      <c r="H84" s="37"/>
    </row>
    <row r="85" spans="2:8" ht="15" customHeight="1" x14ac:dyDescent="0.35">
      <c r="B85" s="16" t="s">
        <v>314</v>
      </c>
      <c r="D85" s="276" t="s">
        <v>315</v>
      </c>
    </row>
    <row r="86" spans="2:8" ht="15" customHeight="1" x14ac:dyDescent="0.35">
      <c r="B86" s="273" t="s">
        <v>311</v>
      </c>
      <c r="C86" s="191">
        <f>-Valuation_Model!C7*Exchange_Rate</f>
        <v>-36397.583551350006</v>
      </c>
      <c r="D86" s="254">
        <f>C86*$H$1/Common_Shares</f>
        <v>-2.7298184251239473E-2</v>
      </c>
      <c r="E86" s="275" t="str">
        <f>Market_currency</f>
        <v>HKD</v>
      </c>
    </row>
    <row r="87" spans="2:8" ht="15" customHeight="1" x14ac:dyDescent="0.35">
      <c r="B87" s="273" t="s">
        <v>312</v>
      </c>
      <c r="C87" s="191">
        <f>Valuation_Model!C8*Exchange_Rate</f>
        <v>1952473.4666619902</v>
      </c>
      <c r="D87" s="254">
        <f>C87*$H$1/Common_Shares</f>
        <v>1.4643549169521279</v>
      </c>
      <c r="E87" s="275" t="str">
        <f>Market_currency</f>
        <v>HKD</v>
      </c>
    </row>
    <row r="88" spans="2:8" ht="15" customHeight="1" x14ac:dyDescent="0.35">
      <c r="B88" s="274" t="s">
        <v>193</v>
      </c>
      <c r="C88" s="191">
        <f>Valuation_Model!C9*Exchange_Rate</f>
        <v>243717.67990332001</v>
      </c>
      <c r="D88" s="254">
        <f>C88*$H$1/Common_Shares</f>
        <v>0.18278823707896039</v>
      </c>
      <c r="E88" s="275" t="str">
        <f>Market_currency</f>
        <v>HKD</v>
      </c>
    </row>
    <row r="89" spans="2:8" ht="15" customHeight="1" x14ac:dyDescent="0.35">
      <c r="B89" s="82" t="s">
        <v>316</v>
      </c>
      <c r="C89" s="190">
        <f>SUM(C86:C88)</f>
        <v>2159793.5630139601</v>
      </c>
      <c r="D89" s="277">
        <f>SUM(D86:D88)</f>
        <v>1.6198449697798489</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60</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362</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363</v>
      </c>
      <c r="F18" s="59"/>
      <c r="G18" s="202"/>
      <c r="H18" s="202"/>
      <c r="I18" s="202"/>
      <c r="J18" s="202"/>
      <c r="K18" s="202"/>
      <c r="L18" s="202"/>
      <c r="M18" s="202"/>
      <c r="N18" s="202"/>
      <c r="O18" s="202"/>
      <c r="P18" s="202"/>
      <c r="Q18" s="202"/>
    </row>
    <row r="19" spans="1:17" ht="15.75" customHeight="1" x14ac:dyDescent="0.35">
      <c r="A19" s="10"/>
      <c r="B19" s="31" t="s">
        <v>69</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0.56985734679739708</v>
      </c>
      <c r="D28" s="26"/>
      <c r="E28" s="306" t="s">
        <v>364</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364</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-175999.5</v>
      </c>
      <c r="E33" s="306" t="s">
        <v>364</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364</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365</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378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373</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2.7696969151119136E-2</v>
      </c>
      <c r="E53" s="305" t="s">
        <v>366</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91</v>
      </c>
      <c r="C54" s="84">
        <f>G54</f>
        <v>2.9500867672578604E-2</v>
      </c>
      <c r="E54" s="305" t="s">
        <v>367</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94</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368</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2.2719648106287585E-2</v>
      </c>
      <c r="D78" s="27"/>
      <c r="E78" s="306"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336</v>
      </c>
      <c r="C93" s="23">
        <f>C90/Market_Price</f>
        <v>5.4036697247706419E-2</v>
      </c>
      <c r="E93" s="308"/>
      <c r="G93" s="23">
        <f t="shared" ref="G93:Q93" si="39">IF(G$4="","",G90/Market_Price)</f>
        <v>5.4036697247706419E-2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4.7033257308955877E-2</v>
      </c>
      <c r="D120" s="27"/>
      <c r="E120" s="305"/>
      <c r="F120" s="27"/>
      <c r="G120" s="181">
        <f t="shared" ref="G120:Q120" si="49">IF(G$4="","",G16*$C$3/Common_Shares*Exchange_Rate)</f>
        <v>8.1460250541956852E-2</v>
      </c>
      <c r="H120" s="181">
        <f t="shared" si="49"/>
        <v>1.1629668891561253E-2</v>
      </c>
      <c r="I120" s="181">
        <f t="shared" si="49"/>
        <v>6.4717883901121293E-2</v>
      </c>
      <c r="J120" s="181">
        <f t="shared" si="49"/>
        <v>0.22763593412908442</v>
      </c>
      <c r="K120" s="181">
        <f t="shared" si="49"/>
        <v>0.16292517285487843</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2.1574888673832972E-2</v>
      </c>
      <c r="D121" s="27"/>
      <c r="E121" s="305"/>
      <c r="F121" s="27"/>
      <c r="G121" s="79">
        <f t="shared" ref="G121" si="50">IF(G$4="","",G120/Market_Price)</f>
        <v>3.7367087404567359E-2</v>
      </c>
      <c r="H121" s="79">
        <f t="shared" ref="H121" si="51">IF(H$4="","",H120/Market_Price)</f>
        <v>5.3347105007161702E-3</v>
      </c>
      <c r="I121" s="79">
        <f t="shared" ref="I121" si="52">IF(I$4="","",I120/Market_Price)</f>
        <v>2.968710270693637E-2</v>
      </c>
      <c r="J121" s="79">
        <f t="shared" ref="J121" si="53">IF(J$4="","",J120/Market_Price)</f>
        <v>0.10442015327022221</v>
      </c>
      <c r="K121" s="79">
        <f t="shared" ref="K121" si="54">IF(K$4="","",K120/Market_Price)</f>
        <v>7.4736317823338727E-2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58578.391168071357</v>
      </c>
      <c r="D4" t="str">
        <f>Reporting_currency</f>
        <v>CNY</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732229.88960089197</v>
      </c>
      <c r="D6" t="str">
        <f>Reporting_currency</f>
        <v>CNY</v>
      </c>
      <c r="E6" s="344" t="s">
        <v>255</v>
      </c>
      <c r="F6" s="344"/>
      <c r="H6" s="124"/>
    </row>
    <row r="7" spans="2:8" x14ac:dyDescent="0.35">
      <c r="B7" s="152" t="s">
        <v>228</v>
      </c>
      <c r="C7" s="232">
        <f>BS!G31</f>
        <v>33999</v>
      </c>
      <c r="D7" t="str">
        <f>Reporting_currency</f>
        <v>CNY</v>
      </c>
      <c r="E7" s="344"/>
      <c r="F7" s="344"/>
      <c r="H7" s="124"/>
    </row>
    <row r="8" spans="2:8" x14ac:dyDescent="0.35">
      <c r="B8" s="152" t="s">
        <v>229</v>
      </c>
      <c r="C8" s="207">
        <f>BS!D66</f>
        <v>1823806.3881188305</v>
      </c>
      <c r="D8" t="str">
        <f>Reporting_currency</f>
        <v>CNY</v>
      </c>
      <c r="E8" s="344"/>
      <c r="F8" s="344"/>
      <c r="H8" s="124"/>
    </row>
    <row r="9" spans="2:8" x14ac:dyDescent="0.35">
      <c r="B9" s="233" t="s">
        <v>194</v>
      </c>
      <c r="C9" s="235">
        <f>BS!H42</f>
        <v>227656.8</v>
      </c>
      <c r="D9" t="str">
        <f>Reporting_currency</f>
        <v>CNY</v>
      </c>
      <c r="E9" s="344"/>
      <c r="F9" s="344"/>
      <c r="H9" s="124"/>
    </row>
    <row r="10" spans="2:8" ht="13.15" x14ac:dyDescent="0.4">
      <c r="B10" s="153" t="s">
        <v>231</v>
      </c>
      <c r="C10" s="238">
        <f>C6-C7+C8+C9</f>
        <v>2749694.0777197224</v>
      </c>
      <c r="D10" t="str">
        <f>Reporting_currency</f>
        <v>CNY</v>
      </c>
      <c r="H10" s="124"/>
    </row>
    <row r="11" spans="2:8" ht="13.15" thickBot="1" x14ac:dyDescent="0.4">
      <c r="B11" s="236" t="s">
        <v>170</v>
      </c>
      <c r="C11" s="237">
        <f>Exchange_Rate</f>
        <v>1.0705486500000001</v>
      </c>
      <c r="D11" t="str">
        <f>Thesis!D17</f>
        <v>CNY/HKD</v>
      </c>
      <c r="H11" s="124"/>
    </row>
    <row r="12" spans="2:8" ht="13.5" thickTop="1" x14ac:dyDescent="0.4">
      <c r="B12" s="153" t="s">
        <v>106</v>
      </c>
      <c r="C12" s="115">
        <f>(C10*C3)/Common_Shares*C11</f>
        <v>2.2077606861417975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1.77907652777404E-2</v>
      </c>
      <c r="H16" s="124"/>
    </row>
    <row r="17" spans="2:8" ht="13.25" customHeight="1" x14ac:dyDescent="0.35">
      <c r="B17" s="122" t="s">
        <v>138</v>
      </c>
      <c r="C17" s="166">
        <f>Scenarios!C64</f>
        <v>10</v>
      </c>
      <c r="H17" s="124"/>
    </row>
    <row r="18" spans="2:8" ht="13.25" customHeight="1" x14ac:dyDescent="0.4">
      <c r="B18" s="157" t="s">
        <v>110</v>
      </c>
      <c r="C18" s="144">
        <f>(F52-C7+C8+C9)*Exchange_Rate/Common_Shares*C3</f>
        <v>2.2413448701452832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104</v>
      </c>
      <c r="F52" s="141">
        <f>SUM(F21:F51)</f>
        <v>774057.89769936702</v>
      </c>
      <c r="H52" s="124"/>
    </row>
    <row r="53" spans="1:8" x14ac:dyDescent="0.35">
      <c r="C53" s="118"/>
      <c r="H53" s="124"/>
    </row>
    <row r="54" spans="1:8" ht="13.15" x14ac:dyDescent="0.35">
      <c r="B54" s="123" t="s">
        <v>133</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2.2077606861417975</v>
      </c>
      <c r="C65" s="128">
        <f>C12</f>
        <v>2.2077606861417975</v>
      </c>
      <c r="D65" s="128">
        <f>C12</f>
        <v>2.2077606861417975</v>
      </c>
      <c r="E65" s="145">
        <f>C12</f>
        <v>2.2077606861417975</v>
      </c>
      <c r="F65" s="128">
        <f>C12</f>
        <v>2.2077606861417975</v>
      </c>
      <c r="H65" s="124"/>
    </row>
    <row r="66" spans="1:8" ht="13.15" x14ac:dyDescent="0.4">
      <c r="A66" s="147">
        <f t="shared" ref="A66:A71" si="3">A56</f>
        <v>5</v>
      </c>
      <c r="B66" s="128">
        <f t="shared" ref="B66:F71" si="4">(B56-$C$7+$C$8+$C$9)/Common_Shares*$C$3*Exchange_Rate</f>
        <v>2.1540237040847532</v>
      </c>
      <c r="C66" s="128">
        <f t="shared" si="4"/>
        <v>2.1540237040847532</v>
      </c>
      <c r="D66" s="128">
        <f t="shared" si="4"/>
        <v>2.2267299247327395</v>
      </c>
      <c r="E66" s="128">
        <f t="shared" si="4"/>
        <v>2.266397694127726</v>
      </c>
      <c r="F66" s="128">
        <f t="shared" si="4"/>
        <v>2.2871468587788724</v>
      </c>
      <c r="H66" s="124"/>
    </row>
    <row r="67" spans="1:8" ht="13.15" x14ac:dyDescent="0.4">
      <c r="A67" s="147">
        <f t="shared" si="3"/>
        <v>10</v>
      </c>
      <c r="B67" s="128">
        <f t="shared" si="4"/>
        <v>2.1128338846262427</v>
      </c>
      <c r="C67" s="128">
        <f t="shared" si="4"/>
        <v>2.1128338846262427</v>
      </c>
      <c r="D67" s="128">
        <f t="shared" si="4"/>
        <v>2.2457166309948113</v>
      </c>
      <c r="E67" s="128">
        <f t="shared" si="4"/>
        <v>2.3334964417926516</v>
      </c>
      <c r="F67" s="128">
        <f t="shared" si="4"/>
        <v>2.3842817727398242</v>
      </c>
      <c r="H67" s="124"/>
    </row>
    <row r="68" spans="1:8" ht="13.15" x14ac:dyDescent="0.4">
      <c r="A68" s="147">
        <f t="shared" si="3"/>
        <v>15</v>
      </c>
      <c r="B68" s="128">
        <f t="shared" si="4"/>
        <v>2.0705031590032803</v>
      </c>
      <c r="C68" s="128">
        <f t="shared" si="4"/>
        <v>2.0705031590032803</v>
      </c>
      <c r="D68" s="128">
        <f t="shared" si="4"/>
        <v>2.269217944514454</v>
      </c>
      <c r="E68" s="128">
        <f t="shared" si="4"/>
        <v>2.4257933579521178</v>
      </c>
      <c r="F68" s="128">
        <f t="shared" si="4"/>
        <v>2.5255062264405446</v>
      </c>
      <c r="H68" s="124"/>
    </row>
    <row r="69" spans="1:8" ht="13.15" x14ac:dyDescent="0.4">
      <c r="A69" s="148">
        <f t="shared" si="3"/>
        <v>20</v>
      </c>
      <c r="B69" s="128">
        <f t="shared" si="4"/>
        <v>2.0345521606269807</v>
      </c>
      <c r="C69" s="128">
        <f t="shared" si="4"/>
        <v>2.0345521606269807</v>
      </c>
      <c r="D69" s="128">
        <f t="shared" si="4"/>
        <v>2.2931620141430504</v>
      </c>
      <c r="E69" s="128">
        <f t="shared" si="4"/>
        <v>2.5310790516913988</v>
      </c>
      <c r="F69" s="128">
        <f t="shared" si="4"/>
        <v>2.6967372800531044</v>
      </c>
      <c r="H69" s="124"/>
    </row>
    <row r="70" spans="1:8" ht="13.15" x14ac:dyDescent="0.4">
      <c r="A70" s="148">
        <f t="shared" si="3"/>
        <v>25</v>
      </c>
      <c r="B70" s="128">
        <f t="shared" si="4"/>
        <v>2.0065175002437226</v>
      </c>
      <c r="C70" s="128">
        <f t="shared" si="4"/>
        <v>2.0065175002437226</v>
      </c>
      <c r="D70" s="128">
        <f t="shared" si="4"/>
        <v>2.315431327554299</v>
      </c>
      <c r="E70" s="128">
        <f t="shared" si="4"/>
        <v>2.6414152575293999</v>
      </c>
      <c r="F70" s="128">
        <f t="shared" si="4"/>
        <v>2.888390321365776</v>
      </c>
    </row>
    <row r="71" spans="1:8" ht="13.15" x14ac:dyDescent="0.4">
      <c r="A71" s="148">
        <f t="shared" si="3"/>
        <v>30</v>
      </c>
      <c r="B71" s="128">
        <f t="shared" si="4"/>
        <v>1.9856559190196361</v>
      </c>
      <c r="C71" s="128">
        <f t="shared" si="4"/>
        <v>1.9856559190196361</v>
      </c>
      <c r="D71" s="128">
        <f t="shared" si="4"/>
        <v>2.3350759598266659</v>
      </c>
      <c r="E71" s="128">
        <f t="shared" si="4"/>
        <v>2.7517374417953699</v>
      </c>
      <c r="F71" s="128">
        <f t="shared" si="4"/>
        <v>3.0939422243571739</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0.08</v>
      </c>
      <c r="D74" s="149">
        <f>Scenarios!C55</f>
        <v>15</v>
      </c>
      <c r="E74" s="139">
        <f>INDEX(B$65:F$71, MATCH(D74, A$65:A$71, 0), MATCH(C74, B$64:F$64, 0))</f>
        <v>2.5255062264405446</v>
      </c>
      <c r="F74" s="146">
        <f>Scenarios!C58</f>
        <v>0.05</v>
      </c>
    </row>
    <row r="75" spans="1:8" x14ac:dyDescent="0.35">
      <c r="B75" s="131" t="str">
        <f>Scenarios!B36</f>
        <v>Optimistic</v>
      </c>
      <c r="C75" s="146">
        <f>Scenarios!C38</f>
        <v>0.06</v>
      </c>
      <c r="D75" s="149">
        <f>Scenarios!C37</f>
        <v>10</v>
      </c>
      <c r="E75" s="139">
        <f>INDEX(B$65:F$71, MATCH(D75, A$65:A$71, 0), MATCH(C75, B$64:F$64, 0))</f>
        <v>2.3334964417926516</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2.2457166309948113</v>
      </c>
      <c r="F76" s="146">
        <f>Scenarios!C28*(1-F$74-F$78)</f>
        <v>0.51</v>
      </c>
      <c r="H76" s="124"/>
    </row>
    <row r="77" spans="1:8" x14ac:dyDescent="0.35">
      <c r="B77" s="131" t="str">
        <f>Scenarios!B30</f>
        <v>Pessimistic</v>
      </c>
      <c r="C77" s="146">
        <f>Scenarios!C32</f>
        <v>-0.06</v>
      </c>
      <c r="D77" s="149">
        <f>Scenarios!C31</f>
        <v>10</v>
      </c>
      <c r="E77" s="139">
        <f>INDEX(B$65:F$71, MATCH(D77, A$65:A$71, 0), MATCH(C77, B$64:F$64, 0))</f>
        <v>2.1128338846262427</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2.0705031590032803</v>
      </c>
      <c r="F78" s="146">
        <f>Scenarios!C52</f>
        <v>0.1</v>
      </c>
    </row>
    <row r="79" spans="1:8" x14ac:dyDescent="0.35">
      <c r="B79" s="159"/>
      <c r="C79" s="159"/>
      <c r="D79" s="159"/>
      <c r="E79" s="159"/>
      <c r="F79" s="160"/>
    </row>
    <row r="80" spans="1:8" x14ac:dyDescent="0.35">
      <c r="B80" s="159" t="s">
        <v>337</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320</v>
      </c>
      <c r="I2" s="284"/>
    </row>
    <row r="3" spans="2:9" ht="13.15" x14ac:dyDescent="0.4">
      <c r="B3" s="163" t="s">
        <v>152</v>
      </c>
      <c r="H3" s="282">
        <v>0</v>
      </c>
      <c r="I3" s="270">
        <f>-Market_Price</f>
        <v>-2.1800000000000002</v>
      </c>
    </row>
    <row r="4" spans="2:9" x14ac:dyDescent="0.35">
      <c r="B4" s="156" t="s">
        <v>150</v>
      </c>
      <c r="C4" s="124">
        <v>3</v>
      </c>
      <c r="D4" s="124"/>
      <c r="E4" s="159" t="s">
        <v>154</v>
      </c>
      <c r="F4" s="159"/>
      <c r="H4" s="282">
        <v>1</v>
      </c>
      <c r="I4" s="270">
        <f t="shared" ref="I4:I13" si="0">IF(ROW()-3 &lt; $C$76, $C$77, IF(ROW()-3 = $C$76, $C$77 + $C$60, ""))</f>
        <v>0.1178</v>
      </c>
    </row>
    <row r="5" spans="2:9" x14ac:dyDescent="0.35">
      <c r="H5" s="282">
        <v>2</v>
      </c>
      <c r="I5" s="270">
        <f t="shared" si="0"/>
        <v>0.1178</v>
      </c>
    </row>
    <row r="6" spans="2:9" ht="13.15" x14ac:dyDescent="0.4">
      <c r="B6" s="163" t="s">
        <v>99</v>
      </c>
      <c r="C6" s="110">
        <f>Valuation_Model!C3</f>
        <v>1000</v>
      </c>
      <c r="E6" s="103" t="s">
        <v>297</v>
      </c>
      <c r="F6" s="103"/>
      <c r="H6" s="282">
        <v>3</v>
      </c>
      <c r="I6" s="270">
        <f t="shared" si="0"/>
        <v>2.3616954232004934</v>
      </c>
    </row>
    <row r="7" spans="2:9" ht="12.75" customHeight="1" x14ac:dyDescent="0.35">
      <c r="B7" s="103" t="s">
        <v>291</v>
      </c>
      <c r="C7" s="118">
        <f>Normalized_FCF!G8</f>
        <v>105154</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82">
        <v>4</v>
      </c>
      <c r="I7" s="270" t="str">
        <f t="shared" si="0"/>
        <v/>
      </c>
    </row>
    <row r="8" spans="2:9" x14ac:dyDescent="0.35">
      <c r="B8" s="103" t="s">
        <v>69</v>
      </c>
      <c r="C8" s="118">
        <f>Normalized_FCF!G19</f>
        <v>101456.09073065873</v>
      </c>
      <c r="D8" t="str">
        <f>Reporting_currency</f>
        <v>CNY</v>
      </c>
      <c r="E8" s="346"/>
      <c r="F8" s="346"/>
      <c r="H8" s="282">
        <v>5</v>
      </c>
      <c r="I8" s="270" t="str">
        <f t="shared" si="0"/>
        <v/>
      </c>
    </row>
    <row r="9" spans="2:9" x14ac:dyDescent="0.35">
      <c r="B9" s="103" t="s">
        <v>60</v>
      </c>
      <c r="C9" s="207">
        <f>Normalized_FCF!C19</f>
        <v>58578.391168071357</v>
      </c>
      <c r="D9" t="str">
        <f>Reporting_currency</f>
        <v>CNY</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-1.7248638436905273E-2</v>
      </c>
      <c r="D12" s="162"/>
      <c r="E12" s="346"/>
      <c r="F12" s="346"/>
      <c r="H12" s="282">
        <v>9</v>
      </c>
      <c r="I12" s="270" t="str">
        <f t="shared" si="0"/>
        <v/>
      </c>
    </row>
    <row r="13" spans="2:9" x14ac:dyDescent="0.35">
      <c r="B13" s="152" t="s">
        <v>156</v>
      </c>
      <c r="C13" s="162">
        <f ca="1">(Normalized_FCF!G8/OFFSET(Normalized_FCF!G8, 0, $C$4))^(1/$C$4) - 1</f>
        <v>-0.283580450424601</v>
      </c>
      <c r="E13" s="346"/>
      <c r="F13" s="346"/>
      <c r="H13" s="282">
        <v>10</v>
      </c>
      <c r="I13" s="270" t="str">
        <f t="shared" si="0"/>
        <v/>
      </c>
    </row>
    <row r="14" spans="2:9" x14ac:dyDescent="0.35">
      <c r="B14" s="103" t="s">
        <v>69</v>
      </c>
      <c r="C14" s="162">
        <f ca="1">(Normalized_FCF!G19/OFFSET(Normalized_FCF!G19, 0, $C$4))^(1/$C$4) - 1</f>
        <v>-0.29003821304292421</v>
      </c>
      <c r="E14" s="346"/>
      <c r="F14" s="346"/>
    </row>
    <row r="16" spans="2:9" ht="13.9" x14ac:dyDescent="0.45">
      <c r="B16" s="36" t="s">
        <v>166</v>
      </c>
      <c r="C16" s="37"/>
      <c r="D16" s="37"/>
      <c r="E16" s="37"/>
      <c r="F16" s="37"/>
    </row>
    <row r="17" spans="2:6" ht="13.15" x14ac:dyDescent="0.4">
      <c r="B17" s="112" t="s">
        <v>155</v>
      </c>
      <c r="E17" s="163" t="s">
        <v>358</v>
      </c>
    </row>
    <row r="18" spans="2:6" x14ac:dyDescent="0.35">
      <c r="B18" s="156" t="s">
        <v>137</v>
      </c>
      <c r="C18" s="154">
        <v>10</v>
      </c>
      <c r="E18" s="346" t="s">
        <v>359</v>
      </c>
      <c r="F18" s="347"/>
    </row>
    <row r="19" spans="2:6" x14ac:dyDescent="0.35">
      <c r="E19" s="347"/>
      <c r="F19" s="347"/>
    </row>
    <row r="20" spans="2:6" ht="13.15" x14ac:dyDescent="0.4">
      <c r="B20" s="163" t="s">
        <v>328</v>
      </c>
      <c r="E20" s="347"/>
      <c r="F20" s="347"/>
    </row>
    <row r="21" spans="2:6" x14ac:dyDescent="0.35">
      <c r="B21" s="103" t="s">
        <v>295</v>
      </c>
      <c r="C21" s="164">
        <f>Market_Price</f>
        <v>2.1800000000000002</v>
      </c>
      <c r="D21" t="str">
        <f>Market_currency</f>
        <v>HKD</v>
      </c>
      <c r="E21" s="347"/>
      <c r="F21" s="347"/>
    </row>
    <row r="22" spans="2:6" x14ac:dyDescent="0.35">
      <c r="B22" s="103" t="s">
        <v>296</v>
      </c>
      <c r="C22" s="164">
        <f>Valuation_Model!C12</f>
        <v>2.2077606861417975</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0.02</v>
      </c>
      <c r="D26" s="168"/>
      <c r="E26" s="345"/>
      <c r="F26" s="345"/>
    </row>
    <row r="27" spans="2:6" x14ac:dyDescent="0.35">
      <c r="B27" s="103" t="s">
        <v>117</v>
      </c>
      <c r="C27" s="164">
        <f>Valuation_Model!E76</f>
        <v>2.2457166309948113</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-0.06</v>
      </c>
      <c r="D32" s="168"/>
      <c r="E32" s="345"/>
      <c r="F32" s="345"/>
    </row>
    <row r="33" spans="2:6" x14ac:dyDescent="0.35">
      <c r="B33" s="103" t="s">
        <v>117</v>
      </c>
      <c r="C33" s="164">
        <f>Valuation_Model!E77</f>
        <v>2.1128338846262427</v>
      </c>
      <c r="D33" t="str">
        <f>Market_currency</f>
        <v>HKD</v>
      </c>
      <c r="E33" s="345"/>
      <c r="F33" s="345"/>
    </row>
    <row r="34" spans="2:6" x14ac:dyDescent="0.35">
      <c r="B34" s="103" t="s">
        <v>151</v>
      </c>
      <c r="C34" s="169">
        <v>0.15</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0.06</v>
      </c>
      <c r="D38" s="168"/>
      <c r="E38" s="345"/>
      <c r="F38" s="345"/>
    </row>
    <row r="39" spans="2:6" x14ac:dyDescent="0.35">
      <c r="B39" s="103" t="s">
        <v>117</v>
      </c>
      <c r="C39" s="164">
        <f>Valuation_Model!E75</f>
        <v>2.3334964417926516</v>
      </c>
      <c r="D39" t="str">
        <f>Market_currency</f>
        <v>HKD</v>
      </c>
      <c r="E39" s="345"/>
      <c r="F39" s="345"/>
    </row>
    <row r="40" spans="2:6" x14ac:dyDescent="0.35">
      <c r="B40" s="103" t="s">
        <v>151</v>
      </c>
      <c r="C40" s="171">
        <f>1-C28-C34</f>
        <v>0.25</v>
      </c>
      <c r="D40" s="169"/>
      <c r="E40" s="345"/>
      <c r="F40" s="345"/>
    </row>
    <row r="42" spans="2:6" ht="13.15" x14ac:dyDescent="0.4">
      <c r="B42" s="103" t="s">
        <v>124</v>
      </c>
      <c r="C42" s="158">
        <f>C27*C28+C33*C34+C39*C40</f>
        <v>2.2477291717389862</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-0.06</v>
      </c>
      <c r="D50" s="168"/>
      <c r="E50" s="345"/>
      <c r="F50" s="345"/>
    </row>
    <row r="51" spans="2:6" x14ac:dyDescent="0.35">
      <c r="B51" s="103" t="s">
        <v>117</v>
      </c>
      <c r="C51" s="164">
        <f>Valuation_Model!E78</f>
        <v>2.0705031590032803</v>
      </c>
      <c r="D51" t="str">
        <f>Market_currency</f>
        <v>HKD</v>
      </c>
      <c r="E51" s="345"/>
      <c r="F51" s="345"/>
    </row>
    <row r="52" spans="2:6" x14ac:dyDescent="0.35">
      <c r="B52" s="103" t="s">
        <v>151</v>
      </c>
      <c r="C52" s="169">
        <v>0.1</v>
      </c>
      <c r="D52" s="169"/>
      <c r="E52" s="345"/>
      <c r="F52" s="345"/>
    </row>
    <row r="54" spans="2:6" ht="13.15" x14ac:dyDescent="0.4">
      <c r="B54" s="163" t="s">
        <v>344</v>
      </c>
      <c r="E54" s="163" t="s">
        <v>153</v>
      </c>
      <c r="F54" s="163"/>
    </row>
    <row r="55" spans="2:6" x14ac:dyDescent="0.35">
      <c r="B55" s="156" t="s">
        <v>137</v>
      </c>
      <c r="C55" s="170">
        <f>C46</f>
        <v>15</v>
      </c>
      <c r="D55" s="167"/>
      <c r="E55" s="345"/>
      <c r="F55" s="345"/>
    </row>
    <row r="56" spans="2:6" x14ac:dyDescent="0.35">
      <c r="B56" s="122" t="s">
        <v>138</v>
      </c>
      <c r="C56" s="168">
        <v>0.08</v>
      </c>
      <c r="D56" s="168"/>
      <c r="E56" s="345"/>
      <c r="F56" s="345"/>
    </row>
    <row r="57" spans="2:6" x14ac:dyDescent="0.35">
      <c r="B57" s="103" t="s">
        <v>117</v>
      </c>
      <c r="C57" s="164">
        <f>Valuation_Model!E74</f>
        <v>2.5255062264405446</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2.2438954232004935</v>
      </c>
      <c r="D60" t="str">
        <f>Market_currency</f>
        <v>HKD</v>
      </c>
      <c r="E60" s="103" t="s">
        <v>321</v>
      </c>
      <c r="F60" s="318">
        <f>Thesis!E20</f>
        <v>3</v>
      </c>
    </row>
    <row r="62" spans="2:6" ht="13.9" x14ac:dyDescent="0.45">
      <c r="B62" s="36" t="s">
        <v>382</v>
      </c>
      <c r="C62" s="37"/>
      <c r="D62" s="37"/>
      <c r="E62" s="37"/>
      <c r="F62" s="37"/>
    </row>
    <row r="63" spans="2:6" ht="13.15" x14ac:dyDescent="0.4">
      <c r="B63" s="112" t="s">
        <v>329</v>
      </c>
      <c r="E63" s="288" t="s">
        <v>338</v>
      </c>
    </row>
    <row r="64" spans="2:6" x14ac:dyDescent="0.35">
      <c r="B64" s="156" t="s">
        <v>137</v>
      </c>
      <c r="C64" s="170">
        <v>10</v>
      </c>
      <c r="D64" s="154"/>
      <c r="E64" s="287" t="s">
        <v>339</v>
      </c>
    </row>
    <row r="65" spans="2:6" x14ac:dyDescent="0.35">
      <c r="B65" s="122" t="s">
        <v>138</v>
      </c>
      <c r="C65" s="155">
        <v>1.77907652777404E-2</v>
      </c>
      <c r="D65" s="155"/>
      <c r="E65" s="287" t="s">
        <v>340</v>
      </c>
    </row>
    <row r="66" spans="2:6" x14ac:dyDescent="0.35">
      <c r="B66" s="103" t="s">
        <v>106</v>
      </c>
      <c r="C66" s="164">
        <f>Valuation_Model!C18</f>
        <v>2.2413448701452832</v>
      </c>
      <c r="D66" s="164" t="str">
        <f>Market_currency</f>
        <v>HKD</v>
      </c>
      <c r="E66" s="287" t="s">
        <v>341</v>
      </c>
    </row>
    <row r="68" spans="2:6" ht="13.15" x14ac:dyDescent="0.4">
      <c r="B68" s="112" t="s">
        <v>383</v>
      </c>
      <c r="E68" s="288" t="s">
        <v>342</v>
      </c>
    </row>
    <row r="69" spans="2:6" x14ac:dyDescent="0.35">
      <c r="B69" s="103" t="s">
        <v>330</v>
      </c>
      <c r="C69" s="279" t="str">
        <f>IF(C60&lt;C22,"Y","N")</f>
        <v>N</v>
      </c>
      <c r="E69" s="138"/>
    </row>
    <row r="70" spans="2:6" x14ac:dyDescent="0.35">
      <c r="B70" s="103" t="s">
        <v>318</v>
      </c>
      <c r="C70" s="279" t="str">
        <f>IF(C69="Y","N",IF(C65&gt;8%,"N","Y"))</f>
        <v>Y</v>
      </c>
      <c r="E70" s="287" t="s">
        <v>319</v>
      </c>
    </row>
    <row r="71" spans="2:6" x14ac:dyDescent="0.35">
      <c r="B71" s="103" t="s">
        <v>317</v>
      </c>
      <c r="C71" s="279" t="str">
        <f>IF(C65&gt;8%,"Y","N")</f>
        <v>N</v>
      </c>
      <c r="E71" s="287"/>
    </row>
    <row r="72" spans="2:6" x14ac:dyDescent="0.35">
      <c r="B72" s="103" t="s">
        <v>309</v>
      </c>
      <c r="C72" s="278" t="str">
        <f>IF(F72&gt;50%,"Y","N")</f>
        <v>Y</v>
      </c>
      <c r="E72" s="138" t="s">
        <v>379</v>
      </c>
      <c r="F72" s="335">
        <f>BS!D89/C60</f>
        <v>0.72188968925719621</v>
      </c>
    </row>
    <row r="74" spans="2:6" ht="13.9" x14ac:dyDescent="0.45">
      <c r="B74" s="36" t="s">
        <v>131</v>
      </c>
      <c r="C74" s="37"/>
      <c r="D74" s="37"/>
      <c r="E74" s="37"/>
      <c r="F74" s="37"/>
    </row>
    <row r="75" spans="2:6" ht="13.15" x14ac:dyDescent="0.4">
      <c r="B75" s="112" t="s">
        <v>129</v>
      </c>
    </row>
    <row r="76" spans="2:6" x14ac:dyDescent="0.35">
      <c r="B76" s="281" t="s">
        <v>322</v>
      </c>
      <c r="C76" s="280">
        <f>F60</f>
        <v>3</v>
      </c>
      <c r="D76" s="138"/>
    </row>
    <row r="77" spans="2:6" x14ac:dyDescent="0.35">
      <c r="B77" s="103" t="s">
        <v>115</v>
      </c>
      <c r="C77" s="177">
        <f>Normalized_FCF!C90</f>
        <v>0.1178</v>
      </c>
      <c r="D77" t="str">
        <f>Market_currency</f>
        <v>HKD</v>
      </c>
    </row>
    <row r="79" spans="2:6" ht="13.15" x14ac:dyDescent="0.4">
      <c r="B79" s="112" t="s">
        <v>326</v>
      </c>
    </row>
    <row r="80" spans="2:6" x14ac:dyDescent="0.35">
      <c r="B80" s="152" t="s">
        <v>324</v>
      </c>
      <c r="C80" s="171">
        <f>Thesis!C121</f>
        <v>0.2</v>
      </c>
    </row>
    <row r="81" spans="2:8" x14ac:dyDescent="0.35">
      <c r="B81" s="103" t="s">
        <v>125</v>
      </c>
      <c r="C81" s="120">
        <f>PV(C80, C76, -C77, 0)</f>
        <v>0.24814351851851849</v>
      </c>
      <c r="D81" s="120"/>
      <c r="E81" s="103"/>
      <c r="F81" s="103"/>
    </row>
    <row r="82" spans="2:8" x14ac:dyDescent="0.35">
      <c r="B82" s="103" t="s">
        <v>126</v>
      </c>
      <c r="C82" s="120">
        <f>C60/(1+C80)^C76</f>
        <v>1.2985505921299152</v>
      </c>
      <c r="D82" s="120"/>
    </row>
    <row r="83" spans="2:8" ht="13.15" x14ac:dyDescent="0.4">
      <c r="B83" s="114" t="s">
        <v>105</v>
      </c>
      <c r="C83" s="115">
        <f>C81+C82</f>
        <v>1.5466941106484338</v>
      </c>
      <c r="D83" t="str">
        <f>Market_currency</f>
        <v>HKD</v>
      </c>
      <c r="E83" s="150" t="s">
        <v>130</v>
      </c>
      <c r="F83" s="335">
        <f>(1-C83/C60)</f>
        <v>0.31071025206586211</v>
      </c>
    </row>
    <row r="84" spans="2:8" x14ac:dyDescent="0.35">
      <c r="E84" s="124"/>
    </row>
    <row r="85" spans="2:8" ht="13.15" x14ac:dyDescent="0.4">
      <c r="B85" s="112" t="s">
        <v>327</v>
      </c>
    </row>
    <row r="86" spans="2:8" x14ac:dyDescent="0.35">
      <c r="B86" s="152" t="s">
        <v>325</v>
      </c>
      <c r="C86" s="272">
        <f>Market_Price</f>
        <v>2.1800000000000002</v>
      </c>
      <c r="D86" t="str">
        <f>Market_currency</f>
        <v>HKD</v>
      </c>
    </row>
    <row r="87" spans="2:8" ht="13.15" x14ac:dyDescent="0.4">
      <c r="B87" s="103" t="s">
        <v>323</v>
      </c>
      <c r="C87" s="271">
        <f ca="1">IRR(OFFSET($I$3, 0, 0, $C$76 + 1, 1))</f>
        <v>6.3214262000776955E-2</v>
      </c>
    </row>
    <row r="88" spans="2:8" x14ac:dyDescent="0.35">
      <c r="B88" s="103"/>
    </row>
    <row r="89" spans="2:8" ht="14.65" x14ac:dyDescent="0.5">
      <c r="E89" s="326" t="s">
        <v>353</v>
      </c>
      <c r="F89" s="323"/>
      <c r="G89" s="2"/>
      <c r="H89" s="322"/>
    </row>
    <row r="90" spans="2:8" ht="13.9" x14ac:dyDescent="0.45">
      <c r="E90" s="319" t="s">
        <v>354</v>
      </c>
      <c r="F90" s="324" t="s">
        <v>355</v>
      </c>
      <c r="G90" s="2"/>
      <c r="H90" s="322"/>
    </row>
    <row r="91" spans="2:8" ht="13.9" x14ac:dyDescent="0.45">
      <c r="E91" s="320" t="s">
        <v>354</v>
      </c>
      <c r="F91" s="324" t="s">
        <v>356</v>
      </c>
      <c r="G91" s="2"/>
      <c r="H91" s="322"/>
    </row>
    <row r="92" spans="2:8" ht="13.9" x14ac:dyDescent="0.45">
      <c r="E92" s="321" t="s">
        <v>354</v>
      </c>
      <c r="F92" s="325" t="s">
        <v>357</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2025-03-28T01:55:12Z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