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EF51E3-673A-4FAD-B534-4C304DF5000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<sst xmlns="http://schemas.openxmlformats.org/spreadsheetml/2006/main" count="686" uniqueCount="466">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</sst>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3.05</v>
      </c>
      <c r="D12" s="50"/>
      <c r="E12" s="48"/>
    </row>
    <row r="13" spans="1:10">
      <c r="B13" s="1" t="s">
        <v>413</v>
      </c>
      <c r="C13" s="48" t="s">
        <v>393</v>
      </c>
      <c r="D13" s="48"/>
      <c r="E13" s="5"/>
    </row>
    <row r="14" spans="1:10">
      <c r="B14" s="4" t="s">
        <v>417</v>
      </c>
      <c r="C14" s="35">
        <f>Thesis!C12*Common_Shares/1000000</f>
        <v>4066.667175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1.0924694399999999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2.834405410270775</v>
      </c>
      <c r="D26" s="1" t="s">
        <v>396</v>
      </c>
      <c r="E26" s="301">
        <f ca="1">Scenarios!C87</f>
        <v>1.3364148859083436E-2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1.2936730592460099</v>
      </c>
      <c r="D29" s="310" t="str">
        <f>D149</f>
        <v/>
      </c>
      <c r="E29" s="306" t="s">
        <v>421</v>
      </c>
      <c r="F29" s="302">
        <v>0.3674</v>
      </c>
    </row>
    <row r="30" spans="2:6">
      <c r="B30" s="1" t="s">
        <v>423</v>
      </c>
      <c r="C30" s="311">
        <f>C157</f>
        <v>1.7999246138655851</v>
      </c>
      <c r="D30" s="311" t="str">
        <f>D157</f>
        <v/>
      </c>
      <c r="E30" s="307" t="s">
        <v>434</v>
      </c>
      <c r="F30" s="312">
        <v>0.21740000000000001</v>
      </c>
    </row>
    <row r="31" spans="2:6">
      <c r="B31" s="1" t="s">
        <v>424</v>
      </c>
      <c r="C31" s="311">
        <f>C165</f>
        <v>2.5719946758323902</v>
      </c>
      <c r="D31" s="311" t="str">
        <f>D165</f>
        <v/>
      </c>
      <c r="E31" s="307" t="s">
        <v>433</v>
      </c>
      <c r="F31" s="312">
        <v>7.4999999999999997E-2</v>
      </c>
    </row>
    <row r="32" spans="2:6">
      <c r="B32" s="1" t="s">
        <v>425</v>
      </c>
      <c r="C32" s="311">
        <f>C173</f>
        <v>2.3010136227530928</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25018.849585234373</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23138.849585234373</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-34228.944981972381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133756.84958523436</v>
      </c>
      <c r="D67" s="1" t="str">
        <f>Reporting_currency</f>
        <v>CNY</v>
      </c>
    </row>
    <row r="68" spans="1:6">
      <c r="B68" s="47" t="s">
        <v>247</v>
      </c>
      <c r="C68" s="349">
        <f>Normalized_FCF!C19</f>
        <v>102686.83494591714</v>
      </c>
      <c r="D68" s="1" t="str">
        <f>Reporting_currency</f>
        <v>CNY</v>
      </c>
    </row>
    <row r="69" spans="1:6">
      <c r="B69" s="227" t="s">
        <v>387</v>
      </c>
      <c r="C69" s="92">
        <f>Normalized_FCF!C126</f>
        <v>2.7585790585072534E-2</v>
      </c>
      <c r="F69" s="314"/>
    </row>
    <row r="70" spans="1:6">
      <c r="B70" s="227" t="s">
        <v>455</v>
      </c>
      <c r="C70" s="92">
        <f>Normalized_FCF!C94</f>
        <v>3.6614296506088079E-2</v>
      </c>
      <c r="E70" s="47" t="s">
        <v>445</v>
      </c>
      <c r="F70" s="315">
        <f>Normalized_FCF!C92</f>
        <v>1.450021882702363</v>
      </c>
    </row>
    <row r="72" spans="1:6">
      <c r="B72" s="210" t="s">
        <v>448</v>
      </c>
      <c r="C72" s="323" t="s">
        <v>450</v>
      </c>
      <c r="D72" s="323" t="s">
        <v>451</v>
      </c>
    </row>
    <row r="73" spans="1:6">
      <c r="B73" s="47" t="s">
        <v>449</v>
      </c>
      <c r="C73" s="92">
        <f>Normalized_FCF!C121</f>
        <v>4.3343881533167553E-2</v>
      </c>
      <c r="D73" s="92">
        <f>Normalized_FCF!G121</f>
        <v>5.7308268826847177E-2</v>
      </c>
    </row>
    <row r="74" spans="1:6">
      <c r="B74" s="259" t="str">
        <f>Normalized_FCF!B118</f>
        <v>Pre-tax Profit/Sales</v>
      </c>
      <c r="C74" s="322">
        <f>Normalized_FCF!C118</f>
        <v>8.412935128398065E-2</v>
      </c>
      <c r="D74" s="322">
        <f>Normalized_FCF!G118</f>
        <v>9.945939998353634E-2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1.1218221504596166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2.785714788577651E-2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1876357.5529694813</v>
      </c>
      <c r="D109" s="1" t="str">
        <f>Reporting_currency</f>
        <v>CNY</v>
      </c>
    </row>
    <row r="110" spans="2:6">
      <c r="B110" s="47" t="s">
        <v>281</v>
      </c>
      <c r="C110" s="223">
        <f>C109*scaling_factor*Exchange_Rate/Common_Shares</f>
        <v>1.5373972716745954</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0.18811510246802013</v>
      </c>
      <c r="D114" s="1" t="str">
        <f>Market_currency</f>
        <v>HKD</v>
      </c>
    </row>
    <row r="116" spans="1:6" ht="24.6" customHeight="1">
      <c r="B116" s="360" t="s">
        <v>363</v>
      </c>
      <c r="C116" s="360"/>
      <c r="D116" s="360"/>
      <c r="E116" s="360"/>
      <c r="F116" s="360"/>
    </row>
    <row r="118" spans="1:6">
      <c r="B118" s="47" t="s">
        <v>446</v>
      </c>
      <c r="C118" s="223">
        <f>IF(valuation_method="DCF",DCF!C12,DDM!C7)</f>
        <v>2.8194773767164563</v>
      </c>
      <c r="D118" s="1" t="str">
        <f>Market_currency</f>
        <v>HKD</v>
      </c>
    </row>
    <row r="119" spans="1:6">
      <c r="B119" s="296" t="s">
        <v>402</v>
      </c>
      <c r="C119" s="223">
        <f>BS!D47</f>
        <v>1.910388698713005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2.834405410270775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0.11167360434356864</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0.18507212152544308</v>
      </c>
    </row>
    <row r="148" spans="2:4">
      <c r="B148" s="212" t="str">
        <f>"+ PV(Equity Value realized at year "&amp;C141&amp;")"</f>
        <v>+ PV(Equity Value realized at year 3)</v>
      </c>
      <c r="C148" s="216">
        <f>Scenarios!C82</f>
        <v>1.1086009377205668</v>
      </c>
    </row>
    <row r="149" spans="2:4">
      <c r="B149" s="80" t="s">
        <v>259</v>
      </c>
      <c r="C149" s="215">
        <f>Scenarios!C83</f>
        <v>1.2936730592460099</v>
      </c>
      <c r="D149" s="300" t="str">
        <f>IF($D$11="","",C149*$E$25)</f>
        <v/>
      </c>
    </row>
    <row r="150" spans="2:4">
      <c r="B150" s="259" t="s">
        <v>413</v>
      </c>
      <c r="C150" s="298" t="str">
        <f>Market_currency</f>
        <v>HKD</v>
      </c>
      <c r="D150" s="298" t="str">
        <f>IF($D$11="","",D$13)</f>
        <v/>
      </c>
    </row>
    <row r="151" spans="2:4">
      <c r="B151" s="214" t="s">
        <v>261</v>
      </c>
      <c r="C151" s="92">
        <f>Scenarios!F83</f>
        <v>0.54358220790919831</v>
      </c>
    </row>
    <row r="153" spans="2:4">
      <c r="B153" s="210" t="s">
        <v>408</v>
      </c>
    </row>
    <row r="154" spans="2:4">
      <c r="B154" s="1" t="s">
        <v>407</v>
      </c>
      <c r="C154" s="297">
        <f>Scenarios!C90</f>
        <v>0.21740000000000001</v>
      </c>
    </row>
    <row r="155" spans="2:4">
      <c r="B155" s="212" t="str">
        <f>"PV("&amp;C141&amp;" yrs of Dividends)"</f>
        <v>PV(3 yrs of Dividends)</v>
      </c>
      <c r="C155" s="216">
        <f>Scenarios!C91</f>
        <v>0.22897565035002013</v>
      </c>
    </row>
    <row r="156" spans="2:4">
      <c r="B156" s="212" t="str">
        <f>"+ PV(Equity Value realized at year "&amp;C141&amp;")"</f>
        <v>+ PV(Equity Value realized at year 3)</v>
      </c>
      <c r="C156" s="216">
        <f>Scenarios!C92</f>
        <v>1.5709489635155649</v>
      </c>
    </row>
    <row r="157" spans="2:4">
      <c r="B157" s="80" t="s">
        <v>259</v>
      </c>
      <c r="C157" s="215">
        <f>Scenarios!C93</f>
        <v>1.7999246138655851</v>
      </c>
      <c r="D157" s="300" t="str">
        <f>IF($D$11="","",C157*$E$25)</f>
        <v/>
      </c>
    </row>
    <row r="158" spans="2:4">
      <c r="B158" s="259" t="s">
        <v>413</v>
      </c>
      <c r="C158" s="298" t="str">
        <f>Market_currency</f>
        <v>HKD</v>
      </c>
      <c r="D158" s="298" t="str">
        <f>IF($D$11="","",D$13)</f>
        <v/>
      </c>
    </row>
    <row r="159" spans="2:4">
      <c r="B159" s="214" t="s">
        <v>261</v>
      </c>
      <c r="C159" s="92">
        <f>Scenarios!F93</f>
        <v>0.36497277088755076</v>
      </c>
    </row>
    <row r="161" spans="2:4">
      <c r="B161" s="210" t="s">
        <v>397</v>
      </c>
    </row>
    <row r="162" spans="2:4">
      <c r="B162" s="1" t="s">
        <v>406</v>
      </c>
      <c r="C162" s="92">
        <f>Scenarios!C96</f>
        <v>7.4999999999999997E-2</v>
      </c>
    </row>
    <row r="163" spans="2:4">
      <c r="B163" s="212" t="str">
        <f>"PV("&amp;C141&amp;" yrs of Dividends)"</f>
        <v>PV(3 yrs of Dividends)</v>
      </c>
      <c r="C163" s="216">
        <f>Scenarios!C97</f>
        <v>0.29041008255972733</v>
      </c>
    </row>
    <row r="164" spans="2:4">
      <c r="B164" s="212" t="str">
        <f>"+ PV(Equity Value realized at year "&amp;C141&amp;")"</f>
        <v>+ PV(Equity Value realized at year 3)</v>
      </c>
      <c r="C164" s="216">
        <f>Scenarios!C98</f>
        <v>2.2815845932726631</v>
      </c>
    </row>
    <row r="165" spans="2:4">
      <c r="B165" s="80" t="s">
        <v>398</v>
      </c>
      <c r="C165" s="215">
        <f>Scenarios!C99</f>
        <v>2.5719946758323902</v>
      </c>
      <c r="D165" s="300" t="str">
        <f>IF($D$11="","",C165*$E$25)</f>
        <v/>
      </c>
    </row>
    <row r="166" spans="2:4">
      <c r="B166" s="259" t="s">
        <v>413</v>
      </c>
      <c r="C166" s="298" t="str">
        <f>Market_currency</f>
        <v>HKD</v>
      </c>
      <c r="D166" s="298" t="str">
        <f>IF($D$11="","",D$13)</f>
        <v/>
      </c>
    </row>
    <row r="167" spans="2:4">
      <c r="B167" s="214" t="s">
        <v>261</v>
      </c>
      <c r="C167" s="92">
        <f>Scenarios!F99</f>
        <v>9.2580522704166168E-2</v>
      </c>
    </row>
    <row r="169" spans="2:4">
      <c r="B169" s="210" t="s">
        <v>429</v>
      </c>
    </row>
    <row r="170" spans="2:4">
      <c r="B170" s="1" t="s">
        <v>420</v>
      </c>
      <c r="C170" s="92">
        <f>F32</f>
        <v>0.1174</v>
      </c>
    </row>
    <row r="171" spans="2:4">
      <c r="B171" s="212" t="str">
        <f>"PV("&amp;C141&amp;" yrs of Dividends)"</f>
        <v>PV(3 yrs of Dividends)</v>
      </c>
      <c r="C171" s="216">
        <f>Scenarios!C103</f>
        <v>0.26942408692412961</v>
      </c>
    </row>
    <row r="172" spans="2:4">
      <c r="B172" s="212" t="str">
        <f>"+ PV(Equity Value realized at year "&amp;C141&amp;")"</f>
        <v>+ PV(Equity Value realized at year 3)</v>
      </c>
      <c r="C172" s="216">
        <f>Scenarios!C104</f>
        <v>2.0315895358289633</v>
      </c>
    </row>
    <row r="173" spans="2:4">
      <c r="B173" s="80" t="s">
        <v>398</v>
      </c>
      <c r="C173" s="215">
        <f>Scenarios!C105</f>
        <v>2.3010136227530928</v>
      </c>
      <c r="D173" s="300" t="str">
        <f>IF($D$11="","",C173*$E$25)</f>
        <v/>
      </c>
    </row>
    <row r="174" spans="2:4">
      <c r="B174" s="259" t="s">
        <v>413</v>
      </c>
      <c r="C174" s="298" t="str">
        <f>Market_currency</f>
        <v>HKD</v>
      </c>
      <c r="D174" s="298" t="str">
        <f>IF($D$11="","",D$13)</f>
        <v/>
      </c>
    </row>
    <row r="175" spans="2:4">
      <c r="B175" s="214" t="s">
        <v>261</v>
      </c>
      <c r="C175" s="92">
        <f>Scenarios!F105</f>
        <v>0.19235781613559932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0.11167360434356864</v>
      </c>
      <c r="D25" s="39">
        <f>(0.064+0.041)/Exchange_Rate</f>
        <v>9.6112528328481231E-2</v>
      </c>
      <c r="E25" s="39">
        <f>(0.022+0.0168)/Exchange_Rate</f>
        <v>3.5515867610905444E-2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0.11167360434356864</v>
      </c>
      <c r="D65" s="73">
        <f t="shared" ref="D65:M65" si="33">IF(D$4="","",D25)</f>
        <v>9.6112528328481231E-2</v>
      </c>
      <c r="E65" s="73">
        <f t="shared" si="33"/>
        <v>3.5515867610905444E-2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2.5895406219933421</v>
      </c>
      <c r="D47" s="147">
        <f>D46*H1/Common_Shares*Exchange_Rate</f>
        <v>1.910388698713005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1876357.5529694813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-150926.51314475213</v>
      </c>
      <c r="D73" s="349">
        <f>(Normalized_FCF!C25+Normalized_FCF!C35-Normalized_FCF!C91)/12</f>
        <v>-138547.07450508644</v>
      </c>
      <c r="F73" s="1" t="s">
        <v>348</v>
      </c>
    </row>
    <row r="74" spans="2:6" ht="15" customHeight="1">
      <c r="B74" s="257" t="s">
        <v>318</v>
      </c>
      <c r="C74" s="258">
        <f>-$C$66/C73</f>
        <v>17.940121610065486</v>
      </c>
      <c r="D74" s="258">
        <f>-$C$66/D73</f>
        <v>19.543104823195637</v>
      </c>
      <c r="F74" s="253" t="s">
        <v>316</v>
      </c>
    </row>
    <row r="75" spans="2:6" ht="15" customHeight="1">
      <c r="B75" s="80" t="s">
        <v>317</v>
      </c>
      <c r="C75" s="320"/>
      <c r="D75" s="321">
        <f>MAX(-D73*D76,G5)</f>
        <v>831282.44703051867</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-37142.868490559995</v>
      </c>
      <c r="D86" s="223">
        <f>C86*scaling_factor/Common_Shares</f>
        <v>-2.785714788577651E-2</v>
      </c>
      <c r="E86" s="240" t="str">
        <f>Market_currency</f>
        <v>HKD</v>
      </c>
    </row>
    <row r="87" spans="2:8" ht="15" customHeight="1">
      <c r="B87" s="238" t="s">
        <v>286</v>
      </c>
      <c r="C87" s="76">
        <f>DCF!C8*Exchange_Rate</f>
        <v>2049863.2851323395</v>
      </c>
      <c r="D87" s="223">
        <f>C87*scaling_factor/Common_Shares</f>
        <v>1.5373972716745956</v>
      </c>
      <c r="E87" s="240" t="str">
        <f>Market_currency</f>
        <v>HKD</v>
      </c>
    </row>
    <row r="88" spans="2:8" ht="15" customHeight="1">
      <c r="B88" s="239" t="s">
        <v>188</v>
      </c>
      <c r="C88" s="76">
        <f>DCF!C9*Exchange_Rate</f>
        <v>250820.16797654395</v>
      </c>
      <c r="D88" s="223">
        <f>C88*scaling_factor/Common_Shares</f>
        <v>0.18811510246802013</v>
      </c>
      <c r="E88" s="240" t="str">
        <f>Market_currency</f>
        <v>HKD</v>
      </c>
    </row>
    <row r="89" spans="2:8" ht="15" customHeight="1">
      <c r="B89" s="80" t="s">
        <v>290</v>
      </c>
      <c r="C89" s="180">
        <f>SUM(C86:C88)</f>
        <v>2263540.5846183235</v>
      </c>
      <c r="D89" s="242">
        <f>SUM(D86:D88)</f>
        <v>1.6976552262568392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23138.849585234373</v>
      </c>
      <c r="E12" s="268"/>
      <c r="G12" s="328">
        <f>G50</f>
        <v>23138.849585234369</v>
      </c>
      <c r="H12" s="328">
        <f t="shared" ref="H12:Q12" si="6">H50</f>
        <v>21656.142649350513</v>
      </c>
      <c r="I12" s="328">
        <f t="shared" si="6"/>
        <v>13060.069157212192</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136915.77992788953</v>
      </c>
      <c r="E13" s="268"/>
      <c r="G13" s="329">
        <f>IF(G$4="","",SUM(G8:G12))</f>
        <v>181026.84958523436</v>
      </c>
      <c r="H13" s="329">
        <f t="shared" ref="H13:Q13" si="7">IF(H$4="","",SUM(H8:H12))</f>
        <v>147472.14264935051</v>
      </c>
      <c r="I13" s="329">
        <f t="shared" si="7"/>
        <v>35758.069157212194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-34228.944981972381</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102686.83494591714</v>
      </c>
      <c r="D16" s="61"/>
      <c r="E16" s="276"/>
      <c r="F16" s="61"/>
      <c r="G16" s="329">
        <f>IF(G$4="","",SUM(G13:G15))</f>
        <v>133756.84958523436</v>
      </c>
      <c r="H16" s="329">
        <f t="shared" ref="H16:Q16" si="8">IF(H$4="","",SUM(H13:H15))</f>
        <v>103023.14264935051</v>
      </c>
      <c r="I16" s="329">
        <f t="shared" si="8"/>
        <v>14741.069157212194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102686.83494591714</v>
      </c>
      <c r="D19" s="27"/>
      <c r="E19" s="265"/>
      <c r="F19" s="27"/>
      <c r="G19" s="334">
        <f>IF(G$4="","",G16+G17)</f>
        <v>133756.84958523436</v>
      </c>
      <c r="H19" s="334">
        <f t="shared" ref="H19:Q19" si="9">IF(H$4="","",H16+H17)</f>
        <v>103023.14264935051</v>
      </c>
      <c r="I19" s="334">
        <f t="shared" si="9"/>
        <v>14741.069157212194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0.26112148616795916</v>
      </c>
      <c r="H43" s="6">
        <f t="shared" si="18"/>
        <v>0.35051612648136748</v>
      </c>
      <c r="I43" s="6">
        <f t="shared" si="18"/>
        <v>1.3779769671488649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25018.849585234373</v>
      </c>
      <c r="E48" s="268"/>
      <c r="G48" s="337">
        <f>IFERROR(IF(G$4="","",($C$48/$C$49)*G49),0)</f>
        <v>25018.849585234369</v>
      </c>
      <c r="H48" s="337">
        <f t="shared" ref="H48:Q48" si="19">IFERROR(IF(H$4="","",($C$48/$C$49)*H49),0)</f>
        <v>22659.142649350513</v>
      </c>
      <c r="I48" s="337">
        <f t="shared" si="19"/>
        <v>13923.069157212192</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23138.849585234373</v>
      </c>
      <c r="E50" s="268"/>
      <c r="G50" s="329">
        <f>IF(G$4="","",(G47+G48))</f>
        <v>23138.849585234369</v>
      </c>
      <c r="H50" s="329">
        <f t="shared" ref="H50:Q50" si="20">IF(H$4="","",(H47+H48))</f>
        <v>21656.142649350513</v>
      </c>
      <c r="I50" s="329">
        <f t="shared" si="20"/>
        <v>13060.069157212192</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1.4217911230455927E-2</v>
      </c>
      <c r="D80" s="27"/>
      <c r="E80" s="265"/>
      <c r="F80" s="27"/>
      <c r="G80" s="6">
        <f t="shared" ref="G80:Q80" si="31">IF(G$4="","",ABS(G12/G$4))</f>
        <v>1.2712899226438415E-2</v>
      </c>
      <c r="H80" s="6">
        <f t="shared" si="31"/>
        <v>1.3404520745953023E-2</v>
      </c>
      <c r="I80" s="6">
        <f t="shared" si="31"/>
        <v>9.0278764675144653E-3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8.412935128398065E-2</v>
      </c>
      <c r="D81" s="27"/>
      <c r="E81" s="265"/>
      <c r="F81" s="27"/>
      <c r="G81" s="65">
        <f t="shared" ref="G81:Q81" si="32">IF(G$4="","",G13/G$4)</f>
        <v>9.945939998353634E-2</v>
      </c>
      <c r="H81" s="65">
        <f t="shared" si="32"/>
        <v>9.1280955597724978E-2</v>
      </c>
      <c r="I81" s="65">
        <f t="shared" si="32"/>
        <v>2.4718049129922065E-2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2.1032337820995162E-2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6.3097013462985491E-2</v>
      </c>
      <c r="D84" s="27"/>
      <c r="E84" s="265"/>
      <c r="F84" s="27"/>
      <c r="G84" s="65">
        <f t="shared" ref="G84:Q84" si="35">IF(G$4="","",ABS(G16/G$4))</f>
        <v>7.3488413646461831E-2</v>
      </c>
      <c r="H84" s="65">
        <f t="shared" si="35"/>
        <v>6.376832085551086E-2</v>
      </c>
      <c r="I84" s="65">
        <f t="shared" si="35"/>
        <v>1.0189881060232202E-2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6.3097013462985491E-2</v>
      </c>
      <c r="D87" s="75"/>
      <c r="E87" s="265"/>
      <c r="F87" s="75"/>
      <c r="G87" s="65">
        <f t="shared" ref="G87:Q87" si="36">IF(G$4="","",ABS(G19/G$4))</f>
        <v>7.3488413646461831E-2</v>
      </c>
      <c r="H87" s="65">
        <f t="shared" si="36"/>
        <v>6.376832085551086E-2</v>
      </c>
      <c r="I87" s="65">
        <f t="shared" si="36"/>
        <v>1.0189881060232202E-2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0.11167360434356864</v>
      </c>
      <c r="E90" s="268"/>
      <c r="G90" s="112">
        <f>Data!C65</f>
        <v>0.11167360434356864</v>
      </c>
      <c r="H90" s="112">
        <f>Data!D65</f>
        <v>9.6112528328481231E-2</v>
      </c>
      <c r="I90" s="112">
        <f>Data!E65</f>
        <v>3.5515867610905444E-2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148898.15773702558</v>
      </c>
      <c r="E91" s="268"/>
      <c r="G91" s="74">
        <f t="shared" ref="G91:Q91" si="37">IF(G$4="","",G90*Common_Shares/scaling_factor)</f>
        <v>148898.15773702558</v>
      </c>
      <c r="H91" s="74">
        <f t="shared" si="37"/>
        <v>128150.05379006303</v>
      </c>
      <c r="I91" s="74">
        <f t="shared" si="37"/>
        <v>47354.496067185195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1.450021882702363</v>
      </c>
      <c r="E92" s="268"/>
      <c r="G92" s="170">
        <f t="shared" ref="G92:Q92" si="38">IF(G$4="","",G90/(G19*scaling_factor/Common_Shares))</f>
        <v>1.1132002450621616</v>
      </c>
      <c r="H92" s="170">
        <f t="shared" si="38"/>
        <v>1.24389579364934</v>
      </c>
      <c r="I92" s="170">
        <f t="shared" si="38"/>
        <v>3.2124193681037445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3.6614296506088079E-2</v>
      </c>
      <c r="E94" s="268"/>
      <c r="G94" s="23">
        <f t="shared" ref="G94:Q94" si="39">IF(G$4="","",(G90*(1-dividend_tax_rate))/Market_Price)</f>
        <v>3.6614296506088079E-2</v>
      </c>
      <c r="H94" s="23">
        <f t="shared" si="39"/>
        <v>3.1512304369993846E-2</v>
      </c>
      <c r="I94" s="23">
        <f t="shared" si="39"/>
        <v>1.1644546757673917E-2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-0.24367142088817972</v>
      </c>
      <c r="D98" s="27"/>
      <c r="E98" s="265"/>
      <c r="F98" s="27"/>
      <c r="G98" s="6">
        <f t="shared" ref="G98:Q98" si="41">IF(H5="","",G13/H13-1)</f>
        <v>0.22753251111071204</v>
      </c>
      <c r="H98" s="6">
        <f t="shared" si="41"/>
        <v>3.1241640313681822</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8.412935128398065E-2</v>
      </c>
      <c r="E118" s="268"/>
      <c r="G118" s="23">
        <f t="shared" ref="G118:Q118" si="45">IF(G4="","",IF(valuation_method="DDM",G13/(G4+G12),G81))</f>
        <v>9.945939998353634E-2</v>
      </c>
      <c r="H118" s="23">
        <f t="shared" si="45"/>
        <v>9.1280955597724978E-2</v>
      </c>
      <c r="I118" s="23">
        <f t="shared" si="45"/>
        <v>2.4718049129922065E-2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4.3343881533167553E-2</v>
      </c>
      <c r="D121" s="103"/>
      <c r="E121" s="271"/>
      <c r="F121" s="103"/>
      <c r="G121" s="102">
        <f t="shared" ref="G121:Q121" si="48">IF(G$4="","",G13/G106)</f>
        <v>5.7308268826847177E-2</v>
      </c>
      <c r="H121" s="102">
        <f t="shared" si="48"/>
        <v>4.8714211463364125E-2</v>
      </c>
      <c r="I121" s="102">
        <f t="shared" si="48"/>
        <v>1.2659659515087686E-2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8.4136661284471226E-2</v>
      </c>
      <c r="D125" s="27"/>
      <c r="E125" s="265"/>
      <c r="F125" s="27"/>
      <c r="G125" s="177">
        <f t="shared" ref="G125:Q125" si="49">IF(G$4="","",G16*$C$3/Common_Shares*Exchange_Rate)</f>
        <v>0.1095939392226665</v>
      </c>
      <c r="H125" s="177">
        <f t="shared" si="49"/>
        <v>8.4412215666355095E-2</v>
      </c>
      <c r="I125" s="177">
        <f t="shared" si="49"/>
        <v>1.2078124165620135E-2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2.7585790585072534E-2</v>
      </c>
      <c r="D126" s="27"/>
      <c r="E126" s="265"/>
      <c r="F126" s="27"/>
      <c r="G126" s="77">
        <f t="shared" ref="G126" si="50">IF(G$4="","",G125/Market_Price)</f>
        <v>3.5932439089398853E-2</v>
      </c>
      <c r="H126" s="77">
        <f t="shared" ref="H126" si="51">IF(H$4="","",H125/Market_Price)</f>
        <v>2.7676136284050853E-2</v>
      </c>
      <c r="I126" s="77">
        <f t="shared" ref="I126" si="52">IF(I$4="","",I125/Market_Price)</f>
        <v>3.960040710039389E-3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4.8012043178822475E-2</v>
      </c>
      <c r="H127" s="23">
        <f>IF(H$4="","",(Data!D47*$C$3)/(Market_Price*Common_Shares))</f>
        <v>4.2495978294560088E-2</v>
      </c>
      <c r="I127" s="23">
        <f>IF(I$4="","",(Data!E47*$C$3)/(Market_Price*Common_Shares))</f>
        <v>1.6095735692951071E-2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102686.83494591714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1369157.7992788954</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1876357.5529694813</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3441106.4522483768</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2.8194773767164563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2.8490508157253736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103567.67249930232</v>
      </c>
      <c r="D21" s="138">
        <f>IF($C$17&lt;B21,0,DCF!$C$16)</f>
        <v>8.5779014792802307E-3</v>
      </c>
      <c r="E21" s="124">
        <f t="shared" ref="E21:E50" si="0">IF($C$17&lt;B21,0,1/(1+Equity_Cost)^B21)</f>
        <v>0.93023255813953487</v>
      </c>
      <c r="F21" s="125">
        <f t="shared" ref="F21:F51" si="1">C21*E21</f>
        <v>96342.020929583552</v>
      </c>
      <c r="H21" s="120"/>
    </row>
    <row r="22" spans="2:17">
      <c r="B22" s="122">
        <v>2</v>
      </c>
      <c r="C22" s="123">
        <f t="shared" ref="C22:C50" si="2">IF(ROW()-ROW($C$21)&lt;$C$17, $C$21*(1+D22)^(ROW()-ROW($C$21)), 0)</f>
        <v>104456.06579043969</v>
      </c>
      <c r="D22" s="138">
        <f>IF($C$17&lt;B22,0,DCF!$C$16)</f>
        <v>8.5779014792802307E-3</v>
      </c>
      <c r="E22" s="124">
        <f t="shared" si="0"/>
        <v>0.86533261222282321</v>
      </c>
      <c r="F22" s="125">
        <f t="shared" si="1"/>
        <v>90389.240272960262</v>
      </c>
      <c r="H22" s="120"/>
    </row>
    <row r="23" spans="2:17">
      <c r="B23" s="122">
        <v>3</v>
      </c>
      <c r="C23" s="123">
        <f t="shared" si="2"/>
        <v>105352.07963170328</v>
      </c>
      <c r="D23" s="138">
        <f>IF($C$17&lt;B23,0,DCF!$C$16)</f>
        <v>8.5779014792802307E-3</v>
      </c>
      <c r="E23" s="124">
        <f t="shared" si="0"/>
        <v>0.80496056950960304</v>
      </c>
      <c r="F23" s="125">
        <f t="shared" si="1"/>
        <v>84804.270019356918</v>
      </c>
      <c r="G23" s="338"/>
      <c r="H23" s="339"/>
      <c r="I23" s="338"/>
      <c r="J23" s="338"/>
      <c r="K23" s="338"/>
      <c r="L23" s="338"/>
      <c r="M23" s="338"/>
      <c r="N23" s="338"/>
      <c r="O23" s="338"/>
      <c r="P23" s="338"/>
      <c r="Q23" s="338"/>
    </row>
    <row r="24" spans="2:17">
      <c r="B24" s="122">
        <v>4</v>
      </c>
      <c r="C24" s="123">
        <f t="shared" si="2"/>
        <v>106255.77939142131</v>
      </c>
      <c r="D24" s="138">
        <f>IF($C$17&lt;B24,0,DCF!$C$16)</f>
        <v>8.5779014792802307E-3</v>
      </c>
      <c r="E24" s="124">
        <f t="shared" si="0"/>
        <v>0.7488005297763749</v>
      </c>
      <c r="F24" s="125">
        <f t="shared" si="1"/>
        <v>79564.383900097891</v>
      </c>
      <c r="G24" s="338"/>
      <c r="H24" s="339"/>
      <c r="I24" s="338"/>
      <c r="J24" s="338"/>
      <c r="K24" s="338"/>
      <c r="L24" s="338"/>
      <c r="M24" s="338"/>
      <c r="N24" s="338"/>
      <c r="O24" s="338"/>
      <c r="P24" s="338"/>
      <c r="Q24" s="338"/>
    </row>
    <row r="25" spans="2:17">
      <c r="B25" s="122">
        <v>5</v>
      </c>
      <c r="C25" s="123">
        <f t="shared" si="2"/>
        <v>107167.23099864504</v>
      </c>
      <c r="D25" s="138">
        <f>IF($C$17&lt;B25,0,DCF!$C$16)</f>
        <v>8.5779014792802307E-3</v>
      </c>
      <c r="E25" s="124">
        <f t="shared" si="0"/>
        <v>0.69655863235011617</v>
      </c>
      <c r="F25" s="125">
        <f t="shared" si="1"/>
        <v>74648.259857165162</v>
      </c>
      <c r="G25" s="338"/>
      <c r="H25" s="339"/>
      <c r="I25" s="338"/>
      <c r="J25" s="338"/>
      <c r="K25" s="338"/>
      <c r="L25" s="338"/>
      <c r="M25" s="338"/>
      <c r="N25" s="338"/>
      <c r="O25" s="338"/>
      <c r="P25" s="338"/>
      <c r="Q25" s="338"/>
    </row>
    <row r="26" spans="2:17">
      <c r="B26" s="122">
        <v>6</v>
      </c>
      <c r="C26" s="123">
        <f t="shared" si="2"/>
        <v>108086.50094795869</v>
      </c>
      <c r="D26" s="138">
        <f>IF($C$17&lt;B26,0,DCF!$C$16)</f>
        <v>8.5779014792802307E-3</v>
      </c>
      <c r="E26" s="124">
        <f t="shared" si="0"/>
        <v>0.64796151846522443</v>
      </c>
      <c r="F26" s="125">
        <f t="shared" si="1"/>
        <v>70035.893279832235</v>
      </c>
      <c r="H26" s="120"/>
    </row>
    <row r="27" spans="2:17">
      <c r="B27" s="122">
        <v>7</v>
      </c>
      <c r="C27" s="123">
        <f t="shared" si="2"/>
        <v>109013.65630433039</v>
      </c>
      <c r="D27" s="138">
        <f>IF($C$17&lt;B27,0,DCF!$C$16)</f>
        <v>8.5779014792802307E-3</v>
      </c>
      <c r="E27" s="124">
        <f t="shared" si="0"/>
        <v>0.60275490089788319</v>
      </c>
      <c r="F27" s="125">
        <f t="shared" si="1"/>
        <v>65708.515602232568</v>
      </c>
      <c r="H27" s="120"/>
    </row>
    <row r="28" spans="2:17">
      <c r="B28" s="122">
        <v>8</v>
      </c>
      <c r="C28" s="123">
        <f t="shared" si="2"/>
        <v>109948.76470800504</v>
      </c>
      <c r="D28" s="138">
        <f>IF($C$17&lt;B28,0,DCF!$C$16)</f>
        <v>8.5779014792802307E-3</v>
      </c>
      <c r="E28" s="124">
        <f t="shared" si="0"/>
        <v>0.56070223339337966</v>
      </c>
      <c r="F28" s="125">
        <f t="shared" si="1"/>
        <v>61648.517930621623</v>
      </c>
      <c r="H28" s="120"/>
    </row>
    <row r="29" spans="2:17">
      <c r="B29" s="122">
        <v>9</v>
      </c>
      <c r="C29" s="123">
        <f t="shared" si="2"/>
        <v>110891.89437943886</v>
      </c>
      <c r="D29" s="138">
        <f>IF($C$17&lt;B29,0,DCF!$C$16)</f>
        <v>8.5779014792802307E-3</v>
      </c>
      <c r="E29" s="124">
        <f t="shared" si="0"/>
        <v>0.52158347292407414</v>
      </c>
      <c r="F29" s="125">
        <f t="shared" si="1"/>
        <v>57839.37938955734</v>
      </c>
      <c r="H29" s="120"/>
    </row>
    <row r="30" spans="2:17">
      <c r="B30" s="122">
        <v>10</v>
      </c>
      <c r="C30" s="123">
        <f t="shared" si="2"/>
        <v>111843.11412427644</v>
      </c>
      <c r="D30" s="138">
        <f>IF($C$17&lt;B30,0,DCF!$C$16)</f>
        <v>8.5779014792802307E-3</v>
      </c>
      <c r="E30" s="124">
        <f t="shared" si="0"/>
        <v>0.48519392830146441</v>
      </c>
      <c r="F30" s="125">
        <f t="shared" si="1"/>
        <v>54265.599895426683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1380902.2999906978</v>
      </c>
      <c r="D51" s="139">
        <f>Terminal_Growth</f>
        <v>0</v>
      </c>
      <c r="E51" s="124">
        <f>1/(1+Equity_Cost)^C17</f>
        <v>0.48519392830146441</v>
      </c>
      <c r="F51" s="125">
        <f t="shared" si="1"/>
        <v>670005.41153301392</v>
      </c>
      <c r="H51" s="120"/>
    </row>
    <row r="52" spans="1:17">
      <c r="C52" s="114"/>
      <c r="E52" s="127" t="s">
        <v>100</v>
      </c>
      <c r="F52" s="137">
        <f>SUM(F21:F51)</f>
        <v>1405251.492609848</v>
      </c>
      <c r="H52" s="120"/>
    </row>
    <row r="53" spans="1:17">
      <c r="C53" s="114"/>
      <c r="H53" s="120"/>
    </row>
    <row r="54" spans="1:17" ht="13.15">
      <c r="B54" s="119" t="s">
        <v>128</v>
      </c>
      <c r="C54" s="136"/>
      <c r="D54" s="136"/>
      <c r="E54" s="117"/>
      <c r="F54" s="117"/>
      <c r="H54" s="120"/>
    </row>
    <row r="55" spans="1:17" ht="13.15">
      <c r="A55" s="133">
        <f>F52</f>
        <v>1405251.492609848</v>
      </c>
      <c r="B55" s="131">
        <f>C78</f>
        <v>-0.1</v>
      </c>
      <c r="C55" s="131">
        <f>C77</f>
        <v>-0.08</v>
      </c>
      <c r="D55" s="131">
        <f>C76</f>
        <v>0.02</v>
      </c>
      <c r="E55" s="131">
        <f>C75</f>
        <v>0.04</v>
      </c>
      <c r="F55" s="131">
        <f>C74</f>
        <v>0.08</v>
      </c>
      <c r="H55" s="120"/>
    </row>
    <row r="56" spans="1:17" ht="13.15">
      <c r="A56" s="143">
        <v>5</v>
      </c>
      <c r="B56" s="123">
        <f t="dataTable" ref="B56:F61" dt2D="1" dtr="1" r1="C16" r2="C17"/>
        <v>1169217.7172753878</v>
      </c>
      <c r="C56" s="123">
        <v>1207085.9547779032</v>
      </c>
      <c r="D56" s="123">
        <v>1412574.4822121668</v>
      </c>
      <c r="E56" s="123">
        <v>1457255.9778526328</v>
      </c>
      <c r="F56" s="123">
        <v>1550637.5357921692</v>
      </c>
      <c r="H56" s="120"/>
    </row>
    <row r="57" spans="1:17" ht="13.15">
      <c r="A57" s="143">
        <v>10</v>
      </c>
      <c r="B57" s="123">
        <v>1036637.2435554247</v>
      </c>
      <c r="C57" s="123">
        <v>1092199.542166373</v>
      </c>
      <c r="D57" s="123">
        <v>1455627.6944532921</v>
      </c>
      <c r="E57" s="123">
        <v>1550709.1762845251</v>
      </c>
      <c r="F57" s="123">
        <v>1770958.6621980923</v>
      </c>
      <c r="H57" s="120"/>
    </row>
    <row r="58" spans="1:17" ht="13.15">
      <c r="A58" s="143">
        <v>15</v>
      </c>
      <c r="B58" s="123">
        <v>907811.97408156306</v>
      </c>
      <c r="C58" s="341">
        <v>976232.45571866934</v>
      </c>
      <c r="D58" s="123">
        <v>1510138.102957228</v>
      </c>
      <c r="E58" s="123">
        <v>1675327.3772134623</v>
      </c>
      <c r="F58" s="123">
        <v>2098626.2546802219</v>
      </c>
      <c r="G58" s="338"/>
      <c r="H58" s="339"/>
      <c r="I58" s="338"/>
      <c r="J58" s="338"/>
      <c r="K58" s="338"/>
      <c r="L58" s="338"/>
      <c r="M58" s="338"/>
      <c r="N58" s="338"/>
      <c r="O58" s="338"/>
      <c r="P58" s="338"/>
      <c r="Q58" s="338"/>
    </row>
    <row r="59" spans="1:17" ht="13.15">
      <c r="A59" s="144">
        <v>20</v>
      </c>
      <c r="B59" s="123">
        <v>803074.9746121252</v>
      </c>
      <c r="C59" s="341">
        <v>878954.02298961568</v>
      </c>
      <c r="D59" s="123">
        <v>1566966.0931348181</v>
      </c>
      <c r="E59" s="123">
        <v>1812574.8570990996</v>
      </c>
      <c r="F59" s="123">
        <v>2505156.0021819132</v>
      </c>
      <c r="G59" s="338"/>
      <c r="H59" s="339"/>
      <c r="I59" s="338"/>
      <c r="J59" s="338"/>
      <c r="K59" s="338"/>
      <c r="L59" s="338"/>
      <c r="M59" s="338"/>
      <c r="N59" s="338"/>
      <c r="O59" s="338"/>
      <c r="P59" s="338"/>
      <c r="Q59" s="338"/>
    </row>
    <row r="60" spans="1:17" ht="13.15">
      <c r="A60" s="144">
        <v>25</v>
      </c>
      <c r="B60" s="123">
        <v>723948.7615938331</v>
      </c>
      <c r="C60" s="341">
        <v>803618.66769210226</v>
      </c>
      <c r="D60" s="123">
        <v>1621053.2239772079</v>
      </c>
      <c r="E60" s="123">
        <v>1950925.2126449835</v>
      </c>
      <c r="F60" s="123">
        <v>2970802.8947967063</v>
      </c>
      <c r="G60" s="338"/>
      <c r="H60" s="339"/>
      <c r="I60" s="338"/>
      <c r="J60" s="338"/>
      <c r="K60" s="338"/>
      <c r="L60" s="338"/>
      <c r="M60" s="338"/>
      <c r="N60" s="338"/>
      <c r="O60" s="338"/>
      <c r="P60" s="338"/>
      <c r="Q60" s="338"/>
    </row>
    <row r="61" spans="1:17" ht="13.15">
      <c r="A61" s="144">
        <v>30</v>
      </c>
      <c r="B61" s="123">
        <v>666294.61730634829</v>
      </c>
      <c r="C61" s="341">
        <v>747665.47454970062</v>
      </c>
      <c r="D61" s="123">
        <v>1669881.7955131438</v>
      </c>
      <c r="E61" s="123">
        <v>2083523.2173674791</v>
      </c>
      <c r="F61" s="123">
        <v>3481911.6112953085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2.8194773767164563</v>
      </c>
      <c r="C65" s="124">
        <f>C12</f>
        <v>2.8194773767164563</v>
      </c>
      <c r="D65" s="124">
        <f>C12</f>
        <v>2.8194773767164563</v>
      </c>
      <c r="E65" s="141">
        <f>C12</f>
        <v>2.8194773767164563</v>
      </c>
      <c r="F65" s="124">
        <f>C12</f>
        <v>2.8194773767164563</v>
      </c>
      <c r="H65" s="120"/>
    </row>
    <row r="66" spans="1:8" ht="13.15">
      <c r="A66" s="143">
        <f t="shared" ref="A66:A71" si="3">A56</f>
        <v>5</v>
      </c>
      <c r="B66" s="124">
        <f t="shared" ref="B66:F71" si="4">(B56-$C$7+$C$8+$C$9)/Common_Shares*$C$3*Exchange_Rate</f>
        <v>2.6556560751291745</v>
      </c>
      <c r="C66" s="124">
        <f t="shared" si="4"/>
        <v>2.6866834904143677</v>
      </c>
      <c r="D66" s="124">
        <f t="shared" si="4"/>
        <v>2.8550509217378393</v>
      </c>
      <c r="E66" s="124">
        <f t="shared" si="4"/>
        <v>2.8916607935521319</v>
      </c>
      <c r="F66" s="124">
        <f t="shared" si="4"/>
        <v>2.9681731577194861</v>
      </c>
      <c r="H66" s="120"/>
    </row>
    <row r="67" spans="1:8" ht="13.15">
      <c r="A67" s="143">
        <f t="shared" si="3"/>
        <v>10</v>
      </c>
      <c r="B67" s="124">
        <f t="shared" si="4"/>
        <v>2.5470260017980961</v>
      </c>
      <c r="C67" s="124">
        <f t="shared" si="4"/>
        <v>2.592551081043923</v>
      </c>
      <c r="D67" s="124">
        <f t="shared" si="4"/>
        <v>2.8903266563288201</v>
      </c>
      <c r="E67" s="124">
        <f t="shared" si="4"/>
        <v>2.9682318564985728</v>
      </c>
      <c r="F67" s="124">
        <f t="shared" si="4"/>
        <v>3.1486937083430537</v>
      </c>
      <c r="H67" s="120"/>
    </row>
    <row r="68" spans="1:8" ht="13.15">
      <c r="A68" s="143">
        <f t="shared" si="3"/>
        <v>15</v>
      </c>
      <c r="B68" s="124">
        <f t="shared" si="4"/>
        <v>2.4414727624922823</v>
      </c>
      <c r="C68" s="124">
        <f t="shared" si="4"/>
        <v>2.4975332194286901</v>
      </c>
      <c r="D68" s="124">
        <f t="shared" si="4"/>
        <v>2.9349898673352675</v>
      </c>
      <c r="E68" s="124">
        <f t="shared" si="4"/>
        <v>3.0703380258722843</v>
      </c>
      <c r="F68" s="124">
        <f t="shared" si="4"/>
        <v>3.4171687982324923</v>
      </c>
      <c r="H68" s="120"/>
    </row>
    <row r="69" spans="1:8" ht="13.15">
      <c r="A69" s="144">
        <f t="shared" si="3"/>
        <v>20</v>
      </c>
      <c r="B69" s="124">
        <f t="shared" si="4"/>
        <v>2.3556562948510975</v>
      </c>
      <c r="C69" s="124">
        <f t="shared" si="4"/>
        <v>2.4178279431961593</v>
      </c>
      <c r="D69" s="124">
        <f t="shared" si="4"/>
        <v>2.9815519934692305</v>
      </c>
      <c r="E69" s="124">
        <f t="shared" si="4"/>
        <v>3.18279201993459</v>
      </c>
      <c r="F69" s="124">
        <f t="shared" si="4"/>
        <v>3.7502597507935089</v>
      </c>
      <c r="H69" s="120"/>
    </row>
    <row r="70" spans="1:8" ht="13.15">
      <c r="A70" s="144">
        <f t="shared" si="3"/>
        <v>25</v>
      </c>
      <c r="B70" s="124">
        <f t="shared" si="4"/>
        <v>2.2908240757360647</v>
      </c>
      <c r="C70" s="124">
        <f t="shared" si="4"/>
        <v>2.3561017708513736</v>
      </c>
      <c r="D70" s="124">
        <f t="shared" si="4"/>
        <v>3.0258683910866249</v>
      </c>
      <c r="E70" s="124">
        <f t="shared" si="4"/>
        <v>3.2961496573501452</v>
      </c>
      <c r="F70" s="124">
        <f t="shared" si="4"/>
        <v>4.1317884531118878</v>
      </c>
    </row>
    <row r="71" spans="1:8" ht="13.15">
      <c r="A71" s="144">
        <f t="shared" si="3"/>
        <v>30</v>
      </c>
      <c r="B71" s="124">
        <f t="shared" si="4"/>
        <v>2.2435850385983733</v>
      </c>
      <c r="C71" s="124">
        <f t="shared" si="4"/>
        <v>2.3102564113981754</v>
      </c>
      <c r="D71" s="124">
        <f t="shared" si="4"/>
        <v>3.0658761777370493</v>
      </c>
      <c r="E71" s="124">
        <f t="shared" si="4"/>
        <v>3.404794094742817</v>
      </c>
      <c r="F71" s="124">
        <f t="shared" si="4"/>
        <v>4.5505663907339056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3.4171687982324923</v>
      </c>
      <c r="F74" s="142">
        <f>Scenarios!C58</f>
        <v>0.05</v>
      </c>
    </row>
    <row r="75" spans="1:8">
      <c r="B75" s="127" t="str">
        <f>Scenarios!B36</f>
        <v>Optimistic</v>
      </c>
      <c r="C75" s="142">
        <f>Scenarios!C38</f>
        <v>0.04</v>
      </c>
      <c r="D75" s="145">
        <f>Scenarios!C37</f>
        <v>10</v>
      </c>
      <c r="E75" s="135">
        <f>INDEX(B$65:F$71, MATCH(D75, A$65:A$71, 0), MATCH(C75, B$64:F$64, 0))</f>
        <v>2.9682318564985728</v>
      </c>
      <c r="F75" s="142">
        <f>Scenarios!C40*(1-F$74-F$78)</f>
        <v>0.17</v>
      </c>
      <c r="H75" s="120"/>
    </row>
    <row r="76" spans="1:8">
      <c r="B76" s="127" t="str">
        <f>Scenarios!B24</f>
        <v>Base</v>
      </c>
      <c r="C76" s="142">
        <f>Scenarios!C26</f>
        <v>0.02</v>
      </c>
      <c r="D76" s="145">
        <f>Scenarios!C25</f>
        <v>10</v>
      </c>
      <c r="E76" s="135">
        <f>INDEX(B$65:F$71, MATCH(D76, A$65:A$71, 0), MATCH(C76, B$64:F$64, 0))</f>
        <v>2.8903266563288201</v>
      </c>
      <c r="F76" s="142">
        <f>Scenarios!C28*(1-F$74-F$78)</f>
        <v>0.51</v>
      </c>
      <c r="H76" s="120"/>
    </row>
    <row r="77" spans="1:8">
      <c r="B77" s="127" t="str">
        <f>Scenarios!B30</f>
        <v>Pessimistic</v>
      </c>
      <c r="C77" s="142">
        <f>Scenarios!C32</f>
        <v>-0.08</v>
      </c>
      <c r="D77" s="145">
        <f>Scenarios!C31</f>
        <v>10</v>
      </c>
      <c r="E77" s="135">
        <f>INDEX(B$65:F$71, MATCH(D77, A$65:A$71, 0), MATCH(C77, B$64:F$64, 0))</f>
        <v>2.592551081043923</v>
      </c>
      <c r="F77" s="142">
        <f>Scenarios!C34*(1-F$74-F$78)</f>
        <v>0.17</v>
      </c>
      <c r="H77" s="120"/>
    </row>
    <row r="78" spans="1:8">
      <c r="B78" s="127" t="str">
        <f>Scenarios!B48</f>
        <v>Devil's advocate</v>
      </c>
      <c r="C78" s="142">
        <f>Scenarios!C50</f>
        <v>-0.1</v>
      </c>
      <c r="D78" s="145">
        <f>Scenarios!C49</f>
        <v>15</v>
      </c>
      <c r="E78" s="135">
        <f>INDEX(B$65:F$71, MATCH(D78, A$65:A$71, 0), MATCH(C78, B$64:F$64, 0))</f>
        <v>2.4414727624922823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148898.15773702558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1985308.7698270078</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1.5282338702090943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150175.39146454009</v>
      </c>
      <c r="D16" s="138">
        <f>IF($C$12&lt;B16,0,DDM!$C$11)</f>
        <v>8.5779014792802307E-3</v>
      </c>
      <c r="E16" s="124">
        <f t="shared" ref="E16:E45" si="0">IF($C$12&lt;B16,0,1/(1+Equity_Cost)^B16)</f>
        <v>0.93023255813953487</v>
      </c>
      <c r="F16" s="125">
        <f t="shared" ref="F16:F46" si="1">C16*E16</f>
        <v>139698.03857166521</v>
      </c>
      <c r="H16" s="120"/>
    </row>
    <row r="17" spans="2:8">
      <c r="B17" s="122">
        <v>2</v>
      </c>
      <c r="C17" s="123">
        <f t="shared" ref="C17:C45" si="2">IF(ROW()-ROW($C$16)&lt;$C$12, $C$16*(1+D17)^(ROW()-ROW($C$16)), 0)</f>
        <v>151463.58117713526</v>
      </c>
      <c r="D17" s="138">
        <f>IF($C$12&lt;B17,0,DDM!$C$11)</f>
        <v>8.5779014792802307E-3</v>
      </c>
      <c r="E17" s="124">
        <f t="shared" si="0"/>
        <v>0.86533261222282321</v>
      </c>
      <c r="F17" s="125">
        <f t="shared" si="1"/>
        <v>131066.37635663409</v>
      </c>
      <c r="H17" s="120"/>
    </row>
    <row r="18" spans="2:8">
      <c r="B18" s="122">
        <v>3</v>
      </c>
      <c r="C18" s="123">
        <f t="shared" si="2"/>
        <v>152762.82085417164</v>
      </c>
      <c r="D18" s="138">
        <f>IF($C$12&lt;B18,0,DDM!$C$11)</f>
        <v>8.5779014792802307E-3</v>
      </c>
      <c r="E18" s="124">
        <f t="shared" si="0"/>
        <v>0.80496056950960304</v>
      </c>
      <c r="F18" s="125">
        <f t="shared" si="1"/>
        <v>122968.04727466748</v>
      </c>
      <c r="H18" s="120"/>
    </row>
    <row r="19" spans="2:8">
      <c r="B19" s="122">
        <v>4</v>
      </c>
      <c r="C19" s="123">
        <f t="shared" si="2"/>
        <v>154073.20528115565</v>
      </c>
      <c r="D19" s="138">
        <f>IF($C$12&lt;B19,0,DDM!$C$11)</f>
        <v>8.5779014792802307E-3</v>
      </c>
      <c r="E19" s="124">
        <f t="shared" si="0"/>
        <v>0.7488005297763749</v>
      </c>
      <c r="F19" s="125">
        <f t="shared" si="1"/>
        <v>115370.09773887352</v>
      </c>
      <c r="H19" s="120"/>
    </row>
    <row r="20" spans="2:8">
      <c r="B20" s="122">
        <v>5</v>
      </c>
      <c r="C20" s="123">
        <f t="shared" si="2"/>
        <v>155394.83005665432</v>
      </c>
      <c r="D20" s="138">
        <f>IF($C$12&lt;B20,0,DDM!$C$11)</f>
        <v>8.5779014792802307E-3</v>
      </c>
      <c r="E20" s="124">
        <f t="shared" si="0"/>
        <v>0.69655863235011617</v>
      </c>
      <c r="F20" s="125">
        <f t="shared" si="1"/>
        <v>108241.61029854185</v>
      </c>
      <c r="H20" s="120"/>
    </row>
    <row r="21" spans="2:8">
      <c r="B21" s="122">
        <v>6</v>
      </c>
      <c r="C21" s="123">
        <f t="shared" si="2"/>
        <v>156727.79159926981</v>
      </c>
      <c r="D21" s="138">
        <f>IF($C$12&lt;B21,0,DDM!$C$11)</f>
        <v>8.5779014792802307E-3</v>
      </c>
      <c r="E21" s="124">
        <f t="shared" si="0"/>
        <v>0.64796151846522443</v>
      </c>
      <c r="F21" s="125">
        <f t="shared" si="1"/>
        <v>101553.57783036411</v>
      </c>
      <c r="H21" s="120"/>
    </row>
    <row r="22" spans="2:8">
      <c r="B22" s="122">
        <v>7</v>
      </c>
      <c r="C22" s="123">
        <f t="shared" si="2"/>
        <v>158072.18715467348</v>
      </c>
      <c r="D22" s="138">
        <f>IF($C$12&lt;B22,0,DDM!$C$11)</f>
        <v>8.5779014792802307E-3</v>
      </c>
      <c r="E22" s="124">
        <f t="shared" si="0"/>
        <v>0.60275490089788319</v>
      </c>
      <c r="F22" s="125">
        <f t="shared" si="1"/>
        <v>95278.785503126855</v>
      </c>
      <c r="H22" s="120"/>
    </row>
    <row r="23" spans="2:8">
      <c r="B23" s="122">
        <v>8</v>
      </c>
      <c r="C23" s="123">
        <f t="shared" si="2"/>
        <v>159428.11480270058</v>
      </c>
      <c r="D23" s="138">
        <f>IF($C$12&lt;B23,0,DDM!$C$11)</f>
        <v>8.5779014792802307E-3</v>
      </c>
      <c r="E23" s="124">
        <f t="shared" si="0"/>
        <v>0.56070223339337966</v>
      </c>
      <c r="F23" s="125">
        <f t="shared" si="1"/>
        <v>89391.700035570349</v>
      </c>
      <c r="H23" s="120"/>
    </row>
    <row r="24" spans="2:8">
      <c r="B24" s="122">
        <v>9</v>
      </c>
      <c r="C24" s="123">
        <f t="shared" si="2"/>
        <v>160795.67346450553</v>
      </c>
      <c r="D24" s="138">
        <f>IF($C$12&lt;B24,0,DDM!$C$11)</f>
        <v>8.5779014792802307E-3</v>
      </c>
      <c r="E24" s="124">
        <f t="shared" si="0"/>
        <v>0.52158347292407414</v>
      </c>
      <c r="F24" s="125">
        <f t="shared" si="1"/>
        <v>83868.365796782178</v>
      </c>
      <c r="H24" s="120"/>
    </row>
    <row r="25" spans="2:8">
      <c r="B25" s="122">
        <v>10</v>
      </c>
      <c r="C25" s="123">
        <f t="shared" si="2"/>
        <v>162174.96290977858</v>
      </c>
      <c r="D25" s="138">
        <f>IF($C$12&lt;B25,0,DDM!$C$11)</f>
        <v>8.5779014792802307E-3</v>
      </c>
      <c r="E25" s="124">
        <f t="shared" si="0"/>
        <v>0.48519392830146441</v>
      </c>
      <c r="F25" s="125">
        <f t="shared" si="1"/>
        <v>78686.307326339753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2002338.5528605347</v>
      </c>
      <c r="D46" s="139">
        <f>Terminal_Growth</f>
        <v>0</v>
      </c>
      <c r="E46" s="124">
        <f>1/(1+Equity_Cost)^C12</f>
        <v>0.48519392830146441</v>
      </c>
      <c r="F46" s="125">
        <f t="shared" si="1"/>
        <v>971522.50825187226</v>
      </c>
      <c r="H46" s="120"/>
    </row>
    <row r="47" spans="2:8">
      <c r="C47" s="114"/>
      <c r="E47" s="127" t="s">
        <v>100</v>
      </c>
      <c r="F47" s="137">
        <f>SUM(F16:F46)</f>
        <v>2037645.4149844376</v>
      </c>
      <c r="H47" s="120"/>
    </row>
    <row r="48" spans="2:8">
      <c r="C48" s="114"/>
      <c r="H48" s="120"/>
    </row>
    <row r="49" spans="1:8" ht="13.15">
      <c r="B49" s="119" t="s">
        <v>128</v>
      </c>
      <c r="C49" s="136"/>
      <c r="D49" s="136"/>
      <c r="E49" s="117"/>
      <c r="F49" s="117"/>
      <c r="H49" s="120"/>
    </row>
    <row r="50" spans="1:8" ht="13.15">
      <c r="A50" s="133">
        <f>F47</f>
        <v>2037645.4149844376</v>
      </c>
      <c r="B50" s="131">
        <f>C73</f>
        <v>-0.1</v>
      </c>
      <c r="C50" s="131">
        <f>C72</f>
        <v>-0.08</v>
      </c>
      <c r="D50" s="131">
        <f>C71</f>
        <v>0.02</v>
      </c>
      <c r="E50" s="131">
        <f>C70</f>
        <v>0.04</v>
      </c>
      <c r="F50" s="131">
        <f>C69</f>
        <v>0.08</v>
      </c>
      <c r="H50" s="120"/>
    </row>
    <row r="51" spans="1:8" ht="13.15">
      <c r="A51" s="143">
        <v>5</v>
      </c>
      <c r="B51" s="123">
        <f t="dataTable" ref="B51:F56" dt2D="1" dtr="1" r1="C11" r2="C12"/>
        <v>1695391.2756926173</v>
      </c>
      <c r="C51" s="123">
        <v>1750301.0487306351</v>
      </c>
      <c r="D51" s="123">
        <v>2048263.9101546016</v>
      </c>
      <c r="E51" s="123">
        <v>2113053.056585148</v>
      </c>
      <c r="F51" s="123">
        <v>2248458.3590383139</v>
      </c>
      <c r="H51" s="120"/>
    </row>
    <row r="52" spans="1:8" ht="13.15">
      <c r="A52" s="143">
        <v>10</v>
      </c>
      <c r="B52" s="123">
        <v>1503146.6875796248</v>
      </c>
      <c r="C52" s="123">
        <v>1583713.2364187436</v>
      </c>
      <c r="D52" s="123">
        <v>2110692.0100248624</v>
      </c>
      <c r="E52" s="123">
        <v>2248562.2393199177</v>
      </c>
      <c r="F52" s="123">
        <v>2567928.813548536</v>
      </c>
      <c r="H52" s="120"/>
    </row>
    <row r="53" spans="1:8" ht="13.15">
      <c r="A53" s="143">
        <v>15</v>
      </c>
      <c r="B53" s="123">
        <v>1316347.2277974968</v>
      </c>
      <c r="C53" s="123">
        <v>1415558.4233963368</v>
      </c>
      <c r="D53" s="123">
        <v>2189733.2951906142</v>
      </c>
      <c r="E53" s="123">
        <v>2429261.3576498767</v>
      </c>
      <c r="F53" s="123">
        <v>3043053.9929000242</v>
      </c>
      <c r="H53" s="120"/>
    </row>
    <row r="54" spans="1:8" ht="13.15">
      <c r="A54" s="144">
        <v>20</v>
      </c>
      <c r="B54" s="123">
        <v>1164476.2866382259</v>
      </c>
      <c r="C54" s="123">
        <v>1274502.5672242192</v>
      </c>
      <c r="D54" s="123">
        <v>2272135.1244981149</v>
      </c>
      <c r="E54" s="123">
        <v>2628273.2068298031</v>
      </c>
      <c r="F54" s="123">
        <v>3632531.0227469429</v>
      </c>
      <c r="H54" s="120"/>
    </row>
    <row r="55" spans="1:8" ht="13.15">
      <c r="A55" s="144">
        <v>25</v>
      </c>
      <c r="B55" s="123">
        <v>1049741.5462663337</v>
      </c>
      <c r="C55" s="123">
        <v>1165264.6535016671</v>
      </c>
      <c r="D55" s="123">
        <v>2350562.6477921656</v>
      </c>
      <c r="E55" s="123">
        <v>2828884.249850987</v>
      </c>
      <c r="F55" s="123">
        <v>4307729.2066507507</v>
      </c>
      <c r="H55" s="120"/>
    </row>
    <row r="56" spans="1:8" ht="13.15">
      <c r="A56" s="144">
        <v>30</v>
      </c>
      <c r="B56" s="123">
        <v>966141.77542100137</v>
      </c>
      <c r="C56" s="123">
        <v>1084131.2990381131</v>
      </c>
      <c r="D56" s="123">
        <v>2421365.1450203708</v>
      </c>
      <c r="E56" s="123">
        <v>3021154.2583012762</v>
      </c>
      <c r="F56" s="123">
        <v>5048848.0300136413</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1.6782490853929699</v>
      </c>
      <c r="E61" s="124">
        <f t="shared" si="4"/>
        <v>1.7313342006466235</v>
      </c>
      <c r="F61" s="124">
        <f t="shared" si="4"/>
        <v>1.8422788029865786</v>
      </c>
      <c r="H61" s="120"/>
    </row>
    <row r="62" spans="1:8" ht="13.15">
      <c r="A62" s="143">
        <f t="shared" si="3"/>
        <v>10</v>
      </c>
      <c r="B62" s="124">
        <f t="shared" si="4"/>
        <v>1.2316062110626993</v>
      </c>
      <c r="C62" s="124">
        <f t="shared" si="4"/>
        <v>1.2976185721809077</v>
      </c>
      <c r="D62" s="124">
        <f t="shared" si="4"/>
        <v>1.7293996724782925</v>
      </c>
      <c r="E62" s="124">
        <f t="shared" si="4"/>
        <v>1.8423639175007425</v>
      </c>
      <c r="F62" s="124">
        <f t="shared" si="4"/>
        <v>2.104037551668231</v>
      </c>
      <c r="H62" s="120"/>
    </row>
    <row r="63" spans="1:8" ht="13.15">
      <c r="A63" s="143">
        <f t="shared" si="3"/>
        <v>15</v>
      </c>
      <c r="B63" s="124">
        <f t="shared" si="4"/>
        <v>1.0785517042791497</v>
      </c>
      <c r="C63" s="124">
        <f t="shared" si="4"/>
        <v>1.159840593591235</v>
      </c>
      <c r="D63" s="124">
        <f t="shared" si="4"/>
        <v>1.7941623057893954</v>
      </c>
      <c r="E63" s="124">
        <f t="shared" si="4"/>
        <v>1.990420097451538</v>
      </c>
      <c r="F63" s="124">
        <f t="shared" si="4"/>
        <v>2.493332306968401</v>
      </c>
      <c r="H63" s="120"/>
    </row>
    <row r="64" spans="1:8" ht="13.15">
      <c r="A64" s="144">
        <f t="shared" si="3"/>
        <v>20</v>
      </c>
      <c r="B64" s="124">
        <f t="shared" si="4"/>
        <v>0.95411594830321289</v>
      </c>
      <c r="C64" s="124">
        <f t="shared" si="4"/>
        <v>1.0442661988872288</v>
      </c>
      <c r="D64" s="124">
        <f t="shared" si="4"/>
        <v>1.8616784075887882</v>
      </c>
      <c r="E64" s="124">
        <f t="shared" si="4"/>
        <v>2.1534808496391631</v>
      </c>
      <c r="F64" s="124">
        <f t="shared" si="4"/>
        <v>2.9763214771120499</v>
      </c>
      <c r="H64" s="120"/>
    </row>
    <row r="65" spans="1:8" ht="13.15">
      <c r="A65" s="144">
        <f t="shared" si="3"/>
        <v>25</v>
      </c>
      <c r="B65" s="124">
        <f t="shared" si="4"/>
        <v>0.86010781188226015</v>
      </c>
      <c r="C65" s="124">
        <f t="shared" si="4"/>
        <v>0.95476189825183277</v>
      </c>
      <c r="D65" s="124">
        <f t="shared" si="4"/>
        <v>1.925938153896549</v>
      </c>
      <c r="E65" s="124">
        <f t="shared" si="4"/>
        <v>2.3178519044631574</v>
      </c>
      <c r="F65" s="124">
        <f t="shared" si="4"/>
        <v>3.5295464443527362</v>
      </c>
    </row>
    <row r="66" spans="1:8" ht="13.15">
      <c r="A66" s="144">
        <f t="shared" si="3"/>
        <v>30</v>
      </c>
      <c r="B66" s="124">
        <f t="shared" si="4"/>
        <v>0.79161017431481839</v>
      </c>
      <c r="C66" s="124">
        <f t="shared" si="4"/>
        <v>0.88828512382433944</v>
      </c>
      <c r="D66" s="124">
        <f t="shared" si="4"/>
        <v>1.9839503200181523</v>
      </c>
      <c r="E66" s="124">
        <f t="shared" si="4"/>
        <v>2.4753887161164183</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-3.05</v>
      </c>
    </row>
    <row r="4" spans="2:9">
      <c r="B4" s="152" t="s">
        <v>145</v>
      </c>
      <c r="C4" s="120">
        <v>2</v>
      </c>
      <c r="D4" s="120"/>
      <c r="E4" s="155" t="s">
        <v>149</v>
      </c>
      <c r="F4" s="155"/>
      <c r="H4" s="247">
        <v>1</v>
      </c>
      <c r="I4" s="124">
        <f t="shared" ref="I4:I13" si="0">IF(ROW()-3 &lt; $C$76, $C$77, IF(ROW()-3 = $C$76, $C$77 + $C$60, ""))</f>
        <v>0.11167360434356864</v>
      </c>
    </row>
    <row r="5" spans="2:9">
      <c r="H5" s="247">
        <v>2</v>
      </c>
      <c r="I5" s="124">
        <f t="shared" si="0"/>
        <v>0.11167360434356864</v>
      </c>
    </row>
    <row r="6" spans="2:9" ht="13.15">
      <c r="B6" s="159" t="s">
        <v>95</v>
      </c>
      <c r="C6" s="107">
        <f>DCF!C3</f>
        <v>1000</v>
      </c>
      <c r="E6" s="100" t="s">
        <v>278</v>
      </c>
      <c r="F6" s="100"/>
      <c r="H6" s="247">
        <v>3</v>
      </c>
      <c r="I6" s="124">
        <f t="shared" si="0"/>
        <v>2.9460790146143436</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133756.84958523436</v>
      </c>
      <c r="D8" t="str">
        <f>Reporting_currency</f>
        <v>CNY</v>
      </c>
      <c r="E8" s="368"/>
      <c r="F8" s="368"/>
      <c r="H8" s="247">
        <v>5</v>
      </c>
      <c r="I8" s="124" t="str">
        <f t="shared" si="0"/>
        <v/>
      </c>
    </row>
    <row r="9" spans="2:9">
      <c r="B9" s="100" t="s">
        <v>57</v>
      </c>
      <c r="C9" s="338">
        <f>Normalized_FCF!C19</f>
        <v>102686.83494591714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2.0122674140682948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3.05</v>
      </c>
      <c r="D21" t="str">
        <f>Market_currency</f>
        <v>HKD</v>
      </c>
      <c r="E21" s="369"/>
      <c r="F21" s="369"/>
    </row>
    <row r="22" spans="2:6">
      <c r="B22" s="100" t="s">
        <v>277</v>
      </c>
      <c r="C22" s="160">
        <f>IF(valuation_method="DCF",DCF!C12,DDM!C7)</f>
        <v>2.8194773767164563</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2.8903266563288201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2.592551081043923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2.9682318564985728</v>
      </c>
      <c r="D39" t="str">
        <f>Market_currency</f>
        <v>HKD</v>
      </c>
      <c r="E39" s="367"/>
      <c r="F39" s="367"/>
    </row>
    <row r="40" spans="2:6">
      <c r="B40" s="100" t="s">
        <v>146</v>
      </c>
      <c r="C40" s="167">
        <f>1-C28-C34</f>
        <v>0.2</v>
      </c>
      <c r="D40" s="165"/>
      <c r="E40" s="367"/>
      <c r="F40" s="367"/>
    </row>
    <row r="42" spans="2:6" ht="13.15">
      <c r="B42" s="100" t="s">
        <v>119</v>
      </c>
      <c r="C42" s="154">
        <f>C27*C28+C33*C34+C39*C40</f>
        <v>2.8463525813057911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2.4414727624922823</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3.4171687982324923</v>
      </c>
      <c r="D57" t="str">
        <f>Market_currency</f>
        <v>HKD</v>
      </c>
      <c r="E57" s="367"/>
      <c r="F57" s="367"/>
    </row>
    <row r="58" spans="2:6">
      <c r="B58" s="100" t="s">
        <v>146</v>
      </c>
      <c r="C58" s="165">
        <v>0.05</v>
      </c>
      <c r="D58" s="165"/>
      <c r="E58" s="367"/>
      <c r="F58" s="367"/>
    </row>
    <row r="60" spans="2:6" ht="13.15">
      <c r="B60" s="100" t="s">
        <v>119</v>
      </c>
      <c r="C60" s="154">
        <f>C51*C52+C57*C58+C42*(1-C52-C58)</f>
        <v>2.834405410270775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2.8490508157253736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0.5989458036261156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0.11167360434356864</v>
      </c>
      <c r="D77" t="str">
        <f>Market_currency</f>
        <v>HKD</v>
      </c>
    </row>
    <row r="79" spans="2:6" ht="13.15">
      <c r="B79" s="109" t="s">
        <v>300</v>
      </c>
    </row>
    <row r="80" spans="2:6">
      <c r="B80" s="148" t="s">
        <v>298</v>
      </c>
      <c r="C80" s="167">
        <f>Thesis!F29</f>
        <v>0.3674</v>
      </c>
    </row>
    <row r="81" spans="2:8">
      <c r="B81" s="100" t="s">
        <v>120</v>
      </c>
      <c r="C81" s="116">
        <f>PV(C80, C76, -C77, 0)</f>
        <v>0.18507212152544308</v>
      </c>
      <c r="D81" s="116"/>
      <c r="E81" s="100"/>
      <c r="F81" s="100"/>
    </row>
    <row r="82" spans="2:8">
      <c r="B82" s="100" t="s">
        <v>121</v>
      </c>
      <c r="C82" s="116">
        <f>C60/(1+C80)^C76</f>
        <v>1.1086009377205668</v>
      </c>
      <c r="D82" s="116"/>
    </row>
    <row r="83" spans="2:8" ht="13.15">
      <c r="B83" s="110" t="s">
        <v>101</v>
      </c>
      <c r="C83" s="111">
        <f>C81+C82</f>
        <v>1.2936730592460099</v>
      </c>
      <c r="D83" t="str">
        <f>Market_currency</f>
        <v>HKD</v>
      </c>
      <c r="E83" s="146" t="s">
        <v>125</v>
      </c>
      <c r="F83" s="291">
        <f>(1-C83/C60)</f>
        <v>0.54358220790919831</v>
      </c>
    </row>
    <row r="84" spans="2:8">
      <c r="E84" s="120"/>
    </row>
    <row r="85" spans="2:8" ht="13.15">
      <c r="B85" s="109" t="s">
        <v>301</v>
      </c>
    </row>
    <row r="86" spans="2:8">
      <c r="B86" s="148" t="s">
        <v>299</v>
      </c>
      <c r="C86" s="116">
        <f>Market_Price</f>
        <v>3.05</v>
      </c>
      <c r="D86" t="str">
        <f>Market_currency</f>
        <v>HKD</v>
      </c>
    </row>
    <row r="87" spans="2:8" ht="13.15">
      <c r="B87" s="100" t="s">
        <v>297</v>
      </c>
      <c r="C87" s="237">
        <f ca="1">IRR(OFFSET($I$3, 0, 0, $C$76 + 1, 1))</f>
        <v>1.3364148859083436E-2</v>
      </c>
    </row>
    <row r="88" spans="2:8">
      <c r="B88" s="100"/>
    </row>
    <row r="89" spans="2:8" ht="13.15">
      <c r="B89" s="109" t="s">
        <v>409</v>
      </c>
    </row>
    <row r="90" spans="2:8">
      <c r="B90" s="148" t="s">
        <v>410</v>
      </c>
      <c r="C90" s="167">
        <f>Thesis!F30</f>
        <v>0.21740000000000001</v>
      </c>
    </row>
    <row r="91" spans="2:8">
      <c r="B91" s="100" t="s">
        <v>120</v>
      </c>
      <c r="C91" s="116">
        <f>PV(C90, C76, -C77, 0)</f>
        <v>0.22897565035002013</v>
      </c>
      <c r="D91" s="116"/>
      <c r="E91" s="100"/>
      <c r="F91" s="100"/>
    </row>
    <row r="92" spans="2:8">
      <c r="B92" s="100" t="s">
        <v>121</v>
      </c>
      <c r="C92" s="116">
        <f>C60/(1+C90)^C76</f>
        <v>1.5709489635155649</v>
      </c>
      <c r="D92" s="116"/>
    </row>
    <row r="93" spans="2:8" ht="13.15">
      <c r="B93" s="110" t="s">
        <v>101</v>
      </c>
      <c r="C93" s="111">
        <f>C91+C92</f>
        <v>1.7999246138655851</v>
      </c>
      <c r="D93" t="str">
        <f>Market_currency</f>
        <v>HKD</v>
      </c>
      <c r="E93" s="146" t="s">
        <v>125</v>
      </c>
      <c r="F93" s="291">
        <f>(1-C93/C60)</f>
        <v>0.36497277088755076</v>
      </c>
    </row>
    <row r="95" spans="2:8" ht="13.15">
      <c r="B95" s="109" t="s">
        <v>394</v>
      </c>
      <c r="G95" s="2"/>
      <c r="H95" s="281"/>
    </row>
    <row r="96" spans="2:8">
      <c r="B96" s="148" t="s">
        <v>400</v>
      </c>
      <c r="C96" s="134">
        <f>Thesis!F31</f>
        <v>7.4999999999999997E-2</v>
      </c>
      <c r="G96" s="2"/>
      <c r="H96" s="281"/>
    </row>
    <row r="97" spans="2:8">
      <c r="B97" s="100" t="s">
        <v>120</v>
      </c>
      <c r="C97" s="116">
        <f>PV(C96, C76, -C77, 0)</f>
        <v>0.29041008255972733</v>
      </c>
      <c r="D97" s="116"/>
      <c r="G97" s="2"/>
      <c r="H97" s="281"/>
    </row>
    <row r="98" spans="2:8">
      <c r="B98" s="100" t="s">
        <v>121</v>
      </c>
      <c r="C98" s="116">
        <f>C60/(1+C96)^C76</f>
        <v>2.2815845932726631</v>
      </c>
      <c r="D98" s="116"/>
      <c r="G98" s="2"/>
      <c r="H98" s="281"/>
    </row>
    <row r="99" spans="2:8" ht="13.15">
      <c r="B99" s="110" t="s">
        <v>395</v>
      </c>
      <c r="C99" s="111">
        <f>C97+C98</f>
        <v>2.5719946758323902</v>
      </c>
      <c r="D99" t="s">
        <v>393</v>
      </c>
      <c r="E99" s="146" t="s">
        <v>125</v>
      </c>
      <c r="F99" s="291">
        <f>(1-C99/C60)</f>
        <v>9.2580522704166168E-2</v>
      </c>
    </row>
    <row r="100" spans="2:8">
      <c r="B100" s="100"/>
    </row>
    <row r="101" spans="2:8" ht="13.15">
      <c r="B101" s="109" t="s">
        <v>419</v>
      </c>
    </row>
    <row r="102" spans="2:8">
      <c r="B102" s="148" t="s">
        <v>418</v>
      </c>
      <c r="C102" s="134">
        <f>Thesis!F32</f>
        <v>0.1174</v>
      </c>
    </row>
    <row r="103" spans="2:8">
      <c r="B103" s="100" t="s">
        <v>120</v>
      </c>
      <c r="C103" s="116">
        <f>PV(C102, C76, -C77, 0)</f>
        <v>0.26942408692412961</v>
      </c>
      <c r="D103" s="116"/>
    </row>
    <row r="104" spans="2:8">
      <c r="B104" s="100" t="s">
        <v>121</v>
      </c>
      <c r="C104" s="116">
        <f>C60/(1+C102)^C76</f>
        <v>2.0315895358289633</v>
      </c>
      <c r="D104" s="116"/>
    </row>
    <row r="105" spans="2:8" ht="13.15">
      <c r="B105" s="110" t="s">
        <v>395</v>
      </c>
      <c r="C105" s="111">
        <f>C103+C104</f>
        <v>2.3010136227530928</v>
      </c>
      <c r="D105" t="s">
        <v>393</v>
      </c>
      <c r="E105" s="146" t="s">
        <v>125</v>
      </c>
      <c r="F105" s="291">
        <f>(1-C105/C66)</f>
        <v>0.19235781613559932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