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1DD8FB-89E3-4346-A642-82F8F7705562}"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<sst xmlns="http://schemas.openxmlformats.org/spreadsheetml/2006/main" count="836" uniqueCount="561">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</sst>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2.5299999999999998</v>
      </c>
      <c r="D12" s="50"/>
      <c r="E12" s="48"/>
    </row>
    <row r="13" spans="1:10">
      <c r="B13" s="1" t="s">
        <v>465</v>
      </c>
      <c r="C13" s="48" t="s">
        <v>377</v>
      </c>
      <c r="D13" s="48"/>
      <c r="E13" s="5"/>
    </row>
    <row r="14" spans="1:10">
      <c r="B14" s="4" t="s">
        <v>466</v>
      </c>
      <c r="C14" s="35">
        <f>Thesis!C12*Common_Shares/1000000</f>
        <v>3373.3337549999997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1.0897717599999999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2.8273016037205356</v>
      </c>
      <c r="D26" s="1" t="s">
        <v>380</v>
      </c>
      <c r="E26" s="301">
        <f ca="1">Scenarios!C87</f>
        <v>8.0431025128283151E-2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1.3389882338181611</v>
      </c>
      <c r="D29" s="310" t="str">
        <f>D149</f>
        <v/>
      </c>
      <c r="E29" s="306" t="s">
        <v>401</v>
      </c>
      <c r="F29" s="302">
        <v>0.35</v>
      </c>
    </row>
    <row r="30" spans="2:6">
      <c r="B30" s="1" t="s">
        <v>403</v>
      </c>
      <c r="C30" s="311">
        <f>C157</f>
        <v>1.6661049132944348</v>
      </c>
      <c r="D30" s="311" t="str">
        <f>D157</f>
        <v/>
      </c>
      <c r="E30" s="307" t="s">
        <v>414</v>
      </c>
      <c r="F30" s="312">
        <v>0.25</v>
      </c>
    </row>
    <row r="31" spans="2:6">
      <c r="B31" s="1" t="s">
        <v>404</v>
      </c>
      <c r="C31" s="311">
        <f>C165</f>
        <v>2.5669952885032106</v>
      </c>
      <c r="D31" s="311" t="str">
        <f>D165</f>
        <v/>
      </c>
      <c r="E31" s="307" t="s">
        <v>413</v>
      </c>
      <c r="F31" s="312">
        <v>7.4999999999999997E-2</v>
      </c>
    </row>
    <row r="32" spans="2:6">
      <c r="B32" s="1" t="s">
        <v>405</v>
      </c>
      <c r="C32" s="311">
        <f>C173</f>
        <v>2.2965888425459395</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229</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25024.396263012939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23144.396263012939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-34230.331651417029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133762.39626301295</v>
      </c>
      <c r="D67" s="1" t="str">
        <f>Reporting_currency</f>
        <v>CNY</v>
      </c>
    </row>
    <row r="68" spans="1:6">
      <c r="B68" s="47" t="s">
        <v>244</v>
      </c>
      <c r="C68" s="349">
        <f>Normalized_FCF!C19</f>
        <v>102690.99495425109</v>
      </c>
      <c r="D68" s="1" t="str">
        <f>Reporting_currency</f>
        <v>CNY</v>
      </c>
    </row>
    <row r="69" spans="1:6">
      <c r="B69" s="227" t="s">
        <v>371</v>
      </c>
      <c r="C69" s="92">
        <f>Normalized_FCF!C126</f>
        <v>3.3174821833615253E-2</v>
      </c>
      <c r="F69" s="314"/>
    </row>
    <row r="70" spans="1:6">
      <c r="B70" s="227" t="s">
        <v>435</v>
      </c>
      <c r="C70" s="92">
        <f>Normalized_FCF!C94</f>
        <v>4.424903052499525E-2</v>
      </c>
      <c r="E70" s="47" t="s">
        <v>425</v>
      </c>
      <c r="F70" s="315">
        <f>Normalized_FCF!C92</f>
        <v>1.4535524596143048</v>
      </c>
    </row>
    <row r="72" spans="1:6">
      <c r="B72" s="210" t="s">
        <v>428</v>
      </c>
      <c r="C72" s="323" t="s">
        <v>430</v>
      </c>
      <c r="D72" s="323" t="s">
        <v>431</v>
      </c>
    </row>
    <row r="73" spans="1:6">
      <c r="B73" s="47" t="s">
        <v>429</v>
      </c>
      <c r="C73" s="92">
        <f>Normalized_FCF!C121</f>
        <v>4.3345637463306975E-2</v>
      </c>
      <c r="D73" s="92">
        <f>Normalized_FCF!G121</f>
        <v>5.7310024756986599E-2</v>
      </c>
    </row>
    <row r="74" spans="1:6">
      <c r="B74" s="259" t="str">
        <f>Normalized_FCF!B118</f>
        <v>Pre-tax Profit/Sales</v>
      </c>
      <c r="C74" s="322">
        <f>Normalized_FCF!C118</f>
        <v>8.4132759498895981E-2</v>
      </c>
      <c r="D74" s="322">
        <f>Normalized_FCF!G118</f>
        <v>9.9462447427852055E-2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1.1190973231872881</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2.7788359077635112E-2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1876173.2576899983</v>
      </c>
      <c r="D109" s="1" t="str">
        <f>Reporting_currency</f>
        <v>CNY</v>
      </c>
    </row>
    <row r="110" spans="2:6">
      <c r="B110" s="47" t="s">
        <v>277</v>
      </c>
      <c r="C110" s="223">
        <f>C109*scaling_factor*Exchange_Rate/Common_Shares</f>
        <v>1.5334502831420365</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0.1876505820603592</v>
      </c>
      <c r="D114" s="1" t="str">
        <f>Market_currency</f>
        <v>HKD</v>
      </c>
    </row>
    <row r="116" spans="1:6" ht="24.6" customHeight="1">
      <c r="B116" s="372" t="s">
        <v>352</v>
      </c>
      <c r="C116" s="372"/>
      <c r="D116" s="372"/>
      <c r="E116" s="372"/>
      <c r="F116" s="372"/>
    </row>
    <row r="118" spans="1:6">
      <c r="B118" s="47" t="s">
        <v>426</v>
      </c>
      <c r="C118" s="223">
        <f>IF(valuation_method="DCF",DCF!C12,DDM!C7)</f>
        <v>2.8124098293120485</v>
      </c>
      <c r="D118" s="1" t="str">
        <f>Market_currency</f>
        <v>HKD</v>
      </c>
    </row>
    <row r="119" spans="1:6">
      <c r="B119" s="296" t="s">
        <v>550</v>
      </c>
      <c r="C119" s="223">
        <f>BS!D47</f>
        <v>1.9056712968379061</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2.8273016037205356</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0.11195004722823797</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0.18985381174000832</v>
      </c>
    </row>
    <row r="148" spans="2:4">
      <c r="B148" s="212" t="str">
        <f>"+ PV(Equity Value realized at year "&amp;C141&amp;")"</f>
        <v>+ PV(Equity Value realized at year 3)</v>
      </c>
      <c r="C148" s="216">
        <f>Scenarios!C82</f>
        <v>1.1491344220781528</v>
      </c>
    </row>
    <row r="149" spans="2:4">
      <c r="B149" s="80" t="s">
        <v>256</v>
      </c>
      <c r="C149" s="215">
        <f>Scenarios!C83</f>
        <v>1.3389882338181611</v>
      </c>
      <c r="D149" s="300" t="str">
        <f>IF($D$11="","",C149*$E$25)</f>
        <v/>
      </c>
    </row>
    <row r="150" spans="2:4">
      <c r="B150" s="259" t="s">
        <v>396</v>
      </c>
      <c r="C150" s="298" t="str">
        <f>Market_currency</f>
        <v>HKD</v>
      </c>
      <c r="D150" s="298" t="str">
        <f>IF($D$11="","",D$13)</f>
        <v/>
      </c>
    </row>
    <row r="151" spans="2:4">
      <c r="B151" s="214" t="s">
        <v>258</v>
      </c>
      <c r="C151" s="92">
        <f>Scenarios!F83</f>
        <v>0.52640771254961116</v>
      </c>
    </row>
    <row r="153" spans="2:4">
      <c r="B153" s="210" t="s">
        <v>391</v>
      </c>
    </row>
    <row r="154" spans="2:4">
      <c r="B154" s="1" t="s">
        <v>390</v>
      </c>
      <c r="C154" s="297">
        <f>Scenarios!C90</f>
        <v>0.25</v>
      </c>
    </row>
    <row r="155" spans="2:4">
      <c r="B155" s="212" t="str">
        <f>"PV("&amp;C141&amp;" yrs of Dividends)"</f>
        <v>PV(3 yrs of Dividends)</v>
      </c>
      <c r="C155" s="216">
        <f>Scenarios!C91</f>
        <v>0.21852649218952053</v>
      </c>
    </row>
    <row r="156" spans="2:4">
      <c r="B156" s="212" t="str">
        <f>"+ PV(Equity Value realized at year "&amp;C141&amp;")"</f>
        <v>+ PV(Equity Value realized at year 3)</v>
      </c>
      <c r="C156" s="216">
        <f>Scenarios!C92</f>
        <v>1.4475784211049143</v>
      </c>
    </row>
    <row r="157" spans="2:4">
      <c r="B157" s="80" t="s">
        <v>256</v>
      </c>
      <c r="C157" s="215">
        <f>Scenarios!C93</f>
        <v>1.6661049132944348</v>
      </c>
      <c r="D157" s="300" t="str">
        <f>IF($D$11="","",C157*$E$25)</f>
        <v/>
      </c>
    </row>
    <row r="158" spans="2:4">
      <c r="B158" s="259" t="s">
        <v>396</v>
      </c>
      <c r="C158" s="298" t="str">
        <f>Market_currency</f>
        <v>HKD</v>
      </c>
      <c r="D158" s="298" t="str">
        <f>IF($D$11="","",D$13)</f>
        <v/>
      </c>
    </row>
    <row r="159" spans="2:4">
      <c r="B159" s="214" t="s">
        <v>258</v>
      </c>
      <c r="C159" s="92">
        <f>Scenarios!F93</f>
        <v>0.41070846099264591</v>
      </c>
    </row>
    <row r="161" spans="2:4">
      <c r="B161" s="210" t="s">
        <v>381</v>
      </c>
    </row>
    <row r="162" spans="2:4">
      <c r="B162" s="1" t="s">
        <v>389</v>
      </c>
      <c r="C162" s="92">
        <f>Scenarios!C96</f>
        <v>7.4999999999999997E-2</v>
      </c>
    </row>
    <row r="163" spans="2:4">
      <c r="B163" s="212" t="str">
        <f>"PV("&amp;C141&amp;" yrs of Dividends)"</f>
        <v>PV(3 yrs of Dividends)</v>
      </c>
      <c r="C163" s="216">
        <f>Scenarios!C97</f>
        <v>0.29112897939691434</v>
      </c>
    </row>
    <row r="164" spans="2:4">
      <c r="B164" s="212" t="str">
        <f>"+ PV(Equity Value realized at year "&amp;C141&amp;")"</f>
        <v>+ PV(Equity Value realized at year 3)</v>
      </c>
      <c r="C164" s="216">
        <f>Scenarios!C98</f>
        <v>2.2758663091062963</v>
      </c>
    </row>
    <row r="165" spans="2:4">
      <c r="B165" s="80" t="s">
        <v>382</v>
      </c>
      <c r="C165" s="215">
        <f>Scenarios!C99</f>
        <v>2.5669952885032106</v>
      </c>
      <c r="D165" s="300" t="str">
        <f>IF($D$11="","",C165*$E$25)</f>
        <v/>
      </c>
    </row>
    <row r="166" spans="2:4">
      <c r="B166" s="259" t="s">
        <v>396</v>
      </c>
      <c r="C166" s="298" t="str">
        <f>Market_currency</f>
        <v>HKD</v>
      </c>
      <c r="D166" s="298" t="str">
        <f>IF($D$11="","",D$13)</f>
        <v/>
      </c>
    </row>
    <row r="167" spans="2:4">
      <c r="B167" s="214" t="s">
        <v>258</v>
      </c>
      <c r="C167" s="92">
        <f>Scenarios!F99</f>
        <v>9.2068817445857154E-2</v>
      </c>
    </row>
    <row r="169" spans="2:4">
      <c r="B169" s="210" t="s">
        <v>409</v>
      </c>
    </row>
    <row r="170" spans="2:4">
      <c r="B170" s="1" t="s">
        <v>400</v>
      </c>
      <c r="C170" s="92">
        <f>F32</f>
        <v>0.1174</v>
      </c>
    </row>
    <row r="171" spans="2:4">
      <c r="B171" s="212" t="str">
        <f>"PV("&amp;C141&amp;" yrs of Dividends)"</f>
        <v>PV(3 yrs of Dividends)</v>
      </c>
      <c r="C171" s="216">
        <f>Scenarios!C103</f>
        <v>0.27009103389182632</v>
      </c>
    </row>
    <row r="172" spans="2:4">
      <c r="B172" s="212" t="str">
        <f>"+ PV(Equity Value realized at year "&amp;C141&amp;")"</f>
        <v>+ PV(Equity Value realized at year 3)</v>
      </c>
      <c r="C172" s="216">
        <f>Scenarios!C104</f>
        <v>2.026497808654113</v>
      </c>
    </row>
    <row r="173" spans="2:4">
      <c r="B173" s="80" t="s">
        <v>382</v>
      </c>
      <c r="C173" s="215">
        <f>Scenarios!C105</f>
        <v>2.2965888425459395</v>
      </c>
      <c r="D173" s="300" t="str">
        <f>IF($D$11="","",C173*$E$25)</f>
        <v/>
      </c>
    </row>
    <row r="174" spans="2:4">
      <c r="B174" s="259" t="s">
        <v>396</v>
      </c>
      <c r="C174" s="298" t="str">
        <f>Market_currency</f>
        <v>HKD</v>
      </c>
      <c r="D174" s="298" t="str">
        <f>IF($D$11="","",D$13)</f>
        <v/>
      </c>
    </row>
    <row r="175" spans="2:4">
      <c r="B175" s="214" t="s">
        <v>258</v>
      </c>
      <c r="C175" s="92">
        <f>Scenarios!F105</f>
        <v>0.19188585082590237</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0.11195004722823797</v>
      </c>
      <c r="D25" s="39">
        <f>(0.064+0.041)/Exchange_Rate</f>
        <v>9.6350450483319569E-2</v>
      </c>
      <c r="E25" s="39">
        <f>(0.022+0.0168)/Exchange_Rate</f>
        <v>3.560378551193142E-2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0.11195004722823797</v>
      </c>
      <c r="D65" s="73">
        <f t="shared" ref="D65:M65" si="33">IF(D$4="","",D25)</f>
        <v>9.6350450483319569E-2</v>
      </c>
      <c r="E65" s="73">
        <f t="shared" si="33"/>
        <v>3.560378551193142E-2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2.5831461621674094</v>
      </c>
      <c r="D47" s="147">
        <f>D46*H1/Common_Shares*Exchange_Rate</f>
        <v>1.9056712968379061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1876173.2576899983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-150957.22902466598</v>
      </c>
      <c r="D73" s="349">
        <f>(Normalized_FCF!C25+Normalized_FCF!C35-Normalized_FCF!C91)/12</f>
        <v>-138577.79038500029</v>
      </c>
      <c r="F73" s="1" t="s">
        <v>342</v>
      </c>
    </row>
    <row r="74" spans="2:6" ht="15" customHeight="1">
      <c r="B74" s="257" t="s">
        <v>312</v>
      </c>
      <c r="C74" s="258">
        <f>-$C$66/C73</f>
        <v>17.936471260727629</v>
      </c>
      <c r="D74" s="258">
        <f>-$C$66/D73</f>
        <v>19.538773078121441</v>
      </c>
      <c r="F74" s="253" t="s">
        <v>310</v>
      </c>
    </row>
    <row r="75" spans="2:6" ht="15" customHeight="1">
      <c r="B75" s="80" t="s">
        <v>311</v>
      </c>
      <c r="C75" s="320"/>
      <c r="D75" s="321">
        <f>MAX(-D73*D76,G5)</f>
        <v>831466.74231000175</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-37051.150068239993</v>
      </c>
      <c r="D86" s="223">
        <f>C86*scaling_factor/Common_Shares</f>
        <v>-2.7788359077635112E-2</v>
      </c>
      <c r="E86" s="240" t="str">
        <f>Market_currency</f>
        <v>HKD</v>
      </c>
    </row>
    <row r="87" spans="2:8" ht="15" customHeight="1">
      <c r="B87" s="238" t="s">
        <v>282</v>
      </c>
      <c r="C87" s="76">
        <f>DCF!C8*Exchange_Rate</f>
        <v>2044600.6330977627</v>
      </c>
      <c r="D87" s="223">
        <f>C87*scaling_factor/Common_Shares</f>
        <v>1.5334502831420367</v>
      </c>
      <c r="E87" s="240" t="str">
        <f>Market_currency</f>
        <v>HKD</v>
      </c>
    </row>
    <row r="88" spans="2:8" ht="15" customHeight="1">
      <c r="B88" s="239" t="s">
        <v>185</v>
      </c>
      <c r="C88" s="76">
        <f>DCF!C9*Exchange_Rate</f>
        <v>250200.80735557593</v>
      </c>
      <c r="D88" s="223">
        <f>C88*scaling_factor/Common_Shares</f>
        <v>0.18765058206035917</v>
      </c>
      <c r="E88" s="240" t="str">
        <f>Market_currency</f>
        <v>HKD</v>
      </c>
    </row>
    <row r="89" spans="2:8" ht="15" customHeight="1">
      <c r="B89" s="80" t="s">
        <v>286</v>
      </c>
      <c r="C89" s="180">
        <f>SUM(C86:C88)</f>
        <v>2257750.2903850987</v>
      </c>
      <c r="D89" s="242">
        <f>SUM(D86:D88)</f>
        <v>1.6933125061247607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23144.396263012939</v>
      </c>
      <c r="E12" s="268"/>
      <c r="G12" s="328">
        <f>G50</f>
        <v>23144.396263012939</v>
      </c>
      <c r="H12" s="328">
        <f t="shared" ref="H12:Q12" si="6">H50</f>
        <v>21661.166180212167</v>
      </c>
      <c r="I12" s="328">
        <f t="shared" si="6"/>
        <v>13063.155900990743</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136921.32660566812</v>
      </c>
      <c r="E13" s="268"/>
      <c r="G13" s="329">
        <f>IF(G$4="","",SUM(G8:G12))</f>
        <v>181032.39626301295</v>
      </c>
      <c r="H13" s="329">
        <f t="shared" ref="H13:Q13" si="7">IF(H$4="","",SUM(H8:H12))</f>
        <v>147477.16618021217</v>
      </c>
      <c r="I13" s="329">
        <f t="shared" si="7"/>
        <v>35761.155900990743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-34230.331651417029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102690.99495425109</v>
      </c>
      <c r="D16" s="61"/>
      <c r="E16" s="276"/>
      <c r="F16" s="61"/>
      <c r="G16" s="329">
        <f>IF(G$4="","",SUM(G13:G15))</f>
        <v>133762.39626301295</v>
      </c>
      <c r="H16" s="329">
        <f t="shared" ref="H16:Q16" si="8">IF(H$4="","",SUM(H13:H15))</f>
        <v>103028.16618021217</v>
      </c>
      <c r="I16" s="329">
        <f t="shared" si="8"/>
        <v>14744.155900990743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102690.99495425109</v>
      </c>
      <c r="D19" s="27"/>
      <c r="E19" s="265"/>
      <c r="F19" s="27"/>
      <c r="G19" s="334">
        <f>IF(G$4="","",G16+G17)</f>
        <v>133762.39626301295</v>
      </c>
      <c r="H19" s="334">
        <f t="shared" ref="H19:Q19" si="9">IF(H$4="","",H16+H17)</f>
        <v>103028.16618021217</v>
      </c>
      <c r="I19" s="334">
        <f t="shared" si="9"/>
        <v>14744.155900990743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0.26111348562896869</v>
      </c>
      <c r="H43" s="6">
        <f t="shared" si="18"/>
        <v>0.3505022414813953</v>
      </c>
      <c r="I43" s="6">
        <f t="shared" si="18"/>
        <v>1.3776981458862085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25024.396263012939</v>
      </c>
      <c r="E48" s="268"/>
      <c r="G48" s="337">
        <f>IFERROR(IF(G$4="","",($C$48/$C$49)*G49),0)</f>
        <v>25024.396263012939</v>
      </c>
      <c r="H48" s="337">
        <f t="shared" ref="H48:Q48" si="19">IFERROR(IF(H$4="","",($C$48/$C$49)*H49),0)</f>
        <v>22664.166180212167</v>
      </c>
      <c r="I48" s="337">
        <f t="shared" si="19"/>
        <v>13926.155900990743</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23144.396263012939</v>
      </c>
      <c r="E50" s="268"/>
      <c r="G50" s="329">
        <f>IF(G$4="","",(G47+G48))</f>
        <v>23144.396263012939</v>
      </c>
      <c r="H50" s="329">
        <f t="shared" ref="H50:Q50" si="20">IF(H$4="","",(H47+H48))</f>
        <v>21661.166180212167</v>
      </c>
      <c r="I50" s="329">
        <f t="shared" si="20"/>
        <v>13063.155900990743</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1.4221319445371241E-2</v>
      </c>
      <c r="D80" s="27"/>
      <c r="E80" s="265"/>
      <c r="F80" s="27"/>
      <c r="G80" s="6">
        <f t="shared" ref="G80:Q80" si="31">IF(G$4="","",ABS(G12/G$4))</f>
        <v>1.2715946670754119E-2</v>
      </c>
      <c r="H80" s="6">
        <f t="shared" si="31"/>
        <v>1.3407630165056104E-2</v>
      </c>
      <c r="I80" s="6">
        <f t="shared" si="31"/>
        <v>9.0300102036520152E-3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8.4132759498895981E-2</v>
      </c>
      <c r="D81" s="27"/>
      <c r="E81" s="265"/>
      <c r="F81" s="27"/>
      <c r="G81" s="65">
        <f t="shared" ref="G81:Q81" si="32">IF(G$4="","",G13/G$4)</f>
        <v>9.9462447427852055E-2</v>
      </c>
      <c r="H81" s="65">
        <f t="shared" si="32"/>
        <v>9.1284065016828064E-2</v>
      </c>
      <c r="I81" s="65">
        <f t="shared" si="32"/>
        <v>2.472018286605961E-2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2.1033189874723995E-2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6.3099569624171986E-2</v>
      </c>
      <c r="D84" s="27"/>
      <c r="E84" s="265"/>
      <c r="F84" s="27"/>
      <c r="G84" s="65">
        <f t="shared" ref="G84:Q84" si="35">IF(G$4="","",ABS(G16/G$4))</f>
        <v>7.349146109077756E-2</v>
      </c>
      <c r="H84" s="65">
        <f t="shared" si="35"/>
        <v>6.3771430274613947E-2</v>
      </c>
      <c r="I84" s="65">
        <f t="shared" si="35"/>
        <v>1.0192014796369751E-2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6.3099569624171986E-2</v>
      </c>
      <c r="D87" s="75"/>
      <c r="E87" s="265"/>
      <c r="F87" s="75"/>
      <c r="G87" s="65">
        <f t="shared" ref="G87:Q87" si="36">IF(G$4="","",ABS(G19/G$4))</f>
        <v>7.349146109077756E-2</v>
      </c>
      <c r="H87" s="65">
        <f t="shared" si="36"/>
        <v>6.3771430274613947E-2</v>
      </c>
      <c r="I87" s="65">
        <f t="shared" si="36"/>
        <v>1.0192014796369751E-2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0.11195004722823797</v>
      </c>
      <c r="E90" s="268"/>
      <c r="G90" s="112">
        <f>Data!C65</f>
        <v>0.11195004722823797</v>
      </c>
      <c r="H90" s="112">
        <f>Data!D65</f>
        <v>9.6350450483319569E-2</v>
      </c>
      <c r="I90" s="112">
        <f>Data!E65</f>
        <v>3.560378551193142E-2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149266.74829599183</v>
      </c>
      <c r="E91" s="268"/>
      <c r="G91" s="74">
        <f t="shared" ref="G91:Q91" si="37">IF(G$4="","",G90*Common_Shares/scaling_factor)</f>
        <v>149266.74829599183</v>
      </c>
      <c r="H91" s="74">
        <f t="shared" si="37"/>
        <v>128467.28336950118</v>
      </c>
      <c r="I91" s="74">
        <f t="shared" si="37"/>
        <v>47471.719949872815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1.4535524596143048</v>
      </c>
      <c r="E92" s="268"/>
      <c r="G92" s="170">
        <f t="shared" ref="G92:Q92" si="38">IF(G$4="","",G90/(G19*scaling_factor/Common_Shares))</f>
        <v>1.1159096462543414</v>
      </c>
      <c r="H92" s="170">
        <f t="shared" si="38"/>
        <v>1.2469141996062711</v>
      </c>
      <c r="I92" s="170">
        <f t="shared" si="38"/>
        <v>3.219697368140479</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4.424903052499525E-2</v>
      </c>
      <c r="E94" s="268"/>
      <c r="G94" s="23">
        <f t="shared" ref="G94:Q94" si="39">IF(G$4="","",(G90*(1-dividend_tax_rate))/Market_Price)</f>
        <v>4.424903052499525E-2</v>
      </c>
      <c r="H94" s="23">
        <f t="shared" si="39"/>
        <v>3.8083182009217224E-2</v>
      </c>
      <c r="I94" s="23">
        <f t="shared" si="39"/>
        <v>1.4072642494834555E-2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-0.24366395500426374</v>
      </c>
      <c r="D98" s="27"/>
      <c r="E98" s="265"/>
      <c r="F98" s="27"/>
      <c r="G98" s="6">
        <f t="shared" ref="G98:Q98" si="41">IF(H5="","",G13/H13-1)</f>
        <v>0.2275283079537711</v>
      </c>
      <c r="H98" s="6">
        <f t="shared" si="41"/>
        <v>3.1239485263989017</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8.4132759498895981E-2</v>
      </c>
      <c r="E118" s="268"/>
      <c r="G118" s="23">
        <f t="shared" ref="G118:Q118" si="45">IF(G4="","",IF(valuation_method="DDM",G13/(G4+G12),G81))</f>
        <v>9.9462447427852055E-2</v>
      </c>
      <c r="H118" s="23">
        <f t="shared" si="45"/>
        <v>9.1284065016828064E-2</v>
      </c>
      <c r="I118" s="23">
        <f t="shared" si="45"/>
        <v>2.472018286605961E-2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4.3345637463306975E-2</v>
      </c>
      <c r="D121" s="103"/>
      <c r="E121" s="271"/>
      <c r="F121" s="103"/>
      <c r="G121" s="102">
        <f t="shared" ref="G121:Q121" si="48">IF(G$4="","",G13/G106)</f>
        <v>5.7310024756986599E-2</v>
      </c>
      <c r="H121" s="102">
        <f t="shared" si="48"/>
        <v>4.871587087740864E-2</v>
      </c>
      <c r="I121" s="102">
        <f t="shared" si="48"/>
        <v>1.2660752334867046E-2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8.3932299239046576E-2</v>
      </c>
      <c r="D125" s="27"/>
      <c r="E125" s="265"/>
      <c r="F125" s="27"/>
      <c r="G125" s="177">
        <f t="shared" ref="G125:Q125" si="49">IF(G$4="","",G16*$C$3/Common_Shares*Exchange_Rate)</f>
        <v>0.1093278478320398</v>
      </c>
      <c r="H125" s="177">
        <f t="shared" si="49"/>
        <v>8.4207878964851851E-2</v>
      </c>
      <c r="I125" s="177">
        <f t="shared" si="49"/>
        <v>1.2050822038100045E-2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3.3174821833615253E-2</v>
      </c>
      <c r="D126" s="27"/>
      <c r="E126" s="265"/>
      <c r="F126" s="27"/>
      <c r="G126" s="77">
        <f t="shared" ref="G126" si="50">IF(G$4="","",G125/Market_Price)</f>
        <v>4.3212588075905063E-2</v>
      </c>
      <c r="H126" s="77">
        <f t="shared" ref="H126" si="51">IF(H$4="","",H125/Market_Price)</f>
        <v>3.3283746626423659E-2</v>
      </c>
      <c r="I126" s="77">
        <f t="shared" ref="I126" si="52">IF(I$4="","",I125/Market_Price)</f>
        <v>4.7631707660474492E-3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5.7880131104904566E-2</v>
      </c>
      <c r="H127" s="23">
        <f>IF(H$4="","",(Data!D47*$C$3)/(Market_Price*Common_Shares))</f>
        <v>5.1230329564588256E-2</v>
      </c>
      <c r="I127" s="23">
        <f>IF(I$4="","",(Data!E47*$C$3)/(Market_Price*Common_Shares))</f>
        <v>1.9403950143676196E-2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102690.99495425109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1369213.2660566813</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1876173.2576899983</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3440977.6237466796</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2.8124098293120485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2.8419114365131226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103571.86819177792</v>
      </c>
      <c r="D21" s="138">
        <f>IF($C$17&lt;B21,0,DCF!$C$16)</f>
        <v>8.5779014792802307E-3</v>
      </c>
      <c r="E21" s="124">
        <f t="shared" ref="E21:E50" si="0">IF($C$17&lt;B21,0,1/(1+Equity_Cost)^B21)</f>
        <v>0.93023255813953487</v>
      </c>
      <c r="F21" s="125">
        <f t="shared" ref="F21:F51" si="1">C21*E21</f>
        <v>96345.923899328292</v>
      </c>
      <c r="H21" s="120"/>
    </row>
    <row r="22" spans="2:17">
      <c r="B22" s="122">
        <v>2</v>
      </c>
      <c r="C22" s="123">
        <f t="shared" ref="C22:C50" si="2">IF(ROW()-ROW($C$21)&lt;$C$17, $C$21*(1+D22)^(ROW()-ROW($C$21)), 0)</f>
        <v>104460.29747315198</v>
      </c>
      <c r="D22" s="138">
        <f>IF($C$17&lt;B22,0,DCF!$C$16)</f>
        <v>8.5779014792802307E-3</v>
      </c>
      <c r="E22" s="124">
        <f t="shared" si="0"/>
        <v>0.86533261222282321</v>
      </c>
      <c r="F22" s="125">
        <f t="shared" si="1"/>
        <v>90392.902086015776</v>
      </c>
      <c r="H22" s="120"/>
    </row>
    <row r="23" spans="2:17">
      <c r="B23" s="122">
        <v>3</v>
      </c>
      <c r="C23" s="123">
        <f t="shared" si="2"/>
        <v>105356.34761337297</v>
      </c>
      <c r="D23" s="138">
        <f>IF($C$17&lt;B23,0,DCF!$C$16)</f>
        <v>8.5779014792802307E-3</v>
      </c>
      <c r="E23" s="124">
        <f t="shared" si="0"/>
        <v>0.80496056950960304</v>
      </c>
      <c r="F23" s="125">
        <f t="shared" si="1"/>
        <v>84807.705576312408</v>
      </c>
      <c r="G23" s="338"/>
      <c r="H23" s="339"/>
      <c r="I23" s="338"/>
      <c r="J23" s="338"/>
      <c r="K23" s="338"/>
      <c r="L23" s="338"/>
      <c r="M23" s="338"/>
      <c r="N23" s="338"/>
      <c r="O23" s="338"/>
      <c r="P23" s="338"/>
      <c r="Q23" s="338"/>
    </row>
    <row r="24" spans="2:17">
      <c r="B24" s="122">
        <v>4</v>
      </c>
      <c r="C24" s="123">
        <f t="shared" si="2"/>
        <v>106260.08398341727</v>
      </c>
      <c r="D24" s="138">
        <f>IF($C$17&lt;B24,0,DCF!$C$16)</f>
        <v>8.5779014792802307E-3</v>
      </c>
      <c r="E24" s="124">
        <f t="shared" si="0"/>
        <v>0.7488005297763749</v>
      </c>
      <c r="F24" s="125">
        <f t="shared" si="1"/>
        <v>79567.607180864943</v>
      </c>
      <c r="G24" s="338"/>
      <c r="H24" s="339"/>
      <c r="I24" s="338"/>
      <c r="J24" s="338"/>
      <c r="K24" s="338"/>
      <c r="L24" s="338"/>
      <c r="M24" s="338"/>
      <c r="N24" s="338"/>
      <c r="O24" s="338"/>
      <c r="P24" s="338"/>
      <c r="Q24" s="338"/>
    </row>
    <row r="25" spans="2:17">
      <c r="B25" s="122">
        <v>5</v>
      </c>
      <c r="C25" s="123">
        <f t="shared" si="2"/>
        <v>107171.57251500706</v>
      </c>
      <c r="D25" s="138">
        <f>IF($C$17&lt;B25,0,DCF!$C$16)</f>
        <v>8.5779014792802307E-3</v>
      </c>
      <c r="E25" s="124">
        <f t="shared" si="0"/>
        <v>0.69655863235011617</v>
      </c>
      <c r="F25" s="125">
        <f t="shared" si="1"/>
        <v>74651.283977864616</v>
      </c>
      <c r="G25" s="338"/>
      <c r="H25" s="339"/>
      <c r="I25" s="338"/>
      <c r="J25" s="338"/>
      <c r="K25" s="338"/>
      <c r="L25" s="338"/>
      <c r="M25" s="338"/>
      <c r="N25" s="338"/>
      <c r="O25" s="338"/>
      <c r="P25" s="338"/>
      <c r="Q25" s="338"/>
    </row>
    <row r="26" spans="2:17">
      <c r="B26" s="122">
        <v>6</v>
      </c>
      <c r="C26" s="123">
        <f t="shared" si="2"/>
        <v>108090.87970542033</v>
      </c>
      <c r="D26" s="138">
        <f>IF($C$17&lt;B26,0,DCF!$C$16)</f>
        <v>8.5779014792802307E-3</v>
      </c>
      <c r="E26" s="124">
        <f t="shared" si="0"/>
        <v>0.64796151846522443</v>
      </c>
      <c r="F26" s="125">
        <f t="shared" si="1"/>
        <v>70038.730546166073</v>
      </c>
      <c r="H26" s="120"/>
    </row>
    <row r="27" spans="2:17">
      <c r="B27" s="122">
        <v>7</v>
      </c>
      <c r="C27" s="123">
        <f t="shared" si="2"/>
        <v>109018.07262234214</v>
      </c>
      <c r="D27" s="138">
        <f>IF($C$17&lt;B27,0,DCF!$C$16)</f>
        <v>8.5779014792802307E-3</v>
      </c>
      <c r="E27" s="124">
        <f t="shared" si="0"/>
        <v>0.60275490089788319</v>
      </c>
      <c r="F27" s="125">
        <f t="shared" si="1"/>
        <v>65711.177559558069</v>
      </c>
      <c r="H27" s="120"/>
    </row>
    <row r="28" spans="2:17">
      <c r="B28" s="122">
        <v>8</v>
      </c>
      <c r="C28" s="123">
        <f t="shared" si="2"/>
        <v>109953.2189087576</v>
      </c>
      <c r="D28" s="138">
        <f>IF($C$17&lt;B28,0,DCF!$C$16)</f>
        <v>8.5779014792802307E-3</v>
      </c>
      <c r="E28" s="124">
        <f t="shared" si="0"/>
        <v>0.56070223339337966</v>
      </c>
      <c r="F28" s="125">
        <f t="shared" si="1"/>
        <v>61651.01541093157</v>
      </c>
      <c r="H28" s="120"/>
    </row>
    <row r="29" spans="2:17">
      <c r="B29" s="122">
        <v>9</v>
      </c>
      <c r="C29" s="123">
        <f t="shared" si="2"/>
        <v>110896.38678788664</v>
      </c>
      <c r="D29" s="138">
        <f>IF($C$17&lt;B29,0,DCF!$C$16)</f>
        <v>8.5779014792802307E-3</v>
      </c>
      <c r="E29" s="124">
        <f t="shared" si="0"/>
        <v>0.52158347292407414</v>
      </c>
      <c r="F29" s="125">
        <f t="shared" si="1"/>
        <v>57841.722555557324</v>
      </c>
      <c r="H29" s="120"/>
    </row>
    <row r="30" spans="2:17">
      <c r="B30" s="122">
        <v>10</v>
      </c>
      <c r="C30" s="123">
        <f t="shared" si="2"/>
        <v>111847.64506816129</v>
      </c>
      <c r="D30" s="138">
        <f>IF($C$17&lt;B30,0,DCF!$C$16)</f>
        <v>8.5779014792802307E-3</v>
      </c>
      <c r="E30" s="124">
        <f t="shared" si="0"/>
        <v>0.48519392830146441</v>
      </c>
      <c r="F30" s="125">
        <f t="shared" si="1"/>
        <v>54267.798281889089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1380958.242557039</v>
      </c>
      <c r="D51" s="139">
        <f>Terminal_Growth</f>
        <v>0</v>
      </c>
      <c r="E51" s="124">
        <f>1/(1+Equity_Cost)^C17</f>
        <v>0.48519392830146441</v>
      </c>
      <c r="F51" s="125">
        <f t="shared" si="1"/>
        <v>670032.55452653626</v>
      </c>
      <c r="H51" s="120"/>
    </row>
    <row r="52" spans="1:17">
      <c r="C52" s="114"/>
      <c r="E52" s="127" t="s">
        <v>97</v>
      </c>
      <c r="F52" s="137">
        <f>SUM(F21:F51)</f>
        <v>1405308.4216010245</v>
      </c>
      <c r="H52" s="120"/>
    </row>
    <row r="53" spans="1:17">
      <c r="C53" s="114"/>
      <c r="H53" s="120"/>
    </row>
    <row r="54" spans="1:17" ht="13.15">
      <c r="B54" s="119" t="s">
        <v>125</v>
      </c>
      <c r="C54" s="136"/>
      <c r="D54" s="136"/>
      <c r="E54" s="117"/>
      <c r="F54" s="117"/>
      <c r="H54" s="120"/>
    </row>
    <row r="55" spans="1:17" ht="13.15">
      <c r="A55" s="133">
        <f>F52</f>
        <v>1405308.4216010245</v>
      </c>
      <c r="B55" s="131">
        <f>C78</f>
        <v>-0.1</v>
      </c>
      <c r="C55" s="131">
        <f>C77</f>
        <v>-0.08</v>
      </c>
      <c r="D55" s="131">
        <f>C76</f>
        <v>0.02</v>
      </c>
      <c r="E55" s="131">
        <f>C75</f>
        <v>0.04</v>
      </c>
      <c r="F55" s="131">
        <f>C74</f>
        <v>0.08</v>
      </c>
      <c r="H55" s="120"/>
    </row>
    <row r="56" spans="1:17" ht="13.15">
      <c r="A56" s="143">
        <v>5</v>
      </c>
      <c r="B56" s="123">
        <f t="dataTable" ref="B56:F61" dt2D="1" dtr="1" r1="C16" r2="C17"/>
        <v>1169265.0841598636</v>
      </c>
      <c r="C56" s="123">
        <v>1207134.8557653988</v>
      </c>
      <c r="D56" s="123">
        <v>1412631.7078693935</v>
      </c>
      <c r="E56" s="123">
        <v>1457315.0136288912</v>
      </c>
      <c r="F56" s="123">
        <v>1550700.3546050698</v>
      </c>
      <c r="H56" s="120"/>
    </row>
    <row r="57" spans="1:17" ht="13.15">
      <c r="A57" s="143">
        <v>10</v>
      </c>
      <c r="B57" s="123">
        <v>1036679.2393923276</v>
      </c>
      <c r="C57" s="123">
        <v>1092243.7889210824</v>
      </c>
      <c r="D57" s="123">
        <v>1455686.6642651791</v>
      </c>
      <c r="E57" s="123">
        <v>1550771.9979996968</v>
      </c>
      <c r="F57" s="123">
        <v>1771030.4065730916</v>
      </c>
      <c r="H57" s="120"/>
    </row>
    <row r="58" spans="1:17" ht="13.15">
      <c r="A58" s="143">
        <v>15</v>
      </c>
      <c r="B58" s="123">
        <v>907848.75100023847</v>
      </c>
      <c r="C58" s="341">
        <v>976272.00446076272</v>
      </c>
      <c r="D58" s="123">
        <v>1510199.2810731668</v>
      </c>
      <c r="E58" s="123">
        <v>1675395.2474117693</v>
      </c>
      <c r="F58" s="123">
        <v>2098711.2733947816</v>
      </c>
      <c r="G58" s="338"/>
      <c r="H58" s="339"/>
      <c r="I58" s="338"/>
      <c r="J58" s="338"/>
      <c r="K58" s="338"/>
      <c r="L58" s="338"/>
      <c r="M58" s="338"/>
      <c r="N58" s="338"/>
      <c r="O58" s="338"/>
      <c r="P58" s="338"/>
      <c r="Q58" s="338"/>
    </row>
    <row r="59" spans="1:17" ht="13.15">
      <c r="A59" s="144">
        <v>20</v>
      </c>
      <c r="B59" s="123">
        <v>803107.50846701441</v>
      </c>
      <c r="C59" s="341">
        <v>878989.63082642108</v>
      </c>
      <c r="D59" s="123">
        <v>1567029.5734437578</v>
      </c>
      <c r="E59" s="123">
        <v>1812648.2874128823</v>
      </c>
      <c r="F59" s="123">
        <v>2505257.4900683835</v>
      </c>
      <c r="G59" s="338"/>
      <c r="H59" s="339"/>
      <c r="I59" s="338"/>
      <c r="J59" s="338"/>
      <c r="K59" s="338"/>
      <c r="L59" s="338"/>
      <c r="M59" s="338"/>
      <c r="N59" s="338"/>
      <c r="O59" s="338"/>
      <c r="P59" s="338"/>
      <c r="Q59" s="338"/>
    </row>
    <row r="60" spans="1:17" ht="13.15">
      <c r="A60" s="144">
        <v>25</v>
      </c>
      <c r="B60" s="123">
        <v>723978.08991896024</v>
      </c>
      <c r="C60" s="341">
        <v>803651.22357287013</v>
      </c>
      <c r="D60" s="123">
        <v>1621118.8954425424</v>
      </c>
      <c r="E60" s="123">
        <v>1951004.2477535037</v>
      </c>
      <c r="F60" s="123">
        <v>2970923.2467854251</v>
      </c>
      <c r="G60" s="338"/>
      <c r="H60" s="339"/>
      <c r="I60" s="338"/>
      <c r="J60" s="338"/>
      <c r="K60" s="338"/>
      <c r="L60" s="338"/>
      <c r="M60" s="338"/>
      <c r="N60" s="338"/>
      <c r="O60" s="338"/>
      <c r="P60" s="338"/>
      <c r="Q60" s="338"/>
    </row>
    <row r="61" spans="1:17" ht="13.15">
      <c r="A61" s="144">
        <v>30</v>
      </c>
      <c r="B61" s="123">
        <v>666321.60996964644</v>
      </c>
      <c r="C61" s="341">
        <v>747695.76367689774</v>
      </c>
      <c r="D61" s="123">
        <v>1669949.4451022041</v>
      </c>
      <c r="E61" s="123">
        <v>2083607.6242337814</v>
      </c>
      <c r="F61" s="123">
        <v>3482052.6691176556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2.8124098293120485</v>
      </c>
      <c r="C65" s="124">
        <f>C12</f>
        <v>2.8124098293120485</v>
      </c>
      <c r="D65" s="124">
        <f>C12</f>
        <v>2.8124098293120485</v>
      </c>
      <c r="E65" s="141">
        <f>C12</f>
        <v>2.8124098293120485</v>
      </c>
      <c r="F65" s="124">
        <f>C12</f>
        <v>2.8124098293120485</v>
      </c>
      <c r="H65" s="120"/>
    </row>
    <row r="66" spans="1:8" ht="13.15">
      <c r="A66" s="143">
        <f t="shared" ref="A66:A71" si="3">A56</f>
        <v>5</v>
      </c>
      <c r="B66" s="124">
        <f t="shared" ref="B66:F71" si="4">(B56-$C$7+$C$8+$C$9)/Common_Shares*$C$3*Exchange_Rate</f>
        <v>2.6489864381691008</v>
      </c>
      <c r="C66" s="124">
        <f t="shared" si="4"/>
        <v>2.6799384900401164</v>
      </c>
      <c r="D66" s="124">
        <f t="shared" si="4"/>
        <v>2.8478969686891795</v>
      </c>
      <c r="E66" s="124">
        <f t="shared" si="4"/>
        <v>2.8844179176941696</v>
      </c>
      <c r="F66" s="124">
        <f t="shared" si="4"/>
        <v>2.9607444386987121</v>
      </c>
      <c r="H66" s="120"/>
    </row>
    <row r="67" spans="1:8" ht="13.15">
      <c r="A67" s="143">
        <f t="shared" si="3"/>
        <v>10</v>
      </c>
      <c r="B67" s="124">
        <f t="shared" si="4"/>
        <v>2.5406202196623249</v>
      </c>
      <c r="C67" s="124">
        <f t="shared" si="4"/>
        <v>2.5860347216856812</v>
      </c>
      <c r="D67" s="124">
        <f t="shared" si="4"/>
        <v>2.8830870209965411</v>
      </c>
      <c r="E67" s="124">
        <f t="shared" si="4"/>
        <v>2.960802994902584</v>
      </c>
      <c r="F67" s="124">
        <f t="shared" si="4"/>
        <v>3.1408265175740144</v>
      </c>
      <c r="H67" s="120"/>
    </row>
    <row r="68" spans="1:8" ht="13.15">
      <c r="A68" s="143">
        <f t="shared" si="3"/>
        <v>15</v>
      </c>
      <c r="B68" s="124">
        <f t="shared" si="4"/>
        <v>2.4353233617669026</v>
      </c>
      <c r="C68" s="124">
        <f t="shared" si="4"/>
        <v>2.491247651787817</v>
      </c>
      <c r="D68" s="124">
        <f t="shared" si="4"/>
        <v>2.9276417481979853</v>
      </c>
      <c r="E68" s="124">
        <f t="shared" si="4"/>
        <v>3.062661155556849</v>
      </c>
      <c r="F68" s="124">
        <f t="shared" si="4"/>
        <v>3.4086495003120909</v>
      </c>
      <c r="H68" s="120"/>
    </row>
    <row r="69" spans="1:8" ht="13.15">
      <c r="A69" s="144">
        <f t="shared" si="3"/>
        <v>20</v>
      </c>
      <c r="B69" s="124">
        <f t="shared" si="4"/>
        <v>2.3497153363028915</v>
      </c>
      <c r="C69" s="124">
        <f t="shared" si="4"/>
        <v>2.411735974077422</v>
      </c>
      <c r="D69" s="124">
        <f t="shared" si="4"/>
        <v>2.9740907781953667</v>
      </c>
      <c r="E69" s="124">
        <f t="shared" si="4"/>
        <v>3.1748420067597647</v>
      </c>
      <c r="F69" s="124">
        <f t="shared" si="4"/>
        <v>3.7409313983261523</v>
      </c>
      <c r="H69" s="120"/>
    </row>
    <row r="70" spans="1:8" ht="13.15">
      <c r="A70" s="144">
        <f t="shared" si="3"/>
        <v>25</v>
      </c>
      <c r="B70" s="124">
        <f t="shared" si="4"/>
        <v>2.2850405900980681</v>
      </c>
      <c r="C70" s="124">
        <f t="shared" si="4"/>
        <v>2.3501597302732278</v>
      </c>
      <c r="D70" s="124">
        <f t="shared" si="4"/>
        <v>3.0182995343931389</v>
      </c>
      <c r="E70" s="124">
        <f t="shared" si="4"/>
        <v>3.2879243064296446</v>
      </c>
      <c r="F70" s="124">
        <f t="shared" si="4"/>
        <v>4.1215333942028494</v>
      </c>
    </row>
    <row r="71" spans="1:8" ht="13.15">
      <c r="A71" s="144">
        <f t="shared" si="3"/>
        <v>30</v>
      </c>
      <c r="B71" s="124">
        <f t="shared" si="4"/>
        <v>2.2379162932662786</v>
      </c>
      <c r="C71" s="124">
        <f t="shared" si="4"/>
        <v>2.304425725980646</v>
      </c>
      <c r="D71" s="124">
        <f t="shared" si="4"/>
        <v>3.0582101449375947</v>
      </c>
      <c r="E71" s="124">
        <f t="shared" si="4"/>
        <v>3.3963048541087169</v>
      </c>
      <c r="F71" s="124">
        <f t="shared" si="4"/>
        <v>4.5392941496048387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3.4086495003120909</v>
      </c>
      <c r="F74" s="142">
        <f>Scenarios!C58</f>
        <v>0.05</v>
      </c>
    </row>
    <row r="75" spans="1:8">
      <c r="B75" s="127" t="str">
        <f>Scenarios!B36</f>
        <v>Optimistic</v>
      </c>
      <c r="C75" s="142">
        <f>Scenarios!C38</f>
        <v>0.04</v>
      </c>
      <c r="D75" s="145">
        <f>Scenarios!C37</f>
        <v>10</v>
      </c>
      <c r="E75" s="135">
        <f>INDEX(B$65:F$71, MATCH(D75, A$65:A$71, 0), MATCH(C75, B$64:F$64, 0))</f>
        <v>2.960802994902584</v>
      </c>
      <c r="F75" s="142">
        <f>Scenarios!C40*(1-F$74-F$78)</f>
        <v>0.17</v>
      </c>
      <c r="H75" s="120"/>
    </row>
    <row r="76" spans="1:8">
      <c r="B76" s="127" t="str">
        <f>Scenarios!B24</f>
        <v>Base</v>
      </c>
      <c r="C76" s="142">
        <f>Scenarios!C26</f>
        <v>0.02</v>
      </c>
      <c r="D76" s="145">
        <f>Scenarios!C25</f>
        <v>10</v>
      </c>
      <c r="E76" s="135">
        <f>INDEX(B$65:F$71, MATCH(D76, A$65:A$71, 0), MATCH(C76, B$64:F$64, 0))</f>
        <v>2.8830870209965411</v>
      </c>
      <c r="F76" s="142">
        <f>Scenarios!C28*(1-F$74-F$78)</f>
        <v>0.51</v>
      </c>
      <c r="H76" s="120"/>
    </row>
    <row r="77" spans="1:8">
      <c r="B77" s="127" t="str">
        <f>Scenarios!B30</f>
        <v>Pessimistic</v>
      </c>
      <c r="C77" s="142">
        <f>Scenarios!C32</f>
        <v>-0.08</v>
      </c>
      <c r="D77" s="145">
        <f>Scenarios!C31</f>
        <v>10</v>
      </c>
      <c r="E77" s="135">
        <f>INDEX(B$65:F$71, MATCH(D77, A$65:A$71, 0), MATCH(C77, B$64:F$64, 0))</f>
        <v>2.5860347216856812</v>
      </c>
      <c r="F77" s="142">
        <f>Scenarios!C34*(1-F$74-F$78)</f>
        <v>0.17</v>
      </c>
      <c r="H77" s="120"/>
    </row>
    <row r="78" spans="1:8">
      <c r="B78" s="127" t="str">
        <f>Scenarios!B48</f>
        <v>Devil's advocate</v>
      </c>
      <c r="C78" s="142">
        <f>Scenarios!C50</f>
        <v>-0.1</v>
      </c>
      <c r="D78" s="145">
        <f>Scenarios!C49</f>
        <v>15</v>
      </c>
      <c r="E78" s="135">
        <f>INDEX(B$65:F$71, MATCH(D78, A$65:A$71, 0), MATCH(C78, B$64:F$64, 0))</f>
        <v>2.4353233617669026</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149266.74829599183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1990223.3106132245</v>
      </c>
      <c r="D6" t="str">
        <f>Reporting_currency</f>
        <v>CNY</v>
      </c>
      <c r="E6" s="378"/>
      <c r="F6" s="378"/>
      <c r="H6" s="120"/>
    </row>
    <row r="7" spans="2:8" ht="13.15">
      <c r="B7" s="149" t="s">
        <v>421</v>
      </c>
      <c r="C7" s="111">
        <f>(C6*scaling_factor)/Common_Shares*Exchange_Rate</f>
        <v>1.6266666666666669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1.5320169430490309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150547.14375700735</v>
      </c>
      <c r="D16" s="138">
        <f>IF($C$12&lt;B16,0,DDM!$C$11)</f>
        <v>8.5779014792802307E-3</v>
      </c>
      <c r="E16" s="124">
        <f t="shared" ref="E16:E45" si="0">IF($C$12&lt;B16,0,1/(1+Equity_Cost)^B16)</f>
        <v>0.93023255813953487</v>
      </c>
      <c r="F16" s="125">
        <f t="shared" ref="F16:F46" si="1">C16*E16</f>
        <v>140043.85465768125</v>
      </c>
      <c r="H16" s="120"/>
    </row>
    <row r="17" spans="2:8">
      <c r="B17" s="122">
        <v>2</v>
      </c>
      <c r="C17" s="123">
        <f t="shared" ref="C17:C45" si="2">IF(ROW()-ROW($C$16)&lt;$C$12, $C$16*(1+D17)^(ROW()-ROW($C$16)), 0)</f>
        <v>151838.52232414199</v>
      </c>
      <c r="D17" s="138">
        <f>IF($C$12&lt;B17,0,DDM!$C$11)</f>
        <v>8.5779014792802307E-3</v>
      </c>
      <c r="E17" s="124">
        <f t="shared" si="0"/>
        <v>0.86533261222282321</v>
      </c>
      <c r="F17" s="125">
        <f t="shared" si="1"/>
        <v>131390.82515880323</v>
      </c>
      <c r="H17" s="120"/>
    </row>
    <row r="18" spans="2:8">
      <c r="B18" s="122">
        <v>3</v>
      </c>
      <c r="C18" s="123">
        <f t="shared" si="2"/>
        <v>153140.97820939793</v>
      </c>
      <c r="D18" s="138">
        <f>IF($C$12&lt;B18,0,DDM!$C$11)</f>
        <v>8.5779014792802307E-3</v>
      </c>
      <c r="E18" s="124">
        <f t="shared" si="0"/>
        <v>0.80496056950960304</v>
      </c>
      <c r="F18" s="125">
        <f t="shared" si="1"/>
        <v>123272.44903469467</v>
      </c>
      <c r="H18" s="120"/>
    </row>
    <row r="19" spans="2:8">
      <c r="B19" s="122">
        <v>4</v>
      </c>
      <c r="C19" s="123">
        <f t="shared" si="2"/>
        <v>154454.60643291875</v>
      </c>
      <c r="D19" s="138">
        <f>IF($C$12&lt;B19,0,DDM!$C$11)</f>
        <v>8.5779014792802307E-3</v>
      </c>
      <c r="E19" s="124">
        <f t="shared" si="0"/>
        <v>0.7488005297763749</v>
      </c>
      <c r="F19" s="125">
        <f t="shared" si="1"/>
        <v>115655.69112337104</v>
      </c>
      <c r="H19" s="120"/>
    </row>
    <row r="20" spans="2:8">
      <c r="B20" s="122">
        <v>5</v>
      </c>
      <c r="C20" s="123">
        <f t="shared" si="2"/>
        <v>155779.50282992132</v>
      </c>
      <c r="D20" s="138">
        <f>IF($C$12&lt;B20,0,DDM!$C$11)</f>
        <v>8.5779014792802307E-3</v>
      </c>
      <c r="E20" s="124">
        <f t="shared" si="0"/>
        <v>0.69655863235011617</v>
      </c>
      <c r="F20" s="125">
        <f t="shared" si="1"/>
        <v>108509.55743939105</v>
      </c>
      <c r="H20" s="120"/>
    </row>
    <row r="21" spans="2:8">
      <c r="B21" s="122">
        <v>6</v>
      </c>
      <c r="C21" s="123">
        <f t="shared" si="2"/>
        <v>157115.76405768763</v>
      </c>
      <c r="D21" s="138">
        <f>IF($C$12&lt;B21,0,DDM!$C$11)</f>
        <v>8.5779014792802307E-3</v>
      </c>
      <c r="E21" s="124">
        <f t="shared" si="0"/>
        <v>0.64796151846522443</v>
      </c>
      <c r="F21" s="125">
        <f t="shared" si="1"/>
        <v>101804.9690536432</v>
      </c>
      <c r="H21" s="120"/>
    </row>
    <row r="22" spans="2:8">
      <c r="B22" s="122">
        <v>7</v>
      </c>
      <c r="C22" s="123">
        <f t="shared" si="2"/>
        <v>158463.48760261628</v>
      </c>
      <c r="D22" s="138">
        <f>IF($C$12&lt;B22,0,DDM!$C$11)</f>
        <v>8.5779014792802307E-3</v>
      </c>
      <c r="E22" s="124">
        <f t="shared" si="0"/>
        <v>0.60275490089788319</v>
      </c>
      <c r="F22" s="125">
        <f t="shared" si="1"/>
        <v>95514.643765847926</v>
      </c>
      <c r="H22" s="120"/>
    </row>
    <row r="23" spans="2:8">
      <c r="B23" s="122">
        <v>8</v>
      </c>
      <c r="C23" s="123">
        <f t="shared" si="2"/>
        <v>159822.77178733467</v>
      </c>
      <c r="D23" s="138">
        <f>IF($C$12&lt;B23,0,DDM!$C$11)</f>
        <v>8.5779014792802307E-3</v>
      </c>
      <c r="E23" s="124">
        <f t="shared" si="0"/>
        <v>0.56070223339337966</v>
      </c>
      <c r="F23" s="125">
        <f t="shared" si="1"/>
        <v>89612.985088278976</v>
      </c>
      <c r="H23" s="120"/>
    </row>
    <row r="24" spans="2:8">
      <c r="B24" s="122">
        <v>9</v>
      </c>
      <c r="C24" s="123">
        <f t="shared" si="2"/>
        <v>161193.7157778719</v>
      </c>
      <c r="D24" s="138">
        <f>IF($C$12&lt;B24,0,DDM!$C$11)</f>
        <v>8.5779014792802307E-3</v>
      </c>
      <c r="E24" s="124">
        <f t="shared" si="0"/>
        <v>0.52158347292407414</v>
      </c>
      <c r="F24" s="125">
        <f t="shared" si="1"/>
        <v>84075.978088958553</v>
      </c>
      <c r="H24" s="120"/>
    </row>
    <row r="25" spans="2:8">
      <c r="B25" s="122">
        <v>10</v>
      </c>
      <c r="C25" s="123">
        <f t="shared" si="2"/>
        <v>162576.41959089358</v>
      </c>
      <c r="D25" s="138">
        <f>IF($C$12&lt;B25,0,DDM!$C$11)</f>
        <v>8.5779014792802307E-3</v>
      </c>
      <c r="E25" s="124">
        <f t="shared" si="0"/>
        <v>0.48519392830146441</v>
      </c>
      <c r="F25" s="125">
        <f t="shared" si="1"/>
        <v>78881.091670492809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2007295.2500934314</v>
      </c>
      <c r="D46" s="139">
        <f>Terminal_Growth</f>
        <v>0</v>
      </c>
      <c r="E46" s="124">
        <f>1/(1+Equity_Cost)^C12</f>
        <v>0.48519392830146441</v>
      </c>
      <c r="F46" s="125">
        <f t="shared" si="1"/>
        <v>973927.46765370248</v>
      </c>
      <c r="H46" s="120"/>
    </row>
    <row r="47" spans="2:8">
      <c r="C47" s="114"/>
      <c r="E47" s="127" t="s">
        <v>97</v>
      </c>
      <c r="F47" s="137">
        <f>SUM(F16:F46)</f>
        <v>2042689.5127348651</v>
      </c>
      <c r="H47" s="120"/>
    </row>
    <row r="48" spans="2:8">
      <c r="C48" s="114"/>
      <c r="H48" s="120"/>
    </row>
    <row r="49" spans="1:8" ht="13.15">
      <c r="B49" s="119" t="s">
        <v>125</v>
      </c>
      <c r="C49" s="136"/>
      <c r="D49" s="136"/>
      <c r="E49" s="117"/>
      <c r="F49" s="117"/>
      <c r="H49" s="120"/>
    </row>
    <row r="50" spans="1:8" ht="13.15">
      <c r="A50" s="133">
        <f>F47</f>
        <v>2042689.5127348651</v>
      </c>
      <c r="B50" s="131">
        <f>C73</f>
        <v>-0.1</v>
      </c>
      <c r="C50" s="131">
        <f>C72</f>
        <v>-0.08</v>
      </c>
      <c r="D50" s="131">
        <f>C71</f>
        <v>0.02</v>
      </c>
      <c r="E50" s="131">
        <f>C70</f>
        <v>0.04</v>
      </c>
      <c r="F50" s="131">
        <f>C69</f>
        <v>0.08</v>
      </c>
      <c r="H50" s="120"/>
    </row>
    <row r="51" spans="1:8" ht="13.15">
      <c r="A51" s="143">
        <v>5</v>
      </c>
      <c r="B51" s="123">
        <f t="dataTable" ref="B51:F56" dt2D="1" dtr="1" r1="C11" r2="C12"/>
        <v>1699588.1390216965</v>
      </c>
      <c r="C51" s="123">
        <v>1754633.8386839547</v>
      </c>
      <c r="D51" s="123">
        <v>2053334.2935027129</v>
      </c>
      <c r="E51" s="123">
        <v>2118283.8224931289</v>
      </c>
      <c r="F51" s="123">
        <v>2254024.3145609731</v>
      </c>
      <c r="H51" s="120"/>
    </row>
    <row r="52" spans="1:8" ht="13.15">
      <c r="A52" s="143">
        <v>10</v>
      </c>
      <c r="B52" s="123">
        <v>1506867.6582498043</v>
      </c>
      <c r="C52" s="123">
        <v>1587633.6458846871</v>
      </c>
      <c r="D52" s="123">
        <v>2115916.9312703935</v>
      </c>
      <c r="E52" s="123">
        <v>2254128.4519934491</v>
      </c>
      <c r="F52" s="123">
        <v>2574285.6035260386</v>
      </c>
      <c r="H52" s="120"/>
    </row>
    <row r="53" spans="1:8" ht="13.15">
      <c r="A53" s="143">
        <v>15</v>
      </c>
      <c r="B53" s="123">
        <v>1319605.7849741708</v>
      </c>
      <c r="C53" s="123">
        <v>1419062.5733365291</v>
      </c>
      <c r="D53" s="123">
        <v>2195153.8795116558</v>
      </c>
      <c r="E53" s="123">
        <v>2435274.8827014943</v>
      </c>
      <c r="F53" s="123">
        <v>3050586.933463254</v>
      </c>
      <c r="H53" s="120"/>
    </row>
    <row r="54" spans="1:8" ht="13.15">
      <c r="A54" s="144">
        <v>20</v>
      </c>
      <c r="B54" s="123">
        <v>1167358.8942669446</v>
      </c>
      <c r="C54" s="123">
        <v>1277657.5398632139</v>
      </c>
      <c r="D54" s="123">
        <v>2277759.690767529</v>
      </c>
      <c r="E54" s="123">
        <v>2634779.3765846528</v>
      </c>
      <c r="F54" s="123">
        <v>3641523.1866560583</v>
      </c>
      <c r="H54" s="120"/>
    </row>
    <row r="55" spans="1:8" ht="13.15">
      <c r="A55" s="144">
        <v>25</v>
      </c>
      <c r="B55" s="123">
        <v>1052340.1333085708</v>
      </c>
      <c r="C55" s="123">
        <v>1168149.2126963909</v>
      </c>
      <c r="D55" s="123">
        <v>2356381.3577977326</v>
      </c>
      <c r="E55" s="123">
        <v>2835887.0230400618</v>
      </c>
      <c r="F55" s="123">
        <v>4318392.7926902696</v>
      </c>
      <c r="H55" s="120"/>
    </row>
    <row r="56" spans="1:8" ht="13.15">
      <c r="A56" s="144">
        <v>30</v>
      </c>
      <c r="B56" s="123">
        <v>968533.41506554314</v>
      </c>
      <c r="C56" s="123">
        <v>1086815.0163357507</v>
      </c>
      <c r="D56" s="123">
        <v>2427359.123359852</v>
      </c>
      <c r="E56" s="123">
        <v>3028632.9870761302</v>
      </c>
      <c r="F56" s="123">
        <v>5061346.2217025217</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1.3891221945123247</v>
      </c>
      <c r="C61" s="124">
        <f t="shared" si="4"/>
        <v>1.4341126256395487</v>
      </c>
      <c r="D61" s="124">
        <f t="shared" si="4"/>
        <v>1.6782490853929701</v>
      </c>
      <c r="E61" s="124">
        <f t="shared" si="4"/>
        <v>1.7313342006466232</v>
      </c>
      <c r="F61" s="124">
        <f t="shared" si="4"/>
        <v>1.8422788029865784</v>
      </c>
      <c r="H61" s="120"/>
    </row>
    <row r="62" spans="1:8" ht="13.15">
      <c r="A62" s="143">
        <f t="shared" si="3"/>
        <v>10</v>
      </c>
      <c r="B62" s="124">
        <f t="shared" si="4"/>
        <v>1.2316062110626993</v>
      </c>
      <c r="C62" s="124">
        <f t="shared" si="4"/>
        <v>1.2976185721809075</v>
      </c>
      <c r="D62" s="124">
        <f t="shared" si="4"/>
        <v>1.7293996724782925</v>
      </c>
      <c r="E62" s="124">
        <f t="shared" si="4"/>
        <v>1.8423639175007427</v>
      </c>
      <c r="F62" s="124">
        <f t="shared" si="4"/>
        <v>2.1040375516682306</v>
      </c>
      <c r="H62" s="120"/>
    </row>
    <row r="63" spans="1:8" ht="13.15">
      <c r="A63" s="143">
        <f t="shared" si="3"/>
        <v>15</v>
      </c>
      <c r="B63" s="124">
        <f t="shared" si="4"/>
        <v>1.0785517042791497</v>
      </c>
      <c r="C63" s="124">
        <f t="shared" si="4"/>
        <v>1.1598405935912341</v>
      </c>
      <c r="D63" s="124">
        <f t="shared" si="4"/>
        <v>1.7941623057893954</v>
      </c>
      <c r="E63" s="124">
        <f t="shared" si="4"/>
        <v>1.9904200974515385</v>
      </c>
      <c r="F63" s="124">
        <f t="shared" si="4"/>
        <v>2.493332306968401</v>
      </c>
      <c r="H63" s="120"/>
    </row>
    <row r="64" spans="1:8" ht="13.15">
      <c r="A64" s="144">
        <f t="shared" si="3"/>
        <v>20</v>
      </c>
      <c r="B64" s="124">
        <f t="shared" si="4"/>
        <v>0.95411594830321289</v>
      </c>
      <c r="C64" s="124">
        <f t="shared" si="4"/>
        <v>1.0442661988872286</v>
      </c>
      <c r="D64" s="124">
        <f t="shared" si="4"/>
        <v>1.8616784075887882</v>
      </c>
      <c r="E64" s="124">
        <f t="shared" si="4"/>
        <v>2.1534808496391631</v>
      </c>
      <c r="F64" s="124">
        <f t="shared" si="4"/>
        <v>2.9763214771120508</v>
      </c>
      <c r="H64" s="120"/>
    </row>
    <row r="65" spans="1:8" ht="13.15">
      <c r="A65" s="144">
        <f t="shared" si="3"/>
        <v>25</v>
      </c>
      <c r="B65" s="124">
        <f t="shared" si="4"/>
        <v>0.86010781188226026</v>
      </c>
      <c r="C65" s="124">
        <f t="shared" si="4"/>
        <v>0.95476189825183289</v>
      </c>
      <c r="D65" s="124">
        <f t="shared" si="4"/>
        <v>1.925938153896549</v>
      </c>
      <c r="E65" s="124">
        <f t="shared" si="4"/>
        <v>2.3178519044631578</v>
      </c>
      <c r="F65" s="124">
        <f t="shared" si="4"/>
        <v>3.5295464443527367</v>
      </c>
    </row>
    <row r="66" spans="1:8" ht="13.15">
      <c r="A66" s="144">
        <f t="shared" si="3"/>
        <v>30</v>
      </c>
      <c r="B66" s="124">
        <f t="shared" si="4"/>
        <v>0.79161017431481873</v>
      </c>
      <c r="C66" s="124">
        <f t="shared" si="4"/>
        <v>0.88828512382433922</v>
      </c>
      <c r="D66" s="124">
        <f t="shared" si="4"/>
        <v>1.9839503200181519</v>
      </c>
      <c r="E66" s="124">
        <f t="shared" si="4"/>
        <v>2.4753887161164192</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-2.5299999999999998</v>
      </c>
    </row>
    <row r="4" spans="2:9">
      <c r="B4" s="152" t="s">
        <v>142</v>
      </c>
      <c r="C4" s="120">
        <v>2</v>
      </c>
      <c r="D4" s="120"/>
      <c r="E4" s="155" t="s">
        <v>146</v>
      </c>
      <c r="F4" s="155"/>
      <c r="H4" s="247">
        <v>1</v>
      </c>
      <c r="I4" s="124">
        <f t="shared" ref="I4:I13" si="0">IF(ROW()-3 &lt; $C$76, $C$77, IF(ROW()-3 = $C$76, $C$77 + $C$60, ""))</f>
        <v>0.11195004722823797</v>
      </c>
    </row>
    <row r="5" spans="2:9">
      <c r="H5" s="247">
        <v>2</v>
      </c>
      <c r="I5" s="124">
        <f t="shared" si="0"/>
        <v>0.11195004722823797</v>
      </c>
    </row>
    <row r="6" spans="2:9" ht="13.15">
      <c r="B6" s="159" t="s">
        <v>92</v>
      </c>
      <c r="C6" s="107">
        <f>DCF!C3</f>
        <v>1000</v>
      </c>
      <c r="E6" s="100" t="s">
        <v>274</v>
      </c>
      <c r="F6" s="100"/>
      <c r="H6" s="247">
        <v>3</v>
      </c>
      <c r="I6" s="124">
        <f t="shared" si="0"/>
        <v>2.9392516509487736</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133762.39626301295</v>
      </c>
      <c r="D8" t="str">
        <f>Reporting_currency</f>
        <v>CNY</v>
      </c>
      <c r="E8" s="380"/>
      <c r="F8" s="380"/>
      <c r="H8" s="247">
        <v>5</v>
      </c>
      <c r="I8" s="124" t="str">
        <f t="shared" si="0"/>
        <v/>
      </c>
    </row>
    <row r="9" spans="2:9">
      <c r="B9" s="100" t="s">
        <v>55</v>
      </c>
      <c r="C9" s="338">
        <f>Normalized_FCF!C19</f>
        <v>102690.99495425109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2.0120145325959347</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2.5299999999999998</v>
      </c>
      <c r="D21" t="str">
        <f>Market_currency</f>
        <v>HKD</v>
      </c>
      <c r="E21" s="381"/>
      <c r="F21" s="381"/>
    </row>
    <row r="22" spans="2:6">
      <c r="B22" s="100" t="s">
        <v>273</v>
      </c>
      <c r="C22" s="160">
        <f>IF(valuation_method="DCF",DCF!C12,DDM!C7)</f>
        <v>2.8124098293120485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2.8830870209965411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2.5860347216856812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2.960802994902584</v>
      </c>
      <c r="D39" t="str">
        <f>Market_currency</f>
        <v>HKD</v>
      </c>
      <c r="E39" s="379"/>
      <c r="F39" s="379"/>
    </row>
    <row r="40" spans="2:6">
      <c r="B40" s="100" t="s">
        <v>143</v>
      </c>
      <c r="C40" s="167">
        <f>1-C28-C34</f>
        <v>0.2</v>
      </c>
      <c r="D40" s="165"/>
      <c r="E40" s="379"/>
      <c r="F40" s="379"/>
    </row>
    <row r="42" spans="2:6" ht="13.15">
      <c r="B42" s="100" t="s">
        <v>116</v>
      </c>
      <c r="C42" s="154">
        <f>C27*C28+C33*C34+C39*C40</f>
        <v>2.8392197559155776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2.4353233617669026</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3.4086495003120909</v>
      </c>
      <c r="D57" t="str">
        <f>Market_currency</f>
        <v>HKD</v>
      </c>
      <c r="E57" s="379"/>
      <c r="F57" s="379"/>
    </row>
    <row r="58" spans="2:6">
      <c r="B58" s="100" t="s">
        <v>143</v>
      </c>
      <c r="C58" s="165">
        <v>0.05</v>
      </c>
      <c r="D58" s="165"/>
      <c r="E58" s="379"/>
      <c r="F58" s="379"/>
    </row>
    <row r="60" spans="2:6" ht="13.15">
      <c r="B60" s="100" t="s">
        <v>116</v>
      </c>
      <c r="C60" s="154">
        <f>C51*C52+C57*C58+C42*(1-C52-C58)</f>
        <v>2.8273016037205356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2.8419114365131226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0.59891470506594602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0.11195004722823797</v>
      </c>
      <c r="D77" t="str">
        <f>Market_currency</f>
        <v>HKD</v>
      </c>
    </row>
    <row r="79" spans="2:6" ht="13.15">
      <c r="B79" s="109" t="s">
        <v>296</v>
      </c>
    </row>
    <row r="80" spans="2:6">
      <c r="B80" s="148" t="s">
        <v>294</v>
      </c>
      <c r="C80" s="167">
        <f>Thesis!F29</f>
        <v>0.35</v>
      </c>
    </row>
    <row r="81" spans="2:8">
      <c r="B81" s="100" t="s">
        <v>117</v>
      </c>
      <c r="C81" s="116">
        <f>PV(C80, C76, -C77, 0)</f>
        <v>0.18985381174000832</v>
      </c>
      <c r="D81" s="116"/>
      <c r="E81" s="100"/>
      <c r="F81" s="100"/>
    </row>
    <row r="82" spans="2:8">
      <c r="B82" s="100" t="s">
        <v>118</v>
      </c>
      <c r="C82" s="116">
        <f>C60/(1+C80)^C76</f>
        <v>1.1491344220781528</v>
      </c>
      <c r="D82" s="116"/>
    </row>
    <row r="83" spans="2:8" ht="13.15">
      <c r="B83" s="110" t="s">
        <v>98</v>
      </c>
      <c r="C83" s="111">
        <f>C81+C82</f>
        <v>1.3389882338181611</v>
      </c>
      <c r="D83" t="str">
        <f>Market_currency</f>
        <v>HKD</v>
      </c>
      <c r="E83" s="146" t="s">
        <v>122</v>
      </c>
      <c r="F83" s="291">
        <f>(1-C83/C60)</f>
        <v>0.52640771254961116</v>
      </c>
    </row>
    <row r="84" spans="2:8">
      <c r="E84" s="120"/>
    </row>
    <row r="85" spans="2:8" ht="13.15">
      <c r="B85" s="109" t="s">
        <v>297</v>
      </c>
    </row>
    <row r="86" spans="2:8">
      <c r="B86" s="148" t="s">
        <v>295</v>
      </c>
      <c r="C86" s="116">
        <f>Market_Price</f>
        <v>2.5299999999999998</v>
      </c>
      <c r="D86" t="str">
        <f>Market_currency</f>
        <v>HKD</v>
      </c>
    </row>
    <row r="87" spans="2:8" ht="13.15">
      <c r="B87" s="100" t="s">
        <v>293</v>
      </c>
      <c r="C87" s="237">
        <f ca="1">IRR(OFFSET($I$3, 0, 0, $C$76 + 1, 1))</f>
        <v>8.0431025128283151E-2</v>
      </c>
    </row>
    <row r="88" spans="2:8">
      <c r="B88" s="100"/>
    </row>
    <row r="89" spans="2:8" ht="13.15">
      <c r="B89" s="109" t="s">
        <v>392</v>
      </c>
    </row>
    <row r="90" spans="2:8">
      <c r="B90" s="148" t="s">
        <v>393</v>
      </c>
      <c r="C90" s="167">
        <f>Thesis!F30</f>
        <v>0.25</v>
      </c>
    </row>
    <row r="91" spans="2:8">
      <c r="B91" s="100" t="s">
        <v>117</v>
      </c>
      <c r="C91" s="116">
        <f>PV(C90, C76, -C77, 0)</f>
        <v>0.21852649218952053</v>
      </c>
      <c r="D91" s="116"/>
      <c r="E91" s="100"/>
      <c r="F91" s="100"/>
    </row>
    <row r="92" spans="2:8">
      <c r="B92" s="100" t="s">
        <v>118</v>
      </c>
      <c r="C92" s="116">
        <f>C60/(1+C90)^C76</f>
        <v>1.4475784211049143</v>
      </c>
      <c r="D92" s="116"/>
    </row>
    <row r="93" spans="2:8" ht="13.15">
      <c r="B93" s="110" t="s">
        <v>98</v>
      </c>
      <c r="C93" s="111">
        <f>C91+C92</f>
        <v>1.6661049132944348</v>
      </c>
      <c r="D93" t="str">
        <f>Market_currency</f>
        <v>HKD</v>
      </c>
      <c r="E93" s="146" t="s">
        <v>122</v>
      </c>
      <c r="F93" s="291">
        <f>(1-C93/C60)</f>
        <v>0.41070846099264591</v>
      </c>
    </row>
    <row r="95" spans="2:8" ht="13.15">
      <c r="B95" s="109" t="s">
        <v>378</v>
      </c>
      <c r="G95" s="2"/>
      <c r="H95" s="281"/>
    </row>
    <row r="96" spans="2:8">
      <c r="B96" s="148" t="s">
        <v>383</v>
      </c>
      <c r="C96" s="134">
        <f>Thesis!F31</f>
        <v>7.4999999999999997E-2</v>
      </c>
      <c r="G96" s="2"/>
      <c r="H96" s="281"/>
    </row>
    <row r="97" spans="2:8">
      <c r="B97" s="100" t="s">
        <v>117</v>
      </c>
      <c r="C97" s="116">
        <f>PV(C96, C76, -C77, 0)</f>
        <v>0.29112897939691434</v>
      </c>
      <c r="D97" s="116"/>
      <c r="G97" s="2"/>
      <c r="H97" s="281"/>
    </row>
    <row r="98" spans="2:8">
      <c r="B98" s="100" t="s">
        <v>118</v>
      </c>
      <c r="C98" s="116">
        <f>C60/(1+C96)^C76</f>
        <v>2.2758663091062963</v>
      </c>
      <c r="D98" s="116"/>
      <c r="G98" s="2"/>
      <c r="H98" s="281"/>
    </row>
    <row r="99" spans="2:8" ht="13.15">
      <c r="B99" s="110" t="s">
        <v>379</v>
      </c>
      <c r="C99" s="111">
        <f>C97+C98</f>
        <v>2.5669952885032106</v>
      </c>
      <c r="D99" t="s">
        <v>377</v>
      </c>
      <c r="E99" s="146" t="s">
        <v>122</v>
      </c>
      <c r="F99" s="291">
        <f>(1-C99/C60)</f>
        <v>9.2068817445857154E-2</v>
      </c>
    </row>
    <row r="100" spans="2:8">
      <c r="B100" s="100"/>
    </row>
    <row r="101" spans="2:8" ht="13.15">
      <c r="B101" s="109" t="s">
        <v>399</v>
      </c>
    </row>
    <row r="102" spans="2:8">
      <c r="B102" s="148" t="s">
        <v>398</v>
      </c>
      <c r="C102" s="134">
        <f>Thesis!F32</f>
        <v>0.1174</v>
      </c>
    </row>
    <row r="103" spans="2:8">
      <c r="B103" s="100" t="s">
        <v>117</v>
      </c>
      <c r="C103" s="116">
        <f>PV(C102, C76, -C77, 0)</f>
        <v>0.27009103389182632</v>
      </c>
      <c r="D103" s="116"/>
    </row>
    <row r="104" spans="2:8">
      <c r="B104" s="100" t="s">
        <v>118</v>
      </c>
      <c r="C104" s="116">
        <f>C60/(1+C102)^C76</f>
        <v>2.026497808654113</v>
      </c>
      <c r="D104" s="116"/>
    </row>
    <row r="105" spans="2:8" ht="13.15">
      <c r="B105" s="110" t="s">
        <v>379</v>
      </c>
      <c r="C105" s="111">
        <f>C103+C104</f>
        <v>2.2965888425459395</v>
      </c>
      <c r="D105" t="s">
        <v>377</v>
      </c>
      <c r="E105" s="146" t="s">
        <v>122</v>
      </c>
      <c r="F105" s="291">
        <f>(1-C105/C66)</f>
        <v>0.19188585082590237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2.5299999999999998</v>
      </c>
      <c r="D12" s="50"/>
      <c r="E12" s="48"/>
    </row>
    <row r="13" spans="1:10">
      <c r="B13" s="1" t="s">
        <v>486</v>
      </c>
      <c r="C13" s="32" t="str">
        <f>Market_currency</f>
        <v>HKD</v>
      </c>
      <c r="D13" s="48"/>
      <c r="E13" s="5"/>
    </row>
    <row r="14" spans="1:10">
      <c r="B14" s="4" t="s">
        <v>487</v>
      </c>
      <c r="C14" s="35">
        <f>投资主题!C12*Common_Shares/1000000</f>
        <v>3373.3337549999997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2.8273016037205356</v>
      </c>
      <c r="D26" s="1" t="s">
        <v>447</v>
      </c>
      <c r="E26" s="301">
        <f ca="1">Scenarios!C87</f>
        <v>8.0431025128283151E-2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1.3389882338181611</v>
      </c>
      <c r="D29" s="310" t="str">
        <f>D149</f>
        <v/>
      </c>
      <c r="E29" s="306" t="s">
        <v>456</v>
      </c>
      <c r="F29" s="362">
        <f>Thesis!F29</f>
        <v>0.35</v>
      </c>
    </row>
    <row r="30" spans="2:6">
      <c r="B30" s="1" t="s">
        <v>451</v>
      </c>
      <c r="C30" s="311">
        <f>C157</f>
        <v>1.6661049132944348</v>
      </c>
      <c r="D30" s="311" t="str">
        <f>D157</f>
        <v/>
      </c>
      <c r="E30" s="307" t="s">
        <v>455</v>
      </c>
      <c r="F30" s="224">
        <f>Thesis!F30</f>
        <v>0.25</v>
      </c>
    </row>
    <row r="31" spans="2:6">
      <c r="B31" s="1" t="s">
        <v>452</v>
      </c>
      <c r="C31" s="311">
        <f>C165</f>
        <v>2.5669952885032106</v>
      </c>
      <c r="D31" s="311" t="str">
        <f>D165</f>
        <v/>
      </c>
      <c r="E31" s="307" t="s">
        <v>492</v>
      </c>
      <c r="F31" s="224">
        <f>Thesis!F31</f>
        <v>7.4999999999999997E-2</v>
      </c>
    </row>
    <row r="32" spans="2:6">
      <c r="B32" s="1" t="s">
        <v>453</v>
      </c>
      <c r="C32" s="311">
        <f>C173</f>
        <v>2.2965888425459395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496</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25024.396263012939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23144.396263012939</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-34230.331651417029</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133762.39626301295</v>
      </c>
      <c r="D67" s="1" t="str">
        <f>Reporting_currency</f>
        <v>CNY</v>
      </c>
    </row>
    <row r="68" spans="1:6">
      <c r="B68" s="47" t="s">
        <v>244</v>
      </c>
      <c r="C68" s="349">
        <f>Normalized_FCF!C19</f>
        <v>102690.99495425109</v>
      </c>
      <c r="D68" s="1" t="str">
        <f>Reporting_currency</f>
        <v>CNY</v>
      </c>
    </row>
    <row r="69" spans="1:6">
      <c r="B69" s="227" t="s">
        <v>371</v>
      </c>
      <c r="C69" s="92">
        <f>Normalized_FCF!C126</f>
        <v>3.3174821833615253E-2</v>
      </c>
      <c r="F69" s="314"/>
    </row>
    <row r="70" spans="1:6">
      <c r="B70" s="227" t="s">
        <v>435</v>
      </c>
      <c r="C70" s="92">
        <f>Normalized_FCF!C94</f>
        <v>4.424903052499525E-2</v>
      </c>
      <c r="E70" s="47" t="s">
        <v>504</v>
      </c>
      <c r="F70" s="315">
        <f>Normalized_FCF!C92</f>
        <v>1.4535524596143048</v>
      </c>
    </row>
    <row r="72" spans="1:6">
      <c r="B72" s="210" t="s">
        <v>514</v>
      </c>
      <c r="C72" s="323" t="s">
        <v>430</v>
      </c>
      <c r="D72" s="323" t="s">
        <v>505</v>
      </c>
    </row>
    <row r="73" spans="1:6">
      <c r="B73" s="47" t="s">
        <v>429</v>
      </c>
      <c r="C73" s="92">
        <f>Normalized_FCF!C121</f>
        <v>4.3345637463306975E-2</v>
      </c>
      <c r="D73" s="92">
        <f>Normalized_FCF!G121</f>
        <v>5.7310024756986599E-2</v>
      </c>
    </row>
    <row r="74" spans="1:6">
      <c r="B74" s="259" t="str">
        <f>Normalized_FCF!B118</f>
        <v>Pre-tax Profit/Sales</v>
      </c>
      <c r="C74" s="322">
        <f>Normalized_FCF!C118</f>
        <v>8.4132759498895981E-2</v>
      </c>
      <c r="D74" s="322">
        <f>Normalized_FCF!G118</f>
        <v>9.9462447427852055E-2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1.1190973231872881</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2.7788359077635112E-2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1876173.2576899983</v>
      </c>
      <c r="D109" s="1" t="str">
        <f>Reporting_currency</f>
        <v>CNY</v>
      </c>
    </row>
    <row r="110" spans="2:6">
      <c r="B110" s="47" t="s">
        <v>277</v>
      </c>
      <c r="C110" s="223">
        <f>C109*scaling_factor*Exchange_Rate/Common_Shares</f>
        <v>1.5334502831420365</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0.1876505820603592</v>
      </c>
      <c r="D114" s="1" t="str">
        <f>Market_currency</f>
        <v>HKD</v>
      </c>
    </row>
    <row r="116" spans="1:6">
      <c r="B116" s="372" t="s">
        <v>517</v>
      </c>
      <c r="C116" s="372"/>
      <c r="D116" s="372"/>
      <c r="E116" s="372"/>
      <c r="F116" s="372"/>
    </row>
    <row r="118" spans="1:6">
      <c r="B118" s="47" t="s">
        <v>518</v>
      </c>
      <c r="C118" s="223">
        <f>IF(valuation_method="DCF",DCF!C12,DDM!C7)</f>
        <v>2.8124098293120485</v>
      </c>
      <c r="D118" s="1" t="str">
        <f>Market_currency</f>
        <v>HKD</v>
      </c>
    </row>
    <row r="119" spans="1:6">
      <c r="B119" s="296" t="s">
        <v>551</v>
      </c>
      <c r="C119" s="223">
        <f>BS!D47</f>
        <v>1.9056712968379061</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2.8273016037205356</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0.11195004722823797</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0.18985381174000832</v>
      </c>
    </row>
    <row r="148" spans="2:4">
      <c r="B148" s="212" t="str">
        <f>"+ PV(Equity Value realized at year "&amp;C141&amp;")"</f>
        <v>+ PV(Equity Value realized at year 3)</v>
      </c>
      <c r="C148" s="216">
        <f>Scenarios!C82</f>
        <v>1.1491344220781528</v>
      </c>
    </row>
    <row r="149" spans="2:4">
      <c r="B149" s="80" t="s">
        <v>256</v>
      </c>
      <c r="C149" s="215">
        <f>Scenarios!C83</f>
        <v>1.3389882338181611</v>
      </c>
      <c r="D149" s="300" t="str">
        <f>IF($D$11="","",C149*$E$25)</f>
        <v/>
      </c>
    </row>
    <row r="150" spans="2:4">
      <c r="B150" s="259" t="s">
        <v>533</v>
      </c>
      <c r="C150" s="298" t="str">
        <f>Market_currency</f>
        <v>HKD</v>
      </c>
      <c r="D150" s="298" t="str">
        <f>IF($D$11="","",D$13)</f>
        <v/>
      </c>
    </row>
    <row r="151" spans="2:4">
      <c r="B151" s="214" t="s">
        <v>534</v>
      </c>
      <c r="C151" s="92">
        <f>Scenarios!F83</f>
        <v>0.52640771254961116</v>
      </c>
    </row>
    <row r="153" spans="2:4">
      <c r="B153" s="210" t="s">
        <v>391</v>
      </c>
    </row>
    <row r="154" spans="2:4">
      <c r="B154" s="1" t="s">
        <v>390</v>
      </c>
      <c r="C154" s="297">
        <f>Scenarios!C90</f>
        <v>0.25</v>
      </c>
    </row>
    <row r="155" spans="2:4">
      <c r="B155" s="212" t="str">
        <f>"PV("&amp;C141&amp;" yrs of Dividends)"</f>
        <v>PV(3 yrs of Dividends)</v>
      </c>
      <c r="C155" s="216">
        <f>Scenarios!C91</f>
        <v>0.21852649218952053</v>
      </c>
    </row>
    <row r="156" spans="2:4">
      <c r="B156" s="212" t="str">
        <f>"+ PV(Equity Value realized at year "&amp;C141&amp;")"</f>
        <v>+ PV(Equity Value realized at year 3)</v>
      </c>
      <c r="C156" s="216">
        <f>Scenarios!C92</f>
        <v>1.4475784211049143</v>
      </c>
    </row>
    <row r="157" spans="2:4">
      <c r="B157" s="80" t="s">
        <v>256</v>
      </c>
      <c r="C157" s="215">
        <f>Scenarios!C93</f>
        <v>1.6661049132944348</v>
      </c>
      <c r="D157" s="300" t="str">
        <f>IF($D$11="","",C157*$E$25)</f>
        <v/>
      </c>
    </row>
    <row r="158" spans="2:4">
      <c r="B158" s="259" t="s">
        <v>533</v>
      </c>
      <c r="C158" s="298" t="str">
        <f>Market_currency</f>
        <v>HKD</v>
      </c>
      <c r="D158" s="298" t="str">
        <f>IF($D$11="","",D$13)</f>
        <v/>
      </c>
    </row>
    <row r="159" spans="2:4">
      <c r="B159" s="214" t="s">
        <v>534</v>
      </c>
      <c r="C159" s="92">
        <f>Scenarios!F93</f>
        <v>0.41070846099264591</v>
      </c>
    </row>
    <row r="161" spans="2:4">
      <c r="B161" s="210" t="s">
        <v>381</v>
      </c>
    </row>
    <row r="162" spans="2:4">
      <c r="B162" s="1" t="s">
        <v>389</v>
      </c>
      <c r="C162" s="92">
        <f>Scenarios!C96</f>
        <v>7.4999999999999997E-2</v>
      </c>
    </row>
    <row r="163" spans="2:4">
      <c r="B163" s="212" t="str">
        <f>"PV("&amp;C141&amp;" yrs of Dividends)"</f>
        <v>PV(3 yrs of Dividends)</v>
      </c>
      <c r="C163" s="216">
        <f>Scenarios!C97</f>
        <v>0.29112897939691434</v>
      </c>
    </row>
    <row r="164" spans="2:4">
      <c r="B164" s="212" t="str">
        <f>"+ PV(Equity Value realized at year "&amp;C141&amp;")"</f>
        <v>+ PV(Equity Value realized at year 3)</v>
      </c>
      <c r="C164" s="216">
        <f>Scenarios!C98</f>
        <v>2.2758663091062963</v>
      </c>
    </row>
    <row r="165" spans="2:4">
      <c r="B165" s="80" t="s">
        <v>382</v>
      </c>
      <c r="C165" s="215">
        <f>Scenarios!C99</f>
        <v>2.5669952885032106</v>
      </c>
      <c r="D165" s="300" t="str">
        <f>IF($D$11="","",C165*$E$25)</f>
        <v/>
      </c>
    </row>
    <row r="166" spans="2:4">
      <c r="B166" s="259" t="s">
        <v>533</v>
      </c>
      <c r="C166" s="298" t="str">
        <f>Market_currency</f>
        <v>HKD</v>
      </c>
      <c r="D166" s="298" t="str">
        <f>IF($D$11="","",D$13)</f>
        <v/>
      </c>
    </row>
    <row r="167" spans="2:4">
      <c r="B167" s="214" t="s">
        <v>534</v>
      </c>
      <c r="C167" s="92">
        <f>Scenarios!F99</f>
        <v>9.2068817445857154E-2</v>
      </c>
    </row>
    <row r="169" spans="2:4">
      <c r="B169" s="210" t="s">
        <v>409</v>
      </c>
    </row>
    <row r="170" spans="2:4">
      <c r="B170" s="1" t="s">
        <v>400</v>
      </c>
      <c r="C170" s="92">
        <f>F32</f>
        <v>0.1174</v>
      </c>
    </row>
    <row r="171" spans="2:4">
      <c r="B171" s="212" t="str">
        <f>"PV("&amp;C141&amp;" yrs of Dividends)"</f>
        <v>PV(3 yrs of Dividends)</v>
      </c>
      <c r="C171" s="216">
        <f>Scenarios!C103</f>
        <v>0.27009103389182632</v>
      </c>
    </row>
    <row r="172" spans="2:4">
      <c r="B172" s="212" t="str">
        <f>"+ PV(Equity Value realized at year "&amp;C141&amp;")"</f>
        <v>+ PV(Equity Value realized at year 3)</v>
      </c>
      <c r="C172" s="216">
        <f>Scenarios!C104</f>
        <v>2.026497808654113</v>
      </c>
    </row>
    <row r="173" spans="2:4">
      <c r="B173" s="80" t="s">
        <v>382</v>
      </c>
      <c r="C173" s="215">
        <f>Scenarios!C105</f>
        <v>2.2965888425459395</v>
      </c>
      <c r="D173" s="300" t="str">
        <f>IF($D$11="","",C173*$E$25)</f>
        <v/>
      </c>
    </row>
    <row r="174" spans="2:4">
      <c r="B174" s="259" t="s">
        <v>533</v>
      </c>
      <c r="C174" s="298" t="str">
        <f>Market_currency</f>
        <v>HKD</v>
      </c>
      <c r="D174" s="298" t="str">
        <f>IF($D$11="","",D$13)</f>
        <v/>
      </c>
    </row>
    <row r="175" spans="2:4">
      <c r="B175" s="214" t="s">
        <v>534</v>
      </c>
      <c r="C175" s="92">
        <f>Scenarios!F105</f>
        <v>0.19188585082590237</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