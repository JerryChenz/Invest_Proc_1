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2E7537C-B77D-46D4-A601-2537E4DFB4B2}"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G4" i="3"/>
  <c r="C4" i="3"/>
  <c r="C6" i="4"/>
  <c r="C25" i="4"/>
  <c r="D25" i="4"/>
  <c r="E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P92" i="2"/>
  <c r="P94" i="2"/>
  <c r="N92" i="2"/>
  <c r="N94" i="2"/>
  <c r="C44" i="6"/>
  <c r="C44" i="12"/>
  <c r="O92" i="2"/>
  <c r="O94" i="2"/>
  <c r="Q92" i="2"/>
  <c r="Q94" i="2"/>
  <c r="J92" i="2"/>
  <c r="J94" i="2"/>
  <c r="K92" i="2"/>
  <c r="K94" i="2"/>
  <c r="L92" i="2"/>
  <c r="L94" i="2"/>
  <c r="M92" i="2"/>
  <c r="M94" i="2"/>
  <c r="H94" i="2"/>
  <c r="C147" i="6"/>
  <c r="C147" i="12"/>
  <c r="C163" i="6"/>
  <c r="C163" i="12"/>
  <c r="C171" i="6"/>
  <c r="C171" i="12"/>
  <c r="C155" i="6"/>
  <c r="C155" i="12"/>
  <c r="L121" i="2"/>
  <c r="L119" i="2"/>
  <c r="L118" i="2"/>
  <c r="M121" i="2"/>
  <c r="M119" i="2"/>
  <c r="M118" i="2"/>
  <c r="H119" i="2"/>
  <c r="N121" i="2"/>
  <c r="N118" i="2"/>
  <c r="N119" i="2"/>
  <c r="P121" i="2"/>
  <c r="P118" i="2"/>
  <c r="P119" i="2"/>
  <c r="O121" i="2"/>
  <c r="O118" i="2"/>
  <c r="O119" i="2"/>
  <c r="Q121" i="2"/>
  <c r="Q118" i="2"/>
  <c r="Q119" i="2"/>
  <c r="J121" i="2"/>
  <c r="J118" i="2"/>
  <c r="J119" i="2"/>
  <c r="K121" i="2"/>
  <c r="K118" i="2"/>
  <c r="K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N102" i="2"/>
  <c r="Q55" i="2"/>
  <c r="Q125" i="2"/>
  <c r="Q126" i="2"/>
  <c r="Q102" i="2"/>
  <c r="K102" i="2"/>
  <c r="I102" i="2"/>
  <c r="I119" i="2" s="1"/>
  <c r="O102" i="2"/>
  <c r="O120" i="2" s="1"/>
  <c r="J102" i="2"/>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12" l="1"/>
  <c r="C104" i="6"/>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O84" i="2"/>
  <c r="O19" i="2"/>
  <c r="O125" i="2"/>
  <c r="O126" i="2" s="1"/>
  <c r="P84" i="2"/>
  <c r="P19" i="2"/>
  <c r="P125" i="2"/>
  <c r="P126" i="2" s="1"/>
  <c r="C47" i="2"/>
  <c r="C52" i="12" s="1"/>
  <c r="C89" i="3" l="1"/>
  <c r="O115" i="2"/>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17" i="2"/>
  <c r="K117" i="2"/>
  <c r="J13" i="2"/>
  <c r="M76" i="2"/>
  <c r="L13" i="2"/>
  <c r="K13" i="2"/>
  <c r="K16" i="2" s="1"/>
  <c r="K19" i="2" s="1"/>
  <c r="N13" i="2"/>
  <c r="N98" i="2" s="1"/>
  <c r="M13" i="2"/>
  <c r="I13" i="2"/>
  <c r="I121" i="2" s="1"/>
  <c r="I117" i="2" s="1"/>
  <c r="K76" i="2"/>
  <c r="D74" i="6" l="1"/>
  <c r="K115" i="2"/>
  <c r="C8" i="9"/>
  <c r="C67" i="6"/>
  <c r="G87" i="2"/>
  <c r="K81" i="2"/>
  <c r="K98" i="2"/>
  <c r="L98" i="2"/>
  <c r="M98" i="2"/>
  <c r="I98" i="2"/>
  <c r="H98" i="2"/>
  <c r="J98" i="2"/>
  <c r="I16" i="2"/>
  <c r="I19" i="2" s="1"/>
  <c r="I92" i="2" s="1"/>
  <c r="I81" i="2"/>
  <c r="I118" i="2" s="1"/>
  <c r="N16" i="2"/>
  <c r="N19" i="2" s="1"/>
  <c r="N81" i="2"/>
  <c r="L16" i="2"/>
  <c r="L81" i="2"/>
  <c r="J16" i="2"/>
  <c r="J19" i="2" s="1"/>
  <c r="J81" i="2"/>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<sst xmlns="http://schemas.openxmlformats.org/spreadsheetml/2006/main" count="836" uniqueCount="561">
  <si>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</si>
  <si>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</si>
  <si>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</si>
  <si>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</si>
  <si>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</si>
  <si>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</si>
  <si>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</si>
  <si>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</si>
  <si>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</si>
  <si>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</si>
  <si>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</si>
  <si>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</si>
  <si>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</si>
  <si>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</si>
  <si>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</si>
  <si>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</si>
  <si>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</si>
  <si>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</si>
  <si>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</si>
  <si>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</si>
  <si>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</si>
  <si>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</si>
  <si>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</si>
  <si>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</si>
  <si>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</si>
  <si>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</si>
  <si>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</si>
  <si>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</si>
  <si>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</si>
  <si>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</si>
  <si>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</si>
  <si>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</si>
  <si>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</si>
  <si>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</si>
  <si>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</si>
  <si>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</si>
  <si>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</si>
  <si>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</si>
  <si>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</si>
  <si>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</si>
  <si>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</si>
  <si>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</si>
  <si>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</si>
  <si>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</si>
  <si>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</si>
  <si>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</si>
  <si>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</si>
  <si>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</si>
  <si>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</si>
  <si>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</si>
  <si>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</si>
  <si>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</si>
  <si>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</si>
  <si>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</si>
  <si>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</si>
  <si>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</si>
  <si>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</si>
  <si>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</si>
  <si>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</si>
  <si>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</si>
  <si>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</si>
  <si>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</si>
  <si>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</si>
  <si>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</si>
  <si>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</si>
  <si>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</si>
  <si>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</si>
  <si>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</si>
  <si>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</si>
  <si>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</si>
  <si>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</si>
  <si>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</si>
  <si>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</si>
  <si>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</si>
  <si>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</si>
  <si>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</si>
  <si>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</si>
  <si>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</si>
  <si>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</si>
  <si>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</si>
  <si>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</si>
  <si>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</si>
  <si>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</si>
  <si>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</si>
  <si>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</si>
  <si>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</si>
  <si>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</si>
  <si>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</si>
  <si>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</si>
  <si>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</si>
  <si>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</si>
  <si>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</si>
  <si>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</si>
  <si>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</si>
  <si>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</si>
  <si>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</si>
  <si>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</si>
  <si>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</si>
  <si>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</si>
  <si>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</si>
  <si>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</si>
  <si>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</si>
  <si>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</si>
  <si>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</si>
  <si>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</si>
  <si>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</si>
  <si>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</si>
  <si>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</si>
  <si>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</si>
  <si>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</si>
  <si>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</si>
  <si>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</si>
  <si>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</si>
  <si>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</si>
  <si>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</si>
  <si>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</si>
  <si>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</si>
  <si>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</si>
  <si>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</si>
  <si>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</si>
  <si>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</si>
  <si>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</si>
  <si>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</si>
  <si>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</si>
  <si>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</si>
  <si>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</si>
  <si>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</si>
  <si>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</si>
  <si>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</si>
  <si>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</si>
  <si>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</si>
  <si>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</si>
  <si>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</si>
  <si>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</si>
  <si>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</si>
  <si>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</si>
  <si>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</si>
  <si>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</si>
  <si>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</si>
  <si>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</si>
  <si>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</si>
  <si>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</si>
  <si>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</si>
  <si>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</si>
  <si>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</si>
  <si>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</si>
  <si>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</si>
  <si>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</si>
  <si>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</si>
  <si>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</si>
  <si>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</si>
  <si>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</si>
  <si>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</si>
  <si>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</si>
  <si>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</si>
  <si>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</si>
  <si>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</si>
  <si>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</si>
  <si>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</si>
  <si>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</si>
  <si>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</si>
  <si>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</si>
  <si>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</si>
  <si>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</si>
  <si>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</si>
  <si>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</si>
  <si>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</si>
  <si>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</si>
  <si>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</si>
  <si>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</si>
  <si>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</si>
  <si>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</si>
  <si>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</si>
  <si>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</si>
  <si>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</si>
  <si>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</si>
  <si>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</si>
  <si>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</si>
  <si>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</si>
  <si>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</si>
  <si>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</si>
  <si>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</si>
  <si>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</si>
  <si>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</si>
  <si>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</si>
  <si>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</si>
  <si>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</si>
  <si>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</si>
  <si>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</si>
  <si>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</si>
  <si>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</si>
  <si>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</si>
  <si>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</si>
  <si>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</si>
  <si>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</si>
  <si>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</si>
  <si>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</si>
  <si>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</si>
  <si>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</si>
  <si>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</si>
  <si>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</si>
  <si>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</si>
  <si>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</si>
  <si>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</si>
  <si>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</si>
  <si>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</si>
  <si>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</si>
  <si>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</si>
  <si>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</si>
  <si>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</si>
  <si>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</si>
  <si>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</si>
  <si>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</si>
  <si>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</si>
  <si>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</si>
  <si>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</si>
  <si>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</si>
  <si>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</si>
  <si>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</si>
  <si>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</si>
  <si>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</si>
  <si>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</si>
  <si>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</si>
  <si>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</si>
  <si>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</si>
  <si>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</si>
  <si>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</si>
  <si>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</si>
  <si>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</si>
  <si>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</si>
  <si>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</si>
  <si>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</si>
  <si>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</si>
  <si>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</si>
  <si>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</si>
  <si>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</si>
  <si>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</si>
  <si>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</si>
  <si>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</si>
  <si>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</si>
  <si>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</si>
  <si>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</si>
  <si>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</si>
  <si>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</si>
  <si>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</si>
  <si>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</si>
  <si>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</si>
  <si>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</si>
  <si>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</si>
  <si>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</si>
  <si>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</si>
  <si>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</si>
  <si>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</si>
  <si>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</si>
  <si>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</si>
  <si>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</si>
  <si>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</si>
  <si>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</si>
  <si>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</si>
  <si>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</si>
  <si>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</si>
  <si>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</si>
  <si>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</si>
  <si>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</si>
  <si>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</si>
  <si>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</si>
  <si>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</si>
  <si>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</si>
  <si>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</si>
  <si>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</si>
  <si>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</si>
  <si>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</si>
  <si>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</si>
  <si>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</si>
  <si>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</si>
  <si>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</si>
  <si>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</si>
  <si>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</si>
  <si>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</si>
  <si>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</si>
  <si>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</si>
  <si>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</si>
  <si>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</si>
  <si>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</si>
  <si>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</si>
  <si>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</si>
  <si>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</si>
  <si>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</si>
  <si>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</si>
  <si>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</si>
  <si>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</si>
  <si>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</si>
  <si>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</si>
  <si>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</si>
  <si>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</si>
  <si>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</si>
  <si>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</si>
  <si>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</si>
  <si>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</si>
  <si>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</si>
  <si>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</si>
  <si>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</si>
  <si>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</si>
  <si>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</si>
  <si>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</si>
  <si>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</si>
  <si>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</si>
  <si>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</si>
  <si>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</si>
  <si>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</si>
  <si>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</si>
  <si>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</si>
  <si>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</si>
  <si>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</si>
  <si>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</si>
  <si>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</si>
  <si>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</si>
  <si>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</si>
  <si>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</si>
  <si>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</si>
  <si>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</si>
  <si>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</si>
  <si>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</si>
  <si>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</si>
  <si>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</si>
  <si>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</si>
  <si>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</si>
  <si>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</si>
  <si>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</si>
  <si>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</si>
  <si>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</si>
  <si>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</si>
  <si>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</si>
  <si>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</si>
  <si>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</si>
  <si>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</si>
  <si>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</si>
  <si>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</si>
  <si>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</si>
  <si>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</si>
  <si>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</si>
  <si>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</si>
  <si>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</si>
  <si>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</si>
  <si>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</si>
  <si>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</si>
  <si>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</si>
  <si>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</si>
  <si>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</si>
  <si>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</si>
  <si>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</si>
  <si>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</si>
  <si>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</si>
  <si>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</si>
  <si>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</si>
  <si>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</si>
  <si>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</si>
  <si>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</si>
  <si>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</si>
  <si>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</si>
  <si>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</si>
  <si>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</si>
  <si>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</si>
  <si>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</si>
  <si>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</si>
  <si>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</si>
  <si>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</si>
  <si>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</si>
  <si>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</si>
  <si>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</si>
  <si>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</si>
  <si>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</si>
  <si>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</si>
  <si>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</si>
  <si>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</si>
  <si>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</si>
  <si>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</si>
  <si>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</si>
  <si>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</si>
  <si>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</si>
  <si>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</si>
  <si>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</si>
  <si>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</si>
  <si>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</si>
  <si>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</si>
  <si>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</si>
  <si>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</si>
  <si>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</si>
  <si>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</si>
  <si>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</si>
  <si>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</si>
  <si>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</si>
  <si>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</si>
  <si>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</si>
  <si>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</si>
  <si>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</si>
  <si>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</si>
  <si>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</si>
  <si>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</si>
  <si>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</si>
  <si>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</si>
  <si>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</si>
  <si>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</si>
  <si>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</si>
  <si>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</si>
  <si>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</si>
  <si>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</si>
  <si>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</si>
  <si>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</si>
  <si>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</si>
  <si>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</si>
  <si>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</si>
  <si>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</si>
  <si>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</si>
  <si>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</si>
  <si>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</si>
  <si>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</si>
  <si>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</si>
  <si>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</si>
  <si>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</si>
  <si>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</si>
  <si>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</si>
  <si>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</si>
  <si>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</si>
  <si>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</si>
  <si>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</si>
  <si>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</si>
  <si>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</si>
  <si>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</si>
  <si>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</si>
  <si>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</si>
  <si>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</si>
  <si>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</si>
  <si>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</si>
  <si>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</si>
  <si>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</si>
  <si>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</si>
  <si>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</si>
  <si>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</si>
  <si>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</si>
  <si>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</si>
  <si>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</si>
  <si>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</si>
  <si>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</si>
  <si>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</si>
  <si>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</si>
  <si>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</si>
  <si>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</si>
  <si>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</si>
  <si>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</si>
  <si>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</si>
  <si>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</si>
  <si>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</si>
  <si>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</si>
  <si>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</si>
  <si>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</si>
  <si>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</si>
  <si>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</si>
  <si>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</si>
  <si>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</si>
  <si>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</si>
  <si>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</si>
  <si>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</si>
  <si>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</si>
  <si>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</si>
  <si>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</si>
  <si>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</si>
  <si>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</si>
  <si>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</si>
  <si>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</si>
  <si>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</si>
  <si>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</si>
  <si>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</si>
  <si>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</si>
  <si>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</si>
  <si>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</si>
  <si>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</si>
  <si>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</si>
  <si>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</si>
  <si>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</si>
  <si>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</si>
  <si>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</si>
  <si>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</si>
  <si>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</si>
  <si>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</si>
  <si>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</si>
  <si>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</si>
  <si>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</si>
  <si>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</si>
  <si>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</si>
  <si>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</si>
  <si>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</si>
  <si>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</si>
  <si>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</si>
  <si>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</si>
  <si>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</si>
  <si>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</si>
  <si>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</si>
  <si>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</si>
  <si>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</si>
  <si>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</si>
  <si>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</si>
  <si>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</si>
  <si>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</si>
  <si>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</si>
  <si>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</si>
  <si>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</si>
  <si>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</si>
  <si>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</si>
  <si>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</si>
  <si>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</si>
  <si>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</si>
  <si>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</si>
  <si>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</si>
  <si>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</si>
  <si>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</si>
  <si>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</si>
  <si>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</si>
  <si>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</si>
  <si>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</si>
  <si>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</si>
  <si>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</si>
  <si>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</si>
  <si>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</si>
  <si>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</si>
  <si>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</si>
  <si>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</si>
  <si>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</si>
  <si>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</si>
  <si>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</si>
  <si>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</si>
  <si>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</si>
  <si>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</si>
  <si>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</si>
  <si>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</si>
  <si>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</si>
  <si>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</si>
  <si>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</si>
  <si>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</si>
  <si>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</si>
  <si>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</si>
  <si>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</si>
  <si>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</si>
  <si>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</si>
  <si>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</si>
  <si>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</si>
  <si>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</si>
  <si>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</si>
  <si>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</si>
  <si>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</si>
  <si>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</si>
  <si>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</si>
  <si>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</si>
  <si>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朝云集团</t>
  </si>
  <si>
    <t>6601.HK</t>
  </si>
  <si>
    <t/>
  </si>
  <si>
    <t>CNS_04</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</si>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</sst>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5EC5DD41-0512-4484-B144-76153E68F572}"/>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601.HK_Valuation_backup.xlsx" TargetMode="External"/><Relationship Id="rId1" Type="http://schemas.openxmlformats.org/officeDocument/2006/relationships/externalLinkPath" Target="6601.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1333333500</v>
          </cell>
        </row>
        <row r="12">
          <cell r="C12">
            <v>2.63</v>
          </cell>
        </row>
        <row r="13">
          <cell r="C13" t="str">
            <v>HKD</v>
          </cell>
        </row>
        <row r="16">
          <cell r="C16">
            <v>1.0942760599999999</v>
          </cell>
        </row>
        <row r="21">
          <cell r="E21" t="str">
            <v>DCF</v>
          </cell>
        </row>
        <row r="25">
          <cell r="C25" t="str">
            <v>CNY</v>
          </cell>
        </row>
        <row r="86">
          <cell r="C86">
            <v>7.4999999999999997E-2</v>
          </cell>
        </row>
        <row r="92">
          <cell r="C92">
            <v>0</v>
          </cell>
        </row>
      </sheetData>
      <sheetData sheetId="1">
        <row r="3">
          <cell r="C3">
            <v>1000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45730</v>
      </c>
      <c r="D1" s="358" t="str">
        <f>Thesis!D1</f>
        <v>INT</v>
      </c>
      <c r="E1" s="292" t="s">
        <v>344</v>
      </c>
      <c r="F1" s="307" t="str">
        <f>Thesis!F1</f>
        <v>Y</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朝云集团</v>
      </c>
    </row>
    <row r="6" spans="1:10">
      <c r="B6" s="4" t="s">
        <v>481</v>
      </c>
      <c r="C6" s="34">
        <f>Common_Shares</f>
        <v>1333333500</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6601.HK</v>
      </c>
      <c r="D11" s="49"/>
      <c r="E11" s="34"/>
    </row>
    <row r="12" spans="1:10">
      <c r="B12" s="4" t="s">
        <v>485</v>
      </c>
      <c r="C12" s="366">
        <f>Market_Price</f>
        <v>2.85</v>
      </c>
      <c r="D12" s="50"/>
      <c r="E12" s="48"/>
    </row>
    <row r="13" spans="1:10">
      <c r="B13" s="1" t="s">
        <v>486</v>
      </c>
      <c r="C13" s="32" t="str">
        <f>Market_currency</f>
        <v>HKD</v>
      </c>
      <c r="D13" s="48"/>
      <c r="E13" s="5"/>
    </row>
    <row r="14" spans="1:10">
      <c r="B14" s="4" t="s">
        <v>487</v>
      </c>
      <c r="C14" s="35">
        <f>投资主题!C12*Common_Shares/1000000</f>
        <v>3800.0004749999998</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1.09420636</v>
      </c>
      <c r="D16" s="50"/>
      <c r="E16" s="5"/>
    </row>
    <row r="17" spans="2:6">
      <c r="D17" s="5"/>
      <c r="E17" s="5"/>
    </row>
    <row r="18" spans="2:6" ht="24.6" customHeight="1">
      <c r="B18" s="374" t="s">
        <v>490</v>
      </c>
      <c r="C18" s="374"/>
      <c r="D18" s="374"/>
      <c r="E18" s="374"/>
      <c r="F18" s="374"/>
    </row>
    <row r="20" spans="2:6">
      <c r="B20" s="45" t="s">
        <v>491</v>
      </c>
      <c r="C20" s="46"/>
      <c r="D20" s="5"/>
    </row>
    <row r="21" spans="2:6">
      <c r="B21" s="2" t="s">
        <v>442</v>
      </c>
      <c r="C21" s="32" t="str">
        <f>IF(Scenarios!C69="Y",Scenarios!B69,"")&amp;IF(Scenarios!C70="Y",Scenarios!B70,"")&amp;IF(Scenarios!C71="Y",Scenarios!B71,"")&amp;" "&amp;IF(Scenarios!C72="Y",Scenarios!B72,"")</f>
        <v>Low Growth Asset Play</v>
      </c>
      <c r="D21" s="1" t="s">
        <v>448</v>
      </c>
      <c r="E21" s="363" t="str">
        <f>valuation_method</f>
        <v>DCF</v>
      </c>
    </row>
    <row r="22" spans="2:6">
      <c r="B22" s="2" t="s">
        <v>443</v>
      </c>
      <c r="C22" s="32" t="str">
        <f>Thesis!C22</f>
        <v>CNS_04</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2.8389792454451634</v>
      </c>
      <c r="D26" s="1" t="s">
        <v>447</v>
      </c>
      <c r="E26" s="301">
        <f ca="1">Scenarios!C87</f>
        <v>3.7880160952401765E-2</v>
      </c>
    </row>
    <row r="27" spans="2:6">
      <c r="D27" s="5"/>
      <c r="E27" s="5"/>
    </row>
    <row r="28" spans="2:6">
      <c r="B28" s="45" t="s">
        <v>449</v>
      </c>
      <c r="C28" s="309" t="str">
        <f>C145&amp;" ("&amp;Market_currency&amp;")"</f>
        <v>6601.HK (HKD)</v>
      </c>
      <c r="D28" s="309" t="str">
        <f>IF(D11="","",D145&amp;" ("&amp;D13&amp;")")</f>
        <v/>
      </c>
      <c r="E28" s="305" t="s">
        <v>454</v>
      </c>
      <c r="F28" s="361">
        <f>Thesis!F28</f>
        <v>3</v>
      </c>
    </row>
    <row r="29" spans="2:6">
      <c r="B29" s="1" t="s">
        <v>450</v>
      </c>
      <c r="C29" s="310">
        <f>C149</f>
        <v>1.3429650795214469</v>
      </c>
      <c r="D29" s="310" t="str">
        <f>D149</f>
        <v/>
      </c>
      <c r="E29" s="306" t="s">
        <v>456</v>
      </c>
      <c r="F29" s="362">
        <f>Thesis!F29</f>
        <v>0.35</v>
      </c>
    </row>
    <row r="30" spans="2:6">
      <c r="B30" s="1" t="s">
        <v>451</v>
      </c>
      <c r="C30" s="311">
        <f>C157</f>
        <v>1.6711982215971937</v>
      </c>
      <c r="D30" s="311" t="str">
        <f>D157</f>
        <v/>
      </c>
      <c r="E30" s="307" t="s">
        <v>455</v>
      </c>
      <c r="F30" s="224">
        <f>Thesis!F30</f>
        <v>0.25</v>
      </c>
    </row>
    <row r="31" spans="2:6">
      <c r="B31" s="1" t="s">
        <v>452</v>
      </c>
      <c r="C31" s="311">
        <f>C165</f>
        <v>2.5752154419851916</v>
      </c>
      <c r="D31" s="311" t="str">
        <f>D165</f>
        <v/>
      </c>
      <c r="E31" s="307" t="s">
        <v>492</v>
      </c>
      <c r="F31" s="224">
        <f>Thesis!F31</f>
        <v>7.4999999999999997E-2</v>
      </c>
    </row>
    <row r="32" spans="2:6">
      <c r="B32" s="1" t="s">
        <v>453</v>
      </c>
      <c r="C32" s="311">
        <f>C173</f>
        <v>2.3038642885612326</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4" t="s">
        <v>493</v>
      </c>
      <c r="C36" s="374"/>
      <c r="D36" s="374"/>
      <c r="E36" s="374"/>
      <c r="F36" s="374"/>
    </row>
    <row r="37" spans="1:6" ht="24.6" customHeight="1">
      <c r="B37" s="377" t="s">
        <v>330</v>
      </c>
      <c r="C37" s="377"/>
      <c r="D37" s="377"/>
      <c r="E37" s="377"/>
      <c r="F37" s="377"/>
    </row>
    <row r="39" spans="1:6">
      <c r="B39" s="210" t="s">
        <v>494</v>
      </c>
      <c r="C39" s="108">
        <f>scaling_factor</f>
        <v>1000</v>
      </c>
    </row>
    <row r="40" spans="1:6">
      <c r="B40" s="370" t="s">
        <v>495</v>
      </c>
      <c r="C40" s="370"/>
      <c r="D40" s="370"/>
      <c r="E40" s="370"/>
      <c r="F40" s="370"/>
    </row>
    <row r="41" spans="1:6">
      <c r="B41" s="47" t="s">
        <v>228</v>
      </c>
      <c r="C41" s="349">
        <f>Normalized_FCF!C8</f>
        <v>113776.93034265516</v>
      </c>
      <c r="D41" s="1" t="str">
        <f>Reporting_currency</f>
        <v>CNY</v>
      </c>
    </row>
    <row r="42" spans="1:6">
      <c r="B42" s="47"/>
      <c r="C42" s="76"/>
    </row>
    <row r="43" spans="1:6" ht="24.6" customHeight="1">
      <c r="B43" s="370" t="s">
        <v>496</v>
      </c>
      <c r="C43" s="370"/>
      <c r="D43" s="370"/>
      <c r="E43" s="370"/>
      <c r="F43" s="370"/>
    </row>
    <row r="44" spans="1:6">
      <c r="B44" s="47" t="s">
        <v>230</v>
      </c>
      <c r="C44" s="349">
        <f>Normalized_FCF!C9</f>
        <v>35974</v>
      </c>
      <c r="D44" s="1" t="str">
        <f>Reporting_currency</f>
        <v>CNY</v>
      </c>
    </row>
    <row r="45" spans="1:6">
      <c r="B45" s="52" t="s">
        <v>231</v>
      </c>
      <c r="C45" s="349">
        <f>Normalized_FCF!C10</f>
        <v>-35974</v>
      </c>
      <c r="D45" s="1" t="str">
        <f>Reporting_currency</f>
        <v>CNY</v>
      </c>
    </row>
    <row r="47" spans="1:6">
      <c r="B47" s="370" t="s">
        <v>497</v>
      </c>
      <c r="C47" s="370"/>
      <c r="D47" s="370"/>
      <c r="E47" s="370"/>
      <c r="F47" s="370"/>
    </row>
    <row r="48" spans="1:6">
      <c r="B48" s="47" t="s">
        <v>233</v>
      </c>
      <c r="C48" s="349">
        <f>Normalized_FCF!C11</f>
        <v>0</v>
      </c>
      <c r="D48" s="1" t="str">
        <f>Reporting_currency</f>
        <v>CNY</v>
      </c>
    </row>
    <row r="50" spans="2:6">
      <c r="B50" s="370" t="s">
        <v>498</v>
      </c>
      <c r="C50" s="370"/>
      <c r="D50" s="370"/>
      <c r="E50" s="370"/>
      <c r="F50" s="370"/>
    </row>
    <row r="51" spans="2:6">
      <c r="B51" s="47" t="s">
        <v>331</v>
      </c>
      <c r="C51" s="350">
        <f>Normalized_FCF!C48</f>
        <v>25015.292791864355</v>
      </c>
      <c r="D51" s="1" t="str">
        <f>Reporting_currency</f>
        <v>CNY</v>
      </c>
      <c r="E51" s="286"/>
      <c r="F51" s="286"/>
    </row>
    <row r="52" spans="2:6">
      <c r="B52" s="47" t="s">
        <v>332</v>
      </c>
      <c r="C52" s="350">
        <f>Normalized_FCF!C47</f>
        <v>-1880</v>
      </c>
      <c r="D52" s="1" t="str">
        <f>Reporting_currency</f>
        <v>CNY</v>
      </c>
      <c r="E52" s="286"/>
      <c r="F52" s="286"/>
    </row>
    <row r="53" spans="2:6">
      <c r="B53" s="47" t="s">
        <v>234</v>
      </c>
      <c r="C53" s="349">
        <f>Normalized_FCF!C12</f>
        <v>23135.292791864355</v>
      </c>
      <c r="D53" s="1" t="str">
        <f>Reporting_currency</f>
        <v>CNY</v>
      </c>
    </row>
    <row r="55" spans="2:6">
      <c r="B55" s="1" t="s">
        <v>499</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-34228.055783629883</v>
      </c>
      <c r="D59" s="1" t="str">
        <f>Reporting_currency</f>
        <v>CNY</v>
      </c>
    </row>
    <row r="61" spans="2:6">
      <c r="B61" s="370" t="s">
        <v>500</v>
      </c>
      <c r="C61" s="376"/>
      <c r="D61" s="376"/>
      <c r="E61" s="376"/>
      <c r="F61" s="376"/>
    </row>
    <row r="62" spans="2:6">
      <c r="B62" s="47" t="s">
        <v>238</v>
      </c>
      <c r="C62" s="349">
        <f>Normalized_FCF!C17</f>
        <v>0</v>
      </c>
      <c r="D62" s="1" t="str">
        <f>Reporting_currency</f>
        <v>CNY</v>
      </c>
    </row>
    <row r="64" spans="2:6">
      <c r="B64" s="374" t="s">
        <v>501</v>
      </c>
      <c r="C64" s="374"/>
      <c r="D64" s="374"/>
      <c r="E64" s="374"/>
      <c r="F64" s="374"/>
    </row>
    <row r="65" spans="1:6">
      <c r="B65" s="374" t="s">
        <v>502</v>
      </c>
      <c r="C65" s="374"/>
      <c r="D65" s="374"/>
      <c r="E65" s="374"/>
      <c r="F65" s="374"/>
    </row>
    <row r="67" spans="1:6">
      <c r="B67" s="47" t="s">
        <v>503</v>
      </c>
      <c r="C67" s="349">
        <f>Normalized_FCF!G19</f>
        <v>133753.29279186437</v>
      </c>
      <c r="D67" s="1" t="str">
        <f>Reporting_currency</f>
        <v>CNY</v>
      </c>
    </row>
    <row r="68" spans="1:6">
      <c r="B68" s="47" t="s">
        <v>244</v>
      </c>
      <c r="C68" s="349">
        <f>Normalized_FCF!C19</f>
        <v>102684.16735088965</v>
      </c>
      <c r="D68" s="1" t="str">
        <f>Reporting_currency</f>
        <v>CNY</v>
      </c>
    </row>
    <row r="69" spans="1:6">
      <c r="B69" s="227" t="s">
        <v>371</v>
      </c>
      <c r="C69" s="92">
        <f>Normalized_FCF!C126</f>
        <v>2.9567803932089722E-2</v>
      </c>
      <c r="F69" s="314"/>
    </row>
    <row r="70" spans="1:6">
      <c r="B70" s="227" t="s">
        <v>435</v>
      </c>
      <c r="C70" s="92">
        <f>Normalized_FCF!C94</f>
        <v>3.9121521413803192E-2</v>
      </c>
      <c r="E70" s="47" t="s">
        <v>504</v>
      </c>
      <c r="F70" s="315">
        <f>Normalized_FCF!C92</f>
        <v>1.4477577584786914</v>
      </c>
    </row>
    <row r="72" spans="1:6">
      <c r="B72" s="210" t="s">
        <v>514</v>
      </c>
      <c r="C72" s="323" t="s">
        <v>430</v>
      </c>
      <c r="D72" s="323" t="s">
        <v>505</v>
      </c>
    </row>
    <row r="73" spans="1:6">
      <c r="B73" s="47" t="s">
        <v>429</v>
      </c>
      <c r="C73" s="92">
        <f>Normalized_FCF!C121</f>
        <v>4.3342755547320283E-2</v>
      </c>
      <c r="D73" s="92">
        <f>Normalized_FCF!G121</f>
        <v>5.7307142840999907E-2</v>
      </c>
    </row>
    <row r="74" spans="1:6">
      <c r="B74" s="259" t="str">
        <f>Normalized_FCF!B118</f>
        <v>Pre-tax Profit/Sales</v>
      </c>
      <c r="C74" s="322">
        <f>Normalized_FCF!C118</f>
        <v>8.4127165774618429E-2</v>
      </c>
      <c r="D74" s="322">
        <f>Normalized_FCF!G118</f>
        <v>9.9457445817426424E-2</v>
      </c>
    </row>
    <row r="75" spans="1:6">
      <c r="B75" s="259" t="str">
        <f>Normalized_FCF!B119</f>
        <v>Sales/Total Assets</v>
      </c>
      <c r="C75" s="324">
        <f>Normalized_FCF!C119</f>
        <v>0.42808280043619051</v>
      </c>
      <c r="D75" s="324">
        <f>Normalized_FCF!G119</f>
        <v>0.47876122884928152</v>
      </c>
    </row>
    <row r="76" spans="1:6">
      <c r="B76" s="259" t="str">
        <f>Normalized_FCF!B120</f>
        <v>Total Assets/Equity</v>
      </c>
      <c r="C76" s="324">
        <f>Normalized_FCF!C120</f>
        <v>1.2035176992971439</v>
      </c>
      <c r="D76" s="324">
        <f>Normalized_FCF!G120</f>
        <v>1.2035176992971439</v>
      </c>
    </row>
    <row r="78" spans="1:6" ht="13.9">
      <c r="A78" s="222" t="s">
        <v>506</v>
      </c>
      <c r="B78" s="36"/>
      <c r="C78" s="36"/>
      <c r="D78" s="36"/>
      <c r="E78" s="36"/>
      <c r="F78" s="36"/>
    </row>
    <row r="79" spans="1:6">
      <c r="A79" s="209"/>
    </row>
    <row r="80" spans="1:6">
      <c r="A80" s="17"/>
      <c r="B80" s="374" t="s">
        <v>507</v>
      </c>
      <c r="C80" s="374"/>
      <c r="D80" s="374"/>
      <c r="E80" s="374"/>
      <c r="F80" s="374"/>
    </row>
    <row r="81" spans="1:6">
      <c r="B81" s="377" t="s">
        <v>248</v>
      </c>
      <c r="C81" s="377"/>
      <c r="D81" s="377"/>
      <c r="E81" s="377"/>
      <c r="F81" s="377"/>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4" t="s">
        <v>508</v>
      </c>
      <c r="C89" s="374"/>
      <c r="D89" s="374"/>
      <c r="E89" s="374"/>
      <c r="F89" s="374"/>
    </row>
    <row r="90" spans="1:6">
      <c r="B90" s="374" t="s">
        <v>509</v>
      </c>
      <c r="C90" s="374"/>
      <c r="D90" s="374"/>
      <c r="E90" s="374"/>
      <c r="F90" s="374"/>
    </row>
    <row r="92" spans="1:6">
      <c r="B92" s="47" t="s">
        <v>247</v>
      </c>
      <c r="C92" s="236">
        <v>0</v>
      </c>
    </row>
    <row r="93" spans="1:6">
      <c r="B93" s="47" t="s">
        <v>275</v>
      </c>
      <c r="C93" s="223">
        <f>DCF!C6*scaling_factor*Exchange_Rate/Common_Shares</f>
        <v>1.1235765494194094</v>
      </c>
      <c r="D93" s="1" t="str">
        <f>Market_currency</f>
        <v>HKD</v>
      </c>
    </row>
    <row r="95" spans="1:6" ht="13.9">
      <c r="A95" s="222" t="s">
        <v>510</v>
      </c>
      <c r="B95" s="36"/>
      <c r="C95" s="36"/>
      <c r="D95" s="36"/>
      <c r="E95" s="36"/>
      <c r="F95" s="36"/>
    </row>
    <row r="96" spans="1:6">
      <c r="A96" s="209"/>
    </row>
    <row r="97" spans="2:6">
      <c r="B97" s="374" t="s">
        <v>511</v>
      </c>
      <c r="C97" s="374"/>
      <c r="D97" s="374"/>
      <c r="E97" s="374"/>
      <c r="F97" s="374"/>
    </row>
    <row r="98" spans="2:6">
      <c r="B98" s="1" t="s">
        <v>249</v>
      </c>
    </row>
    <row r="100" spans="2:6">
      <c r="B100" s="210" t="s">
        <v>494</v>
      </c>
    </row>
    <row r="101" spans="2:6">
      <c r="B101" s="374" t="s">
        <v>512</v>
      </c>
      <c r="C101" s="374"/>
      <c r="D101" s="374"/>
      <c r="E101" s="374"/>
      <c r="F101" s="374"/>
    </row>
    <row r="102" spans="2:6">
      <c r="B102" s="47" t="s">
        <v>251</v>
      </c>
      <c r="C102" s="349">
        <f>DCF!C7</f>
        <v>33999</v>
      </c>
      <c r="D102" s="1" t="str">
        <f>Reporting_currency</f>
        <v>CNY</v>
      </c>
    </row>
    <row r="103" spans="2:6">
      <c r="B103" s="47" t="s">
        <v>276</v>
      </c>
      <c r="C103" s="223">
        <f>C102*scaling_factor*Exchange_Rate/Common_Shares</f>
        <v>2.7901438037550248E-2</v>
      </c>
      <c r="D103" s="1" t="str">
        <f>Market_currency</f>
        <v>HKD</v>
      </c>
    </row>
    <row r="104" spans="2:6">
      <c r="B104" s="296" t="s">
        <v>384</v>
      </c>
      <c r="C104" s="325">
        <f>IF(BS!G31/BS!G27&gt;300%,"nm",BS!G31/BS!G27)</f>
        <v>1.0763175939415467E-2</v>
      </c>
    </row>
    <row r="105" spans="2:6">
      <c r="B105" s="296" t="s">
        <v>386</v>
      </c>
      <c r="C105" s="326">
        <f>IF(BS!C50&gt;30,"nm",BS!C50)</f>
        <v>0.29882156160837919</v>
      </c>
    </row>
    <row r="107" spans="2:6">
      <c r="B107" s="1" t="s">
        <v>515</v>
      </c>
    </row>
    <row r="108" spans="2:6">
      <c r="B108" s="47" t="s">
        <v>260</v>
      </c>
      <c r="C108" s="349">
        <f>BS!C66</f>
        <v>2707640</v>
      </c>
      <c r="D108" s="1" t="str">
        <f>Reporting_currency</f>
        <v>CNY</v>
      </c>
    </row>
    <row r="109" spans="2:6">
      <c r="B109" s="47" t="s">
        <v>262</v>
      </c>
      <c r="C109" s="349">
        <f>DCF!C8</f>
        <v>1876475.7318604067</v>
      </c>
      <c r="D109" s="1" t="str">
        <f>Reporting_currency</f>
        <v>CNY</v>
      </c>
    </row>
    <row r="110" spans="2:6">
      <c r="B110" s="47" t="s">
        <v>277</v>
      </c>
      <c r="C110" s="223">
        <f>C109*scaling_factor*Exchange_Rate/Common_Shares</f>
        <v>1.5399385676481627</v>
      </c>
      <c r="D110" s="1" t="str">
        <f>Market_currency</f>
        <v>HKD</v>
      </c>
    </row>
    <row r="112" spans="2:6">
      <c r="B112" s="1" t="s">
        <v>516</v>
      </c>
    </row>
    <row r="113" spans="1:6">
      <c r="B113" s="47" t="s">
        <v>253</v>
      </c>
      <c r="C113" s="349">
        <f>DCF!C9</f>
        <v>229590.09999999998</v>
      </c>
      <c r="D113" s="1" t="str">
        <f>Reporting_currency</f>
        <v>CNY</v>
      </c>
    </row>
    <row r="114" spans="1:6">
      <c r="B114" s="47" t="s">
        <v>278</v>
      </c>
      <c r="C114" s="223">
        <f>C113*scaling_factor*Exchange_Rate/Common_Shares</f>
        <v>0.18841418715800359</v>
      </c>
      <c r="D114" s="1" t="str">
        <f>Market_currency</f>
        <v>HKD</v>
      </c>
    </row>
    <row r="116" spans="1:6">
      <c r="B116" s="374" t="s">
        <v>517</v>
      </c>
      <c r="C116" s="374"/>
      <c r="D116" s="374"/>
      <c r="E116" s="374"/>
      <c r="F116" s="374"/>
    </row>
    <row r="118" spans="1:6">
      <c r="B118" s="47" t="s">
        <v>518</v>
      </c>
      <c r="C118" s="223">
        <f>IF(valuation_method="DCF",DCF!C12,DDM!C7)</f>
        <v>2.8240278661880258</v>
      </c>
      <c r="D118" s="1" t="str">
        <f>Market_currency</f>
        <v>HKD</v>
      </c>
    </row>
    <row r="119" spans="1:6">
      <c r="B119" s="296" t="s">
        <v>551</v>
      </c>
      <c r="C119" s="223">
        <f>BS!D47</f>
        <v>1.9134260306667197</v>
      </c>
      <c r="D119" s="1" t="str">
        <f>Market_currency</f>
        <v>HKD</v>
      </c>
    </row>
    <row r="121" spans="1:6" ht="13.9">
      <c r="A121" s="222" t="s">
        <v>519</v>
      </c>
      <c r="B121" s="36"/>
      <c r="C121" s="36"/>
      <c r="D121" s="36"/>
      <c r="E121" s="36"/>
      <c r="F121" s="36"/>
    </row>
    <row r="123" spans="1:6">
      <c r="B123" s="370" t="s">
        <v>520</v>
      </c>
      <c r="C123" s="370"/>
      <c r="D123" s="370"/>
      <c r="E123" s="370"/>
      <c r="F123" s="370"/>
    </row>
    <row r="125" spans="1:6" ht="12.4">
      <c r="B125" s="233" t="s">
        <v>521</v>
      </c>
      <c r="C125" s="233" t="s">
        <v>522</v>
      </c>
      <c r="D125" s="233" t="s">
        <v>108</v>
      </c>
      <c r="E125" s="233" t="s">
        <v>523</v>
      </c>
      <c r="F125" s="233" t="s">
        <v>524</v>
      </c>
    </row>
    <row r="126" spans="1:6">
      <c r="B126" s="228" t="str">
        <f>DCF!B74</f>
        <v>Snowball Scenario</v>
      </c>
      <c r="C126" s="229">
        <f>DCF!C74</f>
        <v>0.08</v>
      </c>
      <c r="D126" s="230">
        <f>DCF!D74</f>
        <v>15</v>
      </c>
      <c r="E126" s="231" t="str">
        <f>ROUND(IF(valuation_method="DCF",DCF!E74,DDM!E69),2)&amp;" "&amp;Market_currency</f>
        <v>3.42 HKD</v>
      </c>
      <c r="F126" s="232">
        <f>DCF!F74</f>
        <v>0.05</v>
      </c>
    </row>
    <row r="127" spans="1:6">
      <c r="B127" s="218" t="str">
        <f>DCF!B75</f>
        <v>Optimistic</v>
      </c>
      <c r="C127" s="219">
        <f>DCF!C75</f>
        <v>0.04</v>
      </c>
      <c r="D127" s="220">
        <f>DCF!D75</f>
        <v>10</v>
      </c>
      <c r="E127" s="231" t="str">
        <f>ROUND(IF(valuation_method="DCF",DCF!E75,DDM!E70),2)&amp;" "&amp;Market_currency</f>
        <v>2.97 HKD</v>
      </c>
      <c r="F127" s="221">
        <f>DCF!F75</f>
        <v>0.17</v>
      </c>
    </row>
    <row r="128" spans="1:6">
      <c r="B128" s="218" t="str">
        <f>DCF!B76</f>
        <v>Base</v>
      </c>
      <c r="C128" s="219">
        <f>DCF!C76</f>
        <v>0.02</v>
      </c>
      <c r="D128" s="220">
        <f>DCF!D76</f>
        <v>10</v>
      </c>
      <c r="E128" s="231" t="str">
        <f>ROUND(IF(valuation_method="DCF",DCF!E76,DDM!E71),2)&amp;" "&amp;Market_currency</f>
        <v>2.89 HKD</v>
      </c>
      <c r="F128" s="221">
        <f>DCF!F76</f>
        <v>0.51</v>
      </c>
    </row>
    <row r="129" spans="1:6">
      <c r="B129" s="218" t="str">
        <f>DCF!B77</f>
        <v>Pessimistic</v>
      </c>
      <c r="C129" s="219">
        <f>DCF!C77</f>
        <v>-0.08</v>
      </c>
      <c r="D129" s="220">
        <f>DCF!D77</f>
        <v>10</v>
      </c>
      <c r="E129" s="231" t="str">
        <f>ROUND(IF(valuation_method="DCF",DCF!E77,DDM!E72),2)&amp;" "&amp;Market_currency</f>
        <v>2.6 HKD</v>
      </c>
      <c r="F129" s="221">
        <f>DCF!F77</f>
        <v>0.17</v>
      </c>
    </row>
    <row r="130" spans="1:6">
      <c r="B130" s="218" t="str">
        <f>DCF!B78</f>
        <v>Devil's advocate</v>
      </c>
      <c r="C130" s="219">
        <f>DCF!C78</f>
        <v>-0.1</v>
      </c>
      <c r="D130" s="220">
        <f>DCF!D78</f>
        <v>15</v>
      </c>
      <c r="E130" s="231" t="str">
        <f>ROUND(IF(valuation_method="DCF",DCF!E78,DDM!E73),2)&amp;" "&amp;Market_currency</f>
        <v>2.45 HKD</v>
      </c>
      <c r="F130" s="221">
        <f>DCF!F78</f>
        <v>0.1</v>
      </c>
    </row>
    <row r="132" spans="1:6">
      <c r="B132" s="211" t="s">
        <v>254</v>
      </c>
      <c r="C132" s="217">
        <f>Scenarios!C60</f>
        <v>2.8389792454451634</v>
      </c>
      <c r="D132" s="212" t="str">
        <f>Market_currency</f>
        <v>HKD</v>
      </c>
    </row>
    <row r="134" spans="1:6">
      <c r="B134" s="372" t="s">
        <v>525</v>
      </c>
      <c r="C134" s="372"/>
      <c r="D134" s="372"/>
      <c r="E134" s="372"/>
      <c r="F134" s="372"/>
    </row>
    <row r="136" spans="1:6" ht="13.9">
      <c r="A136" s="222" t="s">
        <v>526</v>
      </c>
      <c r="B136" s="36"/>
      <c r="C136" s="36"/>
      <c r="D136" s="36"/>
      <c r="E136" s="36"/>
      <c r="F136" s="36"/>
    </row>
    <row r="138" spans="1:6">
      <c r="B138" s="373" t="s">
        <v>527</v>
      </c>
      <c r="C138" s="373"/>
      <c r="D138" s="373"/>
      <c r="E138" s="373"/>
      <c r="F138" s="373"/>
    </row>
    <row r="139" spans="1:6" ht="24.6" customHeight="1">
      <c r="B139" s="374" t="s">
        <v>528</v>
      </c>
      <c r="C139" s="374"/>
      <c r="D139" s="374"/>
      <c r="E139" s="374"/>
      <c r="F139" s="374"/>
    </row>
    <row r="140" spans="1:6">
      <c r="B140" s="210" t="s">
        <v>494</v>
      </c>
    </row>
    <row r="141" spans="1:6">
      <c r="B141" s="1" t="s">
        <v>529</v>
      </c>
      <c r="C141" s="225">
        <f>F28</f>
        <v>3</v>
      </c>
    </row>
    <row r="142" spans="1:6">
      <c r="B142" s="1" t="s">
        <v>530</v>
      </c>
      <c r="C142" s="224">
        <f>F29</f>
        <v>0.35</v>
      </c>
    </row>
    <row r="143" spans="1:6">
      <c r="B143" s="212" t="s">
        <v>531</v>
      </c>
      <c r="C143" s="213">
        <f>Scenarios!C77</f>
        <v>0.1114963360293391</v>
      </c>
      <c r="D143" s="212" t="str">
        <f>Market_currency</f>
        <v>HKD</v>
      </c>
    </row>
    <row r="145" spans="2:4">
      <c r="B145" s="210" t="s">
        <v>532</v>
      </c>
      <c r="C145" s="241" t="str">
        <f>C11</f>
        <v>6601.HK</v>
      </c>
      <c r="D145" s="241" t="str">
        <f>IF(D11="","",D11)</f>
        <v/>
      </c>
    </row>
    <row r="146" spans="2:4">
      <c r="B146" s="1" t="s">
        <v>387</v>
      </c>
      <c r="C146" s="297">
        <f>F29</f>
        <v>0.35</v>
      </c>
    </row>
    <row r="147" spans="2:4">
      <c r="B147" s="212" t="str">
        <f>"PV("&amp;C141&amp;" yrs of Dividends)"</f>
        <v>PV(3 yrs of Dividends)</v>
      </c>
      <c r="C147" s="216">
        <f>Scenarios!C81</f>
        <v>0.18908437213124724</v>
      </c>
    </row>
    <row r="148" spans="2:4">
      <c r="B148" s="212" t="str">
        <f>"+ PV(Equity Value realized at year "&amp;C141&amp;")"</f>
        <v>+ PV(Equity Value realized at year 3)</v>
      </c>
      <c r="C148" s="216">
        <f>Scenarios!C82</f>
        <v>1.1538807073901998</v>
      </c>
    </row>
    <row r="149" spans="2:4">
      <c r="B149" s="80" t="s">
        <v>256</v>
      </c>
      <c r="C149" s="215">
        <f>Scenarios!C83</f>
        <v>1.3429650795214469</v>
      </c>
      <c r="D149" s="300" t="str">
        <f>IF($D$11="","",C149*$E$25)</f>
        <v/>
      </c>
    </row>
    <row r="150" spans="2:4">
      <c r="B150" s="259" t="s">
        <v>533</v>
      </c>
      <c r="C150" s="298" t="str">
        <f>Market_currency</f>
        <v>HKD</v>
      </c>
      <c r="D150" s="298" t="str">
        <f>IF($D$11="","",D$13)</f>
        <v/>
      </c>
    </row>
    <row r="151" spans="2:4">
      <c r="B151" s="214" t="s">
        <v>534</v>
      </c>
      <c r="C151" s="92">
        <f>Scenarios!F83</f>
        <v>0.5269549498552728</v>
      </c>
    </row>
    <row r="153" spans="2:4">
      <c r="B153" s="210" t="s">
        <v>391</v>
      </c>
    </row>
    <row r="154" spans="2:4">
      <c r="B154" s="1" t="s">
        <v>390</v>
      </c>
      <c r="C154" s="297">
        <f>Scenarios!C90</f>
        <v>0.25</v>
      </c>
    </row>
    <row r="155" spans="2:4">
      <c r="B155" s="212" t="str">
        <f>"PV("&amp;C141&amp;" yrs of Dividends)"</f>
        <v>PV(3 yrs of Dividends)</v>
      </c>
      <c r="C155" s="216">
        <f>Scenarios!C91</f>
        <v>0.21764084792926994</v>
      </c>
    </row>
    <row r="156" spans="2:4">
      <c r="B156" s="212" t="str">
        <f>"+ PV(Equity Value realized at year "&amp;C141&amp;")"</f>
        <v>+ PV(Equity Value realized at year 3)</v>
      </c>
      <c r="C156" s="216">
        <f>Scenarios!C92</f>
        <v>1.4535573736679237</v>
      </c>
    </row>
    <row r="157" spans="2:4">
      <c r="B157" s="80" t="s">
        <v>256</v>
      </c>
      <c r="C157" s="215">
        <f>Scenarios!C93</f>
        <v>1.6711982215971937</v>
      </c>
      <c r="D157" s="300" t="str">
        <f>IF($D$11="","",C157*$E$25)</f>
        <v/>
      </c>
    </row>
    <row r="158" spans="2:4">
      <c r="B158" s="259" t="s">
        <v>533</v>
      </c>
      <c r="C158" s="298" t="str">
        <f>Market_currency</f>
        <v>HKD</v>
      </c>
      <c r="D158" s="298" t="str">
        <f>IF($D$11="","",D$13)</f>
        <v/>
      </c>
    </row>
    <row r="159" spans="2:4">
      <c r="B159" s="214" t="s">
        <v>534</v>
      </c>
      <c r="C159" s="92">
        <f>Scenarios!F93</f>
        <v>0.41133834483698628</v>
      </c>
    </row>
    <row r="161" spans="2:4">
      <c r="B161" s="210" t="s">
        <v>381</v>
      </c>
    </row>
    <row r="162" spans="2:4">
      <c r="B162" s="1" t="s">
        <v>389</v>
      </c>
      <c r="C162" s="92">
        <f>Scenarios!C96</f>
        <v>7.4999999999999997E-2</v>
      </c>
    </row>
    <row r="163" spans="2:4">
      <c r="B163" s="212" t="str">
        <f>"PV("&amp;C141&amp;" yrs of Dividends)"</f>
        <v>PV(3 yrs of Dividends)</v>
      </c>
      <c r="C163" s="216">
        <f>Scenarios!C97</f>
        <v>0.28994909174570971</v>
      </c>
    </row>
    <row r="164" spans="2:4">
      <c r="B164" s="212" t="str">
        <f>"+ PV(Equity Value realized at year "&amp;C141&amp;")"</f>
        <v>+ PV(Equity Value realized at year 3)</v>
      </c>
      <c r="C164" s="216">
        <f>Scenarios!C98</f>
        <v>2.2852663502394819</v>
      </c>
    </row>
    <row r="165" spans="2:4">
      <c r="B165" s="80" t="s">
        <v>382</v>
      </c>
      <c r="C165" s="215">
        <f>Scenarios!C99</f>
        <v>2.5752154419851916</v>
      </c>
      <c r="D165" s="300" t="str">
        <f>IF($D$11="","",C165*$E$25)</f>
        <v/>
      </c>
    </row>
    <row r="166" spans="2:4">
      <c r="B166" s="259" t="s">
        <v>533</v>
      </c>
      <c r="C166" s="298" t="str">
        <f>Market_currency</f>
        <v>HKD</v>
      </c>
      <c r="D166" s="298" t="str">
        <f>IF($D$11="","",D$13)</f>
        <v/>
      </c>
    </row>
    <row r="167" spans="2:4">
      <c r="B167" s="214" t="s">
        <v>534</v>
      </c>
      <c r="C167" s="92">
        <f>Scenarios!F99</f>
        <v>9.2907971723693472E-2</v>
      </c>
    </row>
    <row r="169" spans="2:4">
      <c r="B169" s="210" t="s">
        <v>409</v>
      </c>
    </row>
    <row r="170" spans="2:4">
      <c r="B170" s="1" t="s">
        <v>400</v>
      </c>
      <c r="C170" s="92">
        <f>F32</f>
        <v>0.1174</v>
      </c>
    </row>
    <row r="171" spans="2:4">
      <c r="B171" s="212" t="str">
        <f>"PV("&amp;C141&amp;" yrs of Dividends)"</f>
        <v>PV(3 yrs of Dividends)</v>
      </c>
      <c r="C171" s="216">
        <f>Scenarios!C103</f>
        <v>0.26899640883508957</v>
      </c>
    </row>
    <row r="172" spans="2:4">
      <c r="B172" s="212" t="str">
        <f>"+ PV(Equity Value realized at year "&amp;C141&amp;")"</f>
        <v>+ PV(Equity Value realized at year 3)</v>
      </c>
      <c r="C172" s="216">
        <f>Scenarios!C104</f>
        <v>2.0348678797261432</v>
      </c>
    </row>
    <row r="173" spans="2:4">
      <c r="B173" s="80" t="s">
        <v>382</v>
      </c>
      <c r="C173" s="215">
        <f>Scenarios!C105</f>
        <v>2.3038642885612326</v>
      </c>
      <c r="D173" s="300" t="str">
        <f>IF($D$11="","",C173*$E$25)</f>
        <v/>
      </c>
    </row>
    <row r="174" spans="2:4">
      <c r="B174" s="259" t="s">
        <v>533</v>
      </c>
      <c r="C174" s="298" t="str">
        <f>Market_currency</f>
        <v>HKD</v>
      </c>
      <c r="D174" s="298" t="str">
        <f>IF($D$11="","",D$13)</f>
        <v/>
      </c>
    </row>
    <row r="175" spans="2:4">
      <c r="B175" s="214" t="s">
        <v>534</v>
      </c>
      <c r="C175" s="92">
        <f>Scenarios!F105</f>
        <v>0.19265983465853587</v>
      </c>
    </row>
    <row r="177" spans="1:6" ht="13.9">
      <c r="A177" s="222" t="s">
        <v>357</v>
      </c>
      <c r="B177" s="36"/>
      <c r="C177" s="36"/>
      <c r="D177" s="36"/>
      <c r="E177" s="36"/>
      <c r="F177" s="36"/>
    </row>
    <row r="179" spans="1:6">
      <c r="B179" s="375" t="s">
        <v>535</v>
      </c>
      <c r="C179" s="374"/>
      <c r="D179" s="374"/>
      <c r="E179" s="374"/>
      <c r="F179" s="374"/>
    </row>
    <row r="181" spans="1:6">
      <c r="B181" s="210" t="s">
        <v>536</v>
      </c>
    </row>
    <row r="182" spans="1:6">
      <c r="B182" s="376" t="s">
        <v>537</v>
      </c>
      <c r="C182" s="376"/>
      <c r="D182" s="376"/>
      <c r="E182" s="376"/>
      <c r="F182" s="376"/>
    </row>
    <row r="183" spans="1:6">
      <c r="B183" s="214" t="s">
        <v>538</v>
      </c>
    </row>
    <row r="184" spans="1:6">
      <c r="B184" s="214" t="s">
        <v>539</v>
      </c>
    </row>
    <row r="185" spans="1:6">
      <c r="B185" s="214" t="s">
        <v>540</v>
      </c>
    </row>
    <row r="187" spans="1:6">
      <c r="B187" s="1" t="s">
        <v>541</v>
      </c>
    </row>
    <row r="188" spans="1:6" ht="24.6" customHeight="1">
      <c r="B188" s="370" t="s">
        <v>542</v>
      </c>
      <c r="C188" s="370"/>
      <c r="D188" s="370"/>
      <c r="E188" s="370"/>
      <c r="F188" s="370"/>
    </row>
    <row r="190" spans="1:6">
      <c r="B190" s="1" t="s">
        <v>543</v>
      </c>
    </row>
    <row r="191" spans="1:6">
      <c r="B191" s="371" t="s">
        <v>544</v>
      </c>
      <c r="C191" s="371"/>
      <c r="D191" s="371"/>
      <c r="E191" s="371"/>
      <c r="F191" s="371"/>
    </row>
    <row r="192" spans="1:6">
      <c r="B192" s="371" t="s">
        <v>545</v>
      </c>
      <c r="C192" s="371"/>
      <c r="D192" s="371"/>
      <c r="E192" s="371"/>
      <c r="F192" s="371"/>
    </row>
    <row r="194" spans="2:2">
      <c r="B194" s="1" t="s">
        <v>546</v>
      </c>
    </row>
    <row r="195" spans="2:2">
      <c r="B195" s="214" t="s">
        <v>547</v>
      </c>
    </row>
    <row r="196" spans="2:2">
      <c r="B196" s="214" t="s">
        <v>548</v>
      </c>
    </row>
    <row r="197" spans="2:2">
      <c r="B197" s="214" t="s">
        <v>549</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45730</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1333333500</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2.85</v>
      </c>
      <c r="D12" s="50"/>
      <c r="E12" s="48"/>
    </row>
    <row r="13" spans="1:10">
      <c r="B13" s="1" t="s">
        <v>465</v>
      </c>
      <c r="C13" s="48" t="s">
        <v>377</v>
      </c>
      <c r="D13" s="48"/>
      <c r="E13" s="5"/>
    </row>
    <row r="14" spans="1:10">
      <c r="B14" s="4" t="s">
        <v>466</v>
      </c>
      <c r="C14" s="35">
        <f>Thesis!C12*Common_Shares/1000000</f>
        <v>3800.0004749999998</v>
      </c>
      <c r="D14" s="35" t="str">
        <f>IF(D11="","",Thesis!D12*Common_Shares/1000000)</f>
        <v/>
      </c>
      <c r="E14" s="5"/>
    </row>
    <row r="15" spans="1:10">
      <c r="B15" s="4" t="s">
        <v>467</v>
      </c>
      <c r="C15" s="32" t="str">
        <f>IF(C25=C13,C13,C25&amp;"/"&amp;C13)</f>
        <v>CNY/HKD</v>
      </c>
      <c r="D15" s="32" t="str">
        <f>IF(D11="","",IF(C25=D13,D13,C25&amp;"/"&amp;D13))</f>
        <v/>
      </c>
      <c r="E15" s="5"/>
    </row>
    <row r="16" spans="1:10">
      <c r="B16" s="4" t="s">
        <v>468</v>
      </c>
      <c r="C16" s="50">
        <v>1.09420636</v>
      </c>
      <c r="D16" s="50"/>
      <c r="E16" s="5"/>
    </row>
    <row r="17" spans="2:6">
      <c r="D17" s="5"/>
      <c r="E17" s="5"/>
    </row>
    <row r="18" spans="2:6" ht="24.6" customHeight="1">
      <c r="B18" s="374" t="s">
        <v>469</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Low Growth Asset Play</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(HKD) :</v>
      </c>
      <c r="C26" s="304">
        <f>C132</f>
        <v>2.8389792454451634</v>
      </c>
      <c r="D26" s="1" t="s">
        <v>380</v>
      </c>
      <c r="E26" s="301">
        <f ca="1">Scenarios!C87</f>
        <v>3.7880160952401765E-2</v>
      </c>
    </row>
    <row r="27" spans="2:6">
      <c r="D27" s="5"/>
      <c r="E27" s="5"/>
    </row>
    <row r="28" spans="2:6">
      <c r="B28" s="45" t="s">
        <v>410</v>
      </c>
      <c r="C28" s="309" t="str">
        <f>C145&amp;" ("&amp;Market_currency&amp;")"</f>
        <v>6601.HK (HKD)</v>
      </c>
      <c r="D28" s="309" t="str">
        <f>IF(D11="","",D145&amp;" ("&amp;D13&amp;")")</f>
        <v/>
      </c>
      <c r="E28" s="305" t="s">
        <v>406</v>
      </c>
      <c r="F28" s="303">
        <v>3</v>
      </c>
    </row>
    <row r="29" spans="2:6">
      <c r="B29" s="1" t="s">
        <v>402</v>
      </c>
      <c r="C29" s="310">
        <f>C149</f>
        <v>1.3429650795214469</v>
      </c>
      <c r="D29" s="310" t="str">
        <f>D149</f>
        <v/>
      </c>
      <c r="E29" s="306" t="s">
        <v>401</v>
      </c>
      <c r="F29" s="302">
        <v>0.35</v>
      </c>
    </row>
    <row r="30" spans="2:6">
      <c r="B30" s="1" t="s">
        <v>403</v>
      </c>
      <c r="C30" s="311">
        <f>C157</f>
        <v>1.6711982215971937</v>
      </c>
      <c r="D30" s="311" t="str">
        <f>D157</f>
        <v/>
      </c>
      <c r="E30" s="307" t="s">
        <v>414</v>
      </c>
      <c r="F30" s="312">
        <v>0.25</v>
      </c>
    </row>
    <row r="31" spans="2:6">
      <c r="B31" s="1" t="s">
        <v>404</v>
      </c>
      <c r="C31" s="311">
        <f>C165</f>
        <v>2.5752154419851916</v>
      </c>
      <c r="D31" s="311" t="str">
        <f>D165</f>
        <v/>
      </c>
      <c r="E31" s="307" t="s">
        <v>413</v>
      </c>
      <c r="F31" s="312">
        <v>7.4999999999999997E-2</v>
      </c>
    </row>
    <row r="32" spans="2:6">
      <c r="B32" s="1" t="s">
        <v>405</v>
      </c>
      <c r="C32" s="311">
        <f>C173</f>
        <v>2.3038642885612326</v>
      </c>
      <c r="D32" s="311" t="str">
        <f>D173</f>
        <v/>
      </c>
      <c r="E32" s="307" t="s">
        <v>415</v>
      </c>
      <c r="F32" s="312">
        <v>0.1174</v>
      </c>
    </row>
    <row r="33" spans="1:6">
      <c r="D33" s="5"/>
      <c r="E33" s="5"/>
    </row>
    <row r="34" spans="1:6" ht="13.9">
      <c r="A34" s="222" t="s">
        <v>345</v>
      </c>
      <c r="B34" s="36"/>
      <c r="C34" s="36"/>
      <c r="D34" s="36"/>
      <c r="E34" s="36"/>
      <c r="F34" s="36"/>
    </row>
    <row r="36" spans="1:6">
      <c r="B36" s="374" t="s">
        <v>470</v>
      </c>
      <c r="C36" s="374"/>
      <c r="D36" s="374"/>
      <c r="E36" s="374"/>
      <c r="F36" s="374"/>
    </row>
    <row r="37" spans="1:6" ht="24.6" customHeight="1">
      <c r="B37" s="377" t="s">
        <v>330</v>
      </c>
      <c r="C37" s="377"/>
      <c r="D37" s="377"/>
      <c r="E37" s="377"/>
      <c r="F37" s="377"/>
    </row>
    <row r="39" spans="1:6">
      <c r="B39" s="210" t="s">
        <v>226</v>
      </c>
      <c r="C39" s="108">
        <f>scaling_factor</f>
        <v>1000</v>
      </c>
    </row>
    <row r="40" spans="1:6" ht="24.6" customHeight="1">
      <c r="B40" s="370" t="s">
        <v>227</v>
      </c>
      <c r="C40" s="370"/>
      <c r="D40" s="370"/>
      <c r="E40" s="370"/>
      <c r="F40" s="370"/>
    </row>
    <row r="41" spans="1:6">
      <c r="B41" s="47" t="s">
        <v>228</v>
      </c>
      <c r="C41" s="349">
        <f>Normalized_FCF!C8</f>
        <v>113776.93034265516</v>
      </c>
      <c r="D41" s="1" t="str">
        <f>Reporting_currency</f>
        <v>CNY</v>
      </c>
    </row>
    <row r="42" spans="1:6">
      <c r="B42" s="47"/>
      <c r="C42" s="76"/>
    </row>
    <row r="43" spans="1:6" ht="24.6" customHeight="1">
      <c r="B43" s="370" t="s">
        <v>229</v>
      </c>
      <c r="C43" s="370"/>
      <c r="D43" s="370"/>
      <c r="E43" s="370"/>
      <c r="F43" s="370"/>
    </row>
    <row r="44" spans="1:6">
      <c r="B44" s="47" t="s">
        <v>230</v>
      </c>
      <c r="C44" s="349">
        <f>Normalized_FCF!C9</f>
        <v>35974</v>
      </c>
      <c r="D44" s="1" t="str">
        <f>Reporting_currency</f>
        <v>CNY</v>
      </c>
    </row>
    <row r="45" spans="1:6">
      <c r="B45" s="52" t="s">
        <v>231</v>
      </c>
      <c r="C45" s="349">
        <f>Normalized_FCF!C10</f>
        <v>-35974</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25015.292791864355</v>
      </c>
      <c r="D51" s="1" t="str">
        <f>Reporting_currency</f>
        <v>CNY</v>
      </c>
      <c r="E51" s="286"/>
      <c r="F51" s="286"/>
    </row>
    <row r="52" spans="2:6">
      <c r="B52" s="47" t="s">
        <v>332</v>
      </c>
      <c r="C52" s="350">
        <f>Normalized_FCF!C47</f>
        <v>-1880</v>
      </c>
      <c r="D52" s="1" t="str">
        <f>Reporting_currency</f>
        <v>CNY</v>
      </c>
      <c r="E52" s="286"/>
      <c r="F52" s="286"/>
    </row>
    <row r="53" spans="2:6">
      <c r="B53" s="47" t="s">
        <v>234</v>
      </c>
      <c r="C53" s="349">
        <f>Normalized_FCF!C12</f>
        <v>23135.292791864355</v>
      </c>
      <c r="D53" s="1" t="str">
        <f>Reporting_currency</f>
        <v>CNY</v>
      </c>
    </row>
    <row r="55" spans="2:6">
      <c r="B55" s="1" t="s">
        <v>242</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-34228.055783629883</v>
      </c>
      <c r="D59" s="1" t="str">
        <f>Reporting_currency</f>
        <v>CNY</v>
      </c>
    </row>
    <row r="61" spans="2:6">
      <c r="B61" s="370" t="s">
        <v>329</v>
      </c>
      <c r="C61" s="376"/>
      <c r="D61" s="376"/>
      <c r="E61" s="376"/>
      <c r="F61" s="376"/>
    </row>
    <row r="62" spans="2:6">
      <c r="B62" s="47" t="s">
        <v>238</v>
      </c>
      <c r="C62" s="349">
        <f>Normalized_FCF!C17</f>
        <v>0</v>
      </c>
      <c r="D62" s="1" t="str">
        <f>Reporting_currency</f>
        <v>CNY</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133753.29279186437</v>
      </c>
      <c r="D67" s="1" t="str">
        <f>Reporting_currency</f>
        <v>CNY</v>
      </c>
    </row>
    <row r="68" spans="1:6">
      <c r="B68" s="47" t="s">
        <v>244</v>
      </c>
      <c r="C68" s="349">
        <f>Normalized_FCF!C19</f>
        <v>102684.16735088965</v>
      </c>
      <c r="D68" s="1" t="str">
        <f>Reporting_currency</f>
        <v>CNY</v>
      </c>
    </row>
    <row r="69" spans="1:6">
      <c r="B69" s="227" t="s">
        <v>371</v>
      </c>
      <c r="C69" s="92">
        <f>Normalized_FCF!C126</f>
        <v>2.9567803932089722E-2</v>
      </c>
      <c r="F69" s="314"/>
    </row>
    <row r="70" spans="1:6">
      <c r="B70" s="227" t="s">
        <v>435</v>
      </c>
      <c r="C70" s="92">
        <f>Normalized_FCF!C94</f>
        <v>3.9121521413803192E-2</v>
      </c>
      <c r="E70" s="47" t="s">
        <v>425</v>
      </c>
      <c r="F70" s="315">
        <f>Normalized_FCF!C92</f>
        <v>1.4477577584786914</v>
      </c>
    </row>
    <row r="72" spans="1:6">
      <c r="B72" s="210" t="s">
        <v>428</v>
      </c>
      <c r="C72" s="323" t="s">
        <v>430</v>
      </c>
      <c r="D72" s="323" t="s">
        <v>431</v>
      </c>
    </row>
    <row r="73" spans="1:6">
      <c r="B73" s="47" t="s">
        <v>429</v>
      </c>
      <c r="C73" s="92">
        <f>Normalized_FCF!C121</f>
        <v>4.3342755547320283E-2</v>
      </c>
      <c r="D73" s="92">
        <f>Normalized_FCF!G121</f>
        <v>5.7307142840999907E-2</v>
      </c>
    </row>
    <row r="74" spans="1:6">
      <c r="B74" s="259" t="str">
        <f>Normalized_FCF!B118</f>
        <v>Pre-tax Profit/Sales</v>
      </c>
      <c r="C74" s="322">
        <f>Normalized_FCF!C118</f>
        <v>8.4127165774618429E-2</v>
      </c>
      <c r="D74" s="322">
        <f>Normalized_FCF!G118</f>
        <v>9.9457445817426424E-2</v>
      </c>
    </row>
    <row r="75" spans="1:6">
      <c r="B75" s="259" t="str">
        <f>Normalized_FCF!B119</f>
        <v>Sales/Total Assets</v>
      </c>
      <c r="C75" s="324">
        <f>Normalized_FCF!C119</f>
        <v>0.42808280043619051</v>
      </c>
      <c r="D75" s="324">
        <f>Normalized_FCF!G119</f>
        <v>0.47876122884928152</v>
      </c>
    </row>
    <row r="76" spans="1:6">
      <c r="B76" s="259" t="str">
        <f>Normalized_FCF!B120</f>
        <v>Total Assets/Equity</v>
      </c>
      <c r="C76" s="324">
        <f>Normalized_FCF!C120</f>
        <v>1.2035176992971439</v>
      </c>
      <c r="D76" s="324">
        <f>Normalized_FCF!G120</f>
        <v>1.2035176992971439</v>
      </c>
    </row>
    <row r="78" spans="1:6" ht="13.9">
      <c r="A78" s="222" t="s">
        <v>471</v>
      </c>
      <c r="B78" s="36"/>
      <c r="C78" s="36"/>
      <c r="D78" s="36"/>
      <c r="E78" s="36"/>
      <c r="F78" s="36"/>
    </row>
    <row r="79" spans="1:6">
      <c r="A79" s="209"/>
    </row>
    <row r="80" spans="1:6">
      <c r="A80" s="17"/>
      <c r="B80" s="374" t="s">
        <v>472</v>
      </c>
      <c r="C80" s="374"/>
      <c r="D80" s="374"/>
      <c r="E80" s="374"/>
      <c r="F80" s="374"/>
    </row>
    <row r="81" spans="1:6">
      <c r="B81" s="377" t="s">
        <v>248</v>
      </c>
      <c r="C81" s="377"/>
      <c r="D81" s="377"/>
      <c r="E81" s="377"/>
      <c r="F81" s="377"/>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1.1235765494194094</v>
      </c>
      <c r="D93" s="1" t="str">
        <f>Market_currency</f>
        <v>HKD</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33999</v>
      </c>
      <c r="D102" s="1" t="str">
        <f>Reporting_currency</f>
        <v>CNY</v>
      </c>
    </row>
    <row r="103" spans="2:6">
      <c r="B103" s="47" t="s">
        <v>276</v>
      </c>
      <c r="C103" s="223">
        <f>C102*scaling_factor*Exchange_Rate/Common_Shares</f>
        <v>2.7901438037550248E-2</v>
      </c>
      <c r="D103" s="1" t="str">
        <f>Market_currency</f>
        <v>HKD</v>
      </c>
    </row>
    <row r="104" spans="2:6">
      <c r="B104" s="296" t="s">
        <v>384</v>
      </c>
      <c r="C104" s="325">
        <f>IF(BS!G31/BS!G27&gt;300%,"nm",BS!G31/BS!G27)</f>
        <v>1.0763175939415467E-2</v>
      </c>
    </row>
    <row r="105" spans="2:6">
      <c r="B105" s="296" t="s">
        <v>386</v>
      </c>
      <c r="C105" s="326">
        <f>IF(BS!C50&gt;30,"nm",BS!C50)</f>
        <v>0.29882156160837919</v>
      </c>
    </row>
    <row r="107" spans="2:6">
      <c r="B107" s="1" t="s">
        <v>250</v>
      </c>
    </row>
    <row r="108" spans="2:6">
      <c r="B108" s="47" t="s">
        <v>260</v>
      </c>
      <c r="C108" s="349">
        <f>BS!C66</f>
        <v>2707640</v>
      </c>
      <c r="D108" s="1" t="str">
        <f>Reporting_currency</f>
        <v>CNY</v>
      </c>
    </row>
    <row r="109" spans="2:6">
      <c r="B109" s="47" t="s">
        <v>262</v>
      </c>
      <c r="C109" s="349">
        <f>DCF!C8</f>
        <v>1876475.7318604067</v>
      </c>
      <c r="D109" s="1" t="str">
        <f>Reporting_currency</f>
        <v>CNY</v>
      </c>
    </row>
    <row r="110" spans="2:6">
      <c r="B110" s="47" t="s">
        <v>277</v>
      </c>
      <c r="C110" s="223">
        <f>C109*scaling_factor*Exchange_Rate/Common_Shares</f>
        <v>1.5399385676481627</v>
      </c>
      <c r="D110" s="1" t="str">
        <f>Market_currency</f>
        <v>HKD</v>
      </c>
    </row>
    <row r="112" spans="2:6">
      <c r="B112" s="1" t="s">
        <v>252</v>
      </c>
    </row>
    <row r="113" spans="1:6">
      <c r="B113" s="47" t="s">
        <v>253</v>
      </c>
      <c r="C113" s="349">
        <f>DCF!C9</f>
        <v>229590.09999999998</v>
      </c>
      <c r="D113" s="1" t="str">
        <f>Reporting_currency</f>
        <v>CNY</v>
      </c>
    </row>
    <row r="114" spans="1:6">
      <c r="B114" s="47" t="s">
        <v>278</v>
      </c>
      <c r="C114" s="223">
        <f>C113*scaling_factor*Exchange_Rate/Common_Shares</f>
        <v>0.18841418715800359</v>
      </c>
      <c r="D114" s="1" t="str">
        <f>Market_currency</f>
        <v>HKD</v>
      </c>
    </row>
    <row r="116" spans="1:6" ht="24.6" customHeight="1">
      <c r="B116" s="374" t="s">
        <v>352</v>
      </c>
      <c r="C116" s="374"/>
      <c r="D116" s="374"/>
      <c r="E116" s="374"/>
      <c r="F116" s="374"/>
    </row>
    <row r="118" spans="1:6">
      <c r="B118" s="47" t="s">
        <v>426</v>
      </c>
      <c r="C118" s="223">
        <f>IF(valuation_method="DCF",DCF!C12,DDM!C7)</f>
        <v>2.8240278661880258</v>
      </c>
      <c r="D118" s="1" t="str">
        <f>Market_currency</f>
        <v>HKD</v>
      </c>
    </row>
    <row r="119" spans="1:6">
      <c r="B119" s="296" t="s">
        <v>550</v>
      </c>
      <c r="C119" s="223">
        <f>BS!D47</f>
        <v>1.9134260306667197</v>
      </c>
      <c r="D119" s="1" t="str">
        <f>Market_currency</f>
        <v>HKD</v>
      </c>
    </row>
    <row r="121" spans="1:6" ht="13.9">
      <c r="A121" s="222" t="s">
        <v>473</v>
      </c>
      <c r="B121" s="36"/>
      <c r="C121" s="36"/>
      <c r="D121" s="36"/>
      <c r="E121" s="36"/>
      <c r="F121" s="36"/>
    </row>
    <row r="123" spans="1:6">
      <c r="B123" s="370" t="s">
        <v>474</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0.08</v>
      </c>
      <c r="D126" s="230">
        <f>DCF!D74</f>
        <v>15</v>
      </c>
      <c r="E126" s="231" t="str">
        <f>ROUND(IF(valuation_method="DCF",DCF!E74,DDM!E69),2)&amp;" "&amp;Market_currency</f>
        <v>3.42 HKD</v>
      </c>
      <c r="F126" s="232">
        <f>DCF!F74</f>
        <v>0.05</v>
      </c>
    </row>
    <row r="127" spans="1:6">
      <c r="B127" s="218" t="str">
        <f>DCF!B75</f>
        <v>Optimistic</v>
      </c>
      <c r="C127" s="219">
        <f>DCF!C75</f>
        <v>0.04</v>
      </c>
      <c r="D127" s="220">
        <f>DCF!D75</f>
        <v>10</v>
      </c>
      <c r="E127" s="231" t="str">
        <f>ROUND(IF(valuation_method="DCF",DCF!E75,DDM!E70),2)&amp;" "&amp;Market_currency</f>
        <v>2.97 HKD</v>
      </c>
      <c r="F127" s="221">
        <f>DCF!F75</f>
        <v>0.17</v>
      </c>
    </row>
    <row r="128" spans="1:6">
      <c r="B128" s="218" t="str">
        <f>DCF!B76</f>
        <v>Base</v>
      </c>
      <c r="C128" s="219">
        <f>DCF!C76</f>
        <v>0.02</v>
      </c>
      <c r="D128" s="220">
        <f>DCF!D76</f>
        <v>10</v>
      </c>
      <c r="E128" s="231" t="str">
        <f>ROUND(IF(valuation_method="DCF",DCF!E76,DDM!E71),2)&amp;" "&amp;Market_currency</f>
        <v>2.89 HKD</v>
      </c>
      <c r="F128" s="221">
        <f>DCF!F76</f>
        <v>0.51</v>
      </c>
    </row>
    <row r="129" spans="1:6">
      <c r="B129" s="218" t="str">
        <f>DCF!B77</f>
        <v>Pessimistic</v>
      </c>
      <c r="C129" s="219">
        <f>DCF!C77</f>
        <v>-0.08</v>
      </c>
      <c r="D129" s="220">
        <f>DCF!D77</f>
        <v>10</v>
      </c>
      <c r="E129" s="231" t="str">
        <f>ROUND(IF(valuation_method="DCF",DCF!E77,DDM!E72),2)&amp;" "&amp;Market_currency</f>
        <v>2.6 HKD</v>
      </c>
      <c r="F129" s="221">
        <f>DCF!F77</f>
        <v>0.17</v>
      </c>
    </row>
    <row r="130" spans="1:6">
      <c r="B130" s="218" t="str">
        <f>DCF!B78</f>
        <v>Devil's advocate</v>
      </c>
      <c r="C130" s="219">
        <f>DCF!C78</f>
        <v>-0.1</v>
      </c>
      <c r="D130" s="220">
        <f>DCF!D78</f>
        <v>15</v>
      </c>
      <c r="E130" s="231" t="str">
        <f>ROUND(IF(valuation_method="DCF",DCF!E78,DDM!E73),2)&amp;" "&amp;Market_currency</f>
        <v>2.45 HKD</v>
      </c>
      <c r="F130" s="221">
        <f>DCF!F78</f>
        <v>0.1</v>
      </c>
    </row>
    <row r="132" spans="1:6">
      <c r="B132" s="211" t="s">
        <v>254</v>
      </c>
      <c r="C132" s="217">
        <f>Scenarios!C60</f>
        <v>2.8389792454451634</v>
      </c>
      <c r="D132" s="212" t="str">
        <f>Market_currency</f>
        <v>HKD</v>
      </c>
    </row>
    <row r="134" spans="1:6" ht="24.6" customHeight="1">
      <c r="B134" s="372" t="s">
        <v>475</v>
      </c>
      <c r="C134" s="372"/>
      <c r="D134" s="372"/>
      <c r="E134" s="372"/>
      <c r="F134" s="372"/>
    </row>
    <row r="136" spans="1:6" ht="13.9">
      <c r="A136" s="222" t="s">
        <v>476</v>
      </c>
      <c r="B136" s="36"/>
      <c r="C136" s="36"/>
      <c r="D136" s="36"/>
      <c r="E136" s="36"/>
      <c r="F136" s="36"/>
    </row>
    <row r="138" spans="1:6">
      <c r="B138" s="373" t="s">
        <v>353</v>
      </c>
      <c r="C138" s="373"/>
      <c r="D138" s="373"/>
      <c r="E138" s="373"/>
      <c r="F138" s="373"/>
    </row>
    <row r="139" spans="1:6">
      <c r="B139" s="374" t="s">
        <v>477</v>
      </c>
      <c r="C139" s="374"/>
      <c r="D139" s="374"/>
      <c r="E139" s="374"/>
      <c r="F139" s="374"/>
    </row>
    <row r="140" spans="1:6">
      <c r="B140" s="210" t="s">
        <v>226</v>
      </c>
    </row>
    <row r="141" spans="1:6">
      <c r="B141" s="1" t="s">
        <v>259</v>
      </c>
      <c r="C141" s="225">
        <f>F28</f>
        <v>3</v>
      </c>
    </row>
    <row r="142" spans="1:6">
      <c r="B142" s="1" t="s">
        <v>271</v>
      </c>
      <c r="C142" s="224">
        <f>F29</f>
        <v>0.35</v>
      </c>
    </row>
    <row r="143" spans="1:6">
      <c r="B143" s="212" t="s">
        <v>257</v>
      </c>
      <c r="C143" s="213">
        <f>Scenarios!C77</f>
        <v>0.1114963360293391</v>
      </c>
      <c r="D143" s="212" t="str">
        <f>Market_currency</f>
        <v>HKD</v>
      </c>
    </row>
    <row r="145" spans="2:4">
      <c r="B145" s="210" t="s">
        <v>388</v>
      </c>
      <c r="C145" s="241" t="str">
        <f>C11</f>
        <v>6601.HK</v>
      </c>
      <c r="D145" s="241" t="str">
        <f>IF(D11="","",D11)</f>
        <v/>
      </c>
    </row>
    <row r="146" spans="2:4">
      <c r="B146" s="1" t="s">
        <v>387</v>
      </c>
      <c r="C146" s="297">
        <f>F29</f>
        <v>0.35</v>
      </c>
    </row>
    <row r="147" spans="2:4">
      <c r="B147" s="212" t="str">
        <f>"PV("&amp;C141&amp;" yrs of Dividends)"</f>
        <v>PV(3 yrs of Dividends)</v>
      </c>
      <c r="C147" s="216">
        <f>Scenarios!C81</f>
        <v>0.18908437213124724</v>
      </c>
    </row>
    <row r="148" spans="2:4">
      <c r="B148" s="212" t="str">
        <f>"+ PV(Equity Value realized at year "&amp;C141&amp;")"</f>
        <v>+ PV(Equity Value realized at year 3)</v>
      </c>
      <c r="C148" s="216">
        <f>Scenarios!C82</f>
        <v>1.1538807073901998</v>
      </c>
    </row>
    <row r="149" spans="2:4">
      <c r="B149" s="80" t="s">
        <v>256</v>
      </c>
      <c r="C149" s="215">
        <f>Scenarios!C83</f>
        <v>1.3429650795214469</v>
      </c>
      <c r="D149" s="300" t="str">
        <f>IF($D$11="","",C149*$E$25)</f>
        <v/>
      </c>
    </row>
    <row r="150" spans="2:4">
      <c r="B150" s="259" t="s">
        <v>396</v>
      </c>
      <c r="C150" s="298" t="str">
        <f>Market_currency</f>
        <v>HKD</v>
      </c>
      <c r="D150" s="298" t="str">
        <f>IF($D$11="","",D$13)</f>
        <v/>
      </c>
    </row>
    <row r="151" spans="2:4">
      <c r="B151" s="214" t="s">
        <v>258</v>
      </c>
      <c r="C151" s="92">
        <f>Scenarios!F83</f>
        <v>0.5269549498552728</v>
      </c>
    </row>
    <row r="153" spans="2:4">
      <c r="B153" s="210" t="s">
        <v>391</v>
      </c>
    </row>
    <row r="154" spans="2:4">
      <c r="B154" s="1" t="s">
        <v>390</v>
      </c>
      <c r="C154" s="297">
        <f>Scenarios!C90</f>
        <v>0.25</v>
      </c>
    </row>
    <row r="155" spans="2:4">
      <c r="B155" s="212" t="str">
        <f>"PV("&amp;C141&amp;" yrs of Dividends)"</f>
        <v>PV(3 yrs of Dividends)</v>
      </c>
      <c r="C155" s="216">
        <f>Scenarios!C91</f>
        <v>0.21764084792926994</v>
      </c>
    </row>
    <row r="156" spans="2:4">
      <c r="B156" s="212" t="str">
        <f>"+ PV(Equity Value realized at year "&amp;C141&amp;")"</f>
        <v>+ PV(Equity Value realized at year 3)</v>
      </c>
      <c r="C156" s="216">
        <f>Scenarios!C92</f>
        <v>1.4535573736679237</v>
      </c>
    </row>
    <row r="157" spans="2:4">
      <c r="B157" s="80" t="s">
        <v>256</v>
      </c>
      <c r="C157" s="215">
        <f>Scenarios!C93</f>
        <v>1.6711982215971937</v>
      </c>
      <c r="D157" s="300" t="str">
        <f>IF($D$11="","",C157*$E$25)</f>
        <v/>
      </c>
    </row>
    <row r="158" spans="2:4">
      <c r="B158" s="259" t="s">
        <v>396</v>
      </c>
      <c r="C158" s="298" t="str">
        <f>Market_currency</f>
        <v>HKD</v>
      </c>
      <c r="D158" s="298" t="str">
        <f>IF($D$11="","",D$13)</f>
        <v/>
      </c>
    </row>
    <row r="159" spans="2:4">
      <c r="B159" s="214" t="s">
        <v>258</v>
      </c>
      <c r="C159" s="92">
        <f>Scenarios!F93</f>
        <v>0.41133834483698628</v>
      </c>
    </row>
    <row r="161" spans="2:4">
      <c r="B161" s="210" t="s">
        <v>381</v>
      </c>
    </row>
    <row r="162" spans="2:4">
      <c r="B162" s="1" t="s">
        <v>389</v>
      </c>
      <c r="C162" s="92">
        <f>Scenarios!C96</f>
        <v>7.4999999999999997E-2</v>
      </c>
    </row>
    <row r="163" spans="2:4">
      <c r="B163" s="212" t="str">
        <f>"PV("&amp;C141&amp;" yrs of Dividends)"</f>
        <v>PV(3 yrs of Dividends)</v>
      </c>
      <c r="C163" s="216">
        <f>Scenarios!C97</f>
        <v>0.28994909174570971</v>
      </c>
    </row>
    <row r="164" spans="2:4">
      <c r="B164" s="212" t="str">
        <f>"+ PV(Equity Value realized at year "&amp;C141&amp;")"</f>
        <v>+ PV(Equity Value realized at year 3)</v>
      </c>
      <c r="C164" s="216">
        <f>Scenarios!C98</f>
        <v>2.2852663502394819</v>
      </c>
    </row>
    <row r="165" spans="2:4">
      <c r="B165" s="80" t="s">
        <v>382</v>
      </c>
      <c r="C165" s="215">
        <f>Scenarios!C99</f>
        <v>2.5752154419851916</v>
      </c>
      <c r="D165" s="300" t="str">
        <f>IF($D$11="","",C165*$E$25)</f>
        <v/>
      </c>
    </row>
    <row r="166" spans="2:4">
      <c r="B166" s="259" t="s">
        <v>396</v>
      </c>
      <c r="C166" s="298" t="str">
        <f>Market_currency</f>
        <v>HKD</v>
      </c>
      <c r="D166" s="298" t="str">
        <f>IF($D$11="","",D$13)</f>
        <v/>
      </c>
    </row>
    <row r="167" spans="2:4">
      <c r="B167" s="214" t="s">
        <v>258</v>
      </c>
      <c r="C167" s="92">
        <f>Scenarios!F99</f>
        <v>9.2907971723693472E-2</v>
      </c>
    </row>
    <row r="169" spans="2:4">
      <c r="B169" s="210" t="s">
        <v>409</v>
      </c>
    </row>
    <row r="170" spans="2:4">
      <c r="B170" s="1" t="s">
        <v>400</v>
      </c>
      <c r="C170" s="92">
        <f>F32</f>
        <v>0.1174</v>
      </c>
    </row>
    <row r="171" spans="2:4">
      <c r="B171" s="212" t="str">
        <f>"PV("&amp;C141&amp;" yrs of Dividends)"</f>
        <v>PV(3 yrs of Dividends)</v>
      </c>
      <c r="C171" s="216">
        <f>Scenarios!C103</f>
        <v>0.26899640883508957</v>
      </c>
    </row>
    <row r="172" spans="2:4">
      <c r="B172" s="212" t="str">
        <f>"+ PV(Equity Value realized at year "&amp;C141&amp;")"</f>
        <v>+ PV(Equity Value realized at year 3)</v>
      </c>
      <c r="C172" s="216">
        <f>Scenarios!C104</f>
        <v>2.0348678797261432</v>
      </c>
    </row>
    <row r="173" spans="2:4">
      <c r="B173" s="80" t="s">
        <v>382</v>
      </c>
      <c r="C173" s="215">
        <f>Scenarios!C105</f>
        <v>2.3038642885612326</v>
      </c>
      <c r="D173" s="300" t="str">
        <f>IF($D$11="","",C173*$E$25)</f>
        <v/>
      </c>
    </row>
    <row r="174" spans="2:4">
      <c r="B174" s="259" t="s">
        <v>396</v>
      </c>
      <c r="C174" s="298" t="str">
        <f>Market_currency</f>
        <v>HKD</v>
      </c>
      <c r="D174" s="298" t="str">
        <f>IF($D$11="","",D$13)</f>
        <v/>
      </c>
    </row>
    <row r="175" spans="2:4">
      <c r="B175" s="214" t="s">
        <v>258</v>
      </c>
      <c r="C175" s="92">
        <f>Scenarios!F105</f>
        <v>0.19265983465853587</v>
      </c>
    </row>
    <row r="177" spans="1:6" ht="13.9">
      <c r="A177" s="222" t="s">
        <v>357</v>
      </c>
      <c r="B177" s="36"/>
      <c r="C177" s="36"/>
      <c r="D177" s="36"/>
      <c r="E177" s="36"/>
      <c r="F177" s="36"/>
    </row>
    <row r="179" spans="1:6">
      <c r="B179" s="375" t="s">
        <v>478</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479</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1820108</v>
      </c>
      <c r="D4" s="351">
        <v>1615585</v>
      </c>
      <c r="E4" s="351">
        <v>1446638</v>
      </c>
      <c r="F4" s="351"/>
      <c r="G4" s="351"/>
      <c r="H4" s="351"/>
      <c r="I4" s="351"/>
      <c r="J4" s="351"/>
      <c r="K4" s="351"/>
      <c r="L4" s="351"/>
      <c r="M4" s="351"/>
    </row>
    <row r="5" spans="2:13">
      <c r="B5" s="40" t="s">
        <v>41</v>
      </c>
      <c r="C5" s="351">
        <v>925767</v>
      </c>
      <c r="D5" s="351">
        <v>897327</v>
      </c>
      <c r="E5" s="351">
        <v>845264</v>
      </c>
      <c r="F5" s="351"/>
      <c r="G5" s="351"/>
      <c r="H5" s="351"/>
      <c r="I5" s="351"/>
      <c r="J5" s="351"/>
      <c r="K5" s="351"/>
      <c r="L5" s="351"/>
      <c r="M5" s="351"/>
    </row>
    <row r="6" spans="2:13">
      <c r="B6" s="40" t="s">
        <v>52</v>
      </c>
      <c r="C6" s="351">
        <f>197703+C7</f>
        <v>736453</v>
      </c>
      <c r="D6" s="351">
        <v>613104</v>
      </c>
      <c r="E6" s="351">
        <v>599182</v>
      </c>
      <c r="F6" s="351"/>
      <c r="G6" s="351"/>
      <c r="H6" s="351"/>
      <c r="I6" s="351"/>
      <c r="J6" s="351"/>
      <c r="K6" s="351"/>
      <c r="L6" s="351"/>
      <c r="M6" s="351"/>
    </row>
    <row r="7" spans="2:13">
      <c r="B7" s="69" t="s">
        <v>59</v>
      </c>
      <c r="C7" s="352">
        <v>538750</v>
      </c>
      <c r="D7" s="352">
        <v>425033</v>
      </c>
      <c r="E7" s="352">
        <v>435254</v>
      </c>
      <c r="F7" s="352"/>
      <c r="G7" s="352"/>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1880</v>
      </c>
      <c r="D12" s="351">
        <v>1003</v>
      </c>
      <c r="E12" s="351">
        <v>863</v>
      </c>
      <c r="F12" s="351"/>
      <c r="G12" s="351"/>
      <c r="H12" s="351"/>
      <c r="I12" s="351"/>
      <c r="J12" s="351"/>
      <c r="K12" s="351"/>
      <c r="L12" s="351"/>
      <c r="M12" s="351"/>
    </row>
    <row r="13" spans="2:13">
      <c r="B13" s="40" t="s">
        <v>65</v>
      </c>
      <c r="C13" s="351">
        <v>81491</v>
      </c>
      <c r="D13" s="351">
        <v>73805</v>
      </c>
      <c r="E13" s="351">
        <v>45350</v>
      </c>
      <c r="F13" s="351"/>
      <c r="G13" s="351"/>
      <c r="H13" s="351"/>
      <c r="I13" s="351"/>
      <c r="J13" s="351"/>
      <c r="K13" s="351"/>
      <c r="L13" s="351"/>
      <c r="M13" s="351"/>
    </row>
    <row r="14" spans="2:13">
      <c r="B14" s="40" t="s">
        <v>48</v>
      </c>
      <c r="C14" s="351">
        <v>47270</v>
      </c>
      <c r="D14" s="351">
        <v>44449</v>
      </c>
      <c r="E14" s="351">
        <v>21017</v>
      </c>
      <c r="F14" s="351"/>
      <c r="G14" s="351"/>
      <c r="H14" s="351"/>
      <c r="I14" s="351"/>
      <c r="J14" s="351"/>
      <c r="K14" s="351"/>
      <c r="L14" s="351"/>
      <c r="M14" s="351"/>
    </row>
    <row r="15" spans="2:13">
      <c r="B15" s="43" t="s">
        <v>40</v>
      </c>
      <c r="C15" s="353">
        <v>195249</v>
      </c>
      <c r="D15" s="353">
        <v>172817</v>
      </c>
      <c r="E15" s="353">
        <v>65456</v>
      </c>
      <c r="F15" s="353"/>
      <c r="G15" s="353"/>
      <c r="H15" s="353"/>
      <c r="I15" s="353"/>
      <c r="J15" s="353"/>
      <c r="K15" s="353"/>
      <c r="L15" s="353"/>
      <c r="M15" s="353"/>
    </row>
    <row r="16" spans="2:13">
      <c r="B16" s="28" t="s">
        <v>42</v>
      </c>
      <c r="C16" s="351">
        <v>-8130</v>
      </c>
      <c r="D16" s="351">
        <v>-2199</v>
      </c>
      <c r="E16" s="351">
        <v>-645</v>
      </c>
      <c r="F16" s="351"/>
      <c r="G16" s="351"/>
      <c r="H16" s="351"/>
      <c r="I16" s="351"/>
      <c r="J16" s="351"/>
      <c r="K16" s="351"/>
      <c r="L16" s="351"/>
      <c r="M16" s="351"/>
    </row>
    <row r="18" spans="2:13">
      <c r="B18" s="16" t="s">
        <v>49</v>
      </c>
      <c r="C18" s="9"/>
    </row>
    <row r="19" spans="2:13">
      <c r="B19" s="27" t="s">
        <v>45</v>
      </c>
      <c r="C19" s="351">
        <v>35974</v>
      </c>
      <c r="D19" s="351">
        <v>35974</v>
      </c>
      <c r="E19" s="351">
        <v>32106</v>
      </c>
      <c r="F19" s="351"/>
      <c r="G19" s="351"/>
      <c r="H19" s="351"/>
      <c r="I19" s="351"/>
      <c r="J19" s="351"/>
      <c r="K19" s="351"/>
      <c r="L19" s="351"/>
      <c r="M19" s="351"/>
    </row>
    <row r="20" spans="2:13">
      <c r="B20" s="27" t="s">
        <v>51</v>
      </c>
      <c r="C20" s="351"/>
      <c r="D20" s="351">
        <v>15312</v>
      </c>
      <c r="E20" s="351">
        <v>11600</v>
      </c>
      <c r="F20" s="351"/>
      <c r="G20" s="351"/>
      <c r="H20" s="351"/>
      <c r="I20" s="351"/>
      <c r="J20" s="351"/>
      <c r="K20" s="351"/>
      <c r="L20" s="351"/>
      <c r="M20" s="351"/>
    </row>
    <row r="21" spans="2:13">
      <c r="B21" s="27" t="s">
        <v>50</v>
      </c>
      <c r="C21" s="351"/>
      <c r="D21" s="351">
        <v>-169280</v>
      </c>
      <c r="E21" s="351">
        <v>-50846</v>
      </c>
      <c r="F21" s="351"/>
      <c r="G21" s="351"/>
      <c r="H21" s="351"/>
      <c r="I21" s="351"/>
      <c r="J21" s="351"/>
      <c r="K21" s="351"/>
      <c r="L21" s="351"/>
      <c r="M21" s="351"/>
    </row>
    <row r="22" spans="2:13">
      <c r="B22" s="27" t="s">
        <v>354</v>
      </c>
      <c r="C22" s="351"/>
      <c r="D22" s="351"/>
      <c r="E22" s="351"/>
      <c r="F22" s="351"/>
      <c r="G22" s="351"/>
      <c r="H22" s="351"/>
      <c r="I22" s="351"/>
      <c r="J22" s="351"/>
      <c r="K22" s="351"/>
      <c r="L22" s="351"/>
      <c r="M22" s="351"/>
    </row>
    <row r="23" spans="2:13">
      <c r="B23" s="27" t="s">
        <v>356</v>
      </c>
      <c r="C23" s="351"/>
      <c r="D23" s="351"/>
      <c r="E23" s="351"/>
      <c r="F23" s="351"/>
      <c r="G23" s="351"/>
      <c r="H23" s="351"/>
      <c r="I23" s="351"/>
      <c r="J23" s="351"/>
      <c r="K23" s="351"/>
      <c r="L23" s="351"/>
      <c r="M23" s="351"/>
    </row>
    <row r="24" spans="2:13">
      <c r="B24" s="27" t="s">
        <v>355</v>
      </c>
      <c r="C24" s="351"/>
      <c r="D24" s="351"/>
      <c r="E24" s="351"/>
      <c r="F24" s="351"/>
      <c r="G24" s="351"/>
      <c r="H24" s="351"/>
      <c r="I24" s="351"/>
      <c r="J24" s="351"/>
      <c r="K24" s="351"/>
      <c r="L24" s="351"/>
      <c r="M24" s="351"/>
    </row>
    <row r="25" spans="2:13">
      <c r="B25" s="24" t="str">
        <f>"Dividend per share ("&amp;Market_currency&amp;")"</f>
        <v>Dividend per share (HKD)</v>
      </c>
      <c r="C25" s="39">
        <f>(0.0682+0.0538)/Exchange_Rate</f>
        <v>0.1114963360293391</v>
      </c>
      <c r="D25" s="39">
        <f>(0.064+0.041)/Exchange_Rate</f>
        <v>9.5959961336726282E-2</v>
      </c>
      <c r="E25" s="39">
        <f>(0.022+0.0168)/Exchange_Rate</f>
        <v>3.545949047490457E-2</v>
      </c>
      <c r="F25" s="39"/>
      <c r="G25" s="39"/>
      <c r="H25" s="39"/>
      <c r="I25" s="39"/>
      <c r="J25" s="39"/>
      <c r="K25" s="39"/>
      <c r="L25" s="39"/>
      <c r="M25" s="39"/>
    </row>
    <row r="27" spans="2:13">
      <c r="B27" s="16" t="s">
        <v>26</v>
      </c>
      <c r="C27" s="97" t="s">
        <v>559</v>
      </c>
    </row>
    <row r="28" spans="2:13">
      <c r="B28" s="26" t="s">
        <v>22</v>
      </c>
      <c r="C28" s="333">
        <f>BS!C4</f>
        <v>109763</v>
      </c>
      <c r="D28" s="351"/>
      <c r="E28" s="351"/>
      <c r="F28" s="351"/>
      <c r="G28" s="351"/>
      <c r="H28" s="351"/>
      <c r="I28" s="351"/>
      <c r="J28" s="351"/>
      <c r="K28" s="351"/>
      <c r="L28" s="351"/>
      <c r="M28" s="351"/>
    </row>
    <row r="29" spans="2:13">
      <c r="B29" s="26" t="s">
        <v>30</v>
      </c>
      <c r="C29" s="333">
        <f>BS!C6</f>
        <v>318027</v>
      </c>
      <c r="D29" s="351"/>
      <c r="E29" s="351"/>
      <c r="F29" s="351"/>
      <c r="G29" s="351"/>
      <c r="H29" s="351"/>
      <c r="I29" s="351"/>
      <c r="J29" s="351"/>
      <c r="K29" s="351"/>
      <c r="L29" s="351"/>
      <c r="M29" s="351"/>
    </row>
    <row r="30" spans="2:13">
      <c r="B30" s="29" t="s">
        <v>38</v>
      </c>
      <c r="C30" s="334">
        <f>BS!C33+BS!C42</f>
        <v>642877</v>
      </c>
      <c r="D30" s="353">
        <v>642877</v>
      </c>
      <c r="E30" s="353">
        <v>734909</v>
      </c>
      <c r="F30" s="353"/>
      <c r="G30" s="353"/>
      <c r="H30" s="353"/>
      <c r="I30" s="353"/>
      <c r="J30" s="353"/>
      <c r="K30" s="353"/>
      <c r="L30" s="353"/>
      <c r="M30" s="353"/>
    </row>
    <row r="31" spans="2:13">
      <c r="B31" s="29" t="s">
        <v>28</v>
      </c>
      <c r="C31" s="334">
        <f>BS!G27</f>
        <v>3158826</v>
      </c>
      <c r="D31" s="353">
        <v>3027292</v>
      </c>
      <c r="E31" s="353">
        <v>2824568</v>
      </c>
      <c r="F31" s="353"/>
      <c r="G31" s="353"/>
      <c r="H31" s="353"/>
      <c r="I31" s="353"/>
      <c r="J31" s="353"/>
      <c r="K31" s="353"/>
      <c r="L31" s="353"/>
      <c r="M31" s="353"/>
    </row>
    <row r="32" spans="2:13">
      <c r="B32" s="26" t="s">
        <v>168</v>
      </c>
      <c r="C32" s="333">
        <f>BS!G28</f>
        <v>-1648</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1820108</v>
      </c>
      <c r="D36" s="333">
        <f t="shared" si="1"/>
        <v>1615585</v>
      </c>
      <c r="E36" s="333">
        <f t="shared" si="1"/>
        <v>1446638</v>
      </c>
      <c r="F36" s="333" t="str">
        <f t="shared" si="1"/>
        <v/>
      </c>
      <c r="G36" s="333" t="str">
        <f t="shared" si="1"/>
        <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-925767</v>
      </c>
      <c r="D37" s="333">
        <f t="shared" si="2"/>
        <v>-897327</v>
      </c>
      <c r="E37" s="333">
        <f t="shared" si="2"/>
        <v>-845264</v>
      </c>
      <c r="F37" s="333" t="str">
        <f t="shared" si="2"/>
        <v/>
      </c>
      <c r="G37" s="333" t="str">
        <f t="shared" si="2"/>
        <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894341</v>
      </c>
      <c r="D38" s="329">
        <f t="shared" ref="D38" si="3">IF(D36="","",D36+D37)</f>
        <v>718258</v>
      </c>
      <c r="E38" s="329">
        <f t="shared" ref="E38" si="4">IF(E36="","",E36+E37)</f>
        <v>601374</v>
      </c>
      <c r="F38" s="329" t="str">
        <f t="shared" ref="F38" si="5">IF(F36="","",F36+F37)</f>
        <v/>
      </c>
      <c r="G38" s="329" t="str">
        <f t="shared" ref="G38" si="6">IF(G36="","",G36+G37)</f>
        <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-736453</v>
      </c>
      <c r="D39" s="333">
        <f t="shared" si="13"/>
        <v>-613104</v>
      </c>
      <c r="E39" s="333">
        <f t="shared" si="13"/>
        <v>-599182</v>
      </c>
      <c r="F39" s="333" t="str">
        <f t="shared" si="13"/>
        <v/>
      </c>
      <c r="G39" s="333" t="str">
        <f t="shared" si="13"/>
        <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-538750</v>
      </c>
      <c r="D40" s="346">
        <f t="shared" si="14"/>
        <v>-425033</v>
      </c>
      <c r="E40" s="346">
        <f t="shared" si="14"/>
        <v>-435254</v>
      </c>
      <c r="F40" s="346" t="str">
        <f t="shared" si="14"/>
        <v/>
      </c>
      <c r="G40" s="346" t="str">
        <f t="shared" si="14"/>
        <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-197703</v>
      </c>
      <c r="D41" s="346">
        <f t="shared" ref="D41:M41" si="15">IF(D$4="","",D39-D40)</f>
        <v>-188071</v>
      </c>
      <c r="E41" s="346">
        <f t="shared" si="15"/>
        <v>-163928</v>
      </c>
      <c r="F41" s="346" t="str">
        <f t="shared" si="15"/>
        <v/>
      </c>
      <c r="G41" s="346" t="str">
        <f t="shared" si="15"/>
        <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0</v>
      </c>
      <c r="D42" s="333">
        <f t="shared" si="16"/>
        <v>0</v>
      </c>
      <c r="E42" s="333">
        <f t="shared" si="16"/>
        <v>0</v>
      </c>
      <c r="F42" s="333" t="str">
        <f t="shared" si="16"/>
        <v/>
      </c>
      <c r="G42" s="333" t="str">
        <f t="shared" si="16"/>
        <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157888</v>
      </c>
      <c r="D43" s="334">
        <f t="shared" ref="D43:M43" si="17">IF(D$4="","",D38+D39+D42)</f>
        <v>105154</v>
      </c>
      <c r="E43" s="334">
        <f t="shared" si="17"/>
        <v>2192</v>
      </c>
      <c r="F43" s="334" t="str">
        <f t="shared" si="17"/>
        <v/>
      </c>
      <c r="G43" s="334" t="str">
        <f t="shared" si="17"/>
        <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5020</v>
      </c>
      <c r="D44" s="354">
        <f t="shared" si="18"/>
        <v>39310</v>
      </c>
      <c r="E44" s="354">
        <f t="shared" si="18"/>
        <v>39794</v>
      </c>
      <c r="F44" s="354" t="str">
        <f t="shared" si="18"/>
        <v/>
      </c>
      <c r="G44" s="354" t="str">
        <f t="shared" si="18"/>
        <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79611</v>
      </c>
      <c r="D45" s="349">
        <f t="shared" si="19"/>
        <v>72802</v>
      </c>
      <c r="E45" s="349">
        <f t="shared" si="19"/>
        <v>44487</v>
      </c>
      <c r="F45" s="349" t="str">
        <f t="shared" si="19"/>
        <v/>
      </c>
      <c r="G45" s="349" t="str">
        <f t="shared" si="19"/>
        <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-47270</v>
      </c>
      <c r="D46" s="333">
        <f t="shared" si="20"/>
        <v>-44449</v>
      </c>
      <c r="E46" s="333">
        <f t="shared" si="20"/>
        <v>-21017</v>
      </c>
      <c r="F46" s="333" t="str">
        <f t="shared" si="20"/>
        <v/>
      </c>
      <c r="G46" s="333" t="str">
        <f t="shared" si="20"/>
        <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195249</v>
      </c>
      <c r="D47" s="334">
        <f t="shared" si="21"/>
        <v>172817</v>
      </c>
      <c r="E47" s="334">
        <f t="shared" si="21"/>
        <v>65456</v>
      </c>
      <c r="F47" s="334" t="str">
        <f t="shared" si="21"/>
        <v/>
      </c>
      <c r="G47" s="334" t="str">
        <f t="shared" si="21"/>
        <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0</v>
      </c>
      <c r="D48" s="333">
        <f t="shared" si="22"/>
        <v>0</v>
      </c>
      <c r="E48" s="333">
        <f t="shared" si="22"/>
        <v>0</v>
      </c>
      <c r="F48" s="333" t="str">
        <f t="shared" si="22"/>
        <v/>
      </c>
      <c r="G48" s="333" t="str">
        <f t="shared" si="22"/>
        <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-1880</v>
      </c>
      <c r="D51" s="333">
        <f t="shared" si="23"/>
        <v>-1003</v>
      </c>
      <c r="E51" s="333">
        <f t="shared" si="23"/>
        <v>-863</v>
      </c>
      <c r="F51" s="333" t="str">
        <f t="shared" si="23"/>
        <v/>
      </c>
      <c r="G51" s="333" t="str">
        <f t="shared" si="23"/>
        <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81491</v>
      </c>
      <c r="D52" s="333">
        <f t="shared" si="24"/>
        <v>73805</v>
      </c>
      <c r="E52" s="333">
        <f t="shared" si="24"/>
        <v>45350</v>
      </c>
      <c r="F52" s="333" t="str">
        <f t="shared" si="24"/>
        <v/>
      </c>
      <c r="G52" s="333" t="str">
        <f t="shared" si="24"/>
        <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0</v>
      </c>
      <c r="D55" s="349">
        <f t="shared" si="25"/>
        <v>0</v>
      </c>
      <c r="E55" s="349">
        <f t="shared" si="25"/>
        <v>0</v>
      </c>
      <c r="F55" s="349" t="str">
        <f t="shared" si="25"/>
        <v/>
      </c>
      <c r="G55" s="349" t="str">
        <f t="shared" si="25"/>
        <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t="str">
        <f t="shared" si="26"/>
        <v/>
      </c>
      <c r="G56" s="349" t="str">
        <f t="shared" si="26"/>
        <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t="str">
        <f t="shared" si="27"/>
        <v/>
      </c>
      <c r="G57" s="349" t="str">
        <f t="shared" si="27"/>
        <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5020</v>
      </c>
      <c r="D58" s="349">
        <f t="shared" ref="D58:M58" si="28">IF(D$4="","",D44-D55-D56-D57)</f>
        <v>39310</v>
      </c>
      <c r="E58" s="349">
        <f t="shared" si="28"/>
        <v>39794</v>
      </c>
      <c r="F58" s="349" t="str">
        <f t="shared" si="28"/>
        <v/>
      </c>
      <c r="G58" s="349" t="str">
        <f t="shared" si="28"/>
        <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-35974</v>
      </c>
      <c r="D61" s="333">
        <f t="shared" ref="D61:M61" si="29">IF(D$4="","",-D19)</f>
        <v>-35974</v>
      </c>
      <c r="E61" s="333">
        <f t="shared" si="29"/>
        <v>-32106</v>
      </c>
      <c r="F61" s="333" t="str">
        <f t="shared" si="29"/>
        <v/>
      </c>
      <c r="G61" s="333" t="str">
        <f t="shared" si="29"/>
        <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-35974</v>
      </c>
      <c r="D62" s="333">
        <f t="shared" ref="D62:M62" si="30">IF(D$4="","",IF(D20=0,D61,-D20))</f>
        <v>-15312</v>
      </c>
      <c r="E62" s="333">
        <f t="shared" si="30"/>
        <v>-11600</v>
      </c>
      <c r="F62" s="333" t="str">
        <f t="shared" si="30"/>
        <v/>
      </c>
      <c r="G62" s="333" t="str">
        <f t="shared" si="30"/>
        <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0</v>
      </c>
      <c r="D63" s="333">
        <f t="shared" ref="D63:M63" si="31">IF(D$4="","",-D21)</f>
        <v>169280</v>
      </c>
      <c r="E63" s="333">
        <f t="shared" si="31"/>
        <v>50846</v>
      </c>
      <c r="F63" s="333" t="str">
        <f t="shared" si="31"/>
        <v/>
      </c>
      <c r="G63" s="333" t="str">
        <f t="shared" si="31"/>
        <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0</v>
      </c>
      <c r="D64" s="333">
        <f t="shared" ref="D64:M64" si="32">IF(D$4="","",D22+D23+D24)</f>
        <v>0</v>
      </c>
      <c r="E64" s="333">
        <f t="shared" si="32"/>
        <v>0</v>
      </c>
      <c r="F64" s="333" t="str">
        <f t="shared" si="32"/>
        <v/>
      </c>
      <c r="G64" s="333" t="str">
        <f t="shared" si="32"/>
        <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0.1114963360293391</v>
      </c>
      <c r="D65" s="73">
        <f t="shared" ref="D65:M65" si="33">IF(D$4="","",D25)</f>
        <v>9.5959961336726282E-2</v>
      </c>
      <c r="E65" s="73">
        <f t="shared" si="33"/>
        <v>3.545949047490457E-2</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0.12659377253440707</v>
      </c>
      <c r="D68" s="92">
        <f t="shared" si="34"/>
        <v>0.11678595474472542</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0.24515285593755998</v>
      </c>
      <c r="D69" s="92">
        <f t="shared" ref="D69:M69" si="35">IF(E$36="","",D38/E38-1)</f>
        <v>0.19436157865155468</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0.50149304829107777</v>
      </c>
      <c r="D70" s="101">
        <f t="shared" ref="D70:M70" si="36">IF(E$36="","",D43/E43-1)</f>
        <v>46.971715328467155</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-0.87229712541338078</v>
      </c>
      <c r="D71" s="101">
        <f t="shared" ref="D71:M71" si="37">IF(E$36="","",D44/E44-1)</f>
        <v>-1.2162637583555291E-2</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0.12980204493770864</v>
      </c>
      <c r="D72" s="101">
        <f t="shared" ref="D72:M72" si="38">IF(E$36="","",D47/E47-1)</f>
        <v>1.6402010510877538</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3801703</v>
      </c>
      <c r="D76" s="349">
        <f t="shared" ref="D76:M76" si="39">IF(D$4="","",D79+D80)</f>
        <v>3670169</v>
      </c>
      <c r="E76" s="349">
        <f t="shared" si="39"/>
        <v>3559477</v>
      </c>
      <c r="F76" s="349" t="str">
        <f t="shared" si="39"/>
        <v/>
      </c>
      <c r="G76" s="349" t="str">
        <f t="shared" si="39"/>
        <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109763</v>
      </c>
      <c r="D77" s="346">
        <f t="shared" si="40"/>
        <v>0</v>
      </c>
      <c r="E77" s="346">
        <f t="shared" si="40"/>
        <v>0</v>
      </c>
      <c r="F77" s="346" t="str">
        <f t="shared" si="40"/>
        <v/>
      </c>
      <c r="G77" s="346" t="str">
        <f t="shared" si="40"/>
        <v/>
      </c>
      <c r="H77" s="346" t="str">
        <f t="shared" si="40"/>
        <v/>
      </c>
      <c r="I77" s="355"/>
      <c r="J77" s="355"/>
      <c r="K77" s="355"/>
      <c r="L77" s="355"/>
      <c r="M77" s="355"/>
    </row>
    <row r="78" spans="2:13">
      <c r="B78" s="93" t="s">
        <v>84</v>
      </c>
      <c r="C78" s="318">
        <f t="shared" si="40"/>
        <v>318027</v>
      </c>
      <c r="D78" s="346">
        <f t="shared" si="40"/>
        <v>0</v>
      </c>
      <c r="E78" s="346">
        <f t="shared" si="40"/>
        <v>0</v>
      </c>
      <c r="F78" s="346" t="str">
        <f t="shared" si="40"/>
        <v/>
      </c>
      <c r="G78" s="346" t="str">
        <f t="shared" si="40"/>
        <v/>
      </c>
      <c r="H78" s="346" t="str">
        <f t="shared" si="40"/>
        <v/>
      </c>
      <c r="I78" s="355"/>
      <c r="J78" s="355"/>
      <c r="K78" s="355"/>
      <c r="L78" s="355"/>
      <c r="M78" s="355"/>
    </row>
    <row r="79" spans="2:13">
      <c r="B79" s="26" t="s">
        <v>38</v>
      </c>
      <c r="C79" s="317">
        <f t="shared" ref="C79:M79" si="41">IF(C$4="","",C30)</f>
        <v>642877</v>
      </c>
      <c r="D79" s="333">
        <f t="shared" si="41"/>
        <v>642877</v>
      </c>
      <c r="E79" s="333">
        <f t="shared" si="41"/>
        <v>734909</v>
      </c>
      <c r="F79" s="333" t="str">
        <f t="shared" si="41"/>
        <v/>
      </c>
      <c r="G79" s="333" t="str">
        <f t="shared" si="41"/>
        <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3158826</v>
      </c>
      <c r="D80" s="333">
        <f t="shared" si="42"/>
        <v>3027292</v>
      </c>
      <c r="E80" s="333">
        <f t="shared" si="42"/>
        <v>2824568</v>
      </c>
      <c r="F80" s="333" t="str">
        <f t="shared" si="42"/>
        <v/>
      </c>
      <c r="G80" s="333" t="str">
        <f t="shared" si="42"/>
        <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97460+12303</f>
        <v>109763</v>
      </c>
      <c r="D4" s="261">
        <v>0.6</v>
      </c>
      <c r="E4" s="25"/>
      <c r="F4" s="4" t="s">
        <v>75</v>
      </c>
      <c r="G4" s="19">
        <f>1713053+891425</f>
        <v>2604478</v>
      </c>
      <c r="H4" s="261">
        <v>0.9</v>
      </c>
    </row>
    <row r="5" spans="2:8" ht="15" customHeight="1">
      <c r="B5" s="1" t="s">
        <v>31</v>
      </c>
      <c r="C5" s="19">
        <v>0</v>
      </c>
      <c r="D5" s="261">
        <v>0.6</v>
      </c>
      <c r="E5" s="25"/>
      <c r="F5" s="1" t="s">
        <v>27</v>
      </c>
      <c r="G5" s="19">
        <v>0</v>
      </c>
      <c r="H5" s="261">
        <v>0.7</v>
      </c>
    </row>
    <row r="6" spans="2:8" ht="15" customHeight="1">
      <c r="B6" s="4" t="s">
        <v>8</v>
      </c>
      <c r="C6" s="19">
        <v>318027</v>
      </c>
      <c r="D6" s="261">
        <v>0.5</v>
      </c>
      <c r="E6" s="25"/>
      <c r="F6" s="4" t="s">
        <v>173</v>
      </c>
      <c r="G6" s="19">
        <v>0</v>
      </c>
      <c r="H6" s="261">
        <v>0.6</v>
      </c>
    </row>
    <row r="7" spans="2:8" ht="15" customHeight="1">
      <c r="B7" s="1" t="s">
        <v>67</v>
      </c>
      <c r="C7" s="19">
        <v>0</v>
      </c>
      <c r="D7" s="261">
        <v>0.6</v>
      </c>
      <c r="E7" s="25"/>
      <c r="F7" s="4" t="s">
        <v>174</v>
      </c>
      <c r="G7" s="19">
        <v>270180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19230</v>
      </c>
      <c r="D10" s="261">
        <v>0.9</v>
      </c>
      <c r="H10" s="262"/>
    </row>
    <row r="11" spans="2:8" ht="15" customHeight="1">
      <c r="B11" s="4" t="s">
        <v>10</v>
      </c>
      <c r="C11" s="19">
        <v>0</v>
      </c>
      <c r="D11" s="261">
        <v>0.05</v>
      </c>
      <c r="H11" s="262"/>
    </row>
    <row r="12" spans="2:8" ht="15" customHeight="1">
      <c r="B12" s="80" t="s">
        <v>70</v>
      </c>
      <c r="C12" s="81">
        <f>SUM(C4:C11)</f>
        <v>447020</v>
      </c>
      <c r="D12" s="20">
        <f>C4*D4+C5*D5+C9*D9+C6*D6+C8*D8+C7*D7+C10*D10+C11*D11</f>
        <v>242178.3</v>
      </c>
      <c r="F12" s="80" t="s">
        <v>68</v>
      </c>
      <c r="G12" s="81">
        <f>SUM(G4:G9)</f>
        <v>2874658</v>
      </c>
      <c r="H12" s="20">
        <f>G4*H4+G5*H5+G6*H6+G7*H7+G8*H8+G9*H9</f>
        <v>2506138.2000000002</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0</v>
      </c>
      <c r="D15" s="261">
        <v>0.4</v>
      </c>
      <c r="F15" s="4" t="s">
        <v>76</v>
      </c>
      <c r="G15" s="19">
        <v>103162</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111923</v>
      </c>
      <c r="H17" s="261">
        <v>0.6</v>
      </c>
    </row>
    <row r="18" spans="2:8" ht="15" customHeight="1">
      <c r="B18" s="4" t="s">
        <v>169</v>
      </c>
      <c r="C18" s="19">
        <v>0</v>
      </c>
      <c r="D18" s="261">
        <v>0.6</v>
      </c>
      <c r="F18" s="4" t="s">
        <v>177</v>
      </c>
      <c r="G18" s="19">
        <v>0</v>
      </c>
      <c r="H18" s="261">
        <v>0.1</v>
      </c>
    </row>
    <row r="19" spans="2:8" ht="15" customHeight="1">
      <c r="B19" s="4" t="s">
        <v>24</v>
      </c>
      <c r="C19" s="19">
        <f>147013+53837+407</f>
        <v>201257</v>
      </c>
      <c r="D19" s="261">
        <v>0.1</v>
      </c>
      <c r="F19" s="4" t="s">
        <v>178</v>
      </c>
      <c r="G19" s="19">
        <v>3283</v>
      </c>
      <c r="H19" s="261">
        <v>0.1</v>
      </c>
    </row>
    <row r="20" spans="2:8" ht="15" customHeight="1">
      <c r="B20" s="4" t="s">
        <v>16</v>
      </c>
      <c r="C20" s="19">
        <v>0</v>
      </c>
      <c r="D20" s="261">
        <v>0.05</v>
      </c>
      <c r="F20" s="4" t="s">
        <v>175</v>
      </c>
      <c r="G20" s="19">
        <v>0</v>
      </c>
      <c r="H20" s="261">
        <v>0.2</v>
      </c>
    </row>
    <row r="21" spans="2:8" ht="15" customHeight="1">
      <c r="B21" s="4" t="s">
        <v>17</v>
      </c>
      <c r="C21" s="19">
        <v>0</v>
      </c>
      <c r="D21" s="261">
        <v>0.05</v>
      </c>
      <c r="F21" s="1" t="s">
        <v>176</v>
      </c>
      <c r="G21" s="19">
        <v>0</v>
      </c>
      <c r="H21" s="261">
        <v>0.1</v>
      </c>
    </row>
    <row r="22" spans="2:8" ht="15" customHeight="1">
      <c r="B22" s="4" t="s">
        <v>18</v>
      </c>
      <c r="C22" s="19">
        <v>60400</v>
      </c>
      <c r="D22" s="261">
        <v>0.9</v>
      </c>
      <c r="H22" s="262"/>
    </row>
    <row r="23" spans="2:8" ht="15" customHeight="1">
      <c r="B23" s="4" t="s">
        <v>19</v>
      </c>
      <c r="C23" s="19">
        <v>0</v>
      </c>
      <c r="D23" s="261">
        <v>0</v>
      </c>
      <c r="H23" s="262"/>
    </row>
    <row r="24" spans="2:8" ht="15" customHeight="1">
      <c r="B24" s="80" t="s">
        <v>71</v>
      </c>
      <c r="C24" s="81">
        <f>SUM(C15:C23)</f>
        <v>261657</v>
      </c>
      <c r="D24" s="20">
        <f>C15*D15+C16*D16+C18*D18+C17*D17+C19*D19+C20*D20+C21*D21+C22*D22+C23*D23</f>
        <v>74485.7</v>
      </c>
      <c r="F24" s="80" t="s">
        <v>69</v>
      </c>
      <c r="G24" s="81">
        <f>SUM(G15:G21)</f>
        <v>218368</v>
      </c>
      <c r="H24" s="20">
        <f>G15*H15+G16*H16+G17*H17+G18*H18+G19*H19+G20*H20+G21*H21</f>
        <v>150011.70000000001</v>
      </c>
    </row>
    <row r="26" spans="2:8" ht="15" customHeight="1">
      <c r="B26" s="16" t="s">
        <v>196</v>
      </c>
      <c r="C26" s="182" t="s">
        <v>132</v>
      </c>
      <c r="F26" s="184" t="s">
        <v>192</v>
      </c>
      <c r="G26" s="185" t="s">
        <v>132</v>
      </c>
      <c r="H26" s="186" t="s">
        <v>33</v>
      </c>
    </row>
    <row r="27" spans="2:8" ht="15" customHeight="1">
      <c r="B27" s="4" t="s">
        <v>3</v>
      </c>
      <c r="C27" s="19">
        <v>0</v>
      </c>
      <c r="F27" s="187" t="s">
        <v>28</v>
      </c>
      <c r="G27" s="85">
        <f>G32-G30</f>
        <v>3158826</v>
      </c>
      <c r="H27" s="188">
        <f>H32-G30</f>
        <v>2329936.9000000004</v>
      </c>
    </row>
    <row r="28" spans="2:8" ht="15" customHeight="1">
      <c r="B28" s="4" t="s">
        <v>4</v>
      </c>
      <c r="C28" s="19">
        <v>13416</v>
      </c>
      <c r="F28" s="189" t="s">
        <v>240</v>
      </c>
      <c r="G28" s="12">
        <v>-1648</v>
      </c>
      <c r="H28" s="188"/>
    </row>
    <row r="29" spans="2:8" ht="15" customHeight="1">
      <c r="B29" s="4" t="s">
        <v>5</v>
      </c>
      <c r="C29" s="19">
        <v>0</v>
      </c>
      <c r="F29" s="190" t="s">
        <v>73</v>
      </c>
      <c r="G29" s="14">
        <f>G27-G28</f>
        <v>3160474</v>
      </c>
      <c r="H29" s="188">
        <f>H27-G28</f>
        <v>2331584.9000000004</v>
      </c>
    </row>
    <row r="30" spans="2:8" ht="15" customHeight="1">
      <c r="B30" s="2" t="s">
        <v>6</v>
      </c>
      <c r="C30" s="19">
        <v>0</v>
      </c>
      <c r="F30" s="187" t="s">
        <v>21</v>
      </c>
      <c r="G30" s="85">
        <f>C33+C42</f>
        <v>642877</v>
      </c>
      <c r="H30" s="188"/>
    </row>
    <row r="31" spans="2:8" ht="15" customHeight="1">
      <c r="B31" s="80" t="s">
        <v>199</v>
      </c>
      <c r="C31" s="81">
        <f>SUM(C27:C30)</f>
        <v>13416</v>
      </c>
      <c r="F31" s="190" t="s">
        <v>74</v>
      </c>
      <c r="G31" s="191">
        <f>C31+C40</f>
        <v>33999</v>
      </c>
      <c r="H31" s="188"/>
    </row>
    <row r="32" spans="2:8" ht="15" customHeight="1">
      <c r="B32" s="4" t="s">
        <v>7</v>
      </c>
      <c r="C32" s="21">
        <f>C33-C31</f>
        <v>598515</v>
      </c>
      <c r="F32" s="192" t="s">
        <v>72</v>
      </c>
      <c r="G32" s="193">
        <f>G35+G40</f>
        <v>3801703</v>
      </c>
      <c r="H32" s="188">
        <f>H35+H40</f>
        <v>2972813.9000000004</v>
      </c>
    </row>
    <row r="33" spans="2:8" ht="15" customHeight="1">
      <c r="B33" s="83" t="s">
        <v>2</v>
      </c>
      <c r="C33" s="84">
        <v>611931</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708677</v>
      </c>
      <c r="H35" s="200">
        <f>D12+D24</f>
        <v>316664</v>
      </c>
    </row>
    <row r="36" spans="2:8" ht="15" customHeight="1">
      <c r="B36" s="4" t="s">
        <v>11</v>
      </c>
      <c r="C36" s="19">
        <v>0</v>
      </c>
      <c r="F36" s="190" t="s">
        <v>193</v>
      </c>
      <c r="G36" s="191">
        <f>C4+C15</f>
        <v>109763</v>
      </c>
      <c r="H36" s="195"/>
    </row>
    <row r="37" spans="2:8" ht="15" customHeight="1">
      <c r="B37" s="4" t="s">
        <v>12</v>
      </c>
      <c r="C37" s="19">
        <v>20583</v>
      </c>
      <c r="F37" s="190" t="s">
        <v>194</v>
      </c>
      <c r="G37" s="191">
        <f>C6</f>
        <v>318027</v>
      </c>
      <c r="H37" s="195"/>
    </row>
    <row r="38" spans="2:8" ht="15" customHeight="1">
      <c r="B38" s="4" t="s">
        <v>13</v>
      </c>
      <c r="C38" s="19">
        <v>0</v>
      </c>
      <c r="F38" s="190" t="s">
        <v>195</v>
      </c>
      <c r="G38" s="191">
        <f>C7+C17</f>
        <v>0</v>
      </c>
      <c r="H38" s="195"/>
    </row>
    <row r="39" spans="2:8" ht="15" customHeight="1">
      <c r="B39" s="2" t="s">
        <v>14</v>
      </c>
      <c r="C39" s="19">
        <v>0</v>
      </c>
      <c r="F39" s="190" t="s">
        <v>77</v>
      </c>
      <c r="G39" s="191">
        <f>C7+C17+C19+C20</f>
        <v>201257</v>
      </c>
      <c r="H39" s="188">
        <f>C7*D7+C17*D17+C19*D19+C20*D20</f>
        <v>20125.7</v>
      </c>
    </row>
    <row r="40" spans="2:8" ht="15" customHeight="1">
      <c r="B40" s="80" t="s">
        <v>200</v>
      </c>
      <c r="C40" s="81">
        <f>SUM(C36:C39)</f>
        <v>20583</v>
      </c>
      <c r="F40" s="199" t="s">
        <v>134</v>
      </c>
      <c r="G40" s="193">
        <f>G12+G24</f>
        <v>3093026</v>
      </c>
      <c r="H40" s="200">
        <f>H12+H24</f>
        <v>2656149.9000000004</v>
      </c>
    </row>
    <row r="41" spans="2:8" ht="15" customHeight="1">
      <c r="B41" s="4" t="s">
        <v>15</v>
      </c>
      <c r="C41" s="21">
        <f>C42-C40</f>
        <v>10363</v>
      </c>
      <c r="F41" s="190" t="s">
        <v>187</v>
      </c>
      <c r="G41" s="191">
        <f>C70</f>
        <v>2707640</v>
      </c>
      <c r="H41" s="200">
        <f>H40-H42</f>
        <v>2426559.8000000003</v>
      </c>
    </row>
    <row r="42" spans="2:8" ht="15" customHeight="1">
      <c r="B42" s="83" t="s">
        <v>20</v>
      </c>
      <c r="C42" s="84">
        <v>30946</v>
      </c>
      <c r="F42" s="201" t="s">
        <v>188</v>
      </c>
      <c r="G42" s="202">
        <f>C82</f>
        <v>385386</v>
      </c>
      <c r="H42" s="203">
        <f>D82</f>
        <v>229590.09999999998</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3160474</v>
      </c>
      <c r="D46" s="76">
        <f>H29</f>
        <v>2331584.9000000004</v>
      </c>
      <c r="F46" s="253"/>
    </row>
    <row r="47" spans="2:8" ht="15" customHeight="1">
      <c r="B47" s="1" t="str">
        <f>"Equity per share ("&amp;Market_currency&amp;")"</f>
        <v>Equity per share (HKD)</v>
      </c>
      <c r="C47" s="147">
        <f>C46*H1/Common_Shares*Exchange_Rate</f>
        <v>2.5936577393537625</v>
      </c>
      <c r="D47" s="147">
        <f>D46*H1/Common_Shares*Exchange_Rate</f>
        <v>1.9134260306667197</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0.29882156160837919</v>
      </c>
      <c r="D50" s="95">
        <f>G31/Normalized_FCF!G8</f>
        <v>0.21533618767734089</v>
      </c>
      <c r="F50" s="253"/>
    </row>
    <row r="51" spans="2:8" ht="15" customHeight="1">
      <c r="B51" s="1" t="s">
        <v>172</v>
      </c>
      <c r="C51" s="181"/>
      <c r="D51" s="92">
        <f>G29/G32</f>
        <v>0.83133111660747827</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0.16054836031457936</v>
      </c>
      <c r="D54" s="92">
        <f>Normalized_FCF!G8/G35</f>
        <v>0.2227926121491173</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0.17874657775878602</v>
      </c>
      <c r="F58" s="5"/>
    </row>
    <row r="59" spans="2:8" ht="15" customHeight="1">
      <c r="B59" s="1" t="s">
        <v>90</v>
      </c>
      <c r="C59" s="98"/>
      <c r="D59" s="92">
        <f>G39/G32</f>
        <v>5.2938643550009039E-2</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-5.2144077122608828E-4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2707640</v>
      </c>
      <c r="D66" s="76">
        <f>C66-D75</f>
        <v>1876475.7318604067</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2707640</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-150906.81666293123</v>
      </c>
      <c r="D73" s="349">
        <f>(Normalized_FCF!C25+Normalized_FCF!C35-Normalized_FCF!C91)/12</f>
        <v>-138527.37802326554</v>
      </c>
      <c r="F73" s="1" t="s">
        <v>342</v>
      </c>
    </row>
    <row r="74" spans="2:6" ht="15" customHeight="1">
      <c r="B74" s="257" t="s">
        <v>312</v>
      </c>
      <c r="C74" s="258">
        <f>-$C$66/C73</f>
        <v>17.942463169492495</v>
      </c>
      <c r="D74" s="258">
        <f>-$C$66/D73</f>
        <v>19.545883554839641</v>
      </c>
      <c r="F74" s="253" t="s">
        <v>310</v>
      </c>
    </row>
    <row r="75" spans="2:6" ht="15" customHeight="1">
      <c r="B75" s="80" t="s">
        <v>311</v>
      </c>
      <c r="C75" s="320"/>
      <c r="D75" s="321">
        <f>MAX(-D73*D76,G5)</f>
        <v>831164.2681395933</v>
      </c>
      <c r="F75" s="253" t="s">
        <v>343</v>
      </c>
    </row>
    <row r="76" spans="2:6" ht="15" customHeight="1">
      <c r="B76" s="259" t="s">
        <v>313</v>
      </c>
      <c r="C76" s="260"/>
      <c r="D76" s="290">
        <f>IF(D74&lt;=3,1,IF(D74&gt;18,6,2))</f>
        <v>6</v>
      </c>
      <c r="F76" s="253" t="s">
        <v>314</v>
      </c>
    </row>
    <row r="77" spans="2:6" ht="15" customHeight="1">
      <c r="F77" s="253"/>
    </row>
    <row r="78" spans="2:6" ht="15" customHeight="1">
      <c r="B78" s="16" t="s">
        <v>185</v>
      </c>
      <c r="C78" s="234" t="s">
        <v>132</v>
      </c>
      <c r="D78" s="183" t="s">
        <v>33</v>
      </c>
      <c r="F78" s="253"/>
    </row>
    <row r="79" spans="2:6" ht="15" customHeight="1">
      <c r="B79" s="105" t="s">
        <v>174</v>
      </c>
      <c r="C79" s="20">
        <f>G7+G17</f>
        <v>382103</v>
      </c>
      <c r="D79" s="76">
        <f>G7*H7+G17*H17</f>
        <v>229261.8</v>
      </c>
      <c r="F79" s="253"/>
    </row>
    <row r="80" spans="2:6" ht="15" customHeight="1">
      <c r="B80" s="105" t="s">
        <v>178</v>
      </c>
      <c r="C80" s="20">
        <f>G19</f>
        <v>3283</v>
      </c>
      <c r="D80" s="76">
        <f>G19*H19</f>
        <v>328.3</v>
      </c>
      <c r="F80" s="253"/>
    </row>
    <row r="81" spans="2:8" ht="15" customHeight="1">
      <c r="B81" s="105" t="s">
        <v>176</v>
      </c>
      <c r="C81" s="20">
        <f>G9+G21</f>
        <v>0</v>
      </c>
      <c r="D81" s="76">
        <f>G9*H9+G21*H21</f>
        <v>0</v>
      </c>
      <c r="F81" s="253"/>
    </row>
    <row r="82" spans="2:8" ht="15" customHeight="1">
      <c r="B82" s="80" t="s">
        <v>185</v>
      </c>
      <c r="C82" s="81">
        <f>SUM(C79:C81)</f>
        <v>385386</v>
      </c>
      <c r="D82" s="81">
        <f>SUM(D79:D81)</f>
        <v>229590.09999999998</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-37201.922033640003</v>
      </c>
      <c r="D86" s="223">
        <f>C86*scaling_factor/Common_Shares</f>
        <v>-2.7901438037550248E-2</v>
      </c>
      <c r="E86" s="240" t="str">
        <f>Market_currency</f>
        <v>HKD</v>
      </c>
    </row>
    <row r="87" spans="2:8" ht="15" customHeight="1">
      <c r="B87" s="238" t="s">
        <v>282</v>
      </c>
      <c r="C87" s="76">
        <f>DCF!C8*Exchange_Rate</f>
        <v>2053251.6801873117</v>
      </c>
      <c r="D87" s="223">
        <f>C87*scaling_factor/Common_Shares</f>
        <v>1.5399385676481627</v>
      </c>
      <c r="E87" s="240" t="str">
        <f>Market_currency</f>
        <v>HKD</v>
      </c>
    </row>
    <row r="88" spans="2:8" ht="15" customHeight="1">
      <c r="B88" s="239" t="s">
        <v>185</v>
      </c>
      <c r="C88" s="76">
        <f>DCF!C9*Exchange_Rate</f>
        <v>251218.947613036</v>
      </c>
      <c r="D88" s="223">
        <f>C88*scaling_factor/Common_Shares</f>
        <v>0.18841418715800362</v>
      </c>
      <c r="E88" s="240" t="str">
        <f>Market_currency</f>
        <v>HKD</v>
      </c>
    </row>
    <row r="89" spans="2:8" ht="15" customHeight="1">
      <c r="B89" s="80" t="s">
        <v>286</v>
      </c>
      <c r="C89" s="180">
        <f>SUM(C86:C88)</f>
        <v>2267268.7057667077</v>
      </c>
      <c r="D89" s="242">
        <f>SUM(D86:D88)</f>
        <v>1.7004513167686162</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AVERAGE(G4:K4)</f>
        <v>1627443.6666666667</v>
      </c>
      <c r="D4" s="57"/>
      <c r="E4" s="266"/>
      <c r="F4" s="57"/>
      <c r="G4" s="333">
        <f>Data!C36</f>
        <v>1820108</v>
      </c>
      <c r="H4" s="333">
        <f>Data!D36</f>
        <v>1615585</v>
      </c>
      <c r="I4" s="333">
        <f>Data!E36</f>
        <v>1446638</v>
      </c>
      <c r="J4" s="333" t="str">
        <f>Data!F36</f>
        <v/>
      </c>
      <c r="K4" s="333" t="str">
        <f>Data!G36</f>
        <v/>
      </c>
      <c r="L4" s="333" t="str">
        <f>Data!H36</f>
        <v/>
      </c>
      <c r="M4" s="333" t="str">
        <f>Data!I36</f>
        <v/>
      </c>
      <c r="N4" s="333" t="str">
        <f>Data!J36</f>
        <v/>
      </c>
      <c r="O4" s="333" t="str">
        <f>Data!K36</f>
        <v/>
      </c>
      <c r="P4" s="333" t="str">
        <f>Data!L36</f>
        <v/>
      </c>
      <c r="Q4" s="333" t="str">
        <f>Data!M36</f>
        <v/>
      </c>
    </row>
    <row r="5" spans="1:17" ht="15.75" customHeight="1">
      <c r="A5" s="10"/>
      <c r="B5" s="2" t="s">
        <v>44</v>
      </c>
      <c r="C5" s="328">
        <f>C25</f>
        <v>-1320779.7363240116</v>
      </c>
      <c r="E5" s="268"/>
      <c r="G5" s="333">
        <f t="shared" ref="G5:Q5" si="1">G25</f>
        <v>-1464517</v>
      </c>
      <c r="H5" s="333">
        <f t="shared" si="1"/>
        <v>-1322360</v>
      </c>
      <c r="I5" s="333">
        <f t="shared" si="1"/>
        <v>-1280518</v>
      </c>
      <c r="J5" s="333" t="str">
        <f t="shared" si="1"/>
        <v/>
      </c>
      <c r="K5" s="333" t="str">
        <f t="shared" si="1"/>
        <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306663.93034265516</v>
      </c>
      <c r="E6" s="268"/>
      <c r="G6" s="329">
        <f>IF(G4="","",G4+G5)</f>
        <v>355591</v>
      </c>
      <c r="H6" s="329">
        <f t="shared" ref="H6:Q6" si="2">IF(H4="","",H4+H5)</f>
        <v>293225</v>
      </c>
      <c r="I6" s="329">
        <f t="shared" si="2"/>
        <v>166120</v>
      </c>
      <c r="J6" s="329" t="str">
        <f t="shared" si="2"/>
        <v/>
      </c>
      <c r="K6" s="329" t="str">
        <f t="shared" si="2"/>
        <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-192887</v>
      </c>
      <c r="E7" s="268"/>
      <c r="G7" s="328">
        <f t="shared" ref="G7:Q7" si="3">G35</f>
        <v>-197703</v>
      </c>
      <c r="H7" s="328">
        <f t="shared" si="3"/>
        <v>-188071</v>
      </c>
      <c r="I7" s="328">
        <f t="shared" si="3"/>
        <v>-163928</v>
      </c>
      <c r="J7" s="328" t="str">
        <f t="shared" si="3"/>
        <v/>
      </c>
      <c r="K7" s="328" t="str">
        <f t="shared" si="3"/>
        <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113776.93034265516</v>
      </c>
      <c r="D8" s="59"/>
      <c r="E8" s="274"/>
      <c r="F8" s="59"/>
      <c r="G8" s="329">
        <f>IF(G$4="","",G6+G7)</f>
        <v>157888</v>
      </c>
      <c r="H8" s="329">
        <f t="shared" ref="H8:Q8" si="4">IF(H$4="","",H6+H7)</f>
        <v>105154</v>
      </c>
      <c r="I8" s="329">
        <f t="shared" si="4"/>
        <v>2192</v>
      </c>
      <c r="J8" s="329" t="str">
        <f t="shared" si="4"/>
        <v/>
      </c>
      <c r="K8" s="329" t="str">
        <f t="shared" si="4"/>
        <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35974</v>
      </c>
      <c r="E9" s="268"/>
      <c r="G9" s="328">
        <f>IF(Data!C61="","",-Data!C61)</f>
        <v>35974</v>
      </c>
      <c r="H9" s="328">
        <f>IF(Data!D61="","",-Data!D61)</f>
        <v>35974</v>
      </c>
      <c r="I9" s="328">
        <f>IF(Data!E61="","",-Data!E61)</f>
        <v>32106</v>
      </c>
      <c r="J9" s="328" t="str">
        <f>IF(Data!F61="","",-Data!F61)</f>
        <v/>
      </c>
      <c r="K9" s="328" t="str">
        <f>IF(Data!G61="","",-Data!G61)</f>
        <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-35974</v>
      </c>
      <c r="E10" s="268"/>
      <c r="G10" s="328">
        <f>Data!C62</f>
        <v>-35974</v>
      </c>
      <c r="H10" s="328">
        <f>Data!D62</f>
        <v>-15312</v>
      </c>
      <c r="I10" s="328">
        <f>Data!E62</f>
        <v>-11600</v>
      </c>
      <c r="J10" s="328" t="str">
        <f>Data!F62</f>
        <v/>
      </c>
      <c r="K10" s="328" t="str">
        <f>Data!G62</f>
        <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t="str">
        <f t="shared" si="5"/>
        <v/>
      </c>
      <c r="K11" s="334" t="str">
        <f t="shared" si="5"/>
        <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23135.292791864355</v>
      </c>
      <c r="E12" s="268"/>
      <c r="G12" s="328">
        <f>G50</f>
        <v>23135.292791864355</v>
      </c>
      <c r="H12" s="328">
        <f t="shared" ref="H12:Q12" si="6">H50</f>
        <v>21652.921322643586</v>
      </c>
      <c r="I12" s="328">
        <f t="shared" si="6"/>
        <v>13058.089790419168</v>
      </c>
      <c r="J12" s="328" t="str">
        <f t="shared" si="6"/>
        <v/>
      </c>
      <c r="K12" s="328" t="str">
        <f t="shared" si="6"/>
        <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136912.22313451953</v>
      </c>
      <c r="E13" s="268"/>
      <c r="G13" s="329">
        <f>IF(G$4="","",SUM(G8:G12))</f>
        <v>181023.29279186437</v>
      </c>
      <c r="H13" s="329">
        <f t="shared" ref="H13:Q13" si="7">IF(H$4="","",SUM(H8:H12))</f>
        <v>147468.92132264358</v>
      </c>
      <c r="I13" s="329">
        <f t="shared" si="7"/>
        <v>35756.089790419166</v>
      </c>
      <c r="J13" s="329" t="str">
        <f t="shared" si="7"/>
        <v/>
      </c>
      <c r="K13" s="329" t="str">
        <f t="shared" si="7"/>
        <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-34228.055783629883</v>
      </c>
      <c r="E14" s="268"/>
      <c r="G14" s="328">
        <f>Data!C46</f>
        <v>-47270</v>
      </c>
      <c r="H14" s="328">
        <f>Data!D46</f>
        <v>-44449</v>
      </c>
      <c r="I14" s="328">
        <f>Data!E46</f>
        <v>-21017</v>
      </c>
      <c r="J14" s="328" t="str">
        <f>Data!F46</f>
        <v/>
      </c>
      <c r="K14" s="328" t="str">
        <f>Data!G46</f>
        <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0</v>
      </c>
      <c r="D15" s="60"/>
      <c r="E15" s="275"/>
      <c r="F15" s="60"/>
      <c r="G15" s="333">
        <f>Data!C48</f>
        <v>0</v>
      </c>
      <c r="H15" s="333">
        <f>Data!D48</f>
        <v>0</v>
      </c>
      <c r="I15" s="333">
        <f>Data!E48</f>
        <v>0</v>
      </c>
      <c r="J15" s="333" t="str">
        <f>Data!F48</f>
        <v/>
      </c>
      <c r="K15" s="333" t="str">
        <f>Data!G48</f>
        <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102684.16735088965</v>
      </c>
      <c r="D16" s="61"/>
      <c r="E16" s="276"/>
      <c r="F16" s="61"/>
      <c r="G16" s="329">
        <f>IF(G$4="","",SUM(G13:G15))</f>
        <v>133753.29279186437</v>
      </c>
      <c r="H16" s="329">
        <f t="shared" ref="H16:Q16" si="8">IF(H$4="","",SUM(H13:H15))</f>
        <v>103019.92132264358</v>
      </c>
      <c r="I16" s="329">
        <f t="shared" si="8"/>
        <v>14739.089790419166</v>
      </c>
      <c r="J16" s="329" t="str">
        <f t="shared" si="8"/>
        <v/>
      </c>
      <c r="K16" s="329" t="str">
        <f t="shared" si="8"/>
        <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102684.16735088965</v>
      </c>
      <c r="D19" s="27"/>
      <c r="E19" s="265"/>
      <c r="F19" s="27"/>
      <c r="G19" s="334">
        <f>IF(G$4="","",G16+G17)</f>
        <v>133753.29279186437</v>
      </c>
      <c r="H19" s="334">
        <f t="shared" ref="H19:Q19" si="9">IF(H$4="","",H16+H17)</f>
        <v>103019.92132264358</v>
      </c>
      <c r="I19" s="334">
        <f t="shared" si="9"/>
        <v>14739.089790419166</v>
      </c>
      <c r="J19" s="334" t="str">
        <f t="shared" si="9"/>
        <v/>
      </c>
      <c r="K19" s="334" t="str">
        <f t="shared" si="9"/>
        <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-865842.54650761362</v>
      </c>
      <c r="D23" s="58"/>
      <c r="E23" s="267"/>
      <c r="F23" s="58"/>
      <c r="G23" s="333">
        <f>Data!C37</f>
        <v>-925767</v>
      </c>
      <c r="H23" s="333">
        <f>Data!D37</f>
        <v>-897327</v>
      </c>
      <c r="I23" s="333">
        <f>Data!E37</f>
        <v>-845264</v>
      </c>
      <c r="J23" s="333" t="str">
        <f>Data!F37</f>
        <v/>
      </c>
      <c r="K23" s="333" t="str">
        <f>Data!G37</f>
        <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-454937.18981639796</v>
      </c>
      <c r="D24" s="27"/>
      <c r="E24" s="265"/>
      <c r="F24" s="27"/>
      <c r="G24" s="333">
        <f>Data!C40</f>
        <v>-538750</v>
      </c>
      <c r="H24" s="333">
        <f>Data!D40</f>
        <v>-425033</v>
      </c>
      <c r="I24" s="333">
        <f>Data!E40</f>
        <v>-435254</v>
      </c>
      <c r="J24" s="333" t="str">
        <f>Data!F40</f>
        <v/>
      </c>
      <c r="K24" s="333" t="str">
        <f>Data!G40</f>
        <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-1320779.7363240116</v>
      </c>
      <c r="D25" s="9"/>
      <c r="E25" s="273"/>
      <c r="F25" s="9"/>
      <c r="G25" s="329">
        <f t="shared" ref="G25:Q25" si="10">IF(G$4="","",G23+G24)</f>
        <v>-1464517</v>
      </c>
      <c r="H25" s="329">
        <f t="shared" si="10"/>
        <v>-1322360</v>
      </c>
      <c r="I25" s="329">
        <f t="shared" si="10"/>
        <v>-1280518</v>
      </c>
      <c r="J25" s="329" t="str">
        <f t="shared" si="10"/>
        <v/>
      </c>
      <c r="K25" s="329" t="str">
        <f t="shared" si="10"/>
        <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AVERAGE(G28:H28)</f>
        <v>0.53202612430882723</v>
      </c>
      <c r="D28" s="26"/>
      <c r="E28" s="266" t="s">
        <v>324</v>
      </c>
      <c r="F28" s="26"/>
      <c r="G28" s="13">
        <f t="shared" ref="G28:Q28" si="11">IF(G$4="","",ABS(G23/G$4))</f>
        <v>0.5086330041953554</v>
      </c>
      <c r="H28" s="13">
        <f t="shared" si="11"/>
        <v>0.55541924442229906</v>
      </c>
      <c r="I28" s="13">
        <f t="shared" si="11"/>
        <v>0.5842954491724951</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AVERAGE(G29:H29)</f>
        <v>0.27954097529421784</v>
      </c>
      <c r="D29" s="26"/>
      <c r="E29" s="266" t="s">
        <v>324</v>
      </c>
      <c r="F29" s="26"/>
      <c r="G29" s="13">
        <f t="shared" ref="G29:Q29" si="12">IF(G$4="","",ABS(G24/G$4))</f>
        <v>0.29599891874548101</v>
      </c>
      <c r="H29" s="13">
        <f t="shared" si="12"/>
        <v>0.26308303184295473</v>
      </c>
      <c r="I29" s="13">
        <f t="shared" si="12"/>
        <v>0.30087278227172243</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0.81156709960304507</v>
      </c>
      <c r="E30" s="268"/>
      <c r="G30" s="30">
        <f t="shared" ref="G30:Q30" si="13">IF(G$4="","",ABS(G25/G$4))</f>
        <v>0.80463192294083652</v>
      </c>
      <c r="H30" s="30">
        <f t="shared" si="13"/>
        <v>0.81850227626525374</v>
      </c>
      <c r="I30" s="30">
        <f t="shared" si="13"/>
        <v>0.88516823144421752</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AVERAGE(G33:H33)</f>
        <v>-192887</v>
      </c>
      <c r="E33" s="266" t="s">
        <v>324</v>
      </c>
      <c r="G33" s="328">
        <f>Data!C41</f>
        <v>-197703</v>
      </c>
      <c r="H33" s="328">
        <f>Data!D41</f>
        <v>-188071</v>
      </c>
      <c r="I33" s="328">
        <f>Data!E41</f>
        <v>-163928</v>
      </c>
      <c r="J33" s="328" t="str">
        <f>Data!F41</f>
        <v/>
      </c>
      <c r="K33" s="328" t="str">
        <f>Data!G41</f>
        <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t="str">
        <f>Data!F42</f>
        <v/>
      </c>
      <c r="K34" s="333" t="str">
        <f>Data!G42</f>
        <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-192887</v>
      </c>
      <c r="D35" s="58"/>
      <c r="E35" s="267"/>
      <c r="F35" s="58"/>
      <c r="G35" s="329">
        <f t="shared" ref="G35:Q35" si="14">IF(G4="","",G33+G34)</f>
        <v>-197703</v>
      </c>
      <c r="H35" s="329">
        <f t="shared" si="14"/>
        <v>-188071</v>
      </c>
      <c r="I35" s="329">
        <f t="shared" si="14"/>
        <v>-163928</v>
      </c>
      <c r="J35" s="329" t="str">
        <f t="shared" si="14"/>
        <v/>
      </c>
      <c r="K35" s="329" t="str">
        <f t="shared" si="14"/>
        <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0.11852146034343021</v>
      </c>
      <c r="D38" s="27"/>
      <c r="E38" s="265"/>
      <c r="F38" s="27"/>
      <c r="G38" s="13">
        <f t="shared" ref="G38:Q38" si="15">IF(G$4="","",ABS(G33/G$4))</f>
        <v>0.10862157630206559</v>
      </c>
      <c r="H38" s="13">
        <f t="shared" si="15"/>
        <v>0.11641046432097352</v>
      </c>
      <c r="I38" s="13">
        <f t="shared" si="15"/>
        <v>0.11331653115706901</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0.11852146034343021</v>
      </c>
      <c r="E40" s="268"/>
      <c r="G40" s="30">
        <f t="shared" ref="G40:Q40" si="17">IF(G$4="","",ABS(G35/G$4))</f>
        <v>0.10862157630206559</v>
      </c>
      <c r="H40" s="30">
        <f t="shared" si="17"/>
        <v>0.11641046432097352</v>
      </c>
      <c r="I40" s="30">
        <f t="shared" si="17"/>
        <v>0.11331653115706901</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0.26112661675174448</v>
      </c>
      <c r="H43" s="6">
        <f t="shared" si="18"/>
        <v>0.35052503078207653</v>
      </c>
      <c r="I43" s="6">
        <f t="shared" si="18"/>
        <v>1.3781558199876225</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-1880</v>
      </c>
      <c r="E47" s="268"/>
      <c r="G47" s="328">
        <f>Data!C51</f>
        <v>-1880</v>
      </c>
      <c r="H47" s="328">
        <f>Data!D51</f>
        <v>-1003</v>
      </c>
      <c r="I47" s="328">
        <f>Data!E51</f>
        <v>-863</v>
      </c>
      <c r="J47" s="328" t="str">
        <f>Data!F51</f>
        <v/>
      </c>
      <c r="K47" s="328" t="str">
        <f>Data!G51</f>
        <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25015.292791864355</v>
      </c>
      <c r="E48" s="268"/>
      <c r="G48" s="337">
        <f>IFERROR(IF(G$4="","",($C$48/$C$49)*G49),0)</f>
        <v>25015.292791864355</v>
      </c>
      <c r="H48" s="337">
        <f t="shared" ref="H48:Q48" si="19">IFERROR(IF(H$4="","",($C$48/$C$49)*H49),0)</f>
        <v>22655.921322643586</v>
      </c>
      <c r="I48" s="337">
        <f t="shared" si="19"/>
        <v>13921.089790419168</v>
      </c>
      <c r="J48" s="337" t="str">
        <f t="shared" si="19"/>
        <v/>
      </c>
      <c r="K48" s="337" t="str">
        <f t="shared" si="19"/>
        <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81491</v>
      </c>
      <c r="D49" s="288"/>
      <c r="E49" s="289"/>
      <c r="F49" s="288"/>
      <c r="G49" s="342">
        <f>Data!C52</f>
        <v>81491</v>
      </c>
      <c r="H49" s="342">
        <f>Data!D52</f>
        <v>73805</v>
      </c>
      <c r="I49" s="342">
        <f>Data!E52</f>
        <v>45350</v>
      </c>
      <c r="J49" s="342" t="str">
        <f>Data!F52</f>
        <v/>
      </c>
      <c r="K49" s="342" t="str">
        <f>Data!G52</f>
        <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23135.292791864355</v>
      </c>
      <c r="E50" s="268"/>
      <c r="G50" s="329">
        <f>IF(G$4="","",(G47+G48))</f>
        <v>23135.292791864355</v>
      </c>
      <c r="H50" s="329">
        <f t="shared" ref="H50:Q50" si="20">IF(H$4="","",(H47+H48))</f>
        <v>21652.921322643586</v>
      </c>
      <c r="I50" s="329">
        <f t="shared" si="20"/>
        <v>13058.089790419168</v>
      </c>
      <c r="J50" s="329" t="str">
        <f t="shared" si="20"/>
        <v/>
      </c>
      <c r="K50" s="329" t="str">
        <f t="shared" si="20"/>
        <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3.0096689367862788E-2</v>
      </c>
      <c r="E53" s="265" t="s">
        <v>326</v>
      </c>
      <c r="G53" s="6">
        <f>IF(Normalized_FCF!G4="","",Normalized_FCF!G49/BS!$C$66)</f>
        <v>3.0096689367862788E-2</v>
      </c>
      <c r="H53" s="169"/>
      <c r="I53" s="169"/>
      <c r="J53" s="169"/>
      <c r="K53" s="169"/>
      <c r="L53" s="169"/>
      <c r="M53" s="169"/>
      <c r="N53" s="169"/>
      <c r="O53" s="169"/>
      <c r="P53" s="169"/>
      <c r="Q53" s="169"/>
    </row>
    <row r="54" spans="1:17" ht="15.75" customHeight="1">
      <c r="A54" s="10"/>
      <c r="B54" s="8" t="s">
        <v>85</v>
      </c>
      <c r="C54" s="82">
        <f>G54</f>
        <v>5.5295743992470364E-2</v>
      </c>
      <c r="E54" s="265" t="s">
        <v>327</v>
      </c>
      <c r="G54" s="23">
        <f>IFERROR(ABS(Normalized_FCF!G47/BS!$G$31),0)</f>
        <v>5.5295743992470364E-2</v>
      </c>
      <c r="H54" s="169"/>
      <c r="I54" s="169"/>
      <c r="J54" s="169"/>
      <c r="K54" s="169"/>
      <c r="L54" s="169"/>
      <c r="M54" s="169"/>
      <c r="N54" s="169"/>
      <c r="O54" s="169"/>
      <c r="P54" s="169"/>
      <c r="Q54" s="169"/>
    </row>
    <row r="55" spans="1:17" ht="15.75" customHeight="1">
      <c r="A55" s="10"/>
      <c r="B55" s="26" t="s">
        <v>88</v>
      </c>
      <c r="C55" s="42">
        <f>-C8/C47</f>
        <v>60.519643799284658</v>
      </c>
      <c r="E55" s="268"/>
      <c r="G55" s="42">
        <f t="shared" ref="G55:Q55" si="21">IF(G4="","",-G8/G47)</f>
        <v>83.982978723404258</v>
      </c>
      <c r="H55" s="42">
        <f t="shared" si="21"/>
        <v>104.839481555334</v>
      </c>
      <c r="I55" s="42">
        <f t="shared" si="21"/>
        <v>2.5399768250289689</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t="str">
        <f>Data!F56</f>
        <v/>
      </c>
      <c r="K58" s="328" t="str">
        <f>Data!G56</f>
        <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0</v>
      </c>
      <c r="E59" s="268"/>
      <c r="G59" s="328">
        <f>Data!C55</f>
        <v>0</v>
      </c>
      <c r="H59" s="328">
        <f>Data!D55</f>
        <v>0</v>
      </c>
      <c r="I59" s="328">
        <f>Data!E55</f>
        <v>0</v>
      </c>
      <c r="J59" s="328" t="str">
        <f>Data!F55</f>
        <v/>
      </c>
      <c r="K59" s="328" t="str">
        <f>Data!G55</f>
        <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t="str">
        <f>Data!F57</f>
        <v/>
      </c>
      <c r="K60" s="328" t="str">
        <f>Data!G57</f>
        <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t="str">
        <f t="shared" si="22"/>
        <v/>
      </c>
      <c r="K61" s="329" t="str">
        <f t="shared" si="22"/>
        <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5020</v>
      </c>
      <c r="H62" s="328">
        <f>Data!D58</f>
        <v>39310</v>
      </c>
      <c r="I62" s="328">
        <f>Data!E58</f>
        <v>39794</v>
      </c>
      <c r="J62" s="328" t="str">
        <f>Data!F58</f>
        <v/>
      </c>
      <c r="K62" s="328" t="str">
        <f>Data!G58</f>
        <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5020</v>
      </c>
      <c r="H63" s="329">
        <f t="shared" si="23"/>
        <v>39310</v>
      </c>
      <c r="I63" s="329">
        <f t="shared" si="23"/>
        <v>39794</v>
      </c>
      <c r="J63" s="329" t="str">
        <f t="shared" si="23"/>
        <v/>
      </c>
      <c r="K63" s="329" t="str">
        <f t="shared" si="23"/>
        <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0.81156709960304507</v>
      </c>
      <c r="D73" s="27"/>
      <c r="E73" s="265"/>
      <c r="F73" s="27"/>
      <c r="G73" s="6">
        <f t="shared" ref="G73:Q73" si="24">IF(G$4="","",ABS(G5/G$4))</f>
        <v>0.80463192294083652</v>
      </c>
      <c r="H73" s="6">
        <f t="shared" si="24"/>
        <v>0.81850227626525374</v>
      </c>
      <c r="I73" s="6">
        <f t="shared" si="24"/>
        <v>0.88516823144421752</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0.18843290039695496</v>
      </c>
      <c r="D74" s="27"/>
      <c r="E74" s="265"/>
      <c r="F74" s="27"/>
      <c r="G74" s="65">
        <f t="shared" ref="G74:Q74" si="25">IF(G$4="","",ABS(G6/G$4))</f>
        <v>0.19536807705916351</v>
      </c>
      <c r="H74" s="65">
        <f t="shared" si="25"/>
        <v>0.18149772373474624</v>
      </c>
      <c r="I74" s="65">
        <f t="shared" si="25"/>
        <v>0.11483176855578245</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0.11852146034343021</v>
      </c>
      <c r="D75" s="27"/>
      <c r="E75" s="265"/>
      <c r="F75" s="27"/>
      <c r="G75" s="6">
        <f t="shared" ref="G75:Q75" si="26">IF(G$4="","",ABS(G7/G$4))</f>
        <v>0.10862157630206559</v>
      </c>
      <c r="H75" s="6">
        <f t="shared" si="26"/>
        <v>0.11641046432097352</v>
      </c>
      <c r="I75" s="6">
        <f t="shared" si="26"/>
        <v>0.11331653115706901</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6.9911440053524732E-2</v>
      </c>
      <c r="D76" s="27"/>
      <c r="E76" s="265"/>
      <c r="F76" s="27"/>
      <c r="G76" s="65">
        <f t="shared" ref="G76:Q76" si="27">IF(G$4="","",ABS(G8/G$4))</f>
        <v>8.674650075709793E-2</v>
      </c>
      <c r="H76" s="65">
        <f t="shared" si="27"/>
        <v>6.5087259413772719E-2</v>
      </c>
      <c r="I76" s="65">
        <f t="shared" si="27"/>
        <v>1.5152373987134308E-3</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2.2104605361660239E-2</v>
      </c>
      <c r="D77" s="27"/>
      <c r="E77" s="265"/>
      <c r="F77" s="27"/>
      <c r="G77" s="6">
        <f t="shared" ref="G77:Q77" si="28">IF(G$4="","",G9/G$4)</f>
        <v>1.9764761211972036E-2</v>
      </c>
      <c r="H77" s="6">
        <f t="shared" si="28"/>
        <v>2.2266856897037297E-2</v>
      </c>
      <c r="I77" s="6">
        <f t="shared" si="28"/>
        <v>2.2193527337177648E-2</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2.2104605361660239E-2</v>
      </c>
      <c r="D78" s="27"/>
      <c r="E78" s="266" t="s">
        <v>560</v>
      </c>
      <c r="F78" s="27"/>
      <c r="G78" s="6">
        <f t="shared" ref="G78:Q78" si="29">IF(G$4="","",-G10/G$4)</f>
        <v>1.9764761211972036E-2</v>
      </c>
      <c r="H78" s="6">
        <f t="shared" si="29"/>
        <v>9.4776814590380575E-3</v>
      </c>
      <c r="I78" s="6">
        <f t="shared" si="29"/>
        <v>8.0185920734834829E-3</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1.4215725721093687E-2</v>
      </c>
      <c r="D80" s="27"/>
      <c r="E80" s="265"/>
      <c r="F80" s="27"/>
      <c r="G80" s="6">
        <f t="shared" ref="G80:Q80" si="31">IF(G$4="","",ABS(G12/G$4))</f>
        <v>1.2710945060328483E-2</v>
      </c>
      <c r="H80" s="6">
        <f t="shared" si="31"/>
        <v>1.3402526838664375E-2</v>
      </c>
      <c r="I80" s="6">
        <f t="shared" si="31"/>
        <v>9.0265082145078238E-3</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8.4127165774618429E-2</v>
      </c>
      <c r="D81" s="27"/>
      <c r="E81" s="265"/>
      <c r="F81" s="27"/>
      <c r="G81" s="65">
        <f t="shared" ref="G81:Q81" si="32">IF(G$4="","",G13/G$4)</f>
        <v>9.9457445817426424E-2</v>
      </c>
      <c r="H81" s="65">
        <f t="shared" si="32"/>
        <v>9.1278961690436339E-2</v>
      </c>
      <c r="I81" s="65">
        <f t="shared" si="32"/>
        <v>2.4716680876915417E-2</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2.1031791443654607E-2</v>
      </c>
      <c r="D82" s="27"/>
      <c r="E82" s="265"/>
      <c r="F82" s="27"/>
      <c r="G82" s="6">
        <f t="shared" ref="G82:Q82" si="33">IF(G$4="","",ABS(G14/G$4))</f>
        <v>2.5970986337074502E-2</v>
      </c>
      <c r="H82" s="6">
        <f t="shared" si="33"/>
        <v>2.7512634742214121E-2</v>
      </c>
      <c r="I82" s="6">
        <f t="shared" si="33"/>
        <v>1.4528168069689861E-2</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6.3095374330963822E-2</v>
      </c>
      <c r="D84" s="27"/>
      <c r="E84" s="265"/>
      <c r="F84" s="27"/>
      <c r="G84" s="65">
        <f t="shared" ref="G84:Q84" si="35">IF(G$4="","",ABS(G16/G$4))</f>
        <v>7.3486459480351915E-2</v>
      </c>
      <c r="H84" s="65">
        <f t="shared" si="35"/>
        <v>6.3766326948222207E-2</v>
      </c>
      <c r="I84" s="65">
        <f t="shared" si="35"/>
        <v>1.0188512807225557E-2</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6.3095374330963822E-2</v>
      </c>
      <c r="D87" s="75"/>
      <c r="E87" s="265"/>
      <c r="F87" s="75"/>
      <c r="G87" s="65">
        <f t="shared" ref="G87:Q87" si="36">IF(G$4="","",ABS(G19/G$4))</f>
        <v>7.3486459480351915E-2</v>
      </c>
      <c r="H87" s="65">
        <f t="shared" si="36"/>
        <v>6.3766326948222207E-2</v>
      </c>
      <c r="I87" s="65">
        <f t="shared" si="36"/>
        <v>1.0188512807225557E-2</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0.1114963360293391</v>
      </c>
      <c r="E90" s="268"/>
      <c r="G90" s="112">
        <f>Data!C65</f>
        <v>0.1114963360293391</v>
      </c>
      <c r="H90" s="112">
        <f>Data!D65</f>
        <v>9.5959961336726282E-2</v>
      </c>
      <c r="I90" s="112">
        <f>Data!E65</f>
        <v>3.545949047490457E-2</v>
      </c>
      <c r="J90" s="112" t="str">
        <f>Data!F65</f>
        <v/>
      </c>
      <c r="K90" s="112" t="str">
        <f>Data!G65</f>
        <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148661.79995517479</v>
      </c>
      <c r="E91" s="268"/>
      <c r="G91" s="74">
        <f t="shared" ref="G91:Q91" si="37">IF(G$4="","",G90*Common_Shares/scaling_factor)</f>
        <v>148661.79995517479</v>
      </c>
      <c r="H91" s="74">
        <f t="shared" si="37"/>
        <v>127946.63110896193</v>
      </c>
      <c r="I91" s="74">
        <f t="shared" si="37"/>
        <v>47279.326543121177</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1.4477577584786914</v>
      </c>
      <c r="E92" s="268"/>
      <c r="G92" s="170">
        <f t="shared" ref="G92:Q92" si="38">IF(G$4="","",G90/(G19*scaling_factor/Common_Shares))</f>
        <v>1.1114627300167466</v>
      </c>
      <c r="H92" s="170">
        <f t="shared" si="38"/>
        <v>1.2419600934100066</v>
      </c>
      <c r="I92" s="170">
        <f t="shared" si="38"/>
        <v>3.2077507644911765</v>
      </c>
      <c r="J92" s="170" t="str">
        <f t="shared" si="38"/>
        <v/>
      </c>
      <c r="K92" s="170" t="str">
        <f t="shared" si="38"/>
        <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434</v>
      </c>
      <c r="C93" s="356">
        <v>0</v>
      </c>
      <c r="E93" s="268"/>
      <c r="G93" s="357"/>
      <c r="H93" s="357"/>
      <c r="I93" s="357"/>
      <c r="J93" s="357"/>
      <c r="K93" s="357"/>
      <c r="L93" s="357"/>
      <c r="M93" s="357"/>
      <c r="N93" s="357"/>
      <c r="O93" s="357"/>
      <c r="P93" s="357"/>
      <c r="Q93" s="357"/>
    </row>
    <row r="94" spans="1:17" ht="15.75" customHeight="1">
      <c r="A94" s="10"/>
      <c r="B94" s="2" t="s">
        <v>433</v>
      </c>
      <c r="C94" s="23">
        <f>(C90*(1-dividend_tax_rate))/Market_Price</f>
        <v>3.9121521413803192E-2</v>
      </c>
      <c r="E94" s="268"/>
      <c r="G94" s="23">
        <f t="shared" ref="G94:Q94" si="39">IF(G$4="","",(G90*(1-dividend_tax_rate))/Market_Price)</f>
        <v>3.9121521413803192E-2</v>
      </c>
      <c r="H94" s="23">
        <f t="shared" si="39"/>
        <v>3.3670161872535534E-2</v>
      </c>
      <c r="I94" s="23">
        <f t="shared" si="39"/>
        <v>1.2441926482422656E-2</v>
      </c>
      <c r="J94" s="23" t="str">
        <f t="shared" si="39"/>
        <v/>
      </c>
      <c r="K94" s="23" t="str">
        <f t="shared" si="39"/>
        <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-0.10585324240832594</v>
      </c>
      <c r="D97" s="27"/>
      <c r="E97" s="265"/>
      <c r="F97" s="27"/>
      <c r="G97" s="6">
        <f t="shared" ref="G97:Q97" si="40">IF(H4="","",G4/H4-1)</f>
        <v>0.12659377253440707</v>
      </c>
      <c r="H97" s="6">
        <f t="shared" si="40"/>
        <v>0.11678595474472542</v>
      </c>
      <c r="I97" s="6" t="str">
        <f t="shared" si="40"/>
        <v/>
      </c>
      <c r="J97" s="6" t="str">
        <f t="shared" si="40"/>
        <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-0.24367620860848294</v>
      </c>
      <c r="D98" s="27"/>
      <c r="E98" s="265"/>
      <c r="F98" s="27"/>
      <c r="G98" s="6">
        <f t="shared" ref="G98:Q98" si="41">IF(H5="","",G13/H13-1)</f>
        <v>0.22753520652536685</v>
      </c>
      <c r="H98" s="6">
        <f t="shared" si="41"/>
        <v>3.1243022429750651</v>
      </c>
      <c r="I98" s="6" t="str">
        <f t="shared" si="41"/>
        <v/>
      </c>
      <c r="J98" s="6" t="str">
        <f t="shared" si="41"/>
        <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3801703</v>
      </c>
      <c r="D102" s="26"/>
      <c r="E102" s="269"/>
      <c r="F102" s="26"/>
      <c r="G102" s="333">
        <f t="shared" ref="G102:Q102" si="42">IF(G$4="","",G106+G105)</f>
        <v>3801703</v>
      </c>
      <c r="H102" s="333">
        <f t="shared" si="42"/>
        <v>3670169</v>
      </c>
      <c r="I102" s="333">
        <f t="shared" si="42"/>
        <v>3559477</v>
      </c>
      <c r="J102" s="333" t="str">
        <f t="shared" si="42"/>
        <v/>
      </c>
      <c r="K102" s="333" t="str">
        <f t="shared" si="42"/>
        <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109763</v>
      </c>
      <c r="D103" s="89"/>
      <c r="E103" s="270"/>
      <c r="F103" s="89"/>
      <c r="G103" s="346">
        <f>IF(G$4="","",Data!D77)</f>
        <v>0</v>
      </c>
      <c r="H103" s="346">
        <f>IF(H$4="","",Data!E77)</f>
        <v>0</v>
      </c>
      <c r="I103" s="346" t="str">
        <f>IF(I$4="","",Data!F77)</f>
        <v/>
      </c>
      <c r="J103" s="346" t="str">
        <f>IF(J$4="","",Data!G77)</f>
        <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318027</v>
      </c>
      <c r="D104" s="89"/>
      <c r="E104" s="270"/>
      <c r="F104" s="89"/>
      <c r="G104" s="346">
        <f>IF(G$4="","",Data!D78)</f>
        <v>0</v>
      </c>
      <c r="H104" s="346">
        <f>IF(H$4="","",Data!E78)</f>
        <v>0</v>
      </c>
      <c r="I104" s="346" t="str">
        <f>IF(I$4="","",Data!F78)</f>
        <v/>
      </c>
      <c r="J104" s="346" t="str">
        <f>IF(J$4="","",Data!G78)</f>
        <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642877</v>
      </c>
      <c r="D105" s="26"/>
      <c r="E105" s="269"/>
      <c r="F105" s="26"/>
      <c r="G105" s="333">
        <f>Data!C79</f>
        <v>642877</v>
      </c>
      <c r="H105" s="333">
        <f>Data!D79</f>
        <v>642877</v>
      </c>
      <c r="I105" s="333">
        <f>Data!E79</f>
        <v>734909</v>
      </c>
      <c r="J105" s="333" t="str">
        <f>Data!F79</f>
        <v/>
      </c>
      <c r="K105" s="333" t="str">
        <f>Data!G79</f>
        <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3158826</v>
      </c>
      <c r="D106" s="26"/>
      <c r="E106" s="269"/>
      <c r="F106" s="26"/>
      <c r="G106" s="333">
        <f>Data!C80</f>
        <v>3158826</v>
      </c>
      <c r="H106" s="333">
        <f>Data!D80</f>
        <v>3027292</v>
      </c>
      <c r="I106" s="333">
        <f>Data!E80</f>
        <v>2824568</v>
      </c>
      <c r="J106" s="333" t="str">
        <f>Data!F80</f>
        <v/>
      </c>
      <c r="K106" s="333" t="str">
        <f>Data!G80</f>
        <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6.7445038036134788E-2</v>
      </c>
      <c r="D109" s="26"/>
      <c r="E109" s="269"/>
      <c r="F109" s="26"/>
      <c r="G109" s="94">
        <f t="shared" ref="G109:Q109" si="43">IF(G$4="","",G103/G$4)</f>
        <v>0</v>
      </c>
      <c r="H109" s="94">
        <f t="shared" si="43"/>
        <v>0</v>
      </c>
      <c r="I109" s="94" t="e">
        <f t="shared" si="43"/>
        <v>#VALUE!</v>
      </c>
      <c r="J109" s="94" t="str">
        <f t="shared" si="43"/>
        <v/>
      </c>
      <c r="K109" s="94" t="str">
        <f t="shared" si="43"/>
        <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0.19541505891345751</v>
      </c>
      <c r="D110" s="26"/>
      <c r="E110" s="269"/>
      <c r="F110" s="26"/>
      <c r="G110" s="94">
        <f t="shared" ref="G110:Q110" si="44">IF(G$4="","",G104/G$4)</f>
        <v>0</v>
      </c>
      <c r="H110" s="94">
        <f t="shared" si="44"/>
        <v>0</v>
      </c>
      <c r="I110" s="94" t="e">
        <f t="shared" si="44"/>
        <v>#VALUE!</v>
      </c>
      <c r="J110" s="94" t="str">
        <f t="shared" si="44"/>
        <v/>
      </c>
      <c r="K110" s="94" t="str">
        <f t="shared" si="44"/>
        <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v>
      </c>
      <c r="H114" s="295">
        <f>IF(H$4="","",Data!D$22/Data!D15)</f>
        <v>0</v>
      </c>
      <c r="I114" s="295">
        <f>IF(I$4="","",Data!E$22/Data!E15)</f>
        <v>0</v>
      </c>
      <c r="J114" s="295" t="str">
        <f>IF(J$4="","",Data!F$22/Data!F15)</f>
        <v/>
      </c>
      <c r="K114" s="295" t="str">
        <f>IF(K$4="","",Data!G$22/Data!G15)</f>
        <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0</v>
      </c>
      <c r="H115" s="295">
        <f>IF(H$4="","",Data!D$22/H19)</f>
        <v>0</v>
      </c>
      <c r="I115" s="295">
        <f>IF(I$4="","",Data!E$22/I19)</f>
        <v>0</v>
      </c>
      <c r="J115" s="295" t="str">
        <f>IF(J$4="","",Data!F$22/J19)</f>
        <v/>
      </c>
      <c r="K115" s="295" t="str">
        <f>IF(K$4="","",Data!G$22/K19)</f>
        <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8.4127165774618429E-2</v>
      </c>
      <c r="E118" s="268"/>
      <c r="G118" s="23">
        <f t="shared" ref="G118:Q118" si="45">IF(G4="","",IF(valuation_method="DDM",G13/(G4+G12),G81))</f>
        <v>9.9457445817426424E-2</v>
      </c>
      <c r="H118" s="23">
        <f t="shared" si="45"/>
        <v>9.1278961690436339E-2</v>
      </c>
      <c r="I118" s="23">
        <f t="shared" si="45"/>
        <v>2.4716680876915417E-2</v>
      </c>
      <c r="J118" s="23" t="str">
        <f t="shared" si="45"/>
        <v/>
      </c>
      <c r="K118" s="23" t="str">
        <f t="shared" si="45"/>
        <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0.42808280043619051</v>
      </c>
      <c r="E119" s="268"/>
      <c r="G119" s="42">
        <f t="shared" ref="G119:Q119" si="46">IF(G4="","",IF(valuation_method="DDM",(G4+G12)/G102,G4/G102))</f>
        <v>0.47876122884928152</v>
      </c>
      <c r="H119" s="42">
        <f t="shared" si="46"/>
        <v>0.44019362596109335</v>
      </c>
      <c r="I119" s="42">
        <f t="shared" si="46"/>
        <v>0.40641869578030704</v>
      </c>
      <c r="J119" s="42" t="str">
        <f t="shared" si="46"/>
        <v/>
      </c>
      <c r="K119" s="42" t="str">
        <f t="shared" si="46"/>
        <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1.2035176992971439</v>
      </c>
      <c r="D120" s="11"/>
      <c r="E120" s="272"/>
      <c r="F120" s="11"/>
      <c r="G120" s="15">
        <f t="shared" ref="G120:Q120" si="47">IF(G$4="","",G102/G106)</f>
        <v>1.2035176992971439</v>
      </c>
      <c r="H120" s="15">
        <f t="shared" si="47"/>
        <v>1.2123604198075375</v>
      </c>
      <c r="I120" s="15">
        <f t="shared" si="47"/>
        <v>1.2601845662770377</v>
      </c>
      <c r="J120" s="15" t="str">
        <f t="shared" si="47"/>
        <v/>
      </c>
      <c r="K120" s="15" t="str">
        <f t="shared" si="47"/>
        <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4.3342755547320283E-2</v>
      </c>
      <c r="D121" s="103"/>
      <c r="E121" s="271"/>
      <c r="F121" s="103"/>
      <c r="G121" s="102">
        <f t="shared" ref="G121:Q121" si="48">IF(G$4="","",G13/G106)</f>
        <v>5.7307142840999907E-2</v>
      </c>
      <c r="H121" s="102">
        <f t="shared" si="48"/>
        <v>4.8713147368223346E-2</v>
      </c>
      <c r="I121" s="102">
        <f t="shared" si="48"/>
        <v>1.2658958747114308E-2</v>
      </c>
      <c r="J121" s="102" t="str">
        <f t="shared" si="48"/>
        <v/>
      </c>
      <c r="K121" s="102" t="str">
        <f t="shared" si="48"/>
        <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8.4268241206455707E-2</v>
      </c>
      <c r="D125" s="27"/>
      <c r="E125" s="265"/>
      <c r="F125" s="27"/>
      <c r="G125" s="177">
        <f t="shared" ref="G125:Q125" si="49">IF(G$4="","",G16*$C$3/Common_Shares*Exchange_Rate)</f>
        <v>0.10976526401219211</v>
      </c>
      <c r="H125" s="177">
        <f t="shared" si="49"/>
        <v>8.4543779270479749E-2</v>
      </c>
      <c r="I125" s="177">
        <f t="shared" si="49"/>
        <v>1.2095702830002936E-2</v>
      </c>
      <c r="J125" s="177" t="str">
        <f t="shared" si="49"/>
        <v/>
      </c>
      <c r="K125" s="177" t="str">
        <f t="shared" si="49"/>
        <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2.9567803932089722E-2</v>
      </c>
      <c r="D126" s="27"/>
      <c r="E126" s="265"/>
      <c r="F126" s="27"/>
      <c r="G126" s="77">
        <f t="shared" ref="G126" si="50">IF(G$4="","",G125/Market_Price)</f>
        <v>3.851412772357618E-2</v>
      </c>
      <c r="H126" s="77">
        <f t="shared" ref="H126" si="51">IF(H$4="","",H125/Market_Price)</f>
        <v>2.9664483954554299E-2</v>
      </c>
      <c r="I126" s="77">
        <f t="shared" ref="I126" si="52">IF(I$4="","",I125/Market_Price)</f>
        <v>4.2441062561413808E-3</v>
      </c>
      <c r="J126" s="77" t="str">
        <f t="shared" ref="J126" si="53">IF(J$4="","",J125/Market_Price)</f>
        <v/>
      </c>
      <c r="K126" s="77" t="str">
        <f t="shared" ref="K126" si="54">IF(K$4="","",K125/Market_Price)</f>
        <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5.1381309366810013E-2</v>
      </c>
      <c r="H127" s="23">
        <f>IF(H$4="","",(Data!D47*$C$3)/(Market_Price*Common_Shares))</f>
        <v>4.5478152209967815E-2</v>
      </c>
      <c r="I127" s="23">
        <f>IF(I$4="","",(Data!E47*$C$3)/(Market_Price*Common_Shares))</f>
        <v>1.7225261004737112E-2</v>
      </c>
      <c r="J127" s="23" t="str">
        <f>IF(J$4="","",(Data!F47*$C$3)/(Market_Price*Common_Shares))</f>
        <v/>
      </c>
      <c r="K127" s="23" t="str">
        <f>IF(K$4="","",(Data!G47*$C$3)/(Market_Price*Common_Shares))</f>
        <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102684.16735088965</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1369122.2313451953</v>
      </c>
      <c r="D6" t="str">
        <f>Reporting_currency</f>
        <v>CNY</v>
      </c>
      <c r="E6" s="378" t="s">
        <v>245</v>
      </c>
      <c r="F6" s="378"/>
      <c r="H6" s="120"/>
    </row>
    <row r="7" spans="2:8">
      <c r="B7" s="148" t="s">
        <v>220</v>
      </c>
      <c r="C7" s="338">
        <f>BS!G31</f>
        <v>33999</v>
      </c>
      <c r="D7" t="str">
        <f>Reporting_currency</f>
        <v>CNY</v>
      </c>
      <c r="E7" s="378"/>
      <c r="F7" s="378"/>
      <c r="H7" s="120"/>
    </row>
    <row r="8" spans="2:8">
      <c r="B8" s="148" t="s">
        <v>221</v>
      </c>
      <c r="C8" s="338">
        <f>BS!D66</f>
        <v>1876475.7318604067</v>
      </c>
      <c r="D8" t="str">
        <f>Reporting_currency</f>
        <v>CNY</v>
      </c>
      <c r="E8" s="378"/>
      <c r="F8" s="378"/>
      <c r="H8" s="120"/>
    </row>
    <row r="9" spans="2:8">
      <c r="B9" s="205" t="s">
        <v>186</v>
      </c>
      <c r="C9" s="348">
        <f>BS!H42</f>
        <v>229590.09999999998</v>
      </c>
      <c r="D9" t="str">
        <f>Reporting_currency</f>
        <v>CNY</v>
      </c>
      <c r="E9" s="378"/>
      <c r="F9" s="378"/>
      <c r="H9" s="120"/>
    </row>
    <row r="10" spans="2:8" ht="13.15">
      <c r="B10" s="149" t="s">
        <v>223</v>
      </c>
      <c r="C10" s="347">
        <f>C6-C7+C8+C9</f>
        <v>3441189.0632056021</v>
      </c>
      <c r="D10" t="str">
        <f>Reporting_currency</f>
        <v>CNY</v>
      </c>
      <c r="H10" s="120"/>
    </row>
    <row r="11" spans="2:8" ht="13.15" thickBot="1">
      <c r="B11" s="207" t="s">
        <v>162</v>
      </c>
      <c r="C11" s="208">
        <f>Exchange_Rate</f>
        <v>1.09420636</v>
      </c>
      <c r="D11" t="str">
        <f>Thesis!C15</f>
        <v>CNY/HKD</v>
      </c>
      <c r="H11" s="120"/>
    </row>
    <row r="12" spans="2:8" ht="13.5" thickTop="1">
      <c r="B12" s="149" t="s">
        <v>99</v>
      </c>
      <c r="C12" s="111">
        <f>(C10*scaling_factor)/Common_Shares*Exchange_Rate</f>
        <v>2.8240278661880258</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8.5779014792802307E-3</v>
      </c>
      <c r="H16" s="120"/>
    </row>
    <row r="17" spans="2:17" ht="13.35" customHeight="1">
      <c r="B17" s="118" t="s">
        <v>130</v>
      </c>
      <c r="C17" s="162">
        <f>Scenarios!C64</f>
        <v>10</v>
      </c>
      <c r="H17" s="120"/>
    </row>
    <row r="18" spans="2:17" ht="13.35" customHeight="1">
      <c r="B18" s="153" t="s">
        <v>103</v>
      </c>
      <c r="C18" s="140">
        <f>(F52-C7+C8+C9)*Exchange_Rate/Common_Shares*scaling_factor</f>
        <v>2.8536475546052071</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103564.9820219075</v>
      </c>
      <c r="D21" s="138">
        <f>IF($C$17&lt;B21,0,DCF!$C$16)</f>
        <v>8.5779014792802307E-3</v>
      </c>
      <c r="E21" s="124">
        <f t="shared" ref="E21:E50" si="0">IF($C$17&lt;B21,0,1/(1+Equity_Cost)^B21)</f>
        <v>0.93023255813953487</v>
      </c>
      <c r="F21" s="125">
        <f t="shared" ref="F21:F51" si="1">C21*E21</f>
        <v>96339.518159913961</v>
      </c>
      <c r="H21" s="120"/>
    </row>
    <row r="22" spans="2:17">
      <c r="B22" s="122">
        <v>2</v>
      </c>
      <c r="C22" s="123">
        <f t="shared" ref="C22:C50" si="2">IF(ROW()-ROW($C$21)&lt;$C$17, $C$21*(1+D22)^(ROW()-ROW($C$21)), 0)</f>
        <v>104453.35223439484</v>
      </c>
      <c r="D22" s="138">
        <f>IF($C$17&lt;B22,0,DCF!$C$16)</f>
        <v>8.5779014792802307E-3</v>
      </c>
      <c r="E22" s="124">
        <f t="shared" si="0"/>
        <v>0.86533261222282321</v>
      </c>
      <c r="F22" s="125">
        <f t="shared" si="1"/>
        <v>90386.892144419558</v>
      </c>
      <c r="H22" s="120"/>
    </row>
    <row r="23" spans="2:17">
      <c r="B23" s="122">
        <v>3</v>
      </c>
      <c r="C23" s="123">
        <f t="shared" si="2"/>
        <v>105349.34279904203</v>
      </c>
      <c r="D23" s="138">
        <f>IF($C$17&lt;B23,0,DCF!$C$16)</f>
        <v>8.5779014792802307E-3</v>
      </c>
      <c r="E23" s="124">
        <f t="shared" si="0"/>
        <v>0.80496056950960304</v>
      </c>
      <c r="F23" s="125">
        <f t="shared" si="1"/>
        <v>84802.066976979273</v>
      </c>
      <c r="G23" s="338"/>
      <c r="H23" s="339"/>
      <c r="I23" s="338"/>
      <c r="J23" s="338"/>
      <c r="K23" s="338"/>
      <c r="L23" s="338"/>
      <c r="M23" s="338"/>
      <c r="N23" s="338"/>
      <c r="O23" s="338"/>
      <c r="P23" s="338"/>
      <c r="Q23" s="338"/>
    </row>
    <row r="24" spans="2:17">
      <c r="B24" s="122">
        <v>4</v>
      </c>
      <c r="C24" s="123">
        <f t="shared" si="2"/>
        <v>106253.01908247912</v>
      </c>
      <c r="D24" s="138">
        <f>IF($C$17&lt;B24,0,DCF!$C$16)</f>
        <v>8.5779014792802307E-3</v>
      </c>
      <c r="E24" s="124">
        <f t="shared" si="0"/>
        <v>0.7488005297763749</v>
      </c>
      <c r="F24" s="125">
        <f t="shared" si="1"/>
        <v>79562.316979299634</v>
      </c>
      <c r="G24" s="338"/>
      <c r="H24" s="339"/>
      <c r="I24" s="338"/>
      <c r="J24" s="338"/>
      <c r="K24" s="338"/>
      <c r="L24" s="338"/>
      <c r="M24" s="338"/>
      <c r="N24" s="338"/>
      <c r="O24" s="338"/>
      <c r="P24" s="338"/>
      <c r="Q24" s="338"/>
    </row>
    <row r="25" spans="2:17">
      <c r="B25" s="122">
        <v>5</v>
      </c>
      <c r="C25" s="123">
        <f t="shared" si="2"/>
        <v>107164.44701204471</v>
      </c>
      <c r="D25" s="138">
        <f>IF($C$17&lt;B25,0,DCF!$C$16)</f>
        <v>8.5779014792802307E-3</v>
      </c>
      <c r="E25" s="124">
        <f t="shared" si="0"/>
        <v>0.69655863235011617</v>
      </c>
      <c r="F25" s="125">
        <f t="shared" si="1"/>
        <v>74646.320647266359</v>
      </c>
      <c r="G25" s="338"/>
      <c r="H25" s="339"/>
      <c r="I25" s="338"/>
      <c r="J25" s="338"/>
      <c r="K25" s="338"/>
      <c r="L25" s="338"/>
      <c r="M25" s="338"/>
      <c r="N25" s="338"/>
      <c r="O25" s="338"/>
      <c r="P25" s="338"/>
      <c r="Q25" s="338"/>
    </row>
    <row r="26" spans="2:17">
      <c r="B26" s="122">
        <v>6</v>
      </c>
      <c r="C26" s="123">
        <f t="shared" si="2"/>
        <v>108083.69308059556</v>
      </c>
      <c r="D26" s="138">
        <f>IF($C$17&lt;B26,0,DCF!$C$16)</f>
        <v>8.5779014792802307E-3</v>
      </c>
      <c r="E26" s="124">
        <f t="shared" si="0"/>
        <v>0.64796151846522443</v>
      </c>
      <c r="F26" s="125">
        <f t="shared" si="1"/>
        <v>70034.073889831969</v>
      </c>
      <c r="H26" s="120"/>
    </row>
    <row r="27" spans="2:17">
      <c r="B27" s="122">
        <v>7</v>
      </c>
      <c r="C27" s="123">
        <f t="shared" si="2"/>
        <v>109010.82435135766</v>
      </c>
      <c r="D27" s="138">
        <f>IF($C$17&lt;B27,0,DCF!$C$16)</f>
        <v>8.5779014792802307E-3</v>
      </c>
      <c r="E27" s="124">
        <f t="shared" si="0"/>
        <v>0.60275490089788319</v>
      </c>
      <c r="F27" s="125">
        <f t="shared" si="1"/>
        <v>65706.808628699146</v>
      </c>
      <c r="H27" s="120"/>
    </row>
    <row r="28" spans="2:17">
      <c r="B28" s="122">
        <v>8</v>
      </c>
      <c r="C28" s="123">
        <f t="shared" si="2"/>
        <v>109945.90846281871</v>
      </c>
      <c r="D28" s="138">
        <f>IF($C$17&lt;B28,0,DCF!$C$16)</f>
        <v>8.5779014792802307E-3</v>
      </c>
      <c r="E28" s="124">
        <f t="shared" si="0"/>
        <v>0.56070223339337966</v>
      </c>
      <c r="F28" s="125">
        <f t="shared" si="1"/>
        <v>61646.916427566532</v>
      </c>
      <c r="H28" s="120"/>
    </row>
    <row r="29" spans="2:17">
      <c r="B29" s="122">
        <v>9</v>
      </c>
      <c r="C29" s="123">
        <f t="shared" si="2"/>
        <v>110889.01363366273</v>
      </c>
      <c r="D29" s="138">
        <f>IF($C$17&lt;B29,0,DCF!$C$16)</f>
        <v>8.5779014792802307E-3</v>
      </c>
      <c r="E29" s="124">
        <f t="shared" si="0"/>
        <v>0.52158347292407414</v>
      </c>
      <c r="F29" s="125">
        <f t="shared" si="1"/>
        <v>57837.876840170815</v>
      </c>
      <c r="H29" s="120"/>
    </row>
    <row r="30" spans="2:17">
      <c r="B30" s="122">
        <v>10</v>
      </c>
      <c r="C30" s="123">
        <f t="shared" si="2"/>
        <v>111840.20866774685</v>
      </c>
      <c r="D30" s="138">
        <f>IF($C$17&lt;B30,0,DCF!$C$16)</f>
        <v>8.5779014792802307E-3</v>
      </c>
      <c r="E30" s="124">
        <f t="shared" si="0"/>
        <v>0.48519392830146441</v>
      </c>
      <c r="F30" s="125">
        <f t="shared" si="1"/>
        <v>54264.190185559579</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1380866.4269587668</v>
      </c>
      <c r="D51" s="139">
        <f>Terminal_Growth</f>
        <v>0</v>
      </c>
      <c r="E51" s="124">
        <f>1/(1+Equity_Cost)^C17</f>
        <v>0.48519392830146441</v>
      </c>
      <c r="F51" s="125">
        <f t="shared" si="1"/>
        <v>669988.00615573127</v>
      </c>
      <c r="H51" s="120"/>
    </row>
    <row r="52" spans="1:17">
      <c r="C52" s="114"/>
      <c r="E52" s="127" t="s">
        <v>97</v>
      </c>
      <c r="F52" s="137">
        <f>SUM(F21:F51)</f>
        <v>1405214.987035438</v>
      </c>
      <c r="H52" s="120"/>
    </row>
    <row r="53" spans="1:17">
      <c r="C53" s="114"/>
      <c r="H53" s="120"/>
    </row>
    <row r="54" spans="1:17" ht="13.15">
      <c r="B54" s="119" t="s">
        <v>125</v>
      </c>
      <c r="C54" s="136"/>
      <c r="D54" s="136"/>
      <c r="E54" s="117"/>
      <c r="F54" s="117"/>
      <c r="H54" s="120"/>
    </row>
    <row r="55" spans="1:17" ht="13.15">
      <c r="A55" s="133">
        <f>F52</f>
        <v>1405214.987035438</v>
      </c>
      <c r="B55" s="131">
        <f>C78</f>
        <v>-0.1</v>
      </c>
      <c r="C55" s="131">
        <f>C77</f>
        <v>-0.08</v>
      </c>
      <c r="D55" s="131">
        <f>C76</f>
        <v>0.02</v>
      </c>
      <c r="E55" s="131">
        <f>C75</f>
        <v>0.04</v>
      </c>
      <c r="F55" s="131">
        <f>C74</f>
        <v>0.08</v>
      </c>
      <c r="H55" s="120"/>
    </row>
    <row r="56" spans="1:17" ht="13.15">
      <c r="A56" s="143">
        <v>5</v>
      </c>
      <c r="B56" s="123">
        <f t="dataTable" ref="B56:F61" dt2D="1" dtr="1" r1="C16" r2="C17"/>
        <v>1169187.3433781858</v>
      </c>
      <c r="C56" s="123">
        <v>1207054.5971409441</v>
      </c>
      <c r="D56" s="123">
        <v>1412537.7864013873</v>
      </c>
      <c r="E56" s="123">
        <v>1457218.1213075134</v>
      </c>
      <c r="F56" s="123">
        <v>1550597.2533841846</v>
      </c>
      <c r="H56" s="120"/>
    </row>
    <row r="57" spans="1:17" ht="13.15">
      <c r="A57" s="143">
        <v>10</v>
      </c>
      <c r="B57" s="123">
        <v>1036610.3138291587</v>
      </c>
      <c r="C57" s="123">
        <v>1092171.169044646</v>
      </c>
      <c r="D57" s="123">
        <v>1455589.880207662</v>
      </c>
      <c r="E57" s="123">
        <v>1550668.8920154665</v>
      </c>
      <c r="F57" s="123">
        <v>1770912.6562955475</v>
      </c>
      <c r="H57" s="120"/>
    </row>
    <row r="58" spans="1:17" ht="13.15">
      <c r="A58" s="143">
        <v>15</v>
      </c>
      <c r="B58" s="123">
        <v>907788.39097366761</v>
      </c>
      <c r="C58" s="341">
        <v>976207.09518588148</v>
      </c>
      <c r="D58" s="123">
        <v>1510098.8726421013</v>
      </c>
      <c r="E58" s="123">
        <v>1675283.8556171134</v>
      </c>
      <c r="F58" s="123">
        <v>2098571.7366403537</v>
      </c>
      <c r="G58" s="338"/>
      <c r="H58" s="339"/>
      <c r="I58" s="338"/>
      <c r="J58" s="338"/>
      <c r="K58" s="338"/>
      <c r="L58" s="338"/>
      <c r="M58" s="338"/>
      <c r="N58" s="338"/>
      <c r="O58" s="338"/>
      <c r="P58" s="338"/>
      <c r="Q58" s="338"/>
    </row>
    <row r="59" spans="1:17" ht="13.15">
      <c r="A59" s="144">
        <v>20</v>
      </c>
      <c r="B59" s="123">
        <v>803054.11235835985</v>
      </c>
      <c r="C59" s="341">
        <v>878931.18955257058</v>
      </c>
      <c r="D59" s="123">
        <v>1566925.3865441387</v>
      </c>
      <c r="E59" s="123">
        <v>1812527.7700924906</v>
      </c>
      <c r="F59" s="123">
        <v>2505090.9233264006</v>
      </c>
      <c r="G59" s="338"/>
      <c r="H59" s="339"/>
      <c r="I59" s="338"/>
      <c r="J59" s="338"/>
      <c r="K59" s="338"/>
      <c r="L59" s="338"/>
      <c r="M59" s="338"/>
      <c r="N59" s="338"/>
      <c r="O59" s="338"/>
      <c r="P59" s="338"/>
      <c r="Q59" s="338"/>
    </row>
    <row r="60" spans="1:17" ht="13.15">
      <c r="A60" s="144">
        <v>25</v>
      </c>
      <c r="B60" s="123">
        <v>723929.95487807808</v>
      </c>
      <c r="C60" s="341">
        <v>803597.79131429736</v>
      </c>
      <c r="D60" s="123">
        <v>1621011.1123129241</v>
      </c>
      <c r="E60" s="123">
        <v>1950874.5315776493</v>
      </c>
      <c r="F60" s="123">
        <v>2970725.7193824095</v>
      </c>
      <c r="G60" s="338"/>
      <c r="H60" s="339"/>
      <c r="I60" s="338"/>
      <c r="J60" s="338"/>
      <c r="K60" s="338"/>
      <c r="L60" s="338"/>
      <c r="M60" s="338"/>
      <c r="N60" s="338"/>
      <c r="O60" s="338"/>
      <c r="P60" s="338"/>
      <c r="Q60" s="338"/>
    </row>
    <row r="61" spans="1:17" ht="13.15">
      <c r="A61" s="144">
        <v>30</v>
      </c>
      <c r="B61" s="123">
        <v>666277.30832794879</v>
      </c>
      <c r="C61" s="341">
        <v>747646.05172200152</v>
      </c>
      <c r="D61" s="123">
        <v>1669838.415381927</v>
      </c>
      <c r="E61" s="123">
        <v>2083469.0916737891</v>
      </c>
      <c r="F61" s="123">
        <v>3481821.1583165471</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-0.1</v>
      </c>
      <c r="C64" s="132">
        <f>C55</f>
        <v>-0.08</v>
      </c>
      <c r="D64" s="132">
        <f>D55</f>
        <v>0.02</v>
      </c>
      <c r="E64" s="132">
        <f>E55</f>
        <v>0.04</v>
      </c>
      <c r="F64" s="132">
        <f>F55</f>
        <v>0.08</v>
      </c>
      <c r="H64" s="120"/>
    </row>
    <row r="65" spans="1:8" ht="13.15">
      <c r="A65" s="143">
        <v>0</v>
      </c>
      <c r="B65" s="124">
        <f>C12</f>
        <v>2.8240278661880258</v>
      </c>
      <c r="C65" s="124">
        <f>C12</f>
        <v>2.8240278661880258</v>
      </c>
      <c r="D65" s="124">
        <f>C12</f>
        <v>2.8240278661880258</v>
      </c>
      <c r="E65" s="141">
        <f>C12</f>
        <v>2.8240278661880258</v>
      </c>
      <c r="F65" s="124">
        <f>C12</f>
        <v>2.8240278661880258</v>
      </c>
      <c r="H65" s="120"/>
    </row>
    <row r="66" spans="1:8" ht="13.15">
      <c r="A66" s="143">
        <f t="shared" ref="A66:A71" si="3">A56</f>
        <v>5</v>
      </c>
      <c r="B66" s="124">
        <f t="shared" ref="B66:F71" si="4">(B56-$C$7+$C$8+$C$9)/Common_Shares*$C$3*Exchange_Rate</f>
        <v>2.6599503671981712</v>
      </c>
      <c r="C66" s="124">
        <f t="shared" si="4"/>
        <v>2.6910263057408867</v>
      </c>
      <c r="D66" s="124">
        <f t="shared" si="4"/>
        <v>2.8596570440834399</v>
      </c>
      <c r="E66" s="124">
        <f t="shared" si="4"/>
        <v>2.8963241694659598</v>
      </c>
      <c r="F66" s="124">
        <f t="shared" si="4"/>
        <v>2.9729561900441372</v>
      </c>
      <c r="H66" s="120"/>
    </row>
    <row r="67" spans="1:8" ht="13.15">
      <c r="A67" s="143">
        <f t="shared" si="3"/>
        <v>10</v>
      </c>
      <c r="B67" s="124">
        <f t="shared" si="4"/>
        <v>2.551150409106326</v>
      </c>
      <c r="C67" s="124">
        <f t="shared" si="4"/>
        <v>2.5967466842646605</v>
      </c>
      <c r="D67" s="124">
        <f t="shared" si="4"/>
        <v>2.8949879458076837</v>
      </c>
      <c r="E67" s="124">
        <f t="shared" si="4"/>
        <v>2.973014980621266</v>
      </c>
      <c r="F67" s="124">
        <f t="shared" si="4"/>
        <v>3.1537590537474607</v>
      </c>
      <c r="H67" s="120"/>
    </row>
    <row r="68" spans="1:8" ht="13.15">
      <c r="A68" s="143">
        <f t="shared" si="3"/>
        <v>15</v>
      </c>
      <c r="B68" s="124">
        <f t="shared" si="4"/>
        <v>2.4454320968491841</v>
      </c>
      <c r="C68" s="124">
        <f t="shared" si="4"/>
        <v>2.50158022579964</v>
      </c>
      <c r="D68" s="124">
        <f t="shared" si="4"/>
        <v>2.9397210048652682</v>
      </c>
      <c r="E68" s="124">
        <f t="shared" si="4"/>
        <v>3.0752808321311025</v>
      </c>
      <c r="F68" s="124">
        <f t="shared" si="4"/>
        <v>3.4226540073543701</v>
      </c>
      <c r="H68" s="120"/>
    </row>
    <row r="69" spans="1:8" ht="13.15">
      <c r="A69" s="144">
        <f t="shared" si="3"/>
        <v>20</v>
      </c>
      <c r="B69" s="124">
        <f t="shared" si="4"/>
        <v>2.3594814222648566</v>
      </c>
      <c r="C69" s="124">
        <f t="shared" si="4"/>
        <v>2.4217502998143345</v>
      </c>
      <c r="D69" s="124">
        <f t="shared" si="4"/>
        <v>2.9863559487320788</v>
      </c>
      <c r="E69" s="124">
        <f t="shared" si="4"/>
        <v>3.1879106911200603</v>
      </c>
      <c r="F69" s="124">
        <f t="shared" si="4"/>
        <v>3.7562658753033116</v>
      </c>
      <c r="H69" s="120"/>
    </row>
    <row r="70" spans="1:8" ht="13.15">
      <c r="A70" s="144">
        <f t="shared" si="3"/>
        <v>25</v>
      </c>
      <c r="B70" s="124">
        <f t="shared" si="4"/>
        <v>2.2945478131231338</v>
      </c>
      <c r="C70" s="124">
        <f t="shared" si="4"/>
        <v>2.3599275949376244</v>
      </c>
      <c r="D70" s="124">
        <f t="shared" si="4"/>
        <v>3.0307416520249313</v>
      </c>
      <c r="E70" s="124">
        <f t="shared" si="4"/>
        <v>3.3014456066550433</v>
      </c>
      <c r="F70" s="124">
        <f t="shared" si="4"/>
        <v>4.1383912439989805</v>
      </c>
    </row>
    <row r="71" spans="1:8" ht="13.15">
      <c r="A71" s="144">
        <f t="shared" si="3"/>
        <v>30</v>
      </c>
      <c r="B71" s="124">
        <f t="shared" si="4"/>
        <v>2.24723489964276</v>
      </c>
      <c r="C71" s="124">
        <f t="shared" si="4"/>
        <v>2.3140105386910408</v>
      </c>
      <c r="D71" s="124">
        <f t="shared" si="4"/>
        <v>3.0708120061859501</v>
      </c>
      <c r="E71" s="124">
        <f t="shared" si="4"/>
        <v>3.4102599512721992</v>
      </c>
      <c r="F71" s="124">
        <f t="shared" si="4"/>
        <v>4.5578241014564176</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15</v>
      </c>
      <c r="E74" s="135">
        <f>INDEX(B$65:F$71, MATCH(D74, A$65:A$71, 0), MATCH(C74, B$64:F$64, 0))</f>
        <v>3.4226540073543701</v>
      </c>
      <c r="F74" s="142">
        <f>Scenarios!C58</f>
        <v>0.05</v>
      </c>
    </row>
    <row r="75" spans="1:8">
      <c r="B75" s="127" t="str">
        <f>Scenarios!B36</f>
        <v>Optimistic</v>
      </c>
      <c r="C75" s="142">
        <f>Scenarios!C38</f>
        <v>0.04</v>
      </c>
      <c r="D75" s="145">
        <f>Scenarios!C37</f>
        <v>10</v>
      </c>
      <c r="E75" s="135">
        <f>INDEX(B$65:F$71, MATCH(D75, A$65:A$71, 0), MATCH(C75, B$64:F$64, 0))</f>
        <v>2.973014980621266</v>
      </c>
      <c r="F75" s="142">
        <f>Scenarios!C40*(1-F$74-F$78)</f>
        <v>0.17</v>
      </c>
      <c r="H75" s="120"/>
    </row>
    <row r="76" spans="1:8">
      <c r="B76" s="127" t="str">
        <f>Scenarios!B24</f>
        <v>Base</v>
      </c>
      <c r="C76" s="142">
        <f>Scenarios!C26</f>
        <v>0.02</v>
      </c>
      <c r="D76" s="145">
        <f>Scenarios!C25</f>
        <v>10</v>
      </c>
      <c r="E76" s="135">
        <f>INDEX(B$65:F$71, MATCH(D76, A$65:A$71, 0), MATCH(C76, B$64:F$64, 0))</f>
        <v>2.8949879458076837</v>
      </c>
      <c r="F76" s="142">
        <f>Scenarios!C28*(1-F$74-F$78)</f>
        <v>0.51</v>
      </c>
      <c r="H76" s="120"/>
    </row>
    <row r="77" spans="1:8">
      <c r="B77" s="127" t="str">
        <f>Scenarios!B30</f>
        <v>Pessimistic</v>
      </c>
      <c r="C77" s="142">
        <f>Scenarios!C32</f>
        <v>-0.08</v>
      </c>
      <c r="D77" s="145">
        <f>Scenarios!C31</f>
        <v>10</v>
      </c>
      <c r="E77" s="135">
        <f>INDEX(B$65:F$71, MATCH(D77, A$65:A$71, 0), MATCH(C77, B$64:F$64, 0))</f>
        <v>2.5967466842646605</v>
      </c>
      <c r="F77" s="142">
        <f>Scenarios!C34*(1-F$74-F$78)</f>
        <v>0.17</v>
      </c>
      <c r="H77" s="120"/>
    </row>
    <row r="78" spans="1:8">
      <c r="B78" s="127" t="str">
        <f>Scenarios!B48</f>
        <v>Devil's advocate</v>
      </c>
      <c r="C78" s="142">
        <f>Scenarios!C50</f>
        <v>-0.1</v>
      </c>
      <c r="D78" s="145">
        <f>Scenarios!C49</f>
        <v>15</v>
      </c>
      <c r="E78" s="135">
        <f>INDEX(B$65:F$71, MATCH(D78, A$65:A$71, 0), MATCH(C78, B$64:F$64, 0))</f>
        <v>2.4454320968491841</v>
      </c>
      <c r="F78" s="142">
        <f>Scenarios!C52</f>
        <v>0.1</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v>
      </c>
      <c r="E3" s="109" t="s">
        <v>120</v>
      </c>
      <c r="H3" s="120"/>
    </row>
    <row r="4" spans="2:8">
      <c r="B4" s="100" t="s">
        <v>417</v>
      </c>
      <c r="C4" s="114">
        <f>Normalized_FCF!C91*(1-dividend_tax_rate)</f>
        <v>148661.79995517479</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1982157.332735664</v>
      </c>
      <c r="D6" t="str">
        <f>Reporting_currency</f>
        <v>CNY</v>
      </c>
      <c r="E6" s="378"/>
      <c r="F6" s="378"/>
      <c r="H6" s="120"/>
    </row>
    <row r="7" spans="2:8" ht="13.15">
      <c r="B7" s="149" t="s">
        <v>421</v>
      </c>
      <c r="C7" s="111">
        <f>(C6*scaling_factor)/Common_Shares*Exchange_Rate</f>
        <v>1.6266666666666665</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8.5779014792802307E-3</v>
      </c>
      <c r="H11" s="120"/>
    </row>
    <row r="12" spans="2:8" ht="13.35" customHeight="1">
      <c r="B12" s="118" t="s">
        <v>130</v>
      </c>
      <c r="C12" s="162">
        <f>Scenarios!C64</f>
        <v>10</v>
      </c>
      <c r="H12" s="120"/>
    </row>
    <row r="13" spans="2:8" ht="13.35" customHeight="1">
      <c r="B13" s="153" t="s">
        <v>103</v>
      </c>
      <c r="C13" s="140">
        <f>F47/Common_Shares*scaling_factor</f>
        <v>1.5258079841323184</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149937.00622892275</v>
      </c>
      <c r="D16" s="138">
        <f>IF($C$12&lt;B16,0,DDM!$C$11)</f>
        <v>8.5779014792802307E-3</v>
      </c>
      <c r="E16" s="124">
        <f t="shared" ref="E16:E45" si="0">IF($C$12&lt;B16,0,1/(1+Equity_Cost)^B16)</f>
        <v>0.93023255813953487</v>
      </c>
      <c r="F16" s="125">
        <f t="shared" ref="F16:F46" si="1">C16*E16</f>
        <v>139476.28486411419</v>
      </c>
      <c r="H16" s="120"/>
    </row>
    <row r="17" spans="2:8">
      <c r="B17" s="122">
        <v>2</v>
      </c>
      <c r="C17" s="123">
        <f t="shared" ref="C17:C45" si="2">IF(ROW()-ROW($C$16)&lt;$C$12, $C$16*(1+D17)^(ROW()-ROW($C$16)), 0)</f>
        <v>151223.15109645267</v>
      </c>
      <c r="D17" s="138">
        <f>IF($C$12&lt;B17,0,DDM!$C$11)</f>
        <v>8.5779014792802307E-3</v>
      </c>
      <c r="E17" s="124">
        <f t="shared" si="0"/>
        <v>0.86533261222282321</v>
      </c>
      <c r="F17" s="125">
        <f t="shared" si="1"/>
        <v>130858.32436686008</v>
      </c>
      <c r="H17" s="120"/>
    </row>
    <row r="18" spans="2:8">
      <c r="B18" s="122">
        <v>3</v>
      </c>
      <c r="C18" s="123">
        <f t="shared" si="2"/>
        <v>152520.32838794432</v>
      </c>
      <c r="D18" s="138">
        <f>IF($C$12&lt;B18,0,DDM!$C$11)</f>
        <v>8.5779014792802307E-3</v>
      </c>
      <c r="E18" s="124">
        <f t="shared" si="0"/>
        <v>0.80496056950960304</v>
      </c>
      <c r="F18" s="125">
        <f t="shared" si="1"/>
        <v>122772.85040095134</v>
      </c>
      <c r="H18" s="120"/>
    </row>
    <row r="19" spans="2:8">
      <c r="B19" s="122">
        <v>4</v>
      </c>
      <c r="C19" s="123">
        <f t="shared" si="2"/>
        <v>153828.63273844356</v>
      </c>
      <c r="D19" s="138">
        <f>IF($C$12&lt;B19,0,DDM!$C$11)</f>
        <v>8.5779014792802307E-3</v>
      </c>
      <c r="E19" s="124">
        <f t="shared" si="0"/>
        <v>0.7488005297763749</v>
      </c>
      <c r="F19" s="125">
        <f t="shared" si="1"/>
        <v>115186.96168932195</v>
      </c>
      <c r="H19" s="120"/>
    </row>
    <row r="20" spans="2:8">
      <c r="B20" s="122">
        <v>5</v>
      </c>
      <c r="C20" s="123">
        <f t="shared" si="2"/>
        <v>155148.1595947663</v>
      </c>
      <c r="D20" s="138">
        <f>IF($C$12&lt;B20,0,DDM!$C$11)</f>
        <v>8.5779014792802307E-3</v>
      </c>
      <c r="E20" s="124">
        <f t="shared" si="0"/>
        <v>0.69655863235011617</v>
      </c>
      <c r="F20" s="125">
        <f t="shared" si="1"/>
        <v>108069.78985896797</v>
      </c>
      <c r="H20" s="120"/>
    </row>
    <row r="21" spans="2:8">
      <c r="B21" s="122">
        <v>6</v>
      </c>
      <c r="C21" s="123">
        <f t="shared" si="2"/>
        <v>156479.00522246186</v>
      </c>
      <c r="D21" s="138">
        <f>IF($C$12&lt;B21,0,DDM!$C$11)</f>
        <v>8.5779014792802307E-3</v>
      </c>
      <c r="E21" s="124">
        <f t="shared" si="0"/>
        <v>0.64796151846522443</v>
      </c>
      <c r="F21" s="125">
        <f t="shared" si="1"/>
        <v>101392.37383187417</v>
      </c>
      <c r="H21" s="120"/>
    </row>
    <row r="22" spans="2:8">
      <c r="B22" s="122">
        <v>7</v>
      </c>
      <c r="C22" s="123">
        <f t="shared" si="2"/>
        <v>157821.26671283587</v>
      </c>
      <c r="D22" s="138">
        <f>IF($C$12&lt;B22,0,DDM!$C$11)</f>
        <v>8.5779014792802307E-3</v>
      </c>
      <c r="E22" s="124">
        <f t="shared" si="0"/>
        <v>0.60275490089788319</v>
      </c>
      <c r="F22" s="125">
        <f t="shared" si="1"/>
        <v>95127.541977073779</v>
      </c>
      <c r="H22" s="120"/>
    </row>
    <row r="23" spans="2:8">
      <c r="B23" s="122">
        <v>8</v>
      </c>
      <c r="C23" s="123">
        <f t="shared" si="2"/>
        <v>159175.04199003379</v>
      </c>
      <c r="D23" s="138">
        <f>IF($C$12&lt;B23,0,DDM!$C$11)</f>
        <v>8.5779014792802307E-3</v>
      </c>
      <c r="E23" s="124">
        <f t="shared" si="0"/>
        <v>0.56070223339337966</v>
      </c>
      <c r="F23" s="125">
        <f t="shared" si="1"/>
        <v>89249.801544296934</v>
      </c>
      <c r="H23" s="120"/>
    </row>
    <row r="24" spans="2:8">
      <c r="B24" s="122">
        <v>9</v>
      </c>
      <c r="C24" s="123">
        <f t="shared" si="2"/>
        <v>160540.42981818458</v>
      </c>
      <c r="D24" s="138">
        <f>IF($C$12&lt;B24,0,DDM!$C$11)</f>
        <v>8.5779014792802307E-3</v>
      </c>
      <c r="E24" s="124">
        <f t="shared" si="0"/>
        <v>0.52158347292407414</v>
      </c>
      <c r="F24" s="125">
        <f t="shared" si="1"/>
        <v>83735.234929292303</v>
      </c>
      <c r="H24" s="120"/>
    </row>
    <row r="25" spans="2:8">
      <c r="B25" s="122">
        <v>10</v>
      </c>
      <c r="C25" s="123">
        <f t="shared" si="2"/>
        <v>161917.52980860625</v>
      </c>
      <c r="D25" s="138">
        <f>IF($C$12&lt;B25,0,DDM!$C$11)</f>
        <v>8.5779014792802307E-3</v>
      </c>
      <c r="E25" s="124">
        <f t="shared" si="0"/>
        <v>0.48519392830146441</v>
      </c>
      <c r="F25" s="125">
        <f t="shared" si="1"/>
        <v>78561.402348707124</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1999160.0830523034</v>
      </c>
      <c r="D46" s="139">
        <f>Terminal_Growth</f>
        <v>0</v>
      </c>
      <c r="E46" s="124">
        <f>1/(1+Equity_Cost)^C12</f>
        <v>0.48519392830146441</v>
      </c>
      <c r="F46" s="125">
        <f t="shared" si="1"/>
        <v>969980.3339996289</v>
      </c>
      <c r="H46" s="120"/>
    </row>
    <row r="47" spans="2:8">
      <c r="C47" s="114"/>
      <c r="E47" s="127" t="s">
        <v>97</v>
      </c>
      <c r="F47" s="137">
        <f>SUM(F16:F46)</f>
        <v>2034410.8998110888</v>
      </c>
      <c r="H47" s="120"/>
    </row>
    <row r="48" spans="2:8">
      <c r="C48" s="114"/>
      <c r="H48" s="120"/>
    </row>
    <row r="49" spans="1:8" ht="13.15">
      <c r="B49" s="119" t="s">
        <v>125</v>
      </c>
      <c r="C49" s="136"/>
      <c r="D49" s="136"/>
      <c r="E49" s="117"/>
      <c r="F49" s="117"/>
      <c r="H49" s="120"/>
    </row>
    <row r="50" spans="1:8" ht="13.15">
      <c r="A50" s="133">
        <f>F47</f>
        <v>2034410.8998110888</v>
      </c>
      <c r="B50" s="131">
        <f>C73</f>
        <v>-0.1</v>
      </c>
      <c r="C50" s="131">
        <f>C72</f>
        <v>-0.08</v>
      </c>
      <c r="D50" s="131">
        <f>C71</f>
        <v>0.02</v>
      </c>
      <c r="E50" s="131">
        <f>C70</f>
        <v>0.04</v>
      </c>
      <c r="F50" s="131">
        <f>C69</f>
        <v>0.08</v>
      </c>
      <c r="H50" s="120"/>
    </row>
    <row r="51" spans="1:8" ht="13.15">
      <c r="A51" s="143">
        <v>5</v>
      </c>
      <c r="B51" s="123">
        <f t="dataTable" ref="B51:F56" dt2D="1" dtr="1" r1="C11" r2="C12"/>
        <v>1692700.0474908578</v>
      </c>
      <c r="C51" s="123">
        <v>1747522.6579181724</v>
      </c>
      <c r="D51" s="123">
        <v>2045012.5394069245</v>
      </c>
      <c r="E51" s="123">
        <v>2109698.8409186951</v>
      </c>
      <c r="F51" s="123">
        <v>2244889.2038627015</v>
      </c>
      <c r="H51" s="120"/>
    </row>
    <row r="52" spans="1:8" ht="13.15">
      <c r="A52" s="143">
        <v>10</v>
      </c>
      <c r="B52" s="123">
        <v>1500760.6243651952</v>
      </c>
      <c r="C52" s="123">
        <v>1581199.2835711278</v>
      </c>
      <c r="D52" s="123">
        <v>2107341.5422337111</v>
      </c>
      <c r="E52" s="123">
        <v>2244992.9192469474</v>
      </c>
      <c r="F52" s="123">
        <v>2563852.5377399866</v>
      </c>
      <c r="H52" s="120"/>
    </row>
    <row r="53" spans="1:8" ht="13.15">
      <c r="A53" s="143">
        <v>15</v>
      </c>
      <c r="B53" s="123">
        <v>1314257.6860890146</v>
      </c>
      <c r="C53" s="123">
        <v>1413311.3959373059</v>
      </c>
      <c r="D53" s="123">
        <v>2186257.3589375266</v>
      </c>
      <c r="E53" s="123">
        <v>2425405.1996237715</v>
      </c>
      <c r="F53" s="123">
        <v>3038223.5134451725</v>
      </c>
      <c r="H53" s="120"/>
    </row>
    <row r="54" spans="1:8" ht="13.15">
      <c r="A54" s="144">
        <v>20</v>
      </c>
      <c r="B54" s="123">
        <v>1162627.821645034</v>
      </c>
      <c r="C54" s="123">
        <v>1272479.4488436391</v>
      </c>
      <c r="D54" s="123">
        <v>2268528.3853264982</v>
      </c>
      <c r="E54" s="123">
        <v>2624101.1416094848</v>
      </c>
      <c r="F54" s="123">
        <v>3626764.8199403444</v>
      </c>
      <c r="H54" s="120"/>
    </row>
    <row r="55" spans="1:8" ht="13.15">
      <c r="A55" s="144">
        <v>25</v>
      </c>
      <c r="B55" s="123">
        <v>1048075.2087698665</v>
      </c>
      <c r="C55" s="123">
        <v>1163414.937071614</v>
      </c>
      <c r="D55" s="123">
        <v>2346831.4144312083</v>
      </c>
      <c r="E55" s="123">
        <v>2824393.7389100236</v>
      </c>
      <c r="F55" s="123">
        <v>4300891.2085480737</v>
      </c>
      <c r="H55" s="120"/>
    </row>
    <row r="56" spans="1:8" ht="13.15">
      <c r="A56" s="144">
        <v>30</v>
      </c>
      <c r="B56" s="123">
        <v>964608.14243008709</v>
      </c>
      <c r="C56" s="123">
        <v>1082410.3719764885</v>
      </c>
      <c r="D56" s="123">
        <v>2417521.5212749476</v>
      </c>
      <c r="E56" s="123">
        <v>3016358.5420212792</v>
      </c>
      <c r="F56" s="123">
        <v>5040833.5955880433</v>
      </c>
      <c r="H56" s="120"/>
    </row>
    <row r="57" spans="1:8">
      <c r="C57" s="114"/>
      <c r="D57" s="114"/>
      <c r="E57" s="114"/>
      <c r="F57" s="114"/>
      <c r="H57" s="120"/>
    </row>
    <row r="58" spans="1:8" ht="13.15">
      <c r="B58" s="119" t="s">
        <v>126</v>
      </c>
      <c r="C58" s="114"/>
      <c r="D58" s="114"/>
      <c r="E58" s="114"/>
      <c r="F58" s="114"/>
      <c r="H58" s="120"/>
    </row>
    <row r="59" spans="1:8" ht="13.15">
      <c r="B59" s="132">
        <f>B50</f>
        <v>-0.1</v>
      </c>
      <c r="C59" s="132">
        <f>C50</f>
        <v>-0.08</v>
      </c>
      <c r="D59" s="132">
        <f>D50</f>
        <v>0.02</v>
      </c>
      <c r="E59" s="132">
        <f>E50</f>
        <v>0.04</v>
      </c>
      <c r="F59" s="132">
        <f>F50</f>
        <v>0.08</v>
      </c>
      <c r="H59" s="120"/>
    </row>
    <row r="60" spans="1:8" ht="13.15">
      <c r="A60" s="143">
        <v>0</v>
      </c>
      <c r="B60" s="124">
        <f>C7</f>
        <v>1.6266666666666665</v>
      </c>
      <c r="C60" s="124">
        <f>C7</f>
        <v>1.6266666666666665</v>
      </c>
      <c r="D60" s="124">
        <f>C7</f>
        <v>1.6266666666666665</v>
      </c>
      <c r="E60" s="141">
        <f>C7</f>
        <v>1.6266666666666665</v>
      </c>
      <c r="F60" s="124">
        <f>C7</f>
        <v>1.6266666666666665</v>
      </c>
      <c r="H60" s="120"/>
    </row>
    <row r="61" spans="1:8" ht="13.15">
      <c r="A61" s="143">
        <f t="shared" ref="A61:A66" si="3">A51</f>
        <v>5</v>
      </c>
      <c r="B61" s="124">
        <f t="shared" ref="B61:F66" si="4">B51/Common_Shares*$C$3*Exchange_Rate</f>
        <v>1.3891221945123249</v>
      </c>
      <c r="C61" s="124">
        <f t="shared" si="4"/>
        <v>1.4341126256395482</v>
      </c>
      <c r="D61" s="124">
        <f t="shared" si="4"/>
        <v>1.6782490853929699</v>
      </c>
      <c r="E61" s="124">
        <f t="shared" si="4"/>
        <v>1.7313342006466232</v>
      </c>
      <c r="F61" s="124">
        <f t="shared" si="4"/>
        <v>1.8422788029865782</v>
      </c>
      <c r="H61" s="120"/>
    </row>
    <row r="62" spans="1:8" ht="13.15">
      <c r="A62" s="143">
        <f t="shared" si="3"/>
        <v>10</v>
      </c>
      <c r="B62" s="124">
        <f t="shared" si="4"/>
        <v>1.2316062110626993</v>
      </c>
      <c r="C62" s="124">
        <f t="shared" si="4"/>
        <v>1.2976185721809073</v>
      </c>
      <c r="D62" s="124">
        <f t="shared" si="4"/>
        <v>1.7293996724782925</v>
      </c>
      <c r="E62" s="124">
        <f t="shared" si="4"/>
        <v>1.8423639175007427</v>
      </c>
      <c r="F62" s="124">
        <f t="shared" si="4"/>
        <v>2.104037551668231</v>
      </c>
      <c r="H62" s="120"/>
    </row>
    <row r="63" spans="1:8" ht="13.15">
      <c r="A63" s="143">
        <f t="shared" si="3"/>
        <v>15</v>
      </c>
      <c r="B63" s="124">
        <f t="shared" si="4"/>
        <v>1.0785517042791495</v>
      </c>
      <c r="C63" s="124">
        <f t="shared" si="4"/>
        <v>1.1598405935912346</v>
      </c>
      <c r="D63" s="124">
        <f t="shared" si="4"/>
        <v>1.7941623057893952</v>
      </c>
      <c r="E63" s="124">
        <f t="shared" si="4"/>
        <v>1.9904200974515383</v>
      </c>
      <c r="F63" s="124">
        <f t="shared" si="4"/>
        <v>2.4933323069684019</v>
      </c>
      <c r="H63" s="120"/>
    </row>
    <row r="64" spans="1:8" ht="13.15">
      <c r="A64" s="144">
        <f t="shared" si="3"/>
        <v>20</v>
      </c>
      <c r="B64" s="124">
        <f t="shared" si="4"/>
        <v>0.954115948303213</v>
      </c>
      <c r="C64" s="124">
        <f t="shared" si="4"/>
        <v>1.0442661988872286</v>
      </c>
      <c r="D64" s="124">
        <f t="shared" si="4"/>
        <v>1.861678407588788</v>
      </c>
      <c r="E64" s="124">
        <f t="shared" si="4"/>
        <v>2.1534808496391631</v>
      </c>
      <c r="F64" s="124">
        <f t="shared" si="4"/>
        <v>2.9763214771120503</v>
      </c>
      <c r="H64" s="120"/>
    </row>
    <row r="65" spans="1:8" ht="13.15">
      <c r="A65" s="144">
        <f t="shared" si="3"/>
        <v>25</v>
      </c>
      <c r="B65" s="124">
        <f t="shared" si="4"/>
        <v>0.86010781188226026</v>
      </c>
      <c r="C65" s="124">
        <f t="shared" si="4"/>
        <v>0.95476189825183255</v>
      </c>
      <c r="D65" s="124">
        <f t="shared" si="4"/>
        <v>1.9259381538965488</v>
      </c>
      <c r="E65" s="124">
        <f t="shared" si="4"/>
        <v>2.3178519044631574</v>
      </c>
      <c r="F65" s="124">
        <f t="shared" si="4"/>
        <v>3.5295464443527362</v>
      </c>
    </row>
    <row r="66" spans="1:8" ht="13.15">
      <c r="A66" s="144">
        <f t="shared" si="3"/>
        <v>30</v>
      </c>
      <c r="B66" s="124">
        <f t="shared" si="4"/>
        <v>0.79161017431481873</v>
      </c>
      <c r="C66" s="124">
        <f t="shared" si="4"/>
        <v>0.88828512382433922</v>
      </c>
      <c r="D66" s="124">
        <f t="shared" si="4"/>
        <v>1.9839503200181523</v>
      </c>
      <c r="E66" s="124">
        <f t="shared" si="4"/>
        <v>2.4753887161164188</v>
      </c>
      <c r="F66" s="124">
        <f t="shared" si="4"/>
        <v>4.1367836178976267</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15</v>
      </c>
      <c r="E69" s="135">
        <f>INDEX(B$60:F$66, MATCH(D69, A$60:A$66, 0), MATCH(C69, B$59:F$59, 0))</f>
        <v>2.4933323069684019</v>
      </c>
      <c r="F69" s="142">
        <f>Scenarios!C58</f>
        <v>0.05</v>
      </c>
    </row>
    <row r="70" spans="1:8">
      <c r="B70" s="127" t="str">
        <f>Scenarios!B36</f>
        <v>Optimistic</v>
      </c>
      <c r="C70" s="142">
        <f>Scenarios!C38</f>
        <v>0.04</v>
      </c>
      <c r="D70" s="145">
        <f>Scenarios!C37</f>
        <v>10</v>
      </c>
      <c r="E70" s="135">
        <f>INDEX(B$60:F$66, MATCH(D70, A$60:A$66, 0), MATCH(C70, B$59:F$59, 0))</f>
        <v>1.8423639175007427</v>
      </c>
      <c r="F70" s="142">
        <f>Scenarios!C40*(1-F$69-F$73)</f>
        <v>0.17</v>
      </c>
      <c r="H70" s="120"/>
    </row>
    <row r="71" spans="1:8">
      <c r="B71" s="127" t="str">
        <f>Scenarios!B24</f>
        <v>Base</v>
      </c>
      <c r="C71" s="142">
        <f>Scenarios!C26</f>
        <v>0.02</v>
      </c>
      <c r="D71" s="145">
        <f>Scenarios!C25</f>
        <v>10</v>
      </c>
      <c r="E71" s="135">
        <f>INDEX(B$60:F$66, MATCH(D71, A$60:A$66, 0), MATCH(C71, B$59:F$59, 0))</f>
        <v>1.7293996724782925</v>
      </c>
      <c r="F71" s="142">
        <f>Scenarios!C28*(1-F$69-F$73)</f>
        <v>0.51</v>
      </c>
      <c r="H71" s="120"/>
    </row>
    <row r="72" spans="1:8">
      <c r="B72" s="127" t="str">
        <f>Scenarios!B30</f>
        <v>Pessimistic</v>
      </c>
      <c r="C72" s="142">
        <f>Scenarios!C32</f>
        <v>-0.08</v>
      </c>
      <c r="D72" s="145">
        <f>Scenarios!C31</f>
        <v>10</v>
      </c>
      <c r="E72" s="135">
        <f>INDEX(B$60:F$66, MATCH(D72, A$60:A$66, 0), MATCH(C72, B$59:F$59, 0))</f>
        <v>1.2976185721809073</v>
      </c>
      <c r="F72" s="142">
        <f>Scenarios!C34*(1-F$69-F$73)</f>
        <v>0.17</v>
      </c>
      <c r="H72" s="120"/>
    </row>
    <row r="73" spans="1:8">
      <c r="B73" s="127" t="str">
        <f>Scenarios!B48</f>
        <v>Devil's advocate</v>
      </c>
      <c r="C73" s="142">
        <f>Scenarios!C50</f>
        <v>-0.1</v>
      </c>
      <c r="D73" s="145">
        <f>Scenarios!C49</f>
        <v>15</v>
      </c>
      <c r="E73" s="135">
        <f>INDEX(B$60:F$66, MATCH(D73, A$60:A$66, 0), MATCH(C73, B$59:F$59, 0))</f>
        <v>1.0785517042791495</v>
      </c>
      <c r="F73" s="142">
        <f>Scenarios!C52</f>
        <v>0.1</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-2.85</v>
      </c>
    </row>
    <row r="4" spans="2:9">
      <c r="B4" s="152" t="s">
        <v>142</v>
      </c>
      <c r="C4" s="120">
        <v>2</v>
      </c>
      <c r="D4" s="120"/>
      <c r="E4" s="155" t="s">
        <v>146</v>
      </c>
      <c r="F4" s="155"/>
      <c r="H4" s="247">
        <v>1</v>
      </c>
      <c r="I4" s="124">
        <f t="shared" ref="I4:I13" si="0">IF(ROW()-3 &lt; $C$76, $C$77, IF(ROW()-3 = $C$76, $C$77 + $C$60, ""))</f>
        <v>0.1114963360293391</v>
      </c>
    </row>
    <row r="5" spans="2:9">
      <c r="H5" s="247">
        <v>2</v>
      </c>
      <c r="I5" s="124">
        <f t="shared" si="0"/>
        <v>0.1114963360293391</v>
      </c>
    </row>
    <row r="6" spans="2:9" ht="13.15">
      <c r="B6" s="159" t="s">
        <v>92</v>
      </c>
      <c r="C6" s="107">
        <f>DCF!C3</f>
        <v>1000</v>
      </c>
      <c r="E6" s="100" t="s">
        <v>274</v>
      </c>
      <c r="F6" s="100"/>
      <c r="H6" s="247">
        <v>3</v>
      </c>
      <c r="I6" s="124">
        <f t="shared" si="0"/>
        <v>2.9504755814745027</v>
      </c>
    </row>
    <row r="7" spans="2:9" ht="12.75" customHeight="1">
      <c r="B7" s="100" t="s">
        <v>270</v>
      </c>
      <c r="C7" s="338">
        <f>Normalized_FCF!G8</f>
        <v>157888</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朝云集团(6601.HK). Each scenario should include the Compound Growth Rate, the Probability Assessment, and the Business Narrative.</v>
      </c>
      <c r="F7" s="380"/>
      <c r="H7" s="247">
        <v>4</v>
      </c>
      <c r="I7" s="124" t="str">
        <f t="shared" si="0"/>
        <v/>
      </c>
    </row>
    <row r="8" spans="2:9">
      <c r="B8" s="100" t="s">
        <v>64</v>
      </c>
      <c r="C8" s="338">
        <f>Normalized_FCF!G19</f>
        <v>133753.29279186437</v>
      </c>
      <c r="D8" t="str">
        <f>Reporting_currency</f>
        <v>CNY</v>
      </c>
      <c r="E8" s="380"/>
      <c r="F8" s="380"/>
      <c r="H8" s="247">
        <v>5</v>
      </c>
      <c r="I8" s="124" t="str">
        <f t="shared" si="0"/>
        <v/>
      </c>
    </row>
    <row r="9" spans="2:9">
      <c r="B9" s="100" t="s">
        <v>55</v>
      </c>
      <c r="C9" s="338">
        <f>Normalized_FCF!C19</f>
        <v>102684.16735088965</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0.12167914390403989</v>
      </c>
      <c r="D12" s="158"/>
      <c r="E12" s="380"/>
      <c r="F12" s="380"/>
      <c r="H12" s="247">
        <v>9</v>
      </c>
      <c r="I12" s="124" t="str">
        <f t="shared" si="0"/>
        <v/>
      </c>
    </row>
    <row r="13" spans="2:9">
      <c r="B13" s="148" t="s">
        <v>148</v>
      </c>
      <c r="C13" s="158">
        <f ca="1">(Normalized_FCF!G8/OFFSET(Normalized_FCF!G8, 0, $C$4))^(1/$C$4) - 1</f>
        <v>7.4870016543118432</v>
      </c>
      <c r="E13" s="380"/>
      <c r="F13" s="380"/>
      <c r="H13" s="247">
        <v>10</v>
      </c>
      <c r="I13" s="124" t="str">
        <f t="shared" si="0"/>
        <v/>
      </c>
    </row>
    <row r="14" spans="2:9">
      <c r="B14" s="100" t="s">
        <v>64</v>
      </c>
      <c r="C14" s="158">
        <f ca="1">(Normalized_FCF!G19/OFFSET(Normalized_FCF!G19, 0, $C$4))^(1/$C$4) - 1</f>
        <v>2.012429618246506</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2.85</v>
      </c>
      <c r="D21" t="str">
        <f>Market_currency</f>
        <v>HKD</v>
      </c>
      <c r="E21" s="381"/>
      <c r="F21" s="381"/>
    </row>
    <row r="22" spans="2:6">
      <c r="B22" s="100" t="s">
        <v>273</v>
      </c>
      <c r="C22" s="160">
        <f>IF(valuation_method="DCF",DCF!C12,DDM!C7)</f>
        <v>2.8240278661880258</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0.02</v>
      </c>
      <c r="D26" s="164"/>
      <c r="E26" s="379"/>
      <c r="F26" s="379"/>
    </row>
    <row r="27" spans="2:6">
      <c r="B27" s="100" t="s">
        <v>109</v>
      </c>
      <c r="C27" s="160">
        <f>IF(valuation_method="DCF",DCF!E76,DDM!E71)</f>
        <v>2.8949879458076837</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-0.08</v>
      </c>
      <c r="D32" s="164"/>
      <c r="E32" s="379"/>
      <c r="F32" s="379"/>
    </row>
    <row r="33" spans="2:6">
      <c r="B33" s="100" t="s">
        <v>109</v>
      </c>
      <c r="C33" s="160">
        <f>IF(valuation_method="DCF",DCF!E77,DDM!E72)</f>
        <v>2.5967466842646605</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0.04</v>
      </c>
      <c r="D38" s="164"/>
      <c r="E38" s="379"/>
      <c r="F38" s="379"/>
    </row>
    <row r="39" spans="2:6">
      <c r="B39" s="100" t="s">
        <v>109</v>
      </c>
      <c r="C39" s="160">
        <f>IF(valuation_method="DCF",DCF!E75,DDM!E70)</f>
        <v>2.973014980621266</v>
      </c>
      <c r="D39" t="str">
        <f>Market_currency</f>
        <v>HKD</v>
      </c>
      <c r="E39" s="379"/>
      <c r="F39" s="379"/>
    </row>
    <row r="40" spans="2:6">
      <c r="B40" s="100" t="s">
        <v>143</v>
      </c>
      <c r="C40" s="167">
        <f>1-C28-C34</f>
        <v>0.2</v>
      </c>
      <c r="D40" s="165"/>
      <c r="E40" s="379"/>
      <c r="F40" s="379"/>
    </row>
    <row r="42" spans="2:6" ht="13.15">
      <c r="B42" s="100" t="s">
        <v>116</v>
      </c>
      <c r="C42" s="154">
        <f>C27*C28+C33*C34+C39*C40</f>
        <v>2.8509451004617956</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-0.1</v>
      </c>
      <c r="D50" s="164"/>
      <c r="E50" s="379"/>
      <c r="F50" s="379"/>
    </row>
    <row r="51" spans="2:6">
      <c r="B51" s="100" t="s">
        <v>109</v>
      </c>
      <c r="C51" s="160">
        <f>IF(valuation_method="DCF",DCF!E78,DDM!E73)</f>
        <v>2.4454320968491841</v>
      </c>
      <c r="D51" t="str">
        <f>Market_currency</f>
        <v>HKD</v>
      </c>
      <c r="E51" s="379"/>
      <c r="F51" s="379"/>
    </row>
    <row r="52" spans="2:6">
      <c r="B52" s="100" t="s">
        <v>143</v>
      </c>
      <c r="C52" s="165">
        <v>0.1</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0.08</v>
      </c>
      <c r="D56" s="164"/>
      <c r="E56" s="379"/>
      <c r="F56" s="379"/>
    </row>
    <row r="57" spans="2:6">
      <c r="B57" s="100" t="s">
        <v>109</v>
      </c>
      <c r="C57" s="160">
        <f>IF(valuation_method="DCF",DCF!E74,DDM!E69)</f>
        <v>3.4226540073543701</v>
      </c>
      <c r="D57" t="str">
        <f>Market_currency</f>
        <v>HKD</v>
      </c>
      <c r="E57" s="379"/>
      <c r="F57" s="379"/>
    </row>
    <row r="58" spans="2:6">
      <c r="B58" s="100" t="s">
        <v>143</v>
      </c>
      <c r="C58" s="165">
        <v>0.05</v>
      </c>
      <c r="D58" s="165"/>
      <c r="E58" s="379"/>
      <c r="F58" s="379"/>
    </row>
    <row r="60" spans="2:6" ht="13.15">
      <c r="B60" s="100" t="s">
        <v>116</v>
      </c>
      <c r="C60" s="154">
        <f>C51*C52+C57*C58+C42*(1-C52-C58)</f>
        <v>2.8389792454451634</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8.5779014792802307E-3</v>
      </c>
      <c r="D65" s="151"/>
      <c r="E65" s="251" t="s">
        <v>304</v>
      </c>
    </row>
    <row r="66" spans="2:6">
      <c r="B66" s="100" t="s">
        <v>99</v>
      </c>
      <c r="C66" s="160">
        <f>IF(valuation_method="DCF",DCF!C18,DDM!C13)</f>
        <v>2.8536475546052071</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Y</v>
      </c>
      <c r="E72" s="134" t="s">
        <v>337</v>
      </c>
      <c r="F72" s="291">
        <f>BS!D89/C60</f>
        <v>0.59896574428883453</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0.1114963360293391</v>
      </c>
      <c r="D77" t="str">
        <f>Market_currency</f>
        <v>HKD</v>
      </c>
    </row>
    <row r="79" spans="2:6" ht="13.15">
      <c r="B79" s="109" t="s">
        <v>296</v>
      </c>
    </row>
    <row r="80" spans="2:6">
      <c r="B80" s="148" t="s">
        <v>294</v>
      </c>
      <c r="C80" s="167">
        <f>Thesis!F29</f>
        <v>0.35</v>
      </c>
    </row>
    <row r="81" spans="2:8">
      <c r="B81" s="100" t="s">
        <v>117</v>
      </c>
      <c r="C81" s="116">
        <f>PV(C80, C76, -C77, 0)</f>
        <v>0.18908437213124724</v>
      </c>
      <c r="D81" s="116"/>
      <c r="E81" s="100"/>
      <c r="F81" s="100"/>
    </row>
    <row r="82" spans="2:8">
      <c r="B82" s="100" t="s">
        <v>118</v>
      </c>
      <c r="C82" s="116">
        <f>C60/(1+C80)^C76</f>
        <v>1.1538807073901998</v>
      </c>
      <c r="D82" s="116"/>
    </row>
    <row r="83" spans="2:8" ht="13.15">
      <c r="B83" s="110" t="s">
        <v>98</v>
      </c>
      <c r="C83" s="111">
        <f>C81+C82</f>
        <v>1.3429650795214469</v>
      </c>
      <c r="D83" t="str">
        <f>Market_currency</f>
        <v>HKD</v>
      </c>
      <c r="E83" s="146" t="s">
        <v>122</v>
      </c>
      <c r="F83" s="291">
        <f>(1-C83/C60)</f>
        <v>0.5269549498552728</v>
      </c>
    </row>
    <row r="84" spans="2:8">
      <c r="E84" s="120"/>
    </row>
    <row r="85" spans="2:8" ht="13.15">
      <c r="B85" s="109" t="s">
        <v>297</v>
      </c>
    </row>
    <row r="86" spans="2:8">
      <c r="B86" s="148" t="s">
        <v>295</v>
      </c>
      <c r="C86" s="116">
        <f>Market_Price</f>
        <v>2.85</v>
      </c>
      <c r="D86" t="str">
        <f>Market_currency</f>
        <v>HKD</v>
      </c>
    </row>
    <row r="87" spans="2:8" ht="13.15">
      <c r="B87" s="100" t="s">
        <v>293</v>
      </c>
      <c r="C87" s="237">
        <f ca="1">IRR(OFFSET($I$3, 0, 0, $C$76 + 1, 1))</f>
        <v>3.7880160952401765E-2</v>
      </c>
    </row>
    <row r="88" spans="2:8">
      <c r="B88" s="100"/>
    </row>
    <row r="89" spans="2:8" ht="13.15">
      <c r="B89" s="109" t="s">
        <v>392</v>
      </c>
    </row>
    <row r="90" spans="2:8">
      <c r="B90" s="148" t="s">
        <v>393</v>
      </c>
      <c r="C90" s="167">
        <f>Thesis!F30</f>
        <v>0.25</v>
      </c>
    </row>
    <row r="91" spans="2:8">
      <c r="B91" s="100" t="s">
        <v>117</v>
      </c>
      <c r="C91" s="116">
        <f>PV(C90, C76, -C77, 0)</f>
        <v>0.21764084792926994</v>
      </c>
      <c r="D91" s="116"/>
      <c r="E91" s="100"/>
      <c r="F91" s="100"/>
    </row>
    <row r="92" spans="2:8">
      <c r="B92" s="100" t="s">
        <v>118</v>
      </c>
      <c r="C92" s="116">
        <f>C60/(1+C90)^C76</f>
        <v>1.4535573736679237</v>
      </c>
      <c r="D92" s="116"/>
    </row>
    <row r="93" spans="2:8" ht="13.15">
      <c r="B93" s="110" t="s">
        <v>98</v>
      </c>
      <c r="C93" s="111">
        <f>C91+C92</f>
        <v>1.6711982215971937</v>
      </c>
      <c r="D93" t="str">
        <f>Market_currency</f>
        <v>HKD</v>
      </c>
      <c r="E93" s="146" t="s">
        <v>122</v>
      </c>
      <c r="F93" s="291">
        <f>(1-C93/C60)</f>
        <v>0.41133834483698628</v>
      </c>
    </row>
    <row r="95" spans="2:8" ht="13.15">
      <c r="B95" s="109" t="s">
        <v>378</v>
      </c>
      <c r="G95" s="2"/>
      <c r="H95" s="281"/>
    </row>
    <row r="96" spans="2:8">
      <c r="B96" s="148" t="s">
        <v>383</v>
      </c>
      <c r="C96" s="134">
        <f>Thesis!F31</f>
        <v>7.4999999999999997E-2</v>
      </c>
      <c r="G96" s="2"/>
      <c r="H96" s="281"/>
    </row>
    <row r="97" spans="2:8">
      <c r="B97" s="100" t="s">
        <v>117</v>
      </c>
      <c r="C97" s="116">
        <f>PV(C96, C76, -C77, 0)</f>
        <v>0.28994909174570971</v>
      </c>
      <c r="D97" s="116"/>
      <c r="G97" s="2"/>
      <c r="H97" s="281"/>
    </row>
    <row r="98" spans="2:8">
      <c r="B98" s="100" t="s">
        <v>118</v>
      </c>
      <c r="C98" s="116">
        <f>C60/(1+C96)^C76</f>
        <v>2.2852663502394819</v>
      </c>
      <c r="D98" s="116"/>
      <c r="G98" s="2"/>
      <c r="H98" s="281"/>
    </row>
    <row r="99" spans="2:8" ht="13.15">
      <c r="B99" s="110" t="s">
        <v>379</v>
      </c>
      <c r="C99" s="111">
        <f>C97+C98</f>
        <v>2.5752154419851916</v>
      </c>
      <c r="D99" t="s">
        <v>377</v>
      </c>
      <c r="E99" s="146" t="s">
        <v>122</v>
      </c>
      <c r="F99" s="291">
        <f>(1-C99/C60)</f>
        <v>9.2907971723693472E-2</v>
      </c>
    </row>
    <row r="100" spans="2:8">
      <c r="B100" s="100"/>
    </row>
    <row r="101" spans="2:8" ht="13.15">
      <c r="B101" s="109" t="s">
        <v>399</v>
      </c>
    </row>
    <row r="102" spans="2:8">
      <c r="B102" s="148" t="s">
        <v>398</v>
      </c>
      <c r="C102" s="134">
        <f>Thesis!F32</f>
        <v>0.1174</v>
      </c>
    </row>
    <row r="103" spans="2:8">
      <c r="B103" s="100" t="s">
        <v>117</v>
      </c>
      <c r="C103" s="116">
        <f>PV(C102, C76, -C77, 0)</f>
        <v>0.26899640883508957</v>
      </c>
      <c r="D103" s="116"/>
    </row>
    <row r="104" spans="2:8">
      <c r="B104" s="100" t="s">
        <v>118</v>
      </c>
      <c r="C104" s="116">
        <f>C60/(1+C102)^C76</f>
        <v>2.0348678797261432</v>
      </c>
      <c r="D104" s="116"/>
    </row>
    <row r="105" spans="2:8" ht="13.15">
      <c r="B105" s="110" t="s">
        <v>379</v>
      </c>
      <c r="C105" s="111">
        <f>C103+C104</f>
        <v>2.3038642885612326</v>
      </c>
      <c r="D105" t="s">
        <v>377</v>
      </c>
      <c r="E105" s="146" t="s">
        <v>122</v>
      </c>
      <c r="F105" s="291">
        <f>(1-C105/C66)</f>
        <v>0.19265983465853587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4FA76-38E3-4C58-AD0D-A92B56B2978C}">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2025-07-28T09:09:34Z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