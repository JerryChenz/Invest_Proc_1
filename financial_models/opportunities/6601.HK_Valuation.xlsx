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5C59C84-8673-457D-919E-44E348BBBC7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J120" i="2"/>
  <c r="J118" i="2"/>
  <c r="J117" i="2"/>
  <c r="P120" i="2"/>
  <c r="P117" i="2"/>
  <c r="P118" i="2"/>
  <c r="O120" i="2"/>
  <c r="O117" i="2"/>
  <c r="O118" i="2"/>
  <c r="K120" i="2"/>
  <c r="K117" i="2"/>
  <c r="K118" i="2"/>
  <c r="N120" i="2"/>
  <c r="N117" i="2"/>
  <c r="N118"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<sst xmlns="http://schemas.openxmlformats.org/spreadsheetml/2006/main" count="685" uniqueCount="466">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</sst>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1333333500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2.8</v>
      </c>
      <c r="D12" s="50"/>
      <c r="E12" s="48"/>
    </row>
    <row r="13" spans="1:10">
      <c r="B13" s="1" t="s">
        <v>416</v>
      </c>
      <c r="C13" s="48" t="s">
        <v>396</v>
      </c>
      <c r="D13" s="48"/>
      <c r="E13" s="5"/>
    </row>
    <row r="14" spans="1:10">
      <c r="B14" s="4" t="s">
        <v>420</v>
      </c>
      <c r="C14" s="35">
        <f>Thesis!C12*Common_Shares/1000000</f>
        <v>3733.3337999999999</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1.0899407000000001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2.8277464737861471</v>
      </c>
      <c r="D26" s="1" t="s">
        <v>399</v>
      </c>
      <c r="E26" s="301">
        <f ca="1">Scenarios!C87</f>
        <v>4.3140625360801099E-2</v>
      </c>
    </row>
    <row r="27" spans="2:6">
      <c r="D27" s="5"/>
      <c r="E27" s="5"/>
    </row>
    <row r="28" spans="2:6">
      <c r="B28" s="45" t="s">
        <v>433</v>
      </c>
      <c r="C28" s="309" t="str">
        <f>C145&amp;" ("&amp;Market_currency&amp;")"</f>
        <v>6601.HK (HKD)</v>
      </c>
      <c r="D28" s="309" t="str">
        <f>IF(D11="","",D145&amp;" ("&amp;D13&amp;")")</f>
        <v/>
      </c>
      <c r="E28" s="305" t="s">
        <v>429</v>
      </c>
      <c r="F28" s="303">
        <v>3</v>
      </c>
    </row>
    <row r="29" spans="2:6">
      <c r="B29" s="1" t="s">
        <v>425</v>
      </c>
      <c r="C29" s="310">
        <f>C149</f>
        <v>1.2914979770180164</v>
      </c>
      <c r="D29" s="310" t="str">
        <f>D149</f>
        <v/>
      </c>
      <c r="E29" s="306" t="s">
        <v>424</v>
      </c>
      <c r="F29" s="302">
        <v>0.3674</v>
      </c>
    </row>
    <row r="30" spans="2:6">
      <c r="B30" s="1" t="s">
        <v>426</v>
      </c>
      <c r="C30" s="311">
        <f>C157</f>
        <v>1.7967651856638909</v>
      </c>
      <c r="D30" s="311" t="str">
        <f>D157</f>
        <v/>
      </c>
      <c r="E30" s="307" t="s">
        <v>437</v>
      </c>
      <c r="F30" s="312">
        <v>0.21740000000000001</v>
      </c>
    </row>
    <row r="31" spans="2:6">
      <c r="B31" s="1" t="s">
        <v>427</v>
      </c>
      <c r="C31" s="311">
        <f>C165</f>
        <v>2.5673082665887312</v>
      </c>
      <c r="D31" s="311" t="str">
        <f>D165</f>
        <v/>
      </c>
      <c r="E31" s="307" t="s">
        <v>436</v>
      </c>
      <c r="F31" s="312">
        <v>7.4999999999999997E-2</v>
      </c>
    </row>
    <row r="32" spans="2:6">
      <c r="B32" s="1" t="s">
        <v>428</v>
      </c>
      <c r="C32" s="311">
        <f>C173</f>
        <v>2.296865843879103</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113776.93034265516</v>
      </c>
      <c r="D41" s="1" t="str">
        <f>Reporting_currency</f>
        <v>CNY</v>
      </c>
    </row>
    <row r="42" spans="1:6">
      <c r="B42" s="47"/>
      <c r="C42" s="76"/>
    </row>
    <row r="43" spans="1:6" ht="24.5" customHeight="1">
      <c r="B43" s="359" t="s">
        <v>233</v>
      </c>
      <c r="C43" s="359"/>
      <c r="D43" s="359"/>
      <c r="E43" s="359"/>
      <c r="F43" s="359"/>
    </row>
    <row r="44" spans="1:6">
      <c r="B44" s="47" t="s">
        <v>234</v>
      </c>
      <c r="C44" s="349">
        <f>Normalized_FCF!C9</f>
        <v>35974</v>
      </c>
      <c r="D44" s="1" t="str">
        <f>Reporting_currency</f>
        <v>CNY</v>
      </c>
    </row>
    <row r="45" spans="1:6">
      <c r="B45" s="52" t="s">
        <v>235</v>
      </c>
      <c r="C45" s="349">
        <f>Normalized_FCF!C10</f>
        <v>-35974</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25024.048100970023</v>
      </c>
      <c r="D51" s="1" t="str">
        <f>Reporting_currency</f>
        <v>CNY</v>
      </c>
      <c r="E51" s="286"/>
      <c r="F51" s="286"/>
    </row>
    <row r="52" spans="2:6">
      <c r="B52" s="47" t="s">
        <v>341</v>
      </c>
      <c r="C52" s="350">
        <f>Normalized_FCF!C47</f>
        <v>-1880</v>
      </c>
      <c r="D52" s="1" t="str">
        <f>Reporting_currency</f>
        <v>CNY</v>
      </c>
      <c r="E52" s="286"/>
      <c r="F52" s="286"/>
    </row>
    <row r="53" spans="2:6">
      <c r="B53" s="47" t="s">
        <v>238</v>
      </c>
      <c r="C53" s="349">
        <f>Normalized_FCF!C12</f>
        <v>23144.048100970023</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-34230.244610906295</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133762.04810097002</v>
      </c>
      <c r="D67" s="1" t="str">
        <f>Reporting_currency</f>
        <v>CNY</v>
      </c>
    </row>
    <row r="68" spans="1:6">
      <c r="B68" s="47" t="s">
        <v>248</v>
      </c>
      <c r="C68" s="349">
        <f>Normalized_FCF!C19</f>
        <v>102690.73383271889</v>
      </c>
      <c r="D68" s="1" t="str">
        <f>Reporting_currency</f>
        <v>CNY</v>
      </c>
    </row>
    <row r="69" spans="1:6">
      <c r="B69" s="227" t="s">
        <v>390</v>
      </c>
      <c r="C69" s="92">
        <f>Normalized_FCF!C125</f>
        <v>2.9980391873115474E-2</v>
      </c>
      <c r="F69" s="314"/>
    </row>
    <row r="70" spans="1:6">
      <c r="B70" s="227" t="s">
        <v>308</v>
      </c>
      <c r="C70" s="92">
        <f>Normalized_FCF!C93</f>
        <v>3.9975962519271525E-2</v>
      </c>
      <c r="E70" s="47" t="s">
        <v>448</v>
      </c>
      <c r="F70" s="315">
        <f>Normalized_FCF!C92</f>
        <v>1.453330855574996</v>
      </c>
    </row>
    <row r="72" spans="1:6">
      <c r="B72" s="210" t="s">
        <v>451</v>
      </c>
      <c r="C72" s="323" t="s">
        <v>453</v>
      </c>
      <c r="D72" s="323" t="s">
        <v>454</v>
      </c>
    </row>
    <row r="73" spans="1:6">
      <c r="B73" s="47" t="s">
        <v>452</v>
      </c>
      <c r="C73" s="92">
        <f>Normalized_FCF!C120</f>
        <v>4.3345527244496904E-2</v>
      </c>
      <c r="D73" s="92">
        <f>Normalized_FCF!G120</f>
        <v>5.7309914538176528E-2</v>
      </c>
    </row>
    <row r="74" spans="1:6">
      <c r="B74" s="259" t="str">
        <f>Normalized_FCF!B117</f>
        <v>Pre-tax Profit/Sales</v>
      </c>
      <c r="C74" s="322">
        <f>Normalized_FCF!C117</f>
        <v>8.4132545567040723E-2</v>
      </c>
      <c r="D74" s="322">
        <f>Normalized_FCF!G117</f>
        <v>9.9462256141377339E-2</v>
      </c>
    </row>
    <row r="75" spans="1:6">
      <c r="B75" s="259" t="str">
        <f>Normalized_FCF!B118</f>
        <v>Sales/Total Assets</v>
      </c>
      <c r="C75" s="324">
        <f>Normalized_FCF!C118</f>
        <v>0.42808280043619051</v>
      </c>
      <c r="D75" s="324">
        <f>Normalized_FCF!G118</f>
        <v>0.47876122884928152</v>
      </c>
    </row>
    <row r="76" spans="1:6">
      <c r="B76" s="259" t="str">
        <f>Normalized_FCF!B119</f>
        <v>Total Assets/Equity</v>
      </c>
      <c r="C76" s="324">
        <f>Normalized_FCF!C119</f>
        <v>1.2035176992971439</v>
      </c>
      <c r="D76" s="324">
        <f>Normalized_FCF!G119</f>
        <v>1.2035176992971439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1.1192679632629778</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33999</v>
      </c>
      <c r="D102" s="1" t="str">
        <f>Reporting_currency</f>
        <v>CNY</v>
      </c>
    </row>
    <row r="103" spans="2:6">
      <c r="B103" s="47" t="s">
        <v>281</v>
      </c>
      <c r="C103" s="223">
        <f>C102*scaling_factor*Exchange_Rate/Common_Shares</f>
        <v>2.7792666920391638E-2</v>
      </c>
      <c r="D103" s="1" t="str">
        <f>Market_currency</f>
        <v>HKD</v>
      </c>
    </row>
    <row r="104" spans="2:6">
      <c r="B104" s="296" t="s">
        <v>404</v>
      </c>
      <c r="C104" s="325">
        <f>IF(BS!G31/BS!G27&gt;300%,"nm",BS!G31/BS!G27)</f>
        <v>1.0763175939415467E-2</v>
      </c>
    </row>
    <row r="105" spans="2:6">
      <c r="B105" s="296" t="s">
        <v>406</v>
      </c>
      <c r="C105" s="326">
        <f>IF(BS!C50&gt;30,"nm",BS!C50)</f>
        <v>0.29882156160837919</v>
      </c>
    </row>
    <row r="107" spans="2:6">
      <c r="B107" s="1" t="s">
        <v>254</v>
      </c>
    </row>
    <row r="108" spans="2:6">
      <c r="B108" s="47" t="s">
        <v>264</v>
      </c>
      <c r="C108" s="349">
        <f>BS!C66</f>
        <v>2707640</v>
      </c>
      <c r="D108" s="1" t="str">
        <f>Reporting_currency</f>
        <v>CNY</v>
      </c>
    </row>
    <row r="109" spans="2:6">
      <c r="B109" s="47" t="s">
        <v>266</v>
      </c>
      <c r="C109" s="349">
        <f>DCF!C8</f>
        <v>1876184.8258076294</v>
      </c>
      <c r="D109" s="1" t="str">
        <f>Reporting_currency</f>
        <v>CNY</v>
      </c>
    </row>
    <row r="110" spans="2:6">
      <c r="B110" s="47" t="s">
        <v>282</v>
      </c>
      <c r="C110" s="223">
        <f>C109*scaling_factor*Exchange_Rate/Common_Shares</f>
        <v>1.5336974600654267</v>
      </c>
      <c r="D110" s="1" t="str">
        <f>Market_currency</f>
        <v>HKD</v>
      </c>
    </row>
    <row r="112" spans="2:6">
      <c r="B112" s="1" t="s">
        <v>256</v>
      </c>
    </row>
    <row r="113" spans="1:6">
      <c r="B113" s="47" t="s">
        <v>257</v>
      </c>
      <c r="C113" s="349">
        <f>DCF!C9</f>
        <v>229590.09999999998</v>
      </c>
      <c r="D113" s="1" t="str">
        <f>Reporting_currency</f>
        <v>CNY</v>
      </c>
    </row>
    <row r="114" spans="1:6">
      <c r="B114" s="47" t="s">
        <v>283</v>
      </c>
      <c r="C114" s="223">
        <f>C113*scaling_factor*Exchange_Rate/Common_Shares</f>
        <v>0.18767967227034346</v>
      </c>
      <c r="D114" s="1" t="str">
        <f>Market_currency</f>
        <v>HKD</v>
      </c>
    </row>
    <row r="116" spans="1:6" ht="24.5" customHeight="1">
      <c r="B116" s="358" t="s">
        <v>366</v>
      </c>
      <c r="C116" s="358"/>
      <c r="D116" s="358"/>
      <c r="E116" s="358"/>
      <c r="F116" s="358"/>
    </row>
    <row r="118" spans="1:6">
      <c r="B118" s="47" t="s">
        <v>449</v>
      </c>
      <c r="C118" s="223">
        <f>IF(valuation_method="DCF",DCF!C12,DDM!C7)</f>
        <v>2.8128524286783567</v>
      </c>
      <c r="D118" s="1" t="str">
        <f>Market_currency</f>
        <v>HKD</v>
      </c>
    </row>
    <row r="119" spans="1:6">
      <c r="B119" s="296" t="s">
        <v>405</v>
      </c>
      <c r="C119" s="223">
        <f>BS!D47</f>
        <v>1.9059667202657331</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2.88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258</v>
      </c>
      <c r="C132" s="217">
        <f>Scenarios!C60</f>
        <v>2.8277464737861471</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0.11193269505396027</v>
      </c>
      <c r="D143" s="212" t="str">
        <f>Market_currency</f>
        <v>HKD</v>
      </c>
    </row>
    <row r="145" spans="2:4">
      <c r="B145" s="210" t="s">
        <v>408</v>
      </c>
      <c r="C145" s="241" t="str">
        <f>C11</f>
        <v>6601.HK</v>
      </c>
      <c r="D145" s="241" t="str">
        <f>IF(D11="","",D11)</f>
        <v/>
      </c>
    </row>
    <row r="146" spans="2:4">
      <c r="B146" s="1" t="s">
        <v>407</v>
      </c>
      <c r="C146" s="297">
        <f>F29</f>
        <v>0.3674</v>
      </c>
    </row>
    <row r="147" spans="2:4">
      <c r="B147" s="212" t="str">
        <f>"PV("&amp;C141&amp;" yrs of Dividends)"</f>
        <v>PV(3 yrs of Dividends)</v>
      </c>
      <c r="C147" s="216">
        <f>Scenarios!C81</f>
        <v>0.18550150201980048</v>
      </c>
    </row>
    <row r="148" spans="2:4">
      <c r="B148" s="212" t="str">
        <f>"+ PV(Equity Value realized at year "&amp;C141&amp;")"</f>
        <v>+ PV(Equity Value realized at year 3)</v>
      </c>
      <c r="C148" s="216">
        <f>Scenarios!C82</f>
        <v>1.1059964749982159</v>
      </c>
    </row>
    <row r="149" spans="2:4">
      <c r="B149" s="80" t="s">
        <v>260</v>
      </c>
      <c r="C149" s="215">
        <f>Scenarios!C83</f>
        <v>1.2914979770180164</v>
      </c>
      <c r="D149" s="300" t="str">
        <f>IF($D$11="","",C149*$E$25)</f>
        <v/>
      </c>
    </row>
    <row r="150" spans="2:4">
      <c r="B150" s="259" t="s">
        <v>416</v>
      </c>
      <c r="C150" s="298" t="str">
        <f>Market_currency</f>
        <v>HKD</v>
      </c>
      <c r="D150" s="298" t="str">
        <f>IF($D$11="","",D$13)</f>
        <v/>
      </c>
    </row>
    <row r="151" spans="2:4">
      <c r="B151" s="214" t="s">
        <v>262</v>
      </c>
      <c r="C151" s="92">
        <f>Scenarios!F83</f>
        <v>0.54327660241450348</v>
      </c>
    </row>
    <row r="153" spans="2:4">
      <c r="B153" s="210" t="s">
        <v>411</v>
      </c>
    </row>
    <row r="154" spans="2:4">
      <c r="B154" s="1" t="s">
        <v>410</v>
      </c>
      <c r="C154" s="297">
        <f>Scenarios!C90</f>
        <v>0.21740000000000001</v>
      </c>
    </row>
    <row r="155" spans="2:4">
      <c r="B155" s="212" t="str">
        <f>"PV("&amp;C141&amp;" yrs of Dividends)"</f>
        <v>PV(3 yrs of Dividends)</v>
      </c>
      <c r="C155" s="216">
        <f>Scenarios!C91</f>
        <v>0.22950689015606288</v>
      </c>
    </row>
    <row r="156" spans="2:4">
      <c r="B156" s="212" t="str">
        <f>"+ PV(Equity Value realized at year "&amp;C141&amp;")"</f>
        <v>+ PV(Equity Value realized at year 3)</v>
      </c>
      <c r="C156" s="216">
        <f>Scenarios!C92</f>
        <v>1.567258295507828</v>
      </c>
    </row>
    <row r="157" spans="2:4">
      <c r="B157" s="80" t="s">
        <v>260</v>
      </c>
      <c r="C157" s="215">
        <f>Scenarios!C93</f>
        <v>1.7967651856638909</v>
      </c>
      <c r="D157" s="300" t="str">
        <f>IF($D$11="","",C157*$E$25)</f>
        <v/>
      </c>
    </row>
    <row r="158" spans="2:4">
      <c r="B158" s="259" t="s">
        <v>416</v>
      </c>
      <c r="C158" s="298" t="str">
        <f>Market_currency</f>
        <v>HKD</v>
      </c>
      <c r="D158" s="298" t="str">
        <f>IF($D$11="","",D$13)</f>
        <v/>
      </c>
    </row>
    <row r="159" spans="2:4">
      <c r="B159" s="214" t="s">
        <v>262</v>
      </c>
      <c r="C159" s="92">
        <f>Scenarios!F93</f>
        <v>0.3645946684682263</v>
      </c>
    </row>
    <row r="161" spans="2:4">
      <c r="B161" s="210" t="s">
        <v>400</v>
      </c>
    </row>
    <row r="162" spans="2:4">
      <c r="B162" s="1" t="s">
        <v>409</v>
      </c>
      <c r="C162" s="92">
        <f>Scenarios!C96</f>
        <v>7.4999999999999997E-2</v>
      </c>
    </row>
    <row r="163" spans="2:4">
      <c r="B163" s="212" t="str">
        <f>"PV("&amp;C141&amp;" yrs of Dividends)"</f>
        <v>PV(3 yrs of Dividends)</v>
      </c>
      <c r="C163" s="216">
        <f>Scenarios!C97</f>
        <v>0.29108385462106245</v>
      </c>
    </row>
    <row r="164" spans="2:4">
      <c r="B164" s="212" t="str">
        <f>"+ PV(Equity Value realized at year "&amp;C141&amp;")"</f>
        <v>+ PV(Equity Value realized at year 3)</v>
      </c>
      <c r="C164" s="216">
        <f>Scenarios!C98</f>
        <v>2.2762244119676689</v>
      </c>
    </row>
    <row r="165" spans="2:4">
      <c r="B165" s="80" t="s">
        <v>401</v>
      </c>
      <c r="C165" s="215">
        <f>Scenarios!C99</f>
        <v>2.5673082665887312</v>
      </c>
      <c r="D165" s="300" t="str">
        <f>IF($D$11="","",C165*$E$25)</f>
        <v/>
      </c>
    </row>
    <row r="166" spans="2:4">
      <c r="B166" s="259" t="s">
        <v>416</v>
      </c>
      <c r="C166" s="298" t="str">
        <f>Market_currency</f>
        <v>HKD</v>
      </c>
      <c r="D166" s="298" t="str">
        <f>IF($D$11="","",D$13)</f>
        <v/>
      </c>
    </row>
    <row r="167" spans="2:4">
      <c r="B167" s="214" t="s">
        <v>262</v>
      </c>
      <c r="C167" s="92">
        <f>Scenarios!F99</f>
        <v>9.2100974967783467E-2</v>
      </c>
    </row>
    <row r="169" spans="2:4">
      <c r="B169" s="210" t="s">
        <v>432</v>
      </c>
    </row>
    <row r="170" spans="2:4">
      <c r="B170" s="1" t="s">
        <v>423</v>
      </c>
      <c r="C170" s="92">
        <f>F32</f>
        <v>0.1174</v>
      </c>
    </row>
    <row r="171" spans="2:4">
      <c r="B171" s="212" t="str">
        <f>"PV("&amp;C141&amp;" yrs of Dividends)"</f>
        <v>PV(3 yrs of Dividends)</v>
      </c>
      <c r="C171" s="216">
        <f>Scenarios!C103</f>
        <v>0.27004916998192208</v>
      </c>
    </row>
    <row r="172" spans="2:4">
      <c r="B172" s="212" t="str">
        <f>"+ PV(Equity Value realized at year "&amp;C141&amp;")"</f>
        <v>+ PV(Equity Value realized at year 3)</v>
      </c>
      <c r="C172" s="216">
        <f>Scenarios!C104</f>
        <v>2.0268166738971809</v>
      </c>
    </row>
    <row r="173" spans="2:4">
      <c r="B173" s="80" t="s">
        <v>401</v>
      </c>
      <c r="C173" s="215">
        <f>Scenarios!C105</f>
        <v>2.296865843879103</v>
      </c>
      <c r="D173" s="300" t="str">
        <f>IF($D$11="","",C173*$E$25)</f>
        <v/>
      </c>
    </row>
    <row r="174" spans="2:4">
      <c r="B174" s="259" t="s">
        <v>416</v>
      </c>
      <c r="C174" s="298" t="str">
        <f>Market_currency</f>
        <v>HKD</v>
      </c>
      <c r="D174" s="298" t="str">
        <f>IF($D$11="","",D$13)</f>
        <v/>
      </c>
    </row>
    <row r="175" spans="2:4">
      <c r="B175" s="214" t="s">
        <v>262</v>
      </c>
      <c r="C175" s="92">
        <f>Scenarios!F105</f>
        <v>0.19191551094914117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0.11193269505396027</v>
      </c>
      <c r="D25" s="39">
        <f>(0.064+0.041)/Exchange_Rate</f>
        <v>9.6335516234965807E-2</v>
      </c>
      <c r="E25" s="39">
        <f>(0.022+0.0168)/Exchange_Rate</f>
        <v>3.5598266951587361E-2</v>
      </c>
      <c r="F25" s="39"/>
      <c r="G25" s="39"/>
      <c r="H25" s="39"/>
      <c r="I25" s="39"/>
      <c r="J25" s="39"/>
      <c r="K25" s="39"/>
      <c r="L25" s="39"/>
      <c r="M25" s="39"/>
    </row>
    <row r="27" spans="2:13">
      <c r="B27" s="16" t="s">
        <v>28</v>
      </c>
      <c r="C27" s="97" t="s">
        <v>463</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172</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0.11193269505396027</v>
      </c>
      <c r="D65" s="73">
        <f t="shared" ref="D65:M65" si="33">IF(D$4="","",D25)</f>
        <v>9.6335516234965807E-2</v>
      </c>
      <c r="E65" s="73">
        <f t="shared" si="33"/>
        <v>3.5598266951587361E-2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177</v>
      </c>
      <c r="G6" s="19">
        <v>0</v>
      </c>
      <c r="H6" s="261">
        <v>0.6</v>
      </c>
    </row>
    <row r="7" spans="2:8" ht="15" customHeight="1">
      <c r="B7" s="1" t="s">
        <v>69</v>
      </c>
      <c r="C7" s="19">
        <v>0</v>
      </c>
      <c r="D7" s="261">
        <v>0.6</v>
      </c>
      <c r="E7" s="25"/>
      <c r="F7" s="4" t="s">
        <v>178</v>
      </c>
      <c r="G7" s="19">
        <v>270180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103162</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111923</v>
      </c>
      <c r="H17" s="261">
        <v>0.6</v>
      </c>
    </row>
    <row r="18" spans="2:8" ht="15" customHeight="1">
      <c r="B18" s="4" t="s">
        <v>173</v>
      </c>
      <c r="C18" s="19">
        <v>0</v>
      </c>
      <c r="D18" s="261">
        <v>0.6</v>
      </c>
      <c r="F18" s="4" t="s">
        <v>181</v>
      </c>
      <c r="G18" s="19">
        <v>0</v>
      </c>
      <c r="H18" s="261">
        <v>0.1</v>
      </c>
    </row>
    <row r="19" spans="2:8" ht="15" customHeight="1">
      <c r="B19" s="4" t="s">
        <v>26</v>
      </c>
      <c r="C19" s="19">
        <f>147013+53837+407</f>
        <v>201257</v>
      </c>
      <c r="D19" s="261">
        <v>0.1</v>
      </c>
      <c r="F19" s="4" t="s">
        <v>182</v>
      </c>
      <c r="G19" s="19">
        <v>3283</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200</v>
      </c>
      <c r="C26" s="182" t="s">
        <v>136</v>
      </c>
      <c r="F26" s="184" t="s">
        <v>196</v>
      </c>
      <c r="G26" s="185" t="s">
        <v>136</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244</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203</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708677</v>
      </c>
      <c r="H35" s="200">
        <f>D12+D24</f>
        <v>316664</v>
      </c>
    </row>
    <row r="36" spans="2:8" ht="15" customHeight="1">
      <c r="B36" s="4" t="s">
        <v>13</v>
      </c>
      <c r="C36" s="19">
        <v>0</v>
      </c>
      <c r="F36" s="190" t="s">
        <v>197</v>
      </c>
      <c r="G36" s="191">
        <f>C4+C15</f>
        <v>109763</v>
      </c>
      <c r="H36" s="195"/>
    </row>
    <row r="37" spans="2:8" ht="15" customHeight="1">
      <c r="B37" s="4" t="s">
        <v>14</v>
      </c>
      <c r="C37" s="19">
        <v>20583</v>
      </c>
      <c r="F37" s="190" t="s">
        <v>198</v>
      </c>
      <c r="G37" s="191">
        <f>C6</f>
        <v>318027</v>
      </c>
      <c r="H37" s="195"/>
    </row>
    <row r="38" spans="2:8" ht="15" customHeight="1">
      <c r="B38" s="4" t="s">
        <v>15</v>
      </c>
      <c r="C38" s="19">
        <v>0</v>
      </c>
      <c r="F38" s="190" t="s">
        <v>199</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204</v>
      </c>
      <c r="C40" s="81">
        <f>SUM(C36:C39)</f>
        <v>20583</v>
      </c>
      <c r="F40" s="199" t="s">
        <v>138</v>
      </c>
      <c r="G40" s="193">
        <f>G12+G24</f>
        <v>3093026</v>
      </c>
      <c r="H40" s="200">
        <f>H12+H24</f>
        <v>2656149.9000000004</v>
      </c>
    </row>
    <row r="41" spans="2:8" ht="15" customHeight="1">
      <c r="B41" s="4" t="s">
        <v>17</v>
      </c>
      <c r="C41" s="21">
        <f>C42-C40</f>
        <v>10363</v>
      </c>
      <c r="F41" s="190" t="s">
        <v>191</v>
      </c>
      <c r="G41" s="191">
        <f>C70</f>
        <v>2707640</v>
      </c>
      <c r="H41" s="200">
        <f>H40-H42</f>
        <v>2426559.8000000003</v>
      </c>
    </row>
    <row r="42" spans="2:8" ht="15" customHeight="1">
      <c r="B42" s="83" t="s">
        <v>22</v>
      </c>
      <c r="C42" s="84">
        <v>30946</v>
      </c>
      <c r="F42" s="201" t="s">
        <v>192</v>
      </c>
      <c r="G42" s="202">
        <f>C82</f>
        <v>385386</v>
      </c>
      <c r="H42" s="203">
        <f>D82</f>
        <v>229590.09999999998</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3160474</v>
      </c>
      <c r="D46" s="76">
        <f>H29</f>
        <v>2331584.9000000004</v>
      </c>
      <c r="F46" s="253"/>
    </row>
    <row r="47" spans="2:8" ht="15" customHeight="1">
      <c r="B47" s="1" t="str">
        <f>"Equity per share ("&amp;Market_currency&amp;")"</f>
        <v>Equity per share (HKD)</v>
      </c>
      <c r="C47" s="147">
        <f>C46*H1/Common_Shares*Exchange_Rate</f>
        <v>2.583546609975524</v>
      </c>
      <c r="D47" s="147">
        <f>D46*H1/Common_Shares*Exchange_Rate</f>
        <v>1.9059667202657331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176</v>
      </c>
      <c r="C51" s="181"/>
      <c r="D51" s="92">
        <f>G29/G32</f>
        <v>0.83133111660747827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0.16054836031457936</v>
      </c>
      <c r="D54" s="92">
        <f>Normalized_FCF!G8/G35</f>
        <v>0.2227926121491173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-5.2144077122608828E-4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2707640</v>
      </c>
      <c r="D66" s="76">
        <f>C66-D75</f>
        <v>1876184.8258076294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2707640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-150955.30100506078</v>
      </c>
      <c r="D73" s="349">
        <f>(Normalized_FCF!C25+Normalized_FCF!C35-Normalized_FCF!C91)/12</f>
        <v>-138575.86236539509</v>
      </c>
      <c r="F73" s="1" t="s">
        <v>351</v>
      </c>
    </row>
    <row r="74" spans="2:6" ht="15" customHeight="1">
      <c r="B74" s="257" t="s">
        <v>321</v>
      </c>
      <c r="C74" s="258">
        <f>-$C$66/C73</f>
        <v>17.936700347536828</v>
      </c>
      <c r="D74" s="258">
        <f>-$C$66/D73</f>
        <v>19.539044922993362</v>
      </c>
      <c r="F74" s="253" t="s">
        <v>319</v>
      </c>
    </row>
    <row r="75" spans="2:6" ht="15" customHeight="1">
      <c r="B75" s="80" t="s">
        <v>320</v>
      </c>
      <c r="C75" s="320"/>
      <c r="D75" s="321">
        <f>MAX(-D73*D76,G5)</f>
        <v>831455.17419237061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382103</v>
      </c>
      <c r="D79" s="76">
        <f>G7*H7+G17*H17</f>
        <v>229261.8</v>
      </c>
      <c r="F79" s="253"/>
    </row>
    <row r="80" spans="2:6" ht="15" customHeight="1">
      <c r="B80" s="105" t="s">
        <v>182</v>
      </c>
      <c r="C80" s="20">
        <f>G19</f>
        <v>3283</v>
      </c>
      <c r="D80" s="76">
        <f>G19*H19</f>
        <v>328.3</v>
      </c>
      <c r="F80" s="253"/>
    </row>
    <row r="81" spans="2:8" ht="15" customHeight="1">
      <c r="B81" s="105" t="s">
        <v>180</v>
      </c>
      <c r="C81" s="20">
        <f>G9+G21</f>
        <v>0</v>
      </c>
      <c r="D81" s="76">
        <f>G9*H9+G21*H21</f>
        <v>0</v>
      </c>
      <c r="F81" s="253"/>
    </row>
    <row r="82" spans="2:8" ht="15" customHeight="1">
      <c r="B82" s="80" t="s">
        <v>189</v>
      </c>
      <c r="C82" s="81">
        <f>SUM(C79:C81)</f>
        <v>385386</v>
      </c>
      <c r="D82" s="81">
        <f>SUM(D79:D81)</f>
        <v>229590.09999999998</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-37056.893859300006</v>
      </c>
      <c r="D86" s="223">
        <f>C86*scaling_factor/Common_Shares</f>
        <v>-2.7792666920391638E-2</v>
      </c>
      <c r="E86" s="240" t="str">
        <f>Market_currency</f>
        <v>HKD</v>
      </c>
    </row>
    <row r="87" spans="2:8" ht="15" customHeight="1">
      <c r="B87" s="238" t="s">
        <v>287</v>
      </c>
      <c r="C87" s="76">
        <f>DCF!C8*Exchange_Rate</f>
        <v>2044930.2023701458</v>
      </c>
      <c r="D87" s="223">
        <f>C87*scaling_factor/Common_Shares</f>
        <v>1.5336974600654267</v>
      </c>
      <c r="E87" s="240" t="str">
        <f>Market_currency</f>
        <v>HKD</v>
      </c>
    </row>
    <row r="88" spans="2:8" ht="15" customHeight="1">
      <c r="B88" s="239" t="s">
        <v>189</v>
      </c>
      <c r="C88" s="76">
        <f>DCF!C9*Exchange_Rate</f>
        <v>250239.59430706999</v>
      </c>
      <c r="D88" s="223">
        <f>C88*scaling_factor/Common_Shares</f>
        <v>0.18767967227034346</v>
      </c>
      <c r="E88" s="240" t="str">
        <f>Market_currency</f>
        <v>HKD</v>
      </c>
    </row>
    <row r="89" spans="2:8" ht="15" customHeight="1">
      <c r="B89" s="80" t="s">
        <v>291</v>
      </c>
      <c r="C89" s="180">
        <f>SUM(C86:C88)</f>
        <v>2258112.9028179157</v>
      </c>
      <c r="D89" s="242">
        <f>SUM(D86:D88)</f>
        <v>1.6935844654153787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23144.048100970023</v>
      </c>
      <c r="E12" s="268"/>
      <c r="G12" s="328">
        <f>G50</f>
        <v>23144.048100970023</v>
      </c>
      <c r="H12" s="328">
        <f t="shared" ref="H12:Q12" si="6">H50</f>
        <v>21660.850855825705</v>
      </c>
      <c r="I12" s="328">
        <f t="shared" si="6"/>
        <v>13062.962147709448</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136920.97844362518</v>
      </c>
      <c r="E13" s="268"/>
      <c r="G13" s="329">
        <f>IF(G$4="","",SUM(G8:G12))</f>
        <v>181032.04810097002</v>
      </c>
      <c r="H13" s="329">
        <f t="shared" ref="H13:Q13" si="7">IF(H$4="","",SUM(H8:H12))</f>
        <v>147476.8508558257</v>
      </c>
      <c r="I13" s="329">
        <f t="shared" si="7"/>
        <v>35760.962147709448</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-34230.244610906295</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102690.73383271889</v>
      </c>
      <c r="D16" s="61"/>
      <c r="E16" s="276"/>
      <c r="F16" s="61"/>
      <c r="G16" s="329">
        <f>IF(G$4="","",SUM(G13:G15))</f>
        <v>133762.04810097002</v>
      </c>
      <c r="H16" s="329">
        <f t="shared" ref="H16:Q16" si="8">IF(H$4="","",SUM(H13:H15))</f>
        <v>103027.8508558257</v>
      </c>
      <c r="I16" s="329">
        <f t="shared" si="8"/>
        <v>14743.962147709448</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102690.73383271889</v>
      </c>
      <c r="D19" s="27"/>
      <c r="E19" s="265"/>
      <c r="F19" s="27"/>
      <c r="G19" s="334">
        <f>IF(G$4="","",G16+G17)</f>
        <v>133762.04810097002</v>
      </c>
      <c r="H19" s="334">
        <f t="shared" ref="H19:Q19" si="9">IF(H$4="","",H16+H17)</f>
        <v>103027.8508558257</v>
      </c>
      <c r="I19" s="334">
        <f t="shared" si="9"/>
        <v>14743.962147709448</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0.53202612430882723</v>
      </c>
      <c r="D28" s="26"/>
      <c r="E28" s="266" t="s">
        <v>333</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333</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-192887</v>
      </c>
      <c r="E33" s="266" t="s">
        <v>333</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0.26111398780416667</v>
      </c>
      <c r="H43" s="6">
        <f t="shared" si="18"/>
        <v>0.35050311300317294</v>
      </c>
      <c r="I43" s="6">
        <f t="shared" si="18"/>
        <v>1.3777156440309968</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25024.048100970023</v>
      </c>
      <c r="E48" s="268"/>
      <c r="G48" s="337">
        <f>IFERROR(IF(G$4="","",($C$48/$C$49)*G49),0)</f>
        <v>25024.048100970023</v>
      </c>
      <c r="H48" s="337">
        <f t="shared" ref="H48:Q48" si="19">IFERROR(IF(H$4="","",($C$48/$C$49)*H49),0)</f>
        <v>22663.850855825705</v>
      </c>
      <c r="I48" s="337">
        <f t="shared" si="19"/>
        <v>13925.962147709448</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23144.048100970023</v>
      </c>
      <c r="E50" s="268"/>
      <c r="G50" s="329">
        <f>IF(G$4="","",(G47+G48))</f>
        <v>23144.048100970023</v>
      </c>
      <c r="H50" s="329">
        <f t="shared" ref="H50:Q50" si="20">IF(H$4="","",(H47+H48))</f>
        <v>21660.850855825705</v>
      </c>
      <c r="I50" s="329">
        <f t="shared" si="20"/>
        <v>13062.962147709448</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3.0096689367862788E-2</v>
      </c>
      <c r="E53" s="265" t="s">
        <v>335</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336</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1.4221105513515997E-2</v>
      </c>
      <c r="D80" s="27"/>
      <c r="E80" s="265"/>
      <c r="F80" s="27"/>
      <c r="G80" s="6">
        <f t="shared" ref="G80:Q80" si="31">IF(G$4="","",ABS(G12/G$4))</f>
        <v>1.2715755384279407E-2</v>
      </c>
      <c r="H80" s="6">
        <f t="shared" si="31"/>
        <v>1.340743498845663E-2</v>
      </c>
      <c r="I80" s="6">
        <f t="shared" si="31"/>
        <v>9.0298762701584278E-3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8.4132545567040723E-2</v>
      </c>
      <c r="D81" s="27"/>
      <c r="E81" s="265"/>
      <c r="F81" s="27"/>
      <c r="G81" s="65">
        <f t="shared" ref="G81:Q81" si="32">IF(G$4="","",G13/G$4)</f>
        <v>9.9462256141377339E-2</v>
      </c>
      <c r="H81" s="65">
        <f t="shared" si="32"/>
        <v>9.1283869840228585E-2</v>
      </c>
      <c r="I81" s="65">
        <f t="shared" si="32"/>
        <v>2.4720048932566022E-2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2.1033136391760181E-2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6.3099409175280549E-2</v>
      </c>
      <c r="D84" s="27"/>
      <c r="E84" s="265"/>
      <c r="F84" s="27"/>
      <c r="G84" s="65">
        <f t="shared" ref="G84:Q84" si="35">IF(G$4="","",ABS(G16/G$4))</f>
        <v>7.3491269804302831E-2</v>
      </c>
      <c r="H84" s="65">
        <f t="shared" si="35"/>
        <v>6.3771235098014467E-2</v>
      </c>
      <c r="I84" s="65">
        <f t="shared" si="35"/>
        <v>1.0191880862876163E-2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6.3099409175280549E-2</v>
      </c>
      <c r="D87" s="75"/>
      <c r="E87" s="265"/>
      <c r="F87" s="75"/>
      <c r="G87" s="65">
        <f t="shared" ref="G87:Q87" si="36">IF(G$4="","",ABS(G19/G$4))</f>
        <v>7.3491269804302831E-2</v>
      </c>
      <c r="H87" s="65">
        <f t="shared" si="36"/>
        <v>6.3771235098014467E-2</v>
      </c>
      <c r="I87" s="65">
        <f t="shared" si="36"/>
        <v>1.0191880862876163E-2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0.11193269505396027</v>
      </c>
      <c r="E90" s="268"/>
      <c r="G90" s="112">
        <f>Data!C65</f>
        <v>0.11193269505396027</v>
      </c>
      <c r="H90" s="112">
        <f>Data!D65</f>
        <v>9.6335516234965807E-2</v>
      </c>
      <c r="I90" s="112">
        <f>Data!E65</f>
        <v>3.5598266951587361E-2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149243.61206072953</v>
      </c>
      <c r="E91" s="268"/>
      <c r="G91" s="74">
        <f t="shared" ref="G91:Q91" si="37">IF(G$4="","",G90*Common_Shares/scaling_factor)</f>
        <v>149243.61206072953</v>
      </c>
      <c r="H91" s="74">
        <f t="shared" si="37"/>
        <v>128447.37103587379</v>
      </c>
      <c r="I91" s="74">
        <f t="shared" si="37"/>
        <v>47464.361868494307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1.453330855574996</v>
      </c>
      <c r="E92" s="268"/>
      <c r="G92" s="170">
        <f t="shared" ref="G92:Q92" si="38">IF(G$4="","",G90/(G19*scaling_factor/Common_Shares))</f>
        <v>1.1157395851779519</v>
      </c>
      <c r="H92" s="170">
        <f t="shared" si="38"/>
        <v>1.2467247445122334</v>
      </c>
      <c r="I92" s="170">
        <f t="shared" si="38"/>
        <v>3.2192406215494893</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3.9975962519271525E-2</v>
      </c>
      <c r="E93" s="268"/>
      <c r="G93" s="23">
        <f t="shared" ref="G93:Q93" si="39">IF(G$4="","",G90/Market_Price)</f>
        <v>3.9975962519271525E-2</v>
      </c>
      <c r="H93" s="23">
        <f t="shared" si="39"/>
        <v>3.4405541512487793E-2</v>
      </c>
      <c r="I93" s="23">
        <f t="shared" si="39"/>
        <v>1.2713666768424059E-2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-0.24366442362040797</v>
      </c>
      <c r="D97" s="27"/>
      <c r="E97" s="265"/>
      <c r="F97" s="27"/>
      <c r="G97" s="6">
        <f t="shared" ref="G97:Q97" si="41">IF(H5="","",G13/H13-1)</f>
        <v>0.22752857177529573</v>
      </c>
      <c r="H97" s="6">
        <f t="shared" si="41"/>
        <v>3.1239620524380065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3801703</v>
      </c>
      <c r="D101" s="26"/>
      <c r="E101" s="269"/>
      <c r="F101" s="26"/>
      <c r="G101" s="333">
        <f t="shared" ref="G101:Q101" si="42">IF(G$4="","",G105+G104)</f>
        <v>3801703</v>
      </c>
      <c r="H101" s="333">
        <f t="shared" si="42"/>
        <v>3670169</v>
      </c>
      <c r="I101" s="333">
        <f t="shared" si="42"/>
        <v>3559477</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109763</v>
      </c>
      <c r="D102" s="89"/>
      <c r="E102" s="270"/>
      <c r="F102" s="89"/>
      <c r="G102" s="346">
        <f>IF(G$4="","",Data!D77)</f>
        <v>0</v>
      </c>
      <c r="H102" s="346">
        <f>IF(H$4="","",Data!E77)</f>
        <v>0</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318027</v>
      </c>
      <c r="D103" s="89"/>
      <c r="E103" s="270"/>
      <c r="F103" s="89"/>
      <c r="G103" s="346">
        <f>IF(G$4="","",Data!D78)</f>
        <v>0</v>
      </c>
      <c r="H103" s="346">
        <f>IF(H$4="","",Data!E78)</f>
        <v>0</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642877</v>
      </c>
      <c r="D104" s="26"/>
      <c r="E104" s="269"/>
      <c r="F104" s="26"/>
      <c r="G104" s="333">
        <f>Data!C79</f>
        <v>642877</v>
      </c>
      <c r="H104" s="333">
        <f>Data!D79</f>
        <v>642877</v>
      </c>
      <c r="I104" s="333">
        <f>Data!E79</f>
        <v>734909</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3158826</v>
      </c>
      <c r="D105" s="26"/>
      <c r="E105" s="269"/>
      <c r="F105" s="26"/>
      <c r="G105" s="333">
        <f>Data!C80</f>
        <v>3158826</v>
      </c>
      <c r="H105" s="333">
        <f>Data!D80</f>
        <v>3027292</v>
      </c>
      <c r="I105" s="333">
        <f>Data!E80</f>
        <v>2824568</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8.4132545567040723E-2</v>
      </c>
      <c r="E117" s="268"/>
      <c r="G117" s="23">
        <f t="shared" ref="G117:Q117" si="45">IF(G4="","",IF(valuation_method="DDM",G13/(G4+G12),G81))</f>
        <v>9.9462256141377339E-2</v>
      </c>
      <c r="H117" s="23">
        <f t="shared" si="45"/>
        <v>9.1283869840228585E-2</v>
      </c>
      <c r="I117" s="23">
        <f t="shared" si="45"/>
        <v>2.4720048932566022E-2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4.3345527244496904E-2</v>
      </c>
      <c r="D120" s="103"/>
      <c r="E120" s="271"/>
      <c r="F120" s="103"/>
      <c r="G120" s="102">
        <f>IF(G$4="","",G13/G105)</f>
        <v>5.7309914538176528E-2</v>
      </c>
      <c r="H120" s="102">
        <f t="shared" ref="H120:Q120" si="48">IF(H$4="","",H13/H105)</f>
        <v>4.8715766716863028E-2</v>
      </c>
      <c r="I120" s="102">
        <f t="shared" si="48"/>
        <v>1.2660683739145048E-2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8.3945097244723335E-2</v>
      </c>
      <c r="D124" s="27"/>
      <c r="E124" s="265"/>
      <c r="F124" s="27"/>
      <c r="G124" s="177">
        <f t="shared" ref="G124:Q124" si="49">IF(G$4="","",G16*$C$3/Common_Shares*Exchange_Rate)</f>
        <v>0.10934451158738975</v>
      </c>
      <c r="H124" s="177">
        <f t="shared" si="49"/>
        <v>8.422067538338629E-2</v>
      </c>
      <c r="I124" s="177">
        <f t="shared" si="49"/>
        <v>1.2052531811469478E-2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2.9980391873115474E-2</v>
      </c>
      <c r="D125" s="27"/>
      <c r="E125" s="265"/>
      <c r="F125" s="27"/>
      <c r="G125" s="77">
        <f t="shared" ref="G125" si="50">IF(G$4="","",G124/Market_Price)</f>
        <v>3.9051611281210631E-2</v>
      </c>
      <c r="H125" s="77">
        <f t="shared" ref="H125" si="51">IF(H$4="","",H124/Market_Price)</f>
        <v>3.0078812636923677E-2</v>
      </c>
      <c r="I125" s="77">
        <f t="shared" ref="I125" si="52">IF(I$4="","",I124/Market_Price)</f>
        <v>4.3044756469533853E-3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5.229883274836019E-2</v>
      </c>
      <c r="H126" s="23">
        <f>IF(H$4="","",(Data!D47*$C$3)/(Market_Price*Common_Shares))</f>
        <v>4.6290262070860101E-2</v>
      </c>
      <c r="I126" s="23">
        <f>IF(I$4="","",(Data!E47*$C$3)/(Market_Price*Common_Shares))</f>
        <v>1.7532854951250273E-2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102690.73383271889</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1369209.784436252</v>
      </c>
      <c r="D6" t="str">
        <f>Reporting_currency</f>
        <v>CNY</v>
      </c>
      <c r="E6" s="364" t="s">
        <v>249</v>
      </c>
      <c r="F6" s="364"/>
      <c r="H6" s="120"/>
    </row>
    <row r="7" spans="2:8">
      <c r="B7" s="148" t="s">
        <v>224</v>
      </c>
      <c r="C7" s="338">
        <f>BS!G31</f>
        <v>33999</v>
      </c>
      <c r="D7" t="str">
        <f>Reporting_currency</f>
        <v>CNY</v>
      </c>
      <c r="E7" s="364"/>
      <c r="F7" s="364"/>
      <c r="H7" s="120"/>
    </row>
    <row r="8" spans="2:8">
      <c r="B8" s="148" t="s">
        <v>225</v>
      </c>
      <c r="C8" s="338">
        <f>BS!D66</f>
        <v>1876184.8258076294</v>
      </c>
      <c r="D8" t="str">
        <f>Reporting_currency</f>
        <v>CNY</v>
      </c>
      <c r="E8" s="364"/>
      <c r="F8" s="364"/>
      <c r="H8" s="120"/>
    </row>
    <row r="9" spans="2:8">
      <c r="B9" s="205" t="s">
        <v>190</v>
      </c>
      <c r="C9" s="348">
        <f>BS!H42</f>
        <v>229590.09999999998</v>
      </c>
      <c r="D9" t="str">
        <f>Reporting_currency</f>
        <v>CNY</v>
      </c>
      <c r="E9" s="364"/>
      <c r="F9" s="364"/>
      <c r="H9" s="120"/>
    </row>
    <row r="10" spans="2:8" ht="13.15">
      <c r="B10" s="149" t="s">
        <v>227</v>
      </c>
      <c r="C10" s="347">
        <f>C6-C7+C8+C9</f>
        <v>3440985.7102438812</v>
      </c>
      <c r="D10" t="str">
        <f>Reporting_currency</f>
        <v>CNY</v>
      </c>
      <c r="H10" s="120"/>
    </row>
    <row r="11" spans="2:8" ht="13.15" thickBot="1">
      <c r="B11" s="207" t="s">
        <v>166</v>
      </c>
      <c r="C11" s="208">
        <f>Exchange_Rate</f>
        <v>1.0899407000000001</v>
      </c>
      <c r="D11" t="str">
        <f>Thesis!C15</f>
        <v>CNY/HKD</v>
      </c>
      <c r="H11" s="120"/>
    </row>
    <row r="12" spans="2:8" ht="13.5" thickTop="1">
      <c r="B12" s="149" t="s">
        <v>102</v>
      </c>
      <c r="C12" s="111">
        <f>(C10*scaling_factor)/Common_Shares*Exchange_Rate</f>
        <v>2.8128524286783567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8.5779014792802307E-3</v>
      </c>
      <c r="H16" s="120"/>
    </row>
    <row r="17" spans="2:17" ht="13.25" customHeight="1">
      <c r="B17" s="118" t="s">
        <v>134</v>
      </c>
      <c r="C17" s="162">
        <f>Scenarios!C64</f>
        <v>10</v>
      </c>
      <c r="H17" s="120"/>
    </row>
    <row r="18" spans="2:17" ht="13.25" customHeight="1">
      <c r="B18" s="153" t="s">
        <v>106</v>
      </c>
      <c r="C18" s="140">
        <f>(F52-C7+C8+C9)*Exchange_Rate/Common_Shares*scaling_factor</f>
        <v>2.8423585342875501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103571.60483037094</v>
      </c>
      <c r="D21" s="138">
        <f>IF($C$17&lt;B21,0,DCF!$C$16)</f>
        <v>8.5779014792802307E-3</v>
      </c>
      <c r="E21" s="124">
        <f t="shared" ref="E21:E50" si="0">IF($C$17&lt;B21,0,1/(1+Equity_Cost)^B21)</f>
        <v>0.93023255813953487</v>
      </c>
      <c r="F21" s="125">
        <f t="shared" ref="F21:F51" si="1">C21*E21</f>
        <v>96345.678911972966</v>
      </c>
      <c r="H21" s="120"/>
    </row>
    <row r="22" spans="2:17">
      <c r="B22" s="122">
        <v>2</v>
      </c>
      <c r="C22" s="123">
        <f t="shared" ref="C22:C50" si="2">IF(ROW()-ROW($C$21)&lt;$C$17, $C$21*(1+D22)^(ROW()-ROW($C$21)), 0)</f>
        <v>104460.0318526568</v>
      </c>
      <c r="D22" s="138">
        <f>IF($C$17&lt;B22,0,DCF!$C$16)</f>
        <v>8.5779014792802307E-3</v>
      </c>
      <c r="E22" s="124">
        <f t="shared" si="0"/>
        <v>0.86533261222282321</v>
      </c>
      <c r="F22" s="125">
        <f t="shared" si="1"/>
        <v>90392.672235938822</v>
      </c>
      <c r="H22" s="120"/>
    </row>
    <row r="23" spans="2:17">
      <c r="B23" s="122">
        <v>3</v>
      </c>
      <c r="C23" s="123">
        <f t="shared" si="2"/>
        <v>105356.07971441135</v>
      </c>
      <c r="D23" s="138">
        <f>IF($C$17&lt;B23,0,DCF!$C$16)</f>
        <v>8.5779014792802307E-3</v>
      </c>
      <c r="E23" s="124">
        <f t="shared" si="0"/>
        <v>0.80496056950960304</v>
      </c>
      <c r="F23" s="125">
        <f t="shared" si="1"/>
        <v>84807.489928211697</v>
      </c>
      <c r="G23" s="338"/>
      <c r="H23" s="339"/>
      <c r="I23" s="338"/>
      <c r="J23" s="338"/>
      <c r="K23" s="338"/>
      <c r="L23" s="338"/>
      <c r="M23" s="338"/>
      <c r="N23" s="338"/>
      <c r="O23" s="338"/>
      <c r="P23" s="338"/>
      <c r="Q23" s="338"/>
    </row>
    <row r="24" spans="2:17">
      <c r="B24" s="122">
        <v>4</v>
      </c>
      <c r="C24" s="123">
        <f t="shared" si="2"/>
        <v>106259.81378644475</v>
      </c>
      <c r="D24" s="138">
        <f>IF($C$17&lt;B24,0,DCF!$C$16)</f>
        <v>8.5779014792802307E-3</v>
      </c>
      <c r="E24" s="124">
        <f t="shared" si="0"/>
        <v>0.7488005297763749</v>
      </c>
      <c r="F24" s="125">
        <f t="shared" si="1"/>
        <v>79567.404857228772</v>
      </c>
      <c r="G24" s="338"/>
      <c r="H24" s="339"/>
      <c r="I24" s="338"/>
      <c r="J24" s="338"/>
      <c r="K24" s="338"/>
      <c r="L24" s="338"/>
      <c r="M24" s="338"/>
      <c r="N24" s="338"/>
      <c r="O24" s="338"/>
      <c r="P24" s="338"/>
      <c r="Q24" s="338"/>
    </row>
    <row r="25" spans="2:17">
      <c r="B25" s="122">
        <v>5</v>
      </c>
      <c r="C25" s="123">
        <f t="shared" si="2"/>
        <v>107171.30000031153</v>
      </c>
      <c r="D25" s="138">
        <f>IF($C$17&lt;B25,0,DCF!$C$16)</f>
        <v>8.5779014792802307E-3</v>
      </c>
      <c r="E25" s="124">
        <f t="shared" si="0"/>
        <v>0.69655863235011617</v>
      </c>
      <c r="F25" s="125">
        <f t="shared" si="1"/>
        <v>74651.094155401006</v>
      </c>
      <c r="G25" s="338"/>
      <c r="H25" s="339"/>
      <c r="I25" s="338"/>
      <c r="J25" s="338"/>
      <c r="K25" s="338"/>
      <c r="L25" s="338"/>
      <c r="M25" s="338"/>
      <c r="N25" s="338"/>
      <c r="O25" s="338"/>
      <c r="P25" s="338"/>
      <c r="Q25" s="338"/>
    </row>
    <row r="26" spans="2:17">
      <c r="B26" s="122">
        <v>6</v>
      </c>
      <c r="C26" s="123">
        <f t="shared" si="2"/>
        <v>108090.60485312059</v>
      </c>
      <c r="D26" s="138">
        <f>IF($C$17&lt;B26,0,DCF!$C$16)</f>
        <v>8.5779014792802307E-3</v>
      </c>
      <c r="E26" s="124">
        <f t="shared" si="0"/>
        <v>0.64796151846522443</v>
      </c>
      <c r="F26" s="125">
        <f t="shared" si="1"/>
        <v>70038.552452452568</v>
      </c>
      <c r="H26" s="120"/>
    </row>
    <row r="27" spans="2:17">
      <c r="B27" s="122">
        <v>7</v>
      </c>
      <c r="C27" s="123">
        <f t="shared" si="2"/>
        <v>109017.79541238645</v>
      </c>
      <c r="D27" s="138">
        <f>IF($C$17&lt;B27,0,DCF!$C$16)</f>
        <v>8.5779014792802307E-3</v>
      </c>
      <c r="E27" s="124">
        <f t="shared" si="0"/>
        <v>0.60275490089788319</v>
      </c>
      <c r="F27" s="125">
        <f t="shared" si="1"/>
        <v>65711.010469898698</v>
      </c>
      <c r="H27" s="120"/>
    </row>
    <row r="28" spans="2:17">
      <c r="B28" s="122">
        <v>8</v>
      </c>
      <c r="C28" s="123">
        <f t="shared" si="2"/>
        <v>109952.93932092222</v>
      </c>
      <c r="D28" s="138">
        <f>IF($C$17&lt;B28,0,DCF!$C$16)</f>
        <v>8.5779014792802307E-3</v>
      </c>
      <c r="E28" s="124">
        <f t="shared" si="0"/>
        <v>0.56070223339337966</v>
      </c>
      <c r="F28" s="125">
        <f t="shared" si="1"/>
        <v>61650.85864540784</v>
      </c>
      <c r="H28" s="120"/>
    </row>
    <row r="29" spans="2:17">
      <c r="B29" s="122">
        <v>9</v>
      </c>
      <c r="C29" s="123">
        <f t="shared" si="2"/>
        <v>110896.10480177436</v>
      </c>
      <c r="D29" s="138">
        <f>IF($C$17&lt;B29,0,DCF!$C$16)</f>
        <v>8.5779014792802307E-3</v>
      </c>
      <c r="E29" s="124">
        <f t="shared" si="0"/>
        <v>0.52158347292407414</v>
      </c>
      <c r="F29" s="125">
        <f t="shared" si="1"/>
        <v>57841.575476261569</v>
      </c>
      <c r="H29" s="120"/>
    </row>
    <row r="30" spans="2:17">
      <c r="B30" s="122">
        <v>10</v>
      </c>
      <c r="C30" s="123">
        <f t="shared" si="2"/>
        <v>111847.36066319991</v>
      </c>
      <c r="D30" s="138">
        <f>IF($C$17&lt;B30,0,DCF!$C$16)</f>
        <v>8.5779014792802307E-3</v>
      </c>
      <c r="E30" s="124">
        <f t="shared" si="0"/>
        <v>0.48519392830146441</v>
      </c>
      <c r="F30" s="125">
        <f t="shared" si="1"/>
        <v>54267.660290328648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1380954.7310716126</v>
      </c>
      <c r="D51" s="139">
        <f>Terminal_Growth</f>
        <v>0</v>
      </c>
      <c r="E51" s="124">
        <f>1/(1+Equity_Cost)^C17</f>
        <v>0.48519392830146441</v>
      </c>
      <c r="F51" s="125">
        <f t="shared" si="1"/>
        <v>670030.850775128</v>
      </c>
      <c r="H51" s="120"/>
    </row>
    <row r="52" spans="1:17">
      <c r="C52" s="114"/>
      <c r="E52" s="127" t="s">
        <v>100</v>
      </c>
      <c r="F52" s="137">
        <f>SUM(F21:F51)</f>
        <v>1405304.8481982306</v>
      </c>
      <c r="H52" s="120"/>
    </row>
    <row r="53" spans="1:17">
      <c r="C53" s="114"/>
      <c r="H53" s="120"/>
    </row>
    <row r="54" spans="1:17" ht="13.15">
      <c r="B54" s="119" t="s">
        <v>129</v>
      </c>
      <c r="C54" s="136"/>
      <c r="D54" s="136"/>
      <c r="E54" s="117"/>
      <c r="F54" s="117"/>
      <c r="H54" s="120"/>
    </row>
    <row r="55" spans="1:17" ht="13.15">
      <c r="A55" s="133">
        <f>F52</f>
        <v>1405304.8481982306</v>
      </c>
      <c r="B55" s="131">
        <f>C78</f>
        <v>-0.1</v>
      </c>
      <c r="C55" s="131">
        <f>C77</f>
        <v>-0.08</v>
      </c>
      <c r="D55" s="131">
        <f>C76</f>
        <v>0.02</v>
      </c>
      <c r="E55" s="131">
        <f>C75</f>
        <v>0.04</v>
      </c>
      <c r="F55" s="131">
        <f>C74</f>
        <v>0.08</v>
      </c>
      <c r="H55" s="120"/>
    </row>
    <row r="56" spans="1:17" ht="13.15">
      <c r="A56" s="143">
        <v>5</v>
      </c>
      <c r="B56" s="123">
        <f t="dataTable" ref="B56:F61" dt2D="1" dtr="1" r1="C16" r2="C17"/>
        <v>1169262.1109654715</v>
      </c>
      <c r="C56" s="123">
        <v>1207131.7862761682</v>
      </c>
      <c r="D56" s="123">
        <v>1412628.1158450281</v>
      </c>
      <c r="E56" s="123">
        <v>1457311.3079843076</v>
      </c>
      <c r="F56" s="123">
        <v>1550696.4115012682</v>
      </c>
      <c r="H56" s="120"/>
    </row>
    <row r="57" spans="1:17" ht="13.15">
      <c r="A57" s="143">
        <v>10</v>
      </c>
      <c r="B57" s="123">
        <v>1036676.603335763</v>
      </c>
      <c r="C57" s="123">
        <v>1092241.0115755927</v>
      </c>
      <c r="D57" s="123">
        <v>1455682.9627611442</v>
      </c>
      <c r="E57" s="123">
        <v>1550768.0547137214</v>
      </c>
      <c r="F57" s="123">
        <v>1771025.9032164577</v>
      </c>
      <c r="H57" s="120"/>
    </row>
    <row r="58" spans="1:17" ht="13.15">
      <c r="A58" s="143">
        <v>15</v>
      </c>
      <c r="B58" s="123">
        <v>907846.44253242225</v>
      </c>
      <c r="C58" s="341">
        <v>976269.52200705046</v>
      </c>
      <c r="D58" s="123">
        <v>1510195.4409550496</v>
      </c>
      <c r="E58" s="123">
        <v>1675390.9872351666</v>
      </c>
      <c r="F58" s="123">
        <v>2098705.9368148451</v>
      </c>
      <c r="G58" s="338"/>
      <c r="H58" s="339"/>
      <c r="I58" s="338"/>
      <c r="J58" s="338"/>
      <c r="K58" s="338"/>
      <c r="L58" s="338"/>
      <c r="M58" s="338"/>
      <c r="N58" s="338"/>
      <c r="O58" s="338"/>
      <c r="P58" s="338"/>
      <c r="Q58" s="338"/>
    </row>
    <row r="59" spans="1:17" ht="13.15">
      <c r="A59" s="144">
        <v>20</v>
      </c>
      <c r="B59" s="123">
        <v>803105.4663340773</v>
      </c>
      <c r="C59" s="341">
        <v>878987.39574125828</v>
      </c>
      <c r="D59" s="123">
        <v>1567025.588818199</v>
      </c>
      <c r="E59" s="123">
        <v>1812643.6782307595</v>
      </c>
      <c r="F59" s="123">
        <v>2505251.1197271994</v>
      </c>
      <c r="G59" s="338"/>
      <c r="H59" s="339"/>
      <c r="I59" s="338"/>
      <c r="J59" s="338"/>
      <c r="K59" s="338"/>
      <c r="L59" s="338"/>
      <c r="M59" s="338"/>
      <c r="N59" s="338"/>
      <c r="O59" s="338"/>
      <c r="P59" s="338"/>
      <c r="Q59" s="338"/>
    </row>
    <row r="60" spans="1:17" ht="13.15">
      <c r="A60" s="144">
        <v>25</v>
      </c>
      <c r="B60" s="123">
        <v>723976.2489954381</v>
      </c>
      <c r="C60" s="341">
        <v>803649.18005738046</v>
      </c>
      <c r="D60" s="123">
        <v>1621114.7732792508</v>
      </c>
      <c r="E60" s="123">
        <v>1950999.2867613665</v>
      </c>
      <c r="F60" s="123">
        <v>2970915.692354477</v>
      </c>
      <c r="G60" s="338"/>
      <c r="H60" s="339"/>
      <c r="I60" s="338"/>
      <c r="J60" s="338"/>
      <c r="K60" s="338"/>
      <c r="L60" s="338"/>
      <c r="M60" s="338"/>
      <c r="N60" s="338"/>
      <c r="O60" s="338"/>
      <c r="P60" s="338"/>
      <c r="Q60" s="338"/>
    </row>
    <row r="61" spans="1:17" ht="13.15">
      <c r="A61" s="144">
        <v>30</v>
      </c>
      <c r="B61" s="123">
        <v>666319.91565438733</v>
      </c>
      <c r="C61" s="341">
        <v>747693.86244433583</v>
      </c>
      <c r="D61" s="123">
        <v>1669945.1987731282</v>
      </c>
      <c r="E61" s="123">
        <v>2083602.3260592374</v>
      </c>
      <c r="F61" s="123">
        <v>3482043.8149924357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2.8128524286783567</v>
      </c>
      <c r="C65" s="124">
        <f>C12</f>
        <v>2.8128524286783567</v>
      </c>
      <c r="D65" s="124">
        <f>C12</f>
        <v>2.8128524286783567</v>
      </c>
      <c r="E65" s="141">
        <f>C12</f>
        <v>2.8128524286783567</v>
      </c>
      <c r="F65" s="124">
        <f>C12</f>
        <v>2.8128524286783567</v>
      </c>
      <c r="H65" s="120"/>
    </row>
    <row r="66" spans="1:8" ht="13.15">
      <c r="A66" s="143">
        <f t="shared" ref="A66:A71" si="3">A56</f>
        <v>5</v>
      </c>
      <c r="B66" s="124">
        <f t="shared" ref="B66:F71" si="4">(B56-$C$7+$C$8+$C$9)/Common_Shares*$C$3*Exchange_Rate</f>
        <v>2.6494041187198101</v>
      </c>
      <c r="C66" s="124">
        <f t="shared" si="4"/>
        <v>2.6803608901628984</v>
      </c>
      <c r="D66" s="124">
        <f t="shared" si="4"/>
        <v>2.8483449791381728</v>
      </c>
      <c r="E66" s="124">
        <f t="shared" si="4"/>
        <v>2.8848714968612486</v>
      </c>
      <c r="F66" s="124">
        <f t="shared" si="4"/>
        <v>2.9612096561416155</v>
      </c>
      <c r="H66" s="120"/>
    </row>
    <row r="67" spans="1:8" ht="13.15">
      <c r="A67" s="143">
        <f t="shared" si="3"/>
        <v>10</v>
      </c>
      <c r="B67" s="124">
        <f t="shared" si="4"/>
        <v>2.5410213765208178</v>
      </c>
      <c r="C67" s="124">
        <f t="shared" si="4"/>
        <v>2.5864428033521438</v>
      </c>
      <c r="D67" s="124">
        <f t="shared" si="4"/>
        <v>2.8835403972283533</v>
      </c>
      <c r="E67" s="124">
        <f t="shared" si="4"/>
        <v>2.961268221274143</v>
      </c>
      <c r="F67" s="124">
        <f t="shared" si="4"/>
        <v>3.1413191939509471</v>
      </c>
      <c r="H67" s="120"/>
    </row>
    <row r="68" spans="1:8" ht="13.15">
      <c r="A68" s="143">
        <f t="shared" si="3"/>
        <v>15</v>
      </c>
      <c r="B68" s="124">
        <f t="shared" si="4"/>
        <v>2.4357084629496026</v>
      </c>
      <c r="C68" s="124">
        <f t="shared" si="4"/>
        <v>2.49164128031205</v>
      </c>
      <c r="D68" s="124">
        <f t="shared" si="4"/>
        <v>2.9281019181392138</v>
      </c>
      <c r="E68" s="124">
        <f t="shared" si="4"/>
        <v>3.0631419132712896</v>
      </c>
      <c r="F68" s="124">
        <f t="shared" si="4"/>
        <v>3.4091830143651567</v>
      </c>
      <c r="H68" s="120"/>
    </row>
    <row r="69" spans="1:8" ht="13.15">
      <c r="A69" s="144">
        <f t="shared" si="3"/>
        <v>20</v>
      </c>
      <c r="B69" s="124">
        <f t="shared" si="4"/>
        <v>2.3500873839650067</v>
      </c>
      <c r="C69" s="124">
        <f t="shared" si="4"/>
        <v>2.4121174786528052</v>
      </c>
      <c r="D69" s="124">
        <f t="shared" si="4"/>
        <v>2.9745580306894981</v>
      </c>
      <c r="E69" s="124">
        <f t="shared" si="4"/>
        <v>3.1753398698220097</v>
      </c>
      <c r="F69" s="124">
        <f t="shared" si="4"/>
        <v>3.7415155787574257</v>
      </c>
      <c r="H69" s="120"/>
    </row>
    <row r="70" spans="1:8" ht="13.15">
      <c r="A70" s="144">
        <f t="shared" si="3"/>
        <v>25</v>
      </c>
      <c r="B70" s="124">
        <f t="shared" si="4"/>
        <v>2.2854027761481865</v>
      </c>
      <c r="C70" s="124">
        <f t="shared" si="4"/>
        <v>2.3505318456965818</v>
      </c>
      <c r="D70" s="124">
        <f t="shared" si="4"/>
        <v>3.0187735278429924</v>
      </c>
      <c r="E70" s="124">
        <f t="shared" si="4"/>
        <v>3.2884394122926492</v>
      </c>
      <c r="F70" s="124">
        <f t="shared" si="4"/>
        <v>4.1221756088658532</v>
      </c>
    </row>
    <row r="71" spans="1:8" ht="13.15">
      <c r="A71" s="144">
        <f t="shared" si="3"/>
        <v>30</v>
      </c>
      <c r="B71" s="124">
        <f t="shared" si="4"/>
        <v>2.2382712937987379</v>
      </c>
      <c r="C71" s="124">
        <f t="shared" si="4"/>
        <v>2.3047908678782907</v>
      </c>
      <c r="D71" s="124">
        <f t="shared" si="4"/>
        <v>3.0586902239614759</v>
      </c>
      <c r="E71" s="124">
        <f t="shared" si="4"/>
        <v>3.3968364858488513</v>
      </c>
      <c r="F71" s="124">
        <f t="shared" si="4"/>
        <v>4.5400000644710738</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3.4091830143651567</v>
      </c>
      <c r="F74" s="142">
        <f>Scenarios!C58</f>
        <v>0.05</v>
      </c>
    </row>
    <row r="75" spans="1:8">
      <c r="B75" s="127" t="str">
        <f>Scenarios!B36</f>
        <v>Optimistic</v>
      </c>
      <c r="C75" s="142">
        <f>Scenarios!C38</f>
        <v>0.04</v>
      </c>
      <c r="D75" s="145">
        <f>Scenarios!C37</f>
        <v>10</v>
      </c>
      <c r="E75" s="135">
        <f>INDEX(B$65:F$71, MATCH(D75, A$65:A$71, 0), MATCH(C75, B$64:F$64, 0))</f>
        <v>2.961268221274143</v>
      </c>
      <c r="F75" s="142">
        <f>Scenarios!C40*(1-F$74-F$78)</f>
        <v>0.17</v>
      </c>
      <c r="H75" s="120"/>
    </row>
    <row r="76" spans="1:8">
      <c r="B76" s="127" t="str">
        <f>Scenarios!B24</f>
        <v>Base</v>
      </c>
      <c r="C76" s="142">
        <f>Scenarios!C26</f>
        <v>0.02</v>
      </c>
      <c r="D76" s="145">
        <f>Scenarios!C25</f>
        <v>10</v>
      </c>
      <c r="E76" s="135">
        <f>INDEX(B$65:F$71, MATCH(D76, A$65:A$71, 0), MATCH(C76, B$64:F$64, 0))</f>
        <v>2.8835403972283533</v>
      </c>
      <c r="F76" s="142">
        <f>Scenarios!C28*(1-F$74-F$78)</f>
        <v>0.51</v>
      </c>
      <c r="H76" s="120"/>
    </row>
    <row r="77" spans="1:8">
      <c r="B77" s="127" t="str">
        <f>Scenarios!B30</f>
        <v>Pessimistic</v>
      </c>
      <c r="C77" s="142">
        <f>Scenarios!C32</f>
        <v>-0.08</v>
      </c>
      <c r="D77" s="145">
        <f>Scenarios!C31</f>
        <v>10</v>
      </c>
      <c r="E77" s="135">
        <f>INDEX(B$65:F$71, MATCH(D77, A$65:A$71, 0), MATCH(C77, B$64:F$64, 0))</f>
        <v>2.5864428033521438</v>
      </c>
      <c r="F77" s="142">
        <f>Scenarios!C34*(1-F$74-F$78)</f>
        <v>0.17</v>
      </c>
      <c r="H77" s="120"/>
    </row>
    <row r="78" spans="1:8">
      <c r="B78" s="127" t="str">
        <f>Scenarios!B48</f>
        <v>Devil's advocate</v>
      </c>
      <c r="C78" s="142">
        <f>Scenarios!C50</f>
        <v>-0.1</v>
      </c>
      <c r="D78" s="145">
        <f>Scenarios!C49</f>
        <v>15</v>
      </c>
      <c r="E78" s="135">
        <f>INDEX(B$65:F$71, MATCH(D78, A$65:A$71, 0), MATCH(C78, B$64:F$64, 0))</f>
        <v>2.4357084629496026</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149243.61206072953</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1989914.8274763939</v>
      </c>
      <c r="D6" t="str">
        <f>Reporting_currency</f>
        <v>CNY</v>
      </c>
      <c r="E6" s="364"/>
      <c r="F6" s="364"/>
      <c r="H6" s="120"/>
    </row>
    <row r="7" spans="2:8" ht="13.15">
      <c r="B7" s="149" t="s">
        <v>444</v>
      </c>
      <c r="C7" s="111">
        <f>(C6*scaling_factor)/Common_Shares*Exchange_Rate</f>
        <v>1.6266666666666669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8.5779014792802307E-3</v>
      </c>
      <c r="H11" s="120"/>
    </row>
    <row r="12" spans="2:8" ht="13.25" customHeight="1">
      <c r="B12" s="118" t="s">
        <v>134</v>
      </c>
      <c r="C12" s="162">
        <f>Scenarios!C64</f>
        <v>10</v>
      </c>
      <c r="H12" s="120"/>
    </row>
    <row r="13" spans="2:8" ht="13.25" customHeight="1">
      <c r="B13" s="153" t="s">
        <v>106</v>
      </c>
      <c r="C13" s="140">
        <f>F47/Common_Shares*scaling_factor</f>
        <v>1.5317794815592829</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150523.80906139838</v>
      </c>
      <c r="D16" s="138">
        <f>IF($C$12&lt;B16,0,DDM!$C$11)</f>
        <v>8.5779014792802307E-3</v>
      </c>
      <c r="E16" s="124">
        <f t="shared" ref="E16:E45" si="0">IF($C$12&lt;B16,0,1/(1+Equity_Cost)^B16)</f>
        <v>0.93023255813953487</v>
      </c>
      <c r="F16" s="125">
        <f t="shared" ref="F16:F46" si="1">C16*E16</f>
        <v>140022.14796409151</v>
      </c>
      <c r="H16" s="120"/>
    </row>
    <row r="17" spans="2:8">
      <c r="B17" s="122">
        <v>2</v>
      </c>
      <c r="C17" s="123">
        <f t="shared" ref="C17:C45" si="2">IF(ROW()-ROW($C$16)&lt;$C$12, $C$16*(1+D17)^(ROW()-ROW($C$16)), 0)</f>
        <v>151814.98746581303</v>
      </c>
      <c r="D17" s="138">
        <f>IF($C$12&lt;B17,0,DDM!$C$11)</f>
        <v>8.5779014792802307E-3</v>
      </c>
      <c r="E17" s="124">
        <f t="shared" si="0"/>
        <v>0.86533261222282321</v>
      </c>
      <c r="F17" s="125">
        <f t="shared" si="1"/>
        <v>131370.45967836716</v>
      </c>
      <c r="H17" s="120"/>
    </row>
    <row r="18" spans="2:8">
      <c r="B18" s="122">
        <v>3</v>
      </c>
      <c r="C18" s="123">
        <f t="shared" si="2"/>
        <v>153117.24147137292</v>
      </c>
      <c r="D18" s="138">
        <f>IF($C$12&lt;B18,0,DDM!$C$11)</f>
        <v>8.5779014792802307E-3</v>
      </c>
      <c r="E18" s="124">
        <f t="shared" si="0"/>
        <v>0.80496056950960304</v>
      </c>
      <c r="F18" s="125">
        <f t="shared" si="1"/>
        <v>123253.34189653576</v>
      </c>
      <c r="H18" s="120"/>
    </row>
    <row r="19" spans="2:8">
      <c r="B19" s="122">
        <v>4</v>
      </c>
      <c r="C19" s="123">
        <f t="shared" si="2"/>
        <v>154430.6660834935</v>
      </c>
      <c r="D19" s="138">
        <f>IF($C$12&lt;B19,0,DDM!$C$11)</f>
        <v>8.5779014792802307E-3</v>
      </c>
      <c r="E19" s="124">
        <f t="shared" si="0"/>
        <v>0.7488005297763749</v>
      </c>
      <c r="F19" s="125">
        <f t="shared" si="1"/>
        <v>115637.76457703838</v>
      </c>
      <c r="H19" s="120"/>
    </row>
    <row r="20" spans="2:8">
      <c r="B20" s="122">
        <v>5</v>
      </c>
      <c r="C20" s="123">
        <f t="shared" si="2"/>
        <v>155755.35712253733</v>
      </c>
      <c r="D20" s="138">
        <f>IF($C$12&lt;B20,0,DDM!$C$11)</f>
        <v>8.5779014792802307E-3</v>
      </c>
      <c r="E20" s="124">
        <f t="shared" si="0"/>
        <v>0.69655863235011617</v>
      </c>
      <c r="F20" s="125">
        <f t="shared" si="1"/>
        <v>108492.73853847853</v>
      </c>
      <c r="H20" s="120"/>
    </row>
    <row r="21" spans="2:8">
      <c r="B21" s="122">
        <v>6</v>
      </c>
      <c r="C21" s="123">
        <f t="shared" si="2"/>
        <v>157091.41123080457</v>
      </c>
      <c r="D21" s="138">
        <f>IF($C$12&lt;B21,0,DDM!$C$11)</f>
        <v>8.5779014792802307E-3</v>
      </c>
      <c r="E21" s="124">
        <f t="shared" si="0"/>
        <v>0.64796151846522443</v>
      </c>
      <c r="F21" s="125">
        <f t="shared" si="1"/>
        <v>101789.18935895714</v>
      </c>
      <c r="H21" s="120"/>
    </row>
    <row r="22" spans="2:8">
      <c r="B22" s="122">
        <v>7</v>
      </c>
      <c r="C22" s="123">
        <f t="shared" si="2"/>
        <v>158438.92587958346</v>
      </c>
      <c r="D22" s="138">
        <f>IF($C$12&lt;B22,0,DDM!$C$11)</f>
        <v>8.5779014792802307E-3</v>
      </c>
      <c r="E22" s="124">
        <f t="shared" si="0"/>
        <v>0.60275490089788319</v>
      </c>
      <c r="F22" s="125">
        <f t="shared" si="1"/>
        <v>95499.839066915389</v>
      </c>
      <c r="H22" s="120"/>
    </row>
    <row r="23" spans="2:8">
      <c r="B23" s="122">
        <v>8</v>
      </c>
      <c r="C23" s="123">
        <f t="shared" si="2"/>
        <v>159797.99937626149</v>
      </c>
      <c r="D23" s="138">
        <f>IF($C$12&lt;B23,0,DDM!$C$11)</f>
        <v>8.5779014792802307E-3</v>
      </c>
      <c r="E23" s="124">
        <f t="shared" si="0"/>
        <v>0.56070223339337966</v>
      </c>
      <c r="F23" s="125">
        <f t="shared" si="1"/>
        <v>89599.095142063714</v>
      </c>
      <c r="H23" s="120"/>
    </row>
    <row r="24" spans="2:8">
      <c r="B24" s="122">
        <v>9</v>
      </c>
      <c r="C24" s="123">
        <f t="shared" si="2"/>
        <v>161168.73087149713</v>
      </c>
      <c r="D24" s="138">
        <f>IF($C$12&lt;B24,0,DDM!$C$11)</f>
        <v>8.5779014792802307E-3</v>
      </c>
      <c r="E24" s="124">
        <f t="shared" si="0"/>
        <v>0.52158347292407414</v>
      </c>
      <c r="F24" s="125">
        <f t="shared" si="1"/>
        <v>84062.946374720908</v>
      </c>
      <c r="H24" s="120"/>
    </row>
    <row r="25" spans="2:8">
      <c r="B25" s="122">
        <v>10</v>
      </c>
      <c r="C25" s="123">
        <f t="shared" si="2"/>
        <v>162551.22036645349</v>
      </c>
      <c r="D25" s="138">
        <f>IF($C$12&lt;B25,0,DDM!$C$11)</f>
        <v>8.5779014792802307E-3</v>
      </c>
      <c r="E25" s="124">
        <f t="shared" si="0"/>
        <v>0.48519392830146441</v>
      </c>
      <c r="F25" s="125">
        <f t="shared" si="1"/>
        <v>78868.86515979658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2006984.1208186452</v>
      </c>
      <c r="D46" s="139">
        <f>Terminal_Growth</f>
        <v>0</v>
      </c>
      <c r="E46" s="124">
        <f>1/(1+Equity_Cost)^C12</f>
        <v>0.48519392830146441</v>
      </c>
      <c r="F46" s="125">
        <f t="shared" si="1"/>
        <v>973776.50961865927</v>
      </c>
      <c r="H46" s="120"/>
    </row>
    <row r="47" spans="2:8">
      <c r="C47" s="114"/>
      <c r="E47" s="127" t="s">
        <v>100</v>
      </c>
      <c r="F47" s="137">
        <f>SUM(F16:F46)</f>
        <v>2042372.8973756242</v>
      </c>
      <c r="H47" s="120"/>
    </row>
    <row r="48" spans="2:8">
      <c r="C48" s="114"/>
      <c r="H48" s="120"/>
    </row>
    <row r="49" spans="1:8" ht="13.15">
      <c r="B49" s="119" t="s">
        <v>129</v>
      </c>
      <c r="C49" s="136"/>
      <c r="D49" s="136"/>
      <c r="E49" s="117"/>
      <c r="F49" s="117"/>
      <c r="H49" s="120"/>
    </row>
    <row r="50" spans="1:8" ht="13.15">
      <c r="A50" s="133">
        <f>F47</f>
        <v>2042372.8973756242</v>
      </c>
      <c r="B50" s="131">
        <f>C73</f>
        <v>-0.1</v>
      </c>
      <c r="C50" s="131">
        <f>C72</f>
        <v>-0.08</v>
      </c>
      <c r="D50" s="131">
        <f>C71</f>
        <v>0.02</v>
      </c>
      <c r="E50" s="131">
        <f>C70</f>
        <v>0.04</v>
      </c>
      <c r="F50" s="131">
        <f>C69</f>
        <v>0.08</v>
      </c>
      <c r="H50" s="120"/>
    </row>
    <row r="51" spans="1:8" ht="13.15">
      <c r="A51" s="143">
        <v>5</v>
      </c>
      <c r="B51" s="123">
        <f t="dataTable" ref="B51:F56" dt2D="1" dtr="1" r1="C11" r2="C12"/>
        <v>1699324.7041208746</v>
      </c>
      <c r="C51" s="123">
        <v>1754361.8717405167</v>
      </c>
      <c r="D51" s="123">
        <v>2053016.0282103489</v>
      </c>
      <c r="E51" s="123">
        <v>2117955.49007195</v>
      </c>
      <c r="F51" s="123">
        <v>2253674.9424642143</v>
      </c>
      <c r="H51" s="120"/>
    </row>
    <row r="52" spans="1:8" ht="13.15">
      <c r="A52" s="143">
        <v>10</v>
      </c>
      <c r="B52" s="123">
        <v>1506634.094880545</v>
      </c>
      <c r="C52" s="123">
        <v>1587387.5638472552</v>
      </c>
      <c r="D52" s="123">
        <v>2115588.9657155988</v>
      </c>
      <c r="E52" s="123">
        <v>2253779.0637554647</v>
      </c>
      <c r="F52" s="123">
        <v>2573886.5911670546</v>
      </c>
      <c r="H52" s="120"/>
    </row>
    <row r="53" spans="1:8" ht="13.15">
      <c r="A53" s="143">
        <v>15</v>
      </c>
      <c r="B53" s="123">
        <v>1319401.2470563618</v>
      </c>
      <c r="C53" s="123">
        <v>1418842.619690299</v>
      </c>
      <c r="D53" s="123">
        <v>2194813.6322886604</v>
      </c>
      <c r="E53" s="123">
        <v>2434897.4169011218</v>
      </c>
      <c r="F53" s="123">
        <v>3050114.0947514428</v>
      </c>
      <c r="H53" s="120"/>
    </row>
    <row r="54" spans="1:8" ht="13.15">
      <c r="A54" s="144">
        <v>20</v>
      </c>
      <c r="B54" s="123">
        <v>1167177.9545042608</v>
      </c>
      <c r="C54" s="123">
        <v>1277459.5038922804</v>
      </c>
      <c r="D54" s="123">
        <v>2277406.6397050647</v>
      </c>
      <c r="E54" s="123">
        <v>2634370.9877357171</v>
      </c>
      <c r="F54" s="123">
        <v>3640958.7532633473</v>
      </c>
      <c r="H54" s="120"/>
    </row>
    <row r="55" spans="1:8" ht="13.15">
      <c r="A55" s="144">
        <v>25</v>
      </c>
      <c r="B55" s="123">
        <v>1052177.0213685164</v>
      </c>
      <c r="C55" s="123">
        <v>1167968.1504349366</v>
      </c>
      <c r="D55" s="123">
        <v>2356016.1204351983</v>
      </c>
      <c r="E55" s="123">
        <v>2835447.4626551033</v>
      </c>
      <c r="F55" s="123">
        <v>4317723.4450107142</v>
      </c>
      <c r="H55" s="120"/>
    </row>
    <row r="56" spans="1:8" ht="13.15">
      <c r="A56" s="144">
        <v>30</v>
      </c>
      <c r="B56" s="123">
        <v>968383.29310464964</v>
      </c>
      <c r="C56" s="123">
        <v>1086646.5608144</v>
      </c>
      <c r="D56" s="123">
        <v>2426982.8844963061</v>
      </c>
      <c r="E56" s="123">
        <v>3028163.5512097222</v>
      </c>
      <c r="F56" s="123">
        <v>5060561.7167925797</v>
      </c>
      <c r="H56" s="120"/>
    </row>
    <row r="57" spans="1:8">
      <c r="C57" s="114"/>
      <c r="D57" s="114"/>
      <c r="E57" s="114"/>
      <c r="F57" s="114"/>
      <c r="H57" s="120"/>
    </row>
    <row r="58" spans="1:8" ht="13.15">
      <c r="B58" s="119" t="s">
        <v>130</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1.6266666666666669</v>
      </c>
      <c r="C60" s="124">
        <f>C7</f>
        <v>1.6266666666666669</v>
      </c>
      <c r="D60" s="124">
        <f>C7</f>
        <v>1.6266666666666669</v>
      </c>
      <c r="E60" s="141">
        <f>C7</f>
        <v>1.6266666666666669</v>
      </c>
      <c r="F60" s="124">
        <f>C7</f>
        <v>1.6266666666666669</v>
      </c>
      <c r="H60" s="120"/>
    </row>
    <row r="61" spans="1:8" ht="13.15">
      <c r="A61" s="143">
        <f t="shared" ref="A61:A66" si="3">A51</f>
        <v>5</v>
      </c>
      <c r="B61" s="124">
        <f t="shared" ref="B61:F66" si="4">B51/Common_Shares*$C$3*Exchange_Rate</f>
        <v>1.3891221945123249</v>
      </c>
      <c r="C61" s="124">
        <f t="shared" si="4"/>
        <v>1.4341126256395487</v>
      </c>
      <c r="D61" s="124">
        <f t="shared" si="4"/>
        <v>1.6782490853929699</v>
      </c>
      <c r="E61" s="124">
        <f t="shared" si="4"/>
        <v>1.7313342006466232</v>
      </c>
      <c r="F61" s="124">
        <f t="shared" si="4"/>
        <v>1.8422788029865789</v>
      </c>
      <c r="H61" s="120"/>
    </row>
    <row r="62" spans="1:8" ht="13.15">
      <c r="A62" s="143">
        <f t="shared" si="3"/>
        <v>10</v>
      </c>
      <c r="B62" s="124">
        <f t="shared" si="4"/>
        <v>1.2316062110626995</v>
      </c>
      <c r="C62" s="124">
        <f t="shared" si="4"/>
        <v>1.2976185721809077</v>
      </c>
      <c r="D62" s="124">
        <f t="shared" si="4"/>
        <v>1.729399672478293</v>
      </c>
      <c r="E62" s="124">
        <f t="shared" si="4"/>
        <v>1.8423639175007425</v>
      </c>
      <c r="F62" s="124">
        <f t="shared" si="4"/>
        <v>2.104037551668231</v>
      </c>
      <c r="H62" s="120"/>
    </row>
    <row r="63" spans="1:8" ht="13.15">
      <c r="A63" s="143">
        <f t="shared" si="3"/>
        <v>15</v>
      </c>
      <c r="B63" s="124">
        <f t="shared" si="4"/>
        <v>1.0785517042791499</v>
      </c>
      <c r="C63" s="124">
        <f t="shared" si="4"/>
        <v>1.1598405935912348</v>
      </c>
      <c r="D63" s="124">
        <f t="shared" si="4"/>
        <v>1.7941623057893956</v>
      </c>
      <c r="E63" s="124">
        <f t="shared" si="4"/>
        <v>1.9904200974515385</v>
      </c>
      <c r="F63" s="124">
        <f t="shared" si="4"/>
        <v>2.4933323069684024</v>
      </c>
      <c r="H63" s="120"/>
    </row>
    <row r="64" spans="1:8" ht="13.15">
      <c r="A64" s="144">
        <f t="shared" si="3"/>
        <v>20</v>
      </c>
      <c r="B64" s="124">
        <f t="shared" si="4"/>
        <v>0.95411594830321322</v>
      </c>
      <c r="C64" s="124">
        <f t="shared" si="4"/>
        <v>1.0442661988872288</v>
      </c>
      <c r="D64" s="124">
        <f t="shared" si="4"/>
        <v>1.8616784075887887</v>
      </c>
      <c r="E64" s="124">
        <f t="shared" si="4"/>
        <v>2.1534808496391635</v>
      </c>
      <c r="F64" s="124">
        <f t="shared" si="4"/>
        <v>2.9763214771120503</v>
      </c>
      <c r="H64" s="120"/>
    </row>
    <row r="65" spans="1:8" ht="13.15">
      <c r="A65" s="144">
        <f t="shared" si="3"/>
        <v>25</v>
      </c>
      <c r="B65" s="124">
        <f t="shared" si="4"/>
        <v>0.86010781188226038</v>
      </c>
      <c r="C65" s="124">
        <f t="shared" si="4"/>
        <v>0.95476189825183289</v>
      </c>
      <c r="D65" s="124">
        <f t="shared" si="4"/>
        <v>1.9259381538965492</v>
      </c>
      <c r="E65" s="124">
        <f t="shared" si="4"/>
        <v>2.3178519044631574</v>
      </c>
      <c r="F65" s="124">
        <f t="shared" si="4"/>
        <v>3.5295464443527367</v>
      </c>
    </row>
    <row r="66" spans="1:8" ht="13.15">
      <c r="A66" s="144">
        <f t="shared" si="3"/>
        <v>30</v>
      </c>
      <c r="B66" s="124">
        <f t="shared" si="4"/>
        <v>0.79161017431481862</v>
      </c>
      <c r="C66" s="124">
        <f t="shared" si="4"/>
        <v>0.88828512382433933</v>
      </c>
      <c r="D66" s="124">
        <f t="shared" si="4"/>
        <v>1.9839503200181525</v>
      </c>
      <c r="E66" s="124">
        <f t="shared" si="4"/>
        <v>2.4753887161164188</v>
      </c>
      <c r="F66" s="124">
        <f t="shared" si="4"/>
        <v>4.1367836178976276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2.4933323069684024</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-2.8</v>
      </c>
    </row>
    <row r="4" spans="2:9">
      <c r="B4" s="152" t="s">
        <v>146</v>
      </c>
      <c r="C4" s="120">
        <v>2</v>
      </c>
      <c r="D4" s="120"/>
      <c r="E4" s="155" t="s">
        <v>150</v>
      </c>
      <c r="F4" s="155"/>
      <c r="H4" s="247">
        <v>1</v>
      </c>
      <c r="I4" s="124">
        <f t="shared" ref="I4:I13" si="0">IF(ROW()-3 &lt; $C$76, $C$77, IF(ROW()-3 = $C$76, $C$77 + $C$60, ""))</f>
        <v>0.11193269505396027</v>
      </c>
    </row>
    <row r="5" spans="2:9">
      <c r="H5" s="247">
        <v>2</v>
      </c>
      <c r="I5" s="124">
        <f t="shared" si="0"/>
        <v>0.11193269505396027</v>
      </c>
    </row>
    <row r="6" spans="2:9" ht="13.15">
      <c r="B6" s="159" t="s">
        <v>95</v>
      </c>
      <c r="C6" s="107">
        <f>DCF!C3</f>
        <v>1000</v>
      </c>
      <c r="E6" s="100" t="s">
        <v>279</v>
      </c>
      <c r="F6" s="100"/>
      <c r="H6" s="247">
        <v>3</v>
      </c>
      <c r="I6" s="124">
        <f t="shared" si="0"/>
        <v>2.9396791688401072</v>
      </c>
    </row>
    <row r="7" spans="2:9" ht="12.75" customHeight="1">
      <c r="B7" s="100" t="s">
        <v>275</v>
      </c>
      <c r="C7" s="338">
        <f>Normalized_FCF!G8</f>
        <v>157888</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6"/>
      <c r="H7" s="247">
        <v>4</v>
      </c>
      <c r="I7" s="124" t="str">
        <f t="shared" si="0"/>
        <v/>
      </c>
    </row>
    <row r="8" spans="2:9">
      <c r="B8" s="100" t="s">
        <v>66</v>
      </c>
      <c r="C8" s="338">
        <f>Normalized_FCF!G19</f>
        <v>133762.04810097002</v>
      </c>
      <c r="D8" t="str">
        <f>Reporting_currency</f>
        <v>CNY</v>
      </c>
      <c r="E8" s="366"/>
      <c r="F8" s="366"/>
      <c r="H8" s="247">
        <v>5</v>
      </c>
      <c r="I8" s="124" t="str">
        <f t="shared" si="0"/>
        <v/>
      </c>
    </row>
    <row r="9" spans="2:9">
      <c r="B9" s="100" t="s">
        <v>57</v>
      </c>
      <c r="C9" s="338">
        <f>Normalized_FCF!C19</f>
        <v>102690.73383271889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0.12167914390403989</v>
      </c>
      <c r="D12" s="158"/>
      <c r="E12" s="366"/>
      <c r="F12" s="366"/>
      <c r="H12" s="247">
        <v>9</v>
      </c>
      <c r="I12" s="124" t="str">
        <f t="shared" si="0"/>
        <v/>
      </c>
    </row>
    <row r="13" spans="2:9">
      <c r="B13" s="148" t="s">
        <v>152</v>
      </c>
      <c r="C13" s="158">
        <f ca="1">(Normalized_FCF!G8/OFFSET(Normalized_FCF!G8, 0, $C$4))^(1/$C$4) - 1</f>
        <v>7.4870016543118432</v>
      </c>
      <c r="E13" s="366"/>
      <c r="F13" s="366"/>
      <c r="H13" s="247">
        <v>10</v>
      </c>
      <c r="I13" s="124" t="str">
        <f t="shared" si="0"/>
        <v/>
      </c>
    </row>
    <row r="14" spans="2:9">
      <c r="B14" s="100" t="s">
        <v>66</v>
      </c>
      <c r="C14" s="158">
        <f ca="1">(Normalized_FCF!G19/OFFSET(Normalized_FCF!G19, 0, $C$4))^(1/$C$4) - 1</f>
        <v>2.0120304033425946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2.8</v>
      </c>
      <c r="D21" t="str">
        <f>Market_currency</f>
        <v>HKD</v>
      </c>
      <c r="E21" s="367"/>
      <c r="F21" s="367"/>
    </row>
    <row r="22" spans="2:6">
      <c r="B22" s="100" t="s">
        <v>278</v>
      </c>
      <c r="C22" s="160">
        <f>IF(valuation_method="DCF",DCF!C12,DDM!C7)</f>
        <v>2.8128524286783567</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2.8835403972283533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-0.08</v>
      </c>
      <c r="D32" s="164"/>
      <c r="E32" s="365"/>
      <c r="F32" s="365"/>
    </row>
    <row r="33" spans="2:6">
      <c r="B33" s="100" t="s">
        <v>113</v>
      </c>
      <c r="C33" s="160">
        <f>IF(valuation_method="DCF",DCF!E77,DDM!E72)</f>
        <v>2.5864428033521438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2.961268221274143</v>
      </c>
      <c r="D39" t="str">
        <f>Market_currency</f>
        <v>HKD</v>
      </c>
      <c r="E39" s="365"/>
      <c r="F39" s="365"/>
    </row>
    <row r="40" spans="2:6">
      <c r="B40" s="100" t="s">
        <v>147</v>
      </c>
      <c r="C40" s="167">
        <f>1-C28-C34</f>
        <v>0.2</v>
      </c>
      <c r="D40" s="165"/>
      <c r="E40" s="365"/>
      <c r="F40" s="365"/>
    </row>
    <row r="42" spans="2:6" ht="13.15">
      <c r="B42" s="100" t="s">
        <v>120</v>
      </c>
      <c r="C42" s="154">
        <f>C27*C28+C33*C34+C39*C40</f>
        <v>2.8396664432622694</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2.4357084629496026</v>
      </c>
      <c r="D51" t="str">
        <f>Market_currency</f>
        <v>HKD</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3.4091830143651567</v>
      </c>
      <c r="D57" t="str">
        <f>Market_currency</f>
        <v>HKD</v>
      </c>
      <c r="E57" s="365"/>
      <c r="F57" s="365"/>
    </row>
    <row r="58" spans="2:6">
      <c r="B58" s="100" t="s">
        <v>147</v>
      </c>
      <c r="C58" s="165">
        <v>0.05</v>
      </c>
      <c r="D58" s="165"/>
      <c r="E58" s="365"/>
      <c r="F58" s="365"/>
    </row>
    <row r="60" spans="2:6" ht="13.15">
      <c r="B60" s="100" t="s">
        <v>120</v>
      </c>
      <c r="C60" s="154">
        <f>C51*C52+C57*C58+C42*(1-C52-C58)</f>
        <v>2.8277464737861471</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8.5779014792802307E-3</v>
      </c>
      <c r="D65" s="151"/>
      <c r="E65" s="251" t="s">
        <v>312</v>
      </c>
    </row>
    <row r="66" spans="2:6">
      <c r="B66" s="100" t="s">
        <v>102</v>
      </c>
      <c r="C66" s="160">
        <f>IF(valuation_method="DCF",DCF!C18,DDM!C13)</f>
        <v>2.8423585342875501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0.59891665717393405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0.11193269505396027</v>
      </c>
      <c r="D77" t="str">
        <f>Market_currency</f>
        <v>HKD</v>
      </c>
    </row>
    <row r="79" spans="2:6" ht="13.15">
      <c r="B79" s="109" t="s">
        <v>301</v>
      </c>
    </row>
    <row r="80" spans="2:6">
      <c r="B80" s="148" t="s">
        <v>299</v>
      </c>
      <c r="C80" s="167">
        <f>Thesis!F29</f>
        <v>0.3674</v>
      </c>
    </row>
    <row r="81" spans="2:8">
      <c r="B81" s="100" t="s">
        <v>121</v>
      </c>
      <c r="C81" s="116">
        <f>PV(C80, C76, -C77, 0)</f>
        <v>0.18550150201980048</v>
      </c>
      <c r="D81" s="116"/>
      <c r="E81" s="100"/>
      <c r="F81" s="100"/>
    </row>
    <row r="82" spans="2:8">
      <c r="B82" s="100" t="s">
        <v>122</v>
      </c>
      <c r="C82" s="116">
        <f>C60/(1+C80)^C76</f>
        <v>1.1059964749982159</v>
      </c>
      <c r="D82" s="116"/>
    </row>
    <row r="83" spans="2:8" ht="13.15">
      <c r="B83" s="110" t="s">
        <v>101</v>
      </c>
      <c r="C83" s="111">
        <f>C81+C82</f>
        <v>1.2914979770180164</v>
      </c>
      <c r="D83" t="str">
        <f>Market_currency</f>
        <v>HKD</v>
      </c>
      <c r="E83" s="146" t="s">
        <v>126</v>
      </c>
      <c r="F83" s="291">
        <f>(1-C83/C60)</f>
        <v>0.54327660241450348</v>
      </c>
    </row>
    <row r="84" spans="2:8">
      <c r="E84" s="120"/>
    </row>
    <row r="85" spans="2:8" ht="13.15">
      <c r="B85" s="109" t="s">
        <v>302</v>
      </c>
    </row>
    <row r="86" spans="2:8">
      <c r="B86" s="148" t="s">
        <v>300</v>
      </c>
      <c r="C86" s="116">
        <f>Market_Price</f>
        <v>2.8</v>
      </c>
      <c r="D86" t="str">
        <f>Market_currency</f>
        <v>HKD</v>
      </c>
    </row>
    <row r="87" spans="2:8" ht="13.15">
      <c r="B87" s="100" t="s">
        <v>298</v>
      </c>
      <c r="C87" s="237">
        <f ca="1">IRR(OFFSET($I$3, 0, 0, $C$76 + 1, 1))</f>
        <v>4.3140625360801099E-2</v>
      </c>
    </row>
    <row r="88" spans="2:8">
      <c r="B88" s="100"/>
    </row>
    <row r="89" spans="2:8" ht="13.15">
      <c r="B89" s="109" t="s">
        <v>412</v>
      </c>
    </row>
    <row r="90" spans="2:8">
      <c r="B90" s="148" t="s">
        <v>413</v>
      </c>
      <c r="C90" s="167">
        <f>Thesis!F30</f>
        <v>0.21740000000000001</v>
      </c>
    </row>
    <row r="91" spans="2:8">
      <c r="B91" s="100" t="s">
        <v>121</v>
      </c>
      <c r="C91" s="116">
        <f>PV(C90, C76, -C77, 0)</f>
        <v>0.22950689015606288</v>
      </c>
      <c r="D91" s="116"/>
      <c r="E91" s="100"/>
      <c r="F91" s="100"/>
    </row>
    <row r="92" spans="2:8">
      <c r="B92" s="100" t="s">
        <v>122</v>
      </c>
      <c r="C92" s="116">
        <f>C60/(1+C90)^C76</f>
        <v>1.567258295507828</v>
      </c>
      <c r="D92" s="116"/>
    </row>
    <row r="93" spans="2:8" ht="13.15">
      <c r="B93" s="110" t="s">
        <v>101</v>
      </c>
      <c r="C93" s="111">
        <f>C91+C92</f>
        <v>1.7967651856638909</v>
      </c>
      <c r="D93" t="str">
        <f>Market_currency</f>
        <v>HKD</v>
      </c>
      <c r="E93" s="146" t="s">
        <v>126</v>
      </c>
      <c r="F93" s="291">
        <f>(1-C93/C60)</f>
        <v>0.3645946684682263</v>
      </c>
    </row>
    <row r="95" spans="2:8" ht="13.15">
      <c r="B95" s="109" t="s">
        <v>397</v>
      </c>
      <c r="G95" s="2"/>
      <c r="H95" s="281"/>
    </row>
    <row r="96" spans="2:8">
      <c r="B96" s="148" t="s">
        <v>403</v>
      </c>
      <c r="C96" s="134">
        <f>Thesis!F31</f>
        <v>7.4999999999999997E-2</v>
      </c>
      <c r="G96" s="2"/>
      <c r="H96" s="281"/>
    </row>
    <row r="97" spans="2:8">
      <c r="B97" s="100" t="s">
        <v>121</v>
      </c>
      <c r="C97" s="116">
        <f>PV(C96, C76, -C77, 0)</f>
        <v>0.29108385462106245</v>
      </c>
      <c r="D97" s="116"/>
      <c r="G97" s="2"/>
      <c r="H97" s="281"/>
    </row>
    <row r="98" spans="2:8">
      <c r="B98" s="100" t="s">
        <v>122</v>
      </c>
      <c r="C98" s="116">
        <f>C60/(1+C96)^C76</f>
        <v>2.2762244119676689</v>
      </c>
      <c r="D98" s="116"/>
      <c r="G98" s="2"/>
      <c r="H98" s="281"/>
    </row>
    <row r="99" spans="2:8" ht="13.15">
      <c r="B99" s="110" t="s">
        <v>398</v>
      </c>
      <c r="C99" s="111">
        <f>C97+C98</f>
        <v>2.5673082665887312</v>
      </c>
      <c r="D99" t="s">
        <v>396</v>
      </c>
      <c r="E99" s="146" t="s">
        <v>126</v>
      </c>
      <c r="F99" s="291">
        <f>(1-C99/C60)</f>
        <v>9.2100974967783467E-2</v>
      </c>
    </row>
    <row r="100" spans="2:8">
      <c r="B100" s="100"/>
    </row>
    <row r="101" spans="2:8" ht="13.15">
      <c r="B101" s="109" t="s">
        <v>422</v>
      </c>
    </row>
    <row r="102" spans="2:8">
      <c r="B102" s="148" t="s">
        <v>421</v>
      </c>
      <c r="C102" s="134">
        <f>Thesis!F32</f>
        <v>0.1174</v>
      </c>
    </row>
    <row r="103" spans="2:8">
      <c r="B103" s="100" t="s">
        <v>121</v>
      </c>
      <c r="C103" s="116">
        <f>PV(C102, C76, -C77, 0)</f>
        <v>0.27004916998192208</v>
      </c>
      <c r="D103" s="116"/>
    </row>
    <row r="104" spans="2:8">
      <c r="B104" s="100" t="s">
        <v>122</v>
      </c>
      <c r="C104" s="116">
        <f>C60/(1+C102)^C76</f>
        <v>2.0268166738971809</v>
      </c>
      <c r="D104" s="116"/>
    </row>
    <row r="105" spans="2:8" ht="13.15">
      <c r="B105" s="110" t="s">
        <v>398</v>
      </c>
      <c r="C105" s="111">
        <f>C103+C104</f>
        <v>2.296865843879103</v>
      </c>
      <c r="D105" t="s">
        <v>396</v>
      </c>
      <c r="E105" s="146" t="s">
        <v>126</v>
      </c>
      <c r="F105" s="291">
        <f>(1-C105/C66)</f>
        <v>0.19191551094914117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