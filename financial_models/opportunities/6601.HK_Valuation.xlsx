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4920259-7249-47D5-9BFF-B922AB35094E}"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2" i="2"/>
  <c r="P94" i="2"/>
  <c r="N92" i="2"/>
  <c r="N94" i="2"/>
  <c r="C44" i="6"/>
  <c r="C44" i="12"/>
  <c r="O92" i="2"/>
  <c r="O94" i="2"/>
  <c r="Q92" i="2"/>
  <c r="Q94" i="2"/>
  <c r="J92" i="2"/>
  <c r="J94" i="2"/>
  <c r="K92"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I117" i="2"/>
  <c r="J117" i="2"/>
  <c r="K117" i="2"/>
  <c r="J13" i="2"/>
  <c r="M76" i="2"/>
  <c r="L13" i="2"/>
  <c r="K13" i="2"/>
  <c r="K16" i="2" s="1"/>
  <c r="K19" i="2" s="1"/>
  <c r="N13" i="2"/>
  <c r="N98" i="2" s="1"/>
  <c r="M13" i="2"/>
  <c r="I13" i="2"/>
  <c r="I121" i="2" s="1"/>
  <c r="K76" i="2"/>
  <c r="D74" i="6" l="1"/>
  <c r="K115" i="2"/>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<sst xmlns="http://schemas.openxmlformats.org/spreadsheetml/2006/main" count="836" uniqueCount="561">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</sst>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5DD41-0512-4484-B144-76153E68F57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1333333500</v>
          </cell>
        </row>
        <row r="12">
          <cell r="C12">
            <v>2.63</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45730</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朝云集团</v>
      </c>
    </row>
    <row r="6" spans="1:10">
      <c r="B6" s="4" t="s">
        <v>481</v>
      </c>
      <c r="C6" s="34">
        <f>Common_Shares</f>
        <v>1333333500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6601.HK</v>
      </c>
      <c r="D11" s="49"/>
      <c r="E11" s="34"/>
    </row>
    <row r="12" spans="1:10">
      <c r="B12" s="4" t="s">
        <v>485</v>
      </c>
      <c r="C12" s="366">
        <f>Market_Price</f>
        <v>2.64</v>
      </c>
      <c r="D12" s="50"/>
      <c r="E12" s="48"/>
    </row>
    <row r="13" spans="1:10">
      <c r="B13" s="1" t="s">
        <v>486</v>
      </c>
      <c r="C13" s="32" t="str">
        <f>Market_currency</f>
        <v>HKD</v>
      </c>
      <c r="D13" s="48"/>
      <c r="E13" s="5"/>
    </row>
    <row r="14" spans="1:10">
      <c r="B14" s="4" t="s">
        <v>487</v>
      </c>
      <c r="C14" s="35">
        <f>投资主题!C12*Common_Shares/1000000</f>
        <v>3520.0004399999998</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1.0950192000000001</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Low Growth Asset Play</v>
      </c>
      <c r="D21" s="1" t="s">
        <v>448</v>
      </c>
      <c r="E21" s="363" t="str">
        <f>valuation_method</f>
        <v>DCF</v>
      </c>
    </row>
    <row r="22" spans="2:6">
      <c r="B22" s="2" t="s">
        <v>443</v>
      </c>
      <c r="C22" s="32" t="str">
        <f>Thesis!C22</f>
        <v>CNS_04</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2.8411196987666449</v>
      </c>
      <c r="D26" s="1" t="s">
        <v>447</v>
      </c>
      <c r="E26" s="301">
        <f ca="1">Scenarios!C87</f>
        <v>6.5991574156843313E-2</v>
      </c>
    </row>
    <row r="27" spans="2:6">
      <c r="D27" s="5"/>
      <c r="E27" s="5"/>
    </row>
    <row r="28" spans="2:6">
      <c r="B28" s="45" t="s">
        <v>449</v>
      </c>
      <c r="C28" s="309" t="str">
        <f>C145&amp;" ("&amp;Market_currency&amp;")"</f>
        <v>6601.HK (HKD)</v>
      </c>
      <c r="D28" s="309" t="str">
        <f>IF(D11="","",D145&amp;" ("&amp;D13&amp;")")</f>
        <v/>
      </c>
      <c r="E28" s="305" t="s">
        <v>454</v>
      </c>
      <c r="F28" s="361">
        <f>Thesis!F28</f>
        <v>3</v>
      </c>
    </row>
    <row r="29" spans="2:6">
      <c r="B29" s="1" t="s">
        <v>450</v>
      </c>
      <c r="C29" s="310">
        <f>C149</f>
        <v>1.3436946912992598</v>
      </c>
      <c r="D29" s="310" t="str">
        <f>D149</f>
        <v/>
      </c>
      <c r="E29" s="306" t="s">
        <v>456</v>
      </c>
      <c r="F29" s="362">
        <f>Thesis!F29</f>
        <v>0.35</v>
      </c>
    </row>
    <row r="30" spans="2:6">
      <c r="B30" s="1" t="s">
        <v>451</v>
      </c>
      <c r="C30" s="311">
        <f>C157</f>
        <v>1.6721325774558278</v>
      </c>
      <c r="D30" s="311" t="str">
        <f>D157</f>
        <v/>
      </c>
      <c r="E30" s="307" t="s">
        <v>455</v>
      </c>
      <c r="F30" s="224">
        <f>Thesis!F30</f>
        <v>0.25</v>
      </c>
    </row>
    <row r="31" spans="2:6">
      <c r="B31" s="1" t="s">
        <v>452</v>
      </c>
      <c r="C31" s="311">
        <f>C165</f>
        <v>2.5767231913799087</v>
      </c>
      <c r="D31" s="311" t="str">
        <f>D165</f>
        <v/>
      </c>
      <c r="E31" s="307" t="s">
        <v>492</v>
      </c>
      <c r="F31" s="224">
        <f>Thesis!F31</f>
        <v>7.4999999999999997E-2</v>
      </c>
    </row>
    <row r="32" spans="2:6">
      <c r="B32" s="1" t="s">
        <v>453</v>
      </c>
      <c r="C32" s="311">
        <f>C173</f>
        <v>2.3051988029104247</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v>
      </c>
    </row>
    <row r="40" spans="1:6">
      <c r="B40" s="370" t="s">
        <v>495</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496</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25013.632167329644</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23133.632167329644</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-34227.640627496199</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133751.63216732963</v>
      </c>
      <c r="D67" s="1" t="str">
        <f>Reporting_currency</f>
        <v>CNY</v>
      </c>
    </row>
    <row r="68" spans="1:6">
      <c r="B68" s="47" t="s">
        <v>244</v>
      </c>
      <c r="C68" s="349">
        <f>Normalized_FCF!C19</f>
        <v>102682.92188248859</v>
      </c>
      <c r="D68" s="1" t="str">
        <f>Reporting_currency</f>
        <v>CNY</v>
      </c>
    </row>
    <row r="69" spans="1:6">
      <c r="B69" s="227" t="s">
        <v>371</v>
      </c>
      <c r="C69" s="92">
        <f>Normalized_FCF!C126</f>
        <v>3.1943112760924867E-2</v>
      </c>
      <c r="F69" s="314"/>
    </row>
    <row r="70" spans="1:6">
      <c r="B70" s="227" t="s">
        <v>435</v>
      </c>
      <c r="C70" s="92">
        <f>Normalized_FCF!C94</f>
        <v>4.2202110439818051E-2</v>
      </c>
      <c r="E70" s="47" t="s">
        <v>504</v>
      </c>
      <c r="F70" s="315">
        <f>Normalized_FCF!C92</f>
        <v>1.4467006255148442</v>
      </c>
    </row>
    <row r="72" spans="1:6">
      <c r="B72" s="210" t="s">
        <v>514</v>
      </c>
      <c r="C72" s="323" t="s">
        <v>430</v>
      </c>
      <c r="D72" s="323" t="s">
        <v>505</v>
      </c>
    </row>
    <row r="73" spans="1:6">
      <c r="B73" s="47" t="s">
        <v>429</v>
      </c>
      <c r="C73" s="92">
        <f>Normalized_FCF!C121</f>
        <v>4.3342229837915983E-2</v>
      </c>
      <c r="D73" s="92">
        <f>Normalized_FCF!G121</f>
        <v>5.7306617131595607E-2</v>
      </c>
    </row>
    <row r="74" spans="1:6">
      <c r="B74" s="259" t="str">
        <f>Normalized_FCF!B118</f>
        <v>Pre-tax Profit/Sales</v>
      </c>
      <c r="C74" s="322">
        <f>Normalized_FCF!C118</f>
        <v>8.4126145386282575E-2</v>
      </c>
      <c r="D74" s="322">
        <f>Normalized_FCF!G118</f>
        <v>9.9456533440504424E-2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1.1243975691845556</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33999</v>
      </c>
      <c r="D102" s="1" t="str">
        <f>Reporting_currency</f>
        <v>CNY</v>
      </c>
    </row>
    <row r="103" spans="2:6">
      <c r="B103" s="47" t="s">
        <v>276</v>
      </c>
      <c r="C103" s="223">
        <f>C102*scaling_factor*Exchange_Rate/Common_Shares</f>
        <v>2.7922164845329393E-2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515</v>
      </c>
    </row>
    <row r="108" spans="2:6">
      <c r="B108" s="47" t="s">
        <v>260</v>
      </c>
      <c r="C108" s="349">
        <f>BS!C66</f>
        <v>2707640</v>
      </c>
      <c r="D108" s="1" t="str">
        <f>Reporting_currency</f>
        <v>CNY</v>
      </c>
    </row>
    <row r="109" spans="2:6">
      <c r="B109" s="47" t="s">
        <v>262</v>
      </c>
      <c r="C109" s="349">
        <f>DCF!C8</f>
        <v>1876530.9081794501</v>
      </c>
      <c r="D109" s="1" t="str">
        <f>Reporting_currency</f>
        <v>CNY</v>
      </c>
    </row>
    <row r="110" spans="2:6">
      <c r="B110" s="47" t="s">
        <v>277</v>
      </c>
      <c r="C110" s="223">
        <f>C109*scaling_factor*Exchange_Rate/Common_Shares</f>
        <v>1.5411278377464717</v>
      </c>
      <c r="D110" s="1" t="str">
        <f>Market_currency</f>
        <v>HKD</v>
      </c>
    </row>
    <row r="112" spans="2:6">
      <c r="B112" s="1" t="s">
        <v>516</v>
      </c>
    </row>
    <row r="113" spans="1:6">
      <c r="B113" s="47" t="s">
        <v>253</v>
      </c>
      <c r="C113" s="349">
        <f>DCF!C9</f>
        <v>229590.09999999998</v>
      </c>
      <c r="D113" s="1" t="str">
        <f>Reporting_currency</f>
        <v>CNY</v>
      </c>
    </row>
    <row r="114" spans="1:6">
      <c r="B114" s="47" t="s">
        <v>278</v>
      </c>
      <c r="C114" s="223">
        <f>C113*scaling_factor*Exchange_Rate/Common_Shares</f>
        <v>0.18855415215317095</v>
      </c>
      <c r="D114" s="1" t="str">
        <f>Market_currency</f>
        <v>HKD</v>
      </c>
    </row>
    <row r="116" spans="1:6">
      <c r="B116" s="374" t="s">
        <v>517</v>
      </c>
      <c r="C116" s="374"/>
      <c r="D116" s="374"/>
      <c r="E116" s="374"/>
      <c r="F116" s="374"/>
    </row>
    <row r="118" spans="1:6">
      <c r="B118" s="47" t="s">
        <v>518</v>
      </c>
      <c r="C118" s="223">
        <f>IF(valuation_method="DCF",DCF!C12,DDM!C7)</f>
        <v>2.8261573942388685</v>
      </c>
      <c r="D118" s="1" t="str">
        <f>Market_currency</f>
        <v>HKD</v>
      </c>
    </row>
    <row r="119" spans="1:6">
      <c r="B119" s="296" t="s">
        <v>551</v>
      </c>
      <c r="C119" s="223">
        <f>BS!D47</f>
        <v>1.9148474345916313</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0.08</v>
      </c>
      <c r="D126" s="230">
        <f>DCF!D74</f>
        <v>15</v>
      </c>
      <c r="E126" s="231" t="str">
        <f>ROUND(IF(valuation_method="DCF",DCF!E74,DDM!E69),2)&amp;" "&amp;Market_currency</f>
        <v>3.43 HKD</v>
      </c>
      <c r="F126" s="232">
        <f>DCF!F74</f>
        <v>0.05</v>
      </c>
    </row>
    <row r="127" spans="1:6">
      <c r="B127" s="218" t="str">
        <f>DCF!B75</f>
        <v>Optimistic</v>
      </c>
      <c r="C127" s="219">
        <f>DCF!C75</f>
        <v>0.04</v>
      </c>
      <c r="D127" s="220">
        <f>DCF!D75</f>
        <v>10</v>
      </c>
      <c r="E127" s="231" t="str">
        <f>ROUND(IF(valuation_method="DCF",DCF!E75,DDM!E70),2)&amp;" "&amp;Market_currency</f>
        <v>2.98 HKD</v>
      </c>
      <c r="F127" s="221">
        <f>DCF!F75</f>
        <v>0.17</v>
      </c>
    </row>
    <row r="128" spans="1:6">
      <c r="B128" s="218" t="str">
        <f>DCF!B76</f>
        <v>Base</v>
      </c>
      <c r="C128" s="219">
        <f>DCF!C76</f>
        <v>0.02</v>
      </c>
      <c r="D128" s="220">
        <f>DCF!D76</f>
        <v>10</v>
      </c>
      <c r="E128" s="231" t="str">
        <f>ROUND(IF(valuation_method="DCF",DCF!E76,DDM!E71),2)&amp;" "&amp;Market_currency</f>
        <v>2.9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254</v>
      </c>
      <c r="C132" s="217">
        <f>Scenarios!C60</f>
        <v>2.8411196987666449</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0.11141357156111965</v>
      </c>
      <c r="D143" s="212" t="str">
        <f>Market_currency</f>
        <v>HKD</v>
      </c>
    </row>
    <row r="145" spans="2:4">
      <c r="B145" s="210" t="s">
        <v>532</v>
      </c>
      <c r="C145" s="241" t="str">
        <f>C11</f>
        <v>6601.HK</v>
      </c>
      <c r="D145" s="241" t="str">
        <f>IF(D11="","",D11)</f>
        <v/>
      </c>
    </row>
    <row r="146" spans="2:4">
      <c r="B146" s="1" t="s">
        <v>387</v>
      </c>
      <c r="C146" s="297">
        <f>F29</f>
        <v>0.35</v>
      </c>
    </row>
    <row r="147" spans="2:4">
      <c r="B147" s="212" t="str">
        <f>"PV("&amp;C141&amp;" yrs of Dividends)"</f>
        <v>PV(3 yrs of Dividends)</v>
      </c>
      <c r="C147" s="216">
        <f>Scenarios!C81</f>
        <v>0.18894401355028068</v>
      </c>
    </row>
    <row r="148" spans="2:4">
      <c r="B148" s="212" t="str">
        <f>"+ PV(Equity Value realized at year "&amp;C141&amp;")"</f>
        <v>+ PV(Equity Value realized at year 3)</v>
      </c>
      <c r="C148" s="216">
        <f>Scenarios!C82</f>
        <v>1.1547506777489791</v>
      </c>
    </row>
    <row r="149" spans="2:4">
      <c r="B149" s="80" t="s">
        <v>256</v>
      </c>
      <c r="C149" s="215">
        <f>Scenarios!C83</f>
        <v>1.3436946912992598</v>
      </c>
      <c r="D149" s="300" t="str">
        <f>IF($D$11="","",C149*$E$25)</f>
        <v/>
      </c>
    </row>
    <row r="150" spans="2:4">
      <c r="B150" s="259" t="s">
        <v>533</v>
      </c>
      <c r="C150" s="298" t="str">
        <f>Market_currency</f>
        <v>HKD</v>
      </c>
      <c r="D150" s="298" t="str">
        <f>IF($D$11="","",D$13)</f>
        <v/>
      </c>
    </row>
    <row r="151" spans="2:4">
      <c r="B151" s="214" t="s">
        <v>534</v>
      </c>
      <c r="C151" s="92">
        <f>Scenarios!F83</f>
        <v>0.52705452998598767</v>
      </c>
    </row>
    <row r="153" spans="2:4">
      <c r="B153" s="210" t="s">
        <v>391</v>
      </c>
    </row>
    <row r="154" spans="2:4">
      <c r="B154" s="1" t="s">
        <v>390</v>
      </c>
      <c r="C154" s="297">
        <f>Scenarios!C90</f>
        <v>0.25</v>
      </c>
    </row>
    <row r="155" spans="2:4">
      <c r="B155" s="212" t="str">
        <f>"PV("&amp;C141&amp;" yrs of Dividends)"</f>
        <v>PV(3 yrs of Dividends)</v>
      </c>
      <c r="C155" s="216">
        <f>Scenarios!C91</f>
        <v>0.21747929168730556</v>
      </c>
    </row>
    <row r="156" spans="2:4">
      <c r="B156" s="212" t="str">
        <f>"+ PV(Equity Value realized at year "&amp;C141&amp;")"</f>
        <v>+ PV(Equity Value realized at year 3)</v>
      </c>
      <c r="C156" s="216">
        <f>Scenarios!C92</f>
        <v>1.4546532857685222</v>
      </c>
    </row>
    <row r="157" spans="2:4">
      <c r="B157" s="80" t="s">
        <v>256</v>
      </c>
      <c r="C157" s="215">
        <f>Scenarios!C93</f>
        <v>1.6721325774558278</v>
      </c>
      <c r="D157" s="300" t="str">
        <f>IF($D$11="","",C157*$E$25)</f>
        <v/>
      </c>
    </row>
    <row r="158" spans="2:4">
      <c r="B158" s="259" t="s">
        <v>533</v>
      </c>
      <c r="C158" s="298" t="str">
        <f>Market_currency</f>
        <v>HKD</v>
      </c>
      <c r="D158" s="298" t="str">
        <f>IF($D$11="","",D$13)</f>
        <v/>
      </c>
    </row>
    <row r="159" spans="2:4">
      <c r="B159" s="214" t="s">
        <v>534</v>
      </c>
      <c r="C159" s="92">
        <f>Scenarios!F93</f>
        <v>0.41145296406141729</v>
      </c>
    </row>
    <row r="161" spans="2:4">
      <c r="B161" s="210" t="s">
        <v>381</v>
      </c>
    </row>
    <row r="162" spans="2:4">
      <c r="B162" s="1" t="s">
        <v>389</v>
      </c>
      <c r="C162" s="92">
        <f>Scenarios!C96</f>
        <v>7.4999999999999997E-2</v>
      </c>
    </row>
    <row r="163" spans="2:4">
      <c r="B163" s="212" t="str">
        <f>"PV("&amp;C141&amp;" yrs of Dividends)"</f>
        <v>PV(3 yrs of Dividends)</v>
      </c>
      <c r="C163" s="216">
        <f>Scenarios!C97</f>
        <v>0.28973386061575823</v>
      </c>
    </row>
    <row r="164" spans="2:4">
      <c r="B164" s="212" t="str">
        <f>"+ PV(Equity Value realized at year "&amp;C141&amp;")"</f>
        <v>+ PV(Equity Value realized at year 3)</v>
      </c>
      <c r="C164" s="216">
        <f>Scenarios!C98</f>
        <v>2.2869893307641505</v>
      </c>
    </row>
    <row r="165" spans="2:4">
      <c r="B165" s="80" t="s">
        <v>382</v>
      </c>
      <c r="C165" s="215">
        <f>Scenarios!C99</f>
        <v>2.5767231913799087</v>
      </c>
      <c r="D165" s="300" t="str">
        <f>IF($D$11="","",C165*$E$25)</f>
        <v/>
      </c>
    </row>
    <row r="166" spans="2:4">
      <c r="B166" s="259" t="s">
        <v>533</v>
      </c>
      <c r="C166" s="298" t="str">
        <f>Market_currency</f>
        <v>HKD</v>
      </c>
      <c r="D166" s="298" t="str">
        <f>IF($D$11="","",D$13)</f>
        <v/>
      </c>
    </row>
    <row r="167" spans="2:4">
      <c r="B167" s="214" t="s">
        <v>534</v>
      </c>
      <c r="C167" s="92">
        <f>Scenarios!F99</f>
        <v>9.3060671643476756E-2</v>
      </c>
    </row>
    <row r="169" spans="2:4">
      <c r="B169" s="210" t="s">
        <v>409</v>
      </c>
    </row>
    <row r="170" spans="2:4">
      <c r="B170" s="1" t="s">
        <v>400</v>
      </c>
      <c r="C170" s="92">
        <f>F32</f>
        <v>0.1174</v>
      </c>
    </row>
    <row r="171" spans="2:4">
      <c r="B171" s="212" t="str">
        <f>"PV("&amp;C141&amp;" yrs of Dividends)"</f>
        <v>PV(3 yrs of Dividends)</v>
      </c>
      <c r="C171" s="216">
        <f>Scenarios!C103</f>
        <v>0.26879673102034662</v>
      </c>
    </row>
    <row r="172" spans="2:4">
      <c r="B172" s="212" t="str">
        <f>"+ PV(Equity Value realized at year "&amp;C141&amp;")"</f>
        <v>+ PV(Equity Value realized at year 3)</v>
      </c>
      <c r="C172" s="216">
        <f>Scenarios!C104</f>
        <v>2.0364020718900782</v>
      </c>
    </row>
    <row r="173" spans="2:4">
      <c r="B173" s="80" t="s">
        <v>382</v>
      </c>
      <c r="C173" s="215">
        <f>Scenarios!C105</f>
        <v>2.3051988029104247</v>
      </c>
      <c r="D173" s="300" t="str">
        <f>IF($D$11="","",C173*$E$25)</f>
        <v/>
      </c>
    </row>
    <row r="174" spans="2:4">
      <c r="B174" s="259" t="s">
        <v>533</v>
      </c>
      <c r="C174" s="298" t="str">
        <f>Market_currency</f>
        <v>HKD</v>
      </c>
      <c r="D174" s="298" t="str">
        <f>IF($D$11="","",D$13)</f>
        <v/>
      </c>
    </row>
    <row r="175" spans="2:4">
      <c r="B175" s="214" t="s">
        <v>534</v>
      </c>
      <c r="C175" s="92">
        <f>Scenarios!F105</f>
        <v>0.19280067546819424</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1333333500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2.64</v>
      </c>
      <c r="D12" s="50"/>
      <c r="E12" s="48"/>
    </row>
    <row r="13" spans="1:10">
      <c r="B13" s="1" t="s">
        <v>465</v>
      </c>
      <c r="C13" s="48" t="s">
        <v>377</v>
      </c>
      <c r="D13" s="48"/>
      <c r="E13" s="5"/>
    </row>
    <row r="14" spans="1:10">
      <c r="B14" s="4" t="s">
        <v>466</v>
      </c>
      <c r="C14" s="35">
        <f>Thesis!C12*Common_Shares/1000000</f>
        <v>3520.0004399999998</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1.0950192000000001</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2.8411196987666449</v>
      </c>
      <c r="D26" s="1" t="s">
        <v>380</v>
      </c>
      <c r="E26" s="301">
        <f ca="1">Scenarios!C87</f>
        <v>6.5991574156843313E-2</v>
      </c>
    </row>
    <row r="27" spans="2:6">
      <c r="D27" s="5"/>
      <c r="E27" s="5"/>
    </row>
    <row r="28" spans="2:6">
      <c r="B28" s="45" t="s">
        <v>410</v>
      </c>
      <c r="C28" s="309" t="str">
        <f>C145&amp;" ("&amp;Market_currency&amp;")"</f>
        <v>6601.HK (HKD)</v>
      </c>
      <c r="D28" s="309" t="str">
        <f>IF(D11="","",D145&amp;" ("&amp;D13&amp;")")</f>
        <v/>
      </c>
      <c r="E28" s="305" t="s">
        <v>406</v>
      </c>
      <c r="F28" s="303">
        <v>3</v>
      </c>
    </row>
    <row r="29" spans="2:6">
      <c r="B29" s="1" t="s">
        <v>402</v>
      </c>
      <c r="C29" s="310">
        <f>C149</f>
        <v>1.3436946912992598</v>
      </c>
      <c r="D29" s="310" t="str">
        <f>D149</f>
        <v/>
      </c>
      <c r="E29" s="306" t="s">
        <v>401</v>
      </c>
      <c r="F29" s="302">
        <v>0.35</v>
      </c>
    </row>
    <row r="30" spans="2:6">
      <c r="B30" s="1" t="s">
        <v>403</v>
      </c>
      <c r="C30" s="311">
        <f>C157</f>
        <v>1.6721325774558278</v>
      </c>
      <c r="D30" s="311" t="str">
        <f>D157</f>
        <v/>
      </c>
      <c r="E30" s="307" t="s">
        <v>414</v>
      </c>
      <c r="F30" s="312">
        <v>0.25</v>
      </c>
    </row>
    <row r="31" spans="2:6">
      <c r="B31" s="1" t="s">
        <v>404</v>
      </c>
      <c r="C31" s="311">
        <f>C165</f>
        <v>2.5767231913799087</v>
      </c>
      <c r="D31" s="311" t="str">
        <f>D165</f>
        <v/>
      </c>
      <c r="E31" s="307" t="s">
        <v>413</v>
      </c>
      <c r="F31" s="312">
        <v>7.4999999999999997E-2</v>
      </c>
    </row>
    <row r="32" spans="2:6">
      <c r="B32" s="1" t="s">
        <v>405</v>
      </c>
      <c r="C32" s="311">
        <f>C173</f>
        <v>2.3051988029104247</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229</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25013.632167329644</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23133.632167329644</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-34227.640627496199</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133751.63216732963</v>
      </c>
      <c r="D67" s="1" t="str">
        <f>Reporting_currency</f>
        <v>CNY</v>
      </c>
    </row>
    <row r="68" spans="1:6">
      <c r="B68" s="47" t="s">
        <v>244</v>
      </c>
      <c r="C68" s="349">
        <f>Normalized_FCF!C19</f>
        <v>102682.92188248859</v>
      </c>
      <c r="D68" s="1" t="str">
        <f>Reporting_currency</f>
        <v>CNY</v>
      </c>
    </row>
    <row r="69" spans="1:6">
      <c r="B69" s="227" t="s">
        <v>371</v>
      </c>
      <c r="C69" s="92">
        <f>Normalized_FCF!C126</f>
        <v>3.1943112760924867E-2</v>
      </c>
      <c r="F69" s="314"/>
    </row>
    <row r="70" spans="1:6">
      <c r="B70" s="227" t="s">
        <v>435</v>
      </c>
      <c r="C70" s="92">
        <f>Normalized_FCF!C94</f>
        <v>4.2202110439818051E-2</v>
      </c>
      <c r="E70" s="47" t="s">
        <v>425</v>
      </c>
      <c r="F70" s="315">
        <f>Normalized_FCF!C92</f>
        <v>1.4467006255148442</v>
      </c>
    </row>
    <row r="72" spans="1:6">
      <c r="B72" s="210" t="s">
        <v>428</v>
      </c>
      <c r="C72" s="323" t="s">
        <v>430</v>
      </c>
      <c r="D72" s="323" t="s">
        <v>431</v>
      </c>
    </row>
    <row r="73" spans="1:6">
      <c r="B73" s="47" t="s">
        <v>429</v>
      </c>
      <c r="C73" s="92">
        <f>Normalized_FCF!C121</f>
        <v>4.3342229837915983E-2</v>
      </c>
      <c r="D73" s="92">
        <f>Normalized_FCF!G121</f>
        <v>5.7306617131595607E-2</v>
      </c>
    </row>
    <row r="74" spans="1:6">
      <c r="B74" s="259" t="str">
        <f>Normalized_FCF!B118</f>
        <v>Pre-tax Profit/Sales</v>
      </c>
      <c r="C74" s="322">
        <f>Normalized_FCF!C118</f>
        <v>8.4126145386282575E-2</v>
      </c>
      <c r="D74" s="322">
        <f>Normalized_FCF!G118</f>
        <v>9.9456533440504424E-2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1.1243975691845556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33999</v>
      </c>
      <c r="D102" s="1" t="str">
        <f>Reporting_currency</f>
        <v>CNY</v>
      </c>
    </row>
    <row r="103" spans="2:6">
      <c r="B103" s="47" t="s">
        <v>276</v>
      </c>
      <c r="C103" s="223">
        <f>C102*scaling_factor*Exchange_Rate/Common_Shares</f>
        <v>2.7922164845329393E-2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250</v>
      </c>
    </row>
    <row r="108" spans="2:6">
      <c r="B108" s="47" t="s">
        <v>260</v>
      </c>
      <c r="C108" s="349">
        <f>BS!C66</f>
        <v>2707640</v>
      </c>
      <c r="D108" s="1" t="str">
        <f>Reporting_currency</f>
        <v>CNY</v>
      </c>
    </row>
    <row r="109" spans="2:6">
      <c r="B109" s="47" t="s">
        <v>262</v>
      </c>
      <c r="C109" s="349">
        <f>DCF!C8</f>
        <v>1876530.9081794501</v>
      </c>
      <c r="D109" s="1" t="str">
        <f>Reporting_currency</f>
        <v>CNY</v>
      </c>
    </row>
    <row r="110" spans="2:6">
      <c r="B110" s="47" t="s">
        <v>277</v>
      </c>
      <c r="C110" s="223">
        <f>C109*scaling_factor*Exchange_Rate/Common_Shares</f>
        <v>1.5411278377464717</v>
      </c>
      <c r="D110" s="1" t="str">
        <f>Market_currency</f>
        <v>HKD</v>
      </c>
    </row>
    <row r="112" spans="2:6">
      <c r="B112" s="1" t="s">
        <v>252</v>
      </c>
    </row>
    <row r="113" spans="1:6">
      <c r="B113" s="47" t="s">
        <v>253</v>
      </c>
      <c r="C113" s="349">
        <f>DCF!C9</f>
        <v>229590.09999999998</v>
      </c>
      <c r="D113" s="1" t="str">
        <f>Reporting_currency</f>
        <v>CNY</v>
      </c>
    </row>
    <row r="114" spans="1:6">
      <c r="B114" s="47" t="s">
        <v>278</v>
      </c>
      <c r="C114" s="223">
        <f>C113*scaling_factor*Exchange_Rate/Common_Shares</f>
        <v>0.18855415215317095</v>
      </c>
      <c r="D114" s="1" t="str">
        <f>Market_currency</f>
        <v>HKD</v>
      </c>
    </row>
    <row r="116" spans="1:6" ht="24.6" customHeight="1">
      <c r="B116" s="374" t="s">
        <v>352</v>
      </c>
      <c r="C116" s="374"/>
      <c r="D116" s="374"/>
      <c r="E116" s="374"/>
      <c r="F116" s="374"/>
    </row>
    <row r="118" spans="1:6">
      <c r="B118" s="47" t="s">
        <v>426</v>
      </c>
      <c r="C118" s="223">
        <f>IF(valuation_method="DCF",DCF!C12,DDM!C7)</f>
        <v>2.8261573942388685</v>
      </c>
      <c r="D118" s="1" t="str">
        <f>Market_currency</f>
        <v>HKD</v>
      </c>
    </row>
    <row r="119" spans="1:6">
      <c r="B119" s="296" t="s">
        <v>550</v>
      </c>
      <c r="C119" s="223">
        <f>BS!D47</f>
        <v>1.9148474345916313</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3.43 HKD</v>
      </c>
      <c r="F126" s="232">
        <f>DCF!F74</f>
        <v>0.05</v>
      </c>
    </row>
    <row r="127" spans="1:6">
      <c r="B127" s="218" t="str">
        <f>DCF!B75</f>
        <v>Optimistic</v>
      </c>
      <c r="C127" s="219">
        <f>DCF!C75</f>
        <v>0.04</v>
      </c>
      <c r="D127" s="220">
        <f>DCF!D75</f>
        <v>10</v>
      </c>
      <c r="E127" s="231" t="str">
        <f>ROUND(IF(valuation_method="DCF",DCF!E75,DDM!E70),2)&amp;" "&amp;Market_currency</f>
        <v>2.98 HKD</v>
      </c>
      <c r="F127" s="221">
        <f>DCF!F75</f>
        <v>0.17</v>
      </c>
    </row>
    <row r="128" spans="1:6">
      <c r="B128" s="218" t="str">
        <f>DCF!B76</f>
        <v>Base</v>
      </c>
      <c r="C128" s="219">
        <f>DCF!C76</f>
        <v>0.02</v>
      </c>
      <c r="D128" s="220">
        <f>DCF!D76</f>
        <v>10</v>
      </c>
      <c r="E128" s="231" t="str">
        <f>ROUND(IF(valuation_method="DCF",DCF!E76,DDM!E71),2)&amp;" "&amp;Market_currency</f>
        <v>2.9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254</v>
      </c>
      <c r="C132" s="217">
        <f>Scenarios!C60</f>
        <v>2.8411196987666449</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0.11141357156111965</v>
      </c>
      <c r="D143" s="212" t="str">
        <f>Market_currency</f>
        <v>HKD</v>
      </c>
    </row>
    <row r="145" spans="2:4">
      <c r="B145" s="210" t="s">
        <v>388</v>
      </c>
      <c r="C145" s="241" t="str">
        <f>C11</f>
        <v>6601.HK</v>
      </c>
      <c r="D145" s="241" t="str">
        <f>IF(D11="","",D11)</f>
        <v/>
      </c>
    </row>
    <row r="146" spans="2:4">
      <c r="B146" s="1" t="s">
        <v>387</v>
      </c>
      <c r="C146" s="297">
        <f>F29</f>
        <v>0.35</v>
      </c>
    </row>
    <row r="147" spans="2:4">
      <c r="B147" s="212" t="str">
        <f>"PV("&amp;C141&amp;" yrs of Dividends)"</f>
        <v>PV(3 yrs of Dividends)</v>
      </c>
      <c r="C147" s="216">
        <f>Scenarios!C81</f>
        <v>0.18894401355028068</v>
      </c>
    </row>
    <row r="148" spans="2:4">
      <c r="B148" s="212" t="str">
        <f>"+ PV(Equity Value realized at year "&amp;C141&amp;")"</f>
        <v>+ PV(Equity Value realized at year 3)</v>
      </c>
      <c r="C148" s="216">
        <f>Scenarios!C82</f>
        <v>1.1547506777489791</v>
      </c>
    </row>
    <row r="149" spans="2:4">
      <c r="B149" s="80" t="s">
        <v>256</v>
      </c>
      <c r="C149" s="215">
        <f>Scenarios!C83</f>
        <v>1.3436946912992598</v>
      </c>
      <c r="D149" s="300" t="str">
        <f>IF($D$11="","",C149*$E$25)</f>
        <v/>
      </c>
    </row>
    <row r="150" spans="2:4">
      <c r="B150" s="259" t="s">
        <v>396</v>
      </c>
      <c r="C150" s="298" t="str">
        <f>Market_currency</f>
        <v>HKD</v>
      </c>
      <c r="D150" s="298" t="str">
        <f>IF($D$11="","",D$13)</f>
        <v/>
      </c>
    </row>
    <row r="151" spans="2:4">
      <c r="B151" s="214" t="s">
        <v>258</v>
      </c>
      <c r="C151" s="92">
        <f>Scenarios!F83</f>
        <v>0.52705452998598767</v>
      </c>
    </row>
    <row r="153" spans="2:4">
      <c r="B153" s="210" t="s">
        <v>391</v>
      </c>
    </row>
    <row r="154" spans="2:4">
      <c r="B154" s="1" t="s">
        <v>390</v>
      </c>
      <c r="C154" s="297">
        <f>Scenarios!C90</f>
        <v>0.25</v>
      </c>
    </row>
    <row r="155" spans="2:4">
      <c r="B155" s="212" t="str">
        <f>"PV("&amp;C141&amp;" yrs of Dividends)"</f>
        <v>PV(3 yrs of Dividends)</v>
      </c>
      <c r="C155" s="216">
        <f>Scenarios!C91</f>
        <v>0.21747929168730556</v>
      </c>
    </row>
    <row r="156" spans="2:4">
      <c r="B156" s="212" t="str">
        <f>"+ PV(Equity Value realized at year "&amp;C141&amp;")"</f>
        <v>+ PV(Equity Value realized at year 3)</v>
      </c>
      <c r="C156" s="216">
        <f>Scenarios!C92</f>
        <v>1.4546532857685222</v>
      </c>
    </row>
    <row r="157" spans="2:4">
      <c r="B157" s="80" t="s">
        <v>256</v>
      </c>
      <c r="C157" s="215">
        <f>Scenarios!C93</f>
        <v>1.6721325774558278</v>
      </c>
      <c r="D157" s="300" t="str">
        <f>IF($D$11="","",C157*$E$25)</f>
        <v/>
      </c>
    </row>
    <row r="158" spans="2:4">
      <c r="B158" s="259" t="s">
        <v>396</v>
      </c>
      <c r="C158" s="298" t="str">
        <f>Market_currency</f>
        <v>HKD</v>
      </c>
      <c r="D158" s="298" t="str">
        <f>IF($D$11="","",D$13)</f>
        <v/>
      </c>
    </row>
    <row r="159" spans="2:4">
      <c r="B159" s="214" t="s">
        <v>258</v>
      </c>
      <c r="C159" s="92">
        <f>Scenarios!F93</f>
        <v>0.41145296406141729</v>
      </c>
    </row>
    <row r="161" spans="2:4">
      <c r="B161" s="210" t="s">
        <v>381</v>
      </c>
    </row>
    <row r="162" spans="2:4">
      <c r="B162" s="1" t="s">
        <v>389</v>
      </c>
      <c r="C162" s="92">
        <f>Scenarios!C96</f>
        <v>7.4999999999999997E-2</v>
      </c>
    </row>
    <row r="163" spans="2:4">
      <c r="B163" s="212" t="str">
        <f>"PV("&amp;C141&amp;" yrs of Dividends)"</f>
        <v>PV(3 yrs of Dividends)</v>
      </c>
      <c r="C163" s="216">
        <f>Scenarios!C97</f>
        <v>0.28973386061575823</v>
      </c>
    </row>
    <row r="164" spans="2:4">
      <c r="B164" s="212" t="str">
        <f>"+ PV(Equity Value realized at year "&amp;C141&amp;")"</f>
        <v>+ PV(Equity Value realized at year 3)</v>
      </c>
      <c r="C164" s="216">
        <f>Scenarios!C98</f>
        <v>2.2869893307641505</v>
      </c>
    </row>
    <row r="165" spans="2:4">
      <c r="B165" s="80" t="s">
        <v>382</v>
      </c>
      <c r="C165" s="215">
        <f>Scenarios!C99</f>
        <v>2.5767231913799087</v>
      </c>
      <c r="D165" s="300" t="str">
        <f>IF($D$11="","",C165*$E$25)</f>
        <v/>
      </c>
    </row>
    <row r="166" spans="2:4">
      <c r="B166" s="259" t="s">
        <v>396</v>
      </c>
      <c r="C166" s="298" t="str">
        <f>Market_currency</f>
        <v>HKD</v>
      </c>
      <c r="D166" s="298" t="str">
        <f>IF($D$11="","",D$13)</f>
        <v/>
      </c>
    </row>
    <row r="167" spans="2:4">
      <c r="B167" s="214" t="s">
        <v>258</v>
      </c>
      <c r="C167" s="92">
        <f>Scenarios!F99</f>
        <v>9.3060671643476756E-2</v>
      </c>
    </row>
    <row r="169" spans="2:4">
      <c r="B169" s="210" t="s">
        <v>409</v>
      </c>
    </row>
    <row r="170" spans="2:4">
      <c r="B170" s="1" t="s">
        <v>400</v>
      </c>
      <c r="C170" s="92">
        <f>F32</f>
        <v>0.1174</v>
      </c>
    </row>
    <row r="171" spans="2:4">
      <c r="B171" s="212" t="str">
        <f>"PV("&amp;C141&amp;" yrs of Dividends)"</f>
        <v>PV(3 yrs of Dividends)</v>
      </c>
      <c r="C171" s="216">
        <f>Scenarios!C103</f>
        <v>0.26879673102034662</v>
      </c>
    </row>
    <row r="172" spans="2:4">
      <c r="B172" s="212" t="str">
        <f>"+ PV(Equity Value realized at year "&amp;C141&amp;")"</f>
        <v>+ PV(Equity Value realized at year 3)</v>
      </c>
      <c r="C172" s="216">
        <f>Scenarios!C104</f>
        <v>2.0364020718900782</v>
      </c>
    </row>
    <row r="173" spans="2:4">
      <c r="B173" s="80" t="s">
        <v>382</v>
      </c>
      <c r="C173" s="215">
        <f>Scenarios!C105</f>
        <v>2.3051988029104247</v>
      </c>
      <c r="D173" s="300" t="str">
        <f>IF($D$11="","",C173*$E$25)</f>
        <v/>
      </c>
    </row>
    <row r="174" spans="2:4">
      <c r="B174" s="259" t="s">
        <v>396</v>
      </c>
      <c r="C174" s="298" t="str">
        <f>Market_currency</f>
        <v>HKD</v>
      </c>
      <c r="D174" s="298" t="str">
        <f>IF($D$11="","",D$13)</f>
        <v/>
      </c>
    </row>
    <row r="175" spans="2:4">
      <c r="B175" s="214" t="s">
        <v>258</v>
      </c>
      <c r="C175" s="92">
        <f>Scenarios!F105</f>
        <v>0.19280067546819424</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1820108</v>
      </c>
      <c r="D4" s="351">
        <v>1615585</v>
      </c>
      <c r="E4" s="351">
        <v>1446638</v>
      </c>
      <c r="F4" s="351"/>
      <c r="G4" s="351"/>
      <c r="H4" s="351"/>
      <c r="I4" s="351"/>
      <c r="J4" s="351"/>
      <c r="K4" s="351"/>
      <c r="L4" s="351"/>
      <c r="M4" s="351"/>
    </row>
    <row r="5" spans="2:13">
      <c r="B5" s="40" t="s">
        <v>41</v>
      </c>
      <c r="C5" s="351">
        <v>925767</v>
      </c>
      <c r="D5" s="351">
        <v>897327</v>
      </c>
      <c r="E5" s="351">
        <v>845264</v>
      </c>
      <c r="F5" s="351"/>
      <c r="G5" s="351"/>
      <c r="H5" s="351"/>
      <c r="I5" s="351"/>
      <c r="J5" s="351"/>
      <c r="K5" s="351"/>
      <c r="L5" s="351"/>
      <c r="M5" s="351"/>
    </row>
    <row r="6" spans="2:13">
      <c r="B6" s="40" t="s">
        <v>52</v>
      </c>
      <c r="C6" s="351">
        <f>197703+C7</f>
        <v>736453</v>
      </c>
      <c r="D6" s="351">
        <v>613104</v>
      </c>
      <c r="E6" s="351">
        <v>599182</v>
      </c>
      <c r="F6" s="351"/>
      <c r="G6" s="351"/>
      <c r="H6" s="351"/>
      <c r="I6" s="351"/>
      <c r="J6" s="351"/>
      <c r="K6" s="351"/>
      <c r="L6" s="351"/>
      <c r="M6" s="351"/>
    </row>
    <row r="7" spans="2:13">
      <c r="B7" s="69" t="s">
        <v>59</v>
      </c>
      <c r="C7" s="352">
        <v>538750</v>
      </c>
      <c r="D7" s="352">
        <v>425033</v>
      </c>
      <c r="E7" s="352">
        <v>435254</v>
      </c>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1880</v>
      </c>
      <c r="D12" s="351">
        <v>1003</v>
      </c>
      <c r="E12" s="351">
        <v>863</v>
      </c>
      <c r="F12" s="351"/>
      <c r="G12" s="351"/>
      <c r="H12" s="351"/>
      <c r="I12" s="351"/>
      <c r="J12" s="351"/>
      <c r="K12" s="351"/>
      <c r="L12" s="351"/>
      <c r="M12" s="351"/>
    </row>
    <row r="13" spans="2:13">
      <c r="B13" s="40" t="s">
        <v>65</v>
      </c>
      <c r="C13" s="351">
        <v>81491</v>
      </c>
      <c r="D13" s="351">
        <v>73805</v>
      </c>
      <c r="E13" s="351">
        <v>45350</v>
      </c>
      <c r="F13" s="351"/>
      <c r="G13" s="351"/>
      <c r="H13" s="351"/>
      <c r="I13" s="351"/>
      <c r="J13" s="351"/>
      <c r="K13" s="351"/>
      <c r="L13" s="351"/>
      <c r="M13" s="351"/>
    </row>
    <row r="14" spans="2:13">
      <c r="B14" s="40" t="s">
        <v>48</v>
      </c>
      <c r="C14" s="351">
        <v>47270</v>
      </c>
      <c r="D14" s="351">
        <v>44449</v>
      </c>
      <c r="E14" s="351">
        <v>21017</v>
      </c>
      <c r="F14" s="351"/>
      <c r="G14" s="351"/>
      <c r="H14" s="351"/>
      <c r="I14" s="351"/>
      <c r="J14" s="351"/>
      <c r="K14" s="351"/>
      <c r="L14" s="351"/>
      <c r="M14" s="351"/>
    </row>
    <row r="15" spans="2:13">
      <c r="B15" s="43" t="s">
        <v>40</v>
      </c>
      <c r="C15" s="353">
        <v>195249</v>
      </c>
      <c r="D15" s="353">
        <v>172817</v>
      </c>
      <c r="E15" s="353">
        <v>65456</v>
      </c>
      <c r="F15" s="353"/>
      <c r="G15" s="353"/>
      <c r="H15" s="353"/>
      <c r="I15" s="353"/>
      <c r="J15" s="353"/>
      <c r="K15" s="353"/>
      <c r="L15" s="353"/>
      <c r="M15" s="353"/>
    </row>
    <row r="16" spans="2:13">
      <c r="B16" s="28" t="s">
        <v>42</v>
      </c>
      <c r="C16" s="351">
        <v>-8130</v>
      </c>
      <c r="D16" s="351">
        <v>-2199</v>
      </c>
      <c r="E16" s="351">
        <v>-645</v>
      </c>
      <c r="F16" s="351"/>
      <c r="G16" s="351"/>
      <c r="H16" s="351"/>
      <c r="I16" s="351"/>
      <c r="J16" s="351"/>
      <c r="K16" s="351"/>
      <c r="L16" s="351"/>
      <c r="M16" s="351"/>
    </row>
    <row r="18" spans="2:13">
      <c r="B18" s="16" t="s">
        <v>49</v>
      </c>
      <c r="C18" s="9"/>
    </row>
    <row r="19" spans="2:13">
      <c r="B19" s="27" t="s">
        <v>45</v>
      </c>
      <c r="C19" s="351">
        <v>35974</v>
      </c>
      <c r="D19" s="351">
        <v>35974</v>
      </c>
      <c r="E19" s="351">
        <v>32106</v>
      </c>
      <c r="F19" s="351"/>
      <c r="G19" s="351"/>
      <c r="H19" s="351"/>
      <c r="I19" s="351"/>
      <c r="J19" s="351"/>
      <c r="K19" s="351"/>
      <c r="L19" s="351"/>
      <c r="M19" s="351"/>
    </row>
    <row r="20" spans="2:13">
      <c r="B20" s="27" t="s">
        <v>51</v>
      </c>
      <c r="C20" s="351"/>
      <c r="D20" s="351">
        <v>15312</v>
      </c>
      <c r="E20" s="351">
        <v>11600</v>
      </c>
      <c r="F20" s="351"/>
      <c r="G20" s="351"/>
      <c r="H20" s="351"/>
      <c r="I20" s="351"/>
      <c r="J20" s="351"/>
      <c r="K20" s="351"/>
      <c r="L20" s="351"/>
      <c r="M20" s="351"/>
    </row>
    <row r="21" spans="2:13">
      <c r="B21" s="27" t="s">
        <v>50</v>
      </c>
      <c r="C21" s="351"/>
      <c r="D21" s="351">
        <v>-169280</v>
      </c>
      <c r="E21" s="351">
        <v>-50846</v>
      </c>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0.11141357156111965</v>
      </c>
      <c r="D25" s="39">
        <f>(0.064+0.041)/Exchange_Rate</f>
        <v>9.5888729622275112E-2</v>
      </c>
      <c r="E25" s="39">
        <f>(0.022+0.0168)/Exchange_Rate</f>
        <v>3.5433168660421663E-2</v>
      </c>
      <c r="F25" s="39"/>
      <c r="G25" s="39"/>
      <c r="H25" s="39"/>
      <c r="I25" s="39"/>
      <c r="J25" s="39"/>
      <c r="K25" s="39"/>
      <c r="L25" s="39"/>
      <c r="M25" s="39"/>
    </row>
    <row r="27" spans="2:13">
      <c r="B27" s="16" t="s">
        <v>26</v>
      </c>
      <c r="C27" s="97" t="s">
        <v>559</v>
      </c>
    </row>
    <row r="28" spans="2:13">
      <c r="B28" s="26" t="s">
        <v>22</v>
      </c>
      <c r="C28" s="333">
        <f>BS!C4</f>
        <v>109763</v>
      </c>
      <c r="D28" s="351"/>
      <c r="E28" s="351"/>
      <c r="F28" s="351"/>
      <c r="G28" s="351"/>
      <c r="H28" s="351"/>
      <c r="I28" s="351"/>
      <c r="J28" s="351"/>
      <c r="K28" s="351"/>
      <c r="L28" s="351"/>
      <c r="M28" s="351"/>
    </row>
    <row r="29" spans="2:13">
      <c r="B29" s="26" t="s">
        <v>30</v>
      </c>
      <c r="C29" s="333">
        <f>BS!C6</f>
        <v>318027</v>
      </c>
      <c r="D29" s="351"/>
      <c r="E29" s="351"/>
      <c r="F29" s="351"/>
      <c r="G29" s="351"/>
      <c r="H29" s="351"/>
      <c r="I29" s="351"/>
      <c r="J29" s="351"/>
      <c r="K29" s="351"/>
      <c r="L29" s="351"/>
      <c r="M29" s="351"/>
    </row>
    <row r="30" spans="2:13">
      <c r="B30" s="29" t="s">
        <v>38</v>
      </c>
      <c r="C30" s="334">
        <f>BS!C33+BS!C42</f>
        <v>642877</v>
      </c>
      <c r="D30" s="353">
        <v>642877</v>
      </c>
      <c r="E30" s="353">
        <v>734909</v>
      </c>
      <c r="F30" s="353"/>
      <c r="G30" s="353"/>
      <c r="H30" s="353"/>
      <c r="I30" s="353"/>
      <c r="J30" s="353"/>
      <c r="K30" s="353"/>
      <c r="L30" s="353"/>
      <c r="M30" s="353"/>
    </row>
    <row r="31" spans="2:13">
      <c r="B31" s="29" t="s">
        <v>28</v>
      </c>
      <c r="C31" s="334">
        <f>BS!G27</f>
        <v>3158826</v>
      </c>
      <c r="D31" s="353">
        <v>3027292</v>
      </c>
      <c r="E31" s="353">
        <v>2824568</v>
      </c>
      <c r="F31" s="353"/>
      <c r="G31" s="353"/>
      <c r="H31" s="353"/>
      <c r="I31" s="353"/>
      <c r="J31" s="353"/>
      <c r="K31" s="353"/>
      <c r="L31" s="353"/>
      <c r="M31" s="353"/>
    </row>
    <row r="32" spans="2:13">
      <c r="B32" s="26" t="s">
        <v>168</v>
      </c>
      <c r="C32" s="333">
        <f>BS!G28</f>
        <v>-1648</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0.11141357156111965</v>
      </c>
      <c r="D65" s="73">
        <f t="shared" ref="D65:M65" si="33">IF(D$4="","",D25)</f>
        <v>9.5888729622275112E-2</v>
      </c>
      <c r="E65" s="73">
        <f t="shared" si="33"/>
        <v>3.5433168660421663E-2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84</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38</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97460+12303</f>
        <v>109763</v>
      </c>
      <c r="D4" s="261">
        <v>0.6</v>
      </c>
      <c r="E4" s="25"/>
      <c r="F4" s="4" t="s">
        <v>75</v>
      </c>
      <c r="G4" s="19">
        <f>1713053+891425</f>
        <v>2604478</v>
      </c>
      <c r="H4" s="261">
        <v>0.9</v>
      </c>
    </row>
    <row r="5" spans="2:8" ht="15" customHeight="1">
      <c r="B5" s="1" t="s">
        <v>31</v>
      </c>
      <c r="C5" s="19">
        <v>0</v>
      </c>
      <c r="D5" s="261">
        <v>0.6</v>
      </c>
      <c r="E5" s="25"/>
      <c r="F5" s="1" t="s">
        <v>27</v>
      </c>
      <c r="G5" s="19">
        <v>0</v>
      </c>
      <c r="H5" s="261">
        <v>0.7</v>
      </c>
    </row>
    <row r="6" spans="2:8" ht="15" customHeight="1">
      <c r="B6" s="4" t="s">
        <v>8</v>
      </c>
      <c r="C6" s="19">
        <v>318027</v>
      </c>
      <c r="D6" s="261">
        <v>0.5</v>
      </c>
      <c r="E6" s="25"/>
      <c r="F6" s="4" t="s">
        <v>173</v>
      </c>
      <c r="G6" s="19">
        <v>0</v>
      </c>
      <c r="H6" s="261">
        <v>0.6</v>
      </c>
    </row>
    <row r="7" spans="2:8" ht="15" customHeight="1">
      <c r="B7" s="1" t="s">
        <v>67</v>
      </c>
      <c r="C7" s="19">
        <v>0</v>
      </c>
      <c r="D7" s="261">
        <v>0.6</v>
      </c>
      <c r="E7" s="25"/>
      <c r="F7" s="4" t="s">
        <v>174</v>
      </c>
      <c r="G7" s="19">
        <v>270180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19230</v>
      </c>
      <c r="D10" s="261">
        <v>0.9</v>
      </c>
      <c r="H10" s="262"/>
    </row>
    <row r="11" spans="2:8" ht="15" customHeight="1">
      <c r="B11" s="4" t="s">
        <v>10</v>
      </c>
      <c r="C11" s="19">
        <v>0</v>
      </c>
      <c r="D11" s="261">
        <v>0.05</v>
      </c>
      <c r="H11" s="262"/>
    </row>
    <row r="12" spans="2:8" ht="15" customHeight="1">
      <c r="B12" s="80" t="s">
        <v>70</v>
      </c>
      <c r="C12" s="81">
        <f>SUM(C4:C11)</f>
        <v>447020</v>
      </c>
      <c r="D12" s="20">
        <f>C4*D4+C5*D5+C9*D9+C6*D6+C8*D8+C7*D7+C10*D10+C11*D11</f>
        <v>242178.3</v>
      </c>
      <c r="F12" s="80" t="s">
        <v>68</v>
      </c>
      <c r="G12" s="81">
        <f>SUM(G4:G9)</f>
        <v>2874658</v>
      </c>
      <c r="H12" s="20">
        <f>G4*H4+G5*H5+G6*H6+G7*H7+G8*H8+G9*H9</f>
        <v>2506138.2000000002</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103162</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111923</v>
      </c>
      <c r="H17" s="261">
        <v>0.6</v>
      </c>
    </row>
    <row r="18" spans="2:8" ht="15" customHeight="1">
      <c r="B18" s="4" t="s">
        <v>169</v>
      </c>
      <c r="C18" s="19">
        <v>0</v>
      </c>
      <c r="D18" s="261">
        <v>0.6</v>
      </c>
      <c r="F18" s="4" t="s">
        <v>177</v>
      </c>
      <c r="G18" s="19">
        <v>0</v>
      </c>
      <c r="H18" s="261">
        <v>0.1</v>
      </c>
    </row>
    <row r="19" spans="2:8" ht="15" customHeight="1">
      <c r="B19" s="4" t="s">
        <v>24</v>
      </c>
      <c r="C19" s="19">
        <f>147013+53837+407</f>
        <v>201257</v>
      </c>
      <c r="D19" s="261">
        <v>0.1</v>
      </c>
      <c r="F19" s="4" t="s">
        <v>178</v>
      </c>
      <c r="G19" s="19">
        <v>3283</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60400</v>
      </c>
      <c r="D22" s="261">
        <v>0.9</v>
      </c>
      <c r="H22" s="262"/>
    </row>
    <row r="23" spans="2:8" ht="15" customHeight="1">
      <c r="B23" s="4" t="s">
        <v>19</v>
      </c>
      <c r="C23" s="19">
        <v>0</v>
      </c>
      <c r="D23" s="261">
        <v>0</v>
      </c>
      <c r="H23" s="262"/>
    </row>
    <row r="24" spans="2:8" ht="15" customHeight="1">
      <c r="B24" s="80" t="s">
        <v>71</v>
      </c>
      <c r="C24" s="81">
        <f>SUM(C15:C23)</f>
        <v>261657</v>
      </c>
      <c r="D24" s="20">
        <f>C15*D15+C16*D16+C18*D18+C17*D17+C19*D19+C20*D20+C21*D21+C22*D22+C23*D23</f>
        <v>74485.7</v>
      </c>
      <c r="F24" s="80" t="s">
        <v>69</v>
      </c>
      <c r="G24" s="81">
        <f>SUM(G15:G21)</f>
        <v>218368</v>
      </c>
      <c r="H24" s="20">
        <f>G15*H15+G16*H16+G17*H17+G18*H18+G19*H19+G20*H20+G21*H21</f>
        <v>150011.70000000001</v>
      </c>
    </row>
    <row r="26" spans="2:8" ht="15" customHeight="1">
      <c r="B26" s="16" t="s">
        <v>196</v>
      </c>
      <c r="C26" s="182" t="s">
        <v>132</v>
      </c>
      <c r="F26" s="184" t="s">
        <v>192</v>
      </c>
      <c r="G26" s="185" t="s">
        <v>132</v>
      </c>
      <c r="H26" s="186" t="s">
        <v>33</v>
      </c>
    </row>
    <row r="27" spans="2:8" ht="15" customHeight="1">
      <c r="B27" s="4" t="s">
        <v>3</v>
      </c>
      <c r="C27" s="19">
        <v>0</v>
      </c>
      <c r="F27" s="187" t="s">
        <v>28</v>
      </c>
      <c r="G27" s="85">
        <f>G32-G30</f>
        <v>3158826</v>
      </c>
      <c r="H27" s="188">
        <f>H32-G30</f>
        <v>2329936.9000000004</v>
      </c>
    </row>
    <row r="28" spans="2:8" ht="15" customHeight="1">
      <c r="B28" s="4" t="s">
        <v>4</v>
      </c>
      <c r="C28" s="19">
        <v>13416</v>
      </c>
      <c r="F28" s="189" t="s">
        <v>240</v>
      </c>
      <c r="G28" s="12">
        <v>-1648</v>
      </c>
      <c r="H28" s="188"/>
    </row>
    <row r="29" spans="2:8" ht="15" customHeight="1">
      <c r="B29" s="4" t="s">
        <v>5</v>
      </c>
      <c r="C29" s="19">
        <v>0</v>
      </c>
      <c r="F29" s="190" t="s">
        <v>73</v>
      </c>
      <c r="G29" s="14">
        <f>G27-G28</f>
        <v>3160474</v>
      </c>
      <c r="H29" s="188">
        <f>H27-G28</f>
        <v>2331584.9000000004</v>
      </c>
    </row>
    <row r="30" spans="2:8" ht="15" customHeight="1">
      <c r="B30" s="2" t="s">
        <v>6</v>
      </c>
      <c r="C30" s="19">
        <v>0</v>
      </c>
      <c r="F30" s="187" t="s">
        <v>21</v>
      </c>
      <c r="G30" s="85">
        <f>C33+C42</f>
        <v>642877</v>
      </c>
      <c r="H30" s="188"/>
    </row>
    <row r="31" spans="2:8" ht="15" customHeight="1">
      <c r="B31" s="80" t="s">
        <v>199</v>
      </c>
      <c r="C31" s="81">
        <f>SUM(C27:C30)</f>
        <v>13416</v>
      </c>
      <c r="F31" s="190" t="s">
        <v>74</v>
      </c>
      <c r="G31" s="191">
        <f>C31+C40</f>
        <v>33999</v>
      </c>
      <c r="H31" s="188"/>
    </row>
    <row r="32" spans="2:8" ht="15" customHeight="1">
      <c r="B32" s="4" t="s">
        <v>7</v>
      </c>
      <c r="C32" s="21">
        <f>C33-C31</f>
        <v>598515</v>
      </c>
      <c r="F32" s="192" t="s">
        <v>72</v>
      </c>
      <c r="G32" s="193">
        <f>G35+G40</f>
        <v>3801703</v>
      </c>
      <c r="H32" s="188">
        <f>H35+H40</f>
        <v>2972813.9000000004</v>
      </c>
    </row>
    <row r="33" spans="2:8" ht="15" customHeight="1">
      <c r="B33" s="83" t="s">
        <v>2</v>
      </c>
      <c r="C33" s="84">
        <v>611931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708677</v>
      </c>
      <c r="H35" s="200">
        <f>D12+D24</f>
        <v>316664</v>
      </c>
    </row>
    <row r="36" spans="2:8" ht="15" customHeight="1">
      <c r="B36" s="4" t="s">
        <v>11</v>
      </c>
      <c r="C36" s="19">
        <v>0</v>
      </c>
      <c r="F36" s="190" t="s">
        <v>193</v>
      </c>
      <c r="G36" s="191">
        <f>C4+C15</f>
        <v>109763</v>
      </c>
      <c r="H36" s="195"/>
    </row>
    <row r="37" spans="2:8" ht="15" customHeight="1">
      <c r="B37" s="4" t="s">
        <v>12</v>
      </c>
      <c r="C37" s="19">
        <v>20583</v>
      </c>
      <c r="F37" s="190" t="s">
        <v>194</v>
      </c>
      <c r="G37" s="191">
        <f>C6</f>
        <v>318027</v>
      </c>
      <c r="H37" s="195"/>
    </row>
    <row r="38" spans="2:8" ht="15" customHeight="1">
      <c r="B38" s="4" t="s">
        <v>13</v>
      </c>
      <c r="C38" s="19">
        <v>0</v>
      </c>
      <c r="F38" s="190" t="s">
        <v>195</v>
      </c>
      <c r="G38" s="191">
        <f>C7+C17</f>
        <v>0</v>
      </c>
      <c r="H38" s="195"/>
    </row>
    <row r="39" spans="2:8" ht="15" customHeight="1">
      <c r="B39" s="2" t="s">
        <v>14</v>
      </c>
      <c r="C39" s="19">
        <v>0</v>
      </c>
      <c r="F39" s="190" t="s">
        <v>77</v>
      </c>
      <c r="G39" s="191">
        <f>C7+C17+C19+C20</f>
        <v>201257</v>
      </c>
      <c r="H39" s="188">
        <f>C7*D7+C17*D17+C19*D19+C20*D20</f>
        <v>20125.7</v>
      </c>
    </row>
    <row r="40" spans="2:8" ht="15" customHeight="1">
      <c r="B40" s="80" t="s">
        <v>200</v>
      </c>
      <c r="C40" s="81">
        <f>SUM(C36:C39)</f>
        <v>20583</v>
      </c>
      <c r="F40" s="199" t="s">
        <v>134</v>
      </c>
      <c r="G40" s="193">
        <f>G12+G24</f>
        <v>3093026</v>
      </c>
      <c r="H40" s="200">
        <f>H12+H24</f>
        <v>2656149.9000000004</v>
      </c>
    </row>
    <row r="41" spans="2:8" ht="15" customHeight="1">
      <c r="B41" s="4" t="s">
        <v>15</v>
      </c>
      <c r="C41" s="21">
        <f>C42-C40</f>
        <v>10363</v>
      </c>
      <c r="F41" s="190" t="s">
        <v>187</v>
      </c>
      <c r="G41" s="191">
        <f>C70</f>
        <v>2707640</v>
      </c>
      <c r="H41" s="200">
        <f>H40-H42</f>
        <v>2426559.8000000003</v>
      </c>
    </row>
    <row r="42" spans="2:8" ht="15" customHeight="1">
      <c r="B42" s="83" t="s">
        <v>20</v>
      </c>
      <c r="C42" s="84">
        <v>30946</v>
      </c>
      <c r="F42" s="201" t="s">
        <v>188</v>
      </c>
      <c r="G42" s="202">
        <f>C82</f>
        <v>385386</v>
      </c>
      <c r="H42" s="203">
        <f>D82</f>
        <v>229590.09999999998</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3160474</v>
      </c>
      <c r="D46" s="76">
        <f>H29</f>
        <v>2331584.9000000004</v>
      </c>
      <c r="F46" s="253"/>
    </row>
    <row r="47" spans="2:8" ht="15" customHeight="1">
      <c r="B47" s="1" t="str">
        <f>"Equity per share ("&amp;Market_currency&amp;")"</f>
        <v>Equity per share (HKD)</v>
      </c>
      <c r="C47" s="147">
        <f>C46*H1/Common_Shares*Exchange_Rate</f>
        <v>2.5955844588775427</v>
      </c>
      <c r="D47" s="147">
        <f>D46*H1/Common_Shares*Exchange_Rate</f>
        <v>1.9148474345916313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0.29882156160837919</v>
      </c>
      <c r="D50" s="95">
        <f>G31/Normalized_FCF!G8</f>
        <v>0.21533618767734089</v>
      </c>
      <c r="F50" s="253"/>
    </row>
    <row r="51" spans="2:8" ht="15" customHeight="1">
      <c r="B51" s="1" t="s">
        <v>172</v>
      </c>
      <c r="C51" s="181"/>
      <c r="D51" s="92">
        <f>G29/G32</f>
        <v>0.83133111660747827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0.16054836031457936</v>
      </c>
      <c r="D54" s="92">
        <f>Normalized_FCF!G8/G35</f>
        <v>0.2227926121491173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0.17874657775878602</v>
      </c>
      <c r="F58" s="5"/>
    </row>
    <row r="59" spans="2:8" ht="15" customHeight="1">
      <c r="B59" s="1" t="s">
        <v>90</v>
      </c>
      <c r="C59" s="98"/>
      <c r="D59" s="92">
        <f>G39/G32</f>
        <v>5.2938643550009039E-2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-5.2144077122608828E-4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2707640</v>
      </c>
      <c r="D66" s="76">
        <f>C66-D75</f>
        <v>1876530.9081794501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2707640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-150897.62060975734</v>
      </c>
      <c r="D73" s="349">
        <f>(Normalized_FCF!C25+Normalized_FCF!C35-Normalized_FCF!C91)/12</f>
        <v>-138518.18197009165</v>
      </c>
      <c r="F73" s="1" t="s">
        <v>342</v>
      </c>
    </row>
    <row r="74" spans="2:6" ht="15" customHeight="1">
      <c r="B74" s="257" t="s">
        <v>312</v>
      </c>
      <c r="C74" s="258">
        <f>-$C$66/C73</f>
        <v>17.943556625073242</v>
      </c>
      <c r="D74" s="258">
        <f>-$C$66/D73</f>
        <v>19.54718118221205</v>
      </c>
      <c r="F74" s="253" t="s">
        <v>310</v>
      </c>
    </row>
    <row r="75" spans="2:6" ht="15" customHeight="1">
      <c r="B75" s="80" t="s">
        <v>311</v>
      </c>
      <c r="C75" s="320"/>
      <c r="D75" s="321">
        <f>MAX(-D73*D76,G5)</f>
        <v>831109.09182054992</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382103</v>
      </c>
      <c r="D79" s="76">
        <f>G7*H7+G17*H17</f>
        <v>229261.8</v>
      </c>
      <c r="F79" s="253"/>
    </row>
    <row r="80" spans="2:6" ht="15" customHeight="1">
      <c r="B80" s="105" t="s">
        <v>178</v>
      </c>
      <c r="C80" s="20">
        <f>G19</f>
        <v>3283</v>
      </c>
      <c r="D80" s="76">
        <f>G19*H19</f>
        <v>328.3</v>
      </c>
      <c r="F80" s="253"/>
    </row>
    <row r="81" spans="2:8" ht="15" customHeight="1">
      <c r="B81" s="105" t="s">
        <v>176</v>
      </c>
      <c r="C81" s="20">
        <f>G9+G21</f>
        <v>0</v>
      </c>
      <c r="D81" s="76">
        <f>G9*H9+G21*H21</f>
        <v>0</v>
      </c>
      <c r="F81" s="253"/>
    </row>
    <row r="82" spans="2:8" ht="15" customHeight="1">
      <c r="B82" s="80" t="s">
        <v>185</v>
      </c>
      <c r="C82" s="81">
        <f>SUM(C79:C81)</f>
        <v>385386</v>
      </c>
      <c r="D82" s="81">
        <f>SUM(D79:D81)</f>
        <v>229590.09999999998</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-37229.557780800002</v>
      </c>
      <c r="D86" s="223">
        <f>C86*scaling_factor/Common_Shares</f>
        <v>-2.7922164845329393E-2</v>
      </c>
      <c r="E86" s="240" t="str">
        <f>Market_currency</f>
        <v>HKD</v>
      </c>
    </row>
    <row r="87" spans="2:8" ht="15" customHeight="1">
      <c r="B87" s="238" t="s">
        <v>282</v>
      </c>
      <c r="C87" s="76">
        <f>DCF!C8*Exchange_Rate</f>
        <v>2054837.3738499351</v>
      </c>
      <c r="D87" s="223">
        <f>C87*scaling_factor/Common_Shares</f>
        <v>1.5411278377464717</v>
      </c>
      <c r="E87" s="240" t="str">
        <f>Market_currency</f>
        <v>HKD</v>
      </c>
    </row>
    <row r="88" spans="2:8" ht="15" customHeight="1">
      <c r="B88" s="239" t="s">
        <v>185</v>
      </c>
      <c r="C88" s="76">
        <f>DCF!C9*Exchange_Rate</f>
        <v>251405.56762992</v>
      </c>
      <c r="D88" s="223">
        <f>C88*scaling_factor/Common_Shares</f>
        <v>0.18855415215317098</v>
      </c>
      <c r="E88" s="240" t="str">
        <f>Market_currency</f>
        <v>HKD</v>
      </c>
    </row>
    <row r="89" spans="2:8" ht="15" customHeight="1">
      <c r="B89" s="80" t="s">
        <v>286</v>
      </c>
      <c r="C89" s="180">
        <f>SUM(C86:C88)</f>
        <v>2269013.3836990553</v>
      </c>
      <c r="D89" s="242">
        <f>SUM(D86:D88)</f>
        <v>1.7017598250543133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23133.632167329644</v>
      </c>
      <c r="E12" s="268"/>
      <c r="G12" s="328">
        <f>G50</f>
        <v>23133.632167329644</v>
      </c>
      <c r="H12" s="328">
        <f t="shared" ref="H12:Q12" si="6">H50</f>
        <v>21651.417323505226</v>
      </c>
      <c r="I12" s="328">
        <f t="shared" si="6"/>
        <v>13057.165647597887</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136910.5625099848</v>
      </c>
      <c r="E13" s="268"/>
      <c r="G13" s="329">
        <f>IF(G$4="","",SUM(G8:G12))</f>
        <v>181021.63216732963</v>
      </c>
      <c r="H13" s="329">
        <f t="shared" ref="H13:Q13" si="7">IF(H$4="","",SUM(H8:H12))</f>
        <v>147467.41732350521</v>
      </c>
      <c r="I13" s="329">
        <f t="shared" si="7"/>
        <v>35755.165647597889</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-34227.640627496199</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102682.92188248859</v>
      </c>
      <c r="D16" s="61"/>
      <c r="E16" s="276"/>
      <c r="F16" s="61"/>
      <c r="G16" s="329">
        <f>IF(G$4="","",SUM(G13:G15))</f>
        <v>133751.63216732963</v>
      </c>
      <c r="H16" s="329">
        <f t="shared" ref="H16:Q16" si="8">IF(H$4="","",SUM(H13:H15))</f>
        <v>103018.41732350521</v>
      </c>
      <c r="I16" s="329">
        <f t="shared" si="8"/>
        <v>14738.165647597889</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102682.92188248859</v>
      </c>
      <c r="D19" s="27"/>
      <c r="E19" s="265"/>
      <c r="F19" s="27"/>
      <c r="G19" s="334">
        <f>IF(G$4="","",G16+G17)</f>
        <v>133751.63216732963</v>
      </c>
      <c r="H19" s="334">
        <f t="shared" ref="H19:Q19" si="9">IF(H$4="","",H16+H17)</f>
        <v>103018.41732350521</v>
      </c>
      <c r="I19" s="334">
        <f t="shared" si="9"/>
        <v>14738.165647597889</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0.53202612430882723</v>
      </c>
      <c r="D28" s="26"/>
      <c r="E28" s="266" t="s">
        <v>324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324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-192887</v>
      </c>
      <c r="E33" s="266" t="s">
        <v>324</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0.26112901222935264</v>
      </c>
      <c r="H43" s="6">
        <f t="shared" si="18"/>
        <v>0.35052918824912643</v>
      </c>
      <c r="I43" s="6">
        <f t="shared" si="18"/>
        <v>1.3782393401510913</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25013.632167329644</v>
      </c>
      <c r="E48" s="268"/>
      <c r="G48" s="337">
        <f>IFERROR(IF(G$4="","",($C$48/$C$49)*G49),0)</f>
        <v>25013.632167329644</v>
      </c>
      <c r="H48" s="337">
        <f t="shared" ref="H48:Q48" si="19">IFERROR(IF(H$4="","",($C$48/$C$49)*H49),0)</f>
        <v>22654.417323505226</v>
      </c>
      <c r="I48" s="337">
        <f t="shared" si="19"/>
        <v>13920.165647597887</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23133.632167329644</v>
      </c>
      <c r="E50" s="268"/>
      <c r="G50" s="329">
        <f>IF(G$4="","",(G47+G48))</f>
        <v>23133.632167329644</v>
      </c>
      <c r="H50" s="329">
        <f t="shared" ref="H50:Q50" si="20">IF(H$4="","",(H47+H48))</f>
        <v>21651.417323505226</v>
      </c>
      <c r="I50" s="329">
        <f t="shared" si="20"/>
        <v>13057.165647597887</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3.0096689367862788E-2</v>
      </c>
      <c r="E53" s="265" t="s">
        <v>326</v>
      </c>
      <c r="G53" s="6">
        <f>IF(Normalized_FCF!G4="","",Normalized_FCF!G49/BS!$C$66)</f>
        <v>3.0096689367862788E-2</v>
      </c>
      <c r="H53" s="169"/>
      <c r="I53" s="169"/>
      <c r="J53" s="169"/>
      <c r="K53" s="169"/>
      <c r="L53" s="169"/>
      <c r="M53" s="169"/>
      <c r="N53" s="169"/>
      <c r="O53" s="169"/>
      <c r="P53" s="169"/>
      <c r="Q53" s="169"/>
    </row>
    <row r="54" spans="1:17" ht="15.75" customHeight="1">
      <c r="A54" s="10"/>
      <c r="B54" s="8" t="s">
        <v>85</v>
      </c>
      <c r="C54" s="82">
        <f>G54</f>
        <v>5.5295743992470364E-2</v>
      </c>
      <c r="E54" s="265" t="s">
        <v>327</v>
      </c>
      <c r="G54" s="23">
        <f>IFERROR(ABS(Normalized_FCF!G47/BS!$G$31),0)</f>
        <v>5.5295743992470364E-2</v>
      </c>
      <c r="H54" s="169"/>
      <c r="I54" s="169"/>
      <c r="J54" s="169"/>
      <c r="K54" s="169"/>
      <c r="L54" s="169"/>
      <c r="M54" s="169"/>
      <c r="N54" s="169"/>
      <c r="O54" s="169"/>
      <c r="P54" s="169"/>
      <c r="Q54" s="169"/>
    </row>
    <row r="55" spans="1:17" ht="15.75" customHeight="1">
      <c r="A55" s="10"/>
      <c r="B55" s="26" t="s">
        <v>88</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2.2104605361660239E-2</v>
      </c>
      <c r="D78" s="27"/>
      <c r="E78" s="266" t="s">
        <v>560</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1.4214705332757843E-2</v>
      </c>
      <c r="D80" s="27"/>
      <c r="E80" s="265"/>
      <c r="F80" s="27"/>
      <c r="G80" s="6">
        <f t="shared" ref="G80:Q80" si="31">IF(G$4="","",ABS(G12/G$4))</f>
        <v>1.2710032683406503E-2</v>
      </c>
      <c r="H80" s="6">
        <f t="shared" si="31"/>
        <v>1.3401595907058573E-2</v>
      </c>
      <c r="I80" s="6">
        <f t="shared" si="31"/>
        <v>9.02586939344735E-3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8.4126145386282575E-2</v>
      </c>
      <c r="D81" s="27"/>
      <c r="E81" s="265"/>
      <c r="F81" s="27"/>
      <c r="G81" s="65">
        <f t="shared" ref="G81:Q81" si="32">IF(G$4="","",G13/G$4)</f>
        <v>9.9456533440504424E-2</v>
      </c>
      <c r="H81" s="65">
        <f t="shared" si="32"/>
        <v>9.1278030758830522E-2</v>
      </c>
      <c r="I81" s="65">
        <f t="shared" si="32"/>
        <v>2.4716042055854946E-2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2.1031536346570644E-2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6.3094609039711924E-2</v>
      </c>
      <c r="D84" s="27"/>
      <c r="E84" s="265"/>
      <c r="F84" s="27"/>
      <c r="G84" s="65">
        <f t="shared" ref="G84:Q84" si="35">IF(G$4="","",ABS(G16/G$4))</f>
        <v>7.348554710342993E-2</v>
      </c>
      <c r="H84" s="65">
        <f t="shared" si="35"/>
        <v>6.3765396016616405E-2</v>
      </c>
      <c r="I84" s="65">
        <f t="shared" si="35"/>
        <v>1.0187873986165087E-2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6.3094609039711924E-2</v>
      </c>
      <c r="D87" s="75"/>
      <c r="E87" s="265"/>
      <c r="F87" s="75"/>
      <c r="G87" s="65">
        <f t="shared" ref="G87:Q87" si="36">IF(G$4="","",ABS(G19/G$4))</f>
        <v>7.348554710342993E-2</v>
      </c>
      <c r="H87" s="65">
        <f t="shared" si="36"/>
        <v>6.3765396016616405E-2</v>
      </c>
      <c r="I87" s="65">
        <f t="shared" si="36"/>
        <v>1.0187873986165087E-2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0.11141357156111965</v>
      </c>
      <c r="E90" s="268"/>
      <c r="G90" s="112">
        <f>Data!C65</f>
        <v>0.11141357156111965</v>
      </c>
      <c r="H90" s="112">
        <f>Data!D65</f>
        <v>9.5888729622275112E-2</v>
      </c>
      <c r="I90" s="112">
        <f>Data!E65</f>
        <v>3.5433168660421663E-2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148551.44731708814</v>
      </c>
      <c r="E91" s="268"/>
      <c r="G91" s="74">
        <f t="shared" ref="G91:Q91" si="37">IF(G$4="","",G90*Common_Shares/scaling_factor)</f>
        <v>148551.44731708814</v>
      </c>
      <c r="H91" s="74">
        <f t="shared" si="37"/>
        <v>127851.65547782175</v>
      </c>
      <c r="I91" s="74">
        <f t="shared" si="37"/>
        <v>47244.230786090331</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1.4467006255148442</v>
      </c>
      <c r="E92" s="268"/>
      <c r="G92" s="170">
        <f t="shared" ref="G92:Q92" si="38">IF(G$4="","",G90/(G19*scaling_factor/Common_Shares))</f>
        <v>1.1106514732563653</v>
      </c>
      <c r="H92" s="170">
        <f t="shared" si="38"/>
        <v>1.2410562965293241</v>
      </c>
      <c r="I92" s="170">
        <f t="shared" si="38"/>
        <v>3.2055706195560685</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4.2202110439818051E-2</v>
      </c>
      <c r="E94" s="268"/>
      <c r="G94" s="23">
        <f t="shared" ref="G94:Q94" si="39">IF(G$4="","",(G90*(1-dividend_tax_rate))/Market_Price)</f>
        <v>4.2202110439818051E-2</v>
      </c>
      <c r="H94" s="23">
        <f t="shared" si="39"/>
        <v>3.6321488493286029E-2</v>
      </c>
      <c r="I94" s="23">
        <f t="shared" si="39"/>
        <v>1.3421654795614265E-2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-0.2436784440025942</v>
      </c>
      <c r="D98" s="27"/>
      <c r="E98" s="265"/>
      <c r="F98" s="27"/>
      <c r="G98" s="6">
        <f t="shared" ref="G98:Q98" si="41">IF(H5="","",G13/H13-1)</f>
        <v>0.22753646502274583</v>
      </c>
      <c r="H98" s="6">
        <f t="shared" si="41"/>
        <v>3.1243667775711286</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8.4126145386282575E-2</v>
      </c>
      <c r="E118" s="268"/>
      <c r="G118" s="23">
        <f t="shared" ref="G118:Q118" si="45">IF(G4="","",IF(valuation_method="DDM",G13/(G4+G12),G81))</f>
        <v>9.9456533440504424E-2</v>
      </c>
      <c r="H118" s="23">
        <f t="shared" si="45"/>
        <v>9.1278030758830522E-2</v>
      </c>
      <c r="I118" s="23">
        <f t="shared" si="45"/>
        <v>2.4716042055854946E-2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4.3342229837915983E-2</v>
      </c>
      <c r="D121" s="103"/>
      <c r="E121" s="271"/>
      <c r="F121" s="103"/>
      <c r="G121" s="102">
        <f t="shared" ref="G121:Q121" si="48">IF(G$4="","",G13/G106)</f>
        <v>5.7306617131595607E-2</v>
      </c>
      <c r="H121" s="102">
        <f t="shared" si="48"/>
        <v>4.8712650554854048E-2</v>
      </c>
      <c r="I121" s="102">
        <f t="shared" si="48"/>
        <v>1.2658631566879568E-2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8.4329817688841652E-2</v>
      </c>
      <c r="D125" s="27"/>
      <c r="E125" s="265"/>
      <c r="F125" s="27"/>
      <c r="G125" s="177">
        <f t="shared" ref="G125:Q125" si="49">IF(G$4="","",G16*$C$3/Common_Shares*Exchange_Rate)</f>
        <v>0.10984544021024266</v>
      </c>
      <c r="H125" s="177">
        <f t="shared" si="49"/>
        <v>8.4605348116469609E-2</v>
      </c>
      <c r="I125" s="177">
        <f t="shared" si="49"/>
        <v>1.2103929254683935E-2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3.1943112760924867E-2</v>
      </c>
      <c r="D126" s="27"/>
      <c r="E126" s="265"/>
      <c r="F126" s="27"/>
      <c r="G126" s="77">
        <f t="shared" ref="G126" si="50">IF(G$4="","",G125/Market_Price)</f>
        <v>4.160812129175858E-2</v>
      </c>
      <c r="H126" s="77">
        <f t="shared" ref="H126" si="51">IF(H$4="","",H125/Market_Price)</f>
        <v>3.2047480347147578E-2</v>
      </c>
      <c r="I126" s="77">
        <f t="shared" ref="I126" si="52">IF(I$4="","",I125/Market_Price)</f>
        <v>4.5848216873802779E-3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5.5468458975533534E-2</v>
      </c>
      <c r="H127" s="23">
        <f>IF(H$4="","",(Data!D47*$C$3)/(Market_Price*Common_Shares))</f>
        <v>4.9095732499397075E-2</v>
      </c>
      <c r="I127" s="23">
        <f>IF(I$4="","",(Data!E47*$C$3)/(Market_Price*Common_Shares))</f>
        <v>1.8595452221023018E-2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102682.92188248859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1369105.625099848</v>
      </c>
      <c r="D6" t="str">
        <f>Reporting_currency</f>
        <v>CNY</v>
      </c>
      <c r="E6" s="378" t="s">
        <v>245</v>
      </c>
      <c r="F6" s="378"/>
      <c r="H6" s="120"/>
    </row>
    <row r="7" spans="2:8">
      <c r="B7" s="148" t="s">
        <v>220</v>
      </c>
      <c r="C7" s="338">
        <f>BS!G31</f>
        <v>33999</v>
      </c>
      <c r="D7" t="str">
        <f>Reporting_currency</f>
        <v>CNY</v>
      </c>
      <c r="E7" s="378"/>
      <c r="F7" s="378"/>
      <c r="H7" s="120"/>
    </row>
    <row r="8" spans="2:8">
      <c r="B8" s="148" t="s">
        <v>221</v>
      </c>
      <c r="C8" s="338">
        <f>BS!D66</f>
        <v>1876530.9081794501</v>
      </c>
      <c r="D8" t="str">
        <f>Reporting_currency</f>
        <v>CNY</v>
      </c>
      <c r="E8" s="378"/>
      <c r="F8" s="378"/>
      <c r="H8" s="120"/>
    </row>
    <row r="9" spans="2:8">
      <c r="B9" s="205" t="s">
        <v>186</v>
      </c>
      <c r="C9" s="348">
        <f>BS!H42</f>
        <v>229590.09999999998</v>
      </c>
      <c r="D9" t="str">
        <f>Reporting_currency</f>
        <v>CNY</v>
      </c>
      <c r="E9" s="378"/>
      <c r="F9" s="378"/>
      <c r="H9" s="120"/>
    </row>
    <row r="10" spans="2:8" ht="13.15">
      <c r="B10" s="149" t="s">
        <v>223</v>
      </c>
      <c r="C10" s="347">
        <f>C6-C7+C8+C9</f>
        <v>3441227.633279298</v>
      </c>
      <c r="D10" t="str">
        <f>Reporting_currency</f>
        <v>CNY</v>
      </c>
      <c r="H10" s="120"/>
    </row>
    <row r="11" spans="2:8" ht="13.15" thickBot="1">
      <c r="B11" s="207" t="s">
        <v>162</v>
      </c>
      <c r="C11" s="208">
        <f>Exchange_Rate</f>
        <v>1.0950192000000001</v>
      </c>
      <c r="D11" t="str">
        <f>Thesis!C15</f>
        <v>CNY/HKD</v>
      </c>
      <c r="H11" s="120"/>
    </row>
    <row r="12" spans="2:8" ht="13.5" thickTop="1">
      <c r="B12" s="149" t="s">
        <v>99</v>
      </c>
      <c r="C12" s="111">
        <f>(C10*scaling_factor)/Common_Shares*Exchange_Rate</f>
        <v>2.8261573942388685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8.5779014792802307E-3</v>
      </c>
      <c r="H16" s="120"/>
    </row>
    <row r="17" spans="2:17" ht="13.35" customHeight="1">
      <c r="B17" s="118" t="s">
        <v>130</v>
      </c>
      <c r="C17" s="162">
        <f>Scenarios!C64</f>
        <v>10</v>
      </c>
      <c r="H17" s="120"/>
    </row>
    <row r="18" spans="2:17" ht="13.35" customHeight="1">
      <c r="B18" s="153" t="s">
        <v>103</v>
      </c>
      <c r="C18" s="140">
        <f>(F52-C7+C8+C9)*Exchange_Rate/Common_Shares*scaling_factor</f>
        <v>2.8557987263523703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103563.7258700012</v>
      </c>
      <c r="D21" s="138">
        <f>IF($C$17&lt;B21,0,DCF!$C$16)</f>
        <v>8.5779014792802307E-3</v>
      </c>
      <c r="E21" s="124">
        <f t="shared" ref="E21:E50" si="0">IF($C$17&lt;B21,0,1/(1+Equity_Cost)^B21)</f>
        <v>0.93023255813953487</v>
      </c>
      <c r="F21" s="125">
        <f t="shared" ref="F21:F51" si="1">C21*E21</f>
        <v>96338.349646512739</v>
      </c>
      <c r="H21" s="120"/>
    </row>
    <row r="22" spans="2:17">
      <c r="B22" s="122">
        <v>2</v>
      </c>
      <c r="C22" s="123">
        <f t="shared" ref="C22:C50" si="2">IF(ROW()-ROW($C$21)&lt;$C$17, $C$21*(1+D22)^(ROW()-ROW($C$21)), 0)</f>
        <v>104452.08530734126</v>
      </c>
      <c r="D22" s="138">
        <f>IF($C$17&lt;B22,0,DCF!$C$16)</f>
        <v>8.5779014792802307E-3</v>
      </c>
      <c r="E22" s="124">
        <f t="shared" si="0"/>
        <v>0.86533261222282321</v>
      </c>
      <c r="F22" s="125">
        <f t="shared" si="1"/>
        <v>90385.795831122785</v>
      </c>
      <c r="H22" s="120"/>
    </row>
    <row r="23" spans="2:17">
      <c r="B23" s="122">
        <v>3</v>
      </c>
      <c r="C23" s="123">
        <f t="shared" si="2"/>
        <v>105348.06500441299</v>
      </c>
      <c r="D23" s="138">
        <f>IF($C$17&lt;B23,0,DCF!$C$16)</f>
        <v>8.5779014792802307E-3</v>
      </c>
      <c r="E23" s="124">
        <f t="shared" si="0"/>
        <v>0.80496056950960304</v>
      </c>
      <c r="F23" s="125">
        <f t="shared" si="1"/>
        <v>84801.038402686958</v>
      </c>
      <c r="G23" s="338"/>
      <c r="H23" s="339"/>
      <c r="I23" s="338"/>
      <c r="J23" s="338"/>
      <c r="K23" s="338"/>
      <c r="L23" s="338"/>
      <c r="M23" s="338"/>
      <c r="N23" s="338"/>
      <c r="O23" s="338"/>
      <c r="P23" s="338"/>
      <c r="Q23" s="338"/>
    </row>
    <row r="24" spans="2:17">
      <c r="B24" s="122">
        <v>4</v>
      </c>
      <c r="C24" s="123">
        <f t="shared" si="2"/>
        <v>106251.73032705364</v>
      </c>
      <c r="D24" s="138">
        <f>IF($C$17&lt;B24,0,DCF!$C$16)</f>
        <v>8.5779014792802307E-3</v>
      </c>
      <c r="E24" s="124">
        <f t="shared" si="0"/>
        <v>0.7488005297763749</v>
      </c>
      <c r="F24" s="125">
        <f t="shared" si="1"/>
        <v>79561.351958554282</v>
      </c>
      <c r="G24" s="338"/>
      <c r="H24" s="339"/>
      <c r="I24" s="338"/>
      <c r="J24" s="338"/>
      <c r="K24" s="338"/>
      <c r="L24" s="338"/>
      <c r="M24" s="338"/>
      <c r="N24" s="338"/>
      <c r="O24" s="338"/>
      <c r="P24" s="338"/>
      <c r="Q24" s="338"/>
    </row>
    <row r="25" spans="2:17">
      <c r="B25" s="122">
        <v>5</v>
      </c>
      <c r="C25" s="123">
        <f t="shared" si="2"/>
        <v>107163.14720180214</v>
      </c>
      <c r="D25" s="138">
        <f>IF($C$17&lt;B25,0,DCF!$C$16)</f>
        <v>8.5779014792802307E-3</v>
      </c>
      <c r="E25" s="124">
        <f t="shared" si="0"/>
        <v>0.69655863235011617</v>
      </c>
      <c r="F25" s="125">
        <f t="shared" si="1"/>
        <v>74645.415253221479</v>
      </c>
      <c r="G25" s="338"/>
      <c r="H25" s="339"/>
      <c r="I25" s="338"/>
      <c r="J25" s="338"/>
      <c r="K25" s="338"/>
      <c r="L25" s="338"/>
      <c r="M25" s="338"/>
      <c r="N25" s="338"/>
      <c r="O25" s="338"/>
      <c r="P25" s="338"/>
      <c r="Q25" s="338"/>
    </row>
    <row r="26" spans="2:17">
      <c r="B26" s="122">
        <v>6</v>
      </c>
      <c r="C26" s="123">
        <f t="shared" si="2"/>
        <v>108082.38212070882</v>
      </c>
      <c r="D26" s="138">
        <f>IF($C$17&lt;B26,0,DCF!$C$16)</f>
        <v>8.5779014792802307E-3</v>
      </c>
      <c r="E26" s="124">
        <f t="shared" si="0"/>
        <v>0.64796151846522443</v>
      </c>
      <c r="F26" s="125">
        <f t="shared" si="1"/>
        <v>70033.224438273115</v>
      </c>
      <c r="H26" s="120"/>
    </row>
    <row r="27" spans="2:17">
      <c r="B27" s="122">
        <v>7</v>
      </c>
      <c r="C27" s="123">
        <f t="shared" si="2"/>
        <v>109009.50214618615</v>
      </c>
      <c r="D27" s="138">
        <f>IF($C$17&lt;B27,0,DCF!$C$16)</f>
        <v>8.5779014792802307E-3</v>
      </c>
      <c r="E27" s="124">
        <f t="shared" si="0"/>
        <v>0.60275490089788319</v>
      </c>
      <c r="F27" s="125">
        <f t="shared" si="1"/>
        <v>65706.011663052021</v>
      </c>
      <c r="H27" s="120"/>
    </row>
    <row r="28" spans="2:17">
      <c r="B28" s="122">
        <v>8</v>
      </c>
      <c r="C28" s="123">
        <f t="shared" si="2"/>
        <v>109944.57491590151</v>
      </c>
      <c r="D28" s="138">
        <f>IF($C$17&lt;B28,0,DCF!$C$16)</f>
        <v>8.5779014792802307E-3</v>
      </c>
      <c r="E28" s="124">
        <f t="shared" si="0"/>
        <v>0.56070223339337966</v>
      </c>
      <c r="F28" s="125">
        <f t="shared" si="1"/>
        <v>61646.168704831725</v>
      </c>
      <c r="H28" s="120"/>
    </row>
    <row r="29" spans="2:17">
      <c r="B29" s="122">
        <v>9</v>
      </c>
      <c r="C29" s="123">
        <f t="shared" si="2"/>
        <v>110887.66864771146</v>
      </c>
      <c r="D29" s="138">
        <f>IF($C$17&lt;B29,0,DCF!$C$16)</f>
        <v>8.5779014792802307E-3</v>
      </c>
      <c r="E29" s="124">
        <f t="shared" si="0"/>
        <v>0.52158347292407414</v>
      </c>
      <c r="F29" s="125">
        <f t="shared" si="1"/>
        <v>57837.175317727313</v>
      </c>
      <c r="H29" s="120"/>
    </row>
    <row r="30" spans="2:17">
      <c r="B30" s="122">
        <v>10</v>
      </c>
      <c r="C30" s="123">
        <f t="shared" si="2"/>
        <v>111838.85214463859</v>
      </c>
      <c r="D30" s="138">
        <f>IF($C$17&lt;B30,0,DCF!$C$16)</f>
        <v>8.5779014792802307E-3</v>
      </c>
      <c r="E30" s="124">
        <f t="shared" si="0"/>
        <v>0.48519392830146441</v>
      </c>
      <c r="F30" s="125">
        <f t="shared" si="1"/>
        <v>54263.532008783855</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1380849.6782666827</v>
      </c>
      <c r="D51" s="139">
        <f>Terminal_Growth</f>
        <v>0</v>
      </c>
      <c r="E51" s="124">
        <f>1/(1+Equity_Cost)^C17</f>
        <v>0.48519392830146441</v>
      </c>
      <c r="F51" s="125">
        <f t="shared" si="1"/>
        <v>669979.87979202496</v>
      </c>
      <c r="H51" s="120"/>
    </row>
    <row r="52" spans="1:17">
      <c r="C52" s="114"/>
      <c r="E52" s="127" t="s">
        <v>97</v>
      </c>
      <c r="F52" s="137">
        <f>SUM(F21:F51)</f>
        <v>1405197.9430167913</v>
      </c>
      <c r="H52" s="120"/>
    </row>
    <row r="53" spans="1:17">
      <c r="C53" s="114"/>
      <c r="H53" s="120"/>
    </row>
    <row r="54" spans="1:17" ht="13.15">
      <c r="B54" s="119" t="s">
        <v>125</v>
      </c>
      <c r="C54" s="136"/>
      <c r="D54" s="136"/>
      <c r="E54" s="117"/>
      <c r="F54" s="117"/>
      <c r="H54" s="120"/>
    </row>
    <row r="55" spans="1:17" ht="13.15">
      <c r="A55" s="133">
        <f>F52</f>
        <v>1405197.9430167913</v>
      </c>
      <c r="B55" s="131">
        <f>C78</f>
        <v>-0.1</v>
      </c>
      <c r="C55" s="131">
        <f>C77</f>
        <v>-0.08</v>
      </c>
      <c r="D55" s="131">
        <f>C76</f>
        <v>0.02</v>
      </c>
      <c r="E55" s="131">
        <f>C75</f>
        <v>0.04</v>
      </c>
      <c r="F55" s="131">
        <f>C74</f>
        <v>0.08</v>
      </c>
      <c r="H55" s="120"/>
    </row>
    <row r="56" spans="1:17" ht="13.15">
      <c r="A56" s="143">
        <v>5</v>
      </c>
      <c r="B56" s="123">
        <f t="dataTable" ref="B56:F61" dt2D="1" dtr="1" r1="C16" r2="C17"/>
        <v>1169173.1621667226</v>
      </c>
      <c r="C56" s="123">
        <v>1207039.9566330849</v>
      </c>
      <c r="D56" s="123">
        <v>1412520.6535636419</v>
      </c>
      <c r="E56" s="123">
        <v>1457200.4465367054</v>
      </c>
      <c r="F56" s="123">
        <v>1550578.446006848</v>
      </c>
      <c r="H56" s="120"/>
    </row>
    <row r="57" spans="1:17" ht="13.15">
      <c r="A57" s="143">
        <v>10</v>
      </c>
      <c r="B57" s="123">
        <v>1036597.740660155</v>
      </c>
      <c r="C57" s="123">
        <v>1092157.9219714631</v>
      </c>
      <c r="D57" s="123">
        <v>1455572.2251859829</v>
      </c>
      <c r="E57" s="123">
        <v>1550650.0837692164</v>
      </c>
      <c r="F57" s="123">
        <v>1770891.176686652</v>
      </c>
      <c r="H57" s="120"/>
    </row>
    <row r="58" spans="1:17" ht="13.15">
      <c r="A58" s="143">
        <v>15</v>
      </c>
      <c r="B58" s="123">
        <v>907777.38030099066</v>
      </c>
      <c r="C58" s="341">
        <v>976195.25465465512</v>
      </c>
      <c r="D58" s="123">
        <v>1510080.5564744109</v>
      </c>
      <c r="E58" s="123">
        <v>1675263.5359012429</v>
      </c>
      <c r="F58" s="123">
        <v>2098546.2828157498</v>
      </c>
      <c r="G58" s="338"/>
      <c r="H58" s="339"/>
      <c r="I58" s="338"/>
      <c r="J58" s="338"/>
      <c r="K58" s="338"/>
      <c r="L58" s="338"/>
      <c r="M58" s="338"/>
      <c r="N58" s="338"/>
      <c r="O58" s="338"/>
      <c r="P58" s="338"/>
      <c r="Q58" s="338"/>
    </row>
    <row r="59" spans="1:17" ht="13.15">
      <c r="A59" s="144">
        <v>20</v>
      </c>
      <c r="B59" s="123">
        <v>803044.37202012562</v>
      </c>
      <c r="C59" s="341">
        <v>878920.52889229986</v>
      </c>
      <c r="D59" s="123">
        <v>1566906.3811209456</v>
      </c>
      <c r="E59" s="123">
        <v>1812505.7857289619</v>
      </c>
      <c r="F59" s="123">
        <v>2505060.5387825388</v>
      </c>
      <c r="G59" s="338"/>
      <c r="H59" s="339"/>
      <c r="I59" s="338"/>
      <c r="J59" s="338"/>
      <c r="K59" s="338"/>
      <c r="L59" s="338"/>
      <c r="M59" s="338"/>
      <c r="N59" s="338"/>
      <c r="O59" s="338"/>
      <c r="P59" s="338"/>
      <c r="Q59" s="338"/>
    </row>
    <row r="60" spans="1:17" ht="13.15">
      <c r="A60" s="144">
        <v>25</v>
      </c>
      <c r="B60" s="123">
        <v>723921.17424610094</v>
      </c>
      <c r="C60" s="341">
        <v>803588.04438171664</v>
      </c>
      <c r="D60" s="123">
        <v>1620991.4508775712</v>
      </c>
      <c r="E60" s="123">
        <v>1950850.8691899006</v>
      </c>
      <c r="F60" s="123">
        <v>2970689.6870990773</v>
      </c>
      <c r="G60" s="338"/>
      <c r="H60" s="339"/>
      <c r="I60" s="338"/>
      <c r="J60" s="338"/>
      <c r="K60" s="338"/>
      <c r="L60" s="338"/>
      <c r="M60" s="338"/>
      <c r="N60" s="338"/>
      <c r="O60" s="338"/>
      <c r="P60" s="338"/>
      <c r="Q60" s="338"/>
    </row>
    <row r="61" spans="1:17" ht="13.15">
      <c r="A61" s="144">
        <v>30</v>
      </c>
      <c r="B61" s="123">
        <v>666269.22697173501</v>
      </c>
      <c r="C61" s="341">
        <v>747636.98343468283</v>
      </c>
      <c r="D61" s="123">
        <v>1669818.1617144446</v>
      </c>
      <c r="E61" s="123">
        <v>2083443.8210309511</v>
      </c>
      <c r="F61" s="123">
        <v>3481778.926896235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2.8261573942388685</v>
      </c>
      <c r="C65" s="124">
        <f>C12</f>
        <v>2.8261573942388685</v>
      </c>
      <c r="D65" s="124">
        <f>C12</f>
        <v>2.8261573942388685</v>
      </c>
      <c r="E65" s="141">
        <f>C12</f>
        <v>2.8261573942388685</v>
      </c>
      <c r="F65" s="124">
        <f>C12</f>
        <v>2.8261573942388685</v>
      </c>
      <c r="H65" s="120"/>
    </row>
    <row r="66" spans="1:8" ht="13.15">
      <c r="A66" s="143">
        <f t="shared" ref="A66:A71" si="3">A56</f>
        <v>5</v>
      </c>
      <c r="B66" s="124">
        <f t="shared" ref="B66:F71" si="4">(B56-$C$7+$C$8+$C$9)/Common_Shares*$C$3*Exchange_Rate</f>
        <v>2.6619600005522472</v>
      </c>
      <c r="C66" s="124">
        <f t="shared" si="4"/>
        <v>2.6930586469022573</v>
      </c>
      <c r="D66" s="124">
        <f t="shared" si="4"/>
        <v>2.8618126070842678</v>
      </c>
      <c r="E66" s="124">
        <f t="shared" si="4"/>
        <v>2.8985065258656757</v>
      </c>
      <c r="F66" s="124">
        <f t="shared" si="4"/>
        <v>2.9751945429877202</v>
      </c>
      <c r="H66" s="120"/>
    </row>
    <row r="67" spans="1:8" ht="13.15">
      <c r="A67" s="143">
        <f t="shared" si="3"/>
        <v>10</v>
      </c>
      <c r="B67" s="124">
        <f t="shared" si="4"/>
        <v>2.5530805401638421</v>
      </c>
      <c r="C67" s="124">
        <f t="shared" si="4"/>
        <v>2.5987101334286655</v>
      </c>
      <c r="D67" s="124">
        <f t="shared" si="4"/>
        <v>2.8971693258021567</v>
      </c>
      <c r="E67" s="124">
        <f t="shared" si="4"/>
        <v>2.9752533765242948</v>
      </c>
      <c r="F67" s="124">
        <f t="shared" si="4"/>
        <v>3.156129522944958</v>
      </c>
      <c r="H67" s="120"/>
    </row>
    <row r="68" spans="1:8" ht="13.15">
      <c r="A68" s="143">
        <f t="shared" si="3"/>
        <v>15</v>
      </c>
      <c r="B68" s="124">
        <f t="shared" si="4"/>
        <v>2.447284977430134</v>
      </c>
      <c r="C68" s="124">
        <f t="shared" si="4"/>
        <v>2.5034741349368272</v>
      </c>
      <c r="D68" s="124">
        <f t="shared" si="4"/>
        <v>2.9419350721970305</v>
      </c>
      <c r="E68" s="124">
        <f t="shared" si="4"/>
        <v>3.0775939557288599</v>
      </c>
      <c r="F68" s="124">
        <f t="shared" si="4"/>
        <v>3.4252209634505779</v>
      </c>
      <c r="H68" s="120"/>
    </row>
    <row r="69" spans="1:8" ht="13.15">
      <c r="A69" s="144">
        <f t="shared" si="3"/>
        <v>20</v>
      </c>
      <c r="B69" s="124">
        <f t="shared" si="4"/>
        <v>2.361271496975839</v>
      </c>
      <c r="C69" s="124">
        <f t="shared" si="4"/>
        <v>2.4235858756344744</v>
      </c>
      <c r="D69" s="124">
        <f t="shared" si="4"/>
        <v>2.9886040931462445</v>
      </c>
      <c r="E69" s="124">
        <f t="shared" si="4"/>
        <v>3.1903061155992516</v>
      </c>
      <c r="F69" s="124">
        <f t="shared" si="4"/>
        <v>3.7590766082366338</v>
      </c>
      <c r="H69" s="120"/>
    </row>
    <row r="70" spans="1:8" ht="13.15">
      <c r="A70" s="144">
        <f t="shared" si="3"/>
        <v>25</v>
      </c>
      <c r="B70" s="124">
        <f t="shared" si="4"/>
        <v>2.2962904395525063</v>
      </c>
      <c r="C70" s="124">
        <f t="shared" si="4"/>
        <v>2.3617179956758658</v>
      </c>
      <c r="D70" s="124">
        <f t="shared" si="4"/>
        <v>3.033022229956611</v>
      </c>
      <c r="E70" s="124">
        <f t="shared" si="4"/>
        <v>3.3039239933585147</v>
      </c>
      <c r="F70" s="124">
        <f t="shared" si="4"/>
        <v>4.1414812035507529</v>
      </c>
    </row>
    <row r="71" spans="1:8" ht="13.15">
      <c r="A71" s="144">
        <f t="shared" si="3"/>
        <v>30</v>
      </c>
      <c r="B71" s="124">
        <f t="shared" si="4"/>
        <v>2.2489429535838283</v>
      </c>
      <c r="C71" s="124">
        <f t="shared" si="4"/>
        <v>2.3157673869216628</v>
      </c>
      <c r="D71" s="124">
        <f t="shared" si="4"/>
        <v>3.0731218643235749</v>
      </c>
      <c r="E71" s="124">
        <f t="shared" si="4"/>
        <v>3.4128178507847515</v>
      </c>
      <c r="F71" s="124">
        <f t="shared" si="4"/>
        <v>4.5612205489518027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3.4252209634505779</v>
      </c>
      <c r="F74" s="142">
        <f>Scenarios!C58</f>
        <v>0.05</v>
      </c>
    </row>
    <row r="75" spans="1:8">
      <c r="B75" s="127" t="str">
        <f>Scenarios!B36</f>
        <v>Optimistic</v>
      </c>
      <c r="C75" s="142">
        <f>Scenarios!C38</f>
        <v>0.04</v>
      </c>
      <c r="D75" s="145">
        <f>Scenarios!C37</f>
        <v>10</v>
      </c>
      <c r="E75" s="135">
        <f>INDEX(B$65:F$71, MATCH(D75, A$65:A$71, 0), MATCH(C75, B$64:F$64, 0))</f>
        <v>2.9752533765242948</v>
      </c>
      <c r="F75" s="142">
        <f>Scenarios!C40*(1-F$74-F$78)</f>
        <v>0.17</v>
      </c>
      <c r="H75" s="120"/>
    </row>
    <row r="76" spans="1:8">
      <c r="B76" s="127" t="str">
        <f>Scenarios!B24</f>
        <v>Base</v>
      </c>
      <c r="C76" s="142">
        <f>Scenarios!C26</f>
        <v>0.02</v>
      </c>
      <c r="D76" s="145">
        <f>Scenarios!C25</f>
        <v>10</v>
      </c>
      <c r="E76" s="135">
        <f>INDEX(B$65:F$71, MATCH(D76, A$65:A$71, 0), MATCH(C76, B$64:F$64, 0))</f>
        <v>2.8971693258021567</v>
      </c>
      <c r="F76" s="142">
        <f>Scenarios!C28*(1-F$74-F$78)</f>
        <v>0.51</v>
      </c>
      <c r="H76" s="120"/>
    </row>
    <row r="77" spans="1:8">
      <c r="B77" s="127" t="str">
        <f>Scenarios!B30</f>
        <v>Pessimistic</v>
      </c>
      <c r="C77" s="142">
        <f>Scenarios!C32</f>
        <v>-0.08</v>
      </c>
      <c r="D77" s="145">
        <f>Scenarios!C31</f>
        <v>10</v>
      </c>
      <c r="E77" s="135">
        <f>INDEX(B$65:F$71, MATCH(D77, A$65:A$71, 0), MATCH(C77, B$64:F$64, 0))</f>
        <v>2.5987101334286655</v>
      </c>
      <c r="F77" s="142">
        <f>Scenarios!C34*(1-F$74-F$78)</f>
        <v>0.17</v>
      </c>
      <c r="H77" s="120"/>
    </row>
    <row r="78" spans="1:8">
      <c r="B78" s="127" t="str">
        <f>Scenarios!B48</f>
        <v>Devil's advocate</v>
      </c>
      <c r="C78" s="142">
        <f>Scenarios!C50</f>
        <v>-0.1</v>
      </c>
      <c r="D78" s="145">
        <f>Scenarios!C49</f>
        <v>15</v>
      </c>
      <c r="E78" s="135">
        <f>INDEX(B$65:F$71, MATCH(D78, A$65:A$71, 0), MATCH(C78, B$64:F$64, 0))</f>
        <v>2.447284977430134</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148551.44731708814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1980685.9642278419</v>
      </c>
      <c r="D6" t="str">
        <f>Reporting_currency</f>
        <v>CNY</v>
      </c>
      <c r="E6" s="378"/>
      <c r="F6" s="378"/>
      <c r="H6" s="120"/>
    </row>
    <row r="7" spans="2:8" ht="13.15">
      <c r="B7" s="149" t="s">
        <v>421</v>
      </c>
      <c r="C7" s="111">
        <f>(C6*scaling_factor)/Common_Shares*Exchange_Rate</f>
        <v>1.6266666666666667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8.5779014792802307E-3</v>
      </c>
      <c r="H11" s="120"/>
    </row>
    <row r="12" spans="2:8" ht="13.35" customHeight="1">
      <c r="B12" s="118" t="s">
        <v>130</v>
      </c>
      <c r="C12" s="162">
        <f>Scenarios!C64</f>
        <v>10</v>
      </c>
      <c r="H12" s="120"/>
    </row>
    <row r="13" spans="2:8" ht="13.35" customHeight="1">
      <c r="B13" s="153" t="s">
        <v>103</v>
      </c>
      <c r="C13" s="140">
        <f>F47/Common_Shares*scaling_factor</f>
        <v>1.5246753667665027</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149825.70699677861</v>
      </c>
      <c r="D16" s="138">
        <f>IF($C$12&lt;B16,0,DDM!$C$11)</f>
        <v>8.5779014792802307E-3</v>
      </c>
      <c r="E16" s="124">
        <f t="shared" ref="E16:E45" si="0">IF($C$12&lt;B16,0,1/(1+Equity_Cost)^B16)</f>
        <v>0.93023255813953487</v>
      </c>
      <c r="F16" s="125">
        <f t="shared" ref="F16:F46" si="1">C16*E16</f>
        <v>139372.75069467779</v>
      </c>
      <c r="H16" s="120"/>
    </row>
    <row r="17" spans="2:8">
      <c r="B17" s="122">
        <v>2</v>
      </c>
      <c r="C17" s="123">
        <f t="shared" ref="C17:C45" si="2">IF(ROW()-ROW($C$16)&lt;$C$12, $C$16*(1+D17)^(ROW()-ROW($C$16)), 0)</f>
        <v>151110.89715046049</v>
      </c>
      <c r="D17" s="138">
        <f>IF($C$12&lt;B17,0,DDM!$C$11)</f>
        <v>8.5779014792802307E-3</v>
      </c>
      <c r="E17" s="124">
        <f t="shared" si="0"/>
        <v>0.86533261222282321</v>
      </c>
      <c r="F17" s="125">
        <f t="shared" si="1"/>
        <v>130761.18736654235</v>
      </c>
      <c r="H17" s="120"/>
    </row>
    <row r="18" spans="2:8">
      <c r="B18" s="122">
        <v>3</v>
      </c>
      <c r="C18" s="123">
        <f t="shared" si="2"/>
        <v>152407.11153866275</v>
      </c>
      <c r="D18" s="138">
        <f>IF($C$12&lt;B18,0,DDM!$C$11)</f>
        <v>8.5779014792802307E-3</v>
      </c>
      <c r="E18" s="124">
        <f t="shared" si="0"/>
        <v>0.80496056950960304</v>
      </c>
      <c r="F18" s="125">
        <f t="shared" si="1"/>
        <v>122681.71530147556</v>
      </c>
      <c r="H18" s="120"/>
    </row>
    <row r="19" spans="2:8">
      <c r="B19" s="122">
        <v>4</v>
      </c>
      <c r="C19" s="123">
        <f t="shared" si="2"/>
        <v>153714.44472618305</v>
      </c>
      <c r="D19" s="138">
        <f>IF($C$12&lt;B19,0,DDM!$C$11)</f>
        <v>8.5779014792802307E-3</v>
      </c>
      <c r="E19" s="124">
        <f t="shared" si="0"/>
        <v>0.7488005297763749</v>
      </c>
      <c r="F19" s="125">
        <f t="shared" si="1"/>
        <v>115101.45764524717</v>
      </c>
      <c r="H19" s="120"/>
    </row>
    <row r="20" spans="2:8">
      <c r="B20" s="122">
        <v>5</v>
      </c>
      <c r="C20" s="123">
        <f t="shared" si="2"/>
        <v>155032.9920889865</v>
      </c>
      <c r="D20" s="138">
        <f>IF($C$12&lt;B20,0,DDM!$C$11)</f>
        <v>8.5779014792802307E-3</v>
      </c>
      <c r="E20" s="124">
        <f t="shared" si="0"/>
        <v>0.69655863235011617</v>
      </c>
      <c r="F20" s="125">
        <f t="shared" si="1"/>
        <v>107989.56893865082</v>
      </c>
      <c r="H20" s="120"/>
    </row>
    <row r="21" spans="2:8">
      <c r="B21" s="122">
        <v>6</v>
      </c>
      <c r="C21" s="123">
        <f t="shared" si="2"/>
        <v>156362.84982116387</v>
      </c>
      <c r="D21" s="138">
        <f>IF($C$12&lt;B21,0,DDM!$C$11)</f>
        <v>8.5779014792802307E-3</v>
      </c>
      <c r="E21" s="124">
        <f t="shared" si="0"/>
        <v>0.64796151846522443</v>
      </c>
      <c r="F21" s="125">
        <f t="shared" si="1"/>
        <v>101317.10960167118</v>
      </c>
      <c r="H21" s="120"/>
    </row>
    <row r="22" spans="2:8">
      <c r="B22" s="122">
        <v>7</v>
      </c>
      <c r="C22" s="123">
        <f t="shared" si="2"/>
        <v>157704.11494194926</v>
      </c>
      <c r="D22" s="138">
        <f>IF($C$12&lt;B22,0,DDM!$C$11)</f>
        <v>8.5779014792802307E-3</v>
      </c>
      <c r="E22" s="124">
        <f t="shared" si="0"/>
        <v>0.60275490089788319</v>
      </c>
      <c r="F22" s="125">
        <f t="shared" si="1"/>
        <v>95056.928173023</v>
      </c>
      <c r="H22" s="120"/>
    </row>
    <row r="23" spans="2:8">
      <c r="B23" s="122">
        <v>8</v>
      </c>
      <c r="C23" s="123">
        <f t="shared" si="2"/>
        <v>159056.88530279839</v>
      </c>
      <c r="D23" s="138">
        <f>IF($C$12&lt;B23,0,DDM!$C$11)</f>
        <v>8.5779014792802307E-3</v>
      </c>
      <c r="E23" s="124">
        <f t="shared" si="0"/>
        <v>0.56070223339337966</v>
      </c>
      <c r="F23" s="125">
        <f t="shared" si="1"/>
        <v>89183.550825873681</v>
      </c>
      <c r="H23" s="120"/>
    </row>
    <row r="24" spans="2:8">
      <c r="B24" s="122">
        <v>9</v>
      </c>
      <c r="C24" s="123">
        <f t="shared" si="2"/>
        <v>160421.25959452696</v>
      </c>
      <c r="D24" s="138">
        <f>IF($C$12&lt;B24,0,DDM!$C$11)</f>
        <v>8.5779014792802307E-3</v>
      </c>
      <c r="E24" s="124">
        <f t="shared" si="0"/>
        <v>0.52158347292407414</v>
      </c>
      <c r="F24" s="125">
        <f t="shared" si="1"/>
        <v>83673.077710167825</v>
      </c>
      <c r="H24" s="120"/>
    </row>
    <row r="25" spans="2:8">
      <c r="B25" s="122">
        <v>10</v>
      </c>
      <c r="C25" s="123">
        <f t="shared" si="2"/>
        <v>161797.33735451085</v>
      </c>
      <c r="D25" s="138">
        <f>IF($C$12&lt;B25,0,DDM!$C$11)</f>
        <v>8.5779014792802307E-3</v>
      </c>
      <c r="E25" s="124">
        <f t="shared" si="0"/>
        <v>0.48519392830146441</v>
      </c>
      <c r="F25" s="125">
        <f t="shared" si="1"/>
        <v>78503.085699752381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1997676.0932903816</v>
      </c>
      <c r="D46" s="139">
        <f>Terminal_Growth</f>
        <v>0</v>
      </c>
      <c r="E46" s="124">
        <f>1/(1+Equity_Cost)^C12</f>
        <v>0.48519392830146441</v>
      </c>
      <c r="F46" s="125">
        <f t="shared" si="1"/>
        <v>969260.31117748294</v>
      </c>
      <c r="H46" s="120"/>
    </row>
    <row r="47" spans="2:8">
      <c r="C47" s="114"/>
      <c r="E47" s="127" t="s">
        <v>97</v>
      </c>
      <c r="F47" s="137">
        <f>SUM(F16:F46)</f>
        <v>2032900.7431345647</v>
      </c>
      <c r="H47" s="120"/>
    </row>
    <row r="48" spans="2:8">
      <c r="C48" s="114"/>
      <c r="H48" s="120"/>
    </row>
    <row r="49" spans="1:8" ht="13.15">
      <c r="B49" s="119" t="s">
        <v>125</v>
      </c>
      <c r="C49" s="136"/>
      <c r="D49" s="136"/>
      <c r="E49" s="117"/>
      <c r="F49" s="117"/>
      <c r="H49" s="120"/>
    </row>
    <row r="50" spans="1:8" ht="13.15">
      <c r="A50" s="133">
        <f>F47</f>
        <v>2032900.7431345647</v>
      </c>
      <c r="B50" s="131">
        <f>C73</f>
        <v>-0.1</v>
      </c>
      <c r="C50" s="131">
        <f>C72</f>
        <v>-0.08</v>
      </c>
      <c r="D50" s="131">
        <f>C71</f>
        <v>0.02</v>
      </c>
      <c r="E50" s="131">
        <f>C70</f>
        <v>0.04</v>
      </c>
      <c r="F50" s="131">
        <f>C69</f>
        <v>0.08</v>
      </c>
      <c r="H50" s="120"/>
    </row>
    <row r="51" spans="1:8" ht="13.15">
      <c r="A51" s="143">
        <v>5</v>
      </c>
      <c r="B51" s="123">
        <f t="dataTable" ref="B51:F56" dt2D="1" dtr="1" r1="C11" r2="C12"/>
        <v>1691443.5450417665</v>
      </c>
      <c r="C51" s="123">
        <v>1746225.4602824945</v>
      </c>
      <c r="D51" s="123">
        <v>2043494.5130631572</v>
      </c>
      <c r="E51" s="123">
        <v>2108132.7975051622</v>
      </c>
      <c r="F51" s="123">
        <v>2243222.8077479424</v>
      </c>
      <c r="H51" s="120"/>
    </row>
    <row r="52" spans="1:8" ht="13.15">
      <c r="A52" s="143">
        <v>10</v>
      </c>
      <c r="B52" s="123">
        <v>1499646.599820321</v>
      </c>
      <c r="C52" s="123">
        <v>1580025.5488771081</v>
      </c>
      <c r="D52" s="123">
        <v>2105777.2486585951</v>
      </c>
      <c r="E52" s="123">
        <v>2243326.4461435713</v>
      </c>
      <c r="F52" s="123">
        <v>2561949.3730312982</v>
      </c>
      <c r="H52" s="120"/>
    </row>
    <row r="53" spans="1:8" ht="13.15">
      <c r="A53" s="143">
        <v>15</v>
      </c>
      <c r="B53" s="123">
        <v>1313282.1039096701</v>
      </c>
      <c r="C53" s="123">
        <v>1412262.2855335125</v>
      </c>
      <c r="D53" s="123">
        <v>2184634.4856293346</v>
      </c>
      <c r="E53" s="123">
        <v>2423604.8052905379</v>
      </c>
      <c r="F53" s="123">
        <v>3035968.2200213964</v>
      </c>
      <c r="H53" s="120"/>
    </row>
    <row r="54" spans="1:8" ht="13.15">
      <c r="A54" s="144">
        <v>20</v>
      </c>
      <c r="B54" s="123">
        <v>1161764.7953176913</v>
      </c>
      <c r="C54" s="123">
        <v>1271534.8789263282</v>
      </c>
      <c r="D54" s="123">
        <v>2266844.4416908729</v>
      </c>
      <c r="E54" s="123">
        <v>2622153.2539633634</v>
      </c>
      <c r="F54" s="123">
        <v>3624072.6484092521</v>
      </c>
      <c r="H54" s="120"/>
    </row>
    <row r="55" spans="1:8" ht="13.15">
      <c r="A55" s="144">
        <v>25</v>
      </c>
      <c r="B55" s="123">
        <v>1047297.215605275</v>
      </c>
      <c r="C55" s="123">
        <v>1162551.3264632802</v>
      </c>
      <c r="D55" s="123">
        <v>2345089.3459387976</v>
      </c>
      <c r="E55" s="123">
        <v>2822297.1727432073</v>
      </c>
      <c r="F55" s="123">
        <v>4297698.6285367329</v>
      </c>
      <c r="H55" s="120"/>
    </row>
    <row r="56" spans="1:8" ht="13.15">
      <c r="A56" s="144">
        <v>30</v>
      </c>
      <c r="B56" s="123">
        <v>963892.10742130107</v>
      </c>
      <c r="C56" s="123">
        <v>1081606.8915929871</v>
      </c>
      <c r="D56" s="123">
        <v>2415726.9790483345</v>
      </c>
      <c r="E56" s="123">
        <v>3014119.4791105143</v>
      </c>
      <c r="F56" s="123">
        <v>5037091.7514451854</v>
      </c>
      <c r="H56" s="120"/>
    </row>
    <row r="57" spans="1:8">
      <c r="C57" s="114"/>
      <c r="D57" s="114"/>
      <c r="E57" s="114"/>
      <c r="F57" s="114"/>
      <c r="H57" s="120"/>
    </row>
    <row r="58" spans="1:8" ht="13.15">
      <c r="B58" s="119" t="s">
        <v>126</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1.3891221945123251</v>
      </c>
      <c r="C61" s="124">
        <f t="shared" si="4"/>
        <v>1.4341126256395484</v>
      </c>
      <c r="D61" s="124">
        <f t="shared" si="4"/>
        <v>1.6782490853929704</v>
      </c>
      <c r="E61" s="124">
        <f t="shared" si="4"/>
        <v>1.7313342006466235</v>
      </c>
      <c r="F61" s="124">
        <f t="shared" si="4"/>
        <v>1.8422788029865789</v>
      </c>
      <c r="H61" s="120"/>
    </row>
    <row r="62" spans="1:8" ht="13.15">
      <c r="A62" s="143">
        <f t="shared" si="3"/>
        <v>10</v>
      </c>
      <c r="B62" s="124">
        <f t="shared" si="4"/>
        <v>1.2316062110626997</v>
      </c>
      <c r="C62" s="124">
        <f t="shared" si="4"/>
        <v>1.2976185721809075</v>
      </c>
      <c r="D62" s="124">
        <f t="shared" si="4"/>
        <v>1.729399672478293</v>
      </c>
      <c r="E62" s="124">
        <f t="shared" si="4"/>
        <v>1.8423639175007427</v>
      </c>
      <c r="F62" s="124">
        <f t="shared" si="4"/>
        <v>2.1040375516682315</v>
      </c>
      <c r="H62" s="120"/>
    </row>
    <row r="63" spans="1:8" ht="13.15">
      <c r="A63" s="143">
        <f t="shared" si="3"/>
        <v>15</v>
      </c>
      <c r="B63" s="124">
        <f t="shared" si="4"/>
        <v>1.0785517042791499</v>
      </c>
      <c r="C63" s="124">
        <f t="shared" si="4"/>
        <v>1.1598405935912348</v>
      </c>
      <c r="D63" s="124">
        <f t="shared" si="4"/>
        <v>1.7941623057893961</v>
      </c>
      <c r="E63" s="124">
        <f t="shared" si="4"/>
        <v>1.9904200974515383</v>
      </c>
      <c r="F63" s="124">
        <f t="shared" si="4"/>
        <v>2.4933323069684019</v>
      </c>
      <c r="H63" s="120"/>
    </row>
    <row r="64" spans="1:8" ht="13.15">
      <c r="A64" s="144">
        <f t="shared" si="3"/>
        <v>20</v>
      </c>
      <c r="B64" s="124">
        <f t="shared" si="4"/>
        <v>0.95411594830321311</v>
      </c>
      <c r="C64" s="124">
        <f t="shared" si="4"/>
        <v>1.0442661988872288</v>
      </c>
      <c r="D64" s="124">
        <f t="shared" si="4"/>
        <v>1.8616784075887891</v>
      </c>
      <c r="E64" s="124">
        <f t="shared" si="4"/>
        <v>2.1534808496391631</v>
      </c>
      <c r="F64" s="124">
        <f t="shared" si="4"/>
        <v>2.9763214771120508</v>
      </c>
      <c r="H64" s="120"/>
    </row>
    <row r="65" spans="1:8" ht="13.15">
      <c r="A65" s="144">
        <f t="shared" si="3"/>
        <v>25</v>
      </c>
      <c r="B65" s="124">
        <f t="shared" si="4"/>
        <v>0.86010781188226038</v>
      </c>
      <c r="C65" s="124">
        <f t="shared" si="4"/>
        <v>0.95476189825183277</v>
      </c>
      <c r="D65" s="124">
        <f t="shared" si="4"/>
        <v>1.9259381538965499</v>
      </c>
      <c r="E65" s="124">
        <f t="shared" si="4"/>
        <v>2.3178519044631587</v>
      </c>
      <c r="F65" s="124">
        <f t="shared" si="4"/>
        <v>3.5295464443527376</v>
      </c>
    </row>
    <row r="66" spans="1:8" ht="13.15">
      <c r="A66" s="144">
        <f t="shared" si="3"/>
        <v>30</v>
      </c>
      <c r="B66" s="124">
        <f t="shared" si="4"/>
        <v>0.79161017431481873</v>
      </c>
      <c r="C66" s="124">
        <f t="shared" si="4"/>
        <v>0.88828512382433922</v>
      </c>
      <c r="D66" s="124">
        <f t="shared" si="4"/>
        <v>1.9839503200181532</v>
      </c>
      <c r="E66" s="124">
        <f t="shared" si="4"/>
        <v>2.4753887161164196</v>
      </c>
      <c r="F66" s="124">
        <f t="shared" si="4"/>
        <v>4.1367836178976276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1.8423639175007427</v>
      </c>
      <c r="F70" s="142">
        <f>Scenarios!C40*(1-F$69-F$73)</f>
        <v>0.17</v>
      </c>
      <c r="H70" s="120"/>
    </row>
    <row r="71" spans="1:8">
      <c r="B71" s="127" t="str">
        <f>Scenarios!B24</f>
        <v>Base</v>
      </c>
      <c r="C71" s="142">
        <f>Scenarios!C26</f>
        <v>0.02</v>
      </c>
      <c r="D71" s="145">
        <f>Scenarios!C25</f>
        <v>10</v>
      </c>
      <c r="E71" s="135">
        <f>INDEX(B$60:F$66, MATCH(D71, A$60:A$66, 0), MATCH(C71, B$59:F$59, 0))</f>
        <v>1.729399672478293</v>
      </c>
      <c r="F71" s="142">
        <f>Scenarios!C28*(1-F$69-F$73)</f>
        <v>0.51</v>
      </c>
      <c r="H71" s="120"/>
    </row>
    <row r="72" spans="1:8">
      <c r="B72" s="127" t="str">
        <f>Scenarios!B30</f>
        <v>Pessimistic</v>
      </c>
      <c r="C72" s="142">
        <f>Scenarios!C32</f>
        <v>-0.08</v>
      </c>
      <c r="D72" s="145">
        <f>Scenarios!C31</f>
        <v>10</v>
      </c>
      <c r="E72" s="135">
        <f>INDEX(B$60:F$66, MATCH(D72, A$60:A$66, 0), MATCH(C72, B$59:F$59, 0))</f>
        <v>1.2976185721809075</v>
      </c>
      <c r="F72" s="142">
        <f>Scenarios!C34*(1-F$69-F$73)</f>
        <v>0.17</v>
      </c>
      <c r="H72" s="120"/>
    </row>
    <row r="73" spans="1:8">
      <c r="B73" s="127" t="str">
        <f>Scenarios!B48</f>
        <v>Devil's advocate</v>
      </c>
      <c r="C73" s="142">
        <f>Scenarios!C50</f>
        <v>-0.1</v>
      </c>
      <c r="D73" s="145">
        <f>Scenarios!C49</f>
        <v>15</v>
      </c>
      <c r="E73" s="135">
        <f>INDEX(B$60:F$66, MATCH(D73, A$60:A$66, 0), MATCH(C73, B$59:F$59, 0))</f>
        <v>1.0785517042791499</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-2.64</v>
      </c>
    </row>
    <row r="4" spans="2:9">
      <c r="B4" s="152" t="s">
        <v>142</v>
      </c>
      <c r="C4" s="120">
        <v>2</v>
      </c>
      <c r="D4" s="120"/>
      <c r="E4" s="155" t="s">
        <v>146</v>
      </c>
      <c r="F4" s="155"/>
      <c r="H4" s="247">
        <v>1</v>
      </c>
      <c r="I4" s="124">
        <f t="shared" ref="I4:I13" si="0">IF(ROW()-3 &lt; $C$76, $C$77, IF(ROW()-3 = $C$76, $C$77 + $C$60, ""))</f>
        <v>0.11141357156111965</v>
      </c>
    </row>
    <row r="5" spans="2:9">
      <c r="H5" s="247">
        <v>2</v>
      </c>
      <c r="I5" s="124">
        <f t="shared" si="0"/>
        <v>0.11141357156111965</v>
      </c>
    </row>
    <row r="6" spans="2:9" ht="13.15">
      <c r="B6" s="159" t="s">
        <v>92</v>
      </c>
      <c r="C6" s="107">
        <f>DCF!C3</f>
        <v>1000</v>
      </c>
      <c r="E6" s="100" t="s">
        <v>274</v>
      </c>
      <c r="F6" s="100"/>
      <c r="H6" s="247">
        <v>3</v>
      </c>
      <c r="I6" s="124">
        <f t="shared" si="0"/>
        <v>2.9525332703277645</v>
      </c>
    </row>
    <row r="7" spans="2:9" ht="12.75" customHeight="1">
      <c r="B7" s="100" t="s">
        <v>270</v>
      </c>
      <c r="C7" s="338">
        <f>Normalized_FCF!G8</f>
        <v>157888</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80"/>
      <c r="H7" s="247">
        <v>4</v>
      </c>
      <c r="I7" s="124" t="str">
        <f t="shared" si="0"/>
        <v/>
      </c>
    </row>
    <row r="8" spans="2:9">
      <c r="B8" s="100" t="s">
        <v>64</v>
      </c>
      <c r="C8" s="338">
        <f>Normalized_FCF!G19</f>
        <v>133751.63216732963</v>
      </c>
      <c r="D8" t="str">
        <f>Reporting_currency</f>
        <v>CNY</v>
      </c>
      <c r="E8" s="380"/>
      <c r="F8" s="380"/>
      <c r="H8" s="247">
        <v>5</v>
      </c>
      <c r="I8" s="124" t="str">
        <f t="shared" si="0"/>
        <v/>
      </c>
    </row>
    <row r="9" spans="2:9">
      <c r="B9" s="100" t="s">
        <v>55</v>
      </c>
      <c r="C9" s="338">
        <f>Normalized_FCF!C19</f>
        <v>102682.92188248859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0.12167914390403989</v>
      </c>
      <c r="D12" s="158"/>
      <c r="E12" s="380"/>
      <c r="F12" s="380"/>
      <c r="H12" s="247">
        <v>9</v>
      </c>
      <c r="I12" s="124" t="str">
        <f t="shared" si="0"/>
        <v/>
      </c>
    </row>
    <row r="13" spans="2:9">
      <c r="B13" s="148" t="s">
        <v>148</v>
      </c>
      <c r="C13" s="158">
        <f ca="1">(Normalized_FCF!G8/OFFSET(Normalized_FCF!G8, 0, $C$4))^(1/$C$4) - 1</f>
        <v>7.4870016543118432</v>
      </c>
      <c r="E13" s="380"/>
      <c r="F13" s="380"/>
      <c r="H13" s="247">
        <v>10</v>
      </c>
      <c r="I13" s="124" t="str">
        <f t="shared" si="0"/>
        <v/>
      </c>
    </row>
    <row r="14" spans="2:9">
      <c r="B14" s="100" t="s">
        <v>64</v>
      </c>
      <c r="C14" s="158">
        <f ca="1">(Normalized_FCF!G19/OFFSET(Normalized_FCF!G19, 0, $C$4))^(1/$C$4) - 1</f>
        <v>2.0125053613767432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2.64</v>
      </c>
      <c r="D21" t="str">
        <f>Market_currency</f>
        <v>HKD</v>
      </c>
      <c r="E21" s="381"/>
      <c r="F21" s="381"/>
    </row>
    <row r="22" spans="2:6">
      <c r="B22" s="100" t="s">
        <v>273</v>
      </c>
      <c r="C22" s="160">
        <f>IF(valuation_method="DCF",DCF!C12,DDM!C7)</f>
        <v>2.8261573942388685</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2.8971693258021567</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-0.08</v>
      </c>
      <c r="D32" s="164"/>
      <c r="E32" s="379"/>
      <c r="F32" s="379"/>
    </row>
    <row r="33" spans="2:6">
      <c r="B33" s="100" t="s">
        <v>109</v>
      </c>
      <c r="C33" s="160">
        <f>IF(valuation_method="DCF",DCF!E77,DDM!E72)</f>
        <v>2.5987101334286655</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2.9752533765242948</v>
      </c>
      <c r="D39" t="str">
        <f>Market_currency</f>
        <v>HKD</v>
      </c>
      <c r="E39" s="379"/>
      <c r="F39" s="379"/>
    </row>
    <row r="40" spans="2:6">
      <c r="B40" s="100" t="s">
        <v>143</v>
      </c>
      <c r="C40" s="167">
        <f>1-C28-C34</f>
        <v>0.2</v>
      </c>
      <c r="D40" s="165"/>
      <c r="E40" s="379"/>
      <c r="F40" s="379"/>
    </row>
    <row r="42" spans="2:6" ht="13.15">
      <c r="B42" s="100" t="s">
        <v>116</v>
      </c>
      <c r="C42" s="154">
        <f>C27*C28+C33*C34+C39*C40</f>
        <v>2.8530942974718858</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2.447284977430134</v>
      </c>
      <c r="D51" t="str">
        <f>Market_currency</f>
        <v>HKD</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3.4252209634505779</v>
      </c>
      <c r="D57" t="str">
        <f>Market_currency</f>
        <v>HKD</v>
      </c>
      <c r="E57" s="379"/>
      <c r="F57" s="379"/>
    </row>
    <row r="58" spans="2:6">
      <c r="B58" s="100" t="s">
        <v>143</v>
      </c>
      <c r="C58" s="165">
        <v>0.05</v>
      </c>
      <c r="D58" s="165"/>
      <c r="E58" s="379"/>
      <c r="F58" s="379"/>
    </row>
    <row r="60" spans="2:6" ht="13.15">
      <c r="B60" s="100" t="s">
        <v>116</v>
      </c>
      <c r="C60" s="154">
        <f>C51*C52+C57*C58+C42*(1-C52-C58)</f>
        <v>2.8411196987666449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8.5779014792802307E-3</v>
      </c>
      <c r="D65" s="151"/>
      <c r="E65" s="251" t="s">
        <v>304</v>
      </c>
    </row>
    <row r="66" spans="2:6">
      <c r="B66" s="100" t="s">
        <v>99</v>
      </c>
      <c r="C66" s="160">
        <f>IF(valuation_method="DCF",DCF!C18,DDM!C13)</f>
        <v>2.8557987263523703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0.59897505402291296</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0.11141357156111965</v>
      </c>
      <c r="D77" t="str">
        <f>Market_currency</f>
        <v>HKD</v>
      </c>
    </row>
    <row r="79" spans="2:6" ht="13.15">
      <c r="B79" s="109" t="s">
        <v>296</v>
      </c>
    </row>
    <row r="80" spans="2:6">
      <c r="B80" s="148" t="s">
        <v>294</v>
      </c>
      <c r="C80" s="167">
        <f>Thesis!F29</f>
        <v>0.35</v>
      </c>
    </row>
    <row r="81" spans="2:8">
      <c r="B81" s="100" t="s">
        <v>117</v>
      </c>
      <c r="C81" s="116">
        <f>PV(C80, C76, -C77, 0)</f>
        <v>0.18894401355028068</v>
      </c>
      <c r="D81" s="116"/>
      <c r="E81" s="100"/>
      <c r="F81" s="100"/>
    </row>
    <row r="82" spans="2:8">
      <c r="B82" s="100" t="s">
        <v>118</v>
      </c>
      <c r="C82" s="116">
        <f>C60/(1+C80)^C76</f>
        <v>1.1547506777489791</v>
      </c>
      <c r="D82" s="116"/>
    </row>
    <row r="83" spans="2:8" ht="13.15">
      <c r="B83" s="110" t="s">
        <v>98</v>
      </c>
      <c r="C83" s="111">
        <f>C81+C82</f>
        <v>1.3436946912992598</v>
      </c>
      <c r="D83" t="str">
        <f>Market_currency</f>
        <v>HKD</v>
      </c>
      <c r="E83" s="146" t="s">
        <v>122</v>
      </c>
      <c r="F83" s="291">
        <f>(1-C83/C60)</f>
        <v>0.52705452998598767</v>
      </c>
    </row>
    <row r="84" spans="2:8">
      <c r="E84" s="120"/>
    </row>
    <row r="85" spans="2:8" ht="13.15">
      <c r="B85" s="109" t="s">
        <v>297</v>
      </c>
    </row>
    <row r="86" spans="2:8">
      <c r="B86" s="148" t="s">
        <v>295</v>
      </c>
      <c r="C86" s="116">
        <f>Market_Price</f>
        <v>2.64</v>
      </c>
      <c r="D86" t="str">
        <f>Market_currency</f>
        <v>HKD</v>
      </c>
    </row>
    <row r="87" spans="2:8" ht="13.15">
      <c r="B87" s="100" t="s">
        <v>293</v>
      </c>
      <c r="C87" s="237">
        <f ca="1">IRR(OFFSET($I$3, 0, 0, $C$76 + 1, 1))</f>
        <v>6.5991574156843313E-2</v>
      </c>
    </row>
    <row r="88" spans="2:8">
      <c r="B88" s="100"/>
    </row>
    <row r="89" spans="2:8" ht="13.15">
      <c r="B89" s="109" t="s">
        <v>392</v>
      </c>
    </row>
    <row r="90" spans="2:8">
      <c r="B90" s="148" t="s">
        <v>393</v>
      </c>
      <c r="C90" s="167">
        <f>Thesis!F30</f>
        <v>0.25</v>
      </c>
    </row>
    <row r="91" spans="2:8">
      <c r="B91" s="100" t="s">
        <v>117</v>
      </c>
      <c r="C91" s="116">
        <f>PV(C90, C76, -C77, 0)</f>
        <v>0.21747929168730556</v>
      </c>
      <c r="D91" s="116"/>
      <c r="E91" s="100"/>
      <c r="F91" s="100"/>
    </row>
    <row r="92" spans="2:8">
      <c r="B92" s="100" t="s">
        <v>118</v>
      </c>
      <c r="C92" s="116">
        <f>C60/(1+C90)^C76</f>
        <v>1.4546532857685222</v>
      </c>
      <c r="D92" s="116"/>
    </row>
    <row r="93" spans="2:8" ht="13.15">
      <c r="B93" s="110" t="s">
        <v>98</v>
      </c>
      <c r="C93" s="111">
        <f>C91+C92</f>
        <v>1.6721325774558278</v>
      </c>
      <c r="D93" t="str">
        <f>Market_currency</f>
        <v>HKD</v>
      </c>
      <c r="E93" s="146" t="s">
        <v>122</v>
      </c>
      <c r="F93" s="291">
        <f>(1-C93/C60)</f>
        <v>0.41145296406141729</v>
      </c>
    </row>
    <row r="95" spans="2:8" ht="13.15">
      <c r="B95" s="109" t="s">
        <v>378</v>
      </c>
      <c r="G95" s="2"/>
      <c r="H95" s="281"/>
    </row>
    <row r="96" spans="2:8">
      <c r="B96" s="148" t="s">
        <v>383</v>
      </c>
      <c r="C96" s="134">
        <f>Thesis!F31</f>
        <v>7.4999999999999997E-2</v>
      </c>
      <c r="G96" s="2"/>
      <c r="H96" s="281"/>
    </row>
    <row r="97" spans="2:8">
      <c r="B97" s="100" t="s">
        <v>117</v>
      </c>
      <c r="C97" s="116">
        <f>PV(C96, C76, -C77, 0)</f>
        <v>0.28973386061575823</v>
      </c>
      <c r="D97" s="116"/>
      <c r="G97" s="2"/>
      <c r="H97" s="281"/>
    </row>
    <row r="98" spans="2:8">
      <c r="B98" s="100" t="s">
        <v>118</v>
      </c>
      <c r="C98" s="116">
        <f>C60/(1+C96)^C76</f>
        <v>2.2869893307641505</v>
      </c>
      <c r="D98" s="116"/>
      <c r="G98" s="2"/>
      <c r="H98" s="281"/>
    </row>
    <row r="99" spans="2:8" ht="13.15">
      <c r="B99" s="110" t="s">
        <v>379</v>
      </c>
      <c r="C99" s="111">
        <f>C97+C98</f>
        <v>2.5767231913799087</v>
      </c>
      <c r="D99" t="s">
        <v>377</v>
      </c>
      <c r="E99" s="146" t="s">
        <v>122</v>
      </c>
      <c r="F99" s="291">
        <f>(1-C99/C60)</f>
        <v>9.3060671643476756E-2</v>
      </c>
    </row>
    <row r="100" spans="2:8">
      <c r="B100" s="100"/>
    </row>
    <row r="101" spans="2:8" ht="13.15">
      <c r="B101" s="109" t="s">
        <v>399</v>
      </c>
    </row>
    <row r="102" spans="2:8">
      <c r="B102" s="148" t="s">
        <v>398</v>
      </c>
      <c r="C102" s="134">
        <f>Thesis!F32</f>
        <v>0.1174</v>
      </c>
    </row>
    <row r="103" spans="2:8">
      <c r="B103" s="100" t="s">
        <v>117</v>
      </c>
      <c r="C103" s="116">
        <f>PV(C102, C76, -C77, 0)</f>
        <v>0.26879673102034662</v>
      </c>
      <c r="D103" s="116"/>
    </row>
    <row r="104" spans="2:8">
      <c r="B104" s="100" t="s">
        <v>118</v>
      </c>
      <c r="C104" s="116">
        <f>C60/(1+C102)^C76</f>
        <v>2.0364020718900782</v>
      </c>
      <c r="D104" s="116"/>
    </row>
    <row r="105" spans="2:8" ht="13.15">
      <c r="B105" s="110" t="s">
        <v>379</v>
      </c>
      <c r="C105" s="111">
        <f>C103+C104</f>
        <v>2.3051988029104247</v>
      </c>
      <c r="D105" t="s">
        <v>377</v>
      </c>
      <c r="E105" s="146" t="s">
        <v>122</v>
      </c>
      <c r="F105" s="291">
        <f>(1-C105/C66)</f>
        <v>0.19280067546819424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4FA76-38E3-4C58-AD0D-A92B56B2978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