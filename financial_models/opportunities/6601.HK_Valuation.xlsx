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C4C0EA0-E691-4AAA-A714-F1EB672C03C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C25" i="4"/>
  <c r="D25" i="4"/>
  <c r="E25" i="4"/>
  <c r="C29" i="4"/>
  <c r="C30" i="4"/>
  <c r="C32" i="4"/>
  <c r="C160" i="6"/>
  <c r="D164" i="6"/>
  <c r="C164" i="6"/>
  <c r="C102" i="9"/>
  <c r="D62" i="4"/>
  <c r="E62" i="4"/>
  <c r="F62" i="4"/>
  <c r="G62" i="4"/>
  <c r="H62" i="4"/>
  <c r="I6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G9" i="2" l="1"/>
  <c r="C62" i="4"/>
  <c r="G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C67" i="8"/>
  <c r="C70" i="8"/>
  <c r="E66" i="8"/>
  <c r="E67" i="8"/>
  <c r="B70" i="8"/>
  <c r="C66" i="8"/>
  <c r="E70" i="8"/>
  <c r="F71" i="8"/>
  <c r="B68" i="8"/>
  <c r="D66" i="8"/>
  <c r="B66" i="8"/>
  <c r="G54" i="2"/>
  <c r="D70" i="8" l="1"/>
  <c r="B69" i="8"/>
  <c r="B67" i="8"/>
  <c r="D71" i="8"/>
  <c r="F69" i="8"/>
  <c r="C69" i="8"/>
  <c r="C68" i="8"/>
  <c r="D67" i="8"/>
  <c r="E71" i="8"/>
  <c r="F70" i="8"/>
  <c r="F67"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<sst xmlns="http://schemas.openxmlformats.org/spreadsheetml/2006/main" count="639" uniqueCount="444">
  <si>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</si>
  <si>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</si>
  <si>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</si>
  <si>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</si>
  <si>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</si>
  <si>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</si>
  <si>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</si>
  <si>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</si>
  <si>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</si>
  <si>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</si>
  <si>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</si>
  <si>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</si>
  <si>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</si>
  <si>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</si>
  <si>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</si>
  <si>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</si>
  <si>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</si>
  <si>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</si>
  <si>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</si>
  <si>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</si>
  <si>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</si>
  <si>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</si>
  <si>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</si>
  <si>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</si>
  <si>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</si>
  <si>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</si>
  <si>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</si>
  <si>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</si>
  <si>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</si>
  <si>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</si>
  <si>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</si>
  <si>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</si>
  <si>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</si>
  <si>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</si>
  <si>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</si>
  <si>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</si>
  <si>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</si>
  <si>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</si>
  <si>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</si>
  <si>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</si>
  <si>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</si>
  <si>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</si>
  <si>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</si>
  <si>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</si>
  <si>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</si>
  <si>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</si>
  <si>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</si>
  <si>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</si>
  <si>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</si>
  <si>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</si>
  <si>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</si>
  <si>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</si>
  <si>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</si>
  <si>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</si>
  <si>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</si>
  <si>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</si>
  <si>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</si>
  <si>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</si>
  <si>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</si>
  <si>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</si>
  <si>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</si>
  <si>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</si>
  <si>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</si>
  <si>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</si>
  <si>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</si>
  <si>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</si>
  <si>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</si>
  <si>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</si>
  <si>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</si>
  <si>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</si>
  <si>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</si>
  <si>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</si>
  <si>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</si>
  <si>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</si>
  <si>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</si>
  <si>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</si>
  <si>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</si>
  <si>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</si>
  <si>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</si>
  <si>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</si>
  <si>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</si>
  <si>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</si>
  <si>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</si>
  <si>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</si>
  <si>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</si>
  <si>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</si>
  <si>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</si>
  <si>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</si>
  <si>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</si>
  <si>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</si>
  <si>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</si>
  <si>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</si>
  <si>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</si>
  <si>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</si>
  <si>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</si>
  <si>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</si>
  <si>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</si>
  <si>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</si>
  <si>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</si>
  <si>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</si>
  <si>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</si>
  <si>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</si>
  <si>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</si>
  <si>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</si>
  <si>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</si>
  <si>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</si>
  <si>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</si>
  <si>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</si>
  <si>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</si>
  <si>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</si>
  <si>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</si>
  <si>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</si>
  <si>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</si>
  <si>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</si>
  <si>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</si>
  <si>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</si>
  <si>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</si>
  <si>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</si>
  <si>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</si>
  <si>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</si>
  <si>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</si>
  <si>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</si>
  <si>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</si>
  <si>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</si>
  <si>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</si>
  <si>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</si>
  <si>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</si>
  <si>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</si>
  <si>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</si>
  <si>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</si>
  <si>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</si>
  <si>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</si>
  <si>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</si>
  <si>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</si>
  <si>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</si>
  <si>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</si>
  <si>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</si>
  <si>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</si>
  <si>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</si>
  <si>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</si>
  <si>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</si>
  <si>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</si>
  <si>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</si>
  <si>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</si>
  <si>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</si>
  <si>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</si>
  <si>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</si>
  <si>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</si>
  <si>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</si>
  <si>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</si>
  <si>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</si>
  <si>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</si>
  <si>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</si>
  <si>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</si>
  <si>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</si>
  <si>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</si>
  <si>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</si>
  <si>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</si>
  <si>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</si>
  <si>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</si>
  <si>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</si>
  <si>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</si>
  <si>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</si>
  <si>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</si>
  <si>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</si>
  <si>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</si>
  <si>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</si>
  <si>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</si>
  <si>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</si>
  <si>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</si>
  <si>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</si>
  <si>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</si>
  <si>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</si>
  <si>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</si>
  <si>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</si>
  <si>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</si>
  <si>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</si>
  <si>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</si>
  <si>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</si>
  <si>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</si>
  <si>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</si>
  <si>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</si>
  <si>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</si>
  <si>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</si>
  <si>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</si>
  <si>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</si>
  <si>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</si>
  <si>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</si>
  <si>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</si>
  <si>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</si>
  <si>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</si>
  <si>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</si>
  <si>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</si>
  <si>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</si>
  <si>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</si>
  <si>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</si>
  <si>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</si>
  <si>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</si>
  <si>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</si>
  <si>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</si>
  <si>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</si>
  <si>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</si>
  <si>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</si>
  <si>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</si>
  <si>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</si>
  <si>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</si>
  <si>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</si>
  <si>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</si>
  <si>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</si>
  <si>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</si>
  <si>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</si>
  <si>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</si>
  <si>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</si>
  <si>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</si>
  <si>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</si>
  <si>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</si>
  <si>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</si>
  <si>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</si>
  <si>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</si>
  <si>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</si>
  <si>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</si>
  <si>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</si>
  <si>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</si>
  <si>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</si>
  <si>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</si>
  <si>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</si>
  <si>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</si>
  <si>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</si>
  <si>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</si>
  <si>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</si>
  <si>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</si>
  <si>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</si>
  <si>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</si>
  <si>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</si>
  <si>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</si>
  <si>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</si>
  <si>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</si>
  <si>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</si>
  <si>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</si>
  <si>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</si>
  <si>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</si>
  <si>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</si>
  <si>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</si>
  <si>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</si>
  <si>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</si>
  <si>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</si>
  <si>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</si>
  <si>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</si>
  <si>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</si>
  <si>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</si>
  <si>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</si>
  <si>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</si>
  <si>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</si>
  <si>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</si>
  <si>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</si>
  <si>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</si>
  <si>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</si>
  <si>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</si>
  <si>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</si>
  <si>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</si>
  <si>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</si>
  <si>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</si>
  <si>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</si>
  <si>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</si>
  <si>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</si>
  <si>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</si>
  <si>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</si>
  <si>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</si>
  <si>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</si>
  <si>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</si>
  <si>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</si>
  <si>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</si>
  <si>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</si>
  <si>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</si>
  <si>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</si>
  <si>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</si>
  <si>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</si>
  <si>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</si>
  <si>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</si>
  <si>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</si>
  <si>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</si>
  <si>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</si>
  <si>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</si>
  <si>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</si>
  <si>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</si>
  <si>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</si>
  <si>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</si>
  <si>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</si>
  <si>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</si>
  <si>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</si>
  <si>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</si>
  <si>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</si>
  <si>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</si>
  <si>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</si>
  <si>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</si>
  <si>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</si>
  <si>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</si>
  <si>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</si>
  <si>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</si>
  <si>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</si>
  <si>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</si>
  <si>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</si>
  <si>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</si>
  <si>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</si>
  <si>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</si>
  <si>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</si>
  <si>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</si>
  <si>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</si>
  <si>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</si>
  <si>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</si>
  <si>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</si>
  <si>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</si>
  <si>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</si>
  <si>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</si>
  <si>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</si>
  <si>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</si>
  <si>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</si>
  <si>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</si>
  <si>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</si>
  <si>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</si>
  <si>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</si>
  <si>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</si>
  <si>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</si>
  <si>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</si>
  <si>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</si>
  <si>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</si>
  <si>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</si>
  <si>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</si>
  <si>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</si>
  <si>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</si>
  <si>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</si>
  <si>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</si>
  <si>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</si>
  <si>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</si>
  <si>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</si>
  <si>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</si>
  <si>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</si>
  <si>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</si>
  <si>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</si>
  <si>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</si>
  <si>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</si>
  <si>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</si>
  <si>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</si>
  <si>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</si>
  <si>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</si>
  <si>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</si>
  <si>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</si>
  <si>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</si>
  <si>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</si>
  <si>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</si>
  <si>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</si>
  <si>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</si>
  <si>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</si>
  <si>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</si>
  <si>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</si>
  <si>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</si>
  <si>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</si>
  <si>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</si>
  <si>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</si>
  <si>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</si>
  <si>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</si>
  <si>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</si>
  <si>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</si>
  <si>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</si>
  <si>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</si>
  <si>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</si>
  <si>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</si>
  <si>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</si>
  <si>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</si>
  <si>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</si>
  <si>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</si>
  <si>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</si>
  <si>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</si>
  <si>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</si>
  <si>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</si>
  <si>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</si>
  <si>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</si>
  <si>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</si>
  <si>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</si>
  <si>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</si>
  <si>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</si>
  <si>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</si>
  <si>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</si>
  <si>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</si>
  <si>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</si>
  <si>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</si>
  <si>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</si>
  <si>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</si>
  <si>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</si>
  <si>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</si>
  <si>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</si>
  <si>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</si>
  <si>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</si>
  <si>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</si>
  <si>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</si>
  <si>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</si>
  <si>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</si>
  <si>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</si>
  <si>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</si>
  <si>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</si>
  <si>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</si>
  <si>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</si>
  <si>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</si>
  <si>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</si>
  <si>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</si>
  <si>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</si>
  <si>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</si>
  <si>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</si>
  <si>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</si>
  <si>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</si>
  <si>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</si>
  <si>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</si>
  <si>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</si>
  <si>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</si>
  <si>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</si>
  <si>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</si>
  <si>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</si>
  <si>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</si>
  <si>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</si>
  <si>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</si>
  <si>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</si>
  <si>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</si>
  <si>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</si>
  <si>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</si>
  <si>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</si>
  <si>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</si>
  <si>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</si>
  <si>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</si>
  <si>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</si>
  <si>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</si>
  <si>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</si>
  <si>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</si>
  <si>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in contrast to a benchmark yield of</t>
  </si>
  <si>
    <t>Exit Price Output</t>
  </si>
  <si>
    <t>Benchmark Yield</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</si>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</sst>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435</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436</v>
      </c>
    </row>
    <row r="6" spans="1:10">
      <c r="B6" s="4" t="s">
        <v>0</v>
      </c>
      <c r="C6" s="51">
        <v>1333333500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437</v>
      </c>
      <c r="D11" s="49" t="s">
        <v>438</v>
      </c>
      <c r="E11" s="34"/>
    </row>
    <row r="12" spans="1:10">
      <c r="B12" s="4" t="s">
        <v>95</v>
      </c>
      <c r="C12" s="50">
        <v>2.31</v>
      </c>
      <c r="D12" s="50"/>
      <c r="E12" s="48"/>
    </row>
    <row r="13" spans="1:10">
      <c r="B13" s="1" t="s">
        <v>426</v>
      </c>
      <c r="C13" s="48" t="s">
        <v>404</v>
      </c>
      <c r="D13" s="48"/>
      <c r="E13" s="5"/>
    </row>
    <row r="14" spans="1:10">
      <c r="B14" s="4" t="s">
        <v>430</v>
      </c>
      <c r="C14" s="35">
        <f>Thesis!C12*Common_Shares/1000000</f>
        <v>3080.0003849999998</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1.0845693200000002</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424</v>
      </c>
      <c r="D22" s="32" t="str">
        <f>IF(D11="","",Market_currency&amp;"/"&amp;D13&amp;":")</f>
        <v/>
      </c>
      <c r="E22" s="341" t="str">
        <f>IF(D11="","",1/Exchange_Rate*D16)</f>
        <v/>
      </c>
    </row>
    <row r="23" spans="1:6">
      <c r="B23" s="2" t="s">
        <v>56</v>
      </c>
      <c r="C23" s="48" t="s">
        <v>439</v>
      </c>
      <c r="E23" s="5"/>
    </row>
    <row r="24" spans="1:6">
      <c r="B24" s="2" t="s">
        <v>277</v>
      </c>
      <c r="C24" s="249">
        <v>0.4</v>
      </c>
      <c r="D24" s="1" t="s">
        <v>417</v>
      </c>
      <c r="E24" s="339">
        <v>0.2</v>
      </c>
    </row>
    <row r="25" spans="1:6">
      <c r="B25" s="2" t="str">
        <f>"Target Buy Price ("&amp;Market_currency&amp;"):"</f>
        <v>Target Buy Price (HKD):</v>
      </c>
      <c r="C25" s="252">
        <f>C139</f>
        <v>1.1785341266910694</v>
      </c>
      <c r="D25" s="1" t="s">
        <v>315</v>
      </c>
      <c r="E25" s="330">
        <v>3</v>
      </c>
    </row>
    <row r="26" spans="1:6">
      <c r="B26" s="1" t="s">
        <v>407</v>
      </c>
      <c r="C26" s="280">
        <f ca="1">Scenarios!C87</f>
        <v>0.10510633756869536</v>
      </c>
      <c r="D26" s="1" t="s">
        <v>432</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113776.93034265516</v>
      </c>
      <c r="D35" s="1" t="str">
        <f>Reporting_currency</f>
        <v>CNY</v>
      </c>
    </row>
    <row r="36" spans="2:6">
      <c r="B36" s="47"/>
      <c r="C36" s="76"/>
    </row>
    <row r="37" spans="2:6" ht="24.4" customHeight="1">
      <c r="B37" s="344" t="s">
        <v>234</v>
      </c>
      <c r="C37" s="344"/>
      <c r="D37" s="344"/>
      <c r="E37" s="344"/>
      <c r="F37" s="344"/>
    </row>
    <row r="38" spans="2:6">
      <c r="B38" s="47" t="s">
        <v>235</v>
      </c>
      <c r="C38" s="188">
        <f>Normalized_FCF!C9</f>
        <v>35974</v>
      </c>
      <c r="D38" s="1" t="str">
        <f>Reporting_currency</f>
        <v>CNY</v>
      </c>
    </row>
    <row r="39" spans="2:6">
      <c r="B39" s="52" t="s">
        <v>236</v>
      </c>
      <c r="C39" s="188">
        <f>Normalized_FCF!C10</f>
        <v>-35974</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25035.170873212428</v>
      </c>
      <c r="D45" s="1" t="str">
        <f>Reporting_currency</f>
        <v>CNY</v>
      </c>
      <c r="E45" s="321"/>
      <c r="F45" s="321"/>
    </row>
    <row r="46" spans="2:6">
      <c r="B46" s="47" t="s">
        <v>349</v>
      </c>
      <c r="C46" s="322">
        <f>Normalized_FCF!C47</f>
        <v>-1880</v>
      </c>
      <c r="D46" s="1" t="str">
        <f>Reporting_currency</f>
        <v>CNY</v>
      </c>
      <c r="E46" s="321"/>
      <c r="F46" s="321"/>
    </row>
    <row r="47" spans="2:6">
      <c r="B47" s="47" t="s">
        <v>239</v>
      </c>
      <c r="C47" s="188">
        <f>Normalized_FCF!C12</f>
        <v>23155.170873212428</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-34233.025303966897</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133773.17087321242</v>
      </c>
      <c r="D61" s="1" t="str">
        <f>Reporting_currency</f>
        <v>CNY</v>
      </c>
    </row>
    <row r="62" spans="2:6">
      <c r="B62" s="47" t="s">
        <v>249</v>
      </c>
      <c r="C62" s="188">
        <f>Normalized_FCF!C19</f>
        <v>102699.0759119007</v>
      </c>
      <c r="D62" s="1" t="str">
        <f>Reporting_currency</f>
        <v>CNY</v>
      </c>
    </row>
    <row r="63" spans="2:6">
      <c r="B63" s="254" t="s">
        <v>398</v>
      </c>
      <c r="C63" s="92">
        <f>Normalized_FCF!C125</f>
        <v>3.6163718507586665E-2</v>
      </c>
    </row>
    <row r="64" spans="2:6">
      <c r="B64" s="254" t="s">
        <v>316</v>
      </c>
      <c r="C64" s="92">
        <f>Normalized_FCF!C93</f>
        <v>4.8695691312615044E-2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440</v>
      </c>
    </row>
    <row r="74" spans="1:6">
      <c r="B74" s="1" t="s">
        <v>289</v>
      </c>
      <c r="C74" s="263">
        <f>IF(D74="Y",1%,0)</f>
        <v>0</v>
      </c>
      <c r="D74" s="286" t="s">
        <v>440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1.0442273719065647</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33999</v>
      </c>
      <c r="D91" s="1" t="str">
        <f>Reporting_currency</f>
        <v>CNY</v>
      </c>
    </row>
    <row r="92" spans="1:6">
      <c r="B92" s="47" t="s">
        <v>285</v>
      </c>
      <c r="C92" s="248">
        <f>C91*scaling_factor*Exchange_Rate/Common_Shares</f>
        <v>2.7655700776047409E-2</v>
      </c>
      <c r="D92" s="1" t="str">
        <f>Market_currency</f>
        <v>HKD</v>
      </c>
    </row>
    <row r="93" spans="1:6">
      <c r="B93" s="336" t="s">
        <v>412</v>
      </c>
      <c r="C93" s="337">
        <f>BS!G30/BS!G27</f>
        <v>0.20351769929714394</v>
      </c>
    </row>
    <row r="94" spans="1:6">
      <c r="B94" s="336" t="s">
        <v>413</v>
      </c>
      <c r="C94" s="337">
        <f>BS!G31/BS!G27</f>
        <v>1.0763175939415467E-2</v>
      </c>
    </row>
    <row r="95" spans="1:6">
      <c r="B95" s="336" t="s">
        <v>415</v>
      </c>
      <c r="C95" s="338">
        <f>BS!C50</f>
        <v>0.29882156160837919</v>
      </c>
    </row>
    <row r="97" spans="1:6">
      <c r="B97" s="1" t="s">
        <v>255</v>
      </c>
    </row>
    <row r="98" spans="1:6">
      <c r="B98" s="47" t="s">
        <v>265</v>
      </c>
      <c r="C98" s="188">
        <f>BS!C66</f>
        <v>2707640</v>
      </c>
      <c r="D98" s="1" t="str">
        <f>Reporting_currency</f>
        <v>CNY</v>
      </c>
    </row>
    <row r="99" spans="1:6">
      <c r="B99" s="47" t="s">
        <v>267</v>
      </c>
      <c r="C99" s="188">
        <f>Valuation_Model!C8</f>
        <v>1875815.2578426464</v>
      </c>
      <c r="D99" s="1" t="str">
        <f>Reporting_currency</f>
        <v>CNY</v>
      </c>
    </row>
    <row r="100" spans="1:6">
      <c r="B100" s="47" t="s">
        <v>286</v>
      </c>
      <c r="C100" s="248">
        <f>C99*scaling_factor*Exchange_Rate/Common_Shares</f>
        <v>1.525838568253197</v>
      </c>
      <c r="D100" s="1" t="str">
        <f>Market_currency</f>
        <v>HKD</v>
      </c>
    </row>
    <row r="102" spans="1:6">
      <c r="B102" s="1" t="s">
        <v>257</v>
      </c>
    </row>
    <row r="103" spans="1:6">
      <c r="B103" s="47" t="s">
        <v>258</v>
      </c>
      <c r="C103" s="188">
        <f>Valuation_Model!C9</f>
        <v>229590.09999999998</v>
      </c>
      <c r="D103" s="1" t="str">
        <f>Reporting_currency</f>
        <v>CNY</v>
      </c>
    </row>
    <row r="104" spans="1:6">
      <c r="B104" s="47" t="s">
        <v>287</v>
      </c>
      <c r="C104" s="248">
        <f>C103*scaling_factor*Exchange_Rate/Common_Shares</f>
        <v>0.18675476063245391</v>
      </c>
      <c r="D104" s="1" t="str">
        <f>Market_currency</f>
        <v>HKD</v>
      </c>
    </row>
    <row r="106" spans="1:6" ht="24.4" customHeight="1">
      <c r="B106" s="343" t="s">
        <v>374</v>
      </c>
      <c r="C106" s="343"/>
      <c r="D106" s="343"/>
      <c r="E106" s="343"/>
      <c r="F106" s="343"/>
    </row>
    <row r="108" spans="1:6">
      <c r="B108" s="47" t="s">
        <v>283</v>
      </c>
      <c r="C108" s="248">
        <f>Valuation_Model!C12</f>
        <v>2.7291650000161685</v>
      </c>
      <c r="D108" s="1" t="str">
        <f>Market_currency</f>
        <v>HKD</v>
      </c>
    </row>
    <row r="109" spans="1:6">
      <c r="B109" s="336" t="s">
        <v>414</v>
      </c>
      <c r="C109" s="248">
        <f>BS!D47</f>
        <v>1.8965738500647205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3.29 HKD</v>
      </c>
      <c r="F116" s="259">
        <f>Valuation_Model!F74</f>
        <v>0.05</v>
      </c>
    </row>
    <row r="117" spans="1:6">
      <c r="B117" s="242" t="str">
        <f>Valuation_Model!B75</f>
        <v>Optimistic</v>
      </c>
      <c r="C117" s="243">
        <f>Valuation_Model!C75</f>
        <v>0.04</v>
      </c>
      <c r="D117" s="244">
        <f>Valuation_Model!D75</f>
        <v>10</v>
      </c>
      <c r="E117" s="245" t="str">
        <f>ROUND(Valuation_Model!E75,2)&amp;" "&amp;Market_currency</f>
        <v>2.87 HKD</v>
      </c>
      <c r="F117" s="246">
        <f>Valuation_Model!F75</f>
        <v>0.17</v>
      </c>
    </row>
    <row r="118" spans="1:6">
      <c r="B118" s="242" t="str">
        <f>Valuation_Model!B76</f>
        <v>Base</v>
      </c>
      <c r="C118" s="243">
        <f>Valuation_Model!C76</f>
        <v>0.02</v>
      </c>
      <c r="D118" s="244">
        <f>Valuation_Model!D76</f>
        <v>10</v>
      </c>
      <c r="E118" s="245" t="str">
        <f>ROUND(Valuation_Model!E76,2)&amp;" "&amp;Market_currency</f>
        <v>2.8 HKD</v>
      </c>
      <c r="F118" s="246">
        <f>Valuation_Model!F76</f>
        <v>0.51</v>
      </c>
    </row>
    <row r="119" spans="1:6">
      <c r="B119" s="242" t="str">
        <f>Valuation_Model!B77</f>
        <v>Pessimistic</v>
      </c>
      <c r="C119" s="243">
        <f>Valuation_Model!C77</f>
        <v>-0.08</v>
      </c>
      <c r="D119" s="244">
        <f>Valuation_Model!D77</f>
        <v>10</v>
      </c>
      <c r="E119" s="245" t="str">
        <f>ROUND(Valuation_Model!E77,2)&amp;" "&amp;Market_currency</f>
        <v>2.51 HKD</v>
      </c>
      <c r="F119" s="246">
        <f>Valuation_Model!F77</f>
        <v>0.17</v>
      </c>
    </row>
    <row r="120" spans="1:6">
      <c r="B120" s="242" t="str">
        <f>Valuation_Model!B78</f>
        <v>Devil's advocate</v>
      </c>
      <c r="C120" s="243">
        <f>Valuation_Model!C78</f>
        <v>-0.1</v>
      </c>
      <c r="D120" s="244">
        <f>Valuation_Model!D78</f>
        <v>15</v>
      </c>
      <c r="E120" s="245" t="str">
        <f>ROUND(Valuation_Model!E78,2)&amp;" "&amp;Market_currency</f>
        <v>2.37 HKD</v>
      </c>
      <c r="F120" s="246">
        <f>Valuation_Model!F78</f>
        <v>0.1</v>
      </c>
    </row>
    <row r="122" spans="1:6">
      <c r="B122" s="235" t="s">
        <v>259</v>
      </c>
      <c r="C122" s="241">
        <f>Scenarios!C60</f>
        <v>2.7434541190161603</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0.11248704693214075</v>
      </c>
      <c r="D133" s="236" t="str">
        <f>Market_currency</f>
        <v>HKD</v>
      </c>
    </row>
    <row r="135" spans="2:6">
      <c r="B135" s="234" t="s">
        <v>418</v>
      </c>
      <c r="C135" s="270" t="str">
        <f>C11</f>
        <v>6601.HK</v>
      </c>
      <c r="D135" s="270" t="str">
        <f>IF(D11="","",D11)</f>
        <v/>
      </c>
    </row>
    <row r="136" spans="2:6">
      <c r="B136" s="1" t="s">
        <v>416</v>
      </c>
      <c r="C136" s="337">
        <f>C24</f>
        <v>0.4</v>
      </c>
    </row>
    <row r="137" spans="2:6">
      <c r="B137" s="236" t="str">
        <f>"PV("&amp;C131&amp;" yrs of Dividends)"</f>
        <v>PV(3 yrs of Dividends)</v>
      </c>
      <c r="C137" s="240">
        <f>Scenarios!C81</f>
        <v>0.17873306290966964</v>
      </c>
    </row>
    <row r="138" spans="2:6">
      <c r="B138" s="236" t="str">
        <f>"+ PV(Equity Value realized at year "&amp;C131&amp;")"</f>
        <v>+ PV(Equity Value realized at year 3)</v>
      </c>
      <c r="C138" s="240">
        <f>Scenarios!C82</f>
        <v>0.99980106378139977</v>
      </c>
    </row>
    <row r="139" spans="2:6">
      <c r="B139" s="80" t="s">
        <v>261</v>
      </c>
      <c r="C139" s="239">
        <f>Scenarios!C83</f>
        <v>1.1785341266910694</v>
      </c>
      <c r="D139" s="342" t="str">
        <f>IF($D$11="","",C139*$E$22)</f>
        <v/>
      </c>
    </row>
    <row r="140" spans="2:6">
      <c r="B140" s="290" t="s">
        <v>426</v>
      </c>
      <c r="C140" s="340" t="str">
        <f>Market_currency</f>
        <v>HKD</v>
      </c>
      <c r="D140" s="340" t="str">
        <f>IF($D$11="","",D$13)</f>
        <v/>
      </c>
    </row>
    <row r="141" spans="2:6">
      <c r="B141" s="238" t="s">
        <v>263</v>
      </c>
      <c r="C141" s="92">
        <f>Scenarios!F83</f>
        <v>0.57041959676959797</v>
      </c>
    </row>
    <row r="143" spans="2:6">
      <c r="B143" s="234" t="s">
        <v>421</v>
      </c>
    </row>
    <row r="144" spans="2:6">
      <c r="B144" s="1" t="s">
        <v>420</v>
      </c>
      <c r="C144" s="337">
        <f>Scenarios!C90</f>
        <v>0.2</v>
      </c>
    </row>
    <row r="145" spans="2:4">
      <c r="B145" s="236" t="str">
        <f>"PV("&amp;C131&amp;" yrs of Dividends)"</f>
        <v>PV(3 yrs of Dividends)</v>
      </c>
      <c r="C145" s="240">
        <f>Scenarios!C91</f>
        <v>0.23695188126909275</v>
      </c>
    </row>
    <row r="146" spans="2:4">
      <c r="B146" s="236" t="str">
        <f>"+ PV(Equity Value realized at year "&amp;C131&amp;")"</f>
        <v>+ PV(Equity Value realized at year 3)</v>
      </c>
      <c r="C146" s="240">
        <f>Scenarios!C92</f>
        <v>1.5876470596158336</v>
      </c>
    </row>
    <row r="147" spans="2:4">
      <c r="B147" s="80" t="s">
        <v>261</v>
      </c>
      <c r="C147" s="239">
        <f>Scenarios!C93</f>
        <v>1.8245989408849264</v>
      </c>
      <c r="D147" s="342" t="str">
        <f>IF($D$11="","",C147*$E$22)</f>
        <v/>
      </c>
    </row>
    <row r="148" spans="2:4">
      <c r="B148" s="290" t="s">
        <v>426</v>
      </c>
      <c r="C148" s="340" t="str">
        <f>Market_currency</f>
        <v>HKD</v>
      </c>
      <c r="D148" s="340" t="str">
        <f>IF($D$11="","",D$13)</f>
        <v/>
      </c>
    </row>
    <row r="149" spans="2:4">
      <c r="B149" s="238" t="s">
        <v>263</v>
      </c>
      <c r="C149" s="92">
        <f>Scenarios!F93</f>
        <v>0.33492638778327655</v>
      </c>
    </row>
    <row r="151" spans="2:4">
      <c r="B151" s="234" t="s">
        <v>408</v>
      </c>
    </row>
    <row r="152" spans="2:4">
      <c r="B152" s="1" t="s">
        <v>419</v>
      </c>
      <c r="C152" s="92">
        <f>Scenarios!C96</f>
        <v>0.08</v>
      </c>
    </row>
    <row r="153" spans="2:4">
      <c r="B153" s="236" t="str">
        <f>"PV("&amp;C131&amp;" yrs of Dividends)"</f>
        <v>PV(3 yrs of Dividends)</v>
      </c>
      <c r="C153" s="240">
        <f>Scenarios!C97</f>
        <v>0.2898900297532308</v>
      </c>
    </row>
    <row r="154" spans="2:4">
      <c r="B154" s="236" t="str">
        <f>"+ PV(Equity Value realized at year "&amp;C131&amp;")"</f>
        <v>+ PV(Equity Value realized at year 3)</v>
      </c>
      <c r="C154" s="240">
        <f>Scenarios!C98</f>
        <v>2.1778423314346136</v>
      </c>
    </row>
    <row r="155" spans="2:4">
      <c r="B155" s="80" t="s">
        <v>409</v>
      </c>
      <c r="C155" s="239">
        <f>Scenarios!C99</f>
        <v>2.4677323611878443</v>
      </c>
      <c r="D155" s="342" t="str">
        <f>IF($D$11="","",C155*$E$22)</f>
        <v/>
      </c>
    </row>
    <row r="156" spans="2:4">
      <c r="B156" s="290" t="s">
        <v>426</v>
      </c>
      <c r="C156" s="340" t="str">
        <f>Market_currency</f>
        <v>HKD</v>
      </c>
      <c r="D156" s="340" t="str">
        <f>IF($D$11="","",D$13)</f>
        <v/>
      </c>
    </row>
    <row r="157" spans="2:4">
      <c r="B157" s="238" t="s">
        <v>263</v>
      </c>
      <c r="C157" s="92">
        <f>Scenarios!F99</f>
        <v>0.10050168359556655</v>
      </c>
    </row>
    <row r="159" spans="2:4">
      <c r="B159" s="234" t="s">
        <v>408</v>
      </c>
    </row>
    <row r="160" spans="2:4">
      <c r="B160" s="1" t="s">
        <v>434</v>
      </c>
      <c r="C160" s="92">
        <f>E26</f>
        <v>0.1174</v>
      </c>
    </row>
    <row r="161" spans="1:6">
      <c r="B161" s="236" t="str">
        <f>"PV("&amp;C131&amp;" yrs of Dividends)"</f>
        <v>PV(3 yrs of Dividends)</v>
      </c>
      <c r="C161" s="240">
        <f>Scenarios!C103</f>
        <v>0.2713866010560903</v>
      </c>
    </row>
    <row r="162" spans="1:6">
      <c r="B162" s="236" t="str">
        <f>"+ PV(Equity Value realized at year "&amp;C131&amp;")"</f>
        <v>+ PV(Equity Value realized at year 3)</v>
      </c>
      <c r="C162" s="240">
        <f>Scenarios!C104</f>
        <v>1.9663992525641021</v>
      </c>
    </row>
    <row r="163" spans="1:6">
      <c r="B163" s="80" t="s">
        <v>409</v>
      </c>
      <c r="C163" s="239">
        <f>Scenarios!C105</f>
        <v>2.2377858536201924</v>
      </c>
      <c r="D163" s="342" t="str">
        <f>IF($D$11="","",C163*$E$22)</f>
        <v/>
      </c>
    </row>
    <row r="164" spans="1:6">
      <c r="B164" s="290" t="s">
        <v>426</v>
      </c>
      <c r="C164" s="340" t="str">
        <f>Market_currency</f>
        <v>HKD</v>
      </c>
      <c r="D164" s="340" t="str">
        <f>IF($D$11="","",D$13)</f>
        <v/>
      </c>
    </row>
    <row r="165" spans="1:6">
      <c r="B165" s="238" t="s">
        <v>263</v>
      </c>
      <c r="C165" s="92">
        <f>Scenarios!F105</f>
        <v>0.18841409272996046</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0.11248704693214075</v>
      </c>
      <c r="D25" s="39">
        <f>(0.064+0.041)/Exchange_Rate</f>
        <v>9.6812622359629341E-2</v>
      </c>
      <c r="E25" s="39">
        <f>(0.022+0.0168)/Exchange_Rate</f>
        <v>3.5774569024320177E-2</v>
      </c>
      <c r="F25" s="39"/>
      <c r="G25" s="39"/>
      <c r="H25" s="39"/>
      <c r="I25" s="39"/>
      <c r="J25" s="39"/>
      <c r="K25" s="39"/>
      <c r="L25" s="39"/>
      <c r="M25" s="39"/>
    </row>
    <row r="27" spans="2:13">
      <c r="B27" s="16" t="s">
        <v>28</v>
      </c>
      <c r="C27" s="97" t="s">
        <v>441</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0.11248704693214075</v>
      </c>
      <c r="D65" s="73">
        <f t="shared" ref="D65:M65" si="33">IF(D$4="","",D25)</f>
        <v>9.6812622359629341E-2</v>
      </c>
      <c r="E65" s="73">
        <f t="shared" si="33"/>
        <v>3.5774569024320177E-2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2.5708145314414441</v>
      </c>
      <c r="D47" s="148">
        <f>D46*H1/Common_Shares*Exchange_Rate</f>
        <v>1.8965738500647205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1875815.2578426464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-151016.89566589129</v>
      </c>
      <c r="D73" s="188">
        <f>(Normalized_FCF!C25+Normalized_FCF!C35-Normalized_FCF!C91)/12</f>
        <v>-138637.4570262256</v>
      </c>
      <c r="F73" s="1" t="s">
        <v>359</v>
      </c>
    </row>
    <row r="74" spans="2:6" ht="15" customHeight="1">
      <c r="B74" s="288" t="s">
        <v>329</v>
      </c>
      <c r="C74" s="289">
        <f>-$C$66/C73</f>
        <v>17.92938457687783</v>
      </c>
      <c r="D74" s="289">
        <f>-$C$66/D73</f>
        <v>19.530364001756066</v>
      </c>
      <c r="F74" s="283" t="s">
        <v>327</v>
      </c>
    </row>
    <row r="75" spans="2:6" ht="15" customHeight="1">
      <c r="B75" s="80" t="s">
        <v>328</v>
      </c>
      <c r="C75" s="293"/>
      <c r="D75" s="292">
        <f>MAX(-D73*D76,G5)</f>
        <v>831824.74215735355</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-36874.272310680004</v>
      </c>
      <c r="D86" s="248">
        <f>C86*scaling_factor/Common_Shares</f>
        <v>-2.7655700776047405E-2</v>
      </c>
      <c r="E86" s="269" t="str">
        <f>Market_currency</f>
        <v>HKD</v>
      </c>
    </row>
    <row r="87" spans="2:8" ht="15" customHeight="1">
      <c r="B87" s="267" t="s">
        <v>294</v>
      </c>
      <c r="C87" s="188">
        <f>Valuation_Model!C8*Exchange_Rate</f>
        <v>2034451.6786440241</v>
      </c>
      <c r="D87" s="248">
        <f>C87*scaling_factor/Common_Shares</f>
        <v>1.525838568253197</v>
      </c>
      <c r="E87" s="269" t="str">
        <f>Market_currency</f>
        <v>HKD</v>
      </c>
    </row>
    <row r="88" spans="2:8" ht="15" customHeight="1">
      <c r="B88" s="268" t="s">
        <v>190</v>
      </c>
      <c r="C88" s="188">
        <f>Valuation_Model!C9*Exchange_Rate</f>
        <v>249006.37863573202</v>
      </c>
      <c r="D88" s="248">
        <f>C88*scaling_factor/Common_Shares</f>
        <v>0.18675476063245394</v>
      </c>
      <c r="E88" s="269" t="str">
        <f>Market_currency</f>
        <v>HKD</v>
      </c>
    </row>
    <row r="89" spans="2:8" ht="15" customHeight="1">
      <c r="B89" s="80" t="s">
        <v>298</v>
      </c>
      <c r="C89" s="187">
        <f>SUM(C86:C88)</f>
        <v>2246583.784969076</v>
      </c>
      <c r="D89" s="271">
        <f>SUM(D86:D88)</f>
        <v>1.6849376281096036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-35974</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23155.170873212428</v>
      </c>
      <c r="E12" s="302"/>
      <c r="G12" s="191">
        <f>G50</f>
        <v>23155.170873212428</v>
      </c>
      <c r="H12" s="191">
        <f t="shared" ref="H12:Q12" si="6">H50</f>
        <v>21670.924559735962</v>
      </c>
      <c r="I12" s="191">
        <f t="shared" si="6"/>
        <v>13069.152005745218</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136932.10121586759</v>
      </c>
      <c r="E13" s="302"/>
      <c r="G13" s="184">
        <f>IF(G$4="","",SUM(G8:G12))</f>
        <v>181043.17087321242</v>
      </c>
      <c r="H13" s="184">
        <f t="shared" ref="H13:Q13" si="7">IF(H$4="","",SUM(H8:H12))</f>
        <v>147486.92455973595</v>
      </c>
      <c r="I13" s="184">
        <f t="shared" si="7"/>
        <v>35767.152005745214</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-34233.025303966897</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102699.0759119007</v>
      </c>
      <c r="D16" s="61"/>
      <c r="E16" s="310"/>
      <c r="F16" s="61"/>
      <c r="G16" s="184">
        <f>IF(G$4="","",SUM(G13:G15))</f>
        <v>133773.17087321242</v>
      </c>
      <c r="H16" s="184">
        <f t="shared" ref="H16:Q16" si="8">IF(H$4="","",SUM(H13:H15))</f>
        <v>103037.92455973595</v>
      </c>
      <c r="I16" s="184">
        <f t="shared" si="8"/>
        <v>14750.152005745214</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102699.0759119007</v>
      </c>
      <c r="D19" s="27"/>
      <c r="E19" s="299"/>
      <c r="F19" s="27"/>
      <c r="G19" s="186">
        <f>IF(G$4="","",G16+G17)</f>
        <v>133773.17087321242</v>
      </c>
      <c r="H19" s="186">
        <f t="shared" ref="H19:Q19" si="9">IF(H$4="","",H16+H17)</f>
        <v>103037.92455973595</v>
      </c>
      <c r="I19" s="186">
        <f t="shared" si="9"/>
        <v>14750.152005745214</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0.26109794571099276</v>
      </c>
      <c r="H43" s="6">
        <f t="shared" si="18"/>
        <v>0.35047527254048572</v>
      </c>
      <c r="I43" s="6">
        <f t="shared" si="18"/>
        <v>1.3771568484533758</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25035.170873212428</v>
      </c>
      <c r="E48" s="302"/>
      <c r="G48" s="328">
        <f>IFERROR(IF(G$4="","",($C$48/$C$49)*G49),0)</f>
        <v>25035.170873212428</v>
      </c>
      <c r="H48" s="328">
        <f t="shared" ref="H48:Q48" si="19">IFERROR(IF(H$4="","",($C$48/$C$49)*H49),0)</f>
        <v>22673.924559735962</v>
      </c>
      <c r="I48" s="328">
        <f t="shared" si="19"/>
        <v>13932.152005745218</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23155.170873212428</v>
      </c>
      <c r="E50" s="302"/>
      <c r="G50" s="184">
        <f>IF(G$4="","",(G47+G48))</f>
        <v>23155.170873212428</v>
      </c>
      <c r="H50" s="184">
        <f t="shared" ref="H50:Q50" si="20">IF(H$4="","",(H47+H48))</f>
        <v>21670.924559735962</v>
      </c>
      <c r="I50" s="184">
        <f t="shared" si="20"/>
        <v>13069.152005745218</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442</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443</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1.4227940018740491E-2</v>
      </c>
      <c r="D80" s="27"/>
      <c r="E80" s="299"/>
      <c r="F80" s="27"/>
      <c r="G80" s="6">
        <f t="shared" ref="G80:Q80" si="31">IF(G$4="","",ABS(G12/G$4))</f>
        <v>1.2721866434965633E-2</v>
      </c>
      <c r="H80" s="6">
        <f t="shared" si="31"/>
        <v>1.3413670317399557E-2</v>
      </c>
      <c r="I80" s="6">
        <f t="shared" si="31"/>
        <v>9.0341550586568436E-3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8.4139380072265221E-2</v>
      </c>
      <c r="D81" s="27"/>
      <c r="E81" s="299"/>
      <c r="F81" s="27"/>
      <c r="G81" s="65">
        <f t="shared" ref="G81:Q81" si="32">IF(G$4="","",G13/G$4)</f>
        <v>9.9468367192063561E-2</v>
      </c>
      <c r="H81" s="65">
        <f t="shared" si="32"/>
        <v>9.1290105169171507E-2</v>
      </c>
      <c r="I81" s="65">
        <f t="shared" si="32"/>
        <v>2.4724327721064438E-2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2.1034845018066305E-2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6.3104535054198926E-2</v>
      </c>
      <c r="D84" s="27"/>
      <c r="E84" s="299"/>
      <c r="F84" s="27"/>
      <c r="G84" s="65">
        <f t="shared" ref="G84:Q84" si="35">IF(G$4="","",ABS(G16/G$4))</f>
        <v>7.3497380854989053E-2</v>
      </c>
      <c r="H84" s="65">
        <f t="shared" si="35"/>
        <v>6.3777470426957389E-2</v>
      </c>
      <c r="I84" s="65">
        <f t="shared" si="35"/>
        <v>1.0196159651374576E-2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6.3104535054198926E-2</v>
      </c>
      <c r="D87" s="75"/>
      <c r="E87" s="299"/>
      <c r="F87" s="75"/>
      <c r="G87" s="65">
        <f t="shared" ref="G87:Q87" si="36">IF(G$4="","",ABS(G19/G$4))</f>
        <v>7.3497380854989053E-2</v>
      </c>
      <c r="H87" s="65">
        <f t="shared" si="36"/>
        <v>6.3777470426957389E-2</v>
      </c>
      <c r="I87" s="65">
        <f t="shared" si="36"/>
        <v>1.0196159651374576E-2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0.11248704693214075</v>
      </c>
      <c r="E90" s="302"/>
      <c r="G90" s="113">
        <f>Data!C65</f>
        <v>0.11248704693214075</v>
      </c>
      <c r="H90" s="113">
        <f>Data!D65</f>
        <v>9.6812622359629341E-2</v>
      </c>
      <c r="I90" s="113">
        <f>Data!E65</f>
        <v>3.5774569024320177E-2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149982.74799069547</v>
      </c>
      <c r="E91" s="302"/>
      <c r="G91" s="74">
        <f t="shared" ref="G91:Q91" si="37">IF(G$4="","",G90*Common_Shares/scaling_factor)</f>
        <v>149982.74799069547</v>
      </c>
      <c r="H91" s="74">
        <f t="shared" si="37"/>
        <v>129083.51261494285</v>
      </c>
      <c r="I91" s="74">
        <f t="shared" si="37"/>
        <v>47699.431328188402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1.4604099078686605</v>
      </c>
      <c r="E92" s="302"/>
      <c r="G92" s="171">
        <f t="shared" ref="G92:Q92" si="38">IF(G$4="","",G90/(G19*scaling_factor/Common_Shares))</f>
        <v>1.1211721080667676</v>
      </c>
      <c r="H92" s="171">
        <f t="shared" si="38"/>
        <v>1.2527767146562336</v>
      </c>
      <c r="I92" s="171">
        <f t="shared" si="38"/>
        <v>3.2338264249486639</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4.8695691312615044E-2</v>
      </c>
      <c r="E93" s="302"/>
      <c r="G93" s="23">
        <f t="shared" ref="G93:Q93" si="39">IF(G$4="","",G90/Market_Price)</f>
        <v>4.8695691312615044E-2</v>
      </c>
      <c r="H93" s="23">
        <f t="shared" si="39"/>
        <v>4.1910226129709668E-2</v>
      </c>
      <c r="I93" s="23">
        <f t="shared" si="39"/>
        <v>1.5486826417454622E-2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-0.24364945357832113</v>
      </c>
      <c r="D97" s="27"/>
      <c r="E97" s="299"/>
      <c r="F97" s="27"/>
      <c r="G97" s="6">
        <f t="shared" ref="G97:Q97" si="41">IF(H5="","",G13/H13-1)</f>
        <v>0.22752014399680109</v>
      </c>
      <c r="H97" s="6">
        <f t="shared" si="41"/>
        <v>3.1235300069752654</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8.4139380072265221E-2</v>
      </c>
      <c r="E117" s="302"/>
      <c r="G117" s="23">
        <f t="shared" ref="G117:Q117" si="45">G81</f>
        <v>9.9468367192063561E-2</v>
      </c>
      <c r="H117" s="23">
        <f t="shared" si="45"/>
        <v>9.1290105169171507E-2</v>
      </c>
      <c r="I117" s="23">
        <f t="shared" si="45"/>
        <v>2.4724327721064438E-2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8.353818975252518E-2</v>
      </c>
      <c r="D124" s="27"/>
      <c r="E124" s="299"/>
      <c r="F124" s="27"/>
      <c r="G124" s="178">
        <f t="shared" ref="G124:Q124" si="49">IF(G$4="","",G16*$C$3/Common_Shares*Exchange_Rate)</f>
        <v>0.1088146941243161</v>
      </c>
      <c r="H124" s="178">
        <f t="shared" si="49"/>
        <v>8.3813818353745809E-2</v>
      </c>
      <c r="I124" s="178">
        <f t="shared" si="49"/>
        <v>1.1998170248304511E-2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3.6163718507586665E-2</v>
      </c>
      <c r="D125" s="27"/>
      <c r="E125" s="299"/>
      <c r="F125" s="27"/>
      <c r="G125" s="77">
        <f t="shared" ref="G125" si="50">IF(G$4="","",G124/Market_Price)</f>
        <v>4.7105928192344632E-2</v>
      </c>
      <c r="H125" s="77">
        <f t="shared" ref="H125" si="51">IF(H$4="","",H124/Market_Price)</f>
        <v>3.628303824837481E-2</v>
      </c>
      <c r="I125" s="77">
        <f t="shared" ref="I125" si="52">IF(I$4="","",I124/Market_Price)</f>
        <v>5.1940130945041171E-3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6.3392524543466902E-2</v>
      </c>
      <c r="H126" s="23">
        <f>IF(H$4="","",(Data!D47*$C$3)/(Market_Price*Common_Shares))</f>
        <v>5.6109408570739511E-2</v>
      </c>
      <c r="I126" s="23">
        <f>IF(I$4="","",(Data!E47*$C$3)/(Market_Price*Common_Shares))</f>
        <v>2.1251945395454878E-2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102699.0759119007</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1283738.4488987587</v>
      </c>
      <c r="D6" t="str">
        <f>Reporting_currency</f>
        <v>CNY</v>
      </c>
      <c r="E6" s="351" t="s">
        <v>250</v>
      </c>
      <c r="F6" s="351"/>
      <c r="H6" s="121"/>
    </row>
    <row r="7" spans="2:8">
      <c r="B7" s="149" t="s">
        <v>225</v>
      </c>
      <c r="C7" s="226">
        <f>BS!G31</f>
        <v>33999</v>
      </c>
      <c r="D7" t="str">
        <f>Reporting_currency</f>
        <v>CNY</v>
      </c>
      <c r="E7" s="351"/>
      <c r="F7" s="351"/>
      <c r="H7" s="121"/>
    </row>
    <row r="8" spans="2:8">
      <c r="B8" s="149" t="s">
        <v>226</v>
      </c>
      <c r="C8" s="201">
        <f>BS!D66</f>
        <v>1875815.2578426464</v>
      </c>
      <c r="D8" t="str">
        <f>Reporting_currency</f>
        <v>CNY</v>
      </c>
      <c r="E8" s="351"/>
      <c r="F8" s="351"/>
      <c r="H8" s="121"/>
    </row>
    <row r="9" spans="2:8">
      <c r="B9" s="227" t="s">
        <v>191</v>
      </c>
      <c r="C9" s="229">
        <f>BS!H42</f>
        <v>229590.09999999998</v>
      </c>
      <c r="D9" t="str">
        <f>Reporting_currency</f>
        <v>CNY</v>
      </c>
      <c r="E9" s="351"/>
      <c r="F9" s="351"/>
      <c r="H9" s="121"/>
    </row>
    <row r="10" spans="2:8" ht="13.15">
      <c r="B10" s="150" t="s">
        <v>228</v>
      </c>
      <c r="C10" s="232">
        <f>C6-C7+C8+C9</f>
        <v>3355144.8067414053</v>
      </c>
      <c r="D10" t="str">
        <f>Reporting_currency</f>
        <v>CNY</v>
      </c>
      <c r="H10" s="121"/>
    </row>
    <row r="11" spans="2:8" ht="13.15" thickBot="1">
      <c r="B11" s="230" t="s">
        <v>167</v>
      </c>
      <c r="C11" s="231">
        <f>Exchange_Rate</f>
        <v>1.0845693200000002</v>
      </c>
      <c r="D11" t="str">
        <f>Thesis!C15</f>
        <v>CNY/HKD</v>
      </c>
      <c r="H11" s="121"/>
    </row>
    <row r="12" spans="2:8" ht="13.5" thickTop="1">
      <c r="B12" s="150" t="s">
        <v>103</v>
      </c>
      <c r="C12" s="112">
        <f>(C10*scaling_factor)/Common_Shares*Exchange_Rate</f>
        <v>2.7291650000161685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2.7573000388184568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103580.01846708609</v>
      </c>
      <c r="D21" s="139">
        <f>IF($C$17&lt;B21,0,Valuation_Model!$C$16)</f>
        <v>8.5779014792802307E-3</v>
      </c>
      <c r="E21" s="125">
        <f t="shared" ref="E21:E50" si="0">IF($C$17&lt;B21,0,1/(1+Equity_Cost)^B21)</f>
        <v>0.92592592592592582</v>
      </c>
      <c r="F21" s="126">
        <f t="shared" ref="F21:F51" si="1">C21*E21</f>
        <v>95907.42450656119</v>
      </c>
      <c r="H21" s="121"/>
    </row>
    <row r="22" spans="2:8">
      <c r="B22" s="123">
        <v>2</v>
      </c>
      <c r="C22" s="124">
        <f t="shared" ref="C22:C50" si="2">IF(ROW()-ROW($C$21)&lt;$C$17, $C$21*(1+D22)^(ROW()-ROW($C$21)), 0)</f>
        <v>104468.51766071878</v>
      </c>
      <c r="D22" s="139">
        <f>IF($C$17&lt;B22,0,Valuation_Model!$C$16)</f>
        <v>8.5779014792802307E-3</v>
      </c>
      <c r="E22" s="125">
        <f t="shared" si="0"/>
        <v>0.85733882030178321</v>
      </c>
      <c r="F22" s="126">
        <f t="shared" si="1"/>
        <v>89564.915689916641</v>
      </c>
      <c r="H22" s="121"/>
    </row>
    <row r="23" spans="2:8">
      <c r="B23" s="123">
        <v>3</v>
      </c>
      <c r="C23" s="124">
        <f t="shared" si="2"/>
        <v>105364.63831289885</v>
      </c>
      <c r="D23" s="139">
        <f>IF($C$17&lt;B23,0,Valuation_Model!$C$16)</f>
        <v>8.5779014792802307E-3</v>
      </c>
      <c r="E23" s="125">
        <f t="shared" si="0"/>
        <v>0.79383224102016958</v>
      </c>
      <c r="F23" s="126">
        <f t="shared" si="1"/>
        <v>83641.846956208115</v>
      </c>
      <c r="H23" s="121"/>
    </row>
    <row r="24" spans="2:8">
      <c r="B24" s="123">
        <v>4</v>
      </c>
      <c r="C24" s="124">
        <f t="shared" si="2"/>
        <v>106268.44579974689</v>
      </c>
      <c r="D24" s="139">
        <f>IF($C$17&lt;B24,0,Valuation_Model!$C$16)</f>
        <v>8.5779014792802307E-3</v>
      </c>
      <c r="E24" s="125">
        <f t="shared" si="0"/>
        <v>0.73502985279645328</v>
      </c>
      <c r="F24" s="126">
        <f t="shared" si="1"/>
        <v>78110.480073095823</v>
      </c>
      <c r="H24" s="121"/>
    </row>
    <row r="25" spans="2:8">
      <c r="B25" s="123">
        <v>5</v>
      </c>
      <c r="C25" s="124">
        <f t="shared" si="2"/>
        <v>107180.00605817334</v>
      </c>
      <c r="D25" s="139">
        <f>IF($C$17&lt;B25,0,Valuation_Model!$C$16)</f>
        <v>8.5779014792802307E-3</v>
      </c>
      <c r="E25" s="125">
        <f t="shared" si="0"/>
        <v>0.68058319703375303</v>
      </c>
      <c r="F25" s="126">
        <f t="shared" si="1"/>
        <v>72944.911181168631</v>
      </c>
      <c r="H25" s="121"/>
    </row>
    <row r="26" spans="2:8">
      <c r="B26" s="123">
        <v>6</v>
      </c>
      <c r="C26" s="124">
        <f t="shared" si="2"/>
        <v>108099.38559068901</v>
      </c>
      <c r="D26" s="139">
        <f>IF($C$17&lt;B26,0,Valuation_Model!$C$16)</f>
        <v>8.5779014792802307E-3</v>
      </c>
      <c r="E26" s="125">
        <f t="shared" si="0"/>
        <v>0.63016962688310452</v>
      </c>
      <c r="F26" s="126">
        <f t="shared" si="1"/>
        <v>68120.94948397734</v>
      </c>
      <c r="H26" s="121"/>
    </row>
    <row r="27" spans="2:8">
      <c r="B27" s="123">
        <v>7</v>
      </c>
      <c r="C27" s="124">
        <f t="shared" si="2"/>
        <v>109026.65147025663</v>
      </c>
      <c r="D27" s="139">
        <f>IF($C$17&lt;B27,0,Valuation_Model!$C$16)</f>
        <v>8.5779014792802307E-3</v>
      </c>
      <c r="E27" s="125">
        <f t="shared" si="0"/>
        <v>0.58349039526213387</v>
      </c>
      <c r="F27" s="126">
        <f t="shared" si="1"/>
        <v>63616.003960486953</v>
      </c>
      <c r="H27" s="121"/>
    </row>
    <row r="28" spans="2:8">
      <c r="B28" s="123">
        <v>8</v>
      </c>
      <c r="C28" s="124">
        <f t="shared" si="2"/>
        <v>109961.87134518432</v>
      </c>
      <c r="D28" s="139">
        <f>IF($C$17&lt;B28,0,Valuation_Model!$C$16)</f>
        <v>8.5779014792802307E-3</v>
      </c>
      <c r="E28" s="125">
        <f t="shared" si="0"/>
        <v>0.54026888450197574</v>
      </c>
      <c r="F28" s="126">
        <f t="shared" si="1"/>
        <v>59408.977569412506</v>
      </c>
      <c r="H28" s="121"/>
    </row>
    <row r="29" spans="2:8">
      <c r="B29" s="123">
        <v>9</v>
      </c>
      <c r="C29" s="124">
        <f t="shared" si="2"/>
        <v>110905.11344406058</v>
      </c>
      <c r="D29" s="139">
        <f>IF($C$17&lt;B29,0,Valuation_Model!$C$16)</f>
        <v>8.5779014792802307E-3</v>
      </c>
      <c r="E29" s="125">
        <f t="shared" si="0"/>
        <v>0.50024896713145905</v>
      </c>
      <c r="F29" s="126">
        <f t="shared" si="1"/>
        <v>55480.168449988603</v>
      </c>
      <c r="H29" s="121"/>
    </row>
    <row r="30" spans="2:8">
      <c r="B30" s="123">
        <v>10</v>
      </c>
      <c r="C30" s="124">
        <f t="shared" si="2"/>
        <v>111856.44658073214</v>
      </c>
      <c r="D30" s="139">
        <f>IF($C$17&lt;B30,0,Valuation_Model!$C$16)</f>
        <v>8.5779014792802307E-3</v>
      </c>
      <c r="E30" s="125">
        <f t="shared" si="0"/>
        <v>0.46319348808468425</v>
      </c>
      <c r="F30" s="126">
        <f t="shared" si="1"/>
        <v>51811.177656487474</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1294750.2308385761</v>
      </c>
      <c r="D51" s="140">
        <f>Terminal_Growth</f>
        <v>0</v>
      </c>
      <c r="E51" s="125">
        <f>1/(1+Equity_Cost)^C17</f>
        <v>0.46319348808468425</v>
      </c>
      <c r="F51" s="126">
        <f t="shared" si="1"/>
        <v>599719.87562057015</v>
      </c>
      <c r="H51" s="121"/>
    </row>
    <row r="52" spans="1:8">
      <c r="C52" s="115"/>
      <c r="E52" s="128" t="s">
        <v>101</v>
      </c>
      <c r="F52" s="138">
        <f>SUM(F21:F51)</f>
        <v>1318326.7311478734</v>
      </c>
      <c r="H52" s="121"/>
    </row>
    <row r="53" spans="1:8">
      <c r="C53" s="115"/>
      <c r="H53" s="121"/>
    </row>
    <row r="54" spans="1:8" ht="13.15">
      <c r="B54" s="120" t="s">
        <v>130</v>
      </c>
      <c r="C54" s="137"/>
      <c r="D54" s="137"/>
      <c r="E54" s="118"/>
      <c r="F54" s="118"/>
      <c r="H54" s="121"/>
    </row>
    <row r="55" spans="1:8" ht="13.15">
      <c r="A55" s="134">
        <f>F52</f>
        <v>1318326.7311478734</v>
      </c>
      <c r="B55" s="132">
        <f>C78</f>
        <v>-0.1</v>
      </c>
      <c r="C55" s="132">
        <f>C77</f>
        <v>-0.08</v>
      </c>
      <c r="D55" s="132">
        <f>C76</f>
        <v>0.02</v>
      </c>
      <c r="E55" s="132">
        <f>C75</f>
        <v>0.04</v>
      </c>
      <c r="F55" s="132">
        <f>C74</f>
        <v>0.08</v>
      </c>
      <c r="H55" s="121"/>
    </row>
    <row r="56" spans="1:8" ht="13.15">
      <c r="A56" s="144">
        <v>5</v>
      </c>
      <c r="B56" s="124">
        <f t="dataTable" ref="B56:F61" dt2D="1" dtr="1" r1="C16" r2="C17"/>
        <v>1093454.8391164606</v>
      </c>
      <c r="C56" s="124">
        <v>1129431.8403111803</v>
      </c>
      <c r="D56" s="124">
        <v>1325158.5712867344</v>
      </c>
      <c r="E56" s="124">
        <v>1367819.2082652142</v>
      </c>
      <c r="F56" s="124">
        <v>1457081.4626827054</v>
      </c>
      <c r="H56" s="121"/>
    </row>
    <row r="57" spans="1:8" ht="13.15">
      <c r="A57" s="144">
        <v>10</v>
      </c>
      <c r="B57" s="124">
        <v>965720.36991295766</v>
      </c>
      <c r="C57" s="124">
        <v>1018753.3862978397</v>
      </c>
      <c r="D57" s="124">
        <v>1366616.8350620191</v>
      </c>
      <c r="E57" s="124">
        <v>1457801.8795369321</v>
      </c>
      <c r="F57" s="124">
        <v>1669179.5922475525</v>
      </c>
      <c r="H57" s="121"/>
    </row>
    <row r="58" spans="1:8" ht="13.15">
      <c r="A58" s="144">
        <v>15</v>
      </c>
      <c r="B58" s="124">
        <v>844385.82745143096</v>
      </c>
      <c r="C58" s="124">
        <v>909536.44860801834</v>
      </c>
      <c r="D58" s="124">
        <v>1417932.9317832969</v>
      </c>
      <c r="E58" s="124">
        <v>1575105.7027047072</v>
      </c>
      <c r="F58" s="124">
        <v>1977549.0678285114</v>
      </c>
      <c r="H58" s="121"/>
    </row>
    <row r="59" spans="1:8" ht="13.15">
      <c r="A59" s="145">
        <v>20</v>
      </c>
      <c r="B59" s="124">
        <v>747982.74339561677</v>
      </c>
      <c r="C59" s="124">
        <v>820003.07679186226</v>
      </c>
      <c r="D59" s="124">
        <v>1470215.8049059035</v>
      </c>
      <c r="E59" s="124">
        <v>1701362.8639234444</v>
      </c>
      <c r="F59" s="124">
        <v>2351439.2038638582</v>
      </c>
      <c r="H59" s="121"/>
    </row>
    <row r="60" spans="1:8" ht="13.15">
      <c r="A60" s="145">
        <v>25</v>
      </c>
      <c r="B60" s="124">
        <v>676816.53383029113</v>
      </c>
      <c r="C60" s="124">
        <v>752249.09071830427</v>
      </c>
      <c r="D60" s="124">
        <v>1518841.77808706</v>
      </c>
      <c r="E60" s="124">
        <v>1825730.4629018097</v>
      </c>
      <c r="F60" s="124">
        <v>2769921.600463015</v>
      </c>
      <c r="H60" s="121"/>
    </row>
    <row r="61" spans="1:8" ht="13.15">
      <c r="A61" s="145">
        <v>30</v>
      </c>
      <c r="B61" s="124">
        <v>626149.2196532964</v>
      </c>
      <c r="C61" s="124">
        <v>703078.10209211521</v>
      </c>
      <c r="D61" s="124">
        <v>1561736.6507034423</v>
      </c>
      <c r="E61" s="124">
        <v>1942201.8215186549</v>
      </c>
      <c r="F61" s="124">
        <v>3218752.7403196516</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2.7291650000161685</v>
      </c>
      <c r="C65" s="125">
        <f>C12</f>
        <v>2.7291650000161685</v>
      </c>
      <c r="D65" s="125">
        <f>C12</f>
        <v>2.7291650000161685</v>
      </c>
      <c r="E65" s="142">
        <f>C12</f>
        <v>2.7291650000161685</v>
      </c>
      <c r="F65" s="125">
        <f>C12</f>
        <v>2.7291650000161685</v>
      </c>
      <c r="H65" s="121"/>
    </row>
    <row r="66" spans="1:8" ht="13.15">
      <c r="A66" s="144">
        <f t="shared" ref="A66:A71" si="3">A56</f>
        <v>5</v>
      </c>
      <c r="B66" s="125">
        <f t="shared" ref="B66:F71" si="4">(B56-$C$7+$C$8+$C$9)/Common_Shares*$C$3*Exchange_Rate</f>
        <v>2.5743831954123446</v>
      </c>
      <c r="C66" s="125">
        <f t="shared" si="4"/>
        <v>2.6036478555453098</v>
      </c>
      <c r="D66" s="125">
        <f t="shared" si="4"/>
        <v>2.762857241284121</v>
      </c>
      <c r="E66" s="125">
        <f t="shared" si="4"/>
        <v>2.7975585504753449</v>
      </c>
      <c r="F66" s="125">
        <f t="shared" si="4"/>
        <v>2.8701668683307391</v>
      </c>
      <c r="H66" s="121"/>
    </row>
    <row r="67" spans="1:8" ht="13.15">
      <c r="A67" s="144">
        <f t="shared" si="3"/>
        <v>10</v>
      </c>
      <c r="B67" s="125">
        <f t="shared" si="4"/>
        <v>2.470480543596723</v>
      </c>
      <c r="C67" s="125">
        <f t="shared" si="4"/>
        <v>2.513619025092988</v>
      </c>
      <c r="D67" s="125">
        <f t="shared" si="4"/>
        <v>2.7965805077820685</v>
      </c>
      <c r="E67" s="125">
        <f t="shared" si="4"/>
        <v>2.8707528747707669</v>
      </c>
      <c r="F67" s="125">
        <f t="shared" si="4"/>
        <v>3.042693189881513</v>
      </c>
      <c r="H67" s="121"/>
    </row>
    <row r="68" spans="1:8" ht="13.15">
      <c r="A68" s="144">
        <f t="shared" si="3"/>
        <v>15</v>
      </c>
      <c r="B68" s="125">
        <f t="shared" si="4"/>
        <v>2.3717837642763135</v>
      </c>
      <c r="C68" s="125">
        <f t="shared" si="4"/>
        <v>2.4247790313159383</v>
      </c>
      <c r="D68" s="125">
        <f t="shared" si="4"/>
        <v>2.8383224006588699</v>
      </c>
      <c r="E68" s="125">
        <f t="shared" si="4"/>
        <v>2.9661709586383624</v>
      </c>
      <c r="F68" s="125">
        <f t="shared" si="4"/>
        <v>3.2935292128567073</v>
      </c>
      <c r="H68" s="121"/>
    </row>
    <row r="69" spans="1:8" ht="13.15">
      <c r="A69" s="145">
        <f t="shared" si="3"/>
        <v>20</v>
      </c>
      <c r="B69" s="125">
        <f t="shared" si="4"/>
        <v>2.2933669035881832</v>
      </c>
      <c r="C69" s="125">
        <f t="shared" si="4"/>
        <v>2.3519501792785786</v>
      </c>
      <c r="D69" s="125">
        <f t="shared" si="4"/>
        <v>2.8808506954555066</v>
      </c>
      <c r="E69" s="125">
        <f t="shared" si="4"/>
        <v>3.0688719284168431</v>
      </c>
      <c r="F69" s="125">
        <f t="shared" si="4"/>
        <v>3.5976615027860945</v>
      </c>
      <c r="H69" s="121"/>
    </row>
    <row r="70" spans="1:8" ht="13.15">
      <c r="A70" s="145">
        <f t="shared" si="3"/>
        <v>25</v>
      </c>
      <c r="B70" s="125">
        <f t="shared" si="4"/>
        <v>2.235478395187815</v>
      </c>
      <c r="C70" s="125">
        <f t="shared" si="4"/>
        <v>2.2968372652153763</v>
      </c>
      <c r="D70" s="125">
        <f t="shared" si="4"/>
        <v>2.920404369511866</v>
      </c>
      <c r="E70" s="125">
        <f t="shared" si="4"/>
        <v>3.170035877461848</v>
      </c>
      <c r="F70" s="125">
        <f t="shared" si="4"/>
        <v>3.9380663364691273</v>
      </c>
    </row>
    <row r="71" spans="1:8" ht="13.15">
      <c r="A71" s="145">
        <f t="shared" si="3"/>
        <v>30</v>
      </c>
      <c r="B71" s="125">
        <f t="shared" si="4"/>
        <v>2.1942642394772069</v>
      </c>
      <c r="C71" s="125">
        <f t="shared" si="4"/>
        <v>2.2568402609414764</v>
      </c>
      <c r="D71" s="125">
        <f t="shared" si="4"/>
        <v>2.9552962122691633</v>
      </c>
      <c r="E71" s="125">
        <f t="shared" si="4"/>
        <v>3.2647768122801426</v>
      </c>
      <c r="F71" s="125">
        <f t="shared" si="4"/>
        <v>4.3031576539445666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3.2935292128567073</v>
      </c>
      <c r="F74" s="143">
        <f>Scenarios!C58</f>
        <v>0.05</v>
      </c>
    </row>
    <row r="75" spans="1:8">
      <c r="B75" s="128" t="str">
        <f>Scenarios!B36</f>
        <v>Optimistic</v>
      </c>
      <c r="C75" s="143">
        <f>Scenarios!C38</f>
        <v>0.04</v>
      </c>
      <c r="D75" s="146">
        <f>Scenarios!C37</f>
        <v>10</v>
      </c>
      <c r="E75" s="136">
        <f>INDEX(B$65:F$71, MATCH(D75, A$65:A$71, 0), MATCH(C75, B$64:F$64, 0))</f>
        <v>2.8707528747707669</v>
      </c>
      <c r="F75" s="143">
        <f>Scenarios!C40*(1-F$74-F$78)</f>
        <v>0.17</v>
      </c>
      <c r="H75" s="121"/>
    </row>
    <row r="76" spans="1:8">
      <c r="B76" s="128" t="str">
        <f>Scenarios!B24</f>
        <v>Base</v>
      </c>
      <c r="C76" s="143">
        <f>Scenarios!C26</f>
        <v>0.02</v>
      </c>
      <c r="D76" s="146">
        <f>Scenarios!C25</f>
        <v>10</v>
      </c>
      <c r="E76" s="136">
        <f>INDEX(B$65:F$71, MATCH(D76, A$65:A$71, 0), MATCH(C76, B$64:F$64, 0))</f>
        <v>2.7965805077820685</v>
      </c>
      <c r="F76" s="143">
        <f>Scenarios!C28*(1-F$74-F$78)</f>
        <v>0.51</v>
      </c>
      <c r="H76" s="121"/>
    </row>
    <row r="77" spans="1:8">
      <c r="B77" s="128" t="str">
        <f>Scenarios!B30</f>
        <v>Pessimistic</v>
      </c>
      <c r="C77" s="143">
        <f>Scenarios!C32</f>
        <v>-0.08</v>
      </c>
      <c r="D77" s="146">
        <f>Scenarios!C31</f>
        <v>10</v>
      </c>
      <c r="E77" s="136">
        <f>INDEX(B$65:F$71, MATCH(D77, A$65:A$71, 0), MATCH(C77, B$64:F$64, 0))</f>
        <v>2.513619025092988</v>
      </c>
      <c r="F77" s="143">
        <f>Scenarios!C34*(1-F$74-F$78)</f>
        <v>0.17</v>
      </c>
      <c r="H77" s="121"/>
    </row>
    <row r="78" spans="1:8">
      <c r="B78" s="128" t="str">
        <f>Scenarios!B48</f>
        <v>Devil's advocate</v>
      </c>
      <c r="C78" s="143">
        <f>Scenarios!C50</f>
        <v>-0.1</v>
      </c>
      <c r="D78" s="146">
        <f>Scenarios!C49</f>
        <v>15</v>
      </c>
      <c r="E78" s="136">
        <f>INDEX(B$65:F$71, MATCH(D78, A$65:A$71, 0), MATCH(C78, B$64:F$64, 0))</f>
        <v>2.3717837642763135</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-2.31</v>
      </c>
    </row>
    <row r="4" spans="2:9">
      <c r="B4" s="153" t="s">
        <v>147</v>
      </c>
      <c r="C4" s="121">
        <v>2</v>
      </c>
      <c r="D4" s="121"/>
      <c r="E4" s="156" t="s">
        <v>151</v>
      </c>
      <c r="F4" s="156"/>
      <c r="H4" s="276">
        <v>1</v>
      </c>
      <c r="I4" s="264">
        <f t="shared" ref="I4:I13" si="0">IF(ROW()-3 &lt; $C$76, $C$77, IF(ROW()-3 = $C$76, $C$77 + $C$60, ""))</f>
        <v>0.11248704693214075</v>
      </c>
    </row>
    <row r="5" spans="2:9">
      <c r="H5" s="276">
        <v>2</v>
      </c>
      <c r="I5" s="264">
        <f t="shared" si="0"/>
        <v>0.11248704693214075</v>
      </c>
    </row>
    <row r="6" spans="2:9" ht="13.15">
      <c r="B6" s="160" t="s">
        <v>96</v>
      </c>
      <c r="C6" s="107">
        <f>Valuation_Model!C3</f>
        <v>1000</v>
      </c>
      <c r="E6" s="100" t="s">
        <v>282</v>
      </c>
      <c r="F6" s="100"/>
      <c r="H6" s="276">
        <v>3</v>
      </c>
      <c r="I6" s="264">
        <f t="shared" si="0"/>
        <v>2.8559411659483009</v>
      </c>
    </row>
    <row r="7" spans="2:9" ht="12.75" customHeight="1">
      <c r="B7" s="100" t="s">
        <v>276</v>
      </c>
      <c r="C7" s="115">
        <f>Normalized_FCF!G8</f>
        <v>157888</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3"/>
      <c r="H7" s="276">
        <v>4</v>
      </c>
      <c r="I7" s="264" t="str">
        <f t="shared" si="0"/>
        <v/>
      </c>
    </row>
    <row r="8" spans="2:9">
      <c r="B8" s="100" t="s">
        <v>66</v>
      </c>
      <c r="C8" s="115">
        <f>Normalized_FCF!G19</f>
        <v>133773.17087321242</v>
      </c>
      <c r="D8" t="str">
        <f>Reporting_currency</f>
        <v>CNY</v>
      </c>
      <c r="E8" s="353"/>
      <c r="F8" s="353"/>
      <c r="H8" s="276">
        <v>5</v>
      </c>
      <c r="I8" s="264" t="str">
        <f t="shared" si="0"/>
        <v/>
      </c>
    </row>
    <row r="9" spans="2:9">
      <c r="B9" s="100" t="s">
        <v>57</v>
      </c>
      <c r="C9" s="201">
        <f>Normalized_FCF!C19</f>
        <v>102699.0759119007</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0.12167914390403989</v>
      </c>
      <c r="D12" s="159"/>
      <c r="E12" s="353"/>
      <c r="F12" s="353"/>
      <c r="H12" s="276">
        <v>9</v>
      </c>
      <c r="I12" s="264" t="str">
        <f t="shared" si="0"/>
        <v/>
      </c>
    </row>
    <row r="13" spans="2:9">
      <c r="B13" s="149" t="s">
        <v>153</v>
      </c>
      <c r="C13" s="159">
        <f ca="1">(Normalized_FCF!G8/OFFSET(Normalized_FCF!G8, 0, $C$4))^(1/$C$4) - 1</f>
        <v>7.4870016543118432</v>
      </c>
      <c r="E13" s="353"/>
      <c r="F13" s="353"/>
      <c r="H13" s="276">
        <v>10</v>
      </c>
      <c r="I13" s="264" t="str">
        <f t="shared" si="0"/>
        <v/>
      </c>
    </row>
    <row r="14" spans="2:9">
      <c r="B14" s="100" t="s">
        <v>66</v>
      </c>
      <c r="C14" s="159">
        <f ca="1">(Normalized_FCF!G19/OFFSET(Normalized_FCF!G19, 0, $C$4))^(1/$C$4) - 1</f>
        <v>2.0115235436001027</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2.31</v>
      </c>
      <c r="D21" t="str">
        <f>Market_currency</f>
        <v>HKD</v>
      </c>
      <c r="E21" s="354"/>
      <c r="F21" s="354"/>
    </row>
    <row r="22" spans="2:6">
      <c r="B22" s="100" t="s">
        <v>281</v>
      </c>
      <c r="C22" s="161">
        <f>Valuation_Model!C12</f>
        <v>2.7291650000161685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2.7965805077820685</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-0.08</v>
      </c>
      <c r="D32" s="165"/>
      <c r="E32" s="352"/>
      <c r="F32" s="352"/>
    </row>
    <row r="33" spans="2:6">
      <c r="B33" s="100" t="s">
        <v>114</v>
      </c>
      <c r="C33" s="161">
        <f>Valuation_Model!E77</f>
        <v>2.513619025092988</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2.8707528747707669</v>
      </c>
      <c r="D39" t="str">
        <f>Market_currency</f>
        <v>HKD</v>
      </c>
      <c r="E39" s="352"/>
      <c r="F39" s="352"/>
    </row>
    <row r="40" spans="2:6">
      <c r="B40" s="100" t="s">
        <v>148</v>
      </c>
      <c r="C40" s="168">
        <f>1-C28-C34</f>
        <v>0.2</v>
      </c>
      <c r="D40" s="166"/>
      <c r="E40" s="352"/>
      <c r="F40" s="352"/>
    </row>
    <row r="42" spans="2:6" ht="13.15">
      <c r="B42" s="100" t="s">
        <v>121</v>
      </c>
      <c r="C42" s="155">
        <f>C27*C28+C33*C34+C39*C40</f>
        <v>2.7548226846419923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2.3717837642763135</v>
      </c>
      <c r="D51" t="str">
        <f>Market_currency</f>
        <v>HKD</v>
      </c>
      <c r="E51" s="352"/>
      <c r="F51" s="352"/>
    </row>
    <row r="52" spans="2:6">
      <c r="B52" s="100" t="s">
        <v>148</v>
      </c>
      <c r="C52" s="166">
        <v>0.1</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3.2935292128567073</v>
      </c>
      <c r="D57" t="str">
        <f>Market_currency</f>
        <v>HKD</v>
      </c>
      <c r="E57" s="352"/>
      <c r="F57" s="352"/>
    </row>
    <row r="58" spans="2:6">
      <c r="B58" s="100" t="s">
        <v>148</v>
      </c>
      <c r="C58" s="166">
        <v>0.05</v>
      </c>
      <c r="D58" s="166"/>
      <c r="E58" s="352"/>
      <c r="F58" s="352"/>
    </row>
    <row r="60" spans="2:6" ht="13.15">
      <c r="B60" s="100" t="s">
        <v>121</v>
      </c>
      <c r="C60" s="155">
        <f>C51*C52+C57*C58+C42*(1-C52-C58)</f>
        <v>2.7434541190161603</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2.7573000388184568</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0.61416650507493997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0.11248704693214075</v>
      </c>
      <c r="D77" t="str">
        <f>Market_currency</f>
        <v>HKD</v>
      </c>
    </row>
    <row r="79" spans="2:6" ht="13.15">
      <c r="B79" s="109" t="s">
        <v>308</v>
      </c>
    </row>
    <row r="80" spans="2:6">
      <c r="B80" s="149" t="s">
        <v>306</v>
      </c>
      <c r="C80" s="168">
        <f>Thesis!C132</f>
        <v>0.4</v>
      </c>
    </row>
    <row r="81" spans="2:8">
      <c r="B81" s="100" t="s">
        <v>122</v>
      </c>
      <c r="C81" s="117">
        <f>PV(C80, C76, -C77, 0)</f>
        <v>0.17873306290966964</v>
      </c>
      <c r="D81" s="117"/>
      <c r="E81" s="100"/>
      <c r="F81" s="100"/>
    </row>
    <row r="82" spans="2:8">
      <c r="B82" s="100" t="s">
        <v>123</v>
      </c>
      <c r="C82" s="117">
        <f>C60/(1+C80)^C76</f>
        <v>0.99980106378139977</v>
      </c>
      <c r="D82" s="117"/>
    </row>
    <row r="83" spans="2:8" ht="13.15">
      <c r="B83" s="111" t="s">
        <v>102</v>
      </c>
      <c r="C83" s="112">
        <f>C81+C82</f>
        <v>1.1785341266910694</v>
      </c>
      <c r="D83" t="str">
        <f>Market_currency</f>
        <v>HKD</v>
      </c>
      <c r="E83" s="147" t="s">
        <v>127</v>
      </c>
      <c r="F83" s="329">
        <f>(1-C83/C60)</f>
        <v>0.57041959676959797</v>
      </c>
    </row>
    <row r="84" spans="2:8">
      <c r="E84" s="121"/>
    </row>
    <row r="85" spans="2:8" ht="13.15">
      <c r="B85" s="109" t="s">
        <v>309</v>
      </c>
    </row>
    <row r="86" spans="2:8">
      <c r="B86" s="149" t="s">
        <v>307</v>
      </c>
      <c r="C86" s="266">
        <f>Market_Price</f>
        <v>2.31</v>
      </c>
      <c r="D86" t="str">
        <f>Market_currency</f>
        <v>HKD</v>
      </c>
    </row>
    <row r="87" spans="2:8" ht="13.15">
      <c r="B87" s="100" t="s">
        <v>305</v>
      </c>
      <c r="C87" s="265">
        <f ca="1">IRR(OFFSET($I$3, 0, 0, $C$76 + 1, 1))</f>
        <v>0.10510633756869536</v>
      </c>
    </row>
    <row r="88" spans="2:8">
      <c r="B88" s="100"/>
    </row>
    <row r="89" spans="2:8" ht="13.15">
      <c r="B89" s="109" t="s">
        <v>422</v>
      </c>
    </row>
    <row r="90" spans="2:8">
      <c r="B90" s="149" t="s">
        <v>423</v>
      </c>
      <c r="C90" s="168">
        <f>Thesis!E24</f>
        <v>0.2</v>
      </c>
    </row>
    <row r="91" spans="2:8">
      <c r="B91" s="100" t="s">
        <v>122</v>
      </c>
      <c r="C91" s="117">
        <f>PV(C90, C76, -C77, 0)</f>
        <v>0.23695188126909275</v>
      </c>
      <c r="D91" s="117"/>
      <c r="E91" s="100"/>
      <c r="F91" s="100"/>
    </row>
    <row r="92" spans="2:8">
      <c r="B92" s="100" t="s">
        <v>123</v>
      </c>
      <c r="C92" s="117">
        <f>C60/(1+C90)^C76</f>
        <v>1.5876470596158336</v>
      </c>
      <c r="D92" s="117"/>
    </row>
    <row r="93" spans="2:8" ht="13.15">
      <c r="B93" s="111" t="s">
        <v>102</v>
      </c>
      <c r="C93" s="112">
        <f>C91+C92</f>
        <v>1.8245989408849264</v>
      </c>
      <c r="D93" t="str">
        <f>Market_currency</f>
        <v>HKD</v>
      </c>
      <c r="E93" s="147" t="s">
        <v>127</v>
      </c>
      <c r="F93" s="329">
        <f>(1-C93/C60)</f>
        <v>0.33492638778327655</v>
      </c>
    </row>
    <row r="95" spans="2:8" ht="13.15">
      <c r="B95" s="109" t="s">
        <v>405</v>
      </c>
      <c r="G95" s="2"/>
      <c r="H95" s="316"/>
    </row>
    <row r="96" spans="2:8">
      <c r="B96" s="149" t="s">
        <v>411</v>
      </c>
      <c r="C96" s="135">
        <f>Thesis!C72</f>
        <v>0.08</v>
      </c>
      <c r="G96" s="2"/>
      <c r="H96" s="316"/>
    </row>
    <row r="97" spans="2:8">
      <c r="B97" s="100" t="s">
        <v>122</v>
      </c>
      <c r="C97" s="117">
        <f>PV(C96, C76, -C77, 0)</f>
        <v>0.2898900297532308</v>
      </c>
      <c r="D97" s="117"/>
      <c r="G97" s="2"/>
      <c r="H97" s="316"/>
    </row>
    <row r="98" spans="2:8">
      <c r="B98" s="100" t="s">
        <v>123</v>
      </c>
      <c r="C98" s="117">
        <f>C60/(1+C96)^C76</f>
        <v>2.1778423314346136</v>
      </c>
      <c r="D98" s="117"/>
      <c r="G98" s="2"/>
      <c r="H98" s="316"/>
    </row>
    <row r="99" spans="2:8" ht="13.15">
      <c r="B99" s="111" t="s">
        <v>406</v>
      </c>
      <c r="C99" s="112">
        <f>C97+C98</f>
        <v>2.4677323611878443</v>
      </c>
      <c r="D99" t="s">
        <v>404</v>
      </c>
      <c r="E99" s="147" t="s">
        <v>127</v>
      </c>
      <c r="F99" s="329">
        <f>(1-C99/C60)</f>
        <v>0.10050168359556655</v>
      </c>
    </row>
    <row r="100" spans="2:8">
      <c r="B100" s="100"/>
    </row>
    <row r="101" spans="2:8" ht="13.15">
      <c r="B101" s="109" t="s">
        <v>433</v>
      </c>
    </row>
    <row r="102" spans="2:8">
      <c r="B102" s="149" t="s">
        <v>431</v>
      </c>
      <c r="C102" s="135">
        <f>Thesis!E26</f>
        <v>0.1174</v>
      </c>
    </row>
    <row r="103" spans="2:8">
      <c r="B103" s="100" t="s">
        <v>122</v>
      </c>
      <c r="C103" s="117">
        <f>PV(C102, C76, -C77, 0)</f>
        <v>0.2713866010560903</v>
      </c>
      <c r="D103" s="117"/>
    </row>
    <row r="104" spans="2:8">
      <c r="B104" s="100" t="s">
        <v>123</v>
      </c>
      <c r="C104" s="117">
        <f>C60/(1+C102)^C76</f>
        <v>1.9663992525641021</v>
      </c>
      <c r="D104" s="117"/>
    </row>
    <row r="105" spans="2:8" ht="13.15">
      <c r="B105" s="111" t="s">
        <v>406</v>
      </c>
      <c r="C105" s="112">
        <f>C103+C104</f>
        <v>2.2377858536201924</v>
      </c>
      <c r="D105" t="s">
        <v>404</v>
      </c>
      <c r="E105" s="147" t="s">
        <v>127</v>
      </c>
      <c r="F105" s="329">
        <f>(1-C105/C66)</f>
        <v>0.18841409272996046</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