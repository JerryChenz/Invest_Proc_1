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6C9EA30-4EB1-4FB1-9334-5C11FD49E58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93" i="2" l="1"/>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91" i="9" s="1"/>
  <c r="C91" i="2"/>
  <c r="C128" i="6"/>
  <c r="C97" i="9"/>
  <c r="C137"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N126" i="2"/>
  <c r="N91" i="2"/>
  <c r="N48" i="2"/>
  <c r="N92" i="2"/>
  <c r="I91" i="2"/>
  <c r="D70" i="4"/>
  <c r="O126" i="2"/>
  <c r="O48" i="2"/>
  <c r="O91" i="2"/>
  <c r="O92" i="2"/>
  <c r="Q126" i="2"/>
  <c r="Q92" i="2"/>
  <c r="Q48" i="2"/>
  <c r="Q91" i="2"/>
  <c r="D69" i="4"/>
  <c r="K126" i="2"/>
  <c r="K48" i="2"/>
  <c r="K92" i="2"/>
  <c r="K91" i="2"/>
  <c r="L126" i="2"/>
  <c r="L92" i="2"/>
  <c r="L48" i="2"/>
  <c r="L91" i="2"/>
  <c r="P126" i="2"/>
  <c r="P48" i="2"/>
  <c r="P91" i="2"/>
  <c r="P92" i="2"/>
  <c r="M126" i="2"/>
  <c r="M92" i="2"/>
  <c r="M48" i="2"/>
  <c r="M91" i="2"/>
  <c r="J92" i="2"/>
  <c r="J48" i="2"/>
  <c r="J91"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I48" i="2"/>
  <c r="I50" i="2" s="1"/>
  <c r="I12" i="2" s="1"/>
  <c r="I80" i="2" s="1"/>
  <c r="H48" i="2"/>
  <c r="H50" i="2" s="1"/>
  <c r="H12" i="2" s="1"/>
  <c r="H80" i="2" s="1"/>
  <c r="M50" i="2"/>
  <c r="M12" i="2" s="1"/>
  <c r="P50" i="2"/>
  <c r="P12" i="2" s="1"/>
  <c r="J50" i="2"/>
  <c r="J12" i="2" s="1"/>
  <c r="J80" i="2" s="1"/>
  <c r="N50" i="2"/>
  <c r="N12"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<sst xmlns="http://schemas.openxmlformats.org/spreadsheetml/2006/main" count="612" uniqueCount="431">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</sst>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422</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423</v>
      </c>
      <c r="D5" s="49" t="s">
        <v>424</v>
      </c>
    </row>
    <row r="6" spans="1:10">
      <c r="B6" s="4" t="s">
        <v>95</v>
      </c>
      <c r="C6" s="50">
        <v>2.2999999999999998</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3066.66705</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425</v>
      </c>
      <c r="D16" s="32"/>
      <c r="E16" s="5"/>
    </row>
    <row r="17" spans="1:6">
      <c r="B17" s="4" t="s">
        <v>1</v>
      </c>
      <c r="C17" s="50">
        <v>1.0671017599999999</v>
      </c>
      <c r="D17" s="32" t="str">
        <f>IF(C16=D6,D6,C16&amp;"/"&amp;D6)</f>
        <v>CNY/HKD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(HKD):</v>
      </c>
      <c r="C20" s="252">
        <f>C133</f>
        <v>1.435929941306664</v>
      </c>
      <c r="D20" s="1" t="s">
        <v>315</v>
      </c>
      <c r="E20" s="330">
        <v>3</v>
      </c>
    </row>
    <row r="21" spans="1:6">
      <c r="B21" s="1" t="s">
        <v>407</v>
      </c>
      <c r="C21" s="280">
        <f ca="1">Scenarios!C87</f>
        <v>0.10196238180241868</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113776.93034265516</v>
      </c>
      <c r="D30" s="1" t="str">
        <f>Reporting_currency</f>
        <v>CNY</v>
      </c>
    </row>
    <row r="31" spans="1:6">
      <c r="B31" s="47"/>
      <c r="C31" s="76"/>
    </row>
    <row r="32" spans="1:6" ht="24.4" customHeight="1">
      <c r="B32" s="343" t="s">
        <v>234</v>
      </c>
      <c r="C32" s="343"/>
      <c r="D32" s="343"/>
      <c r="E32" s="343"/>
      <c r="F32" s="343"/>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25072.115938998635</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23192.115938998635</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-34242.261570413451</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169784.11593899864</v>
      </c>
      <c r="D56" s="1" t="str">
        <f>Reporting_currency</f>
        <v>CNY</v>
      </c>
    </row>
    <row r="57" spans="1:6">
      <c r="B57" s="47" t="s">
        <v>249</v>
      </c>
      <c r="C57" s="188">
        <f>Normalized_FCF!C19</f>
        <v>102726.78471124035</v>
      </c>
      <c r="D57" s="1" t="str">
        <f>Reporting_currency</f>
        <v>CNY</v>
      </c>
    </row>
    <row r="58" spans="1:6">
      <c r="B58" s="254" t="s">
        <v>398</v>
      </c>
      <c r="C58" s="92">
        <f>Normalized_FCF!C125</f>
        <v>3.5745625781092097E-2</v>
      </c>
    </row>
    <row r="59" spans="1:6">
      <c r="B59" s="254" t="s">
        <v>316</v>
      </c>
      <c r="C59" s="92">
        <f>Normalized_FCF!C93</f>
        <v>4.9707984982490863E-2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1.0276867412063979</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33999</v>
      </c>
      <c r="D86" s="1" t="str">
        <f>Reporting_currency</f>
        <v>CNY</v>
      </c>
    </row>
    <row r="87" spans="2:6">
      <c r="B87" s="47" t="s">
        <v>285</v>
      </c>
      <c r="C87" s="248">
        <f>C86*scaling_factor*Exchange_Rate/Common_Shares</f>
        <v>2.7210291152393602E-2</v>
      </c>
      <c r="D87" s="1" t="str">
        <f>Market_currency</f>
        <v>HKD</v>
      </c>
    </row>
    <row r="88" spans="2:6">
      <c r="B88" s="336" t="s">
        <v>413</v>
      </c>
      <c r="C88" s="337">
        <f>BS!G30/BS!G27</f>
        <v>0.20351769929714394</v>
      </c>
    </row>
    <row r="89" spans="2:6">
      <c r="B89" s="336" t="s">
        <v>414</v>
      </c>
      <c r="C89" s="337">
        <f>BS!G31/BS!G27</f>
        <v>1.0763175939415467E-2</v>
      </c>
    </row>
    <row r="90" spans="2:6">
      <c r="B90" s="336" t="s">
        <v>416</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1874587.7120041444</v>
      </c>
      <c r="D94" s="1" t="str">
        <f>Reporting_currency</f>
        <v>CNY</v>
      </c>
    </row>
    <row r="95" spans="2:6">
      <c r="B95" s="47" t="s">
        <v>286</v>
      </c>
      <c r="C95" s="248">
        <f>C94*scaling_factor*Exchange_Rate/Common_Shares</f>
        <v>1.5002816975302844</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0.18374697687305985</v>
      </c>
      <c r="D99" s="1" t="str">
        <f>Market_currency</f>
        <v>HKD</v>
      </c>
    </row>
    <row r="101" spans="1:6" ht="24.4" customHeight="1">
      <c r="B101" s="342" t="s">
        <v>374</v>
      </c>
      <c r="C101" s="342"/>
      <c r="D101" s="342"/>
      <c r="E101" s="342"/>
      <c r="F101" s="342"/>
    </row>
    <row r="103" spans="1:6">
      <c r="B103" s="47" t="s">
        <v>283</v>
      </c>
      <c r="C103" s="248">
        <f>Valuation_Model!C12</f>
        <v>2.6845051244573486</v>
      </c>
      <c r="D103" s="1" t="str">
        <f>Market_currency</f>
        <v>HKD</v>
      </c>
    </row>
    <row r="104" spans="1:6">
      <c r="B104" s="336" t="s">
        <v>415</v>
      </c>
      <c r="C104" s="248">
        <f>BS!D47</f>
        <v>1.866028529531002</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2.6985679028664227</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0.11432836545972898</v>
      </c>
      <c r="D128" s="236" t="str">
        <f>Market_currency</f>
        <v>HKD</v>
      </c>
    </row>
    <row r="130" spans="1:6">
      <c r="B130" s="234" t="s">
        <v>408</v>
      </c>
      <c r="C130" s="337">
        <f>C19</f>
        <v>0.3</v>
      </c>
      <c r="D130" s="1" t="s">
        <v>418</v>
      </c>
    </row>
    <row r="131" spans="1:6">
      <c r="B131" s="236" t="str">
        <f>"PV("&amp;C126&amp;" yrs of Dividends)"</f>
        <v>PV(3 yrs of Dividends)</v>
      </c>
      <c r="C131" s="240">
        <f>Scenarios!C81</f>
        <v>0.20763321719814237</v>
      </c>
    </row>
    <row r="132" spans="1:6">
      <c r="B132" s="236" t="str">
        <f>"+ PV(Equity Value realized at year "&amp;C126&amp;")"</f>
        <v>+ PV(Equity Value realized at year 3)</v>
      </c>
      <c r="C132" s="240">
        <f>Scenarios!C82</f>
        <v>1.2282967241085216</v>
      </c>
    </row>
    <row r="133" spans="1:6">
      <c r="B133" s="80" t="s">
        <v>261</v>
      </c>
      <c r="C133" s="239">
        <f>Scenarios!C83</f>
        <v>1.435929941306664</v>
      </c>
      <c r="D133" s="47" t="str">
        <f>Reporting_currency</f>
        <v>CNY</v>
      </c>
    </row>
    <row r="134" spans="1:6">
      <c r="B134" s="238" t="s">
        <v>263</v>
      </c>
      <c r="C134" s="92">
        <f>Scenarios!F83</f>
        <v>0.46789186227946422</v>
      </c>
    </row>
    <row r="136" spans="1:6">
      <c r="B136" s="234" t="s">
        <v>409</v>
      </c>
      <c r="C136" s="92">
        <f>Scenarios!C96</f>
        <v>0.08</v>
      </c>
      <c r="D136" s="1" t="s">
        <v>417</v>
      </c>
    </row>
    <row r="137" spans="1:6">
      <c r="B137" s="236" t="str">
        <f>"PV("&amp;C126&amp;" yrs of Dividends)"</f>
        <v>PV(3 yrs of Dividends)</v>
      </c>
      <c r="C137" s="240">
        <f>Scenarios!C97</f>
        <v>0.29463528618324214</v>
      </c>
    </row>
    <row r="138" spans="1:6">
      <c r="B138" s="236" t="str">
        <f>"+ PV(Equity Value realized at year "&amp;C126&amp;")"</f>
        <v>+ PV(Equity Value realized at year 3)</v>
      </c>
      <c r="C138" s="240">
        <f>Scenarios!C98</f>
        <v>2.1422102058775518</v>
      </c>
    </row>
    <row r="139" spans="1:6">
      <c r="B139" s="80" t="s">
        <v>410</v>
      </c>
      <c r="C139" s="239">
        <f>Scenarios!C99</f>
        <v>2.4368454920607938</v>
      </c>
      <c r="D139" s="101" t="str">
        <f>Reporting_currency</f>
        <v>CNY</v>
      </c>
    </row>
    <row r="140" spans="1:6">
      <c r="B140" s="238" t="s">
        <v>263</v>
      </c>
      <c r="C140" s="92">
        <f>Scenarios!F99</f>
        <v>9.6985668038083062E-2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0.11432836545972898</v>
      </c>
      <c r="D25" s="39">
        <f>(0.064+0.041)/Exchange_Rate</f>
        <v>9.8397363715340525E-2</v>
      </c>
      <c r="E25" s="39">
        <f>(0.022+0.0168)/Exchange_Rate</f>
        <v>3.6360168687192496E-2</v>
      </c>
      <c r="F25" s="39"/>
      <c r="G25" s="39"/>
      <c r="H25" s="39"/>
      <c r="I25" s="39"/>
      <c r="J25" s="39"/>
      <c r="K25" s="39"/>
      <c r="L25" s="39"/>
      <c r="M25" s="39"/>
    </row>
    <row r="27" spans="2:13">
      <c r="B27" s="16" t="s">
        <v>28</v>
      </c>
      <c r="C27" s="97" t="s">
        <v>428</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0.11432836545972898</v>
      </c>
      <c r="D65" s="73">
        <f t="shared" ref="D65:M65" si="33">IF(D$4="","",D25)</f>
        <v>9.8397363715340525E-2</v>
      </c>
      <c r="E65" s="73">
        <f t="shared" si="33"/>
        <v>3.6360168687192496E-2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2.5294102096994036</v>
      </c>
      <c r="D47" s="148">
        <f>D46*H1/Common_Shares*Exchange_Rate</f>
        <v>1.866028529531002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1874587.7120041444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-151221.48663897495</v>
      </c>
      <c r="D73" s="188">
        <f>(Normalized_FCF!C25+Normalized_FCF!C35-Normalized_FCF!C91)/12</f>
        <v>-138842.04799930926</v>
      </c>
      <c r="F73" s="1" t="s">
        <v>359</v>
      </c>
    </row>
    <row r="74" spans="2:6" ht="15" customHeight="1">
      <c r="B74" s="288" t="s">
        <v>329</v>
      </c>
      <c r="C74" s="289">
        <f>-$C$66/C73</f>
        <v>17.90512750654409</v>
      </c>
      <c r="D74" s="289">
        <f>-$C$66/D73</f>
        <v>19.501584995443675</v>
      </c>
      <c r="F74" s="283" t="s">
        <v>327</v>
      </c>
    </row>
    <row r="75" spans="2:6" ht="15" customHeight="1">
      <c r="B75" s="80" t="s">
        <v>328</v>
      </c>
      <c r="C75" s="293"/>
      <c r="D75" s="292">
        <f>MAX(-D73*D76,G5)</f>
        <v>833052.28799585556</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-36280.39273824</v>
      </c>
      <c r="D86" s="248">
        <f>C86*scaling_factor/Common_Shares</f>
        <v>-2.7210291152393602E-2</v>
      </c>
      <c r="E86" s="269" t="str">
        <f>Market_currency</f>
        <v>HKD</v>
      </c>
    </row>
    <row r="87" spans="2:8" ht="15" customHeight="1">
      <c r="B87" s="267" t="s">
        <v>294</v>
      </c>
      <c r="C87" s="188">
        <f>Valuation_Model!C8*Exchange_Rate</f>
        <v>2000375.8467539954</v>
      </c>
      <c r="D87" s="248">
        <f>C87*scaling_factor/Common_Shares</f>
        <v>1.5002816975302844</v>
      </c>
      <c r="E87" s="269" t="str">
        <f>Market_currency</f>
        <v>HKD</v>
      </c>
    </row>
    <row r="88" spans="2:8" ht="15" customHeight="1">
      <c r="B88" s="268" t="s">
        <v>190</v>
      </c>
      <c r="C88" s="188">
        <f>Valuation_Model!C9*Exchange_Rate</f>
        <v>244995.99978857595</v>
      </c>
      <c r="D88" s="248">
        <f>C88*scaling_factor/Common_Shares</f>
        <v>0.18374697687305985</v>
      </c>
      <c r="E88" s="269" t="str">
        <f>Market_currency</f>
        <v>HKD</v>
      </c>
    </row>
    <row r="89" spans="2:8" ht="15" customHeight="1">
      <c r="B89" s="80" t="s">
        <v>298</v>
      </c>
      <c r="C89" s="187">
        <f>SUM(C86:C88)</f>
        <v>2209091.4538043314</v>
      </c>
      <c r="D89" s="271">
        <f>SUM(D86:D88)</f>
        <v>1.6568183832509504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23192.115938998635</v>
      </c>
      <c r="E12" s="302"/>
      <c r="G12" s="191">
        <f>G50</f>
        <v>23192.115938998635</v>
      </c>
      <c r="H12" s="191">
        <f t="shared" ref="H12:Q12" si="6">H50</f>
        <v>21704.385071698645</v>
      </c>
      <c r="I12" s="191">
        <f t="shared" si="6"/>
        <v>13089.712052049774</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136969.04628165381</v>
      </c>
      <c r="E13" s="302"/>
      <c r="G13" s="184">
        <f>IF(G$4="","",SUM(G8:G12))</f>
        <v>217054.11593899864</v>
      </c>
      <c r="H13" s="184">
        <f t="shared" ref="H13:Q13" si="7">IF(H$4="","",SUM(H8:H12))</f>
        <v>147520.38507169863</v>
      </c>
      <c r="I13" s="184">
        <f t="shared" si="7"/>
        <v>35787.71205204977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-34242.261570413451</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102726.78471124035</v>
      </c>
      <c r="D16" s="61"/>
      <c r="E16" s="310"/>
      <c r="F16" s="61"/>
      <c r="G16" s="184">
        <f>IF(G$4="","",SUM(G13:G15))</f>
        <v>169784.11593899864</v>
      </c>
      <c r="H16" s="184">
        <f t="shared" ref="H16:Q16" si="8">IF(H$4="","",SUM(H13:H15))</f>
        <v>103071.38507169863</v>
      </c>
      <c r="I16" s="184">
        <f t="shared" si="8"/>
        <v>14770.71205204977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102726.78471124035</v>
      </c>
      <c r="D19" s="27"/>
      <c r="E19" s="299"/>
      <c r="F19" s="27"/>
      <c r="G19" s="186">
        <f>IF(G$4="","",G16+G17)</f>
        <v>169784.11593899864</v>
      </c>
      <c r="H19" s="186">
        <f t="shared" ref="H19:Q19" si="9">IF(H$4="","",H16+H17)</f>
        <v>103071.38507169863</v>
      </c>
      <c r="I19" s="186">
        <f t="shared" si="9"/>
        <v>14770.71205204977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0.26104467492126016</v>
      </c>
      <c r="H43" s="6">
        <f t="shared" si="18"/>
        <v>0.35038283023134831</v>
      </c>
      <c r="I43" s="6">
        <f t="shared" si="18"/>
        <v>1.3753040188439447</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25072.115938998635</v>
      </c>
      <c r="E48" s="302"/>
      <c r="G48" s="328">
        <f>IFERROR(IF(G$4="","",($C$48/$C$49)*G49),0)</f>
        <v>25072.115938998635</v>
      </c>
      <c r="H48" s="328">
        <f t="shared" ref="H48:Q48" si="19">IFERROR(IF(H$4="","",($C$48/$C$49)*H49),0)</f>
        <v>22707.385071698645</v>
      </c>
      <c r="I48" s="328">
        <f t="shared" si="19"/>
        <v>13952.712052049774</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23192.115938998635</v>
      </c>
      <c r="E50" s="302"/>
      <c r="G50" s="184">
        <f>IF(G$4="","",(G47+G48))</f>
        <v>23192.115938998635</v>
      </c>
      <c r="H50" s="184">
        <f t="shared" ref="H50:Q50" si="20">IF(H$4="","",(H47+H48))</f>
        <v>21704.385071698645</v>
      </c>
      <c r="I50" s="184">
        <f t="shared" si="20"/>
        <v>13089.712052049774</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430</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1.4250641305760691E-2</v>
      </c>
      <c r="D80" s="27"/>
      <c r="E80" s="299"/>
      <c r="F80" s="27"/>
      <c r="G80" s="6">
        <f t="shared" ref="G80:Q80" si="31">IF(G$4="","",ABS(G12/G$4))</f>
        <v>1.2742164717147902E-2</v>
      </c>
      <c r="H80" s="6">
        <f t="shared" si="31"/>
        <v>1.3434381398501871E-2</v>
      </c>
      <c r="I80" s="6">
        <f t="shared" si="31"/>
        <v>9.0483673538575473E-3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8.4162081359285434E-2</v>
      </c>
      <c r="D81" s="27"/>
      <c r="E81" s="299"/>
      <c r="F81" s="27"/>
      <c r="G81" s="65">
        <f t="shared" ref="G81:Q81" si="32">IF(G$4="","",G13/G$4)</f>
        <v>0.11925342668621787</v>
      </c>
      <c r="H81" s="65">
        <f t="shared" si="32"/>
        <v>9.1310816250273819E-2</v>
      </c>
      <c r="I81" s="65">
        <f t="shared" si="32"/>
        <v>2.4738540016265142E-2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2.1040520339821359E-2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6.3121561019464076E-2</v>
      </c>
      <c r="D84" s="27"/>
      <c r="E84" s="299"/>
      <c r="F84" s="27"/>
      <c r="G84" s="65">
        <f t="shared" ref="G84:Q84" si="35">IF(G$4="","",ABS(G16/G$4))</f>
        <v>9.3282440349143375E-2</v>
      </c>
      <c r="H84" s="65">
        <f t="shared" si="35"/>
        <v>6.3798181508059701E-2</v>
      </c>
      <c r="I84" s="65">
        <f t="shared" si="35"/>
        <v>1.0210371946575279E-2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6.3121561019464076E-2</v>
      </c>
      <c r="D87" s="75"/>
      <c r="E87" s="299"/>
      <c r="F87" s="75"/>
      <c r="G87" s="65">
        <f t="shared" ref="G87:Q87" si="36">IF(G$4="","",ABS(G19/G$4))</f>
        <v>9.3282440349143375E-2</v>
      </c>
      <c r="H87" s="65">
        <f t="shared" si="36"/>
        <v>6.3798181508059701E-2</v>
      </c>
      <c r="I87" s="65">
        <f t="shared" si="36"/>
        <v>1.0210371946575279E-2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0.11432836545972898</v>
      </c>
      <c r="E90" s="302"/>
      <c r="G90" s="113">
        <f>Data!C65</f>
        <v>0.11432836545972898</v>
      </c>
      <c r="H90" s="113">
        <f>Data!D65</f>
        <v>9.8397363715340525E-2</v>
      </c>
      <c r="I90" s="113">
        <f>Data!E65</f>
        <v>3.6360168687192496E-2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152437.83966769953</v>
      </c>
      <c r="E91" s="302"/>
      <c r="G91" s="74">
        <f t="shared" ref="G91:Q91" si="37">IF(G$4="","",G90*Common_Shares/scaling_factor)</f>
        <v>152437.83966769953</v>
      </c>
      <c r="H91" s="74">
        <f t="shared" si="37"/>
        <v>131196.50135334799</v>
      </c>
      <c r="I91" s="74">
        <f t="shared" si="37"/>
        <v>48480.230976284773</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1.4839152232418682</v>
      </c>
      <c r="E92" s="302"/>
      <c r="G92" s="171">
        <f t="shared" ref="G92:Q92" si="38">IF(G$4="","",G90/(G19*scaling_factor/Common_Shares))</f>
        <v>0.89783333867620807</v>
      </c>
      <c r="H92" s="171">
        <f t="shared" si="38"/>
        <v>1.2728702661954618</v>
      </c>
      <c r="I92" s="171">
        <f t="shared" si="38"/>
        <v>3.2821864515026573</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4.9707984982490863E-2</v>
      </c>
      <c r="E93" s="302"/>
      <c r="G93" s="23">
        <f t="shared" ref="G93:Q93" si="39">IF(G$4="","",G90/Market_Price)</f>
        <v>4.9707984982490863E-2</v>
      </c>
      <c r="H93" s="23">
        <f t="shared" si="39"/>
        <v>4.2781462484930664E-2</v>
      </c>
      <c r="I93" s="23">
        <f t="shared" si="39"/>
        <v>1.5808768994431521E-2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-0.36896360758186275</v>
      </c>
      <c r="D97" s="27"/>
      <c r="E97" s="299"/>
      <c r="F97" s="27"/>
      <c r="G97" s="6">
        <f t="shared" ref="G97:Q97" si="41">IF(H5="","",G13/H13-1)</f>
        <v>0.47134998212962143</v>
      </c>
      <c r="H97" s="6">
        <f t="shared" si="41"/>
        <v>3.1220960104167732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8.4162081359285434E-2</v>
      </c>
      <c r="E117" s="302"/>
      <c r="G117" s="23">
        <f t="shared" ref="G117:Q117" si="45">G81</f>
        <v>0.11925342668621787</v>
      </c>
      <c r="H117" s="23">
        <f t="shared" si="45"/>
        <v>9.1310816250273819E-2</v>
      </c>
      <c r="I117" s="23">
        <f t="shared" si="45"/>
        <v>2.4738540016265142E-2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8.221493929651183E-2</v>
      </c>
      <c r="D124" s="27"/>
      <c r="E124" s="299"/>
      <c r="F124" s="27"/>
      <c r="G124" s="178">
        <f t="shared" ref="G124:Q124" si="49">IF(G$4="","",G16*$C$3/Common_Shares*Exchange_Rate)</f>
        <v>0.13588267971857715</v>
      </c>
      <c r="H124" s="178">
        <f t="shared" si="49"/>
        <v>8.2490732000393988E-2</v>
      </c>
      <c r="I124" s="178">
        <f t="shared" si="49"/>
        <v>1.1821388142723124E-2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3.5745625781092097E-2</v>
      </c>
      <c r="D125" s="27"/>
      <c r="E125" s="299"/>
      <c r="F125" s="27"/>
      <c r="G125" s="77">
        <f t="shared" ref="G125" si="50">IF(G$4="","",G124/Market_Price)</f>
        <v>5.9079425964598767E-2</v>
      </c>
      <c r="H125" s="77">
        <f t="shared" ref="H125" si="51">IF(H$4="","",H124/Market_Price)</f>
        <v>3.5865535652345217E-2</v>
      </c>
      <c r="I125" s="77">
        <f t="shared" ref="I125" si="52">IF(I$4="","",I124/Market_Price)</f>
        <v>5.1397339750970106E-3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102726.78471124035</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1284084.8088905043</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1874587.7120041444</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3354263.6208946486</v>
      </c>
      <c r="D10" t="str">
        <f>Reporting_currency</f>
        <v>CNY</v>
      </c>
      <c r="H10" s="121"/>
    </row>
    <row r="11" spans="2:8" ht="13.15" thickBot="1">
      <c r="B11" s="230" t="s">
        <v>167</v>
      </c>
      <c r="C11" s="231">
        <f>Exchange_Rate</f>
        <v>1.0671017599999999</v>
      </c>
      <c r="D11" t="str">
        <f>Thesis!D17</f>
        <v>CNY/HKD</v>
      </c>
      <c r="H11" s="121"/>
    </row>
    <row r="12" spans="2:8" ht="13.5" thickTop="1">
      <c r="B12" s="150" t="s">
        <v>103</v>
      </c>
      <c r="C12" s="112">
        <f>(C10*scaling_factor)/Common_Shares*Exchange_Rate</f>
        <v>2.6845051244573486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2.7121945023824332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103607.96494977659</v>
      </c>
      <c r="D21" s="139">
        <f>IF($C$17&lt;B21,0,Valuation_Model!$C$16)</f>
        <v>8.5779014792802307E-3</v>
      </c>
      <c r="E21" s="125">
        <f t="shared" ref="E21:E50" si="0">IF($C$17&lt;B21,0,1/(1+Equity_Cost)^B21)</f>
        <v>0.92592592592592582</v>
      </c>
      <c r="F21" s="126">
        <f t="shared" ref="F21:F51" si="1">C21*E21</f>
        <v>95933.300879422764</v>
      </c>
      <c r="H21" s="121"/>
    </row>
    <row r="22" spans="2:8">
      <c r="B22" s="123">
        <v>2</v>
      </c>
      <c r="C22" s="124">
        <f t="shared" ref="C22:C50" si="2">IF(ROW()-ROW($C$21)&lt;$C$17, $C$21*(1+D22)^(ROW()-ROW($C$21)), 0)</f>
        <v>104496.7038655845</v>
      </c>
      <c r="D22" s="139">
        <f>IF($C$17&lt;B22,0,Valuation_Model!$C$16)</f>
        <v>8.5779014792802307E-3</v>
      </c>
      <c r="E22" s="125">
        <f t="shared" si="0"/>
        <v>0.85733882030178321</v>
      </c>
      <c r="F22" s="126">
        <f t="shared" si="1"/>
        <v>89589.080817545007</v>
      </c>
      <c r="H22" s="121"/>
    </row>
    <row r="23" spans="2:8">
      <c r="B23" s="123">
        <v>3</v>
      </c>
      <c r="C23" s="124">
        <f t="shared" si="2"/>
        <v>105393.06629625298</v>
      </c>
      <c r="D23" s="139">
        <f>IF($C$17&lt;B23,0,Valuation_Model!$C$16)</f>
        <v>8.5779014792802307E-3</v>
      </c>
      <c r="E23" s="125">
        <f t="shared" si="0"/>
        <v>0.79383224102016958</v>
      </c>
      <c r="F23" s="126">
        <f t="shared" si="1"/>
        <v>83664.414005941799</v>
      </c>
      <c r="H23" s="121"/>
    </row>
    <row r="24" spans="2:8">
      <c r="B24" s="123">
        <v>4</v>
      </c>
      <c r="C24" s="124">
        <f t="shared" si="2"/>
        <v>106297.11763554146</v>
      </c>
      <c r="D24" s="139">
        <f>IF($C$17&lt;B24,0,Valuation_Model!$C$16)</f>
        <v>8.5779014792802307E-3</v>
      </c>
      <c r="E24" s="125">
        <f t="shared" si="0"/>
        <v>0.73502985279645328</v>
      </c>
      <c r="F24" s="126">
        <f t="shared" si="1"/>
        <v>78131.554728339324</v>
      </c>
      <c r="H24" s="121"/>
    </row>
    <row r="25" spans="2:8">
      <c r="B25" s="123">
        <v>5</v>
      </c>
      <c r="C25" s="124">
        <f t="shared" si="2"/>
        <v>107208.9238381506</v>
      </c>
      <c r="D25" s="139">
        <f>IF($C$17&lt;B25,0,Valuation_Model!$C$16)</f>
        <v>8.5779014792802307E-3</v>
      </c>
      <c r="E25" s="125">
        <f t="shared" si="0"/>
        <v>0.68058319703375303</v>
      </c>
      <c r="F25" s="126">
        <f t="shared" si="1"/>
        <v>72964.592136316671</v>
      </c>
      <c r="H25" s="121"/>
    </row>
    <row r="26" spans="2:8">
      <c r="B26" s="123">
        <v>6</v>
      </c>
      <c r="C26" s="124">
        <f t="shared" si="2"/>
        <v>108128.55142453393</v>
      </c>
      <c r="D26" s="139">
        <f>IF($C$17&lt;B26,0,Valuation_Model!$C$16)</f>
        <v>8.5779014792802307E-3</v>
      </c>
      <c r="E26" s="125">
        <f t="shared" si="0"/>
        <v>0.63016962688310452</v>
      </c>
      <c r="F26" s="126">
        <f t="shared" si="1"/>
        <v>68139.328906609124</v>
      </c>
      <c r="H26" s="121"/>
    </row>
    <row r="27" spans="2:8">
      <c r="B27" s="123">
        <v>7</v>
      </c>
      <c r="C27" s="124">
        <f t="shared" si="2"/>
        <v>109056.06748575083</v>
      </c>
      <c r="D27" s="139">
        <f>IF($C$17&lt;B27,0,Valuation_Model!$C$16)</f>
        <v>8.5779014792802307E-3</v>
      </c>
      <c r="E27" s="125">
        <f t="shared" si="0"/>
        <v>0.58349039526213387</v>
      </c>
      <c r="F27" s="126">
        <f t="shared" si="1"/>
        <v>63633.167922994697</v>
      </c>
      <c r="H27" s="121"/>
    </row>
    <row r="28" spans="2:8">
      <c r="B28" s="123">
        <v>8</v>
      </c>
      <c r="C28" s="124">
        <f t="shared" si="2"/>
        <v>109991.53968836133</v>
      </c>
      <c r="D28" s="139">
        <f>IF($C$17&lt;B28,0,Valuation_Model!$C$16)</f>
        <v>8.5779014792802307E-3</v>
      </c>
      <c r="E28" s="125">
        <f t="shared" si="0"/>
        <v>0.54026888450197574</v>
      </c>
      <c r="F28" s="126">
        <f t="shared" si="1"/>
        <v>59425.00645208577</v>
      </c>
      <c r="H28" s="121"/>
    </row>
    <row r="29" spans="2:8">
      <c r="B29" s="123">
        <v>9</v>
      </c>
      <c r="C29" s="124">
        <f t="shared" si="2"/>
        <v>110935.03627936242</v>
      </c>
      <c r="D29" s="139">
        <f>IF($C$17&lt;B29,0,Valuation_Model!$C$16)</f>
        <v>8.5779014792802307E-3</v>
      </c>
      <c r="E29" s="125">
        <f t="shared" si="0"/>
        <v>0.50024896713145905</v>
      </c>
      <c r="F29" s="126">
        <f t="shared" si="1"/>
        <v>55495.137317441993</v>
      </c>
      <c r="H29" s="121"/>
    </row>
    <row r="30" spans="2:8">
      <c r="B30" s="123">
        <v>10</v>
      </c>
      <c r="C30" s="124">
        <f t="shared" si="2"/>
        <v>111886.62609116719</v>
      </c>
      <c r="D30" s="139">
        <f>IF($C$17&lt;B30,0,Valuation_Model!$C$16)</f>
        <v>8.5779014792802307E-3</v>
      </c>
      <c r="E30" s="125">
        <f t="shared" si="0"/>
        <v>0.46319348808468425</v>
      </c>
      <c r="F30" s="126">
        <f t="shared" si="1"/>
        <v>51825.156609194572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1295099.5618722073</v>
      </c>
      <c r="D51" s="140">
        <f>Terminal_Growth</f>
        <v>0</v>
      </c>
      <c r="E51" s="125">
        <f>1/(1+Equity_Cost)^C17</f>
        <v>0.46319348808468425</v>
      </c>
      <c r="F51" s="126">
        <f t="shared" si="1"/>
        <v>599881.683480534</v>
      </c>
      <c r="H51" s="121"/>
    </row>
    <row r="52" spans="1:8">
      <c r="C52" s="115"/>
      <c r="E52" s="128" t="s">
        <v>101</v>
      </c>
      <c r="F52" s="138">
        <f>SUM(F21:F51)</f>
        <v>1318682.4232564257</v>
      </c>
      <c r="H52" s="121"/>
    </row>
    <row r="53" spans="1:8">
      <c r="C53" s="115"/>
      <c r="H53" s="121"/>
    </row>
    <row r="54" spans="1:8" ht="13.15">
      <c r="B54" s="120" t="s">
        <v>130</v>
      </c>
      <c r="C54" s="137"/>
      <c r="D54" s="137"/>
      <c r="E54" s="118"/>
      <c r="F54" s="118"/>
      <c r="H54" s="121"/>
    </row>
    <row r="55" spans="1:8" ht="13.15">
      <c r="A55" s="134">
        <f>F52</f>
        <v>1318682.4232564257</v>
      </c>
      <c r="B55" s="132">
        <f>C78</f>
        <v>-0.1</v>
      </c>
      <c r="C55" s="132">
        <f>C77</f>
        <v>-0.08</v>
      </c>
      <c r="D55" s="132">
        <f>C76</f>
        <v>0.02</v>
      </c>
      <c r="E55" s="132">
        <f>C75</f>
        <v>0.04</v>
      </c>
      <c r="F55" s="132">
        <f>C74</f>
        <v>0.08</v>
      </c>
      <c r="H55" s="121"/>
    </row>
    <row r="56" spans="1:8" ht="13.15">
      <c r="A56" s="144">
        <v>5</v>
      </c>
      <c r="B56" s="124">
        <f t="dataTable" ref="B56:F61" dt2D="1" dtr="1" r1="C16" r2="C17"/>
        <v>1093749.8594996047</v>
      </c>
      <c r="C56" s="124">
        <v>1129736.5674954623</v>
      </c>
      <c r="D56" s="124">
        <v>1325516.1066649156</v>
      </c>
      <c r="E56" s="124">
        <v>1368188.2537277779</v>
      </c>
      <c r="F56" s="124">
        <v>1457474.5916131511</v>
      </c>
      <c r="H56" s="121"/>
    </row>
    <row r="57" spans="1:8" ht="13.15">
      <c r="A57" s="144">
        <v>10</v>
      </c>
      <c r="B57" s="124">
        <v>965980.92680415208</v>
      </c>
      <c r="C57" s="124">
        <v>1019028.2518008336</v>
      </c>
      <c r="D57" s="124">
        <v>1366985.5561174005</v>
      </c>
      <c r="E57" s="124">
        <v>1458195.2028399743</v>
      </c>
      <c r="F57" s="124">
        <v>1669629.946469075</v>
      </c>
      <c r="H57" s="121"/>
    </row>
    <row r="58" spans="1:8" ht="13.15">
      <c r="A58" s="144">
        <v>15</v>
      </c>
      <c r="B58" s="124">
        <v>844613.64758759434</v>
      </c>
      <c r="C58" s="124">
        <v>909781.8467552053</v>
      </c>
      <c r="D58" s="124">
        <v>1418315.4982157112</v>
      </c>
      <c r="E58" s="124">
        <v>1575530.6752516113</v>
      </c>
      <c r="F58" s="124">
        <v>1978082.6219020821</v>
      </c>
      <c r="H58" s="121"/>
    </row>
    <row r="59" spans="1:8" ht="13.15">
      <c r="A59" s="145">
        <v>20</v>
      </c>
      <c r="B59" s="124">
        <v>748184.55342713115</v>
      </c>
      <c r="C59" s="124">
        <v>820224.31832213886</v>
      </c>
      <c r="D59" s="124">
        <v>1470612.4775571658</v>
      </c>
      <c r="E59" s="124">
        <v>1701821.9013761361</v>
      </c>
      <c r="F59" s="124">
        <v>2352073.6356392242</v>
      </c>
      <c r="H59" s="121"/>
    </row>
    <row r="60" spans="1:8" ht="13.15">
      <c r="A60" s="145">
        <v>25</v>
      </c>
      <c r="B60" s="124">
        <v>676999.14281054889</v>
      </c>
      <c r="C60" s="124">
        <v>752452.05183478061</v>
      </c>
      <c r="D60" s="124">
        <v>1519251.5703046047</v>
      </c>
      <c r="E60" s="124">
        <v>1826223.0554455658</v>
      </c>
      <c r="F60" s="124">
        <v>2770668.9411876742</v>
      </c>
      <c r="H60" s="121"/>
    </row>
    <row r="61" spans="1:8" ht="13.15">
      <c r="A61" s="145">
        <v>30</v>
      </c>
      <c r="B61" s="124">
        <v>626318.15830177022</v>
      </c>
      <c r="C61" s="124">
        <v>703267.796594018</v>
      </c>
      <c r="D61" s="124">
        <v>1562158.0162034873</v>
      </c>
      <c r="E61" s="124">
        <v>1942725.8387025653</v>
      </c>
      <c r="F61" s="124">
        <v>3219621.1782584907</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2.6845051244573486</v>
      </c>
      <c r="C65" s="125">
        <f>C12</f>
        <v>2.6845051244573486</v>
      </c>
      <c r="D65" s="125">
        <f>C12</f>
        <v>2.6845051244573486</v>
      </c>
      <c r="E65" s="142">
        <f>C12</f>
        <v>2.6845051244573486</v>
      </c>
      <c r="F65" s="125">
        <f>C12</f>
        <v>2.6845051244573486</v>
      </c>
      <c r="H65" s="121"/>
    </row>
    <row r="66" spans="1:8" ht="13.15">
      <c r="A66" s="144">
        <f t="shared" ref="A66:A71" si="3">A56</f>
        <v>5</v>
      </c>
      <c r="B66" s="125">
        <f t="shared" ref="B66:F71" si="4">(B56-$C$7+$C$8+$C$9)/Common_Shares*$C$3*Exchange_Rate</f>
        <v>2.5321750738851998</v>
      </c>
      <c r="C66" s="125">
        <f t="shared" si="4"/>
        <v>2.5609761798643009</v>
      </c>
      <c r="D66" s="125">
        <f t="shared" si="4"/>
        <v>2.7176636783931487</v>
      </c>
      <c r="E66" s="125">
        <f t="shared" si="4"/>
        <v>2.7518153165495129</v>
      </c>
      <c r="F66" s="125">
        <f t="shared" si="4"/>
        <v>2.8232735138433158</v>
      </c>
      <c r="H66" s="121"/>
    </row>
    <row r="67" spans="1:8" ht="13.15">
      <c r="A67" s="144">
        <f t="shared" si="3"/>
        <v>10</v>
      </c>
      <c r="B67" s="125">
        <f t="shared" si="4"/>
        <v>2.4299182469528242</v>
      </c>
      <c r="C67" s="125">
        <f t="shared" si="4"/>
        <v>2.4723734120463665</v>
      </c>
      <c r="D67" s="125">
        <f t="shared" si="4"/>
        <v>2.7508527661172457</v>
      </c>
      <c r="E67" s="125">
        <f t="shared" si="4"/>
        <v>2.8238502379025392</v>
      </c>
      <c r="F67" s="125">
        <f t="shared" si="4"/>
        <v>2.9930670070392651</v>
      </c>
      <c r="H67" s="121"/>
    </row>
    <row r="68" spans="1:8" ht="13.15">
      <c r="A68" s="144">
        <f t="shared" si="3"/>
        <v>15</v>
      </c>
      <c r="B68" s="125">
        <f t="shared" si="4"/>
        <v>2.3327848311507005</v>
      </c>
      <c r="C68" s="125">
        <f t="shared" si="4"/>
        <v>2.3849406496520644</v>
      </c>
      <c r="D68" s="125">
        <f t="shared" si="4"/>
        <v>2.7919334646475122</v>
      </c>
      <c r="E68" s="125">
        <f t="shared" si="4"/>
        <v>2.9177568930048743</v>
      </c>
      <c r="F68" s="125">
        <f t="shared" si="4"/>
        <v>3.2399297708048724</v>
      </c>
      <c r="H68" s="121"/>
    </row>
    <row r="69" spans="1:8" ht="13.15">
      <c r="A69" s="145">
        <f t="shared" si="3"/>
        <v>20</v>
      </c>
      <c r="B69" s="125">
        <f t="shared" si="4"/>
        <v>2.255610098727165</v>
      </c>
      <c r="C69" s="125">
        <f t="shared" si="4"/>
        <v>2.3132654114523383</v>
      </c>
      <c r="D69" s="125">
        <f t="shared" si="4"/>
        <v>2.8337881084391441</v>
      </c>
      <c r="E69" s="125">
        <f t="shared" si="4"/>
        <v>3.0188310726231302</v>
      </c>
      <c r="F69" s="125">
        <f t="shared" si="4"/>
        <v>3.5392445851278365</v>
      </c>
      <c r="H69" s="121"/>
    </row>
    <row r="70" spans="1:8" ht="13.15">
      <c r="A70" s="145">
        <f t="shared" si="3"/>
        <v>25</v>
      </c>
      <c r="B70" s="125">
        <f t="shared" si="4"/>
        <v>2.1986385481321511</v>
      </c>
      <c r="C70" s="125">
        <f t="shared" si="4"/>
        <v>2.2590254895964414</v>
      </c>
      <c r="D70" s="125">
        <f t="shared" si="4"/>
        <v>2.8727152496799477</v>
      </c>
      <c r="E70" s="125">
        <f t="shared" si="4"/>
        <v>3.1183925780180819</v>
      </c>
      <c r="F70" s="125">
        <f t="shared" si="4"/>
        <v>3.8742573837101029</v>
      </c>
    </row>
    <row r="71" spans="1:8" ht="13.15">
      <c r="A71" s="145">
        <f t="shared" si="3"/>
        <v>30</v>
      </c>
      <c r="B71" s="125">
        <f t="shared" si="4"/>
        <v>2.1580772273764279</v>
      </c>
      <c r="C71" s="125">
        <f t="shared" si="4"/>
        <v>2.2196620405180925</v>
      </c>
      <c r="D71" s="125">
        <f t="shared" si="4"/>
        <v>2.9070544033380856</v>
      </c>
      <c r="E71" s="125">
        <f t="shared" si="4"/>
        <v>3.2116328101568845</v>
      </c>
      <c r="F71" s="125">
        <f t="shared" si="4"/>
        <v>4.2335656305472256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3.2399297708048724</v>
      </c>
      <c r="F74" s="143">
        <f>Scenarios!C58</f>
        <v>0.05</v>
      </c>
    </row>
    <row r="75" spans="1:8">
      <c r="B75" s="128" t="str">
        <f>Scenarios!B36</f>
        <v>Optimistic</v>
      </c>
      <c r="C75" s="143">
        <f>Scenarios!C38</f>
        <v>0.04</v>
      </c>
      <c r="D75" s="146">
        <f>Scenarios!C37</f>
        <v>10</v>
      </c>
      <c r="E75" s="136">
        <f>INDEX(B$65:F$71, MATCH(D75, A$65:A$71, 0), MATCH(C75, B$64:F$64, 0))</f>
        <v>2.8238502379025392</v>
      </c>
      <c r="F75" s="143">
        <f>Scenarios!C40*(1-F$74-F$78)</f>
        <v>0.17</v>
      </c>
      <c r="H75" s="121"/>
    </row>
    <row r="76" spans="1:8">
      <c r="B76" s="128" t="str">
        <f>Scenarios!B24</f>
        <v>Base</v>
      </c>
      <c r="C76" s="143">
        <f>Scenarios!C26</f>
        <v>0.02</v>
      </c>
      <c r="D76" s="146">
        <f>Scenarios!C25</f>
        <v>10</v>
      </c>
      <c r="E76" s="136">
        <f>INDEX(B$65:F$71, MATCH(D76, A$65:A$71, 0), MATCH(C76, B$64:F$64, 0))</f>
        <v>2.7508527661172457</v>
      </c>
      <c r="F76" s="143">
        <f>Scenarios!C28*(1-F$74-F$78)</f>
        <v>0.51</v>
      </c>
      <c r="H76" s="121"/>
    </row>
    <row r="77" spans="1:8">
      <c r="B77" s="128" t="str">
        <f>Scenarios!B30</f>
        <v>Pessimistic</v>
      </c>
      <c r="C77" s="143">
        <f>Scenarios!C32</f>
        <v>-0.08</v>
      </c>
      <c r="D77" s="146">
        <f>Scenarios!C31</f>
        <v>10</v>
      </c>
      <c r="E77" s="136">
        <f>INDEX(B$65:F$71, MATCH(D77, A$65:A$71, 0), MATCH(C77, B$64:F$64, 0))</f>
        <v>2.4723734120463665</v>
      </c>
      <c r="F77" s="143">
        <f>Scenarios!C34*(1-F$74-F$78)</f>
        <v>0.17</v>
      </c>
      <c r="H77" s="121"/>
    </row>
    <row r="78" spans="1:8">
      <c r="B78" s="128" t="str">
        <f>Scenarios!B48</f>
        <v>Devil's advocate</v>
      </c>
      <c r="C78" s="143">
        <f>Scenarios!C50</f>
        <v>-0.1</v>
      </c>
      <c r="D78" s="146">
        <f>Scenarios!C49</f>
        <v>15</v>
      </c>
      <c r="E78" s="136">
        <f>INDEX(B$65:F$71, MATCH(D78, A$65:A$71, 0), MATCH(C78, B$64:F$64, 0))</f>
        <v>2.3327848311507005</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0.11432836545972898</v>
      </c>
    </row>
    <row r="5" spans="2:9">
      <c r="H5" s="276">
        <v>2</v>
      </c>
      <c r="I5" s="264">
        <f t="shared" si="0"/>
        <v>0.11432836545972898</v>
      </c>
    </row>
    <row r="6" spans="2:9" ht="13.15">
      <c r="B6" s="160" t="s">
        <v>96</v>
      </c>
      <c r="C6" s="107">
        <f>Valuation_Model!C3</f>
        <v>1000</v>
      </c>
      <c r="E6" s="100" t="s">
        <v>282</v>
      </c>
      <c r="F6" s="100"/>
      <c r="H6" s="276">
        <v>3</v>
      </c>
      <c r="I6" s="264">
        <f t="shared" si="0"/>
        <v>2.8128962683261518</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169784.11593899864</v>
      </c>
      <c r="D8" t="str">
        <f>Reporting_currency</f>
        <v>CNY</v>
      </c>
      <c r="E8" s="350"/>
      <c r="F8" s="350"/>
      <c r="H8" s="276">
        <v>5</v>
      </c>
      <c r="I8" s="264" t="str">
        <f t="shared" si="0"/>
        <v/>
      </c>
    </row>
    <row r="9" spans="2:9">
      <c r="B9" s="100" t="s">
        <v>57</v>
      </c>
      <c r="C9" s="201">
        <f>Normalized_FCF!C19</f>
        <v>102726.78471124035</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2.3903755926036272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2.2999999999999998</v>
      </c>
      <c r="D21" t="str">
        <f>Market_currency</f>
        <v>HKD</v>
      </c>
      <c r="E21" s="351"/>
      <c r="F21" s="351"/>
    </row>
    <row r="22" spans="2:6">
      <c r="B22" s="100" t="s">
        <v>281</v>
      </c>
      <c r="C22" s="161">
        <f>Valuation_Model!C12</f>
        <v>2.6845051244573486</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2.7508527661172457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2.4723734120463665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2.8238502379025392</v>
      </c>
      <c r="D39" t="str">
        <f>Market_currency</f>
        <v>HKD</v>
      </c>
      <c r="E39" s="349"/>
      <c r="F39" s="349"/>
    </row>
    <row r="40" spans="2:6">
      <c r="B40" s="100" t="s">
        <v>148</v>
      </c>
      <c r="C40" s="168">
        <f>1-C28-C34</f>
        <v>0.2</v>
      </c>
      <c r="D40" s="166"/>
      <c r="E40" s="349"/>
      <c r="F40" s="349"/>
    </row>
    <row r="42" spans="2:6" ht="13.15">
      <c r="B42" s="100" t="s">
        <v>121</v>
      </c>
      <c r="C42" s="155">
        <f>C27*C28+C33*C34+C39*C40</f>
        <v>2.7097563896601282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2.3327848311507005</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3.2399297708048724</v>
      </c>
      <c r="D57" t="str">
        <f>Market_currency</f>
        <v>HKD</v>
      </c>
      <c r="E57" s="349"/>
      <c r="F57" s="349"/>
    </row>
    <row r="58" spans="2:6">
      <c r="B58" s="100" t="s">
        <v>148</v>
      </c>
      <c r="C58" s="166">
        <v>0.05</v>
      </c>
      <c r="D58" s="166"/>
      <c r="E58" s="349"/>
      <c r="F58" s="349"/>
    </row>
    <row r="60" spans="2:6" ht="13.15">
      <c r="B60" s="100" t="s">
        <v>121</v>
      </c>
      <c r="C60" s="155">
        <f>C51*C52+C57*C58+C42*(1-C52-C58)</f>
        <v>2.6985679028664227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2.7121945023824332</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0.61396208762843274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0.11432836545972898</v>
      </c>
      <c r="D77" t="str">
        <f>Market_currency</f>
        <v>HKD</v>
      </c>
    </row>
    <row r="79" spans="2:6" ht="13.15">
      <c r="B79" s="109" t="s">
        <v>308</v>
      </c>
    </row>
    <row r="80" spans="2:6">
      <c r="B80" s="149" t="s">
        <v>306</v>
      </c>
      <c r="C80" s="168">
        <f>Thesis!C127</f>
        <v>0.3</v>
      </c>
    </row>
    <row r="81" spans="2:8">
      <c r="B81" s="100" t="s">
        <v>122</v>
      </c>
      <c r="C81" s="117">
        <f>PV(C80, C76, -C77, 0)</f>
        <v>0.20763321719814237</v>
      </c>
      <c r="D81" s="117"/>
      <c r="E81" s="100"/>
      <c r="F81" s="100"/>
    </row>
    <row r="82" spans="2:8">
      <c r="B82" s="100" t="s">
        <v>123</v>
      </c>
      <c r="C82" s="117">
        <f>C60/(1+C80)^C76</f>
        <v>1.2282967241085216</v>
      </c>
      <c r="D82" s="117"/>
    </row>
    <row r="83" spans="2:8" ht="13.15">
      <c r="B83" s="111" t="s">
        <v>102</v>
      </c>
      <c r="C83" s="112">
        <f>C81+C82</f>
        <v>1.435929941306664</v>
      </c>
      <c r="D83" t="str">
        <f>Market_currency</f>
        <v>HKD</v>
      </c>
      <c r="E83" s="147" t="s">
        <v>127</v>
      </c>
      <c r="F83" s="329">
        <f>(1-C83/C60)</f>
        <v>0.46789186227946422</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0.10196238180241868</v>
      </c>
    </row>
    <row r="88" spans="2:8">
      <c r="B88" s="100"/>
    </row>
    <row r="89" spans="2:8" ht="13.15">
      <c r="B89" s="109" t="s">
        <v>420</v>
      </c>
    </row>
    <row r="90" spans="2:8">
      <c r="B90" s="149" t="s">
        <v>421</v>
      </c>
      <c r="C90" s="168">
        <f>Thesis!E19</f>
        <v>0.2</v>
      </c>
    </row>
    <row r="91" spans="2:8">
      <c r="B91" s="100" t="s">
        <v>122</v>
      </c>
      <c r="C91" s="117">
        <f>PV(C90, C76, -C77, 0)</f>
        <v>0.24083058464896612</v>
      </c>
      <c r="D91" s="117"/>
      <c r="E91" s="100"/>
      <c r="F91" s="100"/>
    </row>
    <row r="92" spans="2:8">
      <c r="B92" s="100" t="s">
        <v>123</v>
      </c>
      <c r="C92" s="117">
        <f>C60/(1+C90)^C76</f>
        <v>1.5616712400847355</v>
      </c>
      <c r="D92" s="117"/>
    </row>
    <row r="93" spans="2:8" ht="13.15">
      <c r="B93" s="111" t="s">
        <v>102</v>
      </c>
      <c r="C93" s="112">
        <f>C91+C92</f>
        <v>1.8025018247337017</v>
      </c>
      <c r="D93" t="str">
        <f>Market_currency</f>
        <v>HKD</v>
      </c>
      <c r="E93" s="147" t="s">
        <v>127</v>
      </c>
      <c r="F93" s="329">
        <f>(1-C93/C60)</f>
        <v>0.33205244795986733</v>
      </c>
    </row>
    <row r="95" spans="2:8" ht="13.15">
      <c r="B95" s="109" t="s">
        <v>405</v>
      </c>
      <c r="G95" s="2"/>
      <c r="H95" s="316"/>
    </row>
    <row r="96" spans="2:8">
      <c r="B96" s="149" t="s">
        <v>412</v>
      </c>
      <c r="C96" s="135">
        <f>Thesis!C67</f>
        <v>0.08</v>
      </c>
      <c r="G96" s="2"/>
      <c r="H96" s="316"/>
    </row>
    <row r="97" spans="2:8">
      <c r="B97" s="100" t="s">
        <v>122</v>
      </c>
      <c r="C97" s="117">
        <f>PV(C96, C76, -C77, 0)</f>
        <v>0.29463528618324214</v>
      </c>
      <c r="D97" s="117"/>
      <c r="G97" s="2"/>
      <c r="H97" s="316"/>
    </row>
    <row r="98" spans="2:8">
      <c r="B98" s="100" t="s">
        <v>123</v>
      </c>
      <c r="C98" s="117">
        <f>C60/(1+C96)^C76</f>
        <v>2.1422102058775518</v>
      </c>
      <c r="D98" s="117"/>
      <c r="G98" s="2"/>
      <c r="H98" s="316"/>
    </row>
    <row r="99" spans="2:8" ht="13.15">
      <c r="B99" s="111" t="s">
        <v>406</v>
      </c>
      <c r="C99" s="112">
        <f>C97+C98</f>
        <v>2.4368454920607938</v>
      </c>
      <c r="D99" t="s">
        <v>404</v>
      </c>
      <c r="E99" s="147" t="s">
        <v>127</v>
      </c>
      <c r="F99" s="329">
        <f>(1-C99/C60)</f>
        <v>9.6985668038083062E-2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