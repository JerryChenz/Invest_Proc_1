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58EB9EB-B521-46E7-8312-01E36964610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D21" i="6"/>
  <c r="C116" i="6"/>
  <c r="C117" i="6"/>
  <c r="C80" i="9" s="1"/>
  <c r="D10" i="6"/>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N43" i="2"/>
  <c r="N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7" i="3" l="1"/>
  <c r="D87" i="3" s="1"/>
  <c r="C86" i="6"/>
  <c r="C87" i="6"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<sst xmlns="http://schemas.openxmlformats.org/spreadsheetml/2006/main" count="558" uniqueCount="388">
  <si>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</si>
  <si>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</si>
  <si>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</si>
  <si>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</si>
  <si>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</si>
  <si>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</si>
  <si>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</si>
  <si>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</si>
  <si>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</si>
  <si>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</si>
  <si>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</si>
  <si>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</si>
  <si>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</si>
  <si>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</si>
  <si>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</si>
  <si>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</si>
  <si>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</si>
  <si>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</si>
  <si>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</si>
  <si>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</si>
  <si>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</si>
  <si>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</si>
  <si>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</si>
  <si>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</si>
  <si>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</si>
  <si>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Capitalization:</t>
    <phoneticPr fontId="2" type="noConversion"/>
  </si>
  <si>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</si>
  <si>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</si>
  <si>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</si>
  <si>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</si>
  <si>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</si>
  <si>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</si>
  <si>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</si>
  <si>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</si>
  <si>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</si>
  <si>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</si>
  <si>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</si>
  <si>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</si>
  <si>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</si>
  <si>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</si>
  <si>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</si>
  <si>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</si>
  <si>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</si>
  <si>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</si>
  <si>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</si>
  <si>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</si>
  <si>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</si>
  <si>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</si>
  <si>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</si>
  <si>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</si>
  <si>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</si>
  <si>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</si>
  <si>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</si>
  <si>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</si>
  <si>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</si>
  <si>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</si>
  <si>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</si>
  <si>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</si>
  <si>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</si>
  <si>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</si>
  <si>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</si>
  <si>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</si>
  <si>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</si>
  <si>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</si>
  <si>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</si>
  <si>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</si>
  <si>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</si>
  <si>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</si>
  <si>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</si>
  <si>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</si>
  <si>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</si>
  <si>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</si>
  <si>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</si>
  <si>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</si>
  <si>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</si>
  <si>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</si>
  <si>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</si>
  <si>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</si>
  <si>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</si>
  <si>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</si>
  <si>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</si>
  <si>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</si>
  <si>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</si>
  <si>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</si>
  <si>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</si>
  <si>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</si>
  <si>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</si>
  <si>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</si>
  <si>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</si>
  <si>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</si>
  <si>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</si>
  <si>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</si>
  <si>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</si>
  <si>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</si>
  <si>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</si>
  <si>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</si>
  <si>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</si>
  <si>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</si>
  <si>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</si>
  <si>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</si>
  <si>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</si>
  <si>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</si>
  <si>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</si>
  <si>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</si>
  <si>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</si>
  <si>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</si>
  <si>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</si>
  <si>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</si>
  <si>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</si>
  <si>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</si>
  <si>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</si>
  <si>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</si>
  <si>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</si>
  <si>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</si>
  <si>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</si>
  <si>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</si>
  <si>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</si>
  <si>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</si>
  <si>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</si>
  <si>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</si>
  <si>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</si>
  <si>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</si>
  <si>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</si>
  <si>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</si>
  <si>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</si>
  <si>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</si>
  <si>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</si>
  <si>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</si>
  <si>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</si>
  <si>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</si>
  <si>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</si>
  <si>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</si>
  <si>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</si>
  <si>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</si>
  <si>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</si>
  <si>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</si>
  <si>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</si>
  <si>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</si>
  <si>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</si>
  <si>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</si>
  <si>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</si>
  <si>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</si>
  <si>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</si>
  <si>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</si>
  <si>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</si>
  <si>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</si>
  <si>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</si>
  <si>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</si>
  <si>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</si>
  <si>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</si>
  <si>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</si>
  <si>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</si>
  <si>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</si>
  <si>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</si>
  <si>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</si>
  <si>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</si>
  <si>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</si>
  <si>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</si>
  <si>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</si>
  <si>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</si>
  <si>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</si>
  <si>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</si>
  <si>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</si>
  <si>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</si>
  <si>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</si>
  <si>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</si>
  <si>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</si>
  <si>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</si>
  <si>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</si>
  <si>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</si>
  <si>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</si>
  <si>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</si>
  <si>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</si>
  <si>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</si>
  <si>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</si>
  <si>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</si>
  <si>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</si>
  <si>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</si>
  <si>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</si>
  <si>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</si>
  <si>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</si>
  <si>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</si>
  <si>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</si>
  <si>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</si>
  <si>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</si>
  <si>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</si>
  <si>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</si>
  <si>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</si>
  <si>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</si>
  <si>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</si>
  <si>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</si>
  <si>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</si>
  <si>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</si>
  <si>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</si>
  <si>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</si>
  <si>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</si>
  <si>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</si>
  <si>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</si>
  <si>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</si>
  <si>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</si>
  <si>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</si>
  <si>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</si>
  <si>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</si>
  <si>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</si>
  <si>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</si>
  <si>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</si>
  <si>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</si>
  <si>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</si>
  <si>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</si>
  <si>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</si>
  <si>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</si>
  <si>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</si>
  <si>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</si>
  <si>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</si>
  <si>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</si>
  <si>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</si>
  <si>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</si>
  <si>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</si>
  <si>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</si>
  <si>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</si>
  <si>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</si>
  <si>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</si>
  <si>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</si>
  <si>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</si>
  <si>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</si>
  <si>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</si>
  <si>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</si>
  <si>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</si>
  <si>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</si>
  <si>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</si>
  <si>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</si>
  <si>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</si>
  <si>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</si>
  <si>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</si>
  <si>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</si>
  <si>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</si>
  <si>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</si>
  <si>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</si>
  <si>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</si>
  <si>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</si>
  <si>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</si>
  <si>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</si>
  <si>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</si>
  <si>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</si>
  <si>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</si>
  <si>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</si>
  <si>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</si>
  <si>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</si>
  <si>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</si>
  <si>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</si>
  <si>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</si>
  <si>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</si>
  <si>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</si>
  <si>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</si>
  <si>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</si>
  <si>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</si>
  <si>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</si>
  <si>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</si>
  <si>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</si>
  <si>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</si>
  <si>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</si>
  <si>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</si>
  <si>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</si>
  <si>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</si>
  <si>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</si>
  <si>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</si>
  <si>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</si>
  <si>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</si>
  <si>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</si>
  <si>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</si>
  <si>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</si>
  <si>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</si>
  <si>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</si>
  <si>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</si>
  <si>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</si>
  <si>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</si>
  <si>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</si>
  <si>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</si>
  <si>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</si>
  <si>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</si>
  <si>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</si>
  <si>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</si>
  <si>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</si>
  <si>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</si>
  <si>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</si>
  <si>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</si>
  <si>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</si>
  <si>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</si>
  <si>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Target Buy Price:</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</si>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</sst>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opLeftCell="A82" zoomScale="86" zoomScaleNormal="100" workbookViewId="0">
      <selection activeCell="D95" sqref="D9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45</v>
      </c>
      <c r="C1" s="44">
        <v>45730</v>
      </c>
      <c r="D1" s="52"/>
      <c r="E1" s="293" t="s">
        <v>356</v>
      </c>
      <c r="F1" s="294" t="s">
        <v>375</v>
      </c>
    </row>
    <row r="2" spans="1:10" ht="13.9" x14ac:dyDescent="0.45">
      <c r="A2" s="254" t="s">
        <v>286</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355</v>
      </c>
      <c r="C5" s="48" t="s">
        <v>376</v>
      </c>
      <c r="D5" s="49" t="s">
        <v>377</v>
      </c>
    </row>
    <row r="6" spans="1:10" x14ac:dyDescent="0.35">
      <c r="B6" s="4" t="s">
        <v>100</v>
      </c>
      <c r="C6" s="50">
        <v>2.2999999999999998</v>
      </c>
      <c r="D6" s="48" t="s">
        <v>44</v>
      </c>
      <c r="E6" s="48"/>
    </row>
    <row r="7" spans="1:10" x14ac:dyDescent="0.35">
      <c r="B7" s="4" t="s">
        <v>0</v>
      </c>
      <c r="C7" s="51">
        <v>1333333500</v>
      </c>
      <c r="D7" s="34"/>
      <c r="E7" s="34"/>
    </row>
    <row r="8" spans="1:10" x14ac:dyDescent="0.35">
      <c r="B8" s="2" t="s">
        <v>344</v>
      </c>
      <c r="C8" s="287">
        <v>6</v>
      </c>
      <c r="D8" s="5"/>
      <c r="E8" s="48"/>
    </row>
    <row r="9" spans="1:10" x14ac:dyDescent="0.35">
      <c r="B9" s="1" t="s">
        <v>287</v>
      </c>
      <c r="C9" s="33">
        <f>EOMONTH(EDATE(BS!C1,C8+2),0)</f>
        <v>45716</v>
      </c>
      <c r="D9" s="5"/>
      <c r="E9" s="5"/>
    </row>
    <row r="10" spans="1:10" x14ac:dyDescent="0.35">
      <c r="B10" s="4" t="s">
        <v>25</v>
      </c>
      <c r="C10" s="35">
        <f>Thesis!C6*Thesis!C7/1000000</f>
        <v>3066.66705</v>
      </c>
      <c r="D10" s="32" t="str">
        <f>Market_currency</f>
        <v>HKD</v>
      </c>
      <c r="E10" s="5"/>
    </row>
    <row r="11" spans="1:10" x14ac:dyDescent="0.35">
      <c r="D11" s="5"/>
      <c r="E11" s="5"/>
    </row>
    <row r="12" spans="1:10" ht="24.4" customHeight="1" x14ac:dyDescent="0.35">
      <c r="B12" s="330" t="s">
        <v>292</v>
      </c>
      <c r="C12" s="330"/>
      <c r="D12" s="330"/>
      <c r="E12" s="330"/>
      <c r="F12" s="330"/>
    </row>
    <row r="14" spans="1:10" x14ac:dyDescent="0.35">
      <c r="B14" s="45" t="s">
        <v>343</v>
      </c>
      <c r="C14" s="46"/>
      <c r="D14" s="5"/>
    </row>
    <row r="15" spans="1:10" x14ac:dyDescent="0.35">
      <c r="B15" s="2" t="s">
        <v>342</v>
      </c>
      <c r="C15" s="32" t="str">
        <f>IF(Scenarios!C69="Y",Scenarios!B69,"")&amp;IF(Scenarios!C70="Y",Scenarios!B70,"")&amp;IF(Scenarios!C71="Y",Scenarios!B71,"")&amp;" "&amp;IF(Scenarios!C72="Y",Scenarios!B72,"")</f>
        <v>Low Growth Asset Play</v>
      </c>
      <c r="E15" s="5"/>
    </row>
    <row r="16" spans="1:10" x14ac:dyDescent="0.35">
      <c r="B16" s="4" t="s">
        <v>1</v>
      </c>
      <c r="C16" s="48" t="s">
        <v>378</v>
      </c>
      <c r="D16" s="32"/>
      <c r="E16" s="5"/>
    </row>
    <row r="17" spans="1:6" x14ac:dyDescent="0.35">
      <c r="B17" s="4" t="s">
        <v>2</v>
      </c>
      <c r="C17" s="50">
        <v>1.06</v>
      </c>
      <c r="D17" s="32" t="str">
        <f>IF(C16=D6,D6,C16&amp;"/"&amp;D6)</f>
        <v>CNY/HKD</v>
      </c>
      <c r="E17" s="5"/>
    </row>
    <row r="18" spans="1:6" x14ac:dyDescent="0.35">
      <c r="B18" s="2" t="s">
        <v>61</v>
      </c>
      <c r="C18" s="48" t="s">
        <v>379</v>
      </c>
      <c r="E18" s="5"/>
    </row>
    <row r="19" spans="1:6" x14ac:dyDescent="0.35">
      <c r="B19" s="2" t="s">
        <v>299</v>
      </c>
      <c r="C19" s="256">
        <v>0.2</v>
      </c>
      <c r="E19" s="5"/>
    </row>
    <row r="20" spans="1:6" x14ac:dyDescent="0.35">
      <c r="B20" s="2" t="s">
        <v>288</v>
      </c>
      <c r="C20" s="259">
        <f>C123</f>
        <v>1.7432969171114687</v>
      </c>
      <c r="D20" s="1" t="s">
        <v>346</v>
      </c>
      <c r="E20" s="289">
        <f>Scenarios!C76</f>
        <v>3</v>
      </c>
    </row>
    <row r="21" spans="1:6" x14ac:dyDescent="0.35">
      <c r="B21" s="1" t="s">
        <v>345</v>
      </c>
      <c r="C21" s="288">
        <f ca="1">Scenarios!C87</f>
        <v>8.8876330035536411E-2</v>
      </c>
      <c r="D21" s="5" t="str">
        <f>Market_currency</f>
        <v>HKD</v>
      </c>
      <c r="E21" s="5"/>
    </row>
    <row r="22" spans="1:6" x14ac:dyDescent="0.35">
      <c r="D22" s="5"/>
      <c r="E22" s="5"/>
    </row>
    <row r="23" spans="1:6" ht="13.9" x14ac:dyDescent="0.45">
      <c r="A23" s="254" t="s">
        <v>236</v>
      </c>
      <c r="B23" s="36"/>
      <c r="C23" s="36"/>
      <c r="D23" s="36"/>
      <c r="E23" s="36"/>
      <c r="F23" s="36"/>
    </row>
    <row r="25" spans="1:6" x14ac:dyDescent="0.35">
      <c r="B25" s="330" t="s">
        <v>237</v>
      </c>
      <c r="C25" s="330"/>
      <c r="D25" s="330"/>
      <c r="E25" s="330"/>
      <c r="F25" s="330"/>
    </row>
    <row r="26" spans="1:6" ht="24.4" customHeight="1" x14ac:dyDescent="0.35">
      <c r="B26" s="331" t="s">
        <v>257</v>
      </c>
      <c r="C26" s="331"/>
      <c r="D26" s="331"/>
      <c r="E26" s="331"/>
      <c r="F26" s="331"/>
    </row>
    <row r="28" spans="1:6" x14ac:dyDescent="0.35">
      <c r="B28" s="241" t="s">
        <v>238</v>
      </c>
      <c r="C28" s="111">
        <f>Data!C3</f>
        <v>1000</v>
      </c>
    </row>
    <row r="29" spans="1:6" ht="24.4" customHeight="1" x14ac:dyDescent="0.35">
      <c r="B29" s="329" t="s">
        <v>239</v>
      </c>
      <c r="C29" s="329"/>
      <c r="D29" s="329"/>
      <c r="E29" s="329"/>
      <c r="F29" s="329"/>
    </row>
    <row r="30" spans="1:6" x14ac:dyDescent="0.35">
      <c r="B30" s="47" t="s">
        <v>240</v>
      </c>
      <c r="C30" s="192">
        <f>Normalized_FCF!C8</f>
        <v>58602.662537660683</v>
      </c>
      <c r="D30" s="1" t="str">
        <f>Reporting_currency</f>
        <v>CNY</v>
      </c>
    </row>
    <row r="31" spans="1:6" x14ac:dyDescent="0.35">
      <c r="B31" s="47"/>
      <c r="C31" s="78"/>
    </row>
    <row r="32" spans="1:6" ht="24.4" customHeight="1" x14ac:dyDescent="0.35">
      <c r="B32" s="329" t="s">
        <v>241</v>
      </c>
      <c r="C32" s="329"/>
      <c r="D32" s="329"/>
      <c r="E32" s="329"/>
      <c r="F32" s="329"/>
    </row>
    <row r="33" spans="2:6" x14ac:dyDescent="0.35">
      <c r="B33" s="47" t="s">
        <v>242</v>
      </c>
      <c r="C33" s="192">
        <f>Normalized_FCF!C9</f>
        <v>35974</v>
      </c>
      <c r="D33" s="1" t="str">
        <f>Reporting_currency</f>
        <v>CNY</v>
      </c>
    </row>
    <row r="34" spans="2:6" x14ac:dyDescent="0.35">
      <c r="B34" s="52" t="s">
        <v>243</v>
      </c>
      <c r="C34" s="192">
        <f>Normalized_FCF!C10</f>
        <v>-35974</v>
      </c>
      <c r="D34" s="1" t="str">
        <f>Reporting_currency</f>
        <v>CNY</v>
      </c>
    </row>
    <row r="36" spans="2:6" x14ac:dyDescent="0.35">
      <c r="B36" s="329" t="s">
        <v>244</v>
      </c>
      <c r="C36" s="329"/>
      <c r="D36" s="329"/>
      <c r="E36" s="329"/>
      <c r="F36" s="329"/>
    </row>
    <row r="37" spans="2:6" x14ac:dyDescent="0.35">
      <c r="B37" s="47" t="s">
        <v>245</v>
      </c>
      <c r="C37" s="192">
        <f>Normalized_FCF!C11</f>
        <v>0</v>
      </c>
      <c r="D37" s="1" t="str">
        <f>Reporting_currency</f>
        <v>CNY</v>
      </c>
    </row>
    <row r="39" spans="2:6" x14ac:dyDescent="0.35">
      <c r="B39" s="329" t="s">
        <v>248</v>
      </c>
      <c r="C39" s="329"/>
      <c r="D39" s="329"/>
      <c r="E39" s="329"/>
      <c r="F39" s="329"/>
    </row>
    <row r="40" spans="2:6" x14ac:dyDescent="0.35">
      <c r="B40" s="47" t="s">
        <v>246</v>
      </c>
      <c r="C40" s="192">
        <f>Normalized_FCF!C12</f>
        <v>72802</v>
      </c>
      <c r="D40" s="1" t="str">
        <f>Reporting_currency</f>
        <v>CNY</v>
      </c>
    </row>
    <row r="42" spans="2:6" x14ac:dyDescent="0.35">
      <c r="B42" s="1" t="s">
        <v>256</v>
      </c>
    </row>
    <row r="43" spans="2:6" x14ac:dyDescent="0.35">
      <c r="B43" s="47" t="s">
        <v>284</v>
      </c>
      <c r="C43" s="192">
        <f>Normalized_FCF!C15</f>
        <v>-2089.6737831682049</v>
      </c>
      <c r="D43" s="1" t="str">
        <f>Reporting_currency</f>
        <v>CNY</v>
      </c>
    </row>
    <row r="45" spans="2:6" x14ac:dyDescent="0.35">
      <c r="B45" s="329" t="s">
        <v>249</v>
      </c>
      <c r="C45" s="329"/>
      <c r="D45" s="329"/>
      <c r="E45" s="329"/>
      <c r="F45" s="329"/>
    </row>
    <row r="46" spans="2:6" x14ac:dyDescent="0.35">
      <c r="B46" s="47" t="s">
        <v>247</v>
      </c>
      <c r="C46" s="192">
        <f>Normalized_FCF!C14</f>
        <v>-32851.165634415171</v>
      </c>
      <c r="D46" s="1" t="str">
        <f>Reporting_currency</f>
        <v>CNY</v>
      </c>
    </row>
    <row r="48" spans="2:6" ht="24.4" customHeight="1" x14ac:dyDescent="0.35">
      <c r="B48" s="329" t="s">
        <v>252</v>
      </c>
      <c r="C48" s="333"/>
      <c r="D48" s="333"/>
      <c r="E48" s="333"/>
      <c r="F48" s="333"/>
    </row>
    <row r="49" spans="1:6" x14ac:dyDescent="0.35">
      <c r="B49" s="47" t="s">
        <v>250</v>
      </c>
      <c r="C49" s="1">
        <f>Normalized_FCF!C17</f>
        <v>0</v>
      </c>
      <c r="D49" s="1" t="str">
        <f>Reporting_currency</f>
        <v>CNY</v>
      </c>
    </row>
    <row r="50" spans="1:6" x14ac:dyDescent="0.35">
      <c r="B50" s="47" t="s">
        <v>251</v>
      </c>
      <c r="C50" s="1">
        <f>Normalized_FCF!C18</f>
        <v>0</v>
      </c>
      <c r="D50" s="1" t="str">
        <f>Reporting_currency</f>
        <v>CNY</v>
      </c>
    </row>
    <row r="52" spans="1:6" ht="24.4" customHeight="1" x14ac:dyDescent="0.35">
      <c r="B52" s="330" t="s">
        <v>273</v>
      </c>
      <c r="C52" s="330"/>
      <c r="D52" s="330"/>
      <c r="E52" s="330"/>
      <c r="F52" s="330"/>
    </row>
    <row r="53" spans="1:6" x14ac:dyDescent="0.35">
      <c r="B53" s="47" t="s">
        <v>291</v>
      </c>
      <c r="C53" s="192">
        <f>Normalized_FCF!G19</f>
        <v>151970</v>
      </c>
      <c r="D53" s="1" t="str">
        <f>Reporting_currency</f>
        <v>CNY</v>
      </c>
    </row>
    <row r="54" spans="1:6" x14ac:dyDescent="0.35">
      <c r="B54" s="47" t="s">
        <v>259</v>
      </c>
      <c r="C54" s="192">
        <f>Normalized_FCF!C19</f>
        <v>96463.823120077301</v>
      </c>
      <c r="D54" s="1" t="str">
        <f>Reporting_currency</f>
        <v>CNY</v>
      </c>
    </row>
    <row r="55" spans="1:6" x14ac:dyDescent="0.35">
      <c r="B55" s="261" t="s">
        <v>290</v>
      </c>
      <c r="C55" s="94">
        <f>Normalized_FCF!C120</f>
        <v>3.3342925997552272E-2</v>
      </c>
    </row>
    <row r="56" spans="1:6" x14ac:dyDescent="0.35">
      <c r="B56" s="261" t="s">
        <v>347</v>
      </c>
      <c r="C56" s="94">
        <f>Normalized_FCF!C92</f>
        <v>5.1217391304347833E-2</v>
      </c>
    </row>
    <row r="58" spans="1:6" ht="13.9" x14ac:dyDescent="0.45">
      <c r="A58" s="254" t="s">
        <v>308</v>
      </c>
      <c r="B58" s="36"/>
      <c r="C58" s="36"/>
      <c r="D58" s="36"/>
      <c r="E58" s="36"/>
      <c r="F58" s="36"/>
    </row>
    <row r="59" spans="1:6" x14ac:dyDescent="0.35">
      <c r="A59" s="240"/>
    </row>
    <row r="60" spans="1:6" ht="24.4" customHeight="1" x14ac:dyDescent="0.35">
      <c r="A60" s="17"/>
      <c r="B60" s="329" t="s">
        <v>309</v>
      </c>
      <c r="C60" s="329"/>
      <c r="D60" s="329"/>
      <c r="E60" s="329"/>
      <c r="F60" s="329"/>
    </row>
    <row r="61" spans="1:6" x14ac:dyDescent="0.35">
      <c r="B61" s="331" t="s">
        <v>264</v>
      </c>
      <c r="C61" s="331"/>
      <c r="D61" s="331"/>
      <c r="E61" s="331"/>
      <c r="F61" s="331"/>
    </row>
    <row r="63" spans="1:6" x14ac:dyDescent="0.35">
      <c r="B63" s="241" t="s">
        <v>238</v>
      </c>
    </row>
    <row r="64" spans="1:6" x14ac:dyDescent="0.35">
      <c r="B64" s="1" t="s">
        <v>314</v>
      </c>
      <c r="C64" s="322">
        <v>0.08</v>
      </c>
    </row>
    <row r="65" spans="1:6" x14ac:dyDescent="0.35">
      <c r="B65" s="1" t="s">
        <v>316</v>
      </c>
      <c r="C65" s="271">
        <f>IF(D65="Y",1%,0)</f>
        <v>0.01</v>
      </c>
      <c r="D65" s="296" t="s">
        <v>313</v>
      </c>
    </row>
    <row r="66" spans="1:6" x14ac:dyDescent="0.35">
      <c r="B66" s="1" t="s">
        <v>315</v>
      </c>
      <c r="C66" s="271">
        <f>IF(D66="Y",1%,0)</f>
        <v>0.01</v>
      </c>
      <c r="D66" s="296" t="s">
        <v>313</v>
      </c>
    </row>
    <row r="67" spans="1:6" x14ac:dyDescent="0.35">
      <c r="B67" s="82" t="s">
        <v>258</v>
      </c>
      <c r="C67" s="271">
        <f>SUM(C64:C66)</f>
        <v>9.9999999999999992E-2</v>
      </c>
    </row>
    <row r="68" spans="1:6" x14ac:dyDescent="0.35">
      <c r="C68" s="125"/>
    </row>
    <row r="69" spans="1:6" ht="24.4" customHeight="1" x14ac:dyDescent="0.35">
      <c r="B69" s="330" t="s">
        <v>317</v>
      </c>
      <c r="C69" s="330"/>
      <c r="D69" s="330"/>
      <c r="E69" s="330"/>
      <c r="F69" s="330"/>
    </row>
    <row r="70" spans="1:6" ht="24.4" customHeight="1" x14ac:dyDescent="0.35">
      <c r="B70" s="330" t="s">
        <v>263</v>
      </c>
      <c r="C70" s="330"/>
      <c r="D70" s="330"/>
      <c r="E70" s="330"/>
      <c r="F70" s="330"/>
    </row>
    <row r="71" spans="1:6" x14ac:dyDescent="0.35">
      <c r="B71" s="47" t="s">
        <v>262</v>
      </c>
      <c r="C71" s="271">
        <v>0</v>
      </c>
    </row>
    <row r="73" spans="1:6" x14ac:dyDescent="0.35">
      <c r="B73" s="47" t="s">
        <v>307</v>
      </c>
      <c r="C73" s="255">
        <f>Valuation_Model!C6*C28*Exchange_Rate/Common_Shares</f>
        <v>0.76688729794370236</v>
      </c>
      <c r="D73" s="1" t="str">
        <f>Market_currency</f>
        <v>HKD</v>
      </c>
    </row>
    <row r="75" spans="1:6" ht="13.9" x14ac:dyDescent="0.45">
      <c r="A75" s="254" t="s">
        <v>265</v>
      </c>
      <c r="B75" s="36"/>
      <c r="C75" s="36"/>
      <c r="D75" s="36"/>
      <c r="E75" s="36"/>
      <c r="F75" s="36"/>
    </row>
    <row r="76" spans="1:6" x14ac:dyDescent="0.35">
      <c r="A76" s="240"/>
    </row>
    <row r="77" spans="1:6" ht="24.4" customHeight="1" x14ac:dyDescent="0.35">
      <c r="B77" s="330" t="s">
        <v>266</v>
      </c>
      <c r="C77" s="330"/>
      <c r="D77" s="330"/>
      <c r="E77" s="330"/>
      <c r="F77" s="330"/>
    </row>
    <row r="78" spans="1:6" x14ac:dyDescent="0.35">
      <c r="B78" s="1" t="s">
        <v>267</v>
      </c>
    </row>
    <row r="80" spans="1:6" x14ac:dyDescent="0.35">
      <c r="B80" s="241" t="s">
        <v>238</v>
      </c>
    </row>
    <row r="81" spans="2:6" x14ac:dyDescent="0.35">
      <c r="B81" s="47" t="s">
        <v>269</v>
      </c>
      <c r="C81" s="192">
        <f>Valuation_Model!C7</f>
        <v>33999</v>
      </c>
      <c r="D81" s="1" t="str">
        <f>Reporting_currency</f>
        <v>CNY</v>
      </c>
    </row>
    <row r="82" spans="2:6" x14ac:dyDescent="0.35">
      <c r="B82" s="47" t="s">
        <v>310</v>
      </c>
      <c r="C82" s="255">
        <f>C81*C28*Exchange_Rate/Common_Shares</f>
        <v>2.7029201621349797E-2</v>
      </c>
      <c r="D82" s="1" t="str">
        <f>Market_currency</f>
        <v>HKD</v>
      </c>
    </row>
    <row r="84" spans="2:6" x14ac:dyDescent="0.35">
      <c r="B84" s="1" t="s">
        <v>268</v>
      </c>
    </row>
    <row r="85" spans="2:6" x14ac:dyDescent="0.35">
      <c r="B85" s="47" t="s">
        <v>283</v>
      </c>
      <c r="C85" s="192">
        <f>BS!C66</f>
        <v>2664732</v>
      </c>
      <c r="D85" s="1" t="str">
        <f>Reporting_currency</f>
        <v>CNY</v>
      </c>
    </row>
    <row r="86" spans="2:6" x14ac:dyDescent="0.35">
      <c r="B86" s="47" t="s">
        <v>285</v>
      </c>
      <c r="C86" s="192">
        <f>Valuation_Model!C8</f>
        <v>2029405.1093906919</v>
      </c>
      <c r="D86" s="1" t="str">
        <f>Reporting_currency</f>
        <v>CNY</v>
      </c>
    </row>
    <row r="87" spans="2:6" x14ac:dyDescent="0.35">
      <c r="B87" s="47" t="s">
        <v>311</v>
      </c>
      <c r="C87" s="255">
        <f>C86*C28*Exchange_Rate/Common_Shares</f>
        <v>1.6133768602934926</v>
      </c>
      <c r="D87" s="1" t="str">
        <f>Market_currency</f>
        <v>HKD</v>
      </c>
    </row>
    <row r="89" spans="2:6" x14ac:dyDescent="0.35">
      <c r="B89" s="1" t="s">
        <v>270</v>
      </c>
    </row>
    <row r="90" spans="2:6" x14ac:dyDescent="0.35">
      <c r="B90" s="47" t="s">
        <v>271</v>
      </c>
      <c r="C90" s="192">
        <f>Valuation_Model!C9</f>
        <v>227656.8</v>
      </c>
      <c r="D90" s="1" t="str">
        <f>Reporting_currency</f>
        <v>CNY</v>
      </c>
    </row>
    <row r="91" spans="2:6" x14ac:dyDescent="0.35">
      <c r="B91" s="47" t="s">
        <v>312</v>
      </c>
      <c r="C91" s="255">
        <f>C90*C28*Exchange_Rate/Common_Shares</f>
        <v>0.18098713337660832</v>
      </c>
      <c r="D91" s="1" t="str">
        <f>Market_currency</f>
        <v>HKD</v>
      </c>
    </row>
    <row r="93" spans="2:6" ht="24.4" customHeight="1" x14ac:dyDescent="0.35">
      <c r="B93" s="330" t="s">
        <v>272</v>
      </c>
      <c r="C93" s="330"/>
      <c r="D93" s="330"/>
      <c r="E93" s="330"/>
      <c r="F93" s="330"/>
    </row>
    <row r="95" spans="2:6" x14ac:dyDescent="0.35">
      <c r="B95" s="47" t="s">
        <v>306</v>
      </c>
      <c r="C95" s="255">
        <f>Valuation_Model!C12</f>
        <v>2.5342220899924537</v>
      </c>
      <c r="D95" s="1" t="str">
        <f>Market_currency</f>
        <v>HKD</v>
      </c>
    </row>
    <row r="97" spans="1:6" ht="13.9" x14ac:dyDescent="0.45">
      <c r="A97" s="254" t="s">
        <v>282</v>
      </c>
      <c r="B97" s="36"/>
      <c r="C97" s="36"/>
      <c r="D97" s="36"/>
      <c r="E97" s="36"/>
      <c r="F97" s="36"/>
    </row>
    <row r="99" spans="1:6" ht="24.4" customHeight="1" x14ac:dyDescent="0.35">
      <c r="B99" s="329" t="s">
        <v>373</v>
      </c>
      <c r="C99" s="329"/>
      <c r="D99" s="329"/>
      <c r="E99" s="329"/>
      <c r="F99" s="329"/>
    </row>
    <row r="101" spans="1:6" ht="12.4" x14ac:dyDescent="0.4">
      <c r="B101" s="267" t="s">
        <v>123</v>
      </c>
      <c r="C101" s="267" t="s">
        <v>138</v>
      </c>
      <c r="D101" s="267" t="s">
        <v>118</v>
      </c>
      <c r="E101" s="267" t="s">
        <v>275</v>
      </c>
      <c r="F101" s="267" t="s">
        <v>153</v>
      </c>
    </row>
    <row r="102" spans="1:6" x14ac:dyDescent="0.35">
      <c r="B102" s="262" t="str">
        <f>Valuation_Model!B74</f>
        <v>Snowball Scenario</v>
      </c>
      <c r="C102" s="263">
        <f>Valuation_Model!C74</f>
        <v>0.1</v>
      </c>
      <c r="D102" s="264">
        <f>Valuation_Model!D74</f>
        <v>15</v>
      </c>
      <c r="E102" s="265" t="str">
        <f>ROUND(Valuation_Model!E74,2)&amp;" "&amp;Market_currency</f>
        <v>3.12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2.71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2.59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2.26 HKD</v>
      </c>
      <c r="F106" s="253">
        <f>Valuation_Model!F78</f>
        <v>0.1</v>
      </c>
    </row>
    <row r="108" spans="1:6" x14ac:dyDescent="0.35">
      <c r="B108" s="242" t="s">
        <v>274</v>
      </c>
      <c r="C108" s="248">
        <f>Scenarios!C60</f>
        <v>2.5836250727686179</v>
      </c>
      <c r="D108" s="243" t="str">
        <f>Market_currency</f>
        <v>HKD</v>
      </c>
    </row>
    <row r="110" spans="1:6" ht="24.4" customHeight="1" x14ac:dyDescent="0.35">
      <c r="B110" s="334" t="s">
        <v>374</v>
      </c>
      <c r="C110" s="334"/>
      <c r="D110" s="334"/>
      <c r="E110" s="334"/>
      <c r="F110" s="334"/>
    </row>
    <row r="112" spans="1:6" ht="13.9" x14ac:dyDescent="0.45">
      <c r="A112" s="254" t="s">
        <v>305</v>
      </c>
      <c r="B112" s="36"/>
      <c r="C112" s="36"/>
      <c r="D112" s="36"/>
      <c r="E112" s="36"/>
      <c r="F112" s="36"/>
    </row>
    <row r="114" spans="2:6" x14ac:dyDescent="0.35">
      <c r="B114" s="332" t="s">
        <v>280</v>
      </c>
      <c r="C114" s="332"/>
      <c r="D114" s="332"/>
      <c r="E114" s="332"/>
      <c r="F114" s="332"/>
    </row>
    <row r="115" spans="2:6" x14ac:dyDescent="0.35">
      <c r="B115" s="241" t="s">
        <v>238</v>
      </c>
    </row>
    <row r="116" spans="2:6" x14ac:dyDescent="0.35">
      <c r="B116" s="1" t="s">
        <v>281</v>
      </c>
      <c r="C116" s="258">
        <f>E20</f>
        <v>3</v>
      </c>
    </row>
    <row r="117" spans="2:6" x14ac:dyDescent="0.35">
      <c r="B117" s="1" t="s">
        <v>300</v>
      </c>
      <c r="C117" s="257">
        <f>C19</f>
        <v>0.2</v>
      </c>
    </row>
    <row r="118" spans="2:6" x14ac:dyDescent="0.35">
      <c r="B118" s="243" t="s">
        <v>277</v>
      </c>
      <c r="C118" s="244">
        <f>Scenarios!C77</f>
        <v>0.1178</v>
      </c>
      <c r="D118" s="243" t="str">
        <f>Market_currency</f>
        <v>HKD</v>
      </c>
    </row>
    <row r="120" spans="2:6" x14ac:dyDescent="0.35">
      <c r="B120" s="241" t="s">
        <v>279</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1.4951533985929502</v>
      </c>
    </row>
    <row r="123" spans="2:6" x14ac:dyDescent="0.35">
      <c r="B123" s="82" t="s">
        <v>276</v>
      </c>
      <c r="C123" s="246">
        <f>Scenarios!C83</f>
        <v>1.7432969171114687</v>
      </c>
      <c r="D123" s="47" t="str">
        <f>Reporting_currency</f>
        <v>CNY</v>
      </c>
    </row>
    <row r="124" spans="2:6" x14ac:dyDescent="0.35">
      <c r="B124" s="245" t="s">
        <v>278</v>
      </c>
      <c r="C124" s="158">
        <f>Scenarios!F83</f>
        <v>-0.32525158720365399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103</v>
      </c>
      <c r="C2" s="37"/>
      <c r="D2" s="37"/>
      <c r="E2" s="37"/>
      <c r="F2" s="37"/>
      <c r="G2" s="37"/>
      <c r="H2" s="37"/>
      <c r="I2" s="37"/>
      <c r="J2" s="37"/>
      <c r="K2" s="37"/>
      <c r="L2" s="37"/>
      <c r="M2" s="37"/>
    </row>
    <row r="3" spans="2:13" x14ac:dyDescent="0.35">
      <c r="B3" s="16" t="s">
        <v>29</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47</v>
      </c>
      <c r="C5" s="194">
        <v>897327</v>
      </c>
      <c r="D5" s="185">
        <v>845264</v>
      </c>
      <c r="E5" s="185">
        <v>981731</v>
      </c>
      <c r="F5" s="185">
        <v>959572</v>
      </c>
      <c r="G5" s="185">
        <v>783542</v>
      </c>
      <c r="H5" s="185"/>
      <c r="I5" s="185"/>
      <c r="J5" s="185"/>
      <c r="K5" s="185"/>
      <c r="L5" s="185"/>
      <c r="M5" s="185"/>
    </row>
    <row r="6" spans="2:13" x14ac:dyDescent="0.35">
      <c r="B6" s="40" t="s">
        <v>59</v>
      </c>
      <c r="C6" s="194">
        <v>613104</v>
      </c>
      <c r="D6" s="185">
        <v>599182</v>
      </c>
      <c r="E6" s="185">
        <v>705390</v>
      </c>
      <c r="F6" s="185">
        <v>456610</v>
      </c>
      <c r="G6" s="185">
        <v>396643</v>
      </c>
      <c r="H6" s="185"/>
      <c r="I6" s="185"/>
      <c r="J6" s="185"/>
      <c r="K6" s="185"/>
      <c r="L6" s="185"/>
      <c r="M6" s="185"/>
    </row>
    <row r="7" spans="2:13" x14ac:dyDescent="0.35">
      <c r="B7" s="70" t="s">
        <v>66</v>
      </c>
      <c r="C7" s="195">
        <v>425033</v>
      </c>
      <c r="D7" s="193">
        <v>435254</v>
      </c>
      <c r="E7" s="193"/>
      <c r="F7" s="193"/>
      <c r="G7" s="193"/>
      <c r="H7" s="193"/>
      <c r="I7" s="193"/>
      <c r="J7" s="193"/>
      <c r="K7" s="193"/>
      <c r="L7" s="193"/>
      <c r="M7" s="193"/>
    </row>
    <row r="8" spans="2:13" x14ac:dyDescent="0.35">
      <c r="B8" s="40" t="s">
        <v>53</v>
      </c>
      <c r="C8" s="194"/>
      <c r="D8" s="185"/>
      <c r="E8" s="185"/>
      <c r="F8" s="185"/>
      <c r="G8" s="185"/>
      <c r="H8" s="185"/>
      <c r="I8" s="185"/>
      <c r="J8" s="185"/>
      <c r="K8" s="185"/>
      <c r="L8" s="185"/>
      <c r="M8" s="185"/>
    </row>
    <row r="9" spans="2:13" x14ac:dyDescent="0.35">
      <c r="B9" s="40" t="s">
        <v>165</v>
      </c>
      <c r="C9" s="194"/>
      <c r="D9" s="185"/>
      <c r="E9" s="185"/>
      <c r="F9" s="185"/>
      <c r="G9" s="185"/>
      <c r="H9" s="185"/>
      <c r="I9" s="185"/>
      <c r="J9" s="185"/>
      <c r="K9" s="185"/>
      <c r="L9" s="185"/>
      <c r="M9" s="185"/>
    </row>
    <row r="10" spans="2:13" x14ac:dyDescent="0.35">
      <c r="B10" s="40" t="s">
        <v>173</v>
      </c>
      <c r="C10" s="194"/>
      <c r="D10" s="185"/>
      <c r="E10" s="185"/>
      <c r="F10" s="185"/>
      <c r="G10" s="185"/>
      <c r="H10" s="185"/>
      <c r="I10" s="185"/>
      <c r="J10" s="185"/>
      <c r="K10" s="185"/>
      <c r="L10" s="185"/>
      <c r="M10" s="185"/>
    </row>
    <row r="11" spans="2:13" x14ac:dyDescent="0.35">
      <c r="B11" s="40" t="s">
        <v>164</v>
      </c>
      <c r="C11" s="194"/>
      <c r="D11" s="185"/>
      <c r="E11" s="185"/>
      <c r="F11" s="185"/>
      <c r="G11" s="185"/>
      <c r="H11" s="185"/>
      <c r="I11" s="185"/>
      <c r="J11" s="185"/>
      <c r="K11" s="185"/>
      <c r="L11" s="185"/>
      <c r="M11" s="185"/>
    </row>
    <row r="12" spans="2:13" x14ac:dyDescent="0.35">
      <c r="B12" s="40" t="s">
        <v>41</v>
      </c>
      <c r="C12" s="194">
        <v>1003</v>
      </c>
      <c r="D12" s="185">
        <v>863</v>
      </c>
      <c r="E12" s="185">
        <v>1613</v>
      </c>
      <c r="F12" s="185">
        <v>2645</v>
      </c>
      <c r="G12" s="185">
        <v>299</v>
      </c>
      <c r="H12" s="185"/>
      <c r="I12" s="185"/>
      <c r="J12" s="185"/>
      <c r="K12" s="185"/>
      <c r="L12" s="185"/>
      <c r="M12" s="185"/>
    </row>
    <row r="13" spans="2:13" x14ac:dyDescent="0.35">
      <c r="B13" s="40" t="s">
        <v>72</v>
      </c>
      <c r="C13" s="194">
        <v>73805</v>
      </c>
      <c r="D13" s="185">
        <v>45350</v>
      </c>
      <c r="E13" s="185"/>
      <c r="F13" s="185"/>
      <c r="G13" s="185"/>
      <c r="H13" s="185"/>
      <c r="I13" s="185"/>
      <c r="J13" s="185"/>
      <c r="K13" s="185"/>
      <c r="L13" s="185"/>
      <c r="M13" s="185"/>
    </row>
    <row r="14" spans="2:13" x14ac:dyDescent="0.35">
      <c r="B14" s="40" t="s">
        <v>54</v>
      </c>
      <c r="C14" s="194">
        <v>44449</v>
      </c>
      <c r="D14" s="185">
        <v>21017</v>
      </c>
      <c r="E14" s="185"/>
      <c r="F14" s="185"/>
      <c r="G14" s="185"/>
      <c r="H14" s="185"/>
      <c r="I14" s="185"/>
      <c r="J14" s="185"/>
      <c r="K14" s="185"/>
      <c r="L14" s="185"/>
      <c r="M14" s="185"/>
    </row>
    <row r="15" spans="2:13" x14ac:dyDescent="0.35">
      <c r="B15" s="43" t="s">
        <v>46</v>
      </c>
      <c r="C15" s="196">
        <v>172817</v>
      </c>
      <c r="D15" s="186">
        <v>65456</v>
      </c>
      <c r="E15" s="186">
        <v>5735.3965490000001</v>
      </c>
      <c r="F15" s="186">
        <v>9646.0369900000005</v>
      </c>
      <c r="G15" s="186"/>
      <c r="H15" s="186"/>
      <c r="I15" s="186"/>
      <c r="J15" s="186"/>
      <c r="K15" s="186"/>
      <c r="L15" s="186"/>
      <c r="M15" s="186"/>
    </row>
    <row r="16" spans="2:13" x14ac:dyDescent="0.35">
      <c r="B16" s="28" t="s">
        <v>48</v>
      </c>
      <c r="C16" s="194">
        <v>2199</v>
      </c>
      <c r="D16" s="185">
        <v>645</v>
      </c>
      <c r="E16" s="185"/>
      <c r="F16" s="185"/>
      <c r="G16" s="185"/>
      <c r="H16" s="185"/>
      <c r="I16" s="185"/>
      <c r="J16" s="185"/>
      <c r="K16" s="185"/>
      <c r="L16" s="185"/>
      <c r="M16" s="185"/>
    </row>
    <row r="18" spans="2:13" x14ac:dyDescent="0.35">
      <c r="B18" s="16" t="s">
        <v>55</v>
      </c>
      <c r="C18" s="9"/>
    </row>
    <row r="19" spans="2:13" x14ac:dyDescent="0.35">
      <c r="B19" s="27" t="s">
        <v>51</v>
      </c>
      <c r="C19" s="185">
        <v>35974</v>
      </c>
      <c r="D19" s="185">
        <v>32106</v>
      </c>
      <c r="E19" s="185">
        <v>181.018</v>
      </c>
      <c r="F19" s="185">
        <v>186.14699999999999</v>
      </c>
      <c r="G19" s="185"/>
      <c r="H19" s="185"/>
      <c r="I19" s="185"/>
      <c r="J19" s="185"/>
      <c r="K19" s="185"/>
      <c r="L19" s="185"/>
      <c r="M19" s="185"/>
    </row>
    <row r="20" spans="2:13" x14ac:dyDescent="0.35">
      <c r="B20" s="27" t="s">
        <v>57</v>
      </c>
      <c r="C20" s="185">
        <v>15312</v>
      </c>
      <c r="D20" s="185">
        <v>11600</v>
      </c>
      <c r="E20" s="185"/>
      <c r="F20" s="185"/>
      <c r="G20" s="185"/>
      <c r="H20" s="185"/>
      <c r="I20" s="185"/>
      <c r="J20" s="185"/>
      <c r="K20" s="185"/>
      <c r="L20" s="185"/>
      <c r="M20" s="185"/>
    </row>
    <row r="21" spans="2:13" x14ac:dyDescent="0.35">
      <c r="B21" s="27" t="s">
        <v>56</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30</v>
      </c>
      <c r="C24" s="9"/>
    </row>
    <row r="25" spans="2:13" x14ac:dyDescent="0.35">
      <c r="B25" s="26" t="s">
        <v>26</v>
      </c>
      <c r="C25" s="187"/>
      <c r="D25" s="185"/>
      <c r="E25" s="185"/>
      <c r="F25" s="185"/>
      <c r="G25" s="185"/>
      <c r="H25" s="185"/>
      <c r="I25" s="185"/>
      <c r="J25" s="185"/>
      <c r="K25" s="185"/>
      <c r="L25" s="185"/>
      <c r="M25" s="185"/>
    </row>
    <row r="26" spans="2:13" x14ac:dyDescent="0.35">
      <c r="B26" s="26" t="s">
        <v>34</v>
      </c>
      <c r="C26" s="187"/>
      <c r="D26" s="185"/>
      <c r="E26" s="185"/>
      <c r="F26" s="185"/>
      <c r="G26" s="185"/>
      <c r="H26" s="185"/>
      <c r="I26" s="185"/>
      <c r="J26" s="185"/>
      <c r="K26" s="185"/>
      <c r="L26" s="185"/>
      <c r="M26" s="185"/>
    </row>
    <row r="27" spans="2:13" x14ac:dyDescent="0.35">
      <c r="B27" s="29" t="s">
        <v>42</v>
      </c>
      <c r="C27" s="186">
        <v>642877</v>
      </c>
      <c r="D27" s="186">
        <v>734909</v>
      </c>
      <c r="E27" s="186">
        <v>677999</v>
      </c>
      <c r="F27" s="186">
        <v>1352795</v>
      </c>
      <c r="G27" s="186">
        <v>1205068</v>
      </c>
      <c r="H27" s="186"/>
      <c r="I27" s="186"/>
      <c r="J27" s="186"/>
      <c r="K27" s="186"/>
      <c r="L27" s="186"/>
      <c r="M27" s="186"/>
    </row>
    <row r="28" spans="2:13" x14ac:dyDescent="0.35">
      <c r="B28" s="29" t="s">
        <v>32</v>
      </c>
      <c r="C28" s="186">
        <v>3027292</v>
      </c>
      <c r="D28" s="186">
        <v>2824568</v>
      </c>
      <c r="E28" s="186">
        <v>2735259</v>
      </c>
      <c r="F28" s="186">
        <v>250534</v>
      </c>
      <c r="G28" s="186">
        <v>13930</v>
      </c>
      <c r="H28" s="186"/>
      <c r="I28" s="186"/>
      <c r="J28" s="186"/>
      <c r="K28" s="186"/>
      <c r="L28" s="186"/>
      <c r="M28" s="186"/>
    </row>
    <row r="29" spans="2:13" x14ac:dyDescent="0.35">
      <c r="B29" s="26" t="s">
        <v>178</v>
      </c>
      <c r="C29" s="185"/>
      <c r="D29" s="185"/>
      <c r="E29" s="185"/>
      <c r="F29" s="185"/>
      <c r="G29" s="186"/>
      <c r="H29" s="186"/>
      <c r="I29" s="186"/>
      <c r="J29" s="186"/>
      <c r="K29" s="186"/>
      <c r="L29" s="186"/>
      <c r="M29" s="186"/>
    </row>
    <row r="31" spans="2:13" x14ac:dyDescent="0.35">
      <c r="B31" s="16" t="s">
        <v>58</v>
      </c>
      <c r="C31" s="9"/>
    </row>
    <row r="32" spans="2:13" x14ac:dyDescent="0.35">
      <c r="B32" s="26" t="s">
        <v>43</v>
      </c>
      <c r="C32" s="185"/>
      <c r="D32" s="185"/>
      <c r="E32" s="185"/>
      <c r="F32" s="185"/>
      <c r="G32" s="185"/>
      <c r="H32" s="185"/>
      <c r="I32" s="185"/>
      <c r="J32" s="185"/>
      <c r="K32" s="185"/>
      <c r="L32" s="185"/>
      <c r="M32" s="185"/>
    </row>
    <row r="34" spans="2:13" ht="13.9" x14ac:dyDescent="0.45">
      <c r="B34" s="36" t="s">
        <v>87</v>
      </c>
      <c r="C34" s="37"/>
      <c r="D34" s="37"/>
      <c r="E34" s="37"/>
      <c r="F34" s="37"/>
      <c r="G34" s="37"/>
      <c r="H34" s="37"/>
      <c r="I34" s="37"/>
      <c r="J34" s="37"/>
      <c r="K34" s="37"/>
      <c r="L34" s="37"/>
      <c r="M34" s="37"/>
    </row>
    <row r="35" spans="2:13" x14ac:dyDescent="0.35">
      <c r="B35" s="16" t="s">
        <v>29</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47</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63</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59</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66</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69</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53</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158</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174</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73</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54</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46</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48</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73</v>
      </c>
    </row>
    <row r="51" spans="2:13" x14ac:dyDescent="0.35">
      <c r="B51" s="40" t="s">
        <v>41</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72</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174</v>
      </c>
    </row>
    <row r="55" spans="2:13" x14ac:dyDescent="0.35">
      <c r="B55" s="40" t="s">
        <v>165</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173</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164</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166</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55</v>
      </c>
      <c r="C60" s="9"/>
    </row>
    <row r="61" spans="2:13" x14ac:dyDescent="0.35">
      <c r="B61" s="27" t="s">
        <v>51</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57</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56</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38</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90</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88</v>
      </c>
      <c r="C73" s="37"/>
      <c r="D73" s="37"/>
      <c r="E73" s="37"/>
      <c r="F73" s="37"/>
      <c r="G73" s="37"/>
      <c r="H73" s="37"/>
      <c r="I73" s="37"/>
      <c r="J73" s="37"/>
      <c r="K73" s="37"/>
      <c r="L73" s="37"/>
      <c r="M73" s="37"/>
    </row>
    <row r="74" spans="2:13" x14ac:dyDescent="0.35">
      <c r="B74" s="16" t="s">
        <v>30</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91</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92</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42</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32</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39</v>
      </c>
      <c r="C1" s="102">
        <v>45473</v>
      </c>
      <c r="F1" s="88" t="str">
        <f>IF(MONTH(C1)=MONTH(Normalized_FCF!G1),"FY","Quarter")&amp;" Report"</f>
        <v>Quarter Report</v>
      </c>
      <c r="H1" s="110">
        <f>Data!C3</f>
        <v>1000</v>
      </c>
    </row>
    <row r="2" spans="2:8" ht="15" customHeight="1" x14ac:dyDescent="0.35">
      <c r="B2" s="81" t="s">
        <v>162</v>
      </c>
      <c r="C2" s="37"/>
      <c r="D2" s="37"/>
      <c r="E2" s="37"/>
      <c r="F2" s="37"/>
      <c r="G2" s="37"/>
      <c r="H2" s="37"/>
    </row>
    <row r="3" spans="2:8" ht="15" customHeight="1" x14ac:dyDescent="0.35">
      <c r="B3" s="16" t="s">
        <v>190</v>
      </c>
      <c r="C3" s="210" t="s">
        <v>142</v>
      </c>
      <c r="D3" s="211" t="s">
        <v>37</v>
      </c>
      <c r="F3" s="16" t="s">
        <v>191</v>
      </c>
      <c r="G3" s="210" t="s">
        <v>142</v>
      </c>
      <c r="H3" s="211" t="s">
        <v>37</v>
      </c>
    </row>
    <row r="4" spans="2:8" ht="15" customHeight="1" x14ac:dyDescent="0.35">
      <c r="B4" s="4" t="s">
        <v>26</v>
      </c>
      <c r="C4" s="19">
        <v>180994</v>
      </c>
      <c r="D4" s="305">
        <v>0.6</v>
      </c>
      <c r="E4" s="25"/>
      <c r="F4" s="4" t="s">
        <v>83</v>
      </c>
      <c r="G4" s="19">
        <v>2385307</v>
      </c>
      <c r="H4" s="305">
        <v>0.9</v>
      </c>
    </row>
    <row r="5" spans="2:8" ht="15" customHeight="1" x14ac:dyDescent="0.35">
      <c r="B5" s="1" t="s">
        <v>35</v>
      </c>
      <c r="C5" s="19">
        <v>0</v>
      </c>
      <c r="D5" s="305">
        <v>0.6</v>
      </c>
      <c r="E5" s="25"/>
      <c r="F5" s="1" t="s">
        <v>31</v>
      </c>
      <c r="G5" s="19">
        <v>0</v>
      </c>
      <c r="H5" s="305">
        <v>0.7</v>
      </c>
    </row>
    <row r="6" spans="2:8" ht="15" customHeight="1" x14ac:dyDescent="0.35">
      <c r="B6" s="4" t="s">
        <v>11</v>
      </c>
      <c r="C6" s="19">
        <v>158110</v>
      </c>
      <c r="D6" s="305">
        <v>0.5</v>
      </c>
      <c r="E6" s="25"/>
      <c r="F6" s="4" t="s">
        <v>183</v>
      </c>
      <c r="G6" s="19">
        <v>0</v>
      </c>
      <c r="H6" s="305">
        <v>0.6</v>
      </c>
    </row>
    <row r="7" spans="2:8" ht="15" customHeight="1" x14ac:dyDescent="0.35">
      <c r="B7" s="1" t="s">
        <v>74</v>
      </c>
      <c r="C7" s="19">
        <v>0</v>
      </c>
      <c r="D7" s="305">
        <v>0.6</v>
      </c>
      <c r="E7" s="25"/>
      <c r="F7" s="4" t="s">
        <v>184</v>
      </c>
      <c r="G7" s="19">
        <v>253051</v>
      </c>
      <c r="H7" s="305">
        <v>0.6</v>
      </c>
    </row>
    <row r="8" spans="2:8" ht="15" customHeight="1" x14ac:dyDescent="0.35">
      <c r="B8" s="1" t="s">
        <v>179</v>
      </c>
      <c r="C8" s="19">
        <v>0</v>
      </c>
      <c r="D8" s="305">
        <v>0.6</v>
      </c>
      <c r="E8" s="25"/>
      <c r="F8" s="1" t="s">
        <v>185</v>
      </c>
      <c r="G8" s="19">
        <v>0</v>
      </c>
      <c r="H8" s="305">
        <v>0.6</v>
      </c>
    </row>
    <row r="9" spans="2:8" ht="15" customHeight="1" x14ac:dyDescent="0.35">
      <c r="B9" s="4" t="s">
        <v>27</v>
      </c>
      <c r="C9" s="19">
        <v>0</v>
      </c>
      <c r="D9" s="305">
        <v>0.1</v>
      </c>
      <c r="E9" s="25"/>
      <c r="F9" s="4" t="s">
        <v>186</v>
      </c>
      <c r="G9" s="19">
        <v>0</v>
      </c>
      <c r="H9" s="305">
        <v>0.6</v>
      </c>
    </row>
    <row r="10" spans="2:8" ht="15" customHeight="1" x14ac:dyDescent="0.35">
      <c r="B10" s="4" t="s">
        <v>12</v>
      </c>
      <c r="C10" s="19">
        <v>5912</v>
      </c>
      <c r="D10" s="305">
        <v>0.9</v>
      </c>
      <c r="H10" s="306"/>
    </row>
    <row r="11" spans="2:8" ht="15" customHeight="1" x14ac:dyDescent="0.35">
      <c r="B11" s="4" t="s">
        <v>13</v>
      </c>
      <c r="C11" s="19">
        <v>0</v>
      </c>
      <c r="D11" s="305">
        <v>0.05</v>
      </c>
      <c r="H11" s="306"/>
    </row>
    <row r="12" spans="2:8" ht="15" customHeight="1" x14ac:dyDescent="0.35">
      <c r="B12" s="82" t="s">
        <v>77</v>
      </c>
      <c r="C12" s="83">
        <f>SUM(C4:C11)</f>
        <v>345016</v>
      </c>
      <c r="D12" s="20">
        <f>C4*D4+C5*D5+C9*D9+C6*D6+C8*D8+C7*D7+C10*D10+C11*D11</f>
        <v>192972.19999999998</v>
      </c>
      <c r="F12" s="82" t="s">
        <v>75</v>
      </c>
      <c r="G12" s="83">
        <f>SUM(G4:G9)</f>
        <v>2638358</v>
      </c>
      <c r="H12" s="20">
        <f>G4*H4+G5*H5+G6*H6+G7*H7+G8*H8+G9*H9</f>
        <v>2298606.9000000004</v>
      </c>
    </row>
    <row r="13" spans="2:8" ht="15" customHeight="1" x14ac:dyDescent="0.35">
      <c r="F13" s="82"/>
      <c r="G13" s="83"/>
      <c r="H13" s="20"/>
    </row>
    <row r="14" spans="2:8" ht="15" customHeight="1" x14ac:dyDescent="0.35">
      <c r="B14" s="16" t="s">
        <v>189</v>
      </c>
      <c r="C14" s="210" t="s">
        <v>142</v>
      </c>
      <c r="D14" s="211" t="s">
        <v>37</v>
      </c>
      <c r="F14" s="16" t="s">
        <v>192</v>
      </c>
      <c r="G14" s="210" t="s">
        <v>142</v>
      </c>
      <c r="H14" s="211" t="s">
        <v>37</v>
      </c>
    </row>
    <row r="15" spans="2:8" ht="15" customHeight="1" x14ac:dyDescent="0.35">
      <c r="B15" s="4" t="s">
        <v>78</v>
      </c>
      <c r="C15" s="19">
        <v>0</v>
      </c>
      <c r="D15" s="305">
        <v>0.4</v>
      </c>
      <c r="F15" s="4" t="s">
        <v>84</v>
      </c>
      <c r="G15" s="19">
        <v>279425</v>
      </c>
      <c r="H15" s="305">
        <v>0.8</v>
      </c>
    </row>
    <row r="16" spans="2:8" ht="15" customHeight="1" x14ac:dyDescent="0.35">
      <c r="B16" s="1" t="s">
        <v>36</v>
      </c>
      <c r="C16" s="19">
        <v>0</v>
      </c>
      <c r="D16" s="305">
        <v>0.5</v>
      </c>
      <c r="F16" s="4" t="s">
        <v>183</v>
      </c>
      <c r="G16" s="19">
        <v>0</v>
      </c>
      <c r="H16" s="305">
        <v>0.6</v>
      </c>
    </row>
    <row r="17" spans="2:8" ht="15" customHeight="1" x14ac:dyDescent="0.35">
      <c r="B17" s="1" t="s">
        <v>74</v>
      </c>
      <c r="C17" s="19">
        <v>0</v>
      </c>
      <c r="D17" s="305">
        <v>0.6</v>
      </c>
      <c r="F17" s="4" t="s">
        <v>184</v>
      </c>
      <c r="G17" s="19">
        <v>126127</v>
      </c>
      <c r="H17" s="305">
        <v>0.6</v>
      </c>
    </row>
    <row r="18" spans="2:8" ht="15" customHeight="1" x14ac:dyDescent="0.35">
      <c r="B18" s="4" t="s">
        <v>179</v>
      </c>
      <c r="C18" s="19">
        <v>0</v>
      </c>
      <c r="D18" s="305">
        <v>0.6</v>
      </c>
      <c r="F18" s="4" t="s">
        <v>187</v>
      </c>
      <c r="G18" s="19">
        <v>0</v>
      </c>
      <c r="H18" s="305">
        <v>0.1</v>
      </c>
    </row>
    <row r="19" spans="2:8" ht="15" customHeight="1" x14ac:dyDescent="0.35">
      <c r="B19" s="4" t="s">
        <v>28</v>
      </c>
      <c r="C19" s="19">
        <v>193915</v>
      </c>
      <c r="D19" s="305">
        <v>0.1</v>
      </c>
      <c r="F19" s="4" t="s">
        <v>188</v>
      </c>
      <c r="G19" s="19">
        <v>1500</v>
      </c>
      <c r="H19" s="305">
        <v>0.1</v>
      </c>
    </row>
    <row r="20" spans="2:8" ht="15" customHeight="1" x14ac:dyDescent="0.35">
      <c r="B20" s="4" t="s">
        <v>19</v>
      </c>
      <c r="C20" s="19">
        <v>0</v>
      </c>
      <c r="D20" s="305">
        <v>0.05</v>
      </c>
      <c r="F20" s="4" t="s">
        <v>185</v>
      </c>
      <c r="G20" s="19">
        <v>0</v>
      </c>
      <c r="H20" s="305">
        <v>0.2</v>
      </c>
    </row>
    <row r="21" spans="2:8" ht="15" customHeight="1" x14ac:dyDescent="0.35">
      <c r="B21" s="4" t="s">
        <v>20</v>
      </c>
      <c r="C21" s="19">
        <v>9704</v>
      </c>
      <c r="D21" s="305">
        <v>0.05</v>
      </c>
      <c r="F21" s="1" t="s">
        <v>186</v>
      </c>
      <c r="G21" s="19">
        <v>0</v>
      </c>
      <c r="H21" s="305">
        <v>0.1</v>
      </c>
    </row>
    <row r="22" spans="2:8" ht="15" customHeight="1" x14ac:dyDescent="0.35">
      <c r="B22" s="4" t="s">
        <v>21</v>
      </c>
      <c r="C22" s="19">
        <v>76124</v>
      </c>
      <c r="D22" s="305">
        <v>0.9</v>
      </c>
      <c r="H22" s="306"/>
    </row>
    <row r="23" spans="2:8" ht="15" customHeight="1" x14ac:dyDescent="0.35">
      <c r="B23" s="4" t="s">
        <v>22</v>
      </c>
      <c r="C23" s="19">
        <v>0</v>
      </c>
      <c r="D23" s="305">
        <v>0</v>
      </c>
      <c r="H23" s="306"/>
    </row>
    <row r="24" spans="2:8" ht="15" customHeight="1" x14ac:dyDescent="0.35">
      <c r="B24" s="82" t="s">
        <v>79</v>
      </c>
      <c r="C24" s="83">
        <f>SUM(C15:C23)</f>
        <v>279743</v>
      </c>
      <c r="D24" s="20">
        <f>C15*D15+C16*D16+C18*D18+C17*D17+C19*D19+C20*D20+C21*D21+C22*D22+C23*D23</f>
        <v>88388.3</v>
      </c>
      <c r="F24" s="82" t="s">
        <v>76</v>
      </c>
      <c r="G24" s="83">
        <f>SUM(G15:G21)</f>
        <v>407052</v>
      </c>
      <c r="H24" s="20">
        <f>G15*H15+G16*H16+G17*H17+G18*H18+G19*H19+G20*H20+G21*H21</f>
        <v>299366.2</v>
      </c>
    </row>
    <row r="26" spans="2:8" ht="15" customHeight="1" x14ac:dyDescent="0.35">
      <c r="B26" s="16" t="s">
        <v>206</v>
      </c>
      <c r="C26" s="210" t="s">
        <v>142</v>
      </c>
      <c r="F26" s="212" t="s">
        <v>202</v>
      </c>
      <c r="G26" s="213" t="s">
        <v>142</v>
      </c>
      <c r="H26" s="214" t="s">
        <v>37</v>
      </c>
    </row>
    <row r="27" spans="2:8" ht="15" customHeight="1" x14ac:dyDescent="0.35">
      <c r="B27" s="4" t="s">
        <v>6</v>
      </c>
      <c r="C27" s="19">
        <v>0</v>
      </c>
      <c r="F27" s="215" t="s">
        <v>32</v>
      </c>
      <c r="G27" s="87">
        <f>G32-G30</f>
        <v>3027292</v>
      </c>
      <c r="H27" s="216">
        <f>H32-G30</f>
        <v>2236456.6000000006</v>
      </c>
    </row>
    <row r="28" spans="2:8" ht="15" customHeight="1" x14ac:dyDescent="0.35">
      <c r="B28" s="4" t="s">
        <v>7</v>
      </c>
      <c r="C28" s="19">
        <v>13416</v>
      </c>
      <c r="F28" s="217" t="s">
        <v>254</v>
      </c>
      <c r="G28" s="185">
        <v>3990</v>
      </c>
      <c r="H28" s="216"/>
    </row>
    <row r="29" spans="2:8" ht="15" customHeight="1" x14ac:dyDescent="0.35">
      <c r="B29" s="4" t="s">
        <v>8</v>
      </c>
      <c r="C29" s="19">
        <v>0</v>
      </c>
      <c r="F29" s="218" t="s">
        <v>81</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209</v>
      </c>
      <c r="C31" s="83">
        <f>SUM(C27:C30)</f>
        <v>13416</v>
      </c>
      <c r="F31" s="218" t="s">
        <v>82</v>
      </c>
      <c r="G31" s="219">
        <f>C31+C40</f>
        <v>33999</v>
      </c>
      <c r="H31" s="216"/>
    </row>
    <row r="32" spans="2:8" ht="15" customHeight="1" x14ac:dyDescent="0.35">
      <c r="B32" s="4" t="s">
        <v>10</v>
      </c>
      <c r="C32" s="21">
        <f>C33-C31</f>
        <v>598515</v>
      </c>
      <c r="F32" s="220" t="s">
        <v>80</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208</v>
      </c>
      <c r="G34" s="225" t="s">
        <v>142</v>
      </c>
      <c r="H34" s="226" t="s">
        <v>37</v>
      </c>
    </row>
    <row r="35" spans="2:8" ht="15" customHeight="1" x14ac:dyDescent="0.35">
      <c r="B35" s="16" t="s">
        <v>207</v>
      </c>
      <c r="C35" s="210" t="s">
        <v>142</v>
      </c>
      <c r="F35" s="227" t="s">
        <v>33</v>
      </c>
      <c r="G35" s="221">
        <f>C12+C24</f>
        <v>624759</v>
      </c>
      <c r="H35" s="228">
        <f>D12+D24</f>
        <v>281360.5</v>
      </c>
    </row>
    <row r="36" spans="2:8" ht="15" customHeight="1" x14ac:dyDescent="0.35">
      <c r="B36" s="4" t="s">
        <v>14</v>
      </c>
      <c r="C36" s="19">
        <v>0</v>
      </c>
      <c r="F36" s="218" t="s">
        <v>203</v>
      </c>
      <c r="G36" s="219">
        <f>C4+C15</f>
        <v>180994</v>
      </c>
      <c r="H36" s="223"/>
    </row>
    <row r="37" spans="2:8" ht="15" customHeight="1" x14ac:dyDescent="0.35">
      <c r="B37" s="4" t="s">
        <v>15</v>
      </c>
      <c r="C37" s="19">
        <v>20583</v>
      </c>
      <c r="F37" s="218" t="s">
        <v>204</v>
      </c>
      <c r="G37" s="219">
        <f>C6</f>
        <v>158110</v>
      </c>
      <c r="H37" s="223"/>
    </row>
    <row r="38" spans="2:8" ht="15" customHeight="1" x14ac:dyDescent="0.35">
      <c r="B38" s="4" t="s">
        <v>16</v>
      </c>
      <c r="C38" s="19">
        <v>0</v>
      </c>
      <c r="F38" s="218" t="s">
        <v>205</v>
      </c>
      <c r="G38" s="219">
        <f>C7+C17</f>
        <v>0</v>
      </c>
      <c r="H38" s="223"/>
    </row>
    <row r="39" spans="2:8" ht="15" customHeight="1" x14ac:dyDescent="0.35">
      <c r="B39" s="2" t="s">
        <v>17</v>
      </c>
      <c r="C39" s="19">
        <v>0</v>
      </c>
      <c r="F39" s="218" t="s">
        <v>85</v>
      </c>
      <c r="G39" s="219">
        <f>C7+C17+C19+C20</f>
        <v>193915</v>
      </c>
      <c r="H39" s="216">
        <f>C7*D7+C17*D17+C19*D19+C20*D20</f>
        <v>19391.5</v>
      </c>
    </row>
    <row r="40" spans="2:8" ht="15" customHeight="1" x14ac:dyDescent="0.35">
      <c r="B40" s="82" t="s">
        <v>210</v>
      </c>
      <c r="C40" s="83">
        <f>SUM(C36:C39)</f>
        <v>20583</v>
      </c>
      <c r="F40" s="227" t="s">
        <v>144</v>
      </c>
      <c r="G40" s="221">
        <f>G12+G24</f>
        <v>3045410</v>
      </c>
      <c r="H40" s="228">
        <f>H12+H24</f>
        <v>2597973.1000000006</v>
      </c>
    </row>
    <row r="41" spans="2:8" ht="15" customHeight="1" x14ac:dyDescent="0.35">
      <c r="B41" s="4" t="s">
        <v>18</v>
      </c>
      <c r="C41" s="21">
        <f>C42-C40</f>
        <v>10363</v>
      </c>
      <c r="F41" s="218" t="s">
        <v>197</v>
      </c>
      <c r="G41" s="219">
        <f>C70</f>
        <v>2664732</v>
      </c>
      <c r="H41" s="228">
        <f>H40-H42</f>
        <v>2370316.3000000007</v>
      </c>
    </row>
    <row r="42" spans="2:8" ht="15" customHeight="1" x14ac:dyDescent="0.35">
      <c r="B42" s="85" t="s">
        <v>23</v>
      </c>
      <c r="C42" s="86">
        <v>30946</v>
      </c>
      <c r="F42" s="229" t="s">
        <v>198</v>
      </c>
      <c r="G42" s="230">
        <f>C82</f>
        <v>380678</v>
      </c>
      <c r="H42" s="231">
        <f>D82</f>
        <v>227656.8</v>
      </c>
    </row>
    <row r="44" spans="2:8" ht="15" customHeight="1" x14ac:dyDescent="0.35">
      <c r="B44" s="81" t="s">
        <v>102</v>
      </c>
      <c r="C44" s="37"/>
      <c r="D44" s="37"/>
      <c r="E44" s="37"/>
      <c r="F44" s="37"/>
      <c r="G44" s="37"/>
      <c r="H44" s="37"/>
    </row>
    <row r="45" spans="2:8" ht="15" customHeight="1" x14ac:dyDescent="0.35">
      <c r="B45" s="16" t="s">
        <v>293</v>
      </c>
      <c r="C45" s="268" t="s">
        <v>142</v>
      </c>
      <c r="D45" s="210" t="s">
        <v>294</v>
      </c>
      <c r="F45" s="297" t="s">
        <v>64</v>
      </c>
    </row>
    <row r="46" spans="2:8" ht="15" customHeight="1" x14ac:dyDescent="0.35">
      <c r="B46" s="1" t="s">
        <v>296</v>
      </c>
      <c r="C46" s="192">
        <f>G29</f>
        <v>3023302</v>
      </c>
      <c r="D46" s="192">
        <f>H29</f>
        <v>2232466.6000000006</v>
      </c>
      <c r="F46" s="292"/>
    </row>
    <row r="47" spans="2:8" ht="15" customHeight="1" x14ac:dyDescent="0.35">
      <c r="B47" s="1" t="str">
        <f>"Equity per share ("&amp;Market_currency&amp;")"</f>
        <v>Equity per share (HKD)</v>
      </c>
      <c r="C47" s="151">
        <f>C46*H1/Common_Shares*Exchange_Rate</f>
        <v>2.4035247895594014</v>
      </c>
      <c r="D47" s="151">
        <f>D46*H1/Common_Shares*Exchange_Rate</f>
        <v>1.77481072514866</v>
      </c>
      <c r="F47" s="292"/>
    </row>
    <row r="48" spans="2:8" ht="15" customHeight="1" x14ac:dyDescent="0.35">
      <c r="F48" s="292"/>
    </row>
    <row r="49" spans="2:8" ht="15" customHeight="1" x14ac:dyDescent="0.35">
      <c r="B49" s="162" t="s">
        <v>149</v>
      </c>
      <c r="C49" s="269" t="s">
        <v>62</v>
      </c>
      <c r="D49" s="225" t="s">
        <v>101</v>
      </c>
      <c r="E49" s="2"/>
      <c r="F49" s="292"/>
    </row>
    <row r="50" spans="2:8" ht="15" customHeight="1" x14ac:dyDescent="0.35">
      <c r="B50" s="8" t="s">
        <v>99</v>
      </c>
      <c r="C50" s="98">
        <f>G31/Normalized_FCF!C8</f>
        <v>0.58016135321753903</v>
      </c>
      <c r="D50" s="98">
        <f>G31/Normalized_FCF!G8</f>
        <v>0.3233257888430302</v>
      </c>
      <c r="F50" s="292"/>
    </row>
    <row r="51" spans="2:8" ht="15" customHeight="1" x14ac:dyDescent="0.35">
      <c r="B51" s="1" t="s">
        <v>182</v>
      </c>
      <c r="C51" s="209"/>
      <c r="D51" s="94">
        <f>G29/G32</f>
        <v>0.82375007799368372</v>
      </c>
      <c r="F51" s="292"/>
    </row>
    <row r="52" spans="2:8" ht="15" customHeight="1" x14ac:dyDescent="0.35">
      <c r="F52" s="292"/>
    </row>
    <row r="53" spans="2:8" ht="15" customHeight="1" x14ac:dyDescent="0.35">
      <c r="B53" s="162" t="s">
        <v>148</v>
      </c>
      <c r="C53" s="269" t="s">
        <v>62</v>
      </c>
      <c r="D53" s="225" t="s">
        <v>101</v>
      </c>
      <c r="F53" s="292"/>
    </row>
    <row r="54" spans="2:8" ht="15" customHeight="1" x14ac:dyDescent="0.35">
      <c r="B54" s="1" t="s">
        <v>145</v>
      </c>
      <c r="C54" s="94">
        <f>Normalized_FCF!C8/G35</f>
        <v>9.3800429505874555E-2</v>
      </c>
      <c r="D54" s="94">
        <f>Normalized_FCF!G8/G35</f>
        <v>0.16831130083760298</v>
      </c>
      <c r="F54" s="292"/>
    </row>
    <row r="55" spans="2:8" ht="15" customHeight="1" x14ac:dyDescent="0.35">
      <c r="B55" s="1" t="s">
        <v>147</v>
      </c>
      <c r="C55" s="94">
        <f>Normalized_FCF!C11/G40</f>
        <v>0</v>
      </c>
      <c r="D55" s="94">
        <f>Normalized_FCF!G11/G40</f>
        <v>0</v>
      </c>
      <c r="F55" s="292"/>
    </row>
    <row r="56" spans="2:8" ht="15" customHeight="1" x14ac:dyDescent="0.35">
      <c r="F56" s="292"/>
    </row>
    <row r="57" spans="2:8" ht="15" customHeight="1" x14ac:dyDescent="0.35">
      <c r="B57" s="162" t="s">
        <v>181</v>
      </c>
      <c r="C57" s="269" t="s">
        <v>62</v>
      </c>
      <c r="D57" s="225" t="s">
        <v>101</v>
      </c>
      <c r="F57" s="292"/>
    </row>
    <row r="58" spans="2:8" ht="15" customHeight="1" x14ac:dyDescent="0.35">
      <c r="B58" s="2" t="s">
        <v>95</v>
      </c>
      <c r="C58" s="101"/>
      <c r="D58" s="23">
        <f>Normalized_FCF!G9/BS!$G$39</f>
        <v>0.18551427171698939</v>
      </c>
      <c r="F58" s="5"/>
    </row>
    <row r="59" spans="2:8" ht="15" customHeight="1" x14ac:dyDescent="0.35">
      <c r="B59" s="1" t="s">
        <v>98</v>
      </c>
      <c r="C59" s="101"/>
      <c r="D59" s="94">
        <f>G39/G32</f>
        <v>5.2835441637701153E-2</v>
      </c>
      <c r="F59" s="292"/>
    </row>
    <row r="60" spans="2:8" ht="15" customHeight="1" x14ac:dyDescent="0.35">
      <c r="F60" s="292"/>
    </row>
    <row r="61" spans="2:8" ht="15" customHeight="1" x14ac:dyDescent="0.35">
      <c r="B61" s="162" t="s">
        <v>297</v>
      </c>
      <c r="C61" s="269" t="s">
        <v>143</v>
      </c>
      <c r="D61" s="225" t="s">
        <v>101</v>
      </c>
      <c r="F61" s="292"/>
    </row>
    <row r="62" spans="2:8" ht="15" customHeight="1" x14ac:dyDescent="0.35">
      <c r="B62" s="1" t="s">
        <v>255</v>
      </c>
      <c r="C62" s="94">
        <f>IF(G28&lt;=0,0,G28/G29)</f>
        <v>1.3197490690642218E-3</v>
      </c>
      <c r="D62" s="94">
        <f>G28/G29</f>
        <v>1.3197490690642218E-3</v>
      </c>
      <c r="F62" s="292" t="s">
        <v>295</v>
      </c>
    </row>
    <row r="64" spans="2:8" ht="15" customHeight="1" x14ac:dyDescent="0.35">
      <c r="B64" s="81" t="s">
        <v>199</v>
      </c>
      <c r="C64" s="37"/>
      <c r="D64" s="37"/>
      <c r="E64" s="37"/>
      <c r="F64" s="37"/>
      <c r="G64" s="37"/>
      <c r="H64" s="37"/>
    </row>
    <row r="65" spans="2:6" ht="15" customHeight="1" x14ac:dyDescent="0.35">
      <c r="B65" s="16" t="s">
        <v>194</v>
      </c>
      <c r="C65" s="268" t="s">
        <v>142</v>
      </c>
      <c r="D65" s="211" t="s">
        <v>320</v>
      </c>
      <c r="F65" s="297" t="s">
        <v>64</v>
      </c>
    </row>
    <row r="66" spans="2:6" ht="15" customHeight="1" x14ac:dyDescent="0.35">
      <c r="B66" s="108" t="s">
        <v>193</v>
      </c>
      <c r="C66" s="20">
        <f>G4+G5+G15</f>
        <v>2664732</v>
      </c>
      <c r="D66" s="192">
        <f>C66+D75</f>
        <v>2029405.1093906919</v>
      </c>
      <c r="F66" s="5" t="s">
        <v>232</v>
      </c>
    </row>
    <row r="67" spans="2:6" ht="15" customHeight="1" x14ac:dyDescent="0.35">
      <c r="B67" s="108" t="s">
        <v>183</v>
      </c>
      <c r="C67" s="20">
        <f>G6+G16</f>
        <v>0</v>
      </c>
      <c r="F67" s="292"/>
    </row>
    <row r="68" spans="2:6" ht="15" customHeight="1" x14ac:dyDescent="0.35">
      <c r="B68" s="108" t="s">
        <v>187</v>
      </c>
      <c r="C68" s="20">
        <f>G18</f>
        <v>0</v>
      </c>
      <c r="F68" s="292"/>
    </row>
    <row r="69" spans="2:6" ht="15" customHeight="1" x14ac:dyDescent="0.35">
      <c r="B69" s="108" t="s">
        <v>185</v>
      </c>
      <c r="C69" s="20">
        <f>G8+G20</f>
        <v>0</v>
      </c>
      <c r="F69" s="292"/>
    </row>
    <row r="70" spans="2:6" ht="15" customHeight="1" x14ac:dyDescent="0.35">
      <c r="B70" s="82" t="s">
        <v>194</v>
      </c>
      <c r="C70" s="83">
        <f>SUM(C66:C69)</f>
        <v>2664732</v>
      </c>
      <c r="F70" s="292"/>
    </row>
    <row r="71" spans="2:6" ht="15" customHeight="1" x14ac:dyDescent="0.35">
      <c r="F71" s="292"/>
    </row>
    <row r="72" spans="2:6" ht="15" customHeight="1" x14ac:dyDescent="0.35">
      <c r="B72" s="295" t="s">
        <v>359</v>
      </c>
      <c r="C72" s="268" t="s">
        <v>101</v>
      </c>
      <c r="D72" s="210" t="s">
        <v>62</v>
      </c>
      <c r="F72" s="292"/>
    </row>
    <row r="73" spans="2:6" ht="15" customHeight="1" x14ac:dyDescent="0.35">
      <c r="B73" s="108" t="s">
        <v>358</v>
      </c>
      <c r="C73" s="192">
        <f>(Normalized_FCF!G25+Normalized_FCF!G35)/12</f>
        <v>-125869.25</v>
      </c>
      <c r="D73" s="192">
        <f>(Normalized_FCF!C25+Normalized_FCF!C35)/12</f>
        <v>-127065.37812186161</v>
      </c>
    </row>
    <row r="74" spans="2:6" ht="15" customHeight="1" x14ac:dyDescent="0.35">
      <c r="B74" s="298" t="s">
        <v>363</v>
      </c>
      <c r="C74" s="299">
        <f>-$C$66/C73</f>
        <v>21.170635401418537</v>
      </c>
      <c r="D74" s="299">
        <f>-$C$66/D73</f>
        <v>20.971345927483078</v>
      </c>
      <c r="F74" s="292" t="s">
        <v>360</v>
      </c>
    </row>
    <row r="75" spans="2:6" ht="15" customHeight="1" x14ac:dyDescent="0.35">
      <c r="B75" s="82" t="s">
        <v>361</v>
      </c>
      <c r="C75" s="304"/>
      <c r="D75" s="303">
        <f>MIN(D73*D76,-G5)</f>
        <v>-635326.89060930803</v>
      </c>
      <c r="F75" s="292" t="s">
        <v>362</v>
      </c>
    </row>
    <row r="76" spans="2:6" ht="15" customHeight="1" x14ac:dyDescent="0.35">
      <c r="B76" s="300" t="s">
        <v>364</v>
      </c>
      <c r="C76" s="301"/>
      <c r="D76" s="302">
        <f>IF(D74&lt;=3,1,IF(D74&gt;10,5,2))</f>
        <v>5</v>
      </c>
      <c r="F76" s="292" t="s">
        <v>365</v>
      </c>
    </row>
    <row r="77" spans="2:6" ht="15" customHeight="1" x14ac:dyDescent="0.35">
      <c r="F77" s="292"/>
    </row>
    <row r="78" spans="2:6" ht="15" customHeight="1" x14ac:dyDescent="0.35">
      <c r="B78" s="16" t="s">
        <v>195</v>
      </c>
      <c r="C78" s="268" t="s">
        <v>142</v>
      </c>
      <c r="D78" s="211" t="s">
        <v>37</v>
      </c>
      <c r="F78" s="292"/>
    </row>
    <row r="79" spans="2:6" ht="15" customHeight="1" x14ac:dyDescent="0.35">
      <c r="B79" s="108" t="s">
        <v>184</v>
      </c>
      <c r="C79" s="20">
        <f>G7+G17</f>
        <v>379178</v>
      </c>
      <c r="D79" s="192">
        <f>G7*H7+G17*H17</f>
        <v>227506.8</v>
      </c>
      <c r="F79" s="292"/>
    </row>
    <row r="80" spans="2:6" ht="15" customHeight="1" x14ac:dyDescent="0.35">
      <c r="B80" s="108" t="s">
        <v>188</v>
      </c>
      <c r="C80" s="20">
        <f>G19</f>
        <v>1500</v>
      </c>
      <c r="D80" s="192">
        <f>G19*H19</f>
        <v>150</v>
      </c>
      <c r="F80" s="292"/>
    </row>
    <row r="81" spans="2:8" ht="15" customHeight="1" x14ac:dyDescent="0.35">
      <c r="B81" s="108" t="s">
        <v>186</v>
      </c>
      <c r="C81" s="20">
        <f>G9+G21</f>
        <v>0</v>
      </c>
      <c r="D81" s="192">
        <f>G9*H9+G21*H21</f>
        <v>0</v>
      </c>
      <c r="F81" s="292"/>
    </row>
    <row r="82" spans="2:8" ht="15" customHeight="1" x14ac:dyDescent="0.35">
      <c r="B82" s="82" t="s">
        <v>195</v>
      </c>
      <c r="C82" s="83">
        <f>SUM(C79:C81)</f>
        <v>380678</v>
      </c>
      <c r="D82" s="83">
        <f>SUM(D79:D81)</f>
        <v>227656.8</v>
      </c>
      <c r="F82" s="292"/>
    </row>
    <row r="84" spans="2:8" ht="15" customHeight="1" x14ac:dyDescent="0.35">
      <c r="B84" s="81" t="s">
        <v>323</v>
      </c>
      <c r="C84" s="37"/>
      <c r="D84" s="37"/>
      <c r="E84" s="37"/>
      <c r="F84" s="37"/>
      <c r="G84" s="37"/>
      <c r="H84" s="37"/>
    </row>
    <row r="85" spans="2:8" ht="15" customHeight="1" x14ac:dyDescent="0.35">
      <c r="B85" s="16" t="s">
        <v>324</v>
      </c>
      <c r="D85" s="278" t="s">
        <v>325</v>
      </c>
    </row>
    <row r="86" spans="2:8" ht="15" customHeight="1" x14ac:dyDescent="0.35">
      <c r="B86" s="275" t="s">
        <v>321</v>
      </c>
      <c r="C86" s="192">
        <f>-Valuation_Model!C7*Exchange_Rate</f>
        <v>-36038.94</v>
      </c>
      <c r="D86" s="255">
        <f>C86*$H$1/Common_Shares</f>
        <v>-2.7029201621349797E-2</v>
      </c>
      <c r="E86" s="277" t="str">
        <f>Market_currency</f>
        <v>HKD</v>
      </c>
    </row>
    <row r="87" spans="2:8" ht="15" customHeight="1" x14ac:dyDescent="0.35">
      <c r="B87" s="275" t="s">
        <v>322</v>
      </c>
      <c r="C87" s="192">
        <f>Valuation_Model!C8*Exchange_Rate</f>
        <v>2151169.4159541335</v>
      </c>
      <c r="D87" s="255">
        <f>C87*$H$1/Common_Shares</f>
        <v>1.6133768602934926</v>
      </c>
      <c r="E87" s="277" t="str">
        <f>Market_currency</f>
        <v>HKD</v>
      </c>
    </row>
    <row r="88" spans="2:8" ht="15" customHeight="1" x14ac:dyDescent="0.35">
      <c r="B88" s="276" t="s">
        <v>195</v>
      </c>
      <c r="C88" s="192">
        <f>Valuation_Model!C9*Exchange_Rate</f>
        <v>241316.20800000001</v>
      </c>
      <c r="D88" s="255">
        <f>C88*$H$1/Common_Shares</f>
        <v>0.18098713337660832</v>
      </c>
      <c r="E88" s="277" t="str">
        <f>Market_currency</f>
        <v>HKD</v>
      </c>
    </row>
    <row r="89" spans="2:8" ht="15" customHeight="1" x14ac:dyDescent="0.35">
      <c r="B89" s="82" t="s">
        <v>326</v>
      </c>
      <c r="C89" s="191">
        <f>SUM(C86:C88)</f>
        <v>2356446.6839541337</v>
      </c>
      <c r="D89" s="279">
        <f>SUM(D86:D88)</f>
        <v>1.767334792048751</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62</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105</v>
      </c>
      <c r="C2" s="54"/>
      <c r="D2" s="56"/>
      <c r="E2" s="67" t="s">
        <v>64</v>
      </c>
      <c r="F2" s="56"/>
      <c r="G2" s="37"/>
      <c r="H2" s="37"/>
      <c r="I2" s="37"/>
      <c r="J2" s="37"/>
      <c r="K2" s="37"/>
      <c r="L2" s="37"/>
      <c r="M2" s="37"/>
      <c r="N2" s="37"/>
      <c r="O2" s="37"/>
      <c r="P2" s="37"/>
      <c r="Q2" s="37"/>
    </row>
    <row r="3" spans="1:17" ht="15.75" customHeight="1" x14ac:dyDescent="0.35">
      <c r="A3" s="10"/>
      <c r="B3" s="16" t="s">
        <v>71</v>
      </c>
      <c r="C3" s="110">
        <f>Data!C3</f>
        <v>1000</v>
      </c>
      <c r="D3" s="9"/>
      <c r="E3" s="313"/>
      <c r="F3" s="9"/>
      <c r="G3" s="9"/>
    </row>
    <row r="4" spans="1:17" ht="15.75" customHeight="1" x14ac:dyDescent="0.35">
      <c r="A4" s="10"/>
      <c r="B4" s="26" t="s">
        <v>3</v>
      </c>
      <c r="C4" s="197">
        <f>AVERAGE(G4:K4)</f>
        <v>1583387.2</v>
      </c>
      <c r="D4" s="57"/>
      <c r="E4" s="311"/>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50</v>
      </c>
      <c r="C5" s="198">
        <f>C25</f>
        <v>-1348785.0374623393</v>
      </c>
      <c r="E5" s="313"/>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52</v>
      </c>
      <c r="C6" s="188">
        <f>C4+C5</f>
        <v>234602.16253766068</v>
      </c>
      <c r="E6" s="313"/>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49</v>
      </c>
      <c r="C7" s="198">
        <f>C35</f>
        <v>-175999.5</v>
      </c>
      <c r="E7" s="313"/>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158</v>
      </c>
      <c r="C8" s="199">
        <f>C6+C7</f>
        <v>58602.662537660683</v>
      </c>
      <c r="D8" s="60"/>
      <c r="E8" s="319"/>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70</v>
      </c>
      <c r="C9" s="198">
        <f>BS!$G$39*BS!D58</f>
        <v>35974</v>
      </c>
      <c r="E9" s="313"/>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86</v>
      </c>
      <c r="C10" s="198">
        <f>-C4*C77</f>
        <v>-35974</v>
      </c>
      <c r="E10" s="313"/>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200</v>
      </c>
      <c r="C11" s="200">
        <f>C62</f>
        <v>0</v>
      </c>
      <c r="D11" s="173"/>
      <c r="E11" s="312"/>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73</v>
      </c>
      <c r="C12" s="198">
        <f>C49</f>
        <v>72802</v>
      </c>
      <c r="E12" s="313"/>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170</v>
      </c>
      <c r="C13" s="188">
        <f>SUM(C8:C12)</f>
        <v>131404.66253766068</v>
      </c>
      <c r="E13" s="313"/>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68</v>
      </c>
      <c r="C14" s="198">
        <f>-SUM(C8+C11,C12)*C43</f>
        <v>-32851.165634415171</v>
      </c>
      <c r="E14" s="313"/>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253</v>
      </c>
      <c r="C15" s="198">
        <f>-C4*C82</f>
        <v>-2089.6737831682049</v>
      </c>
      <c r="D15" s="61"/>
      <c r="E15" s="320"/>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160</v>
      </c>
      <c r="C16" s="201">
        <f>SUM(C13:C15)</f>
        <v>96463.823120077301</v>
      </c>
      <c r="D16" s="62"/>
      <c r="E16" s="321"/>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56</v>
      </c>
      <c r="C17" s="198">
        <f>-C4*C84</f>
        <v>0</v>
      </c>
      <c r="D17" s="59"/>
      <c r="E17" s="312" t="s">
        <v>380</v>
      </c>
      <c r="F17" s="59"/>
      <c r="G17" s="202"/>
      <c r="H17" s="202"/>
      <c r="I17" s="202"/>
      <c r="J17" s="202"/>
      <c r="K17" s="202"/>
      <c r="L17" s="202"/>
      <c r="M17" s="202"/>
      <c r="N17" s="202"/>
      <c r="O17" s="202"/>
      <c r="P17" s="202"/>
      <c r="Q17" s="202"/>
    </row>
    <row r="18" spans="1:17" ht="15.75" customHeight="1" x14ac:dyDescent="0.35">
      <c r="A18" s="10"/>
      <c r="B18" s="27" t="s">
        <v>104</v>
      </c>
      <c r="C18" s="198">
        <f>-C4*C85</f>
        <v>0</v>
      </c>
      <c r="D18" s="59"/>
      <c r="E18" s="312" t="s">
        <v>381</v>
      </c>
      <c r="F18" s="59"/>
      <c r="G18" s="203"/>
      <c r="H18" s="203"/>
      <c r="I18" s="203"/>
      <c r="J18" s="203"/>
      <c r="K18" s="203"/>
      <c r="L18" s="203"/>
      <c r="M18" s="203"/>
      <c r="N18" s="203"/>
      <c r="O18" s="203"/>
      <c r="P18" s="203"/>
      <c r="Q18" s="203"/>
    </row>
    <row r="19" spans="1:17" ht="15.75" customHeight="1" x14ac:dyDescent="0.35">
      <c r="A19" s="10"/>
      <c r="B19" s="31" t="s">
        <v>71</v>
      </c>
      <c r="C19" s="188">
        <f>SUM(C16:C18)</f>
        <v>96463.823120077301</v>
      </c>
      <c r="D19" s="27"/>
      <c r="E19" s="310"/>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211</v>
      </c>
      <c r="C21" s="54"/>
      <c r="D21" s="56"/>
      <c r="E21" s="67" t="s">
        <v>64</v>
      </c>
      <c r="F21" s="56"/>
      <c r="G21" s="37"/>
      <c r="H21" s="37"/>
      <c r="I21" s="37"/>
      <c r="J21" s="37"/>
      <c r="K21" s="37"/>
      <c r="L21" s="37"/>
      <c r="M21" s="37"/>
      <c r="N21" s="37"/>
      <c r="O21" s="37"/>
      <c r="P21" s="37"/>
      <c r="Q21" s="37"/>
    </row>
    <row r="22" spans="1:17" ht="15.75" customHeight="1" x14ac:dyDescent="0.35">
      <c r="A22" s="10"/>
      <c r="B22" s="65" t="s">
        <v>50</v>
      </c>
      <c r="C22" s="63"/>
      <c r="D22" s="27"/>
      <c r="E22" s="310"/>
      <c r="F22" s="27"/>
      <c r="G22" s="12"/>
      <c r="H22" s="12"/>
      <c r="I22" s="12"/>
      <c r="J22" s="12"/>
      <c r="K22" s="12"/>
      <c r="L22" s="12"/>
      <c r="M22" s="12"/>
      <c r="N22" s="12"/>
      <c r="O22" s="12"/>
      <c r="P22" s="12"/>
      <c r="Q22" s="12"/>
    </row>
    <row r="23" spans="1:17" ht="15.75" customHeight="1" x14ac:dyDescent="0.35">
      <c r="A23" s="10"/>
      <c r="B23" s="27" t="s">
        <v>47</v>
      </c>
      <c r="C23" s="204">
        <f>-C4*C28</f>
        <v>-902304.82874495955</v>
      </c>
      <c r="D23" s="59"/>
      <c r="E23" s="312"/>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67</v>
      </c>
      <c r="C24" s="198">
        <f>-C4*C29</f>
        <v>-446480.2087173796</v>
      </c>
      <c r="D24" s="27"/>
      <c r="E24" s="310"/>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50</v>
      </c>
      <c r="C25" s="188">
        <f>C23+C24</f>
        <v>-1348785.0374623393</v>
      </c>
      <c r="D25" s="9"/>
      <c r="E25" s="318"/>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212</v>
      </c>
      <c r="E27" s="313"/>
    </row>
    <row r="28" spans="1:17" ht="15.75" customHeight="1" x14ac:dyDescent="0.35">
      <c r="A28" s="10"/>
      <c r="B28" s="26" t="s">
        <v>47</v>
      </c>
      <c r="C28" s="64">
        <f>AVERAGE(G28:H28)</f>
        <v>0.56985734679739708</v>
      </c>
      <c r="D28" s="26"/>
      <c r="E28" s="311" t="s">
        <v>382</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1" t="s">
        <v>382</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50</v>
      </c>
      <c r="C30" s="72">
        <f>ABS(C25/$C$4)</f>
        <v>0.8518352538547358</v>
      </c>
      <c r="E30" s="313"/>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49</v>
      </c>
      <c r="E32" s="313"/>
    </row>
    <row r="33" spans="1:17" ht="15.75" customHeight="1" x14ac:dyDescent="0.35">
      <c r="A33" s="10"/>
      <c r="B33" s="8" t="s">
        <v>180</v>
      </c>
      <c r="C33" s="205">
        <f>AVERAGE(G33:H33)</f>
        <v>-175999.5</v>
      </c>
      <c r="E33" s="311" t="s">
        <v>382</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53</v>
      </c>
      <c r="C34" s="205">
        <f>AVERAGE(G34:J34)</f>
        <v>0</v>
      </c>
      <c r="D34" s="59"/>
      <c r="E34" s="311"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49</v>
      </c>
      <c r="C35" s="188">
        <f>C33+C34</f>
        <v>-175999.5</v>
      </c>
      <c r="D35" s="59"/>
      <c r="E35" s="312"/>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213</v>
      </c>
      <c r="E37" s="313"/>
    </row>
    <row r="38" spans="1:17" ht="15.75" customHeight="1" x14ac:dyDescent="0.35">
      <c r="A38" s="10"/>
      <c r="B38" s="2" t="str">
        <f>B33</f>
        <v>G&amp;A and other Opex</v>
      </c>
      <c r="C38" s="23">
        <f>ABS(C33/$C$4)</f>
        <v>0.11115379737817763</v>
      </c>
      <c r="D38" s="27"/>
      <c r="E38" s="310"/>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49</v>
      </c>
      <c r="C40" s="72">
        <f>ABS(C35/$C$4)</f>
        <v>0.11115379737817763</v>
      </c>
      <c r="E40" s="313"/>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214</v>
      </c>
      <c r="E42" s="313"/>
    </row>
    <row r="43" spans="1:17" ht="15.75" customHeight="1" x14ac:dyDescent="0.35">
      <c r="A43" s="10"/>
      <c r="B43" s="27" t="s">
        <v>177</v>
      </c>
      <c r="C43" s="307">
        <v>0.25</v>
      </c>
      <c r="D43" s="27"/>
      <c r="E43" s="310" t="s">
        <v>383</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215</v>
      </c>
      <c r="C45" s="54"/>
      <c r="D45" s="56"/>
      <c r="E45" s="67" t="s">
        <v>64</v>
      </c>
      <c r="F45" s="56"/>
      <c r="G45" s="37"/>
      <c r="H45" s="37"/>
      <c r="I45" s="37"/>
      <c r="J45" s="37"/>
      <c r="K45" s="37"/>
      <c r="L45" s="37"/>
      <c r="M45" s="37"/>
      <c r="N45" s="37"/>
      <c r="O45" s="37"/>
      <c r="P45" s="37"/>
      <c r="Q45" s="37"/>
    </row>
    <row r="46" spans="1:17" ht="15.75" customHeight="1" x14ac:dyDescent="0.35">
      <c r="A46" s="10"/>
      <c r="B46" s="65" t="s">
        <v>65</v>
      </c>
      <c r="E46" s="313"/>
    </row>
    <row r="47" spans="1:17" ht="15.75" customHeight="1" x14ac:dyDescent="0.35">
      <c r="A47" s="10"/>
      <c r="B47" s="2" t="s">
        <v>41</v>
      </c>
      <c r="C47" s="198">
        <f>-BS!G31*Normalized_FCF!C53</f>
        <v>-1003</v>
      </c>
      <c r="E47" s="313"/>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72</v>
      </c>
      <c r="C48" s="198">
        <f>BS!$C$66*C52</f>
        <v>73805</v>
      </c>
      <c r="E48" s="313"/>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73</v>
      </c>
      <c r="C49" s="188">
        <f>C47+C48</f>
        <v>72802</v>
      </c>
      <c r="E49" s="313"/>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161</v>
      </c>
      <c r="E51" s="313"/>
      <c r="G51" s="100" t="s">
        <v>225</v>
      </c>
    </row>
    <row r="52" spans="1:17" ht="15.75" customHeight="1" x14ac:dyDescent="0.35">
      <c r="A52" s="10"/>
      <c r="B52" s="8" t="s">
        <v>94</v>
      </c>
      <c r="C52" s="89">
        <f>G52</f>
        <v>2.7696969151119136E-2</v>
      </c>
      <c r="E52" s="310" t="s">
        <v>384</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93</v>
      </c>
      <c r="C53" s="84">
        <f>Normalized_FCF!G53</f>
        <v>2.9500867672578604E-2</v>
      </c>
      <c r="E53" s="310" t="s">
        <v>385</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96</v>
      </c>
      <c r="C54" s="42">
        <f>-C8/C47</f>
        <v>58.427380396471271</v>
      </c>
      <c r="E54" s="313"/>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174</v>
      </c>
      <c r="E56" s="313"/>
      <c r="G56" s="100" t="s">
        <v>225</v>
      </c>
    </row>
    <row r="57" spans="1:17" ht="15.75" customHeight="1" x14ac:dyDescent="0.35">
      <c r="A57" s="10"/>
      <c r="B57" s="40" t="s">
        <v>173</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165</v>
      </c>
      <c r="C58" s="198">
        <f>BS!$C68*C66</f>
        <v>0</v>
      </c>
      <c r="E58" s="313"/>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164</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200</v>
      </c>
      <c r="C60" s="188">
        <f>SUM(C57:C59)</f>
        <v>0</v>
      </c>
      <c r="E60" s="313"/>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166</v>
      </c>
      <c r="C61" s="308">
        <v>0</v>
      </c>
      <c r="E61" s="311" t="s">
        <v>386</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201</v>
      </c>
      <c r="C62" s="188">
        <f>C60+C61</f>
        <v>0</v>
      </c>
      <c r="E62" s="313"/>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175</v>
      </c>
      <c r="E64" s="313"/>
      <c r="G64" s="100" t="s">
        <v>225</v>
      </c>
    </row>
    <row r="65" spans="1:17" ht="15.75" customHeight="1" x14ac:dyDescent="0.35">
      <c r="A65" s="10"/>
      <c r="B65" s="40" t="s">
        <v>173</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163</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164</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200</v>
      </c>
      <c r="C68" s="72">
        <f>C60/BS!C70</f>
        <v>0</v>
      </c>
      <c r="D68" s="9"/>
      <c r="E68" s="318"/>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218</v>
      </c>
      <c r="C70" s="54"/>
      <c r="D70" s="56"/>
      <c r="E70" s="67" t="s">
        <v>64</v>
      </c>
      <c r="F70" s="56"/>
      <c r="G70" s="37"/>
      <c r="H70" s="37"/>
      <c r="I70" s="37"/>
      <c r="J70" s="37"/>
      <c r="K70" s="37"/>
      <c r="L70" s="37"/>
      <c r="M70" s="37"/>
      <c r="N70" s="37"/>
      <c r="O70" s="37"/>
      <c r="P70" s="37"/>
      <c r="Q70" s="37"/>
    </row>
    <row r="71" spans="1:17" ht="15.75" customHeight="1" x14ac:dyDescent="0.35">
      <c r="A71" s="10"/>
      <c r="B71" s="73" t="s">
        <v>222</v>
      </c>
      <c r="C71" s="63"/>
      <c r="D71" s="27"/>
      <c r="E71" s="310"/>
      <c r="F71" s="27"/>
      <c r="G71" s="100"/>
      <c r="H71" s="12"/>
      <c r="I71" s="12"/>
      <c r="J71" s="12"/>
      <c r="K71" s="12"/>
      <c r="L71" s="12"/>
      <c r="M71" s="12"/>
      <c r="N71" s="12"/>
      <c r="O71" s="12"/>
      <c r="P71" s="12"/>
      <c r="Q71" s="12"/>
    </row>
    <row r="72" spans="1:17" ht="15.75" customHeight="1" x14ac:dyDescent="0.35">
      <c r="A72" s="10"/>
      <c r="B72" s="2" t="s">
        <v>50</v>
      </c>
      <c r="C72" s="79">
        <f>ABS(C5/C$4)</f>
        <v>0.8518352538547358</v>
      </c>
      <c r="D72" s="27"/>
      <c r="E72" s="310"/>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52</v>
      </c>
      <c r="C73" s="80">
        <f>ABS(C6/C$4)</f>
        <v>0.1481647461452642</v>
      </c>
      <c r="D73" s="27"/>
      <c r="E73" s="310"/>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49</v>
      </c>
      <c r="C74" s="79">
        <f>ABS(C7/C$4)</f>
        <v>0.11115379737817763</v>
      </c>
      <c r="D74" s="27"/>
      <c r="E74" s="310"/>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158</v>
      </c>
      <c r="C75" s="80">
        <f>ABS(C8/C$4)</f>
        <v>3.7010948767086591E-2</v>
      </c>
      <c r="D75" s="27"/>
      <c r="E75" s="310"/>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70</v>
      </c>
      <c r="C76" s="79">
        <f>ABS(C9/C$4)</f>
        <v>2.2719648106287585E-2</v>
      </c>
      <c r="D76" s="27"/>
      <c r="E76" s="310"/>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86</v>
      </c>
      <c r="C77" s="90">
        <f>MAX(AVERAGE(G77:J77),C76)</f>
        <v>2.2719648106287585E-2</v>
      </c>
      <c r="D77" s="27"/>
      <c r="E77" s="311" t="s">
        <v>387</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159</v>
      </c>
      <c r="C78" s="80">
        <f>ABS(C11/C$4)</f>
        <v>0</v>
      </c>
      <c r="D78" s="27"/>
      <c r="E78" s="310"/>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73</v>
      </c>
      <c r="C79" s="79">
        <f>ABS(C12/C$4)</f>
        <v>4.5978646284370622E-2</v>
      </c>
      <c r="D79" s="27"/>
      <c r="E79" s="310"/>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170</v>
      </c>
      <c r="C80" s="80">
        <f>C13/C4</f>
        <v>8.2989595051457213E-2</v>
      </c>
      <c r="D80" s="27"/>
      <c r="E80" s="310"/>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68</v>
      </c>
      <c r="C81" s="79">
        <f>ABS(C14/C$4)</f>
        <v>2.0747398762864303E-2</v>
      </c>
      <c r="D81" s="27"/>
      <c r="E81" s="310"/>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1.3197490690642218E-3</v>
      </c>
      <c r="D82" s="27"/>
      <c r="E82" s="310"/>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160</v>
      </c>
      <c r="C83" s="80">
        <f>ABS(C16/C$4)</f>
        <v>6.0922447219528678E-2</v>
      </c>
      <c r="D83" s="27"/>
      <c r="E83" s="310"/>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56</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104</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146</v>
      </c>
      <c r="C86" s="80">
        <f>ABS(C19/C$4)</f>
        <v>6.0922447219528678E-2</v>
      </c>
      <c r="D86" s="77"/>
      <c r="E86" s="310"/>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220</v>
      </c>
      <c r="E88" s="313"/>
    </row>
    <row r="89" spans="1:17" ht="15.75" customHeight="1" x14ac:dyDescent="0.35">
      <c r="A89" s="10"/>
      <c r="B89" s="2" t="str">
        <f>"Dividend per share ("&amp;Market_currency&amp;")"</f>
        <v>Dividend per share (HKD)</v>
      </c>
      <c r="C89" s="117">
        <f>G89</f>
        <v>0.1178</v>
      </c>
      <c r="E89" s="313"/>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3"/>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219</v>
      </c>
      <c r="C91" s="23">
        <f>C89/(C19*$C$3/Common_Shares)</f>
        <v>1.6282444674049961</v>
      </c>
      <c r="E91" s="313"/>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348</v>
      </c>
      <c r="C92" s="23">
        <f>C89/Market_Price</f>
        <v>5.1217391304347833E-2</v>
      </c>
      <c r="E92" s="313"/>
      <c r="G92" s="23">
        <f t="shared" ref="G92:Q92" si="38">IF(G$4="","",G89/Market_Price)</f>
        <v>5.1217391304347833E-2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90</v>
      </c>
      <c r="C94" s="63"/>
      <c r="D94" s="27"/>
      <c r="E94" s="310"/>
      <c r="F94" s="27"/>
      <c r="G94" s="12"/>
      <c r="H94" s="12"/>
      <c r="I94" s="12"/>
      <c r="J94" s="12"/>
      <c r="K94" s="12"/>
      <c r="L94" s="12"/>
      <c r="M94" s="12"/>
      <c r="N94" s="12"/>
      <c r="O94" s="12"/>
      <c r="P94" s="12"/>
      <c r="Q94" s="12"/>
    </row>
    <row r="95" spans="1:17" ht="15.75" customHeight="1" x14ac:dyDescent="0.35">
      <c r="A95" s="10"/>
      <c r="B95" s="27" t="s">
        <v>150</v>
      </c>
      <c r="C95" s="79">
        <f>C4/G4-1</f>
        <v>-1.992949922164422E-2</v>
      </c>
      <c r="D95" s="27"/>
      <c r="E95" s="310"/>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170</v>
      </c>
      <c r="C96" s="79">
        <f>C13/G13-1</f>
        <v>-0.33840506631996758</v>
      </c>
      <c r="D96" s="27"/>
      <c r="E96" s="310"/>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221</v>
      </c>
      <c r="C98" s="54"/>
      <c r="D98" s="56"/>
      <c r="E98" s="67" t="s">
        <v>64</v>
      </c>
      <c r="F98" s="56"/>
      <c r="G98" s="37"/>
      <c r="H98" s="37"/>
      <c r="I98" s="37"/>
      <c r="J98" s="37"/>
      <c r="K98" s="37"/>
      <c r="L98" s="37"/>
      <c r="M98" s="37"/>
      <c r="N98" s="37"/>
      <c r="O98" s="37"/>
      <c r="P98" s="37"/>
      <c r="Q98" s="37"/>
    </row>
    <row r="99" spans="1:17" ht="15.75" customHeight="1" x14ac:dyDescent="0.35">
      <c r="A99" s="10"/>
      <c r="B99" s="65" t="s">
        <v>30</v>
      </c>
      <c r="E99" s="313"/>
      <c r="G99" s="100" t="s">
        <v>225</v>
      </c>
    </row>
    <row r="100" spans="1:17" ht="15.75" customHeight="1" x14ac:dyDescent="0.35">
      <c r="A100" s="10"/>
      <c r="B100" s="26" t="s">
        <v>4</v>
      </c>
      <c r="C100" s="206">
        <f>BS!G32</f>
        <v>3670169</v>
      </c>
      <c r="D100" s="26"/>
      <c r="E100" s="314"/>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216</v>
      </c>
      <c r="C101" s="207">
        <f>BS!C4</f>
        <v>180994</v>
      </c>
      <c r="D101" s="91"/>
      <c r="E101" s="315"/>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217</v>
      </c>
      <c r="C102" s="207">
        <f>BS!C6+BS!C7</f>
        <v>158110</v>
      </c>
      <c r="D102" s="91"/>
      <c r="E102" s="315"/>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42</v>
      </c>
      <c r="C103" s="206">
        <f>BS!G30</f>
        <v>642877</v>
      </c>
      <c r="D103" s="26"/>
      <c r="E103" s="314"/>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32</v>
      </c>
      <c r="C104" s="206">
        <f>BS!G27</f>
        <v>3027292</v>
      </c>
      <c r="D104" s="26"/>
      <c r="E104" s="314"/>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226</v>
      </c>
      <c r="C106" s="26"/>
      <c r="D106" s="26"/>
      <c r="E106" s="314"/>
      <c r="F106" s="26"/>
      <c r="G106" s="100" t="s">
        <v>225</v>
      </c>
      <c r="H106" s="12"/>
      <c r="I106" s="12"/>
      <c r="J106" s="12"/>
      <c r="K106" s="12"/>
      <c r="L106" s="12"/>
      <c r="M106" s="12"/>
      <c r="N106" s="12"/>
      <c r="O106" s="12"/>
      <c r="P106" s="12"/>
      <c r="Q106" s="12"/>
    </row>
    <row r="107" spans="1:17" ht="15.75" customHeight="1" x14ac:dyDescent="0.35">
      <c r="A107" s="10"/>
      <c r="B107" s="26" t="s">
        <v>223</v>
      </c>
      <c r="C107" s="97">
        <f>C101/C$4</f>
        <v>0.11430811111773545</v>
      </c>
      <c r="D107" s="26"/>
      <c r="E107" s="314"/>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224</v>
      </c>
      <c r="C108" s="97">
        <f>C102/C$4</f>
        <v>9.9855550177492911E-2</v>
      </c>
      <c r="D108" s="26"/>
      <c r="E108" s="314"/>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74</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40</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227</v>
      </c>
      <c r="C112" s="23">
        <f>C80</f>
        <v>8.2989595051457213E-2</v>
      </c>
      <c r="E112" s="313"/>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89</v>
      </c>
      <c r="C113" s="42">
        <f>C4/C100</f>
        <v>0.43142078743512902</v>
      </c>
      <c r="E113" s="313"/>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97</v>
      </c>
      <c r="C114" s="15">
        <f>C100/C104</f>
        <v>1.2123604198075375</v>
      </c>
      <c r="D114" s="11"/>
      <c r="E114" s="317"/>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228</v>
      </c>
      <c r="C115" s="105">
        <f>C8/C104</f>
        <v>1.9358113633458775E-2</v>
      </c>
      <c r="D115" s="106"/>
      <c r="E115" s="316"/>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229</v>
      </c>
      <c r="C117" s="54"/>
      <c r="D117" s="56"/>
      <c r="E117" s="67" t="s">
        <v>64</v>
      </c>
      <c r="F117" s="56"/>
      <c r="G117" s="37"/>
      <c r="H117" s="37"/>
      <c r="I117" s="37"/>
      <c r="J117" s="37"/>
      <c r="K117" s="37"/>
      <c r="L117" s="37"/>
      <c r="M117" s="37"/>
      <c r="N117" s="37"/>
      <c r="O117" s="37"/>
      <c r="P117" s="37"/>
      <c r="Q117" s="37"/>
    </row>
    <row r="118" spans="1:17" ht="15.75" customHeight="1" x14ac:dyDescent="0.35">
      <c r="A118" s="10"/>
      <c r="B118" s="183" t="s">
        <v>176</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7.668872979437022E-2</v>
      </c>
      <c r="D119" s="27"/>
      <c r="E119" s="310"/>
      <c r="F119" s="27"/>
      <c r="G119" s="182">
        <f t="shared" ref="G119:Q119" si="48">IF(G$4="","",G16*$C$3/Common_Shares*Exchange_Rate)</f>
        <v>0.12081613489798315</v>
      </c>
      <c r="H119" s="182">
        <f t="shared" si="48"/>
        <v>3.6190780476152443E-2</v>
      </c>
      <c r="I119" s="182">
        <f t="shared" si="48"/>
        <v>6.4080186299976721E-2</v>
      </c>
      <c r="J119" s="182">
        <f t="shared" si="48"/>
        <v>0.22539292369088454</v>
      </c>
      <c r="K119" s="182">
        <f t="shared" si="48"/>
        <v>0.16131978983502629</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289</v>
      </c>
      <c r="C120" s="79">
        <f>C19*Exchange_Rate*$C$3/(Market_Price*Common_Shares)</f>
        <v>3.3342925997552272E-2</v>
      </c>
      <c r="D120" s="27"/>
      <c r="E120" s="310"/>
      <c r="F120" s="27"/>
      <c r="G120" s="79">
        <f t="shared" ref="G120" si="49">IF(G$4="","",G119/Market_Price)</f>
        <v>5.252875430347094E-2</v>
      </c>
      <c r="H120" s="79">
        <f t="shared" ref="H120" si="50">IF(H$4="","",H119/Market_Price)</f>
        <v>1.5735121946153237E-2</v>
      </c>
      <c r="I120" s="79">
        <f t="shared" ref="I120" si="51">IF(I$4="","",I119/Market_Price)</f>
        <v>2.7860950565207272E-2</v>
      </c>
      <c r="J120" s="79">
        <f t="shared" ref="J120" si="52">IF(J$4="","",J119/Market_Price)</f>
        <v>9.7996923343862855E-2</v>
      </c>
      <c r="K120" s="79">
        <f t="shared" ref="K120" si="53">IF(K$4="","",K119/Market_Price)</f>
        <v>7.0139039058707081E-2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60</v>
      </c>
      <c r="C2" s="37"/>
      <c r="D2" s="37"/>
      <c r="E2" s="37"/>
      <c r="F2" s="37"/>
      <c r="H2" s="134" t="s">
        <v>64</v>
      </c>
    </row>
    <row r="3" spans="2:8" ht="13.15" x14ac:dyDescent="0.4">
      <c r="B3" s="112" t="s">
        <v>169</v>
      </c>
      <c r="C3" s="110">
        <f>Normalized_FCF!C3</f>
        <v>1000</v>
      </c>
      <c r="E3" s="112" t="s">
        <v>130</v>
      </c>
      <c r="H3" s="124"/>
    </row>
    <row r="4" spans="2:8" x14ac:dyDescent="0.35">
      <c r="B4" s="103" t="s">
        <v>134</v>
      </c>
      <c r="C4" s="113">
        <f>Normalized_FCF!C19</f>
        <v>96463.823120077301</v>
      </c>
      <c r="D4" t="str">
        <f>Reporting_currency</f>
        <v>CNY</v>
      </c>
      <c r="E4" s="103" t="s">
        <v>261</v>
      </c>
      <c r="F4" s="138">
        <f>Thesis!C71</f>
        <v>0</v>
      </c>
      <c r="H4" s="124"/>
    </row>
    <row r="5" spans="2:8" x14ac:dyDescent="0.35">
      <c r="B5" s="234" t="s">
        <v>129</v>
      </c>
      <c r="C5" s="235">
        <f>Thesis!C67</f>
        <v>9.9999999999999992E-2</v>
      </c>
      <c r="E5" s="152"/>
      <c r="H5" s="124"/>
    </row>
    <row r="6" spans="2:8" ht="13.15" customHeight="1" x14ac:dyDescent="0.4">
      <c r="B6" s="153" t="s">
        <v>234</v>
      </c>
      <c r="C6" s="239">
        <f>(C4*(1+Terminal_Growth))/(Equity_Cost-Terminal_Growth)</f>
        <v>964638.23120077304</v>
      </c>
      <c r="D6" t="str">
        <f>Reporting_currency</f>
        <v>CNY</v>
      </c>
      <c r="E6" s="335" t="s">
        <v>260</v>
      </c>
      <c r="F6" s="335"/>
      <c r="H6" s="124"/>
    </row>
    <row r="7" spans="2:8" x14ac:dyDescent="0.35">
      <c r="B7" s="152" t="s">
        <v>230</v>
      </c>
      <c r="C7" s="233">
        <f>BS!G31</f>
        <v>33999</v>
      </c>
      <c r="D7" t="str">
        <f>Reporting_currency</f>
        <v>CNY</v>
      </c>
      <c r="E7" s="335"/>
      <c r="F7" s="335"/>
      <c r="H7" s="124"/>
    </row>
    <row r="8" spans="2:8" x14ac:dyDescent="0.35">
      <c r="B8" s="152" t="s">
        <v>231</v>
      </c>
      <c r="C8" s="208">
        <f>BS!D66</f>
        <v>2029405.1093906919</v>
      </c>
      <c r="D8" t="str">
        <f>Reporting_currency</f>
        <v>CNY</v>
      </c>
      <c r="E8" s="335"/>
      <c r="F8" s="335"/>
      <c r="H8" s="124"/>
    </row>
    <row r="9" spans="2:8" x14ac:dyDescent="0.35">
      <c r="B9" s="234" t="s">
        <v>196</v>
      </c>
      <c r="C9" s="236">
        <f>BS!H42</f>
        <v>227656.8</v>
      </c>
      <c r="D9" t="str">
        <f>Reporting_currency</f>
        <v>CNY</v>
      </c>
      <c r="E9" s="335"/>
      <c r="F9" s="335"/>
      <c r="H9" s="124"/>
    </row>
    <row r="10" spans="2:8" ht="13.15" x14ac:dyDescent="0.4">
      <c r="B10" s="153" t="s">
        <v>233</v>
      </c>
      <c r="C10" s="239">
        <f>C6-C7+C8+C9</f>
        <v>3187701.1405914649</v>
      </c>
      <c r="D10" t="str">
        <f>Reporting_currency</f>
        <v>CNY</v>
      </c>
      <c r="H10" s="124"/>
    </row>
    <row r="11" spans="2:8" ht="13.15" thickBot="1" x14ac:dyDescent="0.4">
      <c r="B11" s="237" t="s">
        <v>172</v>
      </c>
      <c r="C11" s="238">
        <f>Exchange_Rate</f>
        <v>1.06</v>
      </c>
      <c r="D11" t="str">
        <f>Thesis!D17</f>
        <v>CNY/HKD</v>
      </c>
      <c r="H11" s="124"/>
    </row>
    <row r="12" spans="2:8" ht="13.5" thickTop="1" x14ac:dyDescent="0.4">
      <c r="B12" s="153" t="s">
        <v>108</v>
      </c>
      <c r="C12" s="115">
        <f>(C10*C3)/Common_Shares*C11</f>
        <v>2.5342220899924537</v>
      </c>
      <c r="D12" t="str">
        <f>Market_currency</f>
        <v>HKD</v>
      </c>
      <c r="H12" s="124"/>
    </row>
    <row r="13" spans="2:8" x14ac:dyDescent="0.35">
      <c r="H13" s="124"/>
    </row>
    <row r="14" spans="2:8" ht="13.9" x14ac:dyDescent="0.45">
      <c r="B14" s="36" t="s">
        <v>235</v>
      </c>
      <c r="C14" s="37"/>
      <c r="D14" s="37"/>
      <c r="E14" s="37"/>
      <c r="F14" s="37"/>
      <c r="H14" s="124"/>
    </row>
    <row r="15" spans="2:8" ht="13.15" x14ac:dyDescent="0.35">
      <c r="B15" s="123" t="s">
        <v>141</v>
      </c>
      <c r="H15" s="124"/>
    </row>
    <row r="16" spans="2:8" ht="13.25" customHeight="1" x14ac:dyDescent="0.35">
      <c r="B16" s="156" t="s">
        <v>139</v>
      </c>
      <c r="C16" s="166">
        <f>Scenarios!C65</f>
        <v>1.8222579123958901E-2</v>
      </c>
      <c r="H16" s="124"/>
    </row>
    <row r="17" spans="2:8" ht="13.25" customHeight="1" x14ac:dyDescent="0.35">
      <c r="B17" s="122" t="s">
        <v>140</v>
      </c>
      <c r="C17" s="167">
        <f>Scenarios!C64</f>
        <v>10</v>
      </c>
      <c r="H17" s="124"/>
    </row>
    <row r="18" spans="2:8" ht="13.25" customHeight="1" x14ac:dyDescent="0.4">
      <c r="B18" s="157" t="s">
        <v>112</v>
      </c>
      <c r="C18" s="144">
        <f>(F52-C7+C8+C9)*Exchange_Rate/Common_Shares*C3</f>
        <v>2.5822507355943083</v>
      </c>
      <c r="D18" t="str">
        <f>Market_currency</f>
        <v>HKD</v>
      </c>
      <c r="H18" s="124"/>
    </row>
    <row r="19" spans="2:8" x14ac:dyDescent="0.35">
      <c r="H19" s="124"/>
    </row>
    <row r="20" spans="2:8" ht="13.15" x14ac:dyDescent="0.4">
      <c r="B20" s="132" t="s">
        <v>113</v>
      </c>
      <c r="C20" s="132" t="s">
        <v>114</v>
      </c>
      <c r="D20" s="132" t="s">
        <v>124</v>
      </c>
      <c r="E20" s="132" t="s">
        <v>115</v>
      </c>
      <c r="F20" s="133" t="s">
        <v>116</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137</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106</v>
      </c>
      <c r="F52" s="141">
        <f>SUM(F21:F51)</f>
        <v>1025051.6294466037</v>
      </c>
      <c r="H52" s="124"/>
    </row>
    <row r="53" spans="1:8" x14ac:dyDescent="0.35">
      <c r="C53" s="118"/>
      <c r="H53" s="124"/>
    </row>
    <row r="54" spans="1:8" ht="13.15" x14ac:dyDescent="0.35">
      <c r="B54" s="123" t="s">
        <v>135</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136</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2.5342220899924537</v>
      </c>
      <c r="C65" s="128">
        <f>C12</f>
        <v>2.5342220899924537</v>
      </c>
      <c r="D65" s="128">
        <f>C12</f>
        <v>2.5342220899924537</v>
      </c>
      <c r="E65" s="145">
        <f>C12</f>
        <v>2.5342220899924537</v>
      </c>
      <c r="F65" s="128">
        <f>C12</f>
        <v>2.5342220899924537</v>
      </c>
      <c r="H65" s="124"/>
    </row>
    <row r="66" spans="1:8" ht="13.15" x14ac:dyDescent="0.4">
      <c r="A66" s="147">
        <f t="shared" ref="A66:A71" si="3">A56</f>
        <v>5</v>
      </c>
      <c r="B66" s="128">
        <f t="shared" ref="B66:F71" si="4">(B56-$C$7+$C$8+$C$9)/Common_Shares*$C$3*Exchange_Rate</f>
        <v>2.4144631798831471</v>
      </c>
      <c r="C66" s="128">
        <f t="shared" si="4"/>
        <v>2.4601747178559918</v>
      </c>
      <c r="D66" s="128">
        <f t="shared" si="4"/>
        <v>2.5605009597708444</v>
      </c>
      <c r="E66" s="128">
        <f t="shared" si="4"/>
        <v>2.6156691196726358</v>
      </c>
      <c r="F66" s="128">
        <f t="shared" si="4"/>
        <v>2.6745727842647127</v>
      </c>
      <c r="H66" s="124"/>
    </row>
    <row r="67" spans="1:8" ht="13.15" x14ac:dyDescent="0.4">
      <c r="A67" s="147">
        <f t="shared" si="3"/>
        <v>10</v>
      </c>
      <c r="B67" s="128">
        <f t="shared" si="4"/>
        <v>2.3321435873277712</v>
      </c>
      <c r="C67" s="128">
        <f t="shared" si="4"/>
        <v>2.4022490449357066</v>
      </c>
      <c r="D67" s="128">
        <f t="shared" si="4"/>
        <v>2.5871648288186599</v>
      </c>
      <c r="E67" s="128">
        <f t="shared" si="4"/>
        <v>2.7098279393766536</v>
      </c>
      <c r="F67" s="128">
        <f t="shared" si="4"/>
        <v>2.8594571666104871</v>
      </c>
      <c r="H67" s="124"/>
    </row>
    <row r="68" spans="1:8" ht="13.15" x14ac:dyDescent="0.4">
      <c r="A68" s="147">
        <f t="shared" si="3"/>
        <v>15</v>
      </c>
      <c r="B68" s="128">
        <f t="shared" si="4"/>
        <v>2.2606526307209904</v>
      </c>
      <c r="C68" s="128">
        <f t="shared" si="4"/>
        <v>2.3478175319216996</v>
      </c>
      <c r="D68" s="128">
        <f t="shared" si="4"/>
        <v>2.6173430189360278</v>
      </c>
      <c r="E68" s="128">
        <f t="shared" si="4"/>
        <v>2.8282509612054145</v>
      </c>
      <c r="F68" s="128">
        <f t="shared" si="4"/>
        <v>3.1196111330432204</v>
      </c>
      <c r="H68" s="124"/>
    </row>
    <row r="69" spans="1:8" ht="13.15" x14ac:dyDescent="0.4">
      <c r="A69" s="148">
        <f t="shared" si="3"/>
        <v>20</v>
      </c>
      <c r="B69" s="128">
        <f t="shared" si="4"/>
        <v>2.2087912008462367</v>
      </c>
      <c r="C69" s="128">
        <f t="shared" si="4"/>
        <v>2.3056057580860974</v>
      </c>
      <c r="D69" s="128">
        <f t="shared" si="4"/>
        <v>2.6454198434941092</v>
      </c>
      <c r="E69" s="128">
        <f t="shared" si="4"/>
        <v>2.9516032454343923</v>
      </c>
      <c r="F69" s="128">
        <f t="shared" si="4"/>
        <v>3.426501589213339</v>
      </c>
      <c r="H69" s="124"/>
    </row>
    <row r="70" spans="1:8" ht="13.15" x14ac:dyDescent="0.4">
      <c r="A70" s="148">
        <f t="shared" si="3"/>
        <v>25</v>
      </c>
      <c r="B70" s="128">
        <f t="shared" si="4"/>
        <v>2.1738500447216489</v>
      </c>
      <c r="C70" s="128">
        <f t="shared" si="4"/>
        <v>2.2755612964231884</v>
      </c>
      <c r="D70" s="128">
        <f t="shared" si="4"/>
        <v>2.6692553554863836</v>
      </c>
      <c r="E70" s="128">
        <f t="shared" si="4"/>
        <v>3.0695931327232318</v>
      </c>
      <c r="F70" s="128">
        <f t="shared" si="4"/>
        <v>3.7624117284263354</v>
      </c>
    </row>
    <row r="71" spans="1:8" ht="13.15" x14ac:dyDescent="0.4">
      <c r="A71" s="148">
        <f t="shared" si="3"/>
        <v>30</v>
      </c>
      <c r="B71" s="128">
        <f t="shared" si="4"/>
        <v>2.1511499816522868</v>
      </c>
      <c r="C71" s="128">
        <f t="shared" si="4"/>
        <v>2.2551587849686365</v>
      </c>
      <c r="D71" s="128">
        <f t="shared" si="4"/>
        <v>2.6884442158980408</v>
      </c>
      <c r="E71" s="128">
        <f t="shared" si="4"/>
        <v>3.1772543791020067</v>
      </c>
      <c r="F71" s="128">
        <f t="shared" si="4"/>
        <v>4.1163408076290713</v>
      </c>
    </row>
    <row r="73" spans="1:8" ht="13.15" x14ac:dyDescent="0.4">
      <c r="B73" s="176" t="s">
        <v>123</v>
      </c>
      <c r="C73" s="176" t="s">
        <v>138</v>
      </c>
      <c r="D73" s="176" t="s">
        <v>118</v>
      </c>
      <c r="E73" s="177" t="s">
        <v>119</v>
      </c>
      <c r="F73" s="177" t="s">
        <v>125</v>
      </c>
    </row>
    <row r="74" spans="1:8" x14ac:dyDescent="0.35">
      <c r="B74" s="131" t="str">
        <f>Scenarios!B54</f>
        <v>Snowball Scenario</v>
      </c>
      <c r="C74" s="146">
        <f>Scenarios!C56</f>
        <v>0.1</v>
      </c>
      <c r="D74" s="149">
        <f>Scenarios!C55</f>
        <v>15</v>
      </c>
      <c r="E74" s="139">
        <f>INDEX(B$65:F$71, MATCH(D74, A$65:A$71, 0), MATCH(C74, B$64:F$64, 0))</f>
        <v>3.1196111330432204</v>
      </c>
      <c r="F74" s="146">
        <f>Scenarios!C58</f>
        <v>0.05</v>
      </c>
    </row>
    <row r="75" spans="1:8" x14ac:dyDescent="0.35">
      <c r="B75" s="131" t="str">
        <f>Scenarios!B36</f>
        <v>Optimistic</v>
      </c>
      <c r="C75" s="146">
        <f>Scenarios!C38</f>
        <v>0.06</v>
      </c>
      <c r="D75" s="149">
        <f>Scenarios!C37</f>
        <v>10</v>
      </c>
      <c r="E75" s="139">
        <f>INDEX(B$65:F$71, MATCH(D75, A$65:A$71, 0), MATCH(C75, B$64:F$64, 0))</f>
        <v>2.7098279393766536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2.5871648288186599</v>
      </c>
      <c r="F76" s="146">
        <f>Scenarios!C28*(1-F$74-F$78)</f>
        <v>0.51</v>
      </c>
      <c r="H76" s="124"/>
    </row>
    <row r="77" spans="1:8" x14ac:dyDescent="0.35">
      <c r="B77" s="131" t="str">
        <f>Scenarios!B30</f>
        <v>Pessimistic</v>
      </c>
      <c r="C77" s="146">
        <f>Scenarios!C32</f>
        <v>-0.06</v>
      </c>
      <c r="D77" s="149">
        <f>Scenarios!C31</f>
        <v>10</v>
      </c>
      <c r="E77" s="139">
        <f>INDEX(B$65:F$71, MATCH(D77, A$65:A$71, 0), MATCH(C77, B$64:F$64, 0))</f>
        <v>2.4022490449357066</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2.2606526307209904</v>
      </c>
      <c r="F78" s="146">
        <f>Scenarios!C52</f>
        <v>0.1</v>
      </c>
    </row>
    <row r="79" spans="1:8" x14ac:dyDescent="0.35">
      <c r="B79" s="160"/>
      <c r="C79" s="160"/>
      <c r="D79" s="160"/>
      <c r="E79" s="160"/>
      <c r="F79" s="161"/>
    </row>
    <row r="80" spans="1:8" x14ac:dyDescent="0.35">
      <c r="B80" s="160" t="s">
        <v>349</v>
      </c>
      <c r="C80" s="160" t="s">
        <v>111</v>
      </c>
    </row>
    <row r="81" spans="3:3" x14ac:dyDescent="0.35">
      <c r="C81" s="160" t="s">
        <v>110</v>
      </c>
    </row>
    <row r="82" spans="3:3" x14ac:dyDescent="0.35">
      <c r="C82" s="160" t="s">
        <v>109</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tabSelected="1"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151</v>
      </c>
      <c r="C2" s="37"/>
      <c r="D2" s="37"/>
      <c r="E2" s="37"/>
      <c r="F2" s="37"/>
      <c r="H2" s="285" t="s">
        <v>331</v>
      </c>
      <c r="I2" s="286"/>
    </row>
    <row r="3" spans="2:9" ht="13.15" x14ac:dyDescent="0.4">
      <c r="B3" s="164" t="s">
        <v>154</v>
      </c>
      <c r="H3" s="284">
        <v>0</v>
      </c>
      <c r="I3" s="272">
        <f>-Market_Price</f>
        <v>-2.2999999999999998</v>
      </c>
    </row>
    <row r="4" spans="2:9" x14ac:dyDescent="0.35">
      <c r="B4" s="156" t="s">
        <v>152</v>
      </c>
      <c r="C4" s="124">
        <v>3</v>
      </c>
      <c r="D4" s="124"/>
      <c r="E4" s="160" t="s">
        <v>156</v>
      </c>
      <c r="F4" s="160"/>
      <c r="H4" s="284">
        <v>1</v>
      </c>
      <c r="I4" s="272">
        <f t="shared" ref="I4:I13" si="0">IF(ROW()-3 &lt; $C$76, $C$77, IF(ROW()-3 = $C$76, $C$77 + $C$60, ""))</f>
        <v>0.1178</v>
      </c>
    </row>
    <row r="5" spans="2:9" x14ac:dyDescent="0.35">
      <c r="H5" s="284">
        <v>2</v>
      </c>
      <c r="I5" s="272">
        <f t="shared" si="0"/>
        <v>0.1178</v>
      </c>
    </row>
    <row r="6" spans="2:9" ht="13.15" x14ac:dyDescent="0.4">
      <c r="B6" s="164" t="s">
        <v>101</v>
      </c>
      <c r="C6" s="110">
        <f>Valuation_Model!C3</f>
        <v>1000</v>
      </c>
      <c r="E6" s="103" t="s">
        <v>304</v>
      </c>
      <c r="F6" s="103"/>
      <c r="H6" s="284">
        <v>3</v>
      </c>
      <c r="I6" s="272">
        <f t="shared" si="0"/>
        <v>2.7014250727686178</v>
      </c>
    </row>
    <row r="7" spans="2:9" ht="12.75" customHeight="1" x14ac:dyDescent="0.35">
      <c r="B7" s="103" t="s">
        <v>298</v>
      </c>
      <c r="C7" s="118">
        <f>Normalized_FCF!G8</f>
        <v>105154</v>
      </c>
      <c r="D7" t="str">
        <f>Reporting_currency</f>
        <v>CNY</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37"/>
      <c r="H7" s="284">
        <v>4</v>
      </c>
      <c r="I7" s="272" t="str">
        <f t="shared" si="0"/>
        <v/>
      </c>
    </row>
    <row r="8" spans="2:9" x14ac:dyDescent="0.35">
      <c r="B8" s="103" t="s">
        <v>71</v>
      </c>
      <c r="C8" s="118">
        <f>Normalized_FCF!G19</f>
        <v>151970</v>
      </c>
      <c r="D8" t="str">
        <f>Reporting_currency</f>
        <v>CNY</v>
      </c>
      <c r="E8" s="337"/>
      <c r="F8" s="337"/>
      <c r="H8" s="284">
        <v>5</v>
      </c>
      <c r="I8" s="272" t="str">
        <f t="shared" si="0"/>
        <v/>
      </c>
    </row>
    <row r="9" spans="2:9" x14ac:dyDescent="0.35">
      <c r="B9" s="103" t="s">
        <v>62</v>
      </c>
      <c r="C9" s="208">
        <f>Normalized_FCF!C19</f>
        <v>96463.823120077301</v>
      </c>
      <c r="D9" t="str">
        <f>Reporting_currency</f>
        <v>CNY</v>
      </c>
      <c r="E9" s="337"/>
      <c r="F9" s="337"/>
      <c r="H9" s="284">
        <v>6</v>
      </c>
      <c r="I9" s="272" t="str">
        <f t="shared" si="0"/>
        <v/>
      </c>
    </row>
    <row r="10" spans="2:9" x14ac:dyDescent="0.35">
      <c r="E10" s="337"/>
      <c r="F10" s="337"/>
      <c r="H10" s="284">
        <v>7</v>
      </c>
      <c r="I10" s="272" t="str">
        <f t="shared" si="0"/>
        <v/>
      </c>
    </row>
    <row r="11" spans="2:9" ht="13.15" x14ac:dyDescent="0.4">
      <c r="B11" s="164" t="s">
        <v>301</v>
      </c>
      <c r="E11" s="337"/>
      <c r="F11" s="337"/>
      <c r="H11" s="284">
        <v>8</v>
      </c>
      <c r="I11" s="272" t="str">
        <f t="shared" si="0"/>
        <v/>
      </c>
    </row>
    <row r="12" spans="2:9" x14ac:dyDescent="0.35">
      <c r="B12" s="122" t="s">
        <v>150</v>
      </c>
      <c r="C12" s="163">
        <f ca="1">(Normalized_FCF!G4/OFFSET(Normalized_FCF!G4, 0, $C$4))^(1/$C$4) - 1</f>
        <v>-1.7248638436905273E-2</v>
      </c>
      <c r="D12" s="163"/>
      <c r="E12" s="337"/>
      <c r="F12" s="337"/>
      <c r="H12" s="284">
        <v>9</v>
      </c>
      <c r="I12" s="272" t="str">
        <f t="shared" si="0"/>
        <v/>
      </c>
    </row>
    <row r="13" spans="2:9" x14ac:dyDescent="0.35">
      <c r="B13" s="152" t="s">
        <v>158</v>
      </c>
      <c r="C13" s="163">
        <f ca="1">(Normalized_FCF!G8/OFFSET(Normalized_FCF!G8, 0, $C$4))^(1/$C$4) - 1</f>
        <v>-0.283580450424601</v>
      </c>
      <c r="E13" s="337"/>
      <c r="F13" s="337"/>
      <c r="H13" s="284">
        <v>10</v>
      </c>
      <c r="I13" s="272" t="str">
        <f t="shared" si="0"/>
        <v/>
      </c>
    </row>
    <row r="14" spans="2:9" x14ac:dyDescent="0.35">
      <c r="B14" s="103" t="s">
        <v>71</v>
      </c>
      <c r="C14" s="163">
        <f ca="1">(Normalized_FCF!G19/OFFSET(Normalized_FCF!G19, 0, $C$4))^(1/$C$4) - 1</f>
        <v>-0.18767799077696001</v>
      </c>
      <c r="E14" s="337"/>
      <c r="F14" s="337"/>
    </row>
    <row r="16" spans="2:9" ht="13.9" x14ac:dyDescent="0.45">
      <c r="B16" s="36" t="s">
        <v>168</v>
      </c>
      <c r="C16" s="37"/>
      <c r="D16" s="37"/>
      <c r="E16" s="37"/>
      <c r="F16" s="37"/>
    </row>
    <row r="17" spans="2:6" ht="13.15" x14ac:dyDescent="0.4">
      <c r="B17" s="112" t="s">
        <v>157</v>
      </c>
      <c r="E17" s="164" t="s">
        <v>371</v>
      </c>
    </row>
    <row r="18" spans="2:6" x14ac:dyDescent="0.35">
      <c r="B18" s="156" t="s">
        <v>139</v>
      </c>
      <c r="C18" s="154">
        <v>10</v>
      </c>
      <c r="E18" s="337" t="s">
        <v>372</v>
      </c>
      <c r="F18" s="338"/>
    </row>
    <row r="19" spans="2:6" x14ac:dyDescent="0.35">
      <c r="E19" s="338"/>
      <c r="F19" s="338"/>
    </row>
    <row r="20" spans="2:6" ht="13.15" x14ac:dyDescent="0.4">
      <c r="B20" s="164" t="s">
        <v>339</v>
      </c>
      <c r="E20" s="338"/>
      <c r="F20" s="338"/>
    </row>
    <row r="21" spans="2:6" x14ac:dyDescent="0.35">
      <c r="B21" s="103" t="s">
        <v>302</v>
      </c>
      <c r="C21" s="165">
        <f>Market_Price</f>
        <v>2.2999999999999998</v>
      </c>
      <c r="D21" t="str">
        <f>Market_currency</f>
        <v>HKD</v>
      </c>
      <c r="E21" s="338"/>
      <c r="F21" s="338"/>
    </row>
    <row r="22" spans="2:6" x14ac:dyDescent="0.35">
      <c r="B22" s="103" t="s">
        <v>303</v>
      </c>
      <c r="C22" s="165">
        <f>Valuation_Model!C12</f>
        <v>2.5342220899924537</v>
      </c>
      <c r="D22" t="str">
        <f>Market_currency</f>
        <v>HKD</v>
      </c>
      <c r="E22" s="338"/>
      <c r="F22" s="338"/>
    </row>
    <row r="24" spans="2:6" ht="13.15" x14ac:dyDescent="0.4">
      <c r="B24" s="164" t="s">
        <v>121</v>
      </c>
      <c r="E24" s="164" t="s">
        <v>155</v>
      </c>
      <c r="F24" s="164"/>
    </row>
    <row r="25" spans="2:6" x14ac:dyDescent="0.35">
      <c r="B25" s="156" t="s">
        <v>139</v>
      </c>
      <c r="C25" s="171">
        <f>C18</f>
        <v>10</v>
      </c>
      <c r="D25" s="168"/>
      <c r="E25" s="336"/>
      <c r="F25" s="336"/>
    </row>
    <row r="26" spans="2:6" x14ac:dyDescent="0.35">
      <c r="B26" s="122" t="s">
        <v>140</v>
      </c>
      <c r="C26" s="169">
        <v>0.02</v>
      </c>
      <c r="D26" s="169"/>
      <c r="E26" s="336"/>
      <c r="F26" s="336"/>
    </row>
    <row r="27" spans="2:6" x14ac:dyDescent="0.35">
      <c r="B27" s="103" t="s">
        <v>119</v>
      </c>
      <c r="C27" s="165">
        <f>Valuation_Model!E76</f>
        <v>2.5871648288186599</v>
      </c>
      <c r="D27" s="165" t="str">
        <f>Market_currency</f>
        <v>HKD</v>
      </c>
      <c r="E27" s="336"/>
      <c r="F27" s="336"/>
    </row>
    <row r="28" spans="2:6" x14ac:dyDescent="0.35">
      <c r="B28" s="103" t="s">
        <v>153</v>
      </c>
      <c r="C28" s="170">
        <v>0.6</v>
      </c>
      <c r="D28" s="170"/>
      <c r="E28" s="336"/>
      <c r="F28" s="336"/>
    </row>
    <row r="30" spans="2:6" ht="13.15" x14ac:dyDescent="0.4">
      <c r="B30" s="164" t="s">
        <v>122</v>
      </c>
      <c r="E30" s="164" t="s">
        <v>155</v>
      </c>
      <c r="F30" s="164"/>
    </row>
    <row r="31" spans="2:6" x14ac:dyDescent="0.35">
      <c r="B31" s="156" t="s">
        <v>139</v>
      </c>
      <c r="C31" s="171">
        <f>C18</f>
        <v>10</v>
      </c>
      <c r="D31" s="168"/>
      <c r="E31" s="336"/>
      <c r="F31" s="336"/>
    </row>
    <row r="32" spans="2:6" x14ac:dyDescent="0.35">
      <c r="B32" s="122" t="s">
        <v>140</v>
      </c>
      <c r="C32" s="169">
        <v>-0.06</v>
      </c>
      <c r="D32" s="169"/>
      <c r="E32" s="336"/>
      <c r="F32" s="336"/>
    </row>
    <row r="33" spans="2:6" x14ac:dyDescent="0.35">
      <c r="B33" s="103" t="s">
        <v>119</v>
      </c>
      <c r="C33" s="165">
        <f>Valuation_Model!E77</f>
        <v>2.4022490449357066</v>
      </c>
      <c r="D33" t="str">
        <f>Market_currency</f>
        <v>HKD</v>
      </c>
      <c r="E33" s="336"/>
      <c r="F33" s="336"/>
    </row>
    <row r="34" spans="2:6" x14ac:dyDescent="0.35">
      <c r="B34" s="103" t="s">
        <v>153</v>
      </c>
      <c r="C34" s="170">
        <v>0.15</v>
      </c>
      <c r="D34" s="170"/>
      <c r="E34" s="336"/>
      <c r="F34" s="336"/>
    </row>
    <row r="36" spans="2:6" ht="13.15" x14ac:dyDescent="0.4">
      <c r="B36" s="164" t="s">
        <v>120</v>
      </c>
      <c r="E36" s="164" t="s">
        <v>155</v>
      </c>
      <c r="F36" s="164"/>
    </row>
    <row r="37" spans="2:6" x14ac:dyDescent="0.35">
      <c r="B37" s="156" t="s">
        <v>139</v>
      </c>
      <c r="C37" s="171">
        <f>C18</f>
        <v>10</v>
      </c>
      <c r="D37" s="168"/>
      <c r="E37" s="336"/>
      <c r="F37" s="336"/>
    </row>
    <row r="38" spans="2:6" x14ac:dyDescent="0.35">
      <c r="B38" s="122" t="s">
        <v>140</v>
      </c>
      <c r="C38" s="169">
        <v>0.06</v>
      </c>
      <c r="D38" s="169"/>
      <c r="E38" s="336"/>
      <c r="F38" s="336"/>
    </row>
    <row r="39" spans="2:6" x14ac:dyDescent="0.35">
      <c r="B39" s="103" t="s">
        <v>119</v>
      </c>
      <c r="C39" s="165">
        <f>Valuation_Model!E75</f>
        <v>2.7098279393766536</v>
      </c>
      <c r="D39" t="str">
        <f>Market_currency</f>
        <v>HKD</v>
      </c>
      <c r="E39" s="336"/>
      <c r="F39" s="336"/>
    </row>
    <row r="40" spans="2:6" x14ac:dyDescent="0.35">
      <c r="B40" s="103" t="s">
        <v>153</v>
      </c>
      <c r="C40" s="172">
        <f>1-C28-C34</f>
        <v>0.25</v>
      </c>
      <c r="D40" s="170"/>
      <c r="E40" s="336"/>
      <c r="F40" s="336"/>
    </row>
    <row r="42" spans="2:6" ht="13.15" x14ac:dyDescent="0.4">
      <c r="B42" s="103" t="s">
        <v>126</v>
      </c>
      <c r="C42" s="159">
        <f>C27*C28+C33*C34+C39*C40</f>
        <v>2.5900932388757152</v>
      </c>
      <c r="D42" t="str">
        <f>Market_currency</f>
        <v>HKD</v>
      </c>
    </row>
    <row r="44" spans="2:6" ht="13.9" x14ac:dyDescent="0.45">
      <c r="B44" s="36" t="s">
        <v>167</v>
      </c>
      <c r="C44" s="37"/>
      <c r="D44" s="37"/>
      <c r="E44" s="37"/>
      <c r="F44" s="37"/>
    </row>
    <row r="45" spans="2:6" ht="13.15" x14ac:dyDescent="0.4">
      <c r="B45" s="112" t="s">
        <v>157</v>
      </c>
    </row>
    <row r="46" spans="2:6" x14ac:dyDescent="0.35">
      <c r="B46" s="156" t="s">
        <v>139</v>
      </c>
      <c r="C46" s="154">
        <v>15</v>
      </c>
      <c r="E46" s="103"/>
      <c r="F46" s="103"/>
    </row>
    <row r="47" spans="2:6" ht="13.15" x14ac:dyDescent="0.4">
      <c r="B47" s="164"/>
      <c r="E47" s="164"/>
      <c r="F47" s="164"/>
    </row>
    <row r="48" spans="2:6" ht="13.15" x14ac:dyDescent="0.4">
      <c r="B48" s="164" t="s">
        <v>171</v>
      </c>
      <c r="E48" s="164" t="s">
        <v>155</v>
      </c>
      <c r="F48" s="164"/>
    </row>
    <row r="49" spans="2:6" ht="12.75" customHeight="1" x14ac:dyDescent="0.35">
      <c r="B49" s="156" t="s">
        <v>139</v>
      </c>
      <c r="C49" s="171">
        <f>C46</f>
        <v>15</v>
      </c>
      <c r="D49" s="168"/>
      <c r="E49" s="336"/>
      <c r="F49" s="336"/>
    </row>
    <row r="50" spans="2:6" x14ac:dyDescent="0.35">
      <c r="B50" s="122" t="s">
        <v>140</v>
      </c>
      <c r="C50" s="169">
        <v>-0.1</v>
      </c>
      <c r="D50" s="169"/>
      <c r="E50" s="336"/>
      <c r="F50" s="336"/>
    </row>
    <row r="51" spans="2:6" x14ac:dyDescent="0.35">
      <c r="B51" s="103" t="s">
        <v>119</v>
      </c>
      <c r="C51" s="165">
        <f>Valuation_Model!E78</f>
        <v>2.2606526307209904</v>
      </c>
      <c r="D51" t="str">
        <f>Market_currency</f>
        <v>HKD</v>
      </c>
      <c r="E51" s="336"/>
      <c r="F51" s="336"/>
    </row>
    <row r="52" spans="2:6" x14ac:dyDescent="0.35">
      <c r="B52" s="103" t="s">
        <v>153</v>
      </c>
      <c r="C52" s="170">
        <v>0.1</v>
      </c>
      <c r="D52" s="170"/>
      <c r="E52" s="336"/>
      <c r="F52" s="336"/>
    </row>
    <row r="54" spans="2:6" ht="13.15" x14ac:dyDescent="0.4">
      <c r="B54" s="164" t="s">
        <v>357</v>
      </c>
      <c r="E54" s="164" t="s">
        <v>155</v>
      </c>
      <c r="F54" s="164"/>
    </row>
    <row r="55" spans="2:6" x14ac:dyDescent="0.35">
      <c r="B55" s="156" t="s">
        <v>139</v>
      </c>
      <c r="C55" s="171">
        <f>C46</f>
        <v>15</v>
      </c>
      <c r="D55" s="168"/>
      <c r="E55" s="336"/>
      <c r="F55" s="336"/>
    </row>
    <row r="56" spans="2:6" x14ac:dyDescent="0.35">
      <c r="B56" s="122" t="s">
        <v>140</v>
      </c>
      <c r="C56" s="169">
        <v>0.1</v>
      </c>
      <c r="D56" s="169"/>
      <c r="E56" s="336"/>
      <c r="F56" s="336"/>
    </row>
    <row r="57" spans="2:6" x14ac:dyDescent="0.35">
      <c r="B57" s="103" t="s">
        <v>119</v>
      </c>
      <c r="C57" s="165">
        <f>Valuation_Model!E74</f>
        <v>3.1196111330432204</v>
      </c>
      <c r="D57" t="str">
        <f>Market_currency</f>
        <v>HKD</v>
      </c>
      <c r="E57" s="336"/>
      <c r="F57" s="336"/>
    </row>
    <row r="58" spans="2:6" x14ac:dyDescent="0.35">
      <c r="B58" s="103" t="s">
        <v>153</v>
      </c>
      <c r="C58" s="170">
        <v>0.05</v>
      </c>
      <c r="D58" s="170"/>
      <c r="E58" s="336"/>
      <c r="F58" s="336"/>
    </row>
    <row r="60" spans="2:6" ht="13.15" x14ac:dyDescent="0.4">
      <c r="B60" s="103" t="s">
        <v>126</v>
      </c>
      <c r="C60" s="159">
        <f>C51*C52+C57*C58+C42*(1-C52-C58)</f>
        <v>2.5836250727686179</v>
      </c>
      <c r="D60" t="str">
        <f>Market_currency</f>
        <v>HKD</v>
      </c>
      <c r="E60" s="103" t="s">
        <v>332</v>
      </c>
      <c r="F60" s="324">
        <v>3</v>
      </c>
    </row>
    <row r="62" spans="2:6" ht="13.9" x14ac:dyDescent="0.45">
      <c r="B62" s="36" t="s">
        <v>318</v>
      </c>
      <c r="C62" s="37"/>
      <c r="D62" s="37"/>
      <c r="E62" s="37"/>
      <c r="F62" s="37"/>
    </row>
    <row r="63" spans="2:6" ht="13.15" x14ac:dyDescent="0.4">
      <c r="B63" s="112" t="s">
        <v>340</v>
      </c>
      <c r="E63" s="291" t="s">
        <v>350</v>
      </c>
    </row>
    <row r="64" spans="2:6" x14ac:dyDescent="0.35">
      <c r="B64" s="156" t="s">
        <v>139</v>
      </c>
      <c r="C64" s="171">
        <v>10</v>
      </c>
      <c r="D64" s="154"/>
      <c r="E64" s="290" t="s">
        <v>351</v>
      </c>
    </row>
    <row r="65" spans="2:6" x14ac:dyDescent="0.35">
      <c r="B65" s="122" t="s">
        <v>140</v>
      </c>
      <c r="C65" s="155">
        <v>1.8222579123958901E-2</v>
      </c>
      <c r="D65" s="155"/>
      <c r="E65" s="290" t="s">
        <v>352</v>
      </c>
    </row>
    <row r="66" spans="2:6" x14ac:dyDescent="0.35">
      <c r="B66" s="103" t="s">
        <v>108</v>
      </c>
      <c r="C66" s="165">
        <f>Valuation_Model!C18</f>
        <v>2.5822507355943083</v>
      </c>
      <c r="D66" s="165" t="str">
        <f>Market_currency</f>
        <v>HKD</v>
      </c>
      <c r="E66" s="290" t="s">
        <v>353</v>
      </c>
    </row>
    <row r="68" spans="2:6" ht="13.15" x14ac:dyDescent="0.4">
      <c r="B68" s="112" t="s">
        <v>327</v>
      </c>
      <c r="E68" s="291" t="s">
        <v>354</v>
      </c>
    </row>
    <row r="69" spans="2:6" x14ac:dyDescent="0.35">
      <c r="B69" s="103" t="s">
        <v>341</v>
      </c>
      <c r="C69" s="281" t="str">
        <f>IF(C60&lt;C22,"Y","N")</f>
        <v>N</v>
      </c>
      <c r="E69" s="138"/>
    </row>
    <row r="70" spans="2:6" x14ac:dyDescent="0.35">
      <c r="B70" s="103" t="s">
        <v>329</v>
      </c>
      <c r="C70" s="281" t="str">
        <f>IF(C69="Y","N",IF(C65&gt;8%,"N","Y"))</f>
        <v>Y</v>
      </c>
      <c r="E70" s="290" t="s">
        <v>330</v>
      </c>
    </row>
    <row r="71" spans="2:6" x14ac:dyDescent="0.35">
      <c r="B71" s="103" t="s">
        <v>328</v>
      </c>
      <c r="C71" s="281" t="str">
        <f>IF(C65&gt;8%,"Y","N")</f>
        <v>N</v>
      </c>
      <c r="E71" s="290"/>
    </row>
    <row r="72" spans="2:6" x14ac:dyDescent="0.35">
      <c r="B72" s="103" t="s">
        <v>319</v>
      </c>
      <c r="C72" s="280" t="str">
        <f>IF(E72&gt;50%,"Y","N")</f>
        <v>Y</v>
      </c>
      <c r="E72" s="138" t="str">
        <f>"Non-FCF Value is "&amp;ROUND(BS!D89/C60*100,0)&amp;"% of the Expected Equity Value"</f>
        <v>Non-FCF Value is 68% of the Expected Equity Value</v>
      </c>
    </row>
    <row r="74" spans="2:6" ht="13.9" x14ac:dyDescent="0.45">
      <c r="B74" s="36" t="s">
        <v>133</v>
      </c>
      <c r="C74" s="37"/>
      <c r="D74" s="37"/>
      <c r="E74" s="37"/>
      <c r="F74" s="37"/>
    </row>
    <row r="75" spans="2:6" ht="13.9" x14ac:dyDescent="0.45">
      <c r="B75" s="112" t="s">
        <v>131</v>
      </c>
      <c r="E75" s="325" t="s">
        <v>366</v>
      </c>
      <c r="F75" s="323"/>
    </row>
    <row r="76" spans="2:6" ht="13.9" x14ac:dyDescent="0.45">
      <c r="B76" s="283" t="s">
        <v>333</v>
      </c>
      <c r="C76" s="282">
        <f>F60</f>
        <v>3</v>
      </c>
      <c r="D76" s="138"/>
      <c r="E76" s="326" t="s">
        <v>367</v>
      </c>
      <c r="F76" s="323" t="s">
        <v>368</v>
      </c>
    </row>
    <row r="77" spans="2:6" ht="13.9" x14ac:dyDescent="0.45">
      <c r="B77" s="103" t="s">
        <v>117</v>
      </c>
      <c r="C77" s="178">
        <f>Normalized_FCF!C89</f>
        <v>0.1178</v>
      </c>
      <c r="D77" t="str">
        <f>Market_currency</f>
        <v>HKD</v>
      </c>
      <c r="E77" s="327" t="s">
        <v>367</v>
      </c>
      <c r="F77" s="323" t="s">
        <v>369</v>
      </c>
    </row>
    <row r="78" spans="2:6" ht="13.9" x14ac:dyDescent="0.45">
      <c r="E78" s="328" t="s">
        <v>367</v>
      </c>
      <c r="F78" s="323" t="s">
        <v>370</v>
      </c>
    </row>
    <row r="79" spans="2:6" ht="13.15" x14ac:dyDescent="0.4">
      <c r="B79" s="112" t="s">
        <v>337</v>
      </c>
    </row>
    <row r="80" spans="2:6" x14ac:dyDescent="0.35">
      <c r="B80" s="152" t="s">
        <v>335</v>
      </c>
      <c r="C80" s="172">
        <f>Thesis!C117</f>
        <v>0.2</v>
      </c>
    </row>
    <row r="81" spans="2:6" x14ac:dyDescent="0.35">
      <c r="B81" s="103" t="s">
        <v>127</v>
      </c>
      <c r="C81" s="120">
        <f>PV(C80, C76, -C77, 0)</f>
        <v>0.24814351851851849</v>
      </c>
      <c r="D81" s="120"/>
      <c r="E81" s="103"/>
      <c r="F81" s="103"/>
    </row>
    <row r="82" spans="2:6" x14ac:dyDescent="0.35">
      <c r="B82" s="103" t="s">
        <v>128</v>
      </c>
      <c r="C82" s="120">
        <f>C60/(1+C80)^C76</f>
        <v>1.4951533985929502</v>
      </c>
      <c r="D82" s="120"/>
    </row>
    <row r="83" spans="2:6" ht="13.15" x14ac:dyDescent="0.4">
      <c r="B83" s="114" t="s">
        <v>107</v>
      </c>
      <c r="C83" s="115">
        <f>C81+C82</f>
        <v>1.7432969171114687</v>
      </c>
      <c r="D83" t="str">
        <f>Market_currency</f>
        <v>HKD</v>
      </c>
      <c r="E83" s="150" t="s">
        <v>132</v>
      </c>
      <c r="F83" s="270">
        <f>(C83/C60-1)</f>
        <v>-0.32525158720365399</v>
      </c>
    </row>
    <row r="84" spans="2:6" x14ac:dyDescent="0.35">
      <c r="E84" s="124"/>
    </row>
    <row r="85" spans="2:6" ht="13.15" x14ac:dyDescent="0.4">
      <c r="B85" s="112" t="s">
        <v>338</v>
      </c>
    </row>
    <row r="86" spans="2:6" x14ac:dyDescent="0.35">
      <c r="B86" s="152" t="s">
        <v>336</v>
      </c>
      <c r="C86" s="274">
        <f>Market_Price</f>
        <v>2.2999999999999998</v>
      </c>
      <c r="D86" t="str">
        <f>Market_currency</f>
        <v>HKD</v>
      </c>
    </row>
    <row r="87" spans="2:6" ht="13.15" x14ac:dyDescent="0.4">
      <c r="B87" s="103" t="s">
        <v>334</v>
      </c>
      <c r="C87" s="273">
        <f ca="1">IRR(OFFSET($I$3, 0, 0, $C$76 + 1, 1))</f>
        <v>8.8876330035536411E-2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