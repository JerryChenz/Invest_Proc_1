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A667453-E58A-4C91-95F5-23F219E7200C}" xr6:coauthVersionLast="47" xr6:coauthVersionMax="47" xr10:uidLastSave="{00000000-0000-0000-0000-000000000000}"/>
  <bookViews>
    <workbookView xWindow="33720" yWindow="-120" windowWidth="29040" windowHeight="15720" firstSheet="1"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E85" i="2"/>
  <c r="E86" i="2"/>
  <c r="C83" i="2"/>
  <c r="C78" i="2"/>
  <c r="C66" i="2"/>
  <c r="C67" i="2"/>
  <c r="C68" i="2"/>
  <c r="C53" i="2"/>
  <c r="C54" i="2"/>
  <c r="C33" i="2"/>
  <c r="C34" i="2"/>
  <c r="C28" i="2"/>
  <c r="C29" i="2"/>
  <c r="C4" i="2"/>
  <c r="C19" i="3"/>
  <c r="G4" i="3"/>
  <c r="C4" i="3"/>
  <c r="C6" i="4"/>
  <c r="C25" i="4"/>
  <c r="D25" i="4"/>
  <c r="E25" i="4"/>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C70"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D70"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<sst xmlns="http://schemas.openxmlformats.org/spreadsheetml/2006/main" count="589" uniqueCount="417">
  <si>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</si>
  <si>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</si>
  <si>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</si>
  <si>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</si>
  <si>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</si>
  <si>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</si>
  <si>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</si>
  <si>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</si>
  <si>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</si>
  <si>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</si>
  <si>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</si>
  <si>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</si>
  <si>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</si>
  <si>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</si>
  <si>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</si>
  <si>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</si>
  <si>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</si>
  <si>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</si>
  <si>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</si>
  <si>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</si>
  <si>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</si>
  <si>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</si>
  <si>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</si>
  <si>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</si>
  <si>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</si>
  <si>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</si>
  <si>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</si>
  <si>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</si>
  <si>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</si>
  <si>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</si>
  <si>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</si>
  <si>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</si>
  <si>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</si>
  <si>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</si>
  <si>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</si>
  <si>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</si>
  <si>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</si>
  <si>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</si>
  <si>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</si>
  <si>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</si>
  <si>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</si>
  <si>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</si>
  <si>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</si>
  <si>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</si>
  <si>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</si>
  <si>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</si>
  <si>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</si>
  <si>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</si>
  <si>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</si>
  <si>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</si>
  <si>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</si>
  <si>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</si>
  <si>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</si>
  <si>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</si>
  <si>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</si>
  <si>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</si>
  <si>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</si>
  <si>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</si>
  <si>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</si>
  <si>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</si>
  <si>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</si>
  <si>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</si>
  <si>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</si>
  <si>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</si>
  <si>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</si>
  <si>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</si>
  <si>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</si>
  <si>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</si>
  <si>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</si>
  <si>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</si>
  <si>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</si>
  <si>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</si>
  <si>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</si>
  <si>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</si>
  <si>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</si>
  <si>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</si>
  <si>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</si>
  <si>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</si>
  <si>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</si>
  <si>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</si>
  <si>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</si>
  <si>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</si>
  <si>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</si>
  <si>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</si>
  <si>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</si>
  <si>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</si>
  <si>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</si>
  <si>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</si>
  <si>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</si>
  <si>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</si>
  <si>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</si>
  <si>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</si>
  <si>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</si>
  <si>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</si>
  <si>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</si>
  <si>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</si>
  <si>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</si>
  <si>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</si>
  <si>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</si>
  <si>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</si>
  <si>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</si>
  <si>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</si>
  <si>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</si>
  <si>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</si>
  <si>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</si>
  <si>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</si>
  <si>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</si>
  <si>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</si>
  <si>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</si>
  <si>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</si>
  <si>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</si>
  <si>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</si>
  <si>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</si>
  <si>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</si>
  <si>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</si>
  <si>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</si>
  <si>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</si>
  <si>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</si>
  <si>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</si>
  <si>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</si>
  <si>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</si>
  <si>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</si>
  <si>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</si>
  <si>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</si>
  <si>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</si>
  <si>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</si>
  <si>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</si>
  <si>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</si>
  <si>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</si>
  <si>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</si>
  <si>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</si>
  <si>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</si>
  <si>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</si>
  <si>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</si>
  <si>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</si>
  <si>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</si>
  <si>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</si>
  <si>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</si>
  <si>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</si>
  <si>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</si>
  <si>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</si>
  <si>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</si>
  <si>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</si>
  <si>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</si>
  <si>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</si>
  <si>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</si>
  <si>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</si>
  <si>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</si>
  <si>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</si>
  <si>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</si>
  <si>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</si>
  <si>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</si>
  <si>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</si>
  <si>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</si>
  <si>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</si>
  <si>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</si>
  <si>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</si>
  <si>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</si>
  <si>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</si>
  <si>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</si>
  <si>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</si>
  <si>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</si>
  <si>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</si>
  <si>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</si>
  <si>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</si>
  <si>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</si>
  <si>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</si>
  <si>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</si>
  <si>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</si>
  <si>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</si>
  <si>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</si>
  <si>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</si>
  <si>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</si>
  <si>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</si>
  <si>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</si>
  <si>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</si>
  <si>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</si>
  <si>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</si>
  <si>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</si>
  <si>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</si>
  <si>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</si>
  <si>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</si>
  <si>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</si>
  <si>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</si>
  <si>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</si>
  <si>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</si>
  <si>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</si>
  <si>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</si>
  <si>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</si>
  <si>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</si>
  <si>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</si>
  <si>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</si>
  <si>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</si>
  <si>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</si>
  <si>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</si>
  <si>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</si>
  <si>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</si>
  <si>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</si>
  <si>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</si>
  <si>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</si>
  <si>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</si>
  <si>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</si>
  <si>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</si>
  <si>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</si>
  <si>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</si>
  <si>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</si>
  <si>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</si>
  <si>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</si>
  <si>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</si>
  <si>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</si>
  <si>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</si>
  <si>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</si>
  <si>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</si>
  <si>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</si>
  <si>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</si>
  <si>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</si>
  <si>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</si>
  <si>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</si>
  <si>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</si>
  <si>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</si>
  <si>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</si>
  <si>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</si>
  <si>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</si>
  <si>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</si>
  <si>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</si>
  <si>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</si>
  <si>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</si>
  <si>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</si>
  <si>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</si>
  <si>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</si>
  <si>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</si>
  <si>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</si>
  <si>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</si>
  <si>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</si>
  <si>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</si>
  <si>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</si>
  <si>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</si>
  <si>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</si>
  <si>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</si>
  <si>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</si>
  <si>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</si>
  <si>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</si>
  <si>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</si>
  <si>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</si>
  <si>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</si>
  <si>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</si>
  <si>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</si>
  <si>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</si>
  <si>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</si>
  <si>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</si>
  <si>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</si>
  <si>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</si>
  <si>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</si>
  <si>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</si>
  <si>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</si>
  <si>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</si>
  <si>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</si>
  <si>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</si>
  <si>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</si>
  <si>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</si>
  <si>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</si>
  <si>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</si>
  <si>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</si>
  <si>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</si>
  <si>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</si>
  <si>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</si>
  <si>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</si>
  <si>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</si>
  <si>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</si>
  <si>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</si>
  <si>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</si>
  <si>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</si>
  <si>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</si>
  <si>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</si>
  <si>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</si>
  <si>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</si>
  <si>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</si>
  <si>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</si>
  <si>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</si>
  <si>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</si>
  <si>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</si>
  <si>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</si>
  <si>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</si>
  <si>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</si>
  <si>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</si>
  <si>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</si>
  <si>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</si>
  <si>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</si>
  <si>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</si>
  <si>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</si>
  <si>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</si>
  <si>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</si>
  <si>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</si>
  <si>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</si>
  <si>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</si>
  <si>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</si>
  <si>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</si>
  <si>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</si>
  <si>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</si>
  <si>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</si>
  <si>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</si>
  <si>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</si>
  <si>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</si>
  <si>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</si>
  <si>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</si>
  <si>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</si>
  <si>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</si>
  <si>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</si>
  <si>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</si>
  <si>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</si>
  <si>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</si>
  <si>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</si>
  <si>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</si>
  <si>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</si>
  <si>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</si>
  <si>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</si>
  <si>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</si>
  <si>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</si>
  <si>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</si>
  <si>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</si>
  <si>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</si>
  <si>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</si>
  <si>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</si>
  <si>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</si>
  <si>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</si>
  <si>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</si>
  <si>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</si>
  <si>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</si>
  <si>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</si>
  <si>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</si>
  <si>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</si>
  <si>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</si>
  <si>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</si>
  <si>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</si>
  <si>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</si>
  <si>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</si>
  <si>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</si>
  <si>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</si>
  <si>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</si>
  <si>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</si>
  <si>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</si>
  <si>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</si>
  <si>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</si>
  <si>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</si>
  <si>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</si>
  <si>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</si>
  <si>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</si>
  <si>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</si>
  <si>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</si>
  <si>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</si>
  <si>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</si>
  <si>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</si>
  <si>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</si>
  <si>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</si>
  <si>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</si>
  <si>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</si>
  <si>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</si>
  <si>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</si>
  <si>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</si>
  <si>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</si>
  <si>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</si>
  <si>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</si>
  <si>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</si>
  <si>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</si>
  <si>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</si>
  <si>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</si>
  <si>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</si>
  <si>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</si>
  <si>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</si>
  <si>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</si>
  <si>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</si>
  <si>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</si>
  <si>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</si>
  <si>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</si>
  <si>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</si>
  <si>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</si>
  <si>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</si>
  <si>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</si>
  <si>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</si>
  <si>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</si>
  <si>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</si>
  <si>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</si>
  <si>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</si>
  <si>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</si>
  <si>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</si>
  <si>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</si>
  <si>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</si>
  <si>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</si>
  <si>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</si>
  <si>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</si>
  <si>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</si>
  <si>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</si>
  <si>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</si>
  <si>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</si>
  <si>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</si>
  <si>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</si>
  <si>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</si>
  <si>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</si>
  <si>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</si>
  <si>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</si>
  <si>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</si>
  <si>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</si>
  <si>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</si>
  <si>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</si>
  <si>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</si>
  <si>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</si>
  <si>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</si>
  <si>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</si>
  <si>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</si>
  <si>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</si>
  <si>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</si>
  <si>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</si>
  <si>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朝云集团</t>
    <phoneticPr fontId="2" type="noConversion"/>
  </si>
  <si>
    <t>6601.HK</t>
    <phoneticPr fontId="2" type="noConversion"/>
  </si>
  <si>
    <t>CNS_04</t>
    <phoneticPr fontId="2" type="noConversion"/>
  </si>
  <si>
    <t>Latest Asset Value</t>
  </si>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</sst>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3" t="s">
        <v>412</v>
      </c>
      <c r="D5" s="49" t="s">
        <v>413</v>
      </c>
    </row>
    <row r="6" spans="1:10" x14ac:dyDescent="0.35">
      <c r="B6" s="4" t="s">
        <v>96</v>
      </c>
      <c r="C6" s="50">
        <v>2.13</v>
      </c>
      <c r="D6" s="48" t="s">
        <v>41</v>
      </c>
      <c r="E6" s="48"/>
    </row>
    <row r="7" spans="1:10" x14ac:dyDescent="0.35">
      <c r="B7" s="4" t="s">
        <v>0</v>
      </c>
      <c r="C7" s="51">
        <v>1333333500</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2840.0003550000001</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1.0614312000000001</v>
      </c>
      <c r="D17" s="32" t="str">
        <f>IF(C16=D6,D6,C16&amp;"/"&amp;D6)</f>
        <v>CNY/HKD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1.5985673372765861</v>
      </c>
      <c r="D20" s="1" t="s">
        <v>319</v>
      </c>
      <c r="E20" s="330">
        <v>3</v>
      </c>
    </row>
    <row r="21" spans="1:6" x14ac:dyDescent="0.35">
      <c r="B21" s="1" t="s">
        <v>374</v>
      </c>
      <c r="C21" s="280">
        <f ca="1">Scenarios!C87</f>
        <v>0.1302840611640077</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353</v>
      </c>
      <c r="C40" s="322">
        <f>Normalized_FCF!C48</f>
        <v>25084.371003923323</v>
      </c>
      <c r="D40" s="1" t="str">
        <f>Reporting_currency</f>
        <v>CNY</v>
      </c>
      <c r="E40" s="321"/>
      <c r="F40" s="321"/>
    </row>
    <row r="41" spans="2:6" x14ac:dyDescent="0.35">
      <c r="B41" s="47" t="s">
        <v>354</v>
      </c>
      <c r="C41" s="322">
        <f>Normalized_FCF!C47</f>
        <v>-1880</v>
      </c>
      <c r="D41" s="1" t="str">
        <f>Reporting_currency</f>
        <v>CNY</v>
      </c>
      <c r="E41" s="321"/>
      <c r="F41" s="321"/>
    </row>
    <row r="42" spans="2:6" x14ac:dyDescent="0.35">
      <c r="B42" s="47" t="s">
        <v>240</v>
      </c>
      <c r="C42" s="188">
        <f>Normalized_FCF!C12</f>
        <v>23204.371003923323</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9" t="s">
        <v>243</v>
      </c>
      <c r="C47" s="339"/>
      <c r="D47" s="339"/>
      <c r="E47" s="339"/>
      <c r="F47" s="339"/>
    </row>
    <row r="48" spans="2:6" x14ac:dyDescent="0.35">
      <c r="B48" s="47" t="s">
        <v>241</v>
      </c>
      <c r="C48" s="188">
        <f>Normalized_FCF!C14</f>
        <v>-34245.325336644622</v>
      </c>
      <c r="D48" s="1" t="str">
        <f>Reporting_currency</f>
        <v>CNY</v>
      </c>
    </row>
    <row r="50" spans="1:6" x14ac:dyDescent="0.35">
      <c r="B50" s="339" t="s">
        <v>351</v>
      </c>
      <c r="C50" s="340"/>
      <c r="D50" s="340"/>
      <c r="E50" s="340"/>
      <c r="F50" s="340"/>
    </row>
    <row r="51" spans="1:6" x14ac:dyDescent="0.35">
      <c r="B51" s="47" t="s">
        <v>244</v>
      </c>
      <c r="C51" s="1">
        <f>Normalized_FCF!C17</f>
        <v>0</v>
      </c>
      <c r="D51" s="1" t="str">
        <f>Reporting_currency</f>
        <v>CNY</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169796.37100392333</v>
      </c>
      <c r="D56" s="1" t="str">
        <f>Reporting_currency</f>
        <v>CNY</v>
      </c>
    </row>
    <row r="57" spans="1:6" x14ac:dyDescent="0.35">
      <c r="B57" s="47" t="s">
        <v>250</v>
      </c>
      <c r="C57" s="188">
        <f>Normalized_FCF!C19</f>
        <v>102735.97600993386</v>
      </c>
      <c r="D57" s="1" t="str">
        <f>Reporting_currency</f>
        <v>CNY</v>
      </c>
    </row>
    <row r="58" spans="1:6" x14ac:dyDescent="0.35">
      <c r="B58" s="254" t="s">
        <v>406</v>
      </c>
      <c r="C58" s="92">
        <f>Normalized_FCF!C125</f>
        <v>3.8396886150880542E-2</v>
      </c>
    </row>
    <row r="59" spans="1:6" x14ac:dyDescent="0.35">
      <c r="B59" s="254" t="s">
        <v>320</v>
      </c>
      <c r="C59" s="92">
        <f>Normalized_FCF!C93</f>
        <v>5.3962042292674567E-2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1.0223170937671944</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33999</v>
      </c>
      <c r="D86" s="1" t="str">
        <f>Reporting_currency</f>
        <v>CNY</v>
      </c>
    </row>
    <row r="87" spans="2:6" x14ac:dyDescent="0.35">
      <c r="B87" s="47" t="s">
        <v>288</v>
      </c>
      <c r="C87" s="248">
        <f>C86*C28*Exchange_Rate/Common_Shares</f>
        <v>2.7065696143387986E-2</v>
      </c>
      <c r="D87" s="1" t="str">
        <f>Market_currency</f>
        <v>HKD</v>
      </c>
    </row>
    <row r="89" spans="2:6" x14ac:dyDescent="0.35">
      <c r="B89" s="1" t="s">
        <v>256</v>
      </c>
    </row>
    <row r="90" spans="2:6" x14ac:dyDescent="0.35">
      <c r="B90" s="47" t="s">
        <v>267</v>
      </c>
      <c r="C90" s="188">
        <f>BS!C66</f>
        <v>2707640</v>
      </c>
      <c r="D90" s="1" t="str">
        <f>Reporting_currency</f>
        <v>CNY</v>
      </c>
    </row>
    <row r="91" spans="2:6" x14ac:dyDescent="0.35">
      <c r="B91" s="47" t="s">
        <v>269</v>
      </c>
      <c r="C91" s="188">
        <f>Valuation_Model!C8</f>
        <v>1874180.5222041337</v>
      </c>
      <c r="D91" s="1" t="str">
        <f>Reporting_currency</f>
        <v>CNY</v>
      </c>
    </row>
    <row r="92" spans="2:6" x14ac:dyDescent="0.35">
      <c r="B92" s="47" t="s">
        <v>289</v>
      </c>
      <c r="C92" s="248">
        <f>C91*C28*Exchange_Rate/Common_Shares</f>
        <v>1.4919850740266862</v>
      </c>
      <c r="D92" s="1" t="str">
        <f>Market_currency</f>
        <v>HKD</v>
      </c>
    </row>
    <row r="94" spans="2:6" x14ac:dyDescent="0.35">
      <c r="B94" s="1" t="s">
        <v>258</v>
      </c>
    </row>
    <row r="95" spans="2:6" x14ac:dyDescent="0.35">
      <c r="B95" s="47" t="s">
        <v>259</v>
      </c>
      <c r="C95" s="188">
        <f>Valuation_Model!C9</f>
        <v>229590.09999999998</v>
      </c>
      <c r="D95" s="1" t="str">
        <f>Reporting_currency</f>
        <v>CNY</v>
      </c>
    </row>
    <row r="96" spans="2:6" x14ac:dyDescent="0.35">
      <c r="B96" s="47" t="s">
        <v>290</v>
      </c>
      <c r="C96" s="248">
        <f>C95*C28*Exchange_Rate/Common_Shares</f>
        <v>0.18277054866702142</v>
      </c>
      <c r="D96" s="1" t="str">
        <f>Market_currency</f>
        <v>HKD</v>
      </c>
    </row>
    <row r="98" spans="1:6" ht="24.4" customHeight="1" x14ac:dyDescent="0.35">
      <c r="B98" s="338" t="s">
        <v>382</v>
      </c>
      <c r="C98" s="338"/>
      <c r="D98" s="338"/>
      <c r="E98" s="338"/>
      <c r="F98" s="338"/>
    </row>
    <row r="100" spans="1:6" x14ac:dyDescent="0.35">
      <c r="B100" s="47" t="s">
        <v>286</v>
      </c>
      <c r="C100" s="248">
        <f>Valuation_Model!C12</f>
        <v>2.6700070203175144</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3.22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2.81 HKD</v>
      </c>
      <c r="F108" s="246">
        <f>Valuation_Model!F75</f>
        <v>0.17</v>
      </c>
    </row>
    <row r="109" spans="1:6" x14ac:dyDescent="0.35">
      <c r="B109" s="242" t="str">
        <f>Valuation_Model!B76</f>
        <v>Base</v>
      </c>
      <c r="C109" s="243">
        <f>Valuation_Model!C76</f>
        <v>0.02</v>
      </c>
      <c r="D109" s="244">
        <f>Valuation_Model!D76</f>
        <v>10</v>
      </c>
      <c r="E109" s="245" t="str">
        <f>ROUND(Valuation_Model!E76,2)&amp;" "&amp;Market_currency</f>
        <v>2.74 HKD</v>
      </c>
      <c r="F109" s="246">
        <f>Valuation_Model!F76</f>
        <v>0.51</v>
      </c>
    </row>
    <row r="110" spans="1:6" x14ac:dyDescent="0.35">
      <c r="B110" s="242" t="str">
        <f>Valuation_Model!B77</f>
        <v>Pessimistic</v>
      </c>
      <c r="C110" s="243">
        <f>Valuation_Model!C77</f>
        <v>-0.08</v>
      </c>
      <c r="D110" s="244">
        <f>Valuation_Model!D77</f>
        <v>10</v>
      </c>
      <c r="E110" s="245" t="str">
        <f>ROUND(Valuation_Model!E77,2)&amp;" "&amp;Market_currency</f>
        <v>2.46 HKD</v>
      </c>
      <c r="F110" s="246">
        <f>Valuation_Model!F77</f>
        <v>0.17</v>
      </c>
    </row>
    <row r="111" spans="1:6" x14ac:dyDescent="0.35">
      <c r="B111" s="242" t="str">
        <f>Valuation_Model!B78</f>
        <v>Devil's advocate</v>
      </c>
      <c r="C111" s="243">
        <f>Valuation_Model!C78</f>
        <v>-0.1</v>
      </c>
      <c r="D111" s="244">
        <f>Valuation_Model!D78</f>
        <v>15</v>
      </c>
      <c r="E111" s="245" t="str">
        <f>ROUND(Valuation_Model!E78,2)&amp;" "&amp;Market_currency</f>
        <v>2.32 HKD</v>
      </c>
      <c r="F111" s="246">
        <f>Valuation_Model!F78</f>
        <v>0.1</v>
      </c>
    </row>
    <row r="113" spans="1:6" x14ac:dyDescent="0.35">
      <c r="B113" s="235" t="s">
        <v>260</v>
      </c>
      <c r="C113" s="241">
        <f>Scenarios!C60</f>
        <v>2.6839963209253819</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0.11493915008339682</v>
      </c>
      <c r="D124" s="236" t="str">
        <f>Market_currency</f>
        <v>HKD</v>
      </c>
    </row>
    <row r="126" spans="1:6" x14ac:dyDescent="0.35">
      <c r="B126" s="234" t="s">
        <v>265</v>
      </c>
    </row>
    <row r="127" spans="1:6" x14ac:dyDescent="0.35">
      <c r="B127" s="236" t="str">
        <f>"PV("&amp;C122&amp;" yrs of Dividends)"</f>
        <v>PV(3 yrs of Dividends)</v>
      </c>
      <c r="C127" s="240">
        <f>Scenarios!C81</f>
        <v>0.22436122096279057</v>
      </c>
    </row>
    <row r="128" spans="1:6" x14ac:dyDescent="0.35">
      <c r="B128" s="236" t="str">
        <f>"+ PV(Equity Value realized at year "&amp;C122&amp;")"</f>
        <v>+ PV(Equity Value realized at year 3)</v>
      </c>
      <c r="C128" s="240">
        <f>Scenarios!C82</f>
        <v>1.3742061163137955</v>
      </c>
    </row>
    <row r="129" spans="1:6" x14ac:dyDescent="0.35">
      <c r="B129" s="80" t="s">
        <v>262</v>
      </c>
      <c r="C129" s="239">
        <f>Scenarios!C83</f>
        <v>1.5985673372765861</v>
      </c>
      <c r="D129" s="47" t="str">
        <f>Reporting_currency</f>
        <v>CNY</v>
      </c>
    </row>
    <row r="130" spans="1:6" x14ac:dyDescent="0.35">
      <c r="B130" s="238" t="s">
        <v>264</v>
      </c>
      <c r="C130" s="92">
        <f>Scenarios!F83</f>
        <v>0.40440777626497049</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0.11493915008339682</v>
      </c>
      <c r="D25" s="39">
        <f>(0.064+0.041)/Exchange_Rate</f>
        <v>9.8923039006202196E-2</v>
      </c>
      <c r="E25" s="39">
        <f>(0.022+0.0168)/Exchange_Rate</f>
        <v>3.6554418223244234E-2</v>
      </c>
      <c r="F25" s="39"/>
      <c r="G25" s="39"/>
      <c r="H25" s="39"/>
      <c r="I25" s="39"/>
      <c r="J25" s="39"/>
      <c r="K25" s="39"/>
      <c r="L25" s="39"/>
      <c r="M25" s="39"/>
    </row>
    <row r="27" spans="2:13" x14ac:dyDescent="0.35">
      <c r="B27" s="16" t="s">
        <v>28</v>
      </c>
      <c r="C27" s="97" t="s">
        <v>415</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0.11493915008339682</v>
      </c>
      <c r="D65" s="73">
        <f t="shared" ref="D65:M65" si="33">IF(D$4="","",D25)</f>
        <v>9.8923039006202196E-2</v>
      </c>
      <c r="E65" s="73">
        <f t="shared" si="33"/>
        <v>3.6554418223244234E-2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3160474</v>
      </c>
      <c r="D46" s="188">
        <f>H29</f>
        <v>2331584.9000000004</v>
      </c>
      <c r="F46" s="283"/>
    </row>
    <row r="47" spans="2:8" ht="15" customHeight="1" x14ac:dyDescent="0.35">
      <c r="B47" s="1" t="str">
        <f>"Equity per share ("&amp;Market_currency&amp;")"</f>
        <v>Equity per share (HKD)</v>
      </c>
      <c r="C47" s="148">
        <f>C46*H1/Common_Shares*Exchange_Rate</f>
        <v>2.5159689682954793</v>
      </c>
      <c r="D47" s="148">
        <f>D46*H1/Common_Shares*Exchange_Rate</f>
        <v>1.8561124867175998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-5.2144077122608828E-4</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2707640</v>
      </c>
      <c r="D66" s="188">
        <f>C66-D75</f>
        <v>1874180.5222041337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-151289.3516056434</v>
      </c>
      <c r="D73" s="188">
        <f>(Normalized_FCF!C25+Normalized_FCF!C35-Normalized_FCF!C91)/12</f>
        <v>-138909.91296597771</v>
      </c>
      <c r="F73" s="1" t="s">
        <v>364</v>
      </c>
    </row>
    <row r="74" spans="2:6" ht="15" customHeight="1" x14ac:dyDescent="0.35">
      <c r="B74" s="288" t="s">
        <v>334</v>
      </c>
      <c r="C74" s="289">
        <f>-$C$66/C73</f>
        <v>17.897095673050657</v>
      </c>
      <c r="D74" s="289">
        <f>-$C$66/D73</f>
        <v>19.492057421871429</v>
      </c>
      <c r="F74" s="283" t="s">
        <v>331</v>
      </c>
    </row>
    <row r="75" spans="2:6" ht="15" customHeight="1" x14ac:dyDescent="0.35">
      <c r="B75" s="80" t="s">
        <v>332</v>
      </c>
      <c r="C75" s="293"/>
      <c r="D75" s="292">
        <f>MAX(-D73*D76,G5)</f>
        <v>833459.47779586632</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-36087.599368800002</v>
      </c>
      <c r="D86" s="248">
        <f>C86*$H$1/Common_Shares</f>
        <v>-2.7065696143387982E-2</v>
      </c>
      <c r="E86" s="269" t="str">
        <f>Market_currency</f>
        <v>HKD</v>
      </c>
    </row>
    <row r="87" spans="2:8" ht="15" customHeight="1" x14ac:dyDescent="0.35">
      <c r="B87" s="267" t="s">
        <v>298</v>
      </c>
      <c r="C87" s="188">
        <f>Valuation_Model!C8*Exchange_Rate</f>
        <v>1989313.6806997606</v>
      </c>
      <c r="D87" s="248">
        <f>C87*$H$1/Common_Shares</f>
        <v>1.4919850740266862</v>
      </c>
      <c r="E87" s="269" t="str">
        <f>Market_currency</f>
        <v>HKD</v>
      </c>
    </row>
    <row r="88" spans="2:8" ht="15" customHeight="1" x14ac:dyDescent="0.35">
      <c r="B88" s="268" t="s">
        <v>191</v>
      </c>
      <c r="C88" s="188">
        <f>Valuation_Model!C9*Exchange_Rate</f>
        <v>243694.09535111999</v>
      </c>
      <c r="D88" s="248">
        <f>C88*$H$1/Common_Shares</f>
        <v>0.18277054866702142</v>
      </c>
      <c r="E88" s="269" t="str">
        <f>Market_currency</f>
        <v>HKD</v>
      </c>
    </row>
    <row r="89" spans="2:8" ht="15" customHeight="1" x14ac:dyDescent="0.35">
      <c r="B89" s="80" t="s">
        <v>302</v>
      </c>
      <c r="C89" s="187">
        <f>SUM(C86:C88)</f>
        <v>2196920.1766820806</v>
      </c>
      <c r="D89" s="271">
        <f>SUM(D86:D88)</f>
        <v>1.6476899265503198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23204.371003923323</v>
      </c>
      <c r="E12" s="302"/>
      <c r="G12" s="191">
        <f>G50</f>
        <v>23204.371003923323</v>
      </c>
      <c r="H12" s="191">
        <f t="shared" ref="H12:Q12" si="6">H50</f>
        <v>21715.484273656733</v>
      </c>
      <c r="I12" s="191">
        <f t="shared" si="6"/>
        <v>13096.532034555015</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136981.30134657849</v>
      </c>
      <c r="E13" s="302"/>
      <c r="G13" s="184">
        <f>IF(G$4="","",SUM(G8:G12))</f>
        <v>217066.37100392333</v>
      </c>
      <c r="H13" s="184">
        <f t="shared" ref="H13:Q13" si="7">IF(H$4="","",SUM(H8:H12))</f>
        <v>147531.48427365674</v>
      </c>
      <c r="I13" s="184">
        <f t="shared" si="7"/>
        <v>35794.532034555014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-34245.325336644622</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102735.97600993386</v>
      </c>
      <c r="D16" s="61"/>
      <c r="E16" s="310"/>
      <c r="F16" s="61"/>
      <c r="G16" s="184">
        <f>IF(G$4="","",SUM(G13:G15))</f>
        <v>169796.37100392333</v>
      </c>
      <c r="H16" s="184">
        <f t="shared" ref="H16:Q16" si="8">IF(H$4="","",SUM(H13:H15))</f>
        <v>103082.48427365674</v>
      </c>
      <c r="I16" s="184">
        <f t="shared" si="8"/>
        <v>14777.532034555014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102735.97600993386</v>
      </c>
      <c r="D19" s="27"/>
      <c r="E19" s="299"/>
      <c r="F19" s="27"/>
      <c r="G19" s="186">
        <f>IF(G$4="","",G16+G17)</f>
        <v>169796.37100392333</v>
      </c>
      <c r="H19" s="186">
        <f t="shared" ref="H19:Q19" si="9">IF(H$4="","",H16+H17)</f>
        <v>103082.48427365674</v>
      </c>
      <c r="I19" s="186">
        <f t="shared" si="9"/>
        <v>14777.532034555014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0.26102700924367433</v>
      </c>
      <c r="H43" s="6">
        <f t="shared" si="18"/>
        <v>0.35035217692005249</v>
      </c>
      <c r="I43" s="6">
        <f t="shared" si="18"/>
        <v>1.3746905165582639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25084.371003923323</v>
      </c>
      <c r="E48" s="302"/>
      <c r="G48" s="328">
        <f>IF(G$4="","",($C$48/$C$49)*G49)</f>
        <v>25084.371003923323</v>
      </c>
      <c r="H48" s="328">
        <f t="shared" ref="H48:Q48" si="19">IF(H$4="","",($C$48/$C$49)*H49)</f>
        <v>22718.484273656733</v>
      </c>
      <c r="I48" s="328">
        <f t="shared" si="19"/>
        <v>13959.532034555015</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23204.371003923323</v>
      </c>
      <c r="E50" s="302"/>
      <c r="G50" s="184">
        <f>IF(G$4="","",(G47+G48))</f>
        <v>23204.371003923323</v>
      </c>
      <c r="H50" s="184">
        <f t="shared" ref="H50:Q50" si="20">IF(H$4="","",(H47+H48))</f>
        <v>21715.484273656733</v>
      </c>
      <c r="I50" s="184">
        <f t="shared" si="20"/>
        <v>13096.532034555015</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348</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349</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367</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1.4258171560217848E-2</v>
      </c>
      <c r="D80" s="27"/>
      <c r="E80" s="299"/>
      <c r="F80" s="27"/>
      <c r="G80" s="6">
        <f t="shared" ref="G80:Q80" si="31">IF(G$4="","",ABS(G12/G$4))</f>
        <v>1.2748897869754609E-2</v>
      </c>
      <c r="H80" s="6">
        <f t="shared" si="31"/>
        <v>1.3441251480829999E-2</v>
      </c>
      <c r="I80" s="6">
        <f t="shared" si="31"/>
        <v>9.053081720897015E-3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8.416961161374259E-2</v>
      </c>
      <c r="D81" s="27"/>
      <c r="E81" s="299"/>
      <c r="F81" s="27"/>
      <c r="G81" s="65">
        <f t="shared" ref="G81:Q81" si="32">IF(G$4="","",G13/G$4)</f>
        <v>0.11926015983882458</v>
      </c>
      <c r="H81" s="65">
        <f t="shared" si="32"/>
        <v>9.1317686332601955E-2</v>
      </c>
      <c r="I81" s="65">
        <f t="shared" si="32"/>
        <v>2.474325438330461E-2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2.1042402903435647E-2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6.3127208710306928E-2</v>
      </c>
      <c r="D84" s="27"/>
      <c r="E84" s="299"/>
      <c r="F84" s="27"/>
      <c r="G84" s="65">
        <f t="shared" ref="G84:Q84" si="35">IF(G$4="","",ABS(G16/G$4))</f>
        <v>9.3289173501750075E-2</v>
      </c>
      <c r="H84" s="65">
        <f t="shared" si="35"/>
        <v>6.3805051590387837E-2</v>
      </c>
      <c r="I84" s="65">
        <f t="shared" si="35"/>
        <v>1.0215086313614749E-2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6.3127208710306928E-2</v>
      </c>
      <c r="D87" s="75"/>
      <c r="E87" s="299"/>
      <c r="F87" s="75"/>
      <c r="G87" s="65">
        <f t="shared" ref="G87:Q87" si="36">IF(G$4="","",ABS(G19/G$4))</f>
        <v>9.3289173501750075E-2</v>
      </c>
      <c r="H87" s="65">
        <f t="shared" si="36"/>
        <v>6.3805051590387837E-2</v>
      </c>
      <c r="I87" s="65">
        <f t="shared" si="36"/>
        <v>1.0215086313614749E-2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0.11493915008339682</v>
      </c>
      <c r="E90" s="302"/>
      <c r="G90" s="113">
        <f>Data!C65</f>
        <v>0.11493915008339682</v>
      </c>
      <c r="H90" s="113">
        <f>Data!D65</f>
        <v>9.8923039006202196E-2</v>
      </c>
      <c r="I90" s="113">
        <f>Data!E65</f>
        <v>3.6554418223244234E-2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153252.21926772079</v>
      </c>
      <c r="E91" s="302"/>
      <c r="G91" s="74">
        <f t="shared" ref="G91:Q91" si="37">IF(G$4="","",G90*Common_Shares/$C$3)</f>
        <v>153252.21926772079</v>
      </c>
      <c r="H91" s="74">
        <f t="shared" si="37"/>
        <v>131897.40182877608</v>
      </c>
      <c r="I91" s="74">
        <f t="shared" si="37"/>
        <v>48739.230390062017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1.4917093818518097</v>
      </c>
      <c r="E92" s="302"/>
      <c r="G92" s="171">
        <f t="shared" ref="G92:Q92" si="38">IF(G$4="","",G90/(G19*$C$3/Common_Shares))</f>
        <v>0.90256475071649045</v>
      </c>
      <c r="H92" s="171">
        <f t="shared" si="38"/>
        <v>1.2795326263055842</v>
      </c>
      <c r="I92" s="171">
        <f t="shared" si="38"/>
        <v>3.2981982563862982</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5.3962042292674567E-2</v>
      </c>
      <c r="E93" s="302"/>
      <c r="G93" s="23">
        <f t="shared" ref="G93:Q93" si="39">IF(G$4="","",G90/Market_Price)</f>
        <v>5.3962042292674567E-2</v>
      </c>
      <c r="H93" s="23">
        <f t="shared" si="39"/>
        <v>4.644274131746582E-2</v>
      </c>
      <c r="I93" s="23">
        <f t="shared" si="39"/>
        <v>1.7161698696358797E-2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-0.36894277675051446</v>
      </c>
      <c r="D97" s="27"/>
      <c r="E97" s="299"/>
      <c r="F97" s="27"/>
      <c r="G97" s="6">
        <f t="shared" ref="G97:Q97" si="41">IF(H5="","",G13/H13-1)</f>
        <v>0.47132235585243665</v>
      </c>
      <c r="H97" s="6">
        <f t="shared" si="41"/>
        <v>3.1216207026043552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8.416961161374259E-2</v>
      </c>
      <c r="E117" s="302"/>
      <c r="G117" s="23">
        <f t="shared" ref="G117:Q117" si="45">G81</f>
        <v>0.11926015983882458</v>
      </c>
      <c r="H117" s="23">
        <f t="shared" si="45"/>
        <v>9.1317686332601955E-2</v>
      </c>
      <c r="I117" s="23">
        <f t="shared" si="45"/>
        <v>2.474325438330461E-2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8.178536750137555E-2</v>
      </c>
      <c r="D124" s="27"/>
      <c r="E124" s="299"/>
      <c r="F124" s="27"/>
      <c r="G124" s="178">
        <f t="shared" ref="G124:Q124" si="49">IF(G$4="","",G16*$C$3/Common_Shares*Exchange_Rate)</f>
        <v>0.13517035747645997</v>
      </c>
      <c r="H124" s="178">
        <f t="shared" si="49"/>
        <v>8.2061213478524783E-2</v>
      </c>
      <c r="I124" s="178">
        <f t="shared" si="49"/>
        <v>1.1763998699857293E-2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3.8396886150880542E-2</v>
      </c>
      <c r="D125" s="27"/>
      <c r="E125" s="299"/>
      <c r="F125" s="27"/>
      <c r="G125" s="77">
        <f t="shared" ref="G125" si="50">IF(G$4="","",G124/Market_Price)</f>
        <v>6.3460261726037553E-2</v>
      </c>
      <c r="H125" s="77">
        <f t="shared" ref="H125" si="51">IF(H$4="","",H124/Market_Price)</f>
        <v>3.8526391304471733E-2</v>
      </c>
      <c r="I125" s="77">
        <f t="shared" ref="I125" si="52">IF(I$4="","",I124/Market_Price)</f>
        <v>5.5230040844400441E-3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6.8749639293619033E-2</v>
      </c>
      <c r="H126" s="23">
        <f>IF(H$4="","",(Data!D47*$C$3)/(Market_Price*Common_Shares))</f>
        <v>6.0851048731647074E-2</v>
      </c>
      <c r="I126" s="23">
        <f>IF(I$4="","",(Data!E47*$C$3)/(Market_Price*Common_Shares))</f>
        <v>2.3047884442958105E-2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102735.97600993386</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1284199.7001241732</v>
      </c>
      <c r="D6" t="str">
        <f>Reporting_currency</f>
        <v>CNY</v>
      </c>
      <c r="E6" s="344" t="s">
        <v>251</v>
      </c>
      <c r="F6" s="344"/>
      <c r="H6" s="121"/>
    </row>
    <row r="7" spans="2:8" x14ac:dyDescent="0.35">
      <c r="B7" s="149" t="s">
        <v>226</v>
      </c>
      <c r="C7" s="226">
        <f>BS!G31</f>
        <v>33999</v>
      </c>
      <c r="D7" t="str">
        <f>Reporting_currency</f>
        <v>CNY</v>
      </c>
      <c r="E7" s="344"/>
      <c r="F7" s="344"/>
      <c r="H7" s="121"/>
    </row>
    <row r="8" spans="2:8" x14ac:dyDescent="0.35">
      <c r="B8" s="149" t="s">
        <v>227</v>
      </c>
      <c r="C8" s="201">
        <f>BS!D66</f>
        <v>1874180.5222041337</v>
      </c>
      <c r="D8" t="str">
        <f>Reporting_currency</f>
        <v>CNY</v>
      </c>
      <c r="E8" s="344"/>
      <c r="F8" s="344"/>
      <c r="H8" s="121"/>
    </row>
    <row r="9" spans="2:8" x14ac:dyDescent="0.35">
      <c r="B9" s="227" t="s">
        <v>192</v>
      </c>
      <c r="C9" s="229">
        <f>BS!H42</f>
        <v>229590.09999999998</v>
      </c>
      <c r="D9" t="str">
        <f>Reporting_currency</f>
        <v>CNY</v>
      </c>
      <c r="E9" s="344"/>
      <c r="F9" s="344"/>
      <c r="H9" s="121"/>
    </row>
    <row r="10" spans="2:8" ht="13.15" x14ac:dyDescent="0.4">
      <c r="B10" s="150" t="s">
        <v>229</v>
      </c>
      <c r="C10" s="232">
        <f>C6-C7+C8+C9</f>
        <v>3353971.3223283072</v>
      </c>
      <c r="D10" t="str">
        <f>Reporting_currency</f>
        <v>CNY</v>
      </c>
      <c r="H10" s="121"/>
    </row>
    <row r="11" spans="2:8" ht="13.15" thickBot="1" x14ac:dyDescent="0.4">
      <c r="B11" s="230" t="s">
        <v>168</v>
      </c>
      <c r="C11" s="231">
        <f>Exchange_Rate</f>
        <v>1.0614312000000001</v>
      </c>
      <c r="D11" t="str">
        <f>Thesis!D17</f>
        <v>CNY/HKD</v>
      </c>
      <c r="H11" s="121"/>
    </row>
    <row r="12" spans="2:8" ht="13.5" thickTop="1" x14ac:dyDescent="0.4">
      <c r="B12" s="150" t="s">
        <v>104</v>
      </c>
      <c r="C12" s="112">
        <f>(C10*C3)/Common_Shares*C11</f>
        <v>2.6700070203175144</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2.6975517216682041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103617.23509052476</v>
      </c>
      <c r="D21" s="139">
        <f>IF($C$17&lt;B21,0,Valuation_Model!$C$16)</f>
        <v>8.5779014792802307E-3</v>
      </c>
      <c r="E21" s="125">
        <f t="shared" ref="E21:E50" si="0">IF($C$17&lt;B21,0,1/(1+Equity_Cost)^B21)</f>
        <v>0.92592592592592582</v>
      </c>
      <c r="F21" s="126">
        <f t="shared" ref="F21:F51" si="1">C21*E21</f>
        <v>95941.884343078462</v>
      </c>
      <c r="H21" s="121"/>
    </row>
    <row r="22" spans="2:8" x14ac:dyDescent="0.35">
      <c r="B22" s="123">
        <v>2</v>
      </c>
      <c r="C22" s="124">
        <f t="shared" ref="C22:C50" si="2">IF(ROW()-ROW($C$21)&lt;$C$17, $C$21*(1+D22)^(ROW()-ROW($C$21)), 0)</f>
        <v>104506.05352468669</v>
      </c>
      <c r="D22" s="139">
        <f>IF($C$17&lt;B22,0,Valuation_Model!$C$16)</f>
        <v>8.5779014792802307E-3</v>
      </c>
      <c r="E22" s="125">
        <f t="shared" si="0"/>
        <v>0.85733882030178321</v>
      </c>
      <c r="F22" s="126">
        <f t="shared" si="1"/>
        <v>89597.096643249897</v>
      </c>
      <c r="H22" s="121"/>
    </row>
    <row r="23" spans="2:8" x14ac:dyDescent="0.35">
      <c r="B23" s="123">
        <v>3</v>
      </c>
      <c r="C23" s="124">
        <f t="shared" si="2"/>
        <v>105402.49615580983</v>
      </c>
      <c r="D23" s="139">
        <f>IF($C$17&lt;B23,0,Valuation_Model!$C$16)</f>
        <v>8.5779014792802307E-3</v>
      </c>
      <c r="E23" s="125">
        <f t="shared" si="0"/>
        <v>0.79383224102016958</v>
      </c>
      <c r="F23" s="126">
        <f t="shared" si="1"/>
        <v>83671.89973248633</v>
      </c>
      <c r="H23" s="121"/>
    </row>
    <row r="24" spans="2:8" x14ac:dyDescent="0.35">
      <c r="B24" s="123">
        <v>4</v>
      </c>
      <c r="C24" s="124">
        <f t="shared" si="2"/>
        <v>106306.62838350456</v>
      </c>
      <c r="D24" s="139">
        <f>IF($C$17&lt;B24,0,Valuation_Model!$C$16)</f>
        <v>8.5779014792802307E-3</v>
      </c>
      <c r="E24" s="125">
        <f t="shared" si="0"/>
        <v>0.73502985279645328</v>
      </c>
      <c r="F24" s="126">
        <f t="shared" si="1"/>
        <v>78138.545412014617</v>
      </c>
      <c r="H24" s="121"/>
    </row>
    <row r="25" spans="2:8" x14ac:dyDescent="0.35">
      <c r="B25" s="123">
        <v>5</v>
      </c>
      <c r="C25" s="124">
        <f t="shared" si="2"/>
        <v>107218.51616837272</v>
      </c>
      <c r="D25" s="139">
        <f>IF($C$17&lt;B25,0,Valuation_Model!$C$16)</f>
        <v>8.5779014792802307E-3</v>
      </c>
      <c r="E25" s="125">
        <f t="shared" si="0"/>
        <v>0.68058319703375303</v>
      </c>
      <c r="F25" s="126">
        <f t="shared" si="1"/>
        <v>72971.120515086252</v>
      </c>
      <c r="H25" s="121"/>
    </row>
    <row r="26" spans="2:8" x14ac:dyDescent="0.35">
      <c r="B26" s="123">
        <v>6</v>
      </c>
      <c r="C26" s="124">
        <f t="shared" si="2"/>
        <v>108138.22603681963</v>
      </c>
      <c r="D26" s="139">
        <f>IF($C$17&lt;B26,0,Valuation_Model!$C$16)</f>
        <v>8.5779014792802307E-3</v>
      </c>
      <c r="E26" s="125">
        <f t="shared" si="0"/>
        <v>0.63016962688310452</v>
      </c>
      <c r="F26" s="126">
        <f t="shared" si="1"/>
        <v>68145.42555342344</v>
      </c>
      <c r="H26" s="121"/>
    </row>
    <row r="27" spans="2:8" x14ac:dyDescent="0.35">
      <c r="B27" s="123">
        <v>7</v>
      </c>
      <c r="C27" s="124">
        <f t="shared" si="2"/>
        <v>109065.82508590758</v>
      </c>
      <c r="D27" s="139">
        <f>IF($C$17&lt;B27,0,Valuation_Model!$C$16)</f>
        <v>8.5779014792802307E-3</v>
      </c>
      <c r="E27" s="125">
        <f t="shared" si="0"/>
        <v>0.58349039526213387</v>
      </c>
      <c r="F27" s="126">
        <f t="shared" si="1"/>
        <v>63638.861388966965</v>
      </c>
      <c r="H27" s="121"/>
    </row>
    <row r="28" spans="2:8" x14ac:dyDescent="0.35">
      <c r="B28" s="123">
        <v>8</v>
      </c>
      <c r="C28" s="124">
        <f t="shared" si="2"/>
        <v>110001.38098825091</v>
      </c>
      <c r="D28" s="139">
        <f>IF($C$17&lt;B28,0,Valuation_Model!$C$16)</f>
        <v>8.5779014792802307E-3</v>
      </c>
      <c r="E28" s="125">
        <f t="shared" si="0"/>
        <v>0.54026888450197574</v>
      </c>
      <c r="F28" s="126">
        <f t="shared" si="1"/>
        <v>59430.323400199159</v>
      </c>
      <c r="H28" s="121"/>
    </row>
    <row r="29" spans="2:8" x14ac:dyDescent="0.35">
      <c r="B29" s="123">
        <v>9</v>
      </c>
      <c r="C29" s="124">
        <f t="shared" si="2"/>
        <v>110944.96199695287</v>
      </c>
      <c r="D29" s="139">
        <f>IF($C$17&lt;B29,0,Valuation_Model!$C$16)</f>
        <v>8.5779014792802307E-3</v>
      </c>
      <c r="E29" s="125">
        <f t="shared" si="0"/>
        <v>0.50024896713145905</v>
      </c>
      <c r="F29" s="126">
        <f t="shared" si="1"/>
        <v>55500.102647414649</v>
      </c>
      <c r="H29" s="121"/>
    </row>
    <row r="30" spans="2:8" x14ac:dyDescent="0.35">
      <c r="B30" s="123">
        <v>10</v>
      </c>
      <c r="C30" s="124">
        <f t="shared" si="2"/>
        <v>111896.63695058523</v>
      </c>
      <c r="D30" s="139">
        <f>IF($C$17&lt;B30,0,Valuation_Model!$C$16)</f>
        <v>8.5779014792802307E-3</v>
      </c>
      <c r="E30" s="125">
        <f t="shared" si="0"/>
        <v>0.46319348808468425</v>
      </c>
      <c r="F30" s="126">
        <f t="shared" si="1"/>
        <v>51829.79357408714</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1295215.4386315595</v>
      </c>
      <c r="D51" s="140">
        <f>Terminal_Growth</f>
        <v>0</v>
      </c>
      <c r="E51" s="125">
        <f>1/(1+Equity_Cost)^C17</f>
        <v>0.46319348808468425</v>
      </c>
      <c r="F51" s="126">
        <f t="shared" si="1"/>
        <v>599935.35684088629</v>
      </c>
      <c r="H51" s="121"/>
    </row>
    <row r="52" spans="1:8" x14ac:dyDescent="0.35">
      <c r="C52" s="115"/>
      <c r="E52" s="128" t="s">
        <v>102</v>
      </c>
      <c r="F52" s="138">
        <f>SUM(F21:F51)</f>
        <v>1318800.4100508932</v>
      </c>
      <c r="H52" s="121"/>
    </row>
    <row r="53" spans="1:8" x14ac:dyDescent="0.35">
      <c r="C53" s="115"/>
      <c r="H53" s="121"/>
    </row>
    <row r="54" spans="1:8" ht="13.15" x14ac:dyDescent="0.35">
      <c r="B54" s="120" t="s">
        <v>131</v>
      </c>
      <c r="C54" s="137"/>
      <c r="D54" s="137"/>
      <c r="E54" s="118"/>
      <c r="F54" s="118"/>
      <c r="H54" s="121"/>
    </row>
    <row r="55" spans="1:8" ht="13.15" x14ac:dyDescent="0.4">
      <c r="A55" s="134">
        <f>F52</f>
        <v>1318800.4100508932</v>
      </c>
      <c r="B55" s="132">
        <f>C78</f>
        <v>-0.1</v>
      </c>
      <c r="C55" s="132">
        <f>C77</f>
        <v>-0.08</v>
      </c>
      <c r="D55" s="132">
        <f>C76</f>
        <v>0.02</v>
      </c>
      <c r="E55" s="132">
        <f>C75</f>
        <v>0.04</v>
      </c>
      <c r="F55" s="132">
        <f>C74</f>
        <v>0.08</v>
      </c>
      <c r="H55" s="121"/>
    </row>
    <row r="56" spans="1:8" ht="13.15" x14ac:dyDescent="0.4">
      <c r="A56" s="144">
        <v>5</v>
      </c>
      <c r="B56" s="124">
        <f t="dataTable" ref="B56:F61" dt2D="1" dtr="1" r1="C16" r2="C17"/>
        <v>1093847.7208478684</v>
      </c>
      <c r="C56" s="124">
        <v>1129837.6486912381</v>
      </c>
      <c r="D56" s="124">
        <v>1325634.7048912074</v>
      </c>
      <c r="E56" s="124">
        <v>1368310.6699695038</v>
      </c>
      <c r="F56" s="124">
        <v>1457604.9965931899</v>
      </c>
      <c r="H56" s="121"/>
    </row>
    <row r="57" spans="1:8" ht="13.15" x14ac:dyDescent="0.4">
      <c r="A57" s="144">
        <v>10</v>
      </c>
      <c r="B57" s="124">
        <v>966067.35625150055</v>
      </c>
      <c r="C57" s="124">
        <v>1019119.4275644454</v>
      </c>
      <c r="D57" s="124">
        <v>1367107.8647498696</v>
      </c>
      <c r="E57" s="124">
        <v>1458325.6722954372</v>
      </c>
      <c r="F57" s="124">
        <v>1669779.3336769857</v>
      </c>
      <c r="H57" s="121"/>
    </row>
    <row r="58" spans="1:8" ht="13.15" x14ac:dyDescent="0.4">
      <c r="A58" s="144">
        <v>15</v>
      </c>
      <c r="B58" s="124">
        <v>844689.21791073261</v>
      </c>
      <c r="C58" s="124">
        <v>909863.24788854131</v>
      </c>
      <c r="D58" s="124">
        <v>1418442.3995046241</v>
      </c>
      <c r="E58" s="124">
        <v>1575671.6430924493</v>
      </c>
      <c r="F58" s="124">
        <v>1978259.6073715433</v>
      </c>
      <c r="H58" s="121"/>
    </row>
    <row r="59" spans="1:8" ht="13.15" x14ac:dyDescent="0.4">
      <c r="A59" s="145">
        <v>20</v>
      </c>
      <c r="B59" s="124">
        <v>748251.49592638039</v>
      </c>
      <c r="C59" s="124">
        <v>820297.70645286422</v>
      </c>
      <c r="D59" s="124">
        <v>1470744.0580264819</v>
      </c>
      <c r="E59" s="124">
        <v>1701974.1689026887</v>
      </c>
      <c r="F59" s="124">
        <v>2352284.0832979833</v>
      </c>
      <c r="H59" s="121"/>
    </row>
    <row r="60" spans="1:8" ht="13.15" x14ac:dyDescent="0.4">
      <c r="A60" s="145">
        <v>25</v>
      </c>
      <c r="B60" s="124">
        <v>677059.71612017101</v>
      </c>
      <c r="C60" s="124">
        <v>752519.37616095715</v>
      </c>
      <c r="D60" s="124">
        <v>1519387.502671343</v>
      </c>
      <c r="E60" s="124">
        <v>1826386.4535469541</v>
      </c>
      <c r="F60" s="124">
        <v>2770916.8419264238</v>
      </c>
      <c r="H60" s="121"/>
    </row>
    <row r="61" spans="1:8" ht="13.15" x14ac:dyDescent="0.4">
      <c r="A61" s="145">
        <v>30</v>
      </c>
      <c r="B61" s="124">
        <v>626374.1970192896</v>
      </c>
      <c r="C61" s="124">
        <v>703330.72024531488</v>
      </c>
      <c r="D61" s="124">
        <v>1562297.7875491367</v>
      </c>
      <c r="E61" s="124">
        <v>1942899.660685929</v>
      </c>
      <c r="F61" s="124">
        <v>3219909.2482103775</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2.6700070203175144</v>
      </c>
      <c r="C65" s="125">
        <f>C12</f>
        <v>2.6700070203175144</v>
      </c>
      <c r="D65" s="125">
        <f>C12</f>
        <v>2.6700070203175144</v>
      </c>
      <c r="E65" s="142">
        <f>C12</f>
        <v>2.6700070203175144</v>
      </c>
      <c r="F65" s="125">
        <f>C12</f>
        <v>2.6700070203175144</v>
      </c>
      <c r="H65" s="121"/>
    </row>
    <row r="66" spans="1:8" ht="13.15" x14ac:dyDescent="0.4">
      <c r="A66" s="144">
        <f t="shared" ref="A66:A71" si="3">A56</f>
        <v>5</v>
      </c>
      <c r="B66" s="125">
        <f t="shared" ref="B66:F71" si="4">(B56-$C$7+$C$8+$C$9)/Common_Shares*$C$3*Exchange_Rate</f>
        <v>2.5184728919200623</v>
      </c>
      <c r="C66" s="125">
        <f t="shared" si="4"/>
        <v>2.5471235125627611</v>
      </c>
      <c r="D66" s="125">
        <f t="shared" si="4"/>
        <v>2.7029923213182605</v>
      </c>
      <c r="E66" s="125">
        <f t="shared" si="4"/>
        <v>2.736965517689772</v>
      </c>
      <c r="F66" s="125">
        <f t="shared" si="4"/>
        <v>2.8080503470001963</v>
      </c>
      <c r="H66" s="121"/>
    </row>
    <row r="67" spans="1:8" ht="13.15" x14ac:dyDescent="0.4">
      <c r="A67" s="144">
        <f t="shared" si="3"/>
        <v>10</v>
      </c>
      <c r="B67" s="125">
        <f t="shared" si="4"/>
        <v>2.4167503553379093</v>
      </c>
      <c r="C67" s="125">
        <f t="shared" si="4"/>
        <v>2.458983692845881</v>
      </c>
      <c r="D67" s="125">
        <f t="shared" si="4"/>
        <v>2.7360079965687296</v>
      </c>
      <c r="E67" s="125">
        <f t="shared" si="4"/>
        <v>2.8086240576850683</v>
      </c>
      <c r="F67" s="125">
        <f t="shared" si="4"/>
        <v>2.9769566718019487</v>
      </c>
      <c r="H67" s="121"/>
    </row>
    <row r="68" spans="1:8" ht="13.15" x14ac:dyDescent="0.4">
      <c r="A68" s="144">
        <f t="shared" si="3"/>
        <v>15</v>
      </c>
      <c r="B68" s="125">
        <f t="shared" si="4"/>
        <v>2.3201244601415412</v>
      </c>
      <c r="C68" s="125">
        <f t="shared" si="4"/>
        <v>2.3720077652922638</v>
      </c>
      <c r="D68" s="125">
        <f t="shared" si="4"/>
        <v>2.7768740490801092</v>
      </c>
      <c r="E68" s="125">
        <f t="shared" si="4"/>
        <v>2.9020400519567464</v>
      </c>
      <c r="F68" s="125">
        <f t="shared" si="4"/>
        <v>3.2225295814182924</v>
      </c>
      <c r="H68" s="121"/>
    </row>
    <row r="69" spans="1:8" ht="13.15" x14ac:dyDescent="0.4">
      <c r="A69" s="145">
        <f t="shared" si="3"/>
        <v>20</v>
      </c>
      <c r="B69" s="125">
        <f t="shared" si="4"/>
        <v>2.2433529645096399</v>
      </c>
      <c r="C69" s="125">
        <f t="shared" si="4"/>
        <v>2.3007070291113156</v>
      </c>
      <c r="D69" s="125">
        <f t="shared" si="4"/>
        <v>2.8185100030007493</v>
      </c>
      <c r="E69" s="125">
        <f t="shared" si="4"/>
        <v>3.0025861205388331</v>
      </c>
      <c r="F69" s="125">
        <f t="shared" si="4"/>
        <v>3.5202804804334096</v>
      </c>
      <c r="H69" s="121"/>
    </row>
    <row r="70" spans="1:8" ht="13.15" x14ac:dyDescent="0.4">
      <c r="A70" s="145">
        <f t="shared" si="3"/>
        <v>25</v>
      </c>
      <c r="B70" s="125">
        <f t="shared" si="4"/>
        <v>2.186679089391494</v>
      </c>
      <c r="C70" s="125">
        <f t="shared" si="4"/>
        <v>2.2467505100140786</v>
      </c>
      <c r="D70" s="125">
        <f t="shared" si="4"/>
        <v>2.8572337505264271</v>
      </c>
      <c r="E70" s="125">
        <f t="shared" si="4"/>
        <v>3.1016274185971993</v>
      </c>
      <c r="F70" s="125">
        <f t="shared" si="4"/>
        <v>3.853542842288336</v>
      </c>
    </row>
    <row r="71" spans="1:8" ht="13.15" x14ac:dyDescent="0.4">
      <c r="A71" s="145">
        <f t="shared" si="3"/>
        <v>30</v>
      </c>
      <c r="B71" s="125">
        <f t="shared" si="4"/>
        <v>2.1463297009137636</v>
      </c>
      <c r="C71" s="125">
        <f t="shared" si="4"/>
        <v>2.2075927343526054</v>
      </c>
      <c r="D71" s="125">
        <f t="shared" si="4"/>
        <v>2.8913934826340943</v>
      </c>
      <c r="E71" s="125">
        <f t="shared" si="4"/>
        <v>3.1943804719550957</v>
      </c>
      <c r="F71" s="125">
        <f t="shared" si="4"/>
        <v>4.2109737090541248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3.2225295814182924</v>
      </c>
      <c r="F74" s="143">
        <f>Scenarios!C58</f>
        <v>0.05</v>
      </c>
    </row>
    <row r="75" spans="1:8" x14ac:dyDescent="0.35">
      <c r="B75" s="128" t="str">
        <f>Scenarios!B36</f>
        <v>Optimistic</v>
      </c>
      <c r="C75" s="143">
        <f>Scenarios!C38</f>
        <v>0.04</v>
      </c>
      <c r="D75" s="146">
        <f>Scenarios!C37</f>
        <v>10</v>
      </c>
      <c r="E75" s="136">
        <f>INDEX(B$65:F$71, MATCH(D75, A$65:A$71, 0), MATCH(C75, B$64:F$64, 0))</f>
        <v>2.8086240576850683</v>
      </c>
      <c r="F75" s="143">
        <f>Scenarios!C40*(1-F$74-F$78)</f>
        <v>0.17</v>
      </c>
      <c r="H75" s="121"/>
    </row>
    <row r="76" spans="1:8" x14ac:dyDescent="0.35">
      <c r="B76" s="128" t="str">
        <f>Scenarios!B24</f>
        <v>Base</v>
      </c>
      <c r="C76" s="143">
        <f>Scenarios!C26</f>
        <v>0.02</v>
      </c>
      <c r="D76" s="146">
        <f>Scenarios!C25</f>
        <v>10</v>
      </c>
      <c r="E76" s="136">
        <f>INDEX(B$65:F$71, MATCH(D76, A$65:A$71, 0), MATCH(C76, B$64:F$64, 0))</f>
        <v>2.7360079965687296</v>
      </c>
      <c r="F76" s="143">
        <f>Scenarios!C28*(1-F$74-F$78)</f>
        <v>0.51</v>
      </c>
      <c r="H76" s="121"/>
    </row>
    <row r="77" spans="1:8" x14ac:dyDescent="0.35">
      <c r="B77" s="128" t="str">
        <f>Scenarios!B30</f>
        <v>Pessimistic</v>
      </c>
      <c r="C77" s="143">
        <f>Scenarios!C32</f>
        <v>-0.08</v>
      </c>
      <c r="D77" s="146">
        <f>Scenarios!C31</f>
        <v>10</v>
      </c>
      <c r="E77" s="136">
        <f>INDEX(B$65:F$71, MATCH(D77, A$65:A$71, 0), MATCH(C77, B$64:F$64, 0))</f>
        <v>2.458983692845881</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2.3201244601415412</v>
      </c>
      <c r="F78" s="143">
        <f>Scenarios!C52</f>
        <v>0.1</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26"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-2.13</v>
      </c>
    </row>
    <row r="4" spans="2:9" x14ac:dyDescent="0.35">
      <c r="B4" s="153" t="s">
        <v>148</v>
      </c>
      <c r="C4" s="121">
        <v>2</v>
      </c>
      <c r="D4" s="121"/>
      <c r="E4" s="156" t="s">
        <v>152</v>
      </c>
      <c r="F4" s="156"/>
      <c r="H4" s="276">
        <v>1</v>
      </c>
      <c r="I4" s="264">
        <f t="shared" ref="I4:I13" si="0">IF(ROW()-3 &lt; $C$76, $C$77, IF(ROW()-3 = $C$76, $C$77 + $C$60, ""))</f>
        <v>0.11493915008339682</v>
      </c>
    </row>
    <row r="5" spans="2:9" x14ac:dyDescent="0.35">
      <c r="H5" s="276">
        <v>2</v>
      </c>
      <c r="I5" s="264">
        <f t="shared" si="0"/>
        <v>0.11493915008339682</v>
      </c>
    </row>
    <row r="6" spans="2:9" ht="13.15" x14ac:dyDescent="0.4">
      <c r="B6" s="160" t="s">
        <v>97</v>
      </c>
      <c r="C6" s="107">
        <f>Valuation_Model!C3</f>
        <v>1000</v>
      </c>
      <c r="E6" s="100" t="s">
        <v>285</v>
      </c>
      <c r="F6" s="100"/>
      <c r="H6" s="276">
        <v>3</v>
      </c>
      <c r="I6" s="264">
        <f t="shared" si="0"/>
        <v>2.7989354710087788</v>
      </c>
    </row>
    <row r="7" spans="2:9" ht="12.75" customHeight="1" x14ac:dyDescent="0.35">
      <c r="B7" s="100" t="s">
        <v>279</v>
      </c>
      <c r="C7" s="115">
        <f>Normalized_FCF!G8</f>
        <v>157888</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76">
        <v>4</v>
      </c>
      <c r="I7" s="264" t="str">
        <f t="shared" si="0"/>
        <v/>
      </c>
    </row>
    <row r="8" spans="2:9" x14ac:dyDescent="0.35">
      <c r="B8" s="100" t="s">
        <v>67</v>
      </c>
      <c r="C8" s="115">
        <f>Normalized_FCF!G19</f>
        <v>169796.37100392333</v>
      </c>
      <c r="D8" t="str">
        <f>Reporting_currency</f>
        <v>CNY</v>
      </c>
      <c r="E8" s="346"/>
      <c r="F8" s="346"/>
      <c r="H8" s="276">
        <v>5</v>
      </c>
      <c r="I8" s="264" t="str">
        <f t="shared" si="0"/>
        <v/>
      </c>
    </row>
    <row r="9" spans="2:9" x14ac:dyDescent="0.35">
      <c r="B9" s="100" t="s">
        <v>58</v>
      </c>
      <c r="C9" s="201">
        <f>Normalized_FCF!C19</f>
        <v>102735.97600993386</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0.12167914390403989</v>
      </c>
      <c r="D12" s="159"/>
      <c r="E12" s="346"/>
      <c r="F12" s="346"/>
      <c r="H12" s="276">
        <v>9</v>
      </c>
      <c r="I12" s="264" t="str">
        <f t="shared" si="0"/>
        <v/>
      </c>
    </row>
    <row r="13" spans="2:9" x14ac:dyDescent="0.35">
      <c r="B13" s="149" t="s">
        <v>154</v>
      </c>
      <c r="C13" s="159">
        <f ca="1">(Normalized_FCF!G8/OFFSET(Normalized_FCF!G8, 0, $C$4))^(1/$C$4) - 1</f>
        <v>7.4870016543118432</v>
      </c>
      <c r="E13" s="346"/>
      <c r="F13" s="346"/>
      <c r="H13" s="276">
        <v>10</v>
      </c>
      <c r="I13" s="264" t="str">
        <f t="shared" si="0"/>
        <v/>
      </c>
    </row>
    <row r="14" spans="2:9" x14ac:dyDescent="0.35">
      <c r="B14" s="100" t="s">
        <v>67</v>
      </c>
      <c r="C14" s="159">
        <f ca="1">(Normalized_FCF!G19/OFFSET(Normalized_FCF!G19, 0, $C$4))^(1/$C$4) - 1</f>
        <v>2.3897154844568171</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2.13</v>
      </c>
      <c r="D21" t="str">
        <f>Market_currency</f>
        <v>HKD</v>
      </c>
      <c r="E21" s="347"/>
      <c r="F21" s="347"/>
    </row>
    <row r="22" spans="2:6" x14ac:dyDescent="0.35">
      <c r="B22" s="100" t="s">
        <v>284</v>
      </c>
      <c r="C22" s="161">
        <f>Valuation_Model!C12</f>
        <v>2.6700070203175144</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0.02</v>
      </c>
      <c r="D26" s="165"/>
      <c r="E26" s="345"/>
      <c r="F26" s="345"/>
    </row>
    <row r="27" spans="2:6" x14ac:dyDescent="0.35">
      <c r="B27" s="100" t="s">
        <v>115</v>
      </c>
      <c r="C27" s="161">
        <f>Valuation_Model!E76</f>
        <v>2.7360079965687296</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-0.08</v>
      </c>
      <c r="D32" s="165"/>
      <c r="E32" s="345"/>
      <c r="F32" s="345"/>
    </row>
    <row r="33" spans="2:6" x14ac:dyDescent="0.35">
      <c r="B33" s="100" t="s">
        <v>115</v>
      </c>
      <c r="C33" s="161">
        <f>Valuation_Model!E77</f>
        <v>2.458983692845881</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0.04</v>
      </c>
      <c r="D38" s="165"/>
      <c r="E38" s="345"/>
      <c r="F38" s="345"/>
    </row>
    <row r="39" spans="2:6" x14ac:dyDescent="0.35">
      <c r="B39" s="100" t="s">
        <v>115</v>
      </c>
      <c r="C39" s="161">
        <f>Valuation_Model!E75</f>
        <v>2.8086240576850683</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2.6951263480474275</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-0.1</v>
      </c>
      <c r="D50" s="165"/>
      <c r="E50" s="345"/>
      <c r="F50" s="345"/>
    </row>
    <row r="51" spans="2:6" x14ac:dyDescent="0.35">
      <c r="B51" s="100" t="s">
        <v>115</v>
      </c>
      <c r="C51" s="161">
        <f>Valuation_Model!E78</f>
        <v>2.3201244601415412</v>
      </c>
      <c r="D51" t="str">
        <f>Market_currency</f>
        <v>HKD</v>
      </c>
      <c r="E51" s="345"/>
      <c r="F51" s="345"/>
    </row>
    <row r="52" spans="2:6" x14ac:dyDescent="0.35">
      <c r="B52" s="100" t="s">
        <v>149</v>
      </c>
      <c r="C52" s="166">
        <v>0.1</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3.2225295814182924</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2.6839963209253819</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416</v>
      </c>
    </row>
    <row r="65" spans="2:6" x14ac:dyDescent="0.35">
      <c r="B65" s="119" t="s">
        <v>136</v>
      </c>
      <c r="C65" s="152">
        <v>8.5779014792802307E-3</v>
      </c>
      <c r="D65" s="152"/>
      <c r="E65" s="281" t="s">
        <v>324</v>
      </c>
    </row>
    <row r="66" spans="2:6" x14ac:dyDescent="0.35">
      <c r="B66" s="100" t="s">
        <v>104</v>
      </c>
      <c r="C66" s="161">
        <f>Valuation_Model!C18</f>
        <v>2.6975517216682041</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0.61389425674854614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0.11493915008339682</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0.22436122096279057</v>
      </c>
      <c r="D81" s="117"/>
      <c r="E81" s="100"/>
      <c r="F81" s="100"/>
    </row>
    <row r="82" spans="2:8" x14ac:dyDescent="0.35">
      <c r="B82" s="100" t="s">
        <v>124</v>
      </c>
      <c r="C82" s="117">
        <f>C60/(1+C80)^C76</f>
        <v>1.3742061163137955</v>
      </c>
      <c r="D82" s="117"/>
    </row>
    <row r="83" spans="2:8" ht="13.15" x14ac:dyDescent="0.4">
      <c r="B83" s="111" t="s">
        <v>103</v>
      </c>
      <c r="C83" s="112">
        <f>C81+C82</f>
        <v>1.5985673372765861</v>
      </c>
      <c r="D83" t="str">
        <f>Market_currency</f>
        <v>HKD</v>
      </c>
      <c r="E83" s="147" t="s">
        <v>128</v>
      </c>
      <c r="F83" s="329">
        <f>(1-C83/C60)</f>
        <v>0.40440777626497049</v>
      </c>
    </row>
    <row r="84" spans="2:8" x14ac:dyDescent="0.35">
      <c r="E84" s="121"/>
    </row>
    <row r="85" spans="2:8" ht="13.15" x14ac:dyDescent="0.4">
      <c r="B85" s="109" t="s">
        <v>313</v>
      </c>
    </row>
    <row r="86" spans="2:8" x14ac:dyDescent="0.35">
      <c r="B86" s="149" t="s">
        <v>311</v>
      </c>
      <c r="C86" s="266">
        <f>Market_Price</f>
        <v>2.13</v>
      </c>
      <c r="D86" t="str">
        <f>Market_currency</f>
        <v>HKD</v>
      </c>
    </row>
    <row r="87" spans="2:8" ht="13.15" x14ac:dyDescent="0.4">
      <c r="B87" s="100" t="s">
        <v>309</v>
      </c>
      <c r="C87" s="265">
        <f ca="1">IRR(OFFSET($I$3, 0, 0, $C$76 + 1, 1))</f>
        <v>0.1302840611640077</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