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A102439-86FD-43B8-8ECF-39A9196F25C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N126" i="2"/>
  <c r="N48" i="2"/>
  <c r="N91" i="2"/>
  <c r="N92" i="2"/>
  <c r="I91" i="2"/>
  <c r="D70" i="4"/>
  <c r="Q126" i="2"/>
  <c r="Q48" i="2"/>
  <c r="Q92" i="2"/>
  <c r="Q91" i="2"/>
  <c r="D69" i="4"/>
  <c r="P126" i="2"/>
  <c r="P92" i="2"/>
  <c r="P91" i="2"/>
  <c r="P48" i="2"/>
  <c r="O126" i="2"/>
  <c r="O48" i="2"/>
  <c r="O92" i="2"/>
  <c r="O91" i="2"/>
  <c r="K126" i="2"/>
  <c r="K91" i="2"/>
  <c r="K48" i="2"/>
  <c r="K92" i="2"/>
  <c r="J48" i="2"/>
  <c r="J92" i="2"/>
  <c r="J91" i="2"/>
  <c r="L126" i="2"/>
  <c r="L48" i="2"/>
  <c r="L92" i="2"/>
  <c r="L91" i="2"/>
  <c r="M126" i="2"/>
  <c r="M91" i="2"/>
  <c r="M48" i="2"/>
  <c r="M92"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I48" i="2"/>
  <c r="I50" i="2" s="1"/>
  <c r="I12" i="2" s="1"/>
  <c r="I80" i="2" s="1"/>
  <c r="H48" i="2"/>
  <c r="H50" i="2" s="1"/>
  <c r="H12" i="2" s="1"/>
  <c r="H80" i="2" s="1"/>
  <c r="M50" i="2"/>
  <c r="M12" i="2" s="1"/>
  <c r="P50" i="2"/>
  <c r="P12" i="2" s="1"/>
  <c r="J50" i="2"/>
  <c r="J12" i="2" s="1"/>
  <c r="J80" i="2" s="1"/>
  <c r="N50" i="2"/>
  <c r="N12"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<sst xmlns="http://schemas.openxmlformats.org/spreadsheetml/2006/main" count="616" uniqueCount="433">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</sst>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425</v>
      </c>
      <c r="D5" s="49" t="s">
        <v>426</v>
      </c>
    </row>
    <row r="6" spans="1:10">
      <c r="B6" s="4" t="s">
        <v>95</v>
      </c>
      <c r="C6" s="50">
        <v>2.35</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3133.333725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427</v>
      </c>
      <c r="D16" s="32"/>
      <c r="E16" s="5"/>
    </row>
    <row r="17" spans="1:6">
      <c r="B17" s="4" t="s">
        <v>1</v>
      </c>
      <c r="C17" s="50">
        <v>1.0737034399999998</v>
      </c>
      <c r="D17" s="32" t="str">
        <f>IF(C16=D6,D6,C16&amp;"/"&amp;D6)</f>
        <v>CNY/HKD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1.442374867722968</v>
      </c>
      <c r="D20" s="1" t="s">
        <v>315</v>
      </c>
      <c r="E20" s="330">
        <v>3</v>
      </c>
    </row>
    <row r="21" spans="1:6">
      <c r="B21" s="1" t="s">
        <v>407</v>
      </c>
      <c r="C21" s="280">
        <f ca="1">Scenarios!C87</f>
        <v>9.5546776071535167E-2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25058.011635642677</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23178.011635642677</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-34238.735494574459</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169770.01163564267</v>
      </c>
      <c r="D56" s="1" t="str">
        <f>Reporting_currency</f>
        <v>CNY</v>
      </c>
    </row>
    <row r="57" spans="1:6">
      <c r="B57" s="47" t="s">
        <v>249</v>
      </c>
      <c r="C57" s="188">
        <f>Normalized_FCF!C19</f>
        <v>102716.20648372338</v>
      </c>
      <c r="D57" s="1" t="str">
        <f>Reporting_currency</f>
        <v>CNY</v>
      </c>
    </row>
    <row r="58" spans="1:6">
      <c r="B58" s="254" t="s">
        <v>398</v>
      </c>
      <c r="C58" s="92">
        <f>Normalized_FCF!C125</f>
        <v>3.5197892699834928E-2</v>
      </c>
    </row>
    <row r="59" spans="1:6">
      <c r="B59" s="254" t="s">
        <v>316</v>
      </c>
      <c r="C59" s="92">
        <f>Normalized_FCF!C93</f>
        <v>4.8351240838924094E-2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1.0339380980576509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2.7378629020091371E-2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1875056.3450548952</v>
      </c>
      <c r="D94" s="1" t="str">
        <f>Reporting_currency</f>
        <v>CNY</v>
      </c>
    </row>
    <row r="95" spans="2:6">
      <c r="B95" s="47" t="s">
        <v>286</v>
      </c>
      <c r="C95" s="248">
        <f>C94*scaling_factor*Exchange_Rate/Common_Shares</f>
        <v>1.5099406471668699</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0.18488373700949082</v>
      </c>
      <c r="D99" s="1" t="str">
        <f>Market_currency</f>
        <v>HKD</v>
      </c>
    </row>
    <row r="101" spans="1:6" ht="24.4" customHeight="1">
      <c r="B101" s="340" t="s">
        <v>374</v>
      </c>
      <c r="C101" s="340"/>
      <c r="D101" s="340"/>
      <c r="E101" s="340"/>
      <c r="F101" s="340"/>
    </row>
    <row r="103" spans="1:6">
      <c r="B103" s="47" t="s">
        <v>283</v>
      </c>
      <c r="C103" s="248">
        <f>Valuation_Model!C12</f>
        <v>2.7013838532139203</v>
      </c>
      <c r="D103" s="1" t="str">
        <f>Market_currency</f>
        <v>HKD</v>
      </c>
    </row>
    <row r="104" spans="1:6">
      <c r="B104" s="336" t="s">
        <v>414</v>
      </c>
      <c r="C104" s="248">
        <f>BS!D47</f>
        <v>1.8775728111399408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3.26 HKD</v>
      </c>
      <c r="F111" s="259">
        <f>Valuation_Model!F74</f>
        <v>0.05</v>
      </c>
    </row>
    <row r="112" spans="1:6">
      <c r="B112" s="242" t="str">
        <f>Valuation_Model!B75</f>
        <v>Optimistic</v>
      </c>
      <c r="C112" s="243">
        <f>Valuation_Model!C75</f>
        <v>0.04</v>
      </c>
      <c r="D112" s="244">
        <f>Valuation_Model!D75</f>
        <v>10</v>
      </c>
      <c r="E112" s="245" t="str">
        <f>ROUND(Valuation_Model!E75,2)&amp;" "&amp;Market_currency</f>
        <v>2.84 HKD</v>
      </c>
      <c r="F112" s="246">
        <f>Valuation_Model!F75</f>
        <v>0.17</v>
      </c>
    </row>
    <row r="113" spans="1:6">
      <c r="B113" s="242" t="str">
        <f>Valuation_Model!B76</f>
        <v>Base</v>
      </c>
      <c r="C113" s="243">
        <f>Valuation_Model!C76</f>
        <v>0.02</v>
      </c>
      <c r="D113" s="244">
        <f>Valuation_Model!D76</f>
        <v>10</v>
      </c>
      <c r="E113" s="245" t="str">
        <f>ROUND(Valuation_Model!E76,2)&amp;" "&amp;Market_currency</f>
        <v>2.77 HKD</v>
      </c>
      <c r="F113" s="246">
        <f>Valuation_Model!F76</f>
        <v>0.51</v>
      </c>
    </row>
    <row r="114" spans="1:6">
      <c r="B114" s="242" t="str">
        <f>Valuation_Model!B77</f>
        <v>Pessimistic</v>
      </c>
      <c r="C114" s="243">
        <f>Valuation_Model!C77</f>
        <v>-0.08</v>
      </c>
      <c r="D114" s="244">
        <f>Valuation_Model!D77</f>
        <v>10</v>
      </c>
      <c r="E114" s="245" t="str">
        <f>ROUND(Valuation_Model!E77,2)&amp;" "&amp;Market_currency</f>
        <v>2.49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2.35 HKD</v>
      </c>
      <c r="F115" s="246">
        <f>Valuation_Model!F78</f>
        <v>0.1</v>
      </c>
    </row>
    <row r="117" spans="1:6">
      <c r="B117" s="235" t="s">
        <v>259</v>
      </c>
      <c r="C117" s="241">
        <f>Scenarios!C60</f>
        <v>2.7155321746611896</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0.11362541597147162</v>
      </c>
      <c r="D128" s="236" t="str">
        <f>Market_currency</f>
        <v>HKD</v>
      </c>
    </row>
    <row r="130" spans="2:4">
      <c r="B130" s="234" t="s">
        <v>418</v>
      </c>
      <c r="C130" s="337">
        <f>C19</f>
        <v>0.3</v>
      </c>
      <c r="D130" s="1" t="s">
        <v>416</v>
      </c>
    </row>
    <row r="131" spans="2:4">
      <c r="B131" s="236" t="str">
        <f>"PV("&amp;C126&amp;" yrs of Dividends)"</f>
        <v>PV(3 yrs of Dividends)</v>
      </c>
      <c r="C131" s="240">
        <f>Scenarios!C81</f>
        <v>0.20635658157768408</v>
      </c>
    </row>
    <row r="132" spans="2:4">
      <c r="B132" s="236" t="str">
        <f>"+ PV(Equity Value realized at year "&amp;C126&amp;")"</f>
        <v>+ PV(Equity Value realized at year 3)</v>
      </c>
      <c r="C132" s="240">
        <f>Scenarios!C82</f>
        <v>1.236018286145284</v>
      </c>
    </row>
    <row r="133" spans="2:4">
      <c r="B133" s="80" t="s">
        <v>261</v>
      </c>
      <c r="C133" s="239">
        <f>Scenarios!C83</f>
        <v>1.442374867722968</v>
      </c>
      <c r="D133" s="47" t="str">
        <f>Reporting_currency</f>
        <v>CNY</v>
      </c>
    </row>
    <row r="134" spans="2:4">
      <c r="B134" s="238" t="s">
        <v>263</v>
      </c>
      <c r="C134" s="92">
        <f>Scenarios!F83</f>
        <v>0.46884265221312293</v>
      </c>
    </row>
    <row r="136" spans="2:4">
      <c r="B136" s="234" t="s">
        <v>421</v>
      </c>
      <c r="C136" s="337">
        <f>Scenarios!C90</f>
        <v>0.2</v>
      </c>
      <c r="D136" s="1" t="s">
        <v>420</v>
      </c>
    </row>
    <row r="137" spans="2:4">
      <c r="B137" s="236" t="str">
        <f>"PV("&amp;C126&amp;" yrs of Dividends)"</f>
        <v>PV(3 yrs of Dividends)</v>
      </c>
      <c r="C137" s="240">
        <f>Scenarios!C91</f>
        <v>0.23934983456953512</v>
      </c>
    </row>
    <row r="138" spans="2:4">
      <c r="B138" s="236" t="str">
        <f>"+ PV(Equity Value realized at year "&amp;C126&amp;")"</f>
        <v>+ PV(Equity Value realized at year 3)</v>
      </c>
      <c r="C138" s="240">
        <f>Scenarios!C92</f>
        <v>1.5714885270030032</v>
      </c>
    </row>
    <row r="139" spans="2:4">
      <c r="B139" s="80" t="s">
        <v>261</v>
      </c>
      <c r="C139" s="239">
        <f>Scenarios!C93</f>
        <v>1.8108383615725383</v>
      </c>
      <c r="D139" s="47" t="str">
        <f>Reporting_currency</f>
        <v>CNY</v>
      </c>
    </row>
    <row r="140" spans="2:4">
      <c r="B140" s="238" t="s">
        <v>263</v>
      </c>
      <c r="C140" s="92">
        <f>Scenarios!F93</f>
        <v>0.33315525462390361</v>
      </c>
    </row>
    <row r="142" spans="2:4">
      <c r="B142" s="234" t="s">
        <v>408</v>
      </c>
      <c r="C142" s="92">
        <f>Scenarios!C96</f>
        <v>0.08</v>
      </c>
      <c r="D142" s="1" t="s">
        <v>419</v>
      </c>
    </row>
    <row r="143" spans="2:4">
      <c r="B143" s="236" t="str">
        <f>"PV("&amp;C126&amp;" yrs of Dividends)"</f>
        <v>PV(3 yrs of Dividends)</v>
      </c>
      <c r="C143" s="240">
        <f>Scenarios!C97</f>
        <v>0.29282371717486666</v>
      </c>
    </row>
    <row r="144" spans="2:4">
      <c r="B144" s="236" t="str">
        <f>"+ PV(Equity Value realized at year "&amp;C126&amp;")"</f>
        <v>+ PV(Equity Value realized at year 3)</v>
      </c>
      <c r="C144" s="240">
        <f>Scenarios!C98</f>
        <v>2.1556769917736669</v>
      </c>
    </row>
    <row r="145" spans="1:6">
      <c r="B145" s="80" t="s">
        <v>409</v>
      </c>
      <c r="C145" s="239">
        <f>Scenarios!C99</f>
        <v>2.4485007089485338</v>
      </c>
      <c r="D145" s="101" t="str">
        <f>Reporting_currency</f>
        <v>CNY</v>
      </c>
    </row>
    <row r="146" spans="1:6">
      <c r="B146" s="238" t="s">
        <v>263</v>
      </c>
      <c r="C146" s="92">
        <f>Scenarios!F99</f>
        <v>9.8334856130354087E-2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0.11362541597147162</v>
      </c>
      <c r="D25" s="39">
        <f>(0.064+0.041)/Exchange_Rate</f>
        <v>9.7792366204955086E-2</v>
      </c>
      <c r="E25" s="39">
        <f>(0.022+0.0168)/Exchange_Rate</f>
        <v>3.613660770240245E-2</v>
      </c>
      <c r="F25" s="39"/>
      <c r="G25" s="39"/>
      <c r="H25" s="39"/>
      <c r="I25" s="39"/>
      <c r="J25" s="39"/>
      <c r="K25" s="39"/>
      <c r="L25" s="39"/>
      <c r="M25" s="39"/>
    </row>
    <row r="27" spans="2:13">
      <c r="B27" s="16" t="s">
        <v>28</v>
      </c>
      <c r="C27" s="97" t="s">
        <v>430</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0.11362541597147162</v>
      </c>
      <c r="D65" s="73">
        <f t="shared" ref="D65:M65" si="33">IF(D$4="","",D25)</f>
        <v>9.7792366204955086E-2</v>
      </c>
      <c r="E65" s="73">
        <f t="shared" si="33"/>
        <v>3.613660770240245E-2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2.5450585362406026</v>
      </c>
      <c r="D47" s="148">
        <f>D46*H1/Common_Shares*Exchange_Rate</f>
        <v>1.8775728111399408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1875056.3450548952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-151143.3811305165</v>
      </c>
      <c r="D73" s="188">
        <f>(Normalized_FCF!C25+Normalized_FCF!C35-Normalized_FCF!C91)/12</f>
        <v>-138763.94249085081</v>
      </c>
      <c r="F73" s="1" t="s">
        <v>359</v>
      </c>
    </row>
    <row r="74" spans="2:6" ht="15" customHeight="1">
      <c r="B74" s="288" t="s">
        <v>329</v>
      </c>
      <c r="C74" s="289">
        <f>-$C$66/C73</f>
        <v>17.914380237807951</v>
      </c>
      <c r="D74" s="289">
        <f>-$C$66/D73</f>
        <v>19.512561775034058</v>
      </c>
      <c r="F74" s="283" t="s">
        <v>327</v>
      </c>
    </row>
    <row r="75" spans="2:6" ht="15" customHeight="1">
      <c r="B75" s="80" t="s">
        <v>328</v>
      </c>
      <c r="C75" s="293"/>
      <c r="D75" s="292">
        <f>MAX(-D73*D76,G5)</f>
        <v>832583.65494510485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-36504.843256559994</v>
      </c>
      <c r="D86" s="248">
        <f>C86*scaling_factor/Common_Shares</f>
        <v>-2.7378629020091371E-2</v>
      </c>
      <c r="E86" s="269" t="str">
        <f>Market_currency</f>
        <v>HKD</v>
      </c>
    </row>
    <row r="87" spans="2:8" ht="15" customHeight="1">
      <c r="B87" s="267" t="s">
        <v>294</v>
      </c>
      <c r="C87" s="188">
        <f>Valuation_Model!C8*Exchange_Rate</f>
        <v>2013254.4478792676</v>
      </c>
      <c r="D87" s="248">
        <f>C87*scaling_factor/Common_Shares</f>
        <v>1.5099406471668699</v>
      </c>
      <c r="E87" s="269" t="str">
        <f>Market_currency</f>
        <v>HKD</v>
      </c>
    </row>
    <row r="88" spans="2:8" ht="15" customHeight="1">
      <c r="B88" s="268" t="s">
        <v>190</v>
      </c>
      <c r="C88" s="188">
        <f>Valuation_Model!C9*Exchange_Rate</f>
        <v>246511.68015994393</v>
      </c>
      <c r="D88" s="248">
        <f>C88*scaling_factor/Common_Shares</f>
        <v>0.18488373700949082</v>
      </c>
      <c r="E88" s="269" t="str">
        <f>Market_currency</f>
        <v>HKD</v>
      </c>
    </row>
    <row r="89" spans="2:8" ht="15" customHeight="1">
      <c r="B89" s="80" t="s">
        <v>298</v>
      </c>
      <c r="C89" s="187">
        <f>SUM(C86:C88)</f>
        <v>2223261.2847826518</v>
      </c>
      <c r="D89" s="271">
        <f>SUM(D86:D88)</f>
        <v>1.6674457551562694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23178.011635642677</v>
      </c>
      <c r="E12" s="302"/>
      <c r="G12" s="191">
        <f>G50</f>
        <v>23178.011635642681</v>
      </c>
      <c r="H12" s="191">
        <f t="shared" ref="H12:Q12" si="6">H50</f>
        <v>21691.611046233422</v>
      </c>
      <c r="I12" s="191">
        <f t="shared" si="6"/>
        <v>13081.862962491508</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136954.94197829784</v>
      </c>
      <c r="E13" s="302"/>
      <c r="G13" s="184">
        <f>IF(G$4="","",SUM(G8:G12))</f>
        <v>217040.01163564267</v>
      </c>
      <c r="H13" s="184">
        <f t="shared" ref="H13:Q13" si="7">IF(H$4="","",SUM(H8:H12))</f>
        <v>147507.61104623342</v>
      </c>
      <c r="I13" s="184">
        <f t="shared" si="7"/>
        <v>35779.862962491505</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-34238.735494574459</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102716.20648372338</v>
      </c>
      <c r="D16" s="61"/>
      <c r="E16" s="310"/>
      <c r="F16" s="61"/>
      <c r="G16" s="184">
        <f>IF(G$4="","",SUM(G13:G15))</f>
        <v>169770.01163564267</v>
      </c>
      <c r="H16" s="184">
        <f t="shared" ref="H16:Q16" si="8">IF(H$4="","",SUM(H13:H15))</f>
        <v>103058.61104623342</v>
      </c>
      <c r="I16" s="184">
        <f t="shared" si="8"/>
        <v>14762.862962491505</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102716.20648372338</v>
      </c>
      <c r="D19" s="27"/>
      <c r="E19" s="299"/>
      <c r="F19" s="27"/>
      <c r="G19" s="186">
        <f>IF(G$4="","",G16+G17)</f>
        <v>169770.01163564267</v>
      </c>
      <c r="H19" s="186">
        <f t="shared" ref="H19:Q19" si="9">IF(H$4="","",H16+H17)</f>
        <v>103058.61104623342</v>
      </c>
      <c r="I19" s="186">
        <f t="shared" si="9"/>
        <v>14762.862962491505</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0.26106500923608428</v>
      </c>
      <c r="H43" s="6">
        <f t="shared" si="18"/>
        <v>0.35041811563979908</v>
      </c>
      <c r="I43" s="6">
        <f t="shared" si="18"/>
        <v>1.3760107741972079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25058.011635642677</v>
      </c>
      <c r="E48" s="302"/>
      <c r="G48" s="328">
        <f>IFERROR(IF(G$4="","",($C$48/$C$49)*G49),0)</f>
        <v>25058.011635642681</v>
      </c>
      <c r="H48" s="328">
        <f t="shared" ref="H48:Q48" si="19">IFERROR(IF(H$4="","",($C$48/$C$49)*H49),0)</f>
        <v>22694.611046233422</v>
      </c>
      <c r="I48" s="328">
        <f t="shared" si="19"/>
        <v>13944.862962491508</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23178.011635642677</v>
      </c>
      <c r="E50" s="302"/>
      <c r="G50" s="184">
        <f>IF(G$4="","",(G47+G48))</f>
        <v>23178.011635642681</v>
      </c>
      <c r="H50" s="184">
        <f t="shared" ref="H50:Q50" si="20">IF(H$4="","",(H47+H48))</f>
        <v>21691.611046233422</v>
      </c>
      <c r="I50" s="184">
        <f t="shared" si="20"/>
        <v>13081.862962491508</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432</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1.424197476716102E-2</v>
      </c>
      <c r="D80" s="27"/>
      <c r="E80" s="299"/>
      <c r="F80" s="27"/>
      <c r="G80" s="6">
        <f t="shared" ref="G80:Q80" si="31">IF(G$4="","",ABS(G12/G$4))</f>
        <v>1.2734415559759465E-2</v>
      </c>
      <c r="H80" s="6">
        <f t="shared" si="31"/>
        <v>1.3426474649265389E-2</v>
      </c>
      <c r="I80" s="6">
        <f t="shared" si="31"/>
        <v>9.0429416083992742E-3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8.4153414820685751E-2</v>
      </c>
      <c r="D81" s="27"/>
      <c r="E81" s="299"/>
      <c r="F81" s="27"/>
      <c r="G81" s="65">
        <f t="shared" ref="G81:Q81" si="32">IF(G$4="","",G13/G$4)</f>
        <v>0.11924567752882943</v>
      </c>
      <c r="H81" s="65">
        <f t="shared" si="32"/>
        <v>9.1302909501037338E-2</v>
      </c>
      <c r="I81" s="65">
        <f t="shared" si="32"/>
        <v>2.4733114270806867E-2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2.1038353705171438E-2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6.311506111551432E-2</v>
      </c>
      <c r="D84" s="27"/>
      <c r="E84" s="299"/>
      <c r="F84" s="27"/>
      <c r="G84" s="65">
        <f t="shared" ref="G84:Q84" si="35">IF(G$4="","",ABS(G16/G$4))</f>
        <v>9.3274691191754924E-2</v>
      </c>
      <c r="H84" s="65">
        <f t="shared" si="35"/>
        <v>6.3790274758823221E-2</v>
      </c>
      <c r="I84" s="65">
        <f t="shared" si="35"/>
        <v>1.0204946201117006E-2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6.311506111551432E-2</v>
      </c>
      <c r="D87" s="75"/>
      <c r="E87" s="299"/>
      <c r="F87" s="75"/>
      <c r="G87" s="65">
        <f t="shared" ref="G87:Q87" si="36">IF(G$4="","",ABS(G19/G$4))</f>
        <v>9.3274691191754924E-2</v>
      </c>
      <c r="H87" s="65">
        <f t="shared" si="36"/>
        <v>6.3790274758823221E-2</v>
      </c>
      <c r="I87" s="65">
        <f t="shared" si="36"/>
        <v>1.0204946201117006E-2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0.11362541597147162</v>
      </c>
      <c r="E90" s="302"/>
      <c r="G90" s="113">
        <f>Data!C65</f>
        <v>0.11362541597147162</v>
      </c>
      <c r="H90" s="113">
        <f>Data!D65</f>
        <v>9.7792366204955086E-2</v>
      </c>
      <c r="I90" s="113">
        <f>Data!E65</f>
        <v>3.613660770240245E-2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151500.57356619815</v>
      </c>
      <c r="E91" s="302"/>
      <c r="G91" s="74">
        <f t="shared" ref="G91:Q91" si="37">IF(G$4="","",G90*Common_Shares/scaling_factor)</f>
        <v>151500.57356619815</v>
      </c>
      <c r="H91" s="74">
        <f t="shared" si="37"/>
        <v>130389.83790533448</v>
      </c>
      <c r="I91" s="74">
        <f t="shared" si="37"/>
        <v>48182.149625971222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1.4749432319641327</v>
      </c>
      <c r="E92" s="302"/>
      <c r="G92" s="171">
        <f t="shared" ref="G92:Q92" si="38">IF(G$4="","",G90/(G19*scaling_factor/Common_Shares))</f>
        <v>0.89238713072215559</v>
      </c>
      <c r="H92" s="171">
        <f t="shared" si="38"/>
        <v>1.2652008074011392</v>
      </c>
      <c r="I92" s="171">
        <f t="shared" si="38"/>
        <v>3.2637402208764792</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4.8351240838924094E-2</v>
      </c>
      <c r="E93" s="302"/>
      <c r="G93" s="23">
        <f t="shared" ref="G93:Q93" si="39">IF(G$4="","",G90/Market_Price)</f>
        <v>4.8351240838924094E-2</v>
      </c>
      <c r="H93" s="23">
        <f t="shared" si="39"/>
        <v>4.1613772853172373E-2</v>
      </c>
      <c r="I93" s="23">
        <f t="shared" si="39"/>
        <v>1.5377279873362744E-2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-0.36898758461084202</v>
      </c>
      <c r="D97" s="27"/>
      <c r="E97" s="299"/>
      <c r="F97" s="27"/>
      <c r="G97" s="6">
        <f t="shared" ref="G97:Q97" si="41">IF(H5="","",G13/H13-1)</f>
        <v>0.47138178224319338</v>
      </c>
      <c r="H97" s="6">
        <f t="shared" si="41"/>
        <v>3.1226432644772162</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8.4153414820685751E-2</v>
      </c>
      <c r="E117" s="302"/>
      <c r="G117" s="23">
        <f t="shared" ref="G117:Q117" si="45">G81</f>
        <v>0.11924567752882943</v>
      </c>
      <c r="H117" s="23">
        <f t="shared" si="45"/>
        <v>9.1302909501037338E-2</v>
      </c>
      <c r="I117" s="23">
        <f t="shared" si="45"/>
        <v>2.4733114270806867E-2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8.2715047844612075E-2</v>
      </c>
      <c r="D124" s="27"/>
      <c r="E124" s="299"/>
      <c r="F124" s="27"/>
      <c r="G124" s="178">
        <f t="shared" ref="G124:Q124" si="49">IF(G$4="","",G16*$C$3/Common_Shares*Exchange_Rate)</f>
        <v>0.13671196703752628</v>
      </c>
      <c r="H124" s="178">
        <f t="shared" si="49"/>
        <v>8.2990778527624792E-2</v>
      </c>
      <c r="I124" s="178">
        <f t="shared" si="49"/>
        <v>1.1888201074281653E-2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3.5197892699834928E-2</v>
      </c>
      <c r="D125" s="27"/>
      <c r="E125" s="299"/>
      <c r="F125" s="27"/>
      <c r="G125" s="77">
        <f t="shared" ref="G125" si="50">IF(G$4="","",G124/Market_Price)</f>
        <v>5.8175305122351605E-2</v>
      </c>
      <c r="H125" s="77">
        <f t="shared" ref="H125" si="51">IF(H$4="","",H124/Market_Price)</f>
        <v>3.5315224905372249E-2</v>
      </c>
      <c r="I125" s="77">
        <f t="shared" ref="I125" si="52">IF(I$4="","",I124/Market_Price)</f>
        <v>5.0588089677794266E-3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6.2313502849110018E-2</v>
      </c>
      <c r="H126" s="23">
        <f>IF(H$4="","",(Data!D47*$C$3)/(Market_Price*Common_Shares))</f>
        <v>5.515435480783331E-2</v>
      </c>
      <c r="I126" s="23">
        <f>IF(I$4="","",(Data!E47*$C$3)/(Market_Price*Common_Shares))</f>
        <v>2.0890210154681177E-2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102716.20648372338</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1283952.5810465422</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1875056.3450548952</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3354600.0261014374</v>
      </c>
      <c r="D10" t="str">
        <f>Reporting_currency</f>
        <v>CNY</v>
      </c>
      <c r="H10" s="121"/>
    </row>
    <row r="11" spans="2:8" ht="13.15" thickBot="1">
      <c r="B11" s="230" t="s">
        <v>167</v>
      </c>
      <c r="C11" s="231">
        <f>Exchange_Rate</f>
        <v>1.0737034399999998</v>
      </c>
      <c r="D11" t="str">
        <f>Thesis!D17</f>
        <v>CNY/HKD</v>
      </c>
      <c r="H11" s="121"/>
    </row>
    <row r="12" spans="2:8" ht="13.5" thickTop="1">
      <c r="B12" s="150" t="s">
        <v>103</v>
      </c>
      <c r="C12" s="112">
        <f>(C10*scaling_factor)/Common_Shares*Exchange_Rate</f>
        <v>2.7013838532139203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2.7292416639653307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103597.29598326616</v>
      </c>
      <c r="D21" s="139">
        <f>IF($C$17&lt;B21,0,Valuation_Model!$C$16)</f>
        <v>8.5779014792802307E-3</v>
      </c>
      <c r="E21" s="125">
        <f t="shared" ref="E21:E50" si="0">IF($C$17&lt;B21,0,1/(1+Equity_Cost)^B21)</f>
        <v>0.92592592592592582</v>
      </c>
      <c r="F21" s="126">
        <f t="shared" ref="F21:F51" si="1">C21*E21</f>
        <v>95923.422206727919</v>
      </c>
      <c r="H21" s="121"/>
    </row>
    <row r="22" spans="2:8">
      <c r="B22" s="123">
        <v>2</v>
      </c>
      <c r="C22" s="124">
        <f t="shared" ref="C22:C50" si="2">IF(ROW()-ROW($C$21)&lt;$C$17, $C$21*(1+D22)^(ROW()-ROW($C$21)), 0)</f>
        <v>104485.94338173044</v>
      </c>
      <c r="D22" s="139">
        <f>IF($C$17&lt;B22,0,Valuation_Model!$C$16)</f>
        <v>8.5779014792802307E-3</v>
      </c>
      <c r="E22" s="125">
        <f t="shared" si="0"/>
        <v>0.85733882030178321</v>
      </c>
      <c r="F22" s="126">
        <f t="shared" si="1"/>
        <v>89579.855437011691</v>
      </c>
      <c r="H22" s="121"/>
    </row>
    <row r="23" spans="2:8">
      <c r="B23" s="123">
        <v>3</v>
      </c>
      <c r="C23" s="124">
        <f t="shared" si="2"/>
        <v>105382.21351002857</v>
      </c>
      <c r="D23" s="139">
        <f>IF($C$17&lt;B23,0,Valuation_Model!$C$16)</f>
        <v>8.5779014792802307E-3</v>
      </c>
      <c r="E23" s="125">
        <f t="shared" si="0"/>
        <v>0.79383224102016958</v>
      </c>
      <c r="F23" s="126">
        <f t="shared" si="1"/>
        <v>83655.798714331962</v>
      </c>
      <c r="H23" s="121"/>
    </row>
    <row r="24" spans="2:8">
      <c r="B24" s="123">
        <v>4</v>
      </c>
      <c r="C24" s="124">
        <f t="shared" si="2"/>
        <v>106286.17175518605</v>
      </c>
      <c r="D24" s="139">
        <f>IF($C$17&lt;B24,0,Valuation_Model!$C$16)</f>
        <v>8.5779014792802307E-3</v>
      </c>
      <c r="E24" s="125">
        <f t="shared" si="0"/>
        <v>0.73502985279645328</v>
      </c>
      <c r="F24" s="126">
        <f t="shared" si="1"/>
        <v>78123.509179512956</v>
      </c>
      <c r="H24" s="121"/>
    </row>
    <row r="25" spans="2:8">
      <c r="B25" s="123">
        <v>5</v>
      </c>
      <c r="C25" s="124">
        <f t="shared" si="2"/>
        <v>107197.88406511188</v>
      </c>
      <c r="D25" s="139">
        <f>IF($C$17&lt;B25,0,Valuation_Model!$C$16)</f>
        <v>8.5779014792802307E-3</v>
      </c>
      <c r="E25" s="125">
        <f t="shared" si="0"/>
        <v>0.68058319703375303</v>
      </c>
      <c r="F25" s="126">
        <f t="shared" si="1"/>
        <v>72957.078652287455</v>
      </c>
      <c r="H25" s="121"/>
    </row>
    <row r="26" spans="2:8">
      <c r="B26" s="123">
        <v>6</v>
      </c>
      <c r="C26" s="124">
        <f t="shared" si="2"/>
        <v>108117.41695340973</v>
      </c>
      <c r="D26" s="139">
        <f>IF($C$17&lt;B26,0,Valuation_Model!$C$16)</f>
        <v>8.5779014792802307E-3</v>
      </c>
      <c r="E26" s="125">
        <f t="shared" si="0"/>
        <v>0.63016962688310452</v>
      </c>
      <c r="F26" s="126">
        <f t="shared" si="1"/>
        <v>68132.312301095255</v>
      </c>
      <c r="H26" s="121"/>
    </row>
    <row r="27" spans="2:8">
      <c r="B27" s="123">
        <v>7</v>
      </c>
      <c r="C27" s="124">
        <f t="shared" si="2"/>
        <v>109044.83750423031</v>
      </c>
      <c r="D27" s="139">
        <f>IF($C$17&lt;B27,0,Valuation_Model!$C$16)</f>
        <v>8.5779014792802307E-3</v>
      </c>
      <c r="E27" s="125">
        <f t="shared" si="0"/>
        <v>0.58349039526213387</v>
      </c>
      <c r="F27" s="126">
        <f t="shared" si="1"/>
        <v>63626.615336638504</v>
      </c>
      <c r="H27" s="121"/>
    </row>
    <row r="28" spans="2:8">
      <c r="B28" s="123">
        <v>8</v>
      </c>
      <c r="C28" s="124">
        <f t="shared" si="2"/>
        <v>109980.21337716571</v>
      </c>
      <c r="D28" s="139">
        <f>IF($C$17&lt;B28,0,Valuation_Model!$C$16)</f>
        <v>8.5779014792802307E-3</v>
      </c>
      <c r="E28" s="125">
        <f t="shared" si="0"/>
        <v>0.54026888450197574</v>
      </c>
      <c r="F28" s="126">
        <f t="shared" si="1"/>
        <v>59418.887198570592</v>
      </c>
      <c r="H28" s="121"/>
    </row>
    <row r="29" spans="2:8">
      <c r="B29" s="123">
        <v>9</v>
      </c>
      <c r="C29" s="124">
        <f t="shared" si="2"/>
        <v>110923.61281218525</v>
      </c>
      <c r="D29" s="139">
        <f>IF($C$17&lt;B29,0,Valuation_Model!$C$16)</f>
        <v>8.5779014792802307E-3</v>
      </c>
      <c r="E29" s="125">
        <f t="shared" si="0"/>
        <v>0.50024896713145905</v>
      </c>
      <c r="F29" s="126">
        <f t="shared" si="1"/>
        <v>55489.42273978555</v>
      </c>
      <c r="H29" s="121"/>
    </row>
    <row r="30" spans="2:8">
      <c r="B30" s="123">
        <v>10</v>
      </c>
      <c r="C30" s="124">
        <f t="shared" si="2"/>
        <v>111875.10463461401</v>
      </c>
      <c r="D30" s="139">
        <f>IF($C$17&lt;B30,0,Valuation_Model!$C$16)</f>
        <v>8.5779014792802307E-3</v>
      </c>
      <c r="E30" s="125">
        <f t="shared" si="0"/>
        <v>0.46319348808468425</v>
      </c>
      <c r="F30" s="126">
        <f t="shared" si="1"/>
        <v>51819.819945545889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1294966.199790827</v>
      </c>
      <c r="D51" s="140">
        <f>Terminal_Growth</f>
        <v>0</v>
      </c>
      <c r="E51" s="125">
        <f>1/(1+Equity_Cost)^C17</f>
        <v>0.46319348808468425</v>
      </c>
      <c r="F51" s="126">
        <f t="shared" si="1"/>
        <v>599819.91103288124</v>
      </c>
      <c r="H51" s="121"/>
    </row>
    <row r="52" spans="1:8">
      <c r="C52" s="115"/>
      <c r="E52" s="128" t="s">
        <v>101</v>
      </c>
      <c r="F52" s="138">
        <f>SUM(F21:F51)</f>
        <v>1318546.6327443889</v>
      </c>
      <c r="H52" s="121"/>
    </row>
    <row r="53" spans="1:8">
      <c r="C53" s="115"/>
      <c r="H53" s="121"/>
    </row>
    <row r="54" spans="1:8" ht="13.15">
      <c r="B54" s="120" t="s">
        <v>130</v>
      </c>
      <c r="C54" s="137"/>
      <c r="D54" s="137"/>
      <c r="E54" s="118"/>
      <c r="F54" s="118"/>
      <c r="H54" s="121"/>
    </row>
    <row r="55" spans="1:8" ht="13.15">
      <c r="A55" s="134">
        <f>F52</f>
        <v>1318546.6327443889</v>
      </c>
      <c r="B55" s="132">
        <f>C78</f>
        <v>-0.1</v>
      </c>
      <c r="C55" s="132">
        <f>C77</f>
        <v>-0.08</v>
      </c>
      <c r="D55" s="132">
        <f>C76</f>
        <v>0.02</v>
      </c>
      <c r="E55" s="132">
        <f>C75</f>
        <v>0.04</v>
      </c>
      <c r="F55" s="132">
        <f>C74</f>
        <v>0.08</v>
      </c>
      <c r="H55" s="121"/>
    </row>
    <row r="56" spans="1:8" ht="13.15">
      <c r="A56" s="144">
        <v>5</v>
      </c>
      <c r="B56" s="124">
        <f t="dataTable" ref="B56:F61" dt2D="1" dtr="1" r1="C16" r2="C17"/>
        <v>1093637.231280071</v>
      </c>
      <c r="C56" s="124">
        <v>1129620.2335667911</v>
      </c>
      <c r="D56" s="124">
        <v>1325379.6124585299</v>
      </c>
      <c r="E56" s="124">
        <v>1368047.3653832758</v>
      </c>
      <c r="F56" s="124">
        <v>1457324.5090628832</v>
      </c>
      <c r="H56" s="121"/>
    </row>
    <row r="57" spans="1:8" ht="13.15">
      <c r="A57" s="144">
        <v>10</v>
      </c>
      <c r="B57" s="124">
        <v>965881.45551193226</v>
      </c>
      <c r="C57" s="124">
        <v>1018923.3179929267</v>
      </c>
      <c r="D57" s="124">
        <v>1366844.7916199456</v>
      </c>
      <c r="E57" s="124">
        <v>1458045.0460852082</v>
      </c>
      <c r="F57" s="124">
        <v>1669458.0173515375</v>
      </c>
      <c r="H57" s="121"/>
    </row>
    <row r="58" spans="1:8" ht="13.15">
      <c r="A58" s="144">
        <v>15</v>
      </c>
      <c r="B58" s="124">
        <v>844526.67401635635</v>
      </c>
      <c r="C58" s="124">
        <v>909688.16252871207</v>
      </c>
      <c r="D58" s="124">
        <v>1418169.4480490175</v>
      </c>
      <c r="E58" s="124">
        <v>1575368.4359486909</v>
      </c>
      <c r="F58" s="124">
        <v>1977878.9300598749</v>
      </c>
      <c r="H58" s="121"/>
    </row>
    <row r="59" spans="1:8" ht="13.15">
      <c r="A59" s="145">
        <v>20</v>
      </c>
      <c r="B59" s="124">
        <v>748107.50958259637</v>
      </c>
      <c r="C59" s="124">
        <v>820139.85622709175</v>
      </c>
      <c r="D59" s="124">
        <v>1470461.0421411674</v>
      </c>
      <c r="E59" s="124">
        <v>1701646.6573118276</v>
      </c>
      <c r="F59" s="124">
        <v>2351831.4323022426</v>
      </c>
      <c r="H59" s="121"/>
    </row>
    <row r="60" spans="1:8" ht="13.15">
      <c r="A60" s="145">
        <v>25</v>
      </c>
      <c r="B60" s="124">
        <v>676929.42923991964</v>
      </c>
      <c r="C60" s="124">
        <v>752374.56854722032</v>
      </c>
      <c r="D60" s="124">
        <v>1519095.1263079257</v>
      </c>
      <c r="E60" s="124">
        <v>1826035.0012488775</v>
      </c>
      <c r="F60" s="124">
        <v>2770383.6332563846</v>
      </c>
      <c r="H60" s="121"/>
    </row>
    <row r="61" spans="1:8" ht="13.15">
      <c r="A61" s="145">
        <v>30</v>
      </c>
      <c r="B61" s="124">
        <v>626253.6635743709</v>
      </c>
      <c r="C61" s="124">
        <v>703195.37802491128</v>
      </c>
      <c r="D61" s="124">
        <v>1561997.1539419133</v>
      </c>
      <c r="E61" s="124">
        <v>1942525.787703377</v>
      </c>
      <c r="F61" s="124">
        <v>3219289.6397465281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2.7013838532139203</v>
      </c>
      <c r="C65" s="125">
        <f>C12</f>
        <v>2.7013838532139203</v>
      </c>
      <c r="D65" s="125">
        <f>C12</f>
        <v>2.7013838532139203</v>
      </c>
      <c r="E65" s="142">
        <f>C12</f>
        <v>2.7013838532139203</v>
      </c>
      <c r="F65" s="125">
        <f>C12</f>
        <v>2.7013838532139203</v>
      </c>
      <c r="H65" s="121"/>
    </row>
    <row r="66" spans="1:8" ht="13.15">
      <c r="A66" s="144">
        <f t="shared" ref="A66:A71" si="3">A56</f>
        <v>5</v>
      </c>
      <c r="B66" s="125">
        <f t="shared" ref="B66:F71" si="4">(B56-$C$7+$C$8+$C$9)/Common_Shares*$C$3*Exchange_Rate</f>
        <v>2.548127188074206</v>
      </c>
      <c r="C66" s="125">
        <f t="shared" si="4"/>
        <v>2.5771034894547529</v>
      </c>
      <c r="D66" s="125">
        <f t="shared" si="4"/>
        <v>2.7347441086459181</v>
      </c>
      <c r="E66" s="125">
        <f t="shared" si="4"/>
        <v>2.7691034891702726</v>
      </c>
      <c r="F66" s="125">
        <f t="shared" si="4"/>
        <v>2.8409963623952894</v>
      </c>
      <c r="H66" s="121"/>
    </row>
    <row r="67" spans="1:8" ht="13.15">
      <c r="A67" s="144">
        <f t="shared" si="3"/>
        <v>10</v>
      </c>
      <c r="B67" s="125">
        <f t="shared" si="4"/>
        <v>2.4452483389924726</v>
      </c>
      <c r="C67" s="125">
        <f t="shared" si="4"/>
        <v>2.4879617563106837</v>
      </c>
      <c r="D67" s="125">
        <f t="shared" si="4"/>
        <v>2.7681350836014178</v>
      </c>
      <c r="E67" s="125">
        <f t="shared" si="4"/>
        <v>2.8415765946323988</v>
      </c>
      <c r="F67" s="125">
        <f t="shared" si="4"/>
        <v>3.0118226992335955</v>
      </c>
      <c r="H67" s="121"/>
    </row>
    <row r="68" spans="1:8" ht="13.15">
      <c r="A68" s="144">
        <f t="shared" si="3"/>
        <v>15</v>
      </c>
      <c r="B68" s="125">
        <f t="shared" si="4"/>
        <v>2.3475240664438211</v>
      </c>
      <c r="C68" s="125">
        <f t="shared" si="4"/>
        <v>2.3999971456631131</v>
      </c>
      <c r="D68" s="125">
        <f t="shared" si="4"/>
        <v>2.8094656735586279</v>
      </c>
      <c r="E68" s="125">
        <f t="shared" si="4"/>
        <v>2.9360544782893259</v>
      </c>
      <c r="F68" s="125">
        <f t="shared" si="4"/>
        <v>3.260187114395205</v>
      </c>
      <c r="H68" s="121"/>
    </row>
    <row r="69" spans="1:8" ht="13.15">
      <c r="A69" s="145">
        <f t="shared" si="3"/>
        <v>20</v>
      </c>
      <c r="B69" s="125">
        <f t="shared" si="4"/>
        <v>2.2698798847485033</v>
      </c>
      <c r="C69" s="125">
        <f t="shared" si="4"/>
        <v>2.3278859112853505</v>
      </c>
      <c r="D69" s="125">
        <f t="shared" si="4"/>
        <v>2.8515749166398412</v>
      </c>
      <c r="E69" s="125">
        <f t="shared" si="4"/>
        <v>3.0377434860842105</v>
      </c>
      <c r="F69" s="125">
        <f t="shared" si="4"/>
        <v>3.5613226427939413</v>
      </c>
      <c r="H69" s="121"/>
    </row>
    <row r="70" spans="1:8" ht="13.15">
      <c r="A70" s="145">
        <f t="shared" si="3"/>
        <v>25</v>
      </c>
      <c r="B70" s="125">
        <f t="shared" si="4"/>
        <v>2.2125617796258701</v>
      </c>
      <c r="C70" s="125">
        <f t="shared" si="4"/>
        <v>2.273316051235732</v>
      </c>
      <c r="D70" s="125">
        <f t="shared" si="4"/>
        <v>2.8907388493476729</v>
      </c>
      <c r="E70" s="125">
        <f t="shared" si="4"/>
        <v>3.1379106181491543</v>
      </c>
      <c r="F70" s="125">
        <f t="shared" si="4"/>
        <v>3.8983733041506339</v>
      </c>
    </row>
    <row r="71" spans="1:8" ht="13.15">
      <c r="A71" s="145">
        <f t="shared" si="3"/>
        <v>30</v>
      </c>
      <c r="B71" s="125">
        <f t="shared" si="4"/>
        <v>2.1717537267870766</v>
      </c>
      <c r="C71" s="125">
        <f t="shared" si="4"/>
        <v>2.2337131566559298</v>
      </c>
      <c r="D71" s="125">
        <f t="shared" si="4"/>
        <v>2.925286886019359</v>
      </c>
      <c r="E71" s="125">
        <f t="shared" si="4"/>
        <v>3.2317180250316042</v>
      </c>
      <c r="F71" s="125">
        <f t="shared" si="4"/>
        <v>4.2598672015177428</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3.260187114395205</v>
      </c>
      <c r="F74" s="143">
        <f>Scenarios!C58</f>
        <v>0.05</v>
      </c>
    </row>
    <row r="75" spans="1:8">
      <c r="B75" s="128" t="str">
        <f>Scenarios!B36</f>
        <v>Optimistic</v>
      </c>
      <c r="C75" s="143">
        <f>Scenarios!C38</f>
        <v>0.04</v>
      </c>
      <c r="D75" s="146">
        <f>Scenarios!C37</f>
        <v>10</v>
      </c>
      <c r="E75" s="136">
        <f>INDEX(B$65:F$71, MATCH(D75, A$65:A$71, 0), MATCH(C75, B$64:F$64, 0))</f>
        <v>2.8415765946323988</v>
      </c>
      <c r="F75" s="143">
        <f>Scenarios!C40*(1-F$74-F$78)</f>
        <v>0.17</v>
      </c>
      <c r="H75" s="121"/>
    </row>
    <row r="76" spans="1:8">
      <c r="B76" s="128" t="str">
        <f>Scenarios!B24</f>
        <v>Base</v>
      </c>
      <c r="C76" s="143">
        <f>Scenarios!C26</f>
        <v>0.02</v>
      </c>
      <c r="D76" s="146">
        <f>Scenarios!C25</f>
        <v>10</v>
      </c>
      <c r="E76" s="136">
        <f>INDEX(B$65:F$71, MATCH(D76, A$65:A$71, 0), MATCH(C76, B$64:F$64, 0))</f>
        <v>2.7681350836014178</v>
      </c>
      <c r="F76" s="143">
        <f>Scenarios!C28*(1-F$74-F$78)</f>
        <v>0.51</v>
      </c>
      <c r="H76" s="121"/>
    </row>
    <row r="77" spans="1:8">
      <c r="B77" s="128" t="str">
        <f>Scenarios!B30</f>
        <v>Pessimistic</v>
      </c>
      <c r="C77" s="143">
        <f>Scenarios!C32</f>
        <v>-0.08</v>
      </c>
      <c r="D77" s="146">
        <f>Scenarios!C31</f>
        <v>10</v>
      </c>
      <c r="E77" s="136">
        <f>INDEX(B$65:F$71, MATCH(D77, A$65:A$71, 0), MATCH(C77, B$64:F$64, 0))</f>
        <v>2.4879617563106837</v>
      </c>
      <c r="F77" s="143">
        <f>Scenarios!C34*(1-F$74-F$78)</f>
        <v>0.17</v>
      </c>
      <c r="H77" s="121"/>
    </row>
    <row r="78" spans="1:8">
      <c r="B78" s="128" t="str">
        <f>Scenarios!B48</f>
        <v>Devil's advocate</v>
      </c>
      <c r="C78" s="143">
        <f>Scenarios!C50</f>
        <v>-0.1</v>
      </c>
      <c r="D78" s="146">
        <f>Scenarios!C49</f>
        <v>15</v>
      </c>
      <c r="E78" s="136">
        <f>INDEX(B$65:F$71, MATCH(D78, A$65:A$71, 0), MATCH(C78, B$64:F$64, 0))</f>
        <v>2.3475240664438211</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-2.35</v>
      </c>
    </row>
    <row r="4" spans="2:9">
      <c r="B4" s="153" t="s">
        <v>147</v>
      </c>
      <c r="C4" s="121">
        <v>2</v>
      </c>
      <c r="D4" s="121"/>
      <c r="E4" s="156" t="s">
        <v>151</v>
      </c>
      <c r="F4" s="156"/>
      <c r="H4" s="276">
        <v>1</v>
      </c>
      <c r="I4" s="264">
        <f t="shared" ref="I4:I13" si="0">IF(ROW()-3 &lt; $C$76, $C$77, IF(ROW()-3 = $C$76, $C$77 + $C$60, ""))</f>
        <v>0.11362541597147162</v>
      </c>
    </row>
    <row r="5" spans="2:9">
      <c r="H5" s="276">
        <v>2</v>
      </c>
      <c r="I5" s="264">
        <f t="shared" si="0"/>
        <v>0.11362541597147162</v>
      </c>
    </row>
    <row r="6" spans="2:9" ht="13.15">
      <c r="B6" s="160" t="s">
        <v>96</v>
      </c>
      <c r="C6" s="107">
        <f>Valuation_Model!C3</f>
        <v>1000</v>
      </c>
      <c r="E6" s="100" t="s">
        <v>282</v>
      </c>
      <c r="F6" s="100"/>
      <c r="H6" s="276">
        <v>3</v>
      </c>
      <c r="I6" s="264">
        <f t="shared" si="0"/>
        <v>2.8291575906326614</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169770.01163564267</v>
      </c>
      <c r="D8" t="str">
        <f>Reporting_currency</f>
        <v>CNY</v>
      </c>
      <c r="E8" s="350"/>
      <c r="F8" s="350"/>
      <c r="H8" s="276">
        <v>5</v>
      </c>
      <c r="I8" s="264" t="str">
        <f t="shared" si="0"/>
        <v/>
      </c>
    </row>
    <row r="9" spans="2:9">
      <c r="B9" s="100" t="s">
        <v>57</v>
      </c>
      <c r="C9" s="201">
        <f>Normalized_FCF!C19</f>
        <v>102716.20648372338</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2.3911359039349254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2.35</v>
      </c>
      <c r="D21" t="str">
        <f>Market_currency</f>
        <v>HKD</v>
      </c>
      <c r="E21" s="351"/>
      <c r="F21" s="351"/>
    </row>
    <row r="22" spans="2:6">
      <c r="B22" s="100" t="s">
        <v>281</v>
      </c>
      <c r="C22" s="161">
        <f>Valuation_Model!C12</f>
        <v>2.7013838532139203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2.7681350836014178</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2.4879617563106837</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2.8415765946323988</v>
      </c>
      <c r="D39" t="str">
        <f>Market_currency</f>
        <v>HKD</v>
      </c>
      <c r="E39" s="349"/>
      <c r="F39" s="349"/>
    </row>
    <row r="40" spans="2:6">
      <c r="B40" s="100" t="s">
        <v>148</v>
      </c>
      <c r="C40" s="168">
        <f>1-C28-C34</f>
        <v>0.2</v>
      </c>
      <c r="D40" s="166"/>
      <c r="E40" s="349"/>
      <c r="F40" s="349"/>
    </row>
    <row r="42" spans="2:6" ht="13.15">
      <c r="B42" s="100" t="s">
        <v>121</v>
      </c>
      <c r="C42" s="155">
        <f>C27*C28+C33*C34+C39*C40</f>
        <v>2.7267887203494672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2.3475240664438211</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3.260187114395205</v>
      </c>
      <c r="D57" t="str">
        <f>Market_currency</f>
        <v>HKD</v>
      </c>
      <c r="E57" s="349"/>
      <c r="F57" s="349"/>
    </row>
    <row r="58" spans="2:6">
      <c r="B58" s="100" t="s">
        <v>148</v>
      </c>
      <c r="C58" s="166">
        <v>0.05</v>
      </c>
      <c r="D58" s="166"/>
      <c r="E58" s="349"/>
      <c r="F58" s="349"/>
    </row>
    <row r="60" spans="2:6" ht="13.15">
      <c r="B60" s="100" t="s">
        <v>121</v>
      </c>
      <c r="C60" s="155">
        <f>C51*C52+C57*C58+C42*(1-C52-C58)</f>
        <v>2.7155321746611896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2.7292416639653307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0.6140401394302436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0.11362541597147162</v>
      </c>
      <c r="D77" t="str">
        <f>Market_currency</f>
        <v>HKD</v>
      </c>
    </row>
    <row r="79" spans="2:6" ht="13.15">
      <c r="B79" s="109" t="s">
        <v>308</v>
      </c>
    </row>
    <row r="80" spans="2:6">
      <c r="B80" s="149" t="s">
        <v>306</v>
      </c>
      <c r="C80" s="168">
        <f>Thesis!C127</f>
        <v>0.3</v>
      </c>
    </row>
    <row r="81" spans="2:8">
      <c r="B81" s="100" t="s">
        <v>122</v>
      </c>
      <c r="C81" s="117">
        <f>PV(C80, C76, -C77, 0)</f>
        <v>0.20635658157768408</v>
      </c>
      <c r="D81" s="117"/>
      <c r="E81" s="100"/>
      <c r="F81" s="100"/>
    </row>
    <row r="82" spans="2:8">
      <c r="B82" s="100" t="s">
        <v>123</v>
      </c>
      <c r="C82" s="117">
        <f>C60/(1+C80)^C76</f>
        <v>1.236018286145284</v>
      </c>
      <c r="D82" s="117"/>
    </row>
    <row r="83" spans="2:8" ht="13.15">
      <c r="B83" s="111" t="s">
        <v>102</v>
      </c>
      <c r="C83" s="112">
        <f>C81+C82</f>
        <v>1.442374867722968</v>
      </c>
      <c r="D83" t="str">
        <f>Market_currency</f>
        <v>HKD</v>
      </c>
      <c r="E83" s="147" t="s">
        <v>127</v>
      </c>
      <c r="F83" s="329">
        <f>(1-C83/C60)</f>
        <v>0.46884265221312293</v>
      </c>
    </row>
    <row r="84" spans="2:8">
      <c r="E84" s="121"/>
    </row>
    <row r="85" spans="2:8" ht="13.15">
      <c r="B85" s="109" t="s">
        <v>309</v>
      </c>
    </row>
    <row r="86" spans="2:8">
      <c r="B86" s="149" t="s">
        <v>307</v>
      </c>
      <c r="C86" s="266">
        <f>Market_Price</f>
        <v>2.35</v>
      </c>
      <c r="D86" t="str">
        <f>Market_currency</f>
        <v>HKD</v>
      </c>
    </row>
    <row r="87" spans="2:8" ht="13.15">
      <c r="B87" s="100" t="s">
        <v>305</v>
      </c>
      <c r="C87" s="265">
        <f ca="1">IRR(OFFSET($I$3, 0, 0, $C$76 + 1, 1))</f>
        <v>9.5546776071535167E-2</v>
      </c>
    </row>
    <row r="88" spans="2:8">
      <c r="B88" s="100"/>
    </row>
    <row r="89" spans="2:8" ht="13.15">
      <c r="B89" s="109" t="s">
        <v>422</v>
      </c>
    </row>
    <row r="90" spans="2:8">
      <c r="B90" s="149" t="s">
        <v>423</v>
      </c>
      <c r="C90" s="168">
        <f>Thesis!E19</f>
        <v>0.2</v>
      </c>
    </row>
    <row r="91" spans="2:8">
      <c r="B91" s="100" t="s">
        <v>122</v>
      </c>
      <c r="C91" s="117">
        <f>PV(C90, C76, -C77, 0)</f>
        <v>0.23934983456953512</v>
      </c>
      <c r="D91" s="117"/>
      <c r="E91" s="100"/>
      <c r="F91" s="100"/>
    </row>
    <row r="92" spans="2:8">
      <c r="B92" s="100" t="s">
        <v>123</v>
      </c>
      <c r="C92" s="117">
        <f>C60/(1+C90)^C76</f>
        <v>1.5714885270030032</v>
      </c>
      <c r="D92" s="117"/>
    </row>
    <row r="93" spans="2:8" ht="13.15">
      <c r="B93" s="111" t="s">
        <v>102</v>
      </c>
      <c r="C93" s="112">
        <f>C91+C92</f>
        <v>1.8108383615725383</v>
      </c>
      <c r="D93" t="str">
        <f>Market_currency</f>
        <v>HKD</v>
      </c>
      <c r="E93" s="147" t="s">
        <v>127</v>
      </c>
      <c r="F93" s="329">
        <f>(1-C93/C60)</f>
        <v>0.33315525462390361</v>
      </c>
    </row>
    <row r="95" spans="2:8" ht="13.15">
      <c r="B95" s="109" t="s">
        <v>405</v>
      </c>
      <c r="G95" s="2"/>
      <c r="H95" s="316"/>
    </row>
    <row r="96" spans="2:8">
      <c r="B96" s="149" t="s">
        <v>411</v>
      </c>
      <c r="C96" s="135">
        <f>Thesis!C67</f>
        <v>0.08</v>
      </c>
      <c r="G96" s="2"/>
      <c r="H96" s="316"/>
    </row>
    <row r="97" spans="2:8">
      <c r="B97" s="100" t="s">
        <v>122</v>
      </c>
      <c r="C97" s="117">
        <f>PV(C96, C76, -C77, 0)</f>
        <v>0.29282371717486666</v>
      </c>
      <c r="D97" s="117"/>
      <c r="G97" s="2"/>
      <c r="H97" s="316"/>
    </row>
    <row r="98" spans="2:8">
      <c r="B98" s="100" t="s">
        <v>123</v>
      </c>
      <c r="C98" s="117">
        <f>C60/(1+C96)^C76</f>
        <v>2.1556769917736669</v>
      </c>
      <c r="D98" s="117"/>
      <c r="G98" s="2"/>
      <c r="H98" s="316"/>
    </row>
    <row r="99" spans="2:8" ht="13.15">
      <c r="B99" s="111" t="s">
        <v>406</v>
      </c>
      <c r="C99" s="112">
        <f>C97+C98</f>
        <v>2.4485007089485338</v>
      </c>
      <c r="D99" t="s">
        <v>404</v>
      </c>
      <c r="E99" s="147" t="s">
        <v>127</v>
      </c>
      <c r="F99" s="329">
        <f>(1-C99/C60)</f>
        <v>9.8334856130354087E-2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