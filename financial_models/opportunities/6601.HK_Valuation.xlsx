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245F0A66-578C-4253-B842-FC739352D178}" xr6:coauthVersionLast="47" xr6:coauthVersionMax="47" xr10:uidLastSave="{00000000-0000-0000-0000-000000000000}"/>
  <bookViews>
    <workbookView xWindow="33720" yWindow="-120" windowWidth="29040" windowHeight="15720" activeTab="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3" i="2" l="1"/>
  <c r="C4" i="2"/>
  <c r="C7" i="2"/>
  <c r="C11" i="2"/>
  <c r="C12" i="2"/>
  <c r="C17" i="2"/>
  <c r="C18" i="2"/>
  <c r="C28" i="2"/>
  <c r="C23" i="2" s="1"/>
  <c r="C29" i="2"/>
  <c r="C24" i="2" s="1"/>
  <c r="H92" i="2"/>
  <c r="I92" i="2"/>
  <c r="J92" i="2"/>
  <c r="K92" i="2"/>
  <c r="L92" i="2"/>
  <c r="M92" i="2"/>
  <c r="N92" i="2"/>
  <c r="O92" i="2"/>
  <c r="P92" i="2"/>
  <c r="Q92" i="2"/>
  <c r="B90" i="2"/>
  <c r="B89" i="2"/>
  <c r="C11" i="6"/>
  <c r="C71" i="9"/>
  <c r="D66" i="9"/>
  <c r="D18" i="8"/>
  <c r="D22" i="9"/>
  <c r="D21" i="9"/>
  <c r="D9" i="9"/>
  <c r="D86" i="9"/>
  <c r="C86" i="9"/>
  <c r="C76" i="9"/>
  <c r="E20" i="6" s="1"/>
  <c r="C7" i="8"/>
  <c r="C82" i="3"/>
  <c r="C81" i="3"/>
  <c r="C80" i="3"/>
  <c r="E81" i="3"/>
  <c r="E82" i="3"/>
  <c r="E83" i="3"/>
  <c r="E80" i="3"/>
  <c r="D66" i="3"/>
  <c r="I3" i="9"/>
  <c r="C25" i="2" l="1"/>
  <c r="C83" i="3"/>
  <c r="C66" i="6"/>
  <c r="C65" i="6"/>
  <c r="C5" i="2" l="1"/>
  <c r="C6" i="2" s="1"/>
  <c r="C8" i="2" s="1"/>
  <c r="C30" i="2"/>
  <c r="C67" i="6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2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C14" i="2" l="1"/>
  <c r="B119" i="6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s="1"/>
  <c r="Q96" i="2" l="1"/>
  <c r="O103" i="2"/>
  <c r="P103" i="2"/>
  <c r="Q103" i="2"/>
  <c r="O104" i="2"/>
  <c r="P104" i="2"/>
  <c r="Q104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D80" i="3" l="1"/>
  <c r="D83" i="3" s="1"/>
  <c r="D81" i="3"/>
  <c r="D82" i="3"/>
  <c r="F55" i="8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77" i="9" l="1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C9" i="2" l="1"/>
  <c r="C33" i="6" s="1"/>
  <c r="G41" i="3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P4" i="2"/>
  <c r="I4" i="2"/>
  <c r="G4" i="2"/>
  <c r="G92" i="2" s="1"/>
  <c r="H4" i="2"/>
  <c r="L4" i="2"/>
  <c r="L43" i="2" s="1"/>
  <c r="K4" i="2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2" i="6"/>
  <c r="B4" i="6"/>
  <c r="P80" i="2" l="1"/>
  <c r="P112" i="2" s="1"/>
  <c r="P43" i="2"/>
  <c r="O80" i="2"/>
  <c r="O112" i="2" s="1"/>
  <c r="O43" i="2"/>
  <c r="C109" i="2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M62" i="2" l="1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50" i="6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L5" i="2"/>
  <c r="G7" i="2"/>
  <c r="G74" i="2" s="1"/>
  <c r="J5" i="2"/>
  <c r="C38" i="2"/>
  <c r="C39" i="2"/>
  <c r="C49" i="6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C10" i="2" l="1"/>
  <c r="C13" i="2" s="1"/>
  <c r="K72" i="2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4" i="2"/>
  <c r="C40" i="2"/>
  <c r="C34" i="6" l="1"/>
  <c r="I54" i="2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l="1"/>
  <c r="C16" i="2" s="1"/>
  <c r="C19" i="2" s="1"/>
  <c r="G1" i="2"/>
  <c r="C43" i="6" l="1"/>
  <c r="N90" i="2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Q111" i="2" l="1"/>
  <c r="O111" i="2"/>
  <c r="P111" i="2"/>
  <c r="C72" i="2" l="1"/>
  <c r="C40" i="3"/>
  <c r="C41" i="3" s="1"/>
  <c r="C31" i="3" l="1"/>
  <c r="C30" i="6" l="1"/>
  <c r="C73" i="2"/>
  <c r="C32" i="3"/>
  <c r="G31" i="3"/>
  <c r="B1" i="2"/>
  <c r="C81" i="6" l="1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3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I91" i="2" l="1"/>
  <c r="C14" i="9"/>
  <c r="M86" i="2"/>
  <c r="C80" i="2"/>
  <c r="C112" i="2" s="1"/>
  <c r="C96" i="2"/>
  <c r="J86" i="2"/>
  <c r="L91" i="2"/>
  <c r="C81" i="2"/>
  <c r="C119" i="2" l="1"/>
  <c r="C83" i="2" l="1"/>
  <c r="C9" i="9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<sst xmlns="http://schemas.openxmlformats.org/spreadsheetml/2006/main" count="537" uniqueCount="372">
  <si>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</si>
  <si>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</si>
  <si>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</si>
  <si>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</si>
  <si>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</si>
  <si>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</si>
  <si>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</si>
  <si>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</si>
  <si>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</si>
  <si>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</si>
  <si>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</si>
  <si>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</si>
  <si>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</si>
  <si>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</si>
  <si>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</si>
  <si>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</si>
  <si>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</si>
  <si>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</si>
  <si>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</si>
  <si>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</si>
  <si>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</si>
  <si>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</si>
  <si>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</si>
  <si>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</si>
  <si>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</si>
  <si>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</si>
  <si>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</si>
  <si>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</si>
  <si>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</si>
  <si>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</si>
  <si>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</si>
  <si>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</si>
  <si>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</si>
  <si>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</si>
  <si>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</si>
  <si>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</si>
  <si>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</si>
  <si>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</si>
  <si>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</si>
  <si>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</si>
  <si>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</si>
  <si>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</si>
  <si>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</si>
  <si>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</si>
  <si>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</si>
  <si>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</si>
  <si>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</si>
  <si>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</si>
  <si>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</si>
  <si>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</si>
  <si>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</si>
  <si>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</si>
  <si>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</si>
  <si>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</si>
  <si>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</si>
  <si>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</si>
  <si>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</si>
  <si>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</si>
  <si>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</si>
  <si>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</si>
  <si>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</si>
  <si>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</si>
  <si>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</si>
  <si>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</si>
  <si>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</si>
  <si>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</si>
  <si>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</si>
  <si>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</si>
  <si>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</si>
  <si>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</si>
  <si>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</si>
  <si>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</si>
  <si>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</si>
  <si>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</si>
  <si>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</si>
  <si>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</si>
  <si>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</si>
  <si>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</si>
  <si>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</si>
  <si>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</si>
  <si>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</si>
  <si>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</si>
  <si>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</si>
  <si>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</si>
  <si>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</si>
  <si>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</si>
  <si>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</si>
  <si>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</si>
  <si>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</si>
  <si>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</si>
  <si>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</si>
  <si>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</si>
  <si>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</si>
  <si>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</si>
  <si>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</si>
  <si>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</si>
  <si>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</si>
  <si>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</si>
  <si>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</si>
  <si>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</si>
  <si>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</si>
  <si>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</si>
  <si>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</si>
  <si>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</si>
  <si>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</si>
  <si>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</si>
  <si>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</si>
  <si>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</si>
  <si>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</si>
  <si>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</si>
  <si>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</si>
  <si>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</si>
  <si>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</si>
  <si>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</si>
  <si>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</si>
  <si>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</si>
  <si>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</si>
  <si>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</si>
  <si>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</si>
  <si>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</si>
  <si>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</si>
  <si>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</si>
  <si>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</si>
  <si>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</si>
  <si>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</si>
  <si>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</si>
  <si>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</si>
  <si>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</si>
  <si>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</si>
  <si>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</si>
  <si>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</si>
  <si>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</si>
  <si>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</si>
  <si>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</si>
  <si>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</si>
  <si>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</si>
  <si>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</si>
  <si>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</si>
  <si>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</si>
  <si>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</si>
  <si>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</si>
  <si>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</si>
  <si>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</si>
  <si>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</si>
  <si>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</si>
  <si>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</si>
  <si>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</si>
  <si>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</si>
  <si>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</si>
  <si>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</si>
  <si>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</si>
  <si>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</si>
  <si>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</si>
  <si>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</si>
  <si>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</si>
  <si>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</si>
  <si>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</si>
  <si>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</si>
  <si>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</si>
  <si>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</si>
  <si>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</si>
  <si>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</si>
  <si>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</si>
  <si>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</si>
  <si>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</si>
  <si>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</si>
  <si>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</si>
  <si>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</si>
  <si>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</si>
  <si>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</si>
  <si>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</si>
  <si>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</si>
  <si>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</si>
  <si>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</si>
  <si>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</si>
  <si>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</si>
  <si>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</si>
  <si>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</si>
  <si>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</si>
  <si>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</si>
  <si>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</si>
  <si>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</si>
  <si>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</si>
  <si>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</si>
  <si>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</si>
  <si>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</si>
  <si>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</si>
  <si>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</si>
  <si>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</si>
  <si>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</si>
  <si>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</si>
  <si>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</si>
  <si>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</si>
  <si>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</si>
  <si>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</si>
  <si>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</si>
  <si>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</si>
  <si>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</si>
  <si>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</si>
  <si>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</si>
  <si>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</si>
  <si>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</si>
  <si>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</si>
  <si>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</si>
  <si>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</si>
  <si>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</si>
  <si>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</si>
  <si>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</si>
  <si>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</si>
  <si>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</si>
  <si>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</si>
  <si>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</si>
  <si>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</si>
  <si>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</si>
  <si>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</si>
  <si>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</si>
  <si>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</si>
  <si>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</si>
  <si>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</si>
  <si>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</si>
  <si>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</si>
  <si>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</si>
  <si>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</si>
  <si>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</si>
  <si>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</si>
  <si>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</si>
  <si>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</si>
  <si>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</si>
  <si>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</si>
  <si>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</si>
  <si>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</si>
  <si>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</si>
  <si>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</si>
  <si>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</si>
  <si>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</si>
  <si>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</si>
  <si>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</si>
  <si>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</si>
  <si>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</si>
  <si>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</si>
  <si>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</si>
  <si>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</si>
  <si>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</si>
  <si>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</si>
  <si>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</si>
  <si>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</si>
  <si>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</si>
  <si>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</si>
  <si>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</si>
  <si>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</si>
  <si>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</si>
  <si>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</si>
  <si>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</si>
  <si>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</si>
  <si>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</si>
  <si>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</si>
  <si>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</si>
  <si>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</si>
  <si>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</si>
  <si>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</si>
  <si>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</si>
  <si>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</si>
  <si>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</si>
  <si>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</si>
  <si>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</si>
  <si>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</si>
  <si>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</si>
  <si>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</si>
  <si>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</si>
  <si>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</si>
  <si>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</si>
  <si>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</si>
  <si>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</si>
  <si>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</si>
  <si>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</si>
  <si>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</si>
  <si>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</si>
  <si>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</si>
  <si>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</si>
  <si>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</si>
  <si>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</si>
  <si>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</si>
  <si>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</si>
  <si>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</si>
  <si>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</si>
  <si>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</si>
  <si>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</si>
  <si>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</si>
  <si>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</si>
  <si>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</si>
  <si>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</si>
  <si>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</si>
  <si>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</si>
  <si>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</si>
  <si>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</si>
  <si>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</si>
  <si>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</si>
  <si>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</si>
  <si>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</si>
  <si>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</si>
  <si>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</si>
  <si>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</si>
  <si>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</si>
  <si>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</si>
  <si>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</si>
  <si>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</si>
  <si>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</si>
  <si>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</si>
  <si>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</si>
  <si>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</si>
  <si>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</si>
  <si>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</si>
  <si>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</si>
  <si>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</si>
  <si>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</si>
  <si>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</si>
  <si>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</si>
  <si>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</si>
  <si>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</si>
  <si>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</si>
  <si>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</si>
  <si>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</si>
  <si>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</si>
  <si>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</si>
  <si>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</si>
  <si>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</si>
  <si>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</si>
  <si>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</si>
  <si>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</si>
  <si>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</si>
  <si>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</si>
  <si>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</si>
  <si>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</si>
  <si>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</si>
  <si>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</si>
  <si>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</si>
  <si>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</si>
  <si>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</si>
  <si>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</si>
  <si>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</si>
  <si>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</si>
  <si>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</si>
  <si>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</si>
  <si>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</si>
  <si>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</si>
  <si>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</si>
  <si>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</si>
  <si>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</si>
  <si>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</si>
  <si>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</si>
  <si>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</si>
  <si>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</si>
  <si>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</si>
  <si>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</si>
  <si>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</si>
  <si>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</si>
  <si>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</si>
  <si>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</si>
  <si>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</si>
  <si>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</si>
  <si>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</si>
  <si>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</si>
  <si>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</si>
  <si>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</si>
  <si>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</si>
  <si>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</si>
  <si>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</si>
  <si>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</si>
  <si>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</si>
  <si>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</si>
  <si>
    <t>朝云集团</t>
    <phoneticPr fontId="2" type="noConversion"/>
  </si>
  <si>
    <t>Snowball Scenario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</si>
</sst>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7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opLeftCell="A85" zoomScale="86" zoomScaleNormal="100" workbookViewId="0">
      <selection activeCell="F21" sqref="F21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45730</v>
      </c>
      <c r="D1" s="53"/>
      <c r="E1" s="306" t="s">
        <v>369</v>
      </c>
      <c r="F1" s="307" t="s">
        <v>355</v>
      </c>
    </row>
    <row r="2" spans="1:10" ht="13.9" x14ac:dyDescent="0.45">
      <c r="A2" s="263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6601.HK Stock Information</v>
      </c>
      <c r="C4" s="47"/>
      <c r="D4" s="5"/>
      <c r="E4" s="2"/>
      <c r="F4" s="2"/>
    </row>
    <row r="5" spans="1:10" x14ac:dyDescent="0.35">
      <c r="B5" s="4" t="s">
        <v>368</v>
      </c>
      <c r="C5" s="49" t="s">
        <v>370</v>
      </c>
      <c r="D5" s="50" t="s">
        <v>322</v>
      </c>
    </row>
    <row r="6" spans="1:10" x14ac:dyDescent="0.35">
      <c r="B6" s="4" t="s">
        <v>105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/>
      <c r="E7" s="35"/>
    </row>
    <row r="8" spans="1:10" x14ac:dyDescent="0.35">
      <c r="B8" s="4" t="s">
        <v>1</v>
      </c>
      <c r="C8" s="49" t="s">
        <v>324</v>
      </c>
      <c r="D8" s="33"/>
      <c r="E8" s="33"/>
    </row>
    <row r="9" spans="1:10" x14ac:dyDescent="0.35">
      <c r="B9" s="4" t="s">
        <v>2</v>
      </c>
      <c r="C9" s="51">
        <v>1.06</v>
      </c>
      <c r="D9" s="49" t="str">
        <f>IF(C8=D6,D6,C8&amp;"/"&amp;D6)</f>
        <v>CNY/HKD</v>
      </c>
      <c r="E9" s="49"/>
    </row>
    <row r="10" spans="1:10" x14ac:dyDescent="0.35">
      <c r="B10" s="2" t="s">
        <v>357</v>
      </c>
      <c r="C10" s="300">
        <v>6</v>
      </c>
      <c r="D10" s="5"/>
      <c r="E10" s="49"/>
    </row>
    <row r="11" spans="1:10" x14ac:dyDescent="0.35">
      <c r="B11" s="1" t="s">
        <v>295</v>
      </c>
      <c r="C11" s="34">
        <f>EOMONTH(EDATE(BS!C1,C10+2),0)</f>
        <v>45716</v>
      </c>
      <c r="D11" s="5"/>
      <c r="E11" s="5"/>
    </row>
    <row r="12" spans="1:10" x14ac:dyDescent="0.35">
      <c r="B12" s="4" t="s">
        <v>25</v>
      </c>
      <c r="C12" s="36">
        <f>Thesis!C6*Thesis!C7/1000000</f>
        <v>3066.66705</v>
      </c>
      <c r="D12" s="33" t="str">
        <f>Market_currency</f>
        <v>HKD</v>
      </c>
      <c r="E12" s="5"/>
    </row>
    <row r="13" spans="1:10" x14ac:dyDescent="0.35">
      <c r="D13" s="5"/>
      <c r="E13" s="5"/>
    </row>
    <row r="14" spans="1:10" ht="24.4" customHeight="1" x14ac:dyDescent="0.35">
      <c r="B14" s="309" t="s">
        <v>300</v>
      </c>
      <c r="C14" s="309"/>
      <c r="D14" s="309"/>
      <c r="E14" s="309"/>
      <c r="F14" s="309"/>
    </row>
    <row r="16" spans="1:10" x14ac:dyDescent="0.35">
      <c r="B16" s="46" t="s">
        <v>356</v>
      </c>
      <c r="C16" s="47"/>
      <c r="D16" s="5"/>
    </row>
    <row r="17" spans="1:6" x14ac:dyDescent="0.35">
      <c r="B17" s="2" t="s">
        <v>354</v>
      </c>
      <c r="C17" s="33" t="str">
        <f>IF(Scenarios!C69="Y",Scenarios!B69,"")&amp;IF(Scenarios!C70="Y",Scenarios!B70,"")&amp;IF(Scenarios!C71="Y",Scenarios!B71,"")&amp;" "&amp;IF(Scenarios!C72="Y",Scenarios!B72,"")</f>
        <v>Low Growth Asset Play</v>
      </c>
      <c r="E17" s="5"/>
    </row>
    <row r="18" spans="1:6" x14ac:dyDescent="0.35">
      <c r="B18" s="2" t="s">
        <v>61</v>
      </c>
      <c r="C18" s="49" t="s">
        <v>323</v>
      </c>
      <c r="E18" s="5"/>
    </row>
    <row r="19" spans="1:6" x14ac:dyDescent="0.35">
      <c r="B19" s="2" t="s">
        <v>308</v>
      </c>
      <c r="C19" s="265">
        <v>0.2</v>
      </c>
      <c r="E19" s="5"/>
    </row>
    <row r="20" spans="1:6" x14ac:dyDescent="0.35">
      <c r="B20" s="2" t="s">
        <v>296</v>
      </c>
      <c r="C20" s="268">
        <f>C121</f>
        <v>1.5453771778827836</v>
      </c>
      <c r="D20" s="1" t="s">
        <v>359</v>
      </c>
      <c r="E20" s="302">
        <f>Scenarios!C76</f>
        <v>3</v>
      </c>
    </row>
    <row r="21" spans="1:6" x14ac:dyDescent="0.35">
      <c r="B21" s="1" t="s">
        <v>358</v>
      </c>
      <c r="C21" s="301">
        <f ca="1">Scenarios!C87</f>
        <v>4.3110984690918341E-2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3" t="s">
        <v>243</v>
      </c>
      <c r="B23" s="37"/>
      <c r="C23" s="37"/>
      <c r="D23" s="37"/>
      <c r="E23" s="37"/>
      <c r="F23" s="37"/>
    </row>
    <row r="25" spans="1:6" x14ac:dyDescent="0.35">
      <c r="B25" s="309" t="s">
        <v>244</v>
      </c>
      <c r="C25" s="309"/>
      <c r="D25" s="309"/>
      <c r="E25" s="309"/>
      <c r="F25" s="309"/>
    </row>
    <row r="26" spans="1:6" ht="24.4" customHeight="1" x14ac:dyDescent="0.35">
      <c r="B26" s="310" t="s">
        <v>265</v>
      </c>
      <c r="C26" s="310"/>
      <c r="D26" s="310"/>
      <c r="E26" s="310"/>
      <c r="F26" s="310"/>
    </row>
    <row r="28" spans="1:6" x14ac:dyDescent="0.35">
      <c r="B28" s="249" t="s">
        <v>245</v>
      </c>
      <c r="C28" s="119">
        <f>Data!C3</f>
        <v>1000</v>
      </c>
    </row>
    <row r="29" spans="1:6" ht="24.4" customHeight="1" x14ac:dyDescent="0.35">
      <c r="B29" s="308" t="s">
        <v>246</v>
      </c>
      <c r="C29" s="308"/>
      <c r="D29" s="308"/>
      <c r="E29" s="308"/>
      <c r="F29" s="308"/>
    </row>
    <row r="30" spans="1:6" x14ac:dyDescent="0.35">
      <c r="B30" s="48" t="s">
        <v>247</v>
      </c>
      <c r="C30" s="200">
        <f>Normalized_FCF!C8</f>
        <v>58602.662537660683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08" t="s">
        <v>248</v>
      </c>
      <c r="C32" s="308"/>
      <c r="D32" s="308"/>
      <c r="E32" s="308"/>
      <c r="F32" s="308"/>
    </row>
    <row r="33" spans="2:6" x14ac:dyDescent="0.35">
      <c r="B33" s="48" t="s">
        <v>249</v>
      </c>
      <c r="C33" s="200">
        <f>Normalized_FCF!C9</f>
        <v>35974</v>
      </c>
      <c r="D33" s="1" t="str">
        <f>Reporting_currency</f>
        <v>CNY</v>
      </c>
    </row>
    <row r="34" spans="2:6" x14ac:dyDescent="0.35">
      <c r="B34" s="53" t="s">
        <v>250</v>
      </c>
      <c r="C34" s="200">
        <f>Normalized_FCF!C10</f>
        <v>-35974</v>
      </c>
      <c r="D34" s="1" t="str">
        <f>Reporting_currency</f>
        <v>CNY</v>
      </c>
    </row>
    <row r="36" spans="2:6" x14ac:dyDescent="0.35">
      <c r="B36" s="308" t="s">
        <v>251</v>
      </c>
      <c r="C36" s="308"/>
      <c r="D36" s="308"/>
      <c r="E36" s="308"/>
      <c r="F36" s="308"/>
    </row>
    <row r="37" spans="2:6" x14ac:dyDescent="0.35">
      <c r="B37" s="48" t="s">
        <v>252</v>
      </c>
      <c r="C37" s="200">
        <f>Normalized_FCF!C11</f>
        <v>0</v>
      </c>
      <c r="D37" s="1" t="str">
        <f>Reporting_currency</f>
        <v>CNY</v>
      </c>
    </row>
    <row r="39" spans="2:6" x14ac:dyDescent="0.35">
      <c r="B39" s="308" t="s">
        <v>255</v>
      </c>
      <c r="C39" s="308"/>
      <c r="D39" s="308"/>
      <c r="E39" s="308"/>
      <c r="F39" s="308"/>
    </row>
    <row r="40" spans="2:6" x14ac:dyDescent="0.35">
      <c r="B40" s="48" t="s">
        <v>253</v>
      </c>
      <c r="C40" s="200">
        <f>Normalized_FCF!C12</f>
        <v>72802</v>
      </c>
      <c r="D40" s="1" t="str">
        <f>Reporting_currency</f>
        <v>CNY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200">
        <f>Normalized_FCF!C15</f>
        <v>-2089.6737831682049</v>
      </c>
      <c r="D43" s="1" t="str">
        <f>Reporting_currency</f>
        <v>CNY</v>
      </c>
    </row>
    <row r="45" spans="2:6" x14ac:dyDescent="0.35">
      <c r="B45" s="308" t="s">
        <v>256</v>
      </c>
      <c r="C45" s="308"/>
      <c r="D45" s="308"/>
      <c r="E45" s="308"/>
      <c r="F45" s="308"/>
    </row>
    <row r="46" spans="2:6" x14ac:dyDescent="0.35">
      <c r="B46" s="48" t="s">
        <v>254</v>
      </c>
      <c r="C46" s="200">
        <f>Normalized_FCF!C14</f>
        <v>-32851.165634415171</v>
      </c>
      <c r="D46" s="1" t="str">
        <f>Reporting_currency</f>
        <v>CNY</v>
      </c>
    </row>
    <row r="48" spans="2:6" ht="24.4" customHeight="1" x14ac:dyDescent="0.35">
      <c r="B48" s="308" t="s">
        <v>259</v>
      </c>
      <c r="C48" s="312"/>
      <c r="D48" s="312"/>
      <c r="E48" s="312"/>
      <c r="F48" s="312"/>
    </row>
    <row r="49" spans="1:6" x14ac:dyDescent="0.35">
      <c r="B49" s="48" t="s">
        <v>257</v>
      </c>
      <c r="C49" s="1">
        <f>Normalized_FCF!C17</f>
        <v>0</v>
      </c>
      <c r="D49" s="1" t="str">
        <f>Reporting_currency</f>
        <v>CNY</v>
      </c>
    </row>
    <row r="50" spans="1:6" x14ac:dyDescent="0.35">
      <c r="B50" s="48" t="s">
        <v>258</v>
      </c>
      <c r="C50" s="1">
        <f>Normalized_FCF!C18</f>
        <v>0</v>
      </c>
      <c r="D50" s="1" t="str">
        <f>Reporting_currency</f>
        <v>CNY</v>
      </c>
    </row>
    <row r="52" spans="1:6" ht="24.4" customHeight="1" x14ac:dyDescent="0.35">
      <c r="B52" s="309" t="s">
        <v>281</v>
      </c>
      <c r="C52" s="309"/>
      <c r="D52" s="309"/>
      <c r="E52" s="309"/>
      <c r="F52" s="309"/>
    </row>
    <row r="53" spans="1:6" x14ac:dyDescent="0.35">
      <c r="B53" s="48" t="s">
        <v>299</v>
      </c>
      <c r="C53" s="200">
        <f>Normalized_FCF!G19</f>
        <v>151970</v>
      </c>
      <c r="D53" s="1" t="str">
        <f>Reporting_currency</f>
        <v>CNY</v>
      </c>
    </row>
    <row r="54" spans="1:6" x14ac:dyDescent="0.35">
      <c r="B54" s="48" t="s">
        <v>267</v>
      </c>
      <c r="C54" s="200">
        <f>Normalized_FCF!C19</f>
        <v>96463.823120077301</v>
      </c>
      <c r="D54" s="1" t="str">
        <f>Reporting_currency</f>
        <v>CNY</v>
      </c>
    </row>
    <row r="55" spans="1:6" x14ac:dyDescent="0.35">
      <c r="B55" s="271" t="s">
        <v>298</v>
      </c>
      <c r="C55" s="101">
        <f>Normalized_FCF!C120</f>
        <v>3.3342925997552272E-2</v>
      </c>
    </row>
    <row r="56" spans="1:6" x14ac:dyDescent="0.35">
      <c r="B56" s="271" t="s">
        <v>360</v>
      </c>
      <c r="C56" s="101">
        <f>Normalized_FCF!C92</f>
        <v>5.1217391304347833E-2</v>
      </c>
    </row>
    <row r="58" spans="1:6" ht="13.9" x14ac:dyDescent="0.45">
      <c r="A58" s="263" t="s">
        <v>317</v>
      </c>
      <c r="B58" s="37"/>
      <c r="C58" s="37"/>
      <c r="D58" s="37"/>
      <c r="E58" s="37"/>
      <c r="F58" s="37"/>
    </row>
    <row r="59" spans="1:6" x14ac:dyDescent="0.35">
      <c r="A59" s="248"/>
    </row>
    <row r="60" spans="1:6" ht="24.4" customHeight="1" x14ac:dyDescent="0.35">
      <c r="A60" s="17"/>
      <c r="B60" s="308" t="s">
        <v>318</v>
      </c>
      <c r="C60" s="308"/>
      <c r="D60" s="308"/>
      <c r="E60" s="308"/>
      <c r="F60" s="308"/>
    </row>
    <row r="61" spans="1:6" x14ac:dyDescent="0.35">
      <c r="B61" s="310" t="s">
        <v>272</v>
      </c>
      <c r="C61" s="310"/>
      <c r="D61" s="310"/>
      <c r="E61" s="310"/>
      <c r="F61" s="310"/>
    </row>
    <row r="63" spans="1:6" x14ac:dyDescent="0.35">
      <c r="B63" s="249" t="s">
        <v>245</v>
      </c>
    </row>
    <row r="64" spans="1:6" x14ac:dyDescent="0.35">
      <c r="B64" s="1" t="s">
        <v>326</v>
      </c>
      <c r="C64" s="282">
        <v>0.08</v>
      </c>
    </row>
    <row r="65" spans="1:6" x14ac:dyDescent="0.35">
      <c r="B65" s="1" t="s">
        <v>328</v>
      </c>
      <c r="C65" s="282">
        <f>IF(D65="Y",1%,0)</f>
        <v>0.01</v>
      </c>
      <c r="D65" s="1" t="s">
        <v>325</v>
      </c>
    </row>
    <row r="66" spans="1:6" x14ac:dyDescent="0.35">
      <c r="B66" s="1" t="s">
        <v>327</v>
      </c>
      <c r="C66" s="282">
        <f>IF(D66="Y",1%,0)</f>
        <v>0.01</v>
      </c>
      <c r="D66" s="1" t="s">
        <v>325</v>
      </c>
    </row>
    <row r="67" spans="1:6" x14ac:dyDescent="0.35">
      <c r="B67" s="89" t="s">
        <v>266</v>
      </c>
      <c r="C67" s="272">
        <f>SUM(C64:C66)</f>
        <v>9.9999999999999992E-2</v>
      </c>
    </row>
    <row r="68" spans="1:6" x14ac:dyDescent="0.35">
      <c r="C68" s="133"/>
    </row>
    <row r="69" spans="1:6" ht="24.4" customHeight="1" x14ac:dyDescent="0.35">
      <c r="B69" s="309" t="s">
        <v>329</v>
      </c>
      <c r="C69" s="309"/>
      <c r="D69" s="309"/>
      <c r="E69" s="309"/>
      <c r="F69" s="309"/>
    </row>
    <row r="70" spans="1:6" ht="24.4" customHeight="1" x14ac:dyDescent="0.35">
      <c r="B70" s="309" t="s">
        <v>271</v>
      </c>
      <c r="C70" s="309"/>
      <c r="D70" s="309"/>
      <c r="E70" s="309"/>
      <c r="F70" s="309"/>
    </row>
    <row r="71" spans="1:6" x14ac:dyDescent="0.35">
      <c r="B71" s="48" t="s">
        <v>270</v>
      </c>
      <c r="C71" s="282">
        <v>0</v>
      </c>
    </row>
    <row r="73" spans="1:6" x14ac:dyDescent="0.35">
      <c r="B73" s="48" t="s">
        <v>316</v>
      </c>
      <c r="C73" s="264">
        <f>Valuation_Model!C6*C28*Exchange_Rate/Common_Shares</f>
        <v>0.76688729794370236</v>
      </c>
      <c r="D73" s="1" t="str">
        <f>Market_currency</f>
        <v>HKD</v>
      </c>
    </row>
    <row r="75" spans="1:6" ht="13.9" x14ac:dyDescent="0.45">
      <c r="A75" s="263" t="s">
        <v>273</v>
      </c>
      <c r="B75" s="37"/>
      <c r="C75" s="37"/>
      <c r="D75" s="37"/>
      <c r="E75" s="37"/>
      <c r="F75" s="37"/>
    </row>
    <row r="76" spans="1:6" x14ac:dyDescent="0.35">
      <c r="A76" s="248"/>
    </row>
    <row r="77" spans="1:6" ht="24.4" customHeight="1" x14ac:dyDescent="0.35">
      <c r="B77" s="309" t="s">
        <v>274</v>
      </c>
      <c r="C77" s="309"/>
      <c r="D77" s="309"/>
      <c r="E77" s="309"/>
      <c r="F77" s="309"/>
    </row>
    <row r="78" spans="1:6" x14ac:dyDescent="0.35">
      <c r="B78" s="1" t="s">
        <v>275</v>
      </c>
    </row>
    <row r="80" spans="1:6" x14ac:dyDescent="0.35">
      <c r="B80" s="249" t="s">
        <v>245</v>
      </c>
    </row>
    <row r="81" spans="2:6" x14ac:dyDescent="0.35">
      <c r="B81" s="48" t="s">
        <v>277</v>
      </c>
      <c r="C81" s="200">
        <f>Valuation_Model!C7</f>
        <v>33999</v>
      </c>
      <c r="D81" s="1" t="str">
        <f>Reporting_currency</f>
        <v>CNY</v>
      </c>
    </row>
    <row r="82" spans="2:6" x14ac:dyDescent="0.35">
      <c r="B82" s="48" t="s">
        <v>319</v>
      </c>
      <c r="C82" s="264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200">
        <f>BS!C66</f>
        <v>2664732</v>
      </c>
      <c r="D85" s="1" t="str">
        <f>Reporting_currency</f>
        <v>CNY</v>
      </c>
    </row>
    <row r="86" spans="2:6" x14ac:dyDescent="0.35">
      <c r="B86" s="48" t="s">
        <v>293</v>
      </c>
      <c r="C86" s="200">
        <f>Valuation_Model!C8</f>
        <v>1598839.2</v>
      </c>
      <c r="D86" s="1" t="str">
        <f>Reporting_currency</f>
        <v>CNY</v>
      </c>
    </row>
    <row r="87" spans="2:6" x14ac:dyDescent="0.35">
      <c r="B87" s="48" t="s">
        <v>320</v>
      </c>
      <c r="C87" s="264">
        <f>C86*C28*Exchange_Rate/Common_Shares</f>
        <v>1.2710770051153744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200">
        <f>Valuation_Model!C9</f>
        <v>227656.8</v>
      </c>
      <c r="D90" s="1" t="str">
        <f>Reporting_currency</f>
        <v>CNY</v>
      </c>
    </row>
    <row r="91" spans="2:6" x14ac:dyDescent="0.35">
      <c r="B91" s="48" t="s">
        <v>321</v>
      </c>
      <c r="C91" s="264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09" t="s">
        <v>280</v>
      </c>
      <c r="C93" s="309"/>
      <c r="D93" s="309"/>
      <c r="E93" s="309"/>
      <c r="F93" s="309"/>
    </row>
    <row r="95" spans="2:6" x14ac:dyDescent="0.35">
      <c r="B95" s="48" t="s">
        <v>315</v>
      </c>
      <c r="C95" s="264">
        <f>Valuation_Model!C12</f>
        <v>2.191922234814335</v>
      </c>
      <c r="D95" s="1" t="str">
        <f>Market_currency</f>
        <v>HKD</v>
      </c>
    </row>
    <row r="97" spans="1:6" ht="13.9" x14ac:dyDescent="0.45">
      <c r="A97" s="263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09" t="s">
        <v>306</v>
      </c>
      <c r="C99" s="309"/>
      <c r="D99" s="309"/>
      <c r="E99" s="309"/>
      <c r="F99" s="309"/>
    </row>
    <row r="101" spans="1:6" ht="12.4" x14ac:dyDescent="0.4">
      <c r="B101" s="278" t="s">
        <v>129</v>
      </c>
      <c r="C101" s="278" t="s">
        <v>144</v>
      </c>
      <c r="D101" s="278" t="s">
        <v>124</v>
      </c>
      <c r="E101" s="278" t="s">
        <v>283</v>
      </c>
      <c r="F101" s="278" t="s">
        <v>159</v>
      </c>
    </row>
    <row r="102" spans="1:6" x14ac:dyDescent="0.35">
      <c r="B102" s="273" t="str">
        <f>Valuation_Model!B74</f>
        <v>Snowball Scenario</v>
      </c>
      <c r="C102" s="274">
        <f>Valuation_Model!C74</f>
        <v>0.15</v>
      </c>
      <c r="D102" s="275">
        <f>Valuation_Model!D74</f>
        <v>10</v>
      </c>
      <c r="E102" s="276" t="str">
        <f>ROUND(Valuation_Model!E74,2)&amp;" "&amp;Market_currency</f>
        <v>2.75 HKD</v>
      </c>
      <c r="F102" s="277">
        <f>Valuation_Model!F74</f>
        <v>0.05</v>
      </c>
    </row>
    <row r="103" spans="1:6" x14ac:dyDescent="0.35">
      <c r="B103" s="258" t="str">
        <f>Valuation_Model!B75</f>
        <v>Optimistic</v>
      </c>
      <c r="C103" s="259">
        <f>Valuation_Model!C75</f>
        <v>0.1</v>
      </c>
      <c r="D103" s="260">
        <f>Valuation_Model!D75</f>
        <v>5</v>
      </c>
      <c r="E103" s="261" t="str">
        <f>ROUND(Valuation_Model!E75,2)&amp;" "&amp;Market_currency</f>
        <v>2.33 HKD</v>
      </c>
      <c r="F103" s="262">
        <f>Valuation_Model!F75</f>
        <v>0.21249999999999999</v>
      </c>
    </row>
    <row r="104" spans="1:6" x14ac:dyDescent="0.35">
      <c r="B104" s="258" t="str">
        <f>Valuation_Model!B76</f>
        <v>Base</v>
      </c>
      <c r="C104" s="259">
        <f>Valuation_Model!C76</f>
        <v>0.04</v>
      </c>
      <c r="D104" s="260">
        <f>Valuation_Model!D76</f>
        <v>5</v>
      </c>
      <c r="E104" s="261" t="str">
        <f>ROUND(Valuation_Model!E76,2)&amp;" "&amp;Market_currency</f>
        <v>2.25 HKD</v>
      </c>
      <c r="F104" s="262">
        <f>Valuation_Model!F76</f>
        <v>0.51</v>
      </c>
    </row>
    <row r="105" spans="1:6" x14ac:dyDescent="0.35">
      <c r="B105" s="258" t="str">
        <f>Valuation_Model!B77</f>
        <v>Pessimistic</v>
      </c>
      <c r="C105" s="259">
        <f>Valuation_Model!C77</f>
        <v>-0.05</v>
      </c>
      <c r="D105" s="260">
        <f>Valuation_Model!D77</f>
        <v>5</v>
      </c>
      <c r="E105" s="261" t="str">
        <f>ROUND(Valuation_Model!E77,2)&amp;" "&amp;Market_currency</f>
        <v>2.13 HKD</v>
      </c>
      <c r="F105" s="262">
        <f>Valuation_Model!F77</f>
        <v>0.1275</v>
      </c>
    </row>
    <row r="106" spans="1:6" x14ac:dyDescent="0.35">
      <c r="B106" s="258" t="str">
        <f>Valuation_Model!B78</f>
        <v>Devil's advocate</v>
      </c>
      <c r="C106" s="259">
        <f>Valuation_Model!C78</f>
        <v>-0.15</v>
      </c>
      <c r="D106" s="260">
        <f>Valuation_Model!D78</f>
        <v>10</v>
      </c>
      <c r="E106" s="261" t="str">
        <f>ROUND(Valuation_Model!E78,2)&amp;" "&amp;Market_currency</f>
        <v>1.92 HKD</v>
      </c>
      <c r="F106" s="262">
        <f>Valuation_Model!F78</f>
        <v>0.1</v>
      </c>
    </row>
    <row r="108" spans="1:6" x14ac:dyDescent="0.35">
      <c r="B108" s="251" t="s">
        <v>282</v>
      </c>
      <c r="C108" s="257">
        <f>Scenarios!C60</f>
        <v>2.2416197633814501</v>
      </c>
      <c r="D108" s="252" t="str">
        <f>Market_currency</f>
        <v>HKD</v>
      </c>
    </row>
    <row r="110" spans="1:6" ht="13.9" x14ac:dyDescent="0.45">
      <c r="A110" s="263" t="s">
        <v>314</v>
      </c>
      <c r="B110" s="37"/>
      <c r="C110" s="37"/>
      <c r="D110" s="37"/>
      <c r="E110" s="37"/>
      <c r="F110" s="37"/>
    </row>
    <row r="112" spans="1:6" x14ac:dyDescent="0.35">
      <c r="B112" s="311" t="s">
        <v>288</v>
      </c>
      <c r="C112" s="311"/>
      <c r="D112" s="311"/>
      <c r="E112" s="311"/>
      <c r="F112" s="311"/>
    </row>
    <row r="113" spans="2:4" x14ac:dyDescent="0.35">
      <c r="B113" s="249" t="s">
        <v>245</v>
      </c>
    </row>
    <row r="114" spans="2:4" x14ac:dyDescent="0.35">
      <c r="B114" s="1" t="s">
        <v>289</v>
      </c>
      <c r="C114" s="267">
        <f>E20</f>
        <v>3</v>
      </c>
    </row>
    <row r="115" spans="2:4" x14ac:dyDescent="0.35">
      <c r="B115" s="1" t="s">
        <v>309</v>
      </c>
      <c r="C115" s="266">
        <f>C19</f>
        <v>0.2</v>
      </c>
    </row>
    <row r="116" spans="2:4" x14ac:dyDescent="0.35">
      <c r="B116" s="252" t="s">
        <v>285</v>
      </c>
      <c r="C116" s="253">
        <f>Scenarios!C77</f>
        <v>0.1178</v>
      </c>
      <c r="D116" s="252" t="str">
        <f>Market_currency</f>
        <v>HKD</v>
      </c>
    </row>
    <row r="118" spans="2:4" x14ac:dyDescent="0.35">
      <c r="B118" s="249" t="s">
        <v>287</v>
      </c>
    </row>
    <row r="119" spans="2:4" x14ac:dyDescent="0.35">
      <c r="B119" s="252" t="str">
        <f>"PV("&amp;C114&amp;" yrs of Dividends)"</f>
        <v>PV(3 yrs of Dividends)</v>
      </c>
      <c r="C119" s="256">
        <f>Scenarios!C81</f>
        <v>0.24814351851851849</v>
      </c>
    </row>
    <row r="120" spans="2:4" x14ac:dyDescent="0.35">
      <c r="B120" s="252" t="str">
        <f>"+ PV(Equity Value realized at year "&amp;C114&amp;")"</f>
        <v>+ PV(Equity Value realized at year 3)</v>
      </c>
      <c r="C120" s="256">
        <f>Scenarios!C82</f>
        <v>1.297233659364265</v>
      </c>
    </row>
    <row r="121" spans="2:4" x14ac:dyDescent="0.35">
      <c r="B121" s="89" t="s">
        <v>284</v>
      </c>
      <c r="C121" s="255">
        <f>Scenarios!C83</f>
        <v>1.5453771778827836</v>
      </c>
      <c r="D121" s="48" t="str">
        <f>Reporting_currency</f>
        <v>CNY</v>
      </c>
    </row>
    <row r="122" spans="2:4" x14ac:dyDescent="0.35">
      <c r="B122" s="254" t="s">
        <v>286</v>
      </c>
      <c r="C122" s="166">
        <f>Scenarios!F83</f>
        <v>-0.31059798672027894</v>
      </c>
    </row>
  </sheetData>
  <mergeCells count="18"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  <mergeCell ref="B36:F36"/>
    <mergeCell ref="B14:F14"/>
    <mergeCell ref="B25:F25"/>
    <mergeCell ref="B26:F26"/>
    <mergeCell ref="B29:F29"/>
    <mergeCell ref="B32:F32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5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7">
        <v>1000</v>
      </c>
    </row>
    <row r="4" spans="2:13" x14ac:dyDescent="0.35">
      <c r="B4" s="33" t="s">
        <v>3</v>
      </c>
      <c r="C4" s="202">
        <v>1615585</v>
      </c>
      <c r="D4" s="193">
        <v>1446638</v>
      </c>
      <c r="E4" s="193">
        <v>1769157</v>
      </c>
      <c r="F4" s="193">
        <v>1702154</v>
      </c>
      <c r="G4" s="193">
        <v>1383402</v>
      </c>
      <c r="H4" s="193"/>
      <c r="I4" s="193"/>
      <c r="J4" s="193"/>
      <c r="K4" s="193"/>
      <c r="L4" s="193"/>
      <c r="M4" s="193"/>
    </row>
    <row r="5" spans="2:13" x14ac:dyDescent="0.35">
      <c r="B5" s="41" t="s">
        <v>47</v>
      </c>
      <c r="C5" s="202">
        <v>897327</v>
      </c>
      <c r="D5" s="193">
        <v>845264</v>
      </c>
      <c r="E5" s="193">
        <v>981731</v>
      </c>
      <c r="F5" s="193">
        <v>959572</v>
      </c>
      <c r="G5" s="193">
        <v>783542</v>
      </c>
      <c r="H5" s="193"/>
      <c r="I5" s="193"/>
      <c r="J5" s="193"/>
      <c r="K5" s="193"/>
      <c r="L5" s="193"/>
      <c r="M5" s="193"/>
    </row>
    <row r="6" spans="2:13" x14ac:dyDescent="0.35">
      <c r="B6" s="41" t="s">
        <v>59</v>
      </c>
      <c r="C6" s="202">
        <v>613104</v>
      </c>
      <c r="D6" s="193">
        <v>599182</v>
      </c>
      <c r="E6" s="193">
        <v>705390</v>
      </c>
      <c r="F6" s="193">
        <v>456610</v>
      </c>
      <c r="G6" s="193">
        <v>396643</v>
      </c>
      <c r="H6" s="193"/>
      <c r="I6" s="193"/>
      <c r="J6" s="193"/>
      <c r="K6" s="193"/>
      <c r="L6" s="193"/>
      <c r="M6" s="193"/>
    </row>
    <row r="7" spans="2:13" x14ac:dyDescent="0.35">
      <c r="B7" s="75" t="s">
        <v>66</v>
      </c>
      <c r="C7" s="203">
        <v>425033</v>
      </c>
      <c r="D7" s="201">
        <v>435254</v>
      </c>
      <c r="E7" s="201"/>
      <c r="F7" s="201"/>
      <c r="G7" s="201"/>
      <c r="H7" s="201"/>
      <c r="I7" s="201"/>
      <c r="J7" s="201"/>
      <c r="K7" s="201"/>
      <c r="L7" s="201"/>
      <c r="M7" s="201"/>
    </row>
    <row r="8" spans="2:13" x14ac:dyDescent="0.35">
      <c r="B8" s="41" t="s">
        <v>53</v>
      </c>
      <c r="C8" s="202"/>
      <c r="D8" s="193"/>
      <c r="E8" s="193"/>
      <c r="F8" s="193"/>
      <c r="G8" s="193"/>
      <c r="H8" s="193"/>
      <c r="I8" s="193"/>
      <c r="J8" s="193"/>
      <c r="K8" s="193"/>
      <c r="L8" s="193"/>
      <c r="M8" s="193"/>
    </row>
    <row r="9" spans="2:13" x14ac:dyDescent="0.35">
      <c r="B9" s="41" t="s">
        <v>171</v>
      </c>
      <c r="C9" s="202"/>
      <c r="D9" s="193"/>
      <c r="E9" s="193"/>
      <c r="F9" s="193"/>
      <c r="G9" s="193"/>
      <c r="H9" s="193"/>
      <c r="I9" s="193"/>
      <c r="J9" s="193"/>
      <c r="K9" s="193"/>
      <c r="L9" s="193"/>
      <c r="M9" s="193"/>
    </row>
    <row r="10" spans="2:13" x14ac:dyDescent="0.35">
      <c r="B10" s="41" t="s">
        <v>179</v>
      </c>
      <c r="C10" s="202"/>
      <c r="D10" s="193"/>
      <c r="E10" s="193"/>
      <c r="F10" s="193"/>
      <c r="G10" s="193"/>
      <c r="H10" s="193"/>
      <c r="I10" s="193"/>
      <c r="J10" s="193"/>
      <c r="K10" s="193"/>
      <c r="L10" s="193"/>
      <c r="M10" s="193"/>
    </row>
    <row r="11" spans="2:13" x14ac:dyDescent="0.35">
      <c r="B11" s="41" t="s">
        <v>170</v>
      </c>
      <c r="C11" s="202"/>
      <c r="D11" s="193"/>
      <c r="E11" s="193"/>
      <c r="F11" s="193"/>
      <c r="G11" s="193"/>
      <c r="H11" s="193"/>
      <c r="I11" s="193"/>
      <c r="J11" s="193"/>
      <c r="K11" s="193"/>
      <c r="L11" s="193"/>
      <c r="M11" s="193"/>
    </row>
    <row r="12" spans="2:13" x14ac:dyDescent="0.35">
      <c r="B12" s="41" t="s">
        <v>41</v>
      </c>
      <c r="C12" s="202">
        <v>1003</v>
      </c>
      <c r="D12" s="193">
        <v>863</v>
      </c>
      <c r="E12" s="193">
        <v>1613</v>
      </c>
      <c r="F12" s="193">
        <v>2645</v>
      </c>
      <c r="G12" s="193">
        <v>299</v>
      </c>
      <c r="H12" s="193"/>
      <c r="I12" s="193"/>
      <c r="J12" s="193"/>
      <c r="K12" s="193"/>
      <c r="L12" s="193"/>
      <c r="M12" s="193"/>
    </row>
    <row r="13" spans="2:13" x14ac:dyDescent="0.35">
      <c r="B13" s="41" t="s">
        <v>72</v>
      </c>
      <c r="C13" s="202">
        <v>73805</v>
      </c>
      <c r="D13" s="193">
        <v>45350</v>
      </c>
      <c r="E13" s="193"/>
      <c r="F13" s="193"/>
      <c r="G13" s="193"/>
      <c r="H13" s="193"/>
      <c r="I13" s="193"/>
      <c r="J13" s="193"/>
      <c r="K13" s="193"/>
      <c r="L13" s="193"/>
      <c r="M13" s="193"/>
    </row>
    <row r="14" spans="2:13" x14ac:dyDescent="0.35">
      <c r="B14" s="41" t="s">
        <v>54</v>
      </c>
      <c r="C14" s="202">
        <v>44449</v>
      </c>
      <c r="D14" s="193">
        <v>21017</v>
      </c>
      <c r="E14" s="193"/>
      <c r="F14" s="193"/>
      <c r="G14" s="193"/>
      <c r="H14" s="193"/>
      <c r="I14" s="193"/>
      <c r="J14" s="193"/>
      <c r="K14" s="193"/>
      <c r="L14" s="193"/>
      <c r="M14" s="193"/>
    </row>
    <row r="15" spans="2:13" x14ac:dyDescent="0.35">
      <c r="B15" s="44" t="s">
        <v>46</v>
      </c>
      <c r="C15" s="204">
        <v>172817</v>
      </c>
      <c r="D15" s="194">
        <v>65456</v>
      </c>
      <c r="E15" s="194">
        <v>5735.3965490000001</v>
      </c>
      <c r="F15" s="194">
        <v>9646.0369900000005</v>
      </c>
      <c r="G15" s="194"/>
      <c r="H15" s="194"/>
      <c r="I15" s="194"/>
      <c r="J15" s="194"/>
      <c r="K15" s="194"/>
      <c r="L15" s="194"/>
      <c r="M15" s="194"/>
    </row>
    <row r="16" spans="2:13" x14ac:dyDescent="0.35">
      <c r="B16" s="29" t="s">
        <v>48</v>
      </c>
      <c r="C16" s="202">
        <v>2199</v>
      </c>
      <c r="D16" s="193">
        <v>645</v>
      </c>
      <c r="E16" s="193"/>
      <c r="F16" s="193"/>
      <c r="G16" s="193"/>
      <c r="H16" s="193"/>
      <c r="I16" s="193"/>
      <c r="J16" s="193"/>
      <c r="K16" s="193"/>
      <c r="L16" s="193"/>
      <c r="M16" s="193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3">
        <v>35974</v>
      </c>
      <c r="D19" s="193">
        <v>32106</v>
      </c>
      <c r="E19" s="193">
        <v>181.018</v>
      </c>
      <c r="F19" s="193">
        <v>186.14699999999999</v>
      </c>
      <c r="G19" s="193"/>
      <c r="H19" s="193"/>
      <c r="I19" s="193"/>
      <c r="J19" s="193"/>
      <c r="K19" s="193"/>
      <c r="L19" s="193"/>
      <c r="M19" s="193"/>
    </row>
    <row r="20" spans="2:13" x14ac:dyDescent="0.35">
      <c r="B20" s="28" t="s">
        <v>57</v>
      </c>
      <c r="C20" s="193">
        <v>15312</v>
      </c>
      <c r="D20" s="193">
        <v>11600</v>
      </c>
      <c r="E20" s="193"/>
      <c r="F20" s="193"/>
      <c r="G20" s="193"/>
      <c r="H20" s="193"/>
      <c r="I20" s="193"/>
      <c r="J20" s="193"/>
      <c r="K20" s="193"/>
      <c r="L20" s="193"/>
      <c r="M20" s="193"/>
    </row>
    <row r="21" spans="2:13" x14ac:dyDescent="0.35">
      <c r="B21" s="28" t="s">
        <v>56</v>
      </c>
      <c r="C21" s="193">
        <v>-169280</v>
      </c>
      <c r="D21" s="193">
        <v>-50846</v>
      </c>
      <c r="E21" s="193"/>
      <c r="F21" s="193"/>
      <c r="G21" s="193"/>
      <c r="H21" s="193"/>
      <c r="I21" s="193"/>
      <c r="J21" s="193"/>
      <c r="K21" s="193"/>
      <c r="L21" s="193"/>
      <c r="M21" s="193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5"/>
      <c r="D25" s="193"/>
      <c r="E25" s="193"/>
      <c r="F25" s="193"/>
      <c r="G25" s="193"/>
      <c r="H25" s="193"/>
      <c r="I25" s="193"/>
      <c r="J25" s="193"/>
      <c r="K25" s="193"/>
      <c r="L25" s="193"/>
      <c r="M25" s="193"/>
    </row>
    <row r="26" spans="2:13" x14ac:dyDescent="0.35">
      <c r="B26" s="27" t="s">
        <v>34</v>
      </c>
      <c r="C26" s="195"/>
      <c r="D26" s="193"/>
      <c r="E26" s="193"/>
      <c r="F26" s="193"/>
      <c r="G26" s="193"/>
      <c r="H26" s="193"/>
      <c r="I26" s="193"/>
      <c r="J26" s="193"/>
      <c r="K26" s="193"/>
      <c r="L26" s="193"/>
      <c r="M26" s="193"/>
    </row>
    <row r="27" spans="2:13" x14ac:dyDescent="0.35">
      <c r="B27" s="30" t="s">
        <v>42</v>
      </c>
      <c r="C27" s="194">
        <v>642877</v>
      </c>
      <c r="D27" s="194">
        <v>734909</v>
      </c>
      <c r="E27" s="194">
        <v>677999</v>
      </c>
      <c r="F27" s="194">
        <v>1352795</v>
      </c>
      <c r="G27" s="194">
        <v>1205068</v>
      </c>
      <c r="H27" s="194"/>
      <c r="I27" s="194"/>
      <c r="J27" s="194"/>
      <c r="K27" s="194"/>
      <c r="L27" s="194"/>
      <c r="M27" s="194"/>
    </row>
    <row r="28" spans="2:13" x14ac:dyDescent="0.35">
      <c r="B28" s="30" t="s">
        <v>32</v>
      </c>
      <c r="C28" s="194">
        <v>3027292</v>
      </c>
      <c r="D28" s="194">
        <v>2824568</v>
      </c>
      <c r="E28" s="194">
        <v>2735259</v>
      </c>
      <c r="F28" s="194">
        <v>250534</v>
      </c>
      <c r="G28" s="194">
        <v>13930</v>
      </c>
      <c r="H28" s="194"/>
      <c r="I28" s="194"/>
      <c r="J28" s="194"/>
      <c r="K28" s="194"/>
      <c r="L28" s="194"/>
      <c r="M28" s="194"/>
    </row>
    <row r="29" spans="2:13" x14ac:dyDescent="0.35">
      <c r="B29" s="27" t="s">
        <v>184</v>
      </c>
      <c r="C29" s="193"/>
      <c r="D29" s="193"/>
      <c r="E29" s="193"/>
      <c r="F29" s="193"/>
      <c r="G29" s="194"/>
      <c r="H29" s="194"/>
      <c r="I29" s="194"/>
      <c r="J29" s="194"/>
      <c r="K29" s="194"/>
      <c r="L29" s="194"/>
      <c r="M29" s="194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5">
        <f t="shared" ref="C36:M36" si="1">IF(C$4="","",C4)</f>
        <v>1615585</v>
      </c>
      <c r="D36" s="195">
        <f t="shared" si="1"/>
        <v>1446638</v>
      </c>
      <c r="E36" s="195">
        <f t="shared" si="1"/>
        <v>1769157</v>
      </c>
      <c r="F36" s="195">
        <f t="shared" si="1"/>
        <v>1702154</v>
      </c>
      <c r="G36" s="195">
        <f t="shared" si="1"/>
        <v>1383402</v>
      </c>
      <c r="H36" s="195" t="str">
        <f t="shared" si="1"/>
        <v/>
      </c>
      <c r="I36" s="195" t="str">
        <f t="shared" si="1"/>
        <v/>
      </c>
      <c r="J36" s="195" t="str">
        <f t="shared" si="1"/>
        <v/>
      </c>
      <c r="K36" s="195" t="str">
        <f t="shared" si="1"/>
        <v/>
      </c>
      <c r="L36" s="195" t="str">
        <f t="shared" si="1"/>
        <v/>
      </c>
      <c r="M36" s="195" t="str">
        <f t="shared" si="1"/>
        <v/>
      </c>
    </row>
    <row r="37" spans="2:13" x14ac:dyDescent="0.35">
      <c r="B37" s="41" t="s">
        <v>47</v>
      </c>
      <c r="C37" s="195">
        <f t="shared" ref="C37:M37" si="2">IF(C$4="","",-C5)</f>
        <v>-897327</v>
      </c>
      <c r="D37" s="195">
        <f t="shared" si="2"/>
        <v>-845264</v>
      </c>
      <c r="E37" s="195">
        <f t="shared" si="2"/>
        <v>-981731</v>
      </c>
      <c r="F37" s="195">
        <f t="shared" si="2"/>
        <v>-959572</v>
      </c>
      <c r="G37" s="195">
        <f t="shared" si="2"/>
        <v>-783542</v>
      </c>
      <c r="H37" s="195" t="str">
        <f t="shared" si="2"/>
        <v/>
      </c>
      <c r="I37" s="195" t="str">
        <f t="shared" si="2"/>
        <v/>
      </c>
      <c r="J37" s="195" t="str">
        <f t="shared" si="2"/>
        <v/>
      </c>
      <c r="K37" s="195" t="str">
        <f t="shared" si="2"/>
        <v/>
      </c>
      <c r="L37" s="195" t="str">
        <f t="shared" si="2"/>
        <v/>
      </c>
      <c r="M37" s="195" t="str">
        <f t="shared" si="2"/>
        <v/>
      </c>
    </row>
    <row r="38" spans="2:13" x14ac:dyDescent="0.35">
      <c r="B38" s="32" t="s">
        <v>63</v>
      </c>
      <c r="C38" s="196">
        <f>IF(C36="","",C36+C37)</f>
        <v>718258</v>
      </c>
      <c r="D38" s="196">
        <f t="shared" ref="D38" si="3">IF(D36="","",D36+D37)</f>
        <v>601374</v>
      </c>
      <c r="E38" s="196">
        <f t="shared" ref="E38" si="4">IF(E36="","",E36+E37)</f>
        <v>787426</v>
      </c>
      <c r="F38" s="196">
        <f t="shared" ref="F38" si="5">IF(F36="","",F36+F37)</f>
        <v>742582</v>
      </c>
      <c r="G38" s="196">
        <f t="shared" ref="G38" si="6">IF(G36="","",G36+G37)</f>
        <v>599860</v>
      </c>
      <c r="H38" s="196" t="str">
        <f t="shared" ref="H38" si="7">IF(H36="","",H36+H37)</f>
        <v/>
      </c>
      <c r="I38" s="196" t="str">
        <f t="shared" ref="I38" si="8">IF(I36="","",I36+I37)</f>
        <v/>
      </c>
      <c r="J38" s="196" t="str">
        <f t="shared" ref="J38" si="9">IF(J36="","",J36+J37)</f>
        <v/>
      </c>
      <c r="K38" s="196" t="str">
        <f t="shared" ref="K38" si="10">IF(K36="","",K36+K37)</f>
        <v/>
      </c>
      <c r="L38" s="196" t="str">
        <f t="shared" ref="L38" si="11">IF(L36="","",L36+L37)</f>
        <v/>
      </c>
      <c r="M38" s="196" t="str">
        <f t="shared" ref="M38" si="12">IF(M36="","",M36+M37)</f>
        <v/>
      </c>
    </row>
    <row r="39" spans="2:13" x14ac:dyDescent="0.35">
      <c r="B39" s="41" t="s">
        <v>59</v>
      </c>
      <c r="C39" s="195">
        <f t="shared" ref="C39:M39" si="13">IF(C$4="","",-C6)</f>
        <v>-613104</v>
      </c>
      <c r="D39" s="195">
        <f t="shared" si="13"/>
        <v>-599182</v>
      </c>
      <c r="E39" s="195">
        <f t="shared" si="13"/>
        <v>-705390</v>
      </c>
      <c r="F39" s="195">
        <f t="shared" si="13"/>
        <v>-456610</v>
      </c>
      <c r="G39" s="195">
        <f t="shared" si="13"/>
        <v>-396643</v>
      </c>
      <c r="H39" s="195" t="str">
        <f t="shared" si="13"/>
        <v/>
      </c>
      <c r="I39" s="195" t="str">
        <f t="shared" si="13"/>
        <v/>
      </c>
      <c r="J39" s="195" t="str">
        <f t="shared" si="13"/>
        <v/>
      </c>
      <c r="K39" s="195" t="str">
        <f t="shared" si="13"/>
        <v/>
      </c>
      <c r="L39" s="195" t="str">
        <f t="shared" si="13"/>
        <v/>
      </c>
      <c r="M39" s="195" t="str">
        <f t="shared" si="13"/>
        <v/>
      </c>
    </row>
    <row r="40" spans="2:13" x14ac:dyDescent="0.35">
      <c r="B40" s="75" t="s">
        <v>66</v>
      </c>
      <c r="C40" s="197">
        <f t="shared" ref="C40:M40" si="14">IF(C$4="","",-C7)</f>
        <v>-425033</v>
      </c>
      <c r="D40" s="197">
        <f t="shared" si="14"/>
        <v>-435254</v>
      </c>
      <c r="E40" s="197">
        <f t="shared" si="14"/>
        <v>0</v>
      </c>
      <c r="F40" s="197">
        <f t="shared" si="14"/>
        <v>0</v>
      </c>
      <c r="G40" s="197">
        <f t="shared" si="14"/>
        <v>0</v>
      </c>
      <c r="H40" s="197" t="str">
        <f t="shared" si="14"/>
        <v/>
      </c>
      <c r="I40" s="197" t="str">
        <f t="shared" si="14"/>
        <v/>
      </c>
      <c r="J40" s="197" t="str">
        <f t="shared" si="14"/>
        <v/>
      </c>
      <c r="K40" s="197" t="str">
        <f t="shared" si="14"/>
        <v/>
      </c>
      <c r="L40" s="197" t="str">
        <f t="shared" si="14"/>
        <v/>
      </c>
      <c r="M40" s="197" t="str">
        <f t="shared" si="14"/>
        <v/>
      </c>
    </row>
    <row r="41" spans="2:13" x14ac:dyDescent="0.35">
      <c r="B41" s="75" t="s">
        <v>69</v>
      </c>
      <c r="C41" s="197">
        <f>IF(C$4="","",C39-C40)</f>
        <v>-188071</v>
      </c>
      <c r="D41" s="197">
        <f t="shared" ref="D41:M41" si="15">IF(D$4="","",D39-D40)</f>
        <v>-163928</v>
      </c>
      <c r="E41" s="197">
        <f t="shared" si="15"/>
        <v>-705390</v>
      </c>
      <c r="F41" s="197">
        <f t="shared" si="15"/>
        <v>-456610</v>
      </c>
      <c r="G41" s="197">
        <f t="shared" si="15"/>
        <v>-396643</v>
      </c>
      <c r="H41" s="197" t="str">
        <f t="shared" si="15"/>
        <v/>
      </c>
      <c r="I41" s="197" t="str">
        <f t="shared" si="15"/>
        <v/>
      </c>
      <c r="J41" s="197" t="str">
        <f t="shared" si="15"/>
        <v/>
      </c>
      <c r="K41" s="197" t="str">
        <f t="shared" si="15"/>
        <v/>
      </c>
      <c r="L41" s="197" t="str">
        <f t="shared" si="15"/>
        <v/>
      </c>
      <c r="M41" s="197" t="str">
        <f t="shared" si="15"/>
        <v/>
      </c>
    </row>
    <row r="42" spans="2:13" x14ac:dyDescent="0.35">
      <c r="B42" s="41" t="s">
        <v>53</v>
      </c>
      <c r="C42" s="195">
        <f t="shared" ref="C42:M42" si="16">IF(C$4="","",-C8)</f>
        <v>0</v>
      </c>
      <c r="D42" s="195">
        <f t="shared" si="16"/>
        <v>0</v>
      </c>
      <c r="E42" s="195">
        <f t="shared" si="16"/>
        <v>0</v>
      </c>
      <c r="F42" s="195">
        <f t="shared" si="16"/>
        <v>0</v>
      </c>
      <c r="G42" s="195">
        <f t="shared" si="16"/>
        <v>0</v>
      </c>
      <c r="H42" s="195" t="str">
        <f t="shared" si="16"/>
        <v/>
      </c>
      <c r="I42" s="195" t="str">
        <f t="shared" si="16"/>
        <v/>
      </c>
      <c r="J42" s="195" t="str">
        <f t="shared" si="16"/>
        <v/>
      </c>
      <c r="K42" s="195" t="str">
        <f t="shared" si="16"/>
        <v/>
      </c>
      <c r="L42" s="195" t="str">
        <f t="shared" si="16"/>
        <v/>
      </c>
      <c r="M42" s="195" t="str">
        <f t="shared" si="16"/>
        <v/>
      </c>
    </row>
    <row r="43" spans="2:13" x14ac:dyDescent="0.35">
      <c r="B43" s="44" t="s">
        <v>164</v>
      </c>
      <c r="C43" s="198">
        <f>IF(C$4="","",C38+C39+C42)</f>
        <v>105154</v>
      </c>
      <c r="D43" s="198">
        <f t="shared" ref="D43:M43" si="17">IF(D$4="","",D38+D39+D42)</f>
        <v>2192</v>
      </c>
      <c r="E43" s="198">
        <f t="shared" si="17"/>
        <v>82036</v>
      </c>
      <c r="F43" s="198">
        <f t="shared" si="17"/>
        <v>285972</v>
      </c>
      <c r="G43" s="198">
        <f t="shared" si="17"/>
        <v>203217</v>
      </c>
      <c r="H43" s="198" t="str">
        <f t="shared" si="17"/>
        <v/>
      </c>
      <c r="I43" s="198" t="str">
        <f t="shared" si="17"/>
        <v/>
      </c>
      <c r="J43" s="198" t="str">
        <f t="shared" si="17"/>
        <v/>
      </c>
      <c r="K43" s="198" t="str">
        <f t="shared" si="17"/>
        <v/>
      </c>
      <c r="L43" s="198" t="str">
        <f t="shared" si="17"/>
        <v/>
      </c>
      <c r="M43" s="198" t="str">
        <f t="shared" si="17"/>
        <v/>
      </c>
    </row>
    <row r="44" spans="2:13" x14ac:dyDescent="0.35">
      <c r="B44" s="44" t="s">
        <v>180</v>
      </c>
      <c r="C44" s="199">
        <f t="shared" ref="C44:M44" si="18">IF(C$4="","",C47-C46-C45-C43)</f>
        <v>39310</v>
      </c>
      <c r="D44" s="199">
        <f t="shared" si="18"/>
        <v>39794</v>
      </c>
      <c r="E44" s="199">
        <f t="shared" si="18"/>
        <v>-74687.603451000003</v>
      </c>
      <c r="F44" s="199">
        <f t="shared" si="18"/>
        <v>-273680.96301000001</v>
      </c>
      <c r="G44" s="199">
        <f t="shared" si="18"/>
        <v>-202918</v>
      </c>
      <c r="H44" s="199" t="str">
        <f t="shared" si="18"/>
        <v/>
      </c>
      <c r="I44" s="199" t="str">
        <f t="shared" si="18"/>
        <v/>
      </c>
      <c r="J44" s="199" t="str">
        <f t="shared" si="18"/>
        <v/>
      </c>
      <c r="K44" s="199" t="str">
        <f t="shared" si="18"/>
        <v/>
      </c>
      <c r="L44" s="199" t="str">
        <f t="shared" si="18"/>
        <v/>
      </c>
      <c r="M44" s="199" t="str">
        <f t="shared" si="18"/>
        <v/>
      </c>
    </row>
    <row r="45" spans="2:13" x14ac:dyDescent="0.35">
      <c r="B45" s="41" t="s">
        <v>73</v>
      </c>
      <c r="C45" s="200">
        <f t="shared" ref="C45:M45" si="19">IF(C$4="","",C51+C52)</f>
        <v>72802</v>
      </c>
      <c r="D45" s="200">
        <f t="shared" si="19"/>
        <v>44487</v>
      </c>
      <c r="E45" s="200">
        <f t="shared" si="19"/>
        <v>-1613</v>
      </c>
      <c r="F45" s="200">
        <f t="shared" si="19"/>
        <v>-2645</v>
      </c>
      <c r="G45" s="200">
        <f t="shared" si="19"/>
        <v>-299</v>
      </c>
      <c r="H45" s="200" t="str">
        <f t="shared" si="19"/>
        <v/>
      </c>
      <c r="I45" s="200" t="str">
        <f t="shared" si="19"/>
        <v/>
      </c>
      <c r="J45" s="200" t="str">
        <f t="shared" si="19"/>
        <v/>
      </c>
      <c r="K45" s="200" t="str">
        <f t="shared" si="19"/>
        <v/>
      </c>
      <c r="L45" s="200" t="str">
        <f t="shared" si="19"/>
        <v/>
      </c>
      <c r="M45" s="200" t="str">
        <f t="shared" si="19"/>
        <v/>
      </c>
    </row>
    <row r="46" spans="2:13" x14ac:dyDescent="0.35">
      <c r="B46" s="41" t="s">
        <v>54</v>
      </c>
      <c r="C46" s="195">
        <f t="shared" ref="C46:M46" si="20">IF(C$4="","",-C14)</f>
        <v>-44449</v>
      </c>
      <c r="D46" s="195">
        <f t="shared" si="20"/>
        <v>-21017</v>
      </c>
      <c r="E46" s="195">
        <f t="shared" si="20"/>
        <v>0</v>
      </c>
      <c r="F46" s="195">
        <f t="shared" si="20"/>
        <v>0</v>
      </c>
      <c r="G46" s="195">
        <f t="shared" si="20"/>
        <v>0</v>
      </c>
      <c r="H46" s="195" t="str">
        <f t="shared" si="20"/>
        <v/>
      </c>
      <c r="I46" s="195" t="str">
        <f t="shared" si="20"/>
        <v/>
      </c>
      <c r="J46" s="195" t="str">
        <f t="shared" si="20"/>
        <v/>
      </c>
      <c r="K46" s="195" t="str">
        <f t="shared" si="20"/>
        <v/>
      </c>
      <c r="L46" s="195" t="str">
        <f t="shared" si="20"/>
        <v/>
      </c>
      <c r="M46" s="195" t="str">
        <f t="shared" si="20"/>
        <v/>
      </c>
    </row>
    <row r="47" spans="2:13" x14ac:dyDescent="0.35">
      <c r="B47" s="44" t="s">
        <v>46</v>
      </c>
      <c r="C47" s="198">
        <f t="shared" ref="C47:M47" si="21">IF(C$4="","",C15)</f>
        <v>172817</v>
      </c>
      <c r="D47" s="198">
        <f t="shared" si="21"/>
        <v>65456</v>
      </c>
      <c r="E47" s="198">
        <f t="shared" si="21"/>
        <v>5735.3965490000001</v>
      </c>
      <c r="F47" s="198">
        <f t="shared" si="21"/>
        <v>9646.0369900000005</v>
      </c>
      <c r="G47" s="198">
        <f t="shared" si="21"/>
        <v>0</v>
      </c>
      <c r="H47" s="198" t="str">
        <f t="shared" si="21"/>
        <v/>
      </c>
      <c r="I47" s="198" t="str">
        <f t="shared" si="21"/>
        <v/>
      </c>
      <c r="J47" s="198" t="str">
        <f t="shared" si="21"/>
        <v/>
      </c>
      <c r="K47" s="198" t="str">
        <f t="shared" si="21"/>
        <v/>
      </c>
      <c r="L47" s="198" t="str">
        <f t="shared" si="21"/>
        <v/>
      </c>
      <c r="M47" s="198" t="str">
        <f t="shared" si="21"/>
        <v/>
      </c>
    </row>
    <row r="48" spans="2:13" x14ac:dyDescent="0.35">
      <c r="B48" s="29" t="s">
        <v>48</v>
      </c>
      <c r="C48" s="195">
        <f t="shared" ref="C48:M48" si="22">IF(C$4="","",MIN(-C16,0))</f>
        <v>-2199</v>
      </c>
      <c r="D48" s="195">
        <f t="shared" si="22"/>
        <v>-645</v>
      </c>
      <c r="E48" s="195">
        <f t="shared" si="22"/>
        <v>0</v>
      </c>
      <c r="F48" s="195">
        <f t="shared" si="22"/>
        <v>0</v>
      </c>
      <c r="G48" s="195">
        <f t="shared" si="22"/>
        <v>0</v>
      </c>
      <c r="H48" s="195" t="str">
        <f t="shared" si="22"/>
        <v/>
      </c>
      <c r="I48" s="195" t="str">
        <f t="shared" si="22"/>
        <v/>
      </c>
      <c r="J48" s="195" t="str">
        <f t="shared" si="22"/>
        <v/>
      </c>
      <c r="K48" s="195" t="str">
        <f t="shared" si="22"/>
        <v/>
      </c>
      <c r="L48" s="195" t="str">
        <f t="shared" si="22"/>
        <v/>
      </c>
      <c r="M48" s="195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5">
        <f t="shared" ref="C51:M51" si="23">IF(C$4="","",-C12)</f>
        <v>-1003</v>
      </c>
      <c r="D51" s="195">
        <f t="shared" si="23"/>
        <v>-863</v>
      </c>
      <c r="E51" s="195">
        <f t="shared" si="23"/>
        <v>-1613</v>
      </c>
      <c r="F51" s="195">
        <f t="shared" si="23"/>
        <v>-2645</v>
      </c>
      <c r="G51" s="195">
        <f t="shared" si="23"/>
        <v>-299</v>
      </c>
      <c r="H51" s="195" t="str">
        <f t="shared" si="23"/>
        <v/>
      </c>
      <c r="I51" s="195" t="str">
        <f t="shared" si="23"/>
        <v/>
      </c>
      <c r="J51" s="195" t="str">
        <f t="shared" si="23"/>
        <v/>
      </c>
      <c r="K51" s="195" t="str">
        <f t="shared" si="23"/>
        <v/>
      </c>
      <c r="L51" s="195" t="str">
        <f t="shared" si="23"/>
        <v/>
      </c>
      <c r="M51" s="195" t="str">
        <f t="shared" si="23"/>
        <v/>
      </c>
    </row>
    <row r="52" spans="2:13" x14ac:dyDescent="0.35">
      <c r="B52" s="41" t="s">
        <v>72</v>
      </c>
      <c r="C52" s="195">
        <f t="shared" ref="C52:M52" si="24">IF(C$4="","",C13)</f>
        <v>73805</v>
      </c>
      <c r="D52" s="195">
        <f t="shared" si="24"/>
        <v>45350</v>
      </c>
      <c r="E52" s="195">
        <f t="shared" si="24"/>
        <v>0</v>
      </c>
      <c r="F52" s="195">
        <f t="shared" si="24"/>
        <v>0</v>
      </c>
      <c r="G52" s="195">
        <f t="shared" si="24"/>
        <v>0</v>
      </c>
      <c r="H52" s="195" t="str">
        <f t="shared" si="24"/>
        <v/>
      </c>
      <c r="I52" s="195" t="str">
        <f t="shared" si="24"/>
        <v/>
      </c>
      <c r="J52" s="195" t="str">
        <f t="shared" si="24"/>
        <v/>
      </c>
      <c r="K52" s="195" t="str">
        <f t="shared" si="24"/>
        <v/>
      </c>
      <c r="L52" s="195" t="str">
        <f t="shared" si="24"/>
        <v/>
      </c>
      <c r="M52" s="195" t="str">
        <f t="shared" si="24"/>
        <v/>
      </c>
    </row>
    <row r="54" spans="2:13" x14ac:dyDescent="0.35">
      <c r="B54" s="187" t="s">
        <v>180</v>
      </c>
    </row>
    <row r="55" spans="2:13" x14ac:dyDescent="0.35">
      <c r="B55" s="41" t="s">
        <v>171</v>
      </c>
      <c r="C55" s="200">
        <f t="shared" ref="C55:M55" si="25">IF(C$4="","",C9)</f>
        <v>0</v>
      </c>
      <c r="D55" s="200">
        <f t="shared" si="25"/>
        <v>0</v>
      </c>
      <c r="E55" s="200">
        <f t="shared" si="25"/>
        <v>0</v>
      </c>
      <c r="F55" s="200">
        <f t="shared" si="25"/>
        <v>0</v>
      </c>
      <c r="G55" s="200">
        <f t="shared" si="25"/>
        <v>0</v>
      </c>
      <c r="H55" s="200" t="str">
        <f t="shared" si="25"/>
        <v/>
      </c>
      <c r="I55" s="200" t="str">
        <f t="shared" si="25"/>
        <v/>
      </c>
      <c r="J55" s="200" t="str">
        <f t="shared" si="25"/>
        <v/>
      </c>
      <c r="K55" s="200" t="str">
        <f t="shared" si="25"/>
        <v/>
      </c>
      <c r="L55" s="200" t="str">
        <f t="shared" si="25"/>
        <v/>
      </c>
      <c r="M55" s="200" t="str">
        <f t="shared" si="25"/>
        <v/>
      </c>
    </row>
    <row r="56" spans="2:13" x14ac:dyDescent="0.35">
      <c r="B56" s="41" t="s">
        <v>179</v>
      </c>
      <c r="C56" s="200">
        <f t="shared" ref="C56:M56" si="26">IF(C$4="","",C10)</f>
        <v>0</v>
      </c>
      <c r="D56" s="200">
        <f t="shared" si="26"/>
        <v>0</v>
      </c>
      <c r="E56" s="200">
        <f t="shared" si="26"/>
        <v>0</v>
      </c>
      <c r="F56" s="200">
        <f t="shared" si="26"/>
        <v>0</v>
      </c>
      <c r="G56" s="200">
        <f t="shared" si="26"/>
        <v>0</v>
      </c>
      <c r="H56" s="200" t="str">
        <f t="shared" si="26"/>
        <v/>
      </c>
      <c r="I56" s="200" t="str">
        <f t="shared" si="26"/>
        <v/>
      </c>
      <c r="J56" s="200" t="str">
        <f t="shared" si="26"/>
        <v/>
      </c>
      <c r="K56" s="200" t="str">
        <f t="shared" si="26"/>
        <v/>
      </c>
      <c r="L56" s="200" t="str">
        <f t="shared" si="26"/>
        <v/>
      </c>
      <c r="M56" s="200" t="str">
        <f t="shared" si="26"/>
        <v/>
      </c>
    </row>
    <row r="57" spans="2:13" x14ac:dyDescent="0.35">
      <c r="B57" s="41" t="s">
        <v>170</v>
      </c>
      <c r="C57" s="200">
        <f>IF(C$4="","",C11)</f>
        <v>0</v>
      </c>
      <c r="D57" s="200">
        <f t="shared" ref="D57:M57" si="27">IF(D$4="","",D11)</f>
        <v>0</v>
      </c>
      <c r="E57" s="200">
        <f t="shared" si="27"/>
        <v>0</v>
      </c>
      <c r="F57" s="200">
        <f t="shared" si="27"/>
        <v>0</v>
      </c>
      <c r="G57" s="200">
        <f t="shared" si="27"/>
        <v>0</v>
      </c>
      <c r="H57" s="200" t="str">
        <f t="shared" si="27"/>
        <v/>
      </c>
      <c r="I57" s="200" t="str">
        <f t="shared" si="27"/>
        <v/>
      </c>
      <c r="J57" s="200" t="str">
        <f t="shared" si="27"/>
        <v/>
      </c>
      <c r="K57" s="200" t="str">
        <f t="shared" si="27"/>
        <v/>
      </c>
      <c r="L57" s="200" t="str">
        <f t="shared" si="27"/>
        <v/>
      </c>
      <c r="M57" s="200" t="str">
        <f t="shared" si="27"/>
        <v/>
      </c>
    </row>
    <row r="58" spans="2:13" x14ac:dyDescent="0.35">
      <c r="B58" s="41" t="s">
        <v>172</v>
      </c>
      <c r="C58" s="200">
        <f>IF(C$4="","",C44-C55-C56-C57)</f>
        <v>39310</v>
      </c>
      <c r="D58" s="200">
        <f t="shared" ref="D58:M58" si="28">IF(D$4="","",D44-D55-D56-D57)</f>
        <v>39794</v>
      </c>
      <c r="E58" s="200">
        <f t="shared" si="28"/>
        <v>-74687.603451000003</v>
      </c>
      <c r="F58" s="200">
        <f t="shared" si="28"/>
        <v>-273680.96301000001</v>
      </c>
      <c r="G58" s="200">
        <f t="shared" si="28"/>
        <v>-202918</v>
      </c>
      <c r="H58" s="200" t="str">
        <f t="shared" si="28"/>
        <v/>
      </c>
      <c r="I58" s="200" t="str">
        <f t="shared" si="28"/>
        <v/>
      </c>
      <c r="J58" s="200" t="str">
        <f t="shared" si="28"/>
        <v/>
      </c>
      <c r="K58" s="200" t="str">
        <f t="shared" si="28"/>
        <v/>
      </c>
      <c r="L58" s="200" t="str">
        <f t="shared" si="28"/>
        <v/>
      </c>
      <c r="M58" s="200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5">
        <f t="shared" ref="C61:M61" si="29">IF(C$4="","",-C19)</f>
        <v>-35974</v>
      </c>
      <c r="D61" s="195">
        <f t="shared" si="29"/>
        <v>-32106</v>
      </c>
      <c r="E61" s="195">
        <f t="shared" si="29"/>
        <v>-181.018</v>
      </c>
      <c r="F61" s="195">
        <f t="shared" si="29"/>
        <v>-186.14699999999999</v>
      </c>
      <c r="G61" s="195">
        <f t="shared" si="29"/>
        <v>0</v>
      </c>
      <c r="H61" s="195" t="str">
        <f t="shared" si="29"/>
        <v/>
      </c>
      <c r="I61" s="195" t="str">
        <f t="shared" si="29"/>
        <v/>
      </c>
      <c r="J61" s="195" t="str">
        <f t="shared" si="29"/>
        <v/>
      </c>
      <c r="K61" s="195" t="str">
        <f t="shared" si="29"/>
        <v/>
      </c>
      <c r="L61" s="195" t="str">
        <f t="shared" si="29"/>
        <v/>
      </c>
      <c r="M61" s="195" t="str">
        <f t="shared" si="29"/>
        <v/>
      </c>
    </row>
    <row r="62" spans="2:13" x14ac:dyDescent="0.35">
      <c r="B62" s="28" t="s">
        <v>57</v>
      </c>
      <c r="C62" s="195">
        <f t="shared" ref="C62:M62" si="30">IF(C$4="","",-C20)</f>
        <v>-15312</v>
      </c>
      <c r="D62" s="195">
        <f t="shared" si="30"/>
        <v>-11600</v>
      </c>
      <c r="E62" s="195">
        <f t="shared" si="30"/>
        <v>0</v>
      </c>
      <c r="F62" s="195">
        <f t="shared" si="30"/>
        <v>0</v>
      </c>
      <c r="G62" s="195">
        <f t="shared" si="30"/>
        <v>0</v>
      </c>
      <c r="H62" s="195" t="str">
        <f t="shared" si="30"/>
        <v/>
      </c>
      <c r="I62" s="195" t="str">
        <f t="shared" si="30"/>
        <v/>
      </c>
      <c r="J62" s="195" t="str">
        <f t="shared" si="30"/>
        <v/>
      </c>
      <c r="K62" s="195" t="str">
        <f t="shared" si="30"/>
        <v/>
      </c>
      <c r="L62" s="195" t="str">
        <f t="shared" si="30"/>
        <v/>
      </c>
      <c r="M62" s="195" t="str">
        <f t="shared" si="30"/>
        <v/>
      </c>
    </row>
    <row r="63" spans="2:13" x14ac:dyDescent="0.35">
      <c r="B63" s="28" t="s">
        <v>56</v>
      </c>
      <c r="C63" s="195">
        <f t="shared" ref="C63:M63" si="31">IF(C$4="","",-C21)</f>
        <v>169280</v>
      </c>
      <c r="D63" s="195">
        <f t="shared" si="31"/>
        <v>50846</v>
      </c>
      <c r="E63" s="195">
        <f t="shared" si="31"/>
        <v>0</v>
      </c>
      <c r="F63" s="195">
        <f t="shared" si="31"/>
        <v>0</v>
      </c>
      <c r="G63" s="195">
        <f t="shared" si="31"/>
        <v>0</v>
      </c>
      <c r="H63" s="195" t="str">
        <f t="shared" si="31"/>
        <v/>
      </c>
      <c r="I63" s="195" t="str">
        <f t="shared" si="31"/>
        <v/>
      </c>
      <c r="J63" s="195" t="str">
        <f t="shared" si="31"/>
        <v/>
      </c>
      <c r="K63" s="195" t="str">
        <f t="shared" si="31"/>
        <v/>
      </c>
      <c r="L63" s="195" t="str">
        <f t="shared" si="31"/>
        <v/>
      </c>
      <c r="M63" s="195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0.1178</v>
      </c>
      <c r="D64" s="80">
        <f t="shared" si="32"/>
        <v>0</v>
      </c>
      <c r="E64" s="80">
        <f t="shared" si="32"/>
        <v>0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>
        <f t="shared" ref="C67:M67" si="33">IF(D$36="","",C36/D36-1)</f>
        <v>0.11678595474472542</v>
      </c>
      <c r="D67" s="101">
        <f t="shared" si="33"/>
        <v>-0.18230094898304672</v>
      </c>
      <c r="E67" s="101">
        <f t="shared" si="33"/>
        <v>3.9363653347464389E-2</v>
      </c>
      <c r="F67" s="101">
        <f t="shared" si="33"/>
        <v>0.2304116952266948</v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2">
        <f t="shared" ref="C68:M68" si="34">IF(D$36="","",C37/D37-1)</f>
        <v>6.15937742527779E-2</v>
      </c>
      <c r="D68" s="112">
        <f t="shared" si="34"/>
        <v>-0.13900650992990948</v>
      </c>
      <c r="E68" s="112">
        <f t="shared" si="34"/>
        <v>2.3092587111753993E-2</v>
      </c>
      <c r="F68" s="112">
        <f t="shared" si="34"/>
        <v>0.22465930352170016</v>
      </c>
      <c r="G68" s="112" t="str">
        <f t="shared" si="34"/>
        <v/>
      </c>
      <c r="H68" s="112" t="str">
        <f t="shared" si="34"/>
        <v/>
      </c>
      <c r="I68" s="112" t="str">
        <f t="shared" si="34"/>
        <v/>
      </c>
      <c r="J68" s="112" t="str">
        <f t="shared" si="34"/>
        <v/>
      </c>
      <c r="K68" s="112" t="str">
        <f t="shared" si="34"/>
        <v/>
      </c>
      <c r="L68" s="112" t="str">
        <f t="shared" si="34"/>
        <v/>
      </c>
      <c r="M68" s="112" t="str">
        <f t="shared" si="34"/>
        <v/>
      </c>
    </row>
    <row r="69" spans="2:13" x14ac:dyDescent="0.35">
      <c r="B69" s="1" t="str">
        <f>B58</f>
        <v>Other Non-operating Income</v>
      </c>
      <c r="C69" s="101">
        <f t="shared" ref="C69:M69" si="35">IF(D$36="","",C38/D38-1)</f>
        <v>0.19436157865155468</v>
      </c>
      <c r="D69" s="101">
        <f t="shared" si="35"/>
        <v>-0.23627871063439609</v>
      </c>
      <c r="E69" s="101">
        <f t="shared" si="35"/>
        <v>6.0389290340999269E-2</v>
      </c>
      <c r="F69" s="101">
        <f t="shared" si="35"/>
        <v>0.23792551595372258</v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2">
        <f t="shared" ref="C70:M70" si="36">IF(D$36="","",C39/D39-1)</f>
        <v>2.3235010397508526E-2</v>
      </c>
      <c r="D70" s="112">
        <f t="shared" si="36"/>
        <v>-0.15056635336480528</v>
      </c>
      <c r="E70" s="112">
        <f t="shared" si="36"/>
        <v>0.54484133067606932</v>
      </c>
      <c r="F70" s="112">
        <f t="shared" si="36"/>
        <v>0.15118633128531189</v>
      </c>
      <c r="G70" s="112" t="str">
        <f t="shared" si="36"/>
        <v/>
      </c>
      <c r="H70" s="112" t="str">
        <f t="shared" si="36"/>
        <v/>
      </c>
      <c r="I70" s="112" t="str">
        <f t="shared" si="36"/>
        <v/>
      </c>
      <c r="J70" s="112" t="str">
        <f t="shared" si="36"/>
        <v/>
      </c>
      <c r="K70" s="112" t="str">
        <f t="shared" si="36"/>
        <v/>
      </c>
      <c r="L70" s="112" t="str">
        <f t="shared" si="36"/>
        <v/>
      </c>
      <c r="M70" s="112" t="str">
        <f t="shared" si="36"/>
        <v/>
      </c>
    </row>
    <row r="71" spans="2:13" x14ac:dyDescent="0.35">
      <c r="B71" s="1" t="str">
        <f>B48</f>
        <v>Non-controling Interests</v>
      </c>
      <c r="C71" s="101" t="e">
        <f>IF(D$36="","",C64/D64-1)</f>
        <v>#DIV/0!</v>
      </c>
      <c r="D71" s="101" t="e">
        <f t="shared" ref="D71:M71" si="37">IF(E$36="","",D64/E64-1)</f>
        <v>#DIV/0!</v>
      </c>
      <c r="E71" s="101" t="e">
        <f t="shared" si="37"/>
        <v>#DIV/0!</v>
      </c>
      <c r="F71" s="101" t="e">
        <f t="shared" si="37"/>
        <v>#DIV/0!</v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3670169</v>
      </c>
      <c r="D75" s="83">
        <f t="shared" ref="D75:M75" si="38">IF(D$4="","",D78+D79)</f>
        <v>3559477</v>
      </c>
      <c r="E75" s="83">
        <f t="shared" si="38"/>
        <v>3413258</v>
      </c>
      <c r="F75" s="83">
        <f t="shared" si="38"/>
        <v>1603329</v>
      </c>
      <c r="G75" s="83">
        <f t="shared" si="38"/>
        <v>1218998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>
        <f t="shared" ref="C76:H77" si="39">IF(C$4="","",C25)</f>
        <v>0</v>
      </c>
      <c r="D76" s="79">
        <f t="shared" si="39"/>
        <v>0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>
        <f t="shared" si="39"/>
        <v>0</v>
      </c>
      <c r="D77" s="79">
        <f t="shared" si="39"/>
        <v>0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>
        <f t="shared" ref="C78:M78" si="40">IF(C$4="","",C27)</f>
        <v>642877</v>
      </c>
      <c r="D78" s="59">
        <f t="shared" si="40"/>
        <v>734909</v>
      </c>
      <c r="E78" s="59">
        <f t="shared" si="40"/>
        <v>677999</v>
      </c>
      <c r="F78" s="59">
        <f t="shared" si="40"/>
        <v>1352795</v>
      </c>
      <c r="G78" s="59">
        <f t="shared" si="40"/>
        <v>1205068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3027292</v>
      </c>
      <c r="D79" s="59">
        <f t="shared" si="41"/>
        <v>2824568</v>
      </c>
      <c r="E79" s="59">
        <f t="shared" si="41"/>
        <v>2735259</v>
      </c>
      <c r="F79" s="59">
        <f t="shared" si="41"/>
        <v>250534</v>
      </c>
      <c r="G79" s="59">
        <f t="shared" si="41"/>
        <v>13930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3" sqref="C2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62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8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5">
        <f>AVERAGE(G4:K4)</f>
        <v>1583387.2</v>
      </c>
      <c r="D4" s="58"/>
      <c r="E4" s="70"/>
      <c r="F4" s="58"/>
      <c r="G4" s="195">
        <f>Data!C36</f>
        <v>1615585</v>
      </c>
      <c r="H4" s="195">
        <f>Data!D36</f>
        <v>1446638</v>
      </c>
      <c r="I4" s="195">
        <f>Data!E36</f>
        <v>1769157</v>
      </c>
      <c r="J4" s="195">
        <f>Data!F36</f>
        <v>1702154</v>
      </c>
      <c r="K4" s="195">
        <f>Data!G36</f>
        <v>1383402</v>
      </c>
      <c r="L4" s="195" t="str">
        <f>Data!H36</f>
        <v/>
      </c>
      <c r="M4" s="195" t="str">
        <f>Data!I36</f>
        <v/>
      </c>
      <c r="N4" s="195" t="str">
        <f>Data!J36</f>
        <v/>
      </c>
      <c r="O4" s="195" t="str">
        <f>Data!K36</f>
        <v/>
      </c>
      <c r="P4" s="195" t="str">
        <f>Data!L36</f>
        <v/>
      </c>
      <c r="Q4" s="195" t="str">
        <f>Data!M36</f>
        <v/>
      </c>
    </row>
    <row r="5" spans="1:17" ht="15.75" customHeight="1" x14ac:dyDescent="0.35">
      <c r="A5" s="10"/>
      <c r="B5" s="2" t="s">
        <v>50</v>
      </c>
      <c r="C5" s="206">
        <f>C25</f>
        <v>-1348785.0374623393</v>
      </c>
      <c r="E5" s="18"/>
      <c r="G5" s="195">
        <f t="shared" ref="G5:Q5" si="1">G25</f>
        <v>-1322360</v>
      </c>
      <c r="H5" s="195">
        <f t="shared" si="1"/>
        <v>-1280518</v>
      </c>
      <c r="I5" s="195">
        <f t="shared" si="1"/>
        <v>-981731</v>
      </c>
      <c r="J5" s="195">
        <f t="shared" si="1"/>
        <v>-959572</v>
      </c>
      <c r="K5" s="195">
        <f t="shared" si="1"/>
        <v>-783542</v>
      </c>
      <c r="L5" s="195" t="str">
        <f t="shared" si="1"/>
        <v/>
      </c>
      <c r="M5" s="195" t="str">
        <f t="shared" si="1"/>
        <v/>
      </c>
      <c r="N5" s="195" t="str">
        <f t="shared" si="1"/>
        <v/>
      </c>
      <c r="O5" s="195" t="str">
        <f t="shared" si="1"/>
        <v/>
      </c>
      <c r="P5" s="195" t="str">
        <f t="shared" si="1"/>
        <v/>
      </c>
      <c r="Q5" s="195" t="str">
        <f t="shared" si="1"/>
        <v/>
      </c>
    </row>
    <row r="6" spans="1:17" ht="15.75" customHeight="1" x14ac:dyDescent="0.35">
      <c r="A6" s="10"/>
      <c r="B6" s="32" t="s">
        <v>52</v>
      </c>
      <c r="C6" s="196">
        <f>C4+C5</f>
        <v>234602.16253766068</v>
      </c>
      <c r="E6" s="18"/>
      <c r="G6" s="196">
        <f>IF(G4="","",G4+G5)</f>
        <v>293225</v>
      </c>
      <c r="H6" s="196">
        <f t="shared" ref="H6:Q6" si="2">IF(H4="","",H4+H5)</f>
        <v>166120</v>
      </c>
      <c r="I6" s="196">
        <f t="shared" si="2"/>
        <v>787426</v>
      </c>
      <c r="J6" s="196">
        <f t="shared" si="2"/>
        <v>742582</v>
      </c>
      <c r="K6" s="196">
        <f t="shared" si="2"/>
        <v>599860</v>
      </c>
      <c r="L6" s="196" t="str">
        <f t="shared" si="2"/>
        <v/>
      </c>
      <c r="M6" s="196" t="str">
        <f t="shared" si="2"/>
        <v/>
      </c>
      <c r="N6" s="196" t="str">
        <f t="shared" si="2"/>
        <v/>
      </c>
      <c r="O6" s="196" t="str">
        <f t="shared" si="2"/>
        <v/>
      </c>
      <c r="P6" s="196" t="str">
        <f t="shared" si="2"/>
        <v/>
      </c>
      <c r="Q6" s="196" t="str">
        <f t="shared" si="2"/>
        <v/>
      </c>
    </row>
    <row r="7" spans="1:17" ht="15.75" customHeight="1" x14ac:dyDescent="0.35">
      <c r="A7" s="10"/>
      <c r="B7" s="8" t="s">
        <v>49</v>
      </c>
      <c r="C7" s="206">
        <f>C35</f>
        <v>-175999.5</v>
      </c>
      <c r="E7" s="18"/>
      <c r="G7" s="206">
        <f t="shared" ref="G7:Q7" si="3">G35</f>
        <v>-188071</v>
      </c>
      <c r="H7" s="206">
        <f t="shared" si="3"/>
        <v>-163928</v>
      </c>
      <c r="I7" s="206">
        <f t="shared" si="3"/>
        <v>-705390</v>
      </c>
      <c r="J7" s="206">
        <f t="shared" si="3"/>
        <v>-456610</v>
      </c>
      <c r="K7" s="206">
        <f t="shared" si="3"/>
        <v>-396643</v>
      </c>
      <c r="L7" s="206" t="str">
        <f t="shared" si="3"/>
        <v/>
      </c>
      <c r="M7" s="206" t="str">
        <f t="shared" si="3"/>
        <v/>
      </c>
      <c r="N7" s="206" t="str">
        <f t="shared" si="3"/>
        <v/>
      </c>
      <c r="O7" s="206" t="str">
        <f t="shared" si="3"/>
        <v/>
      </c>
      <c r="P7" s="206" t="str">
        <f t="shared" si="3"/>
        <v/>
      </c>
      <c r="Q7" s="206" t="str">
        <f t="shared" si="3"/>
        <v/>
      </c>
    </row>
    <row r="8" spans="1:17" ht="15.75" customHeight="1" x14ac:dyDescent="0.35">
      <c r="A8" s="10"/>
      <c r="B8" s="30" t="s">
        <v>164</v>
      </c>
      <c r="C8" s="207">
        <f>C6+C7</f>
        <v>58602.662537660683</v>
      </c>
      <c r="D8" s="61"/>
      <c r="E8" s="86"/>
      <c r="F8" s="61"/>
      <c r="G8" s="196">
        <f>IF(G$4="","",G6+G7)</f>
        <v>105154</v>
      </c>
      <c r="H8" s="196">
        <f t="shared" ref="H8:Q8" si="4">IF(H$4="","",H6+H7)</f>
        <v>2192</v>
      </c>
      <c r="I8" s="196">
        <f t="shared" si="4"/>
        <v>82036</v>
      </c>
      <c r="J8" s="196">
        <f t="shared" si="4"/>
        <v>285972</v>
      </c>
      <c r="K8" s="196">
        <f t="shared" si="4"/>
        <v>203217</v>
      </c>
      <c r="L8" s="196" t="str">
        <f t="shared" si="4"/>
        <v/>
      </c>
      <c r="M8" s="196" t="str">
        <f t="shared" si="4"/>
        <v/>
      </c>
      <c r="N8" s="196" t="str">
        <f t="shared" si="4"/>
        <v/>
      </c>
      <c r="O8" s="196" t="str">
        <f t="shared" si="4"/>
        <v/>
      </c>
      <c r="P8" s="196" t="str">
        <f t="shared" si="4"/>
        <v/>
      </c>
      <c r="Q8" s="196" t="str">
        <f t="shared" si="4"/>
        <v/>
      </c>
    </row>
    <row r="9" spans="1:17" ht="15.75" customHeight="1" x14ac:dyDescent="0.35">
      <c r="A9" s="10"/>
      <c r="B9" s="2" t="s">
        <v>70</v>
      </c>
      <c r="C9" s="206">
        <f>BS!$G$39*BS!D58</f>
        <v>35974</v>
      </c>
      <c r="E9" s="18"/>
      <c r="G9" s="206">
        <f>IF(Data!C61="","",-Data!C61)</f>
        <v>35974</v>
      </c>
      <c r="H9" s="206">
        <f>IF(Data!D61="","",-Data!D61)</f>
        <v>32106</v>
      </c>
      <c r="I9" s="206">
        <f>IF(Data!E61="","",-Data!E61)</f>
        <v>181.018</v>
      </c>
      <c r="J9" s="206">
        <f>IF(Data!F61="","",-Data!F61)</f>
        <v>186.14699999999999</v>
      </c>
      <c r="K9" s="206">
        <f>IF(Data!G61="","",-Data!G61)</f>
        <v>0</v>
      </c>
      <c r="L9" s="206" t="str">
        <f>IF(Data!H61="","",-Data!H61)</f>
        <v/>
      </c>
      <c r="M9" s="206" t="str">
        <f>IF(Data!I61="","",-Data!I61)</f>
        <v/>
      </c>
      <c r="N9" s="206" t="str">
        <f>IF(Data!J61="","",-Data!J61)</f>
        <v/>
      </c>
      <c r="O9" s="206" t="str">
        <f>IF(Data!K61="","",-Data!K61)</f>
        <v/>
      </c>
      <c r="P9" s="206" t="str">
        <f>IF(Data!L61="","",-Data!L61)</f>
        <v/>
      </c>
      <c r="Q9" s="206" t="str">
        <f>IF(Data!M61="","",-Data!M61)</f>
        <v/>
      </c>
    </row>
    <row r="10" spans="1:17" ht="15.75" customHeight="1" x14ac:dyDescent="0.35">
      <c r="A10" s="10"/>
      <c r="B10" s="2" t="s">
        <v>91</v>
      </c>
      <c r="C10" s="206">
        <f>-C4*C77</f>
        <v>-35974</v>
      </c>
      <c r="E10" s="18"/>
      <c r="G10" s="206">
        <f>Data!C62</f>
        <v>-15312</v>
      </c>
      <c r="H10" s="206">
        <f>Data!D62</f>
        <v>-11600</v>
      </c>
      <c r="I10" s="206">
        <f>Data!E62</f>
        <v>0</v>
      </c>
      <c r="J10" s="206">
        <f>Data!F62</f>
        <v>0</v>
      </c>
      <c r="K10" s="206">
        <f>Data!G62</f>
        <v>0</v>
      </c>
      <c r="L10" s="206" t="str">
        <f>Data!H62</f>
        <v/>
      </c>
      <c r="M10" s="206" t="str">
        <f>Data!I62</f>
        <v/>
      </c>
      <c r="N10" s="206" t="str">
        <f>Data!J62</f>
        <v/>
      </c>
      <c r="O10" s="206" t="str">
        <f>Data!K62</f>
        <v/>
      </c>
      <c r="P10" s="206" t="str">
        <f>Data!L62</f>
        <v/>
      </c>
      <c r="Q10" s="206" t="str">
        <f>Data!M62</f>
        <v/>
      </c>
    </row>
    <row r="11" spans="1:17" ht="15.75" customHeight="1" x14ac:dyDescent="0.35">
      <c r="A11" s="10"/>
      <c r="B11" s="32" t="s">
        <v>206</v>
      </c>
      <c r="C11" s="208">
        <f>C62</f>
        <v>0</v>
      </c>
      <c r="D11" s="181"/>
      <c r="E11" s="72"/>
      <c r="F11" s="181"/>
      <c r="G11" s="198">
        <f>G60</f>
        <v>0</v>
      </c>
      <c r="H11" s="198">
        <f t="shared" ref="H11:Q11" si="5">H60</f>
        <v>0</v>
      </c>
      <c r="I11" s="198">
        <f t="shared" si="5"/>
        <v>0</v>
      </c>
      <c r="J11" s="198">
        <f t="shared" si="5"/>
        <v>0</v>
      </c>
      <c r="K11" s="198">
        <f t="shared" si="5"/>
        <v>0</v>
      </c>
      <c r="L11" s="198" t="str">
        <f t="shared" si="5"/>
        <v/>
      </c>
      <c r="M11" s="198" t="str">
        <f t="shared" si="5"/>
        <v/>
      </c>
      <c r="N11" s="198" t="str">
        <f t="shared" si="5"/>
        <v/>
      </c>
      <c r="O11" s="198" t="str">
        <f t="shared" si="5"/>
        <v/>
      </c>
      <c r="P11" s="198" t="str">
        <f t="shared" si="5"/>
        <v/>
      </c>
      <c r="Q11" s="198" t="str">
        <f t="shared" si="5"/>
        <v/>
      </c>
    </row>
    <row r="12" spans="1:17" ht="15.75" customHeight="1" x14ac:dyDescent="0.35">
      <c r="A12" s="10"/>
      <c r="B12" s="2" t="s">
        <v>73</v>
      </c>
      <c r="C12" s="206">
        <f>C49</f>
        <v>72802</v>
      </c>
      <c r="E12" s="18"/>
      <c r="G12" s="206">
        <f t="shared" ref="G12:Q12" si="6">G49</f>
        <v>72802</v>
      </c>
      <c r="H12" s="206">
        <f t="shared" si="6"/>
        <v>44487</v>
      </c>
      <c r="I12" s="206">
        <f t="shared" si="6"/>
        <v>-1613</v>
      </c>
      <c r="J12" s="206">
        <f t="shared" si="6"/>
        <v>-2645</v>
      </c>
      <c r="K12" s="206">
        <f t="shared" si="6"/>
        <v>-299</v>
      </c>
      <c r="L12" s="206" t="str">
        <f t="shared" si="6"/>
        <v/>
      </c>
      <c r="M12" s="206" t="str">
        <f t="shared" si="6"/>
        <v/>
      </c>
      <c r="N12" s="206" t="str">
        <f t="shared" si="6"/>
        <v/>
      </c>
      <c r="O12" s="206" t="str">
        <f t="shared" si="6"/>
        <v/>
      </c>
      <c r="P12" s="206" t="str">
        <f t="shared" si="6"/>
        <v/>
      </c>
      <c r="Q12" s="206" t="str">
        <f t="shared" si="6"/>
        <v/>
      </c>
    </row>
    <row r="13" spans="1:17" ht="15.75" customHeight="1" x14ac:dyDescent="0.35">
      <c r="A13" s="10"/>
      <c r="B13" s="76" t="s">
        <v>176</v>
      </c>
      <c r="C13" s="196">
        <f>SUM(C8:C12)</f>
        <v>131404.66253766068</v>
      </c>
      <c r="E13" s="18"/>
      <c r="G13" s="196">
        <f>IF(G$4="","",SUM(G8:G12))</f>
        <v>198618</v>
      </c>
      <c r="H13" s="196">
        <f t="shared" ref="H13:Q13" si="7">IF(H$4="","",SUM(H8:H12))</f>
        <v>67185</v>
      </c>
      <c r="I13" s="196">
        <f t="shared" si="7"/>
        <v>80604.017999999996</v>
      </c>
      <c r="J13" s="196">
        <f t="shared" si="7"/>
        <v>283513.147</v>
      </c>
      <c r="K13" s="196">
        <f t="shared" si="7"/>
        <v>202918</v>
      </c>
      <c r="L13" s="196" t="str">
        <f t="shared" si="7"/>
        <v/>
      </c>
      <c r="M13" s="196" t="str">
        <f t="shared" si="7"/>
        <v/>
      </c>
      <c r="N13" s="196" t="str">
        <f t="shared" si="7"/>
        <v/>
      </c>
      <c r="O13" s="196" t="str">
        <f t="shared" si="7"/>
        <v/>
      </c>
      <c r="P13" s="196" t="str">
        <f t="shared" si="7"/>
        <v/>
      </c>
      <c r="Q13" s="196" t="str">
        <f t="shared" si="7"/>
        <v/>
      </c>
    </row>
    <row r="14" spans="1:17" ht="15.75" customHeight="1" x14ac:dyDescent="0.35">
      <c r="A14" s="10"/>
      <c r="B14" s="2" t="s">
        <v>68</v>
      </c>
      <c r="C14" s="206">
        <f>-SUM(C8+C11,C12)*C43</f>
        <v>-32851.165634415171</v>
      </c>
      <c r="E14" s="18"/>
      <c r="G14" s="206">
        <f>Data!C46</f>
        <v>-44449</v>
      </c>
      <c r="H14" s="206">
        <f>Data!D46</f>
        <v>-21017</v>
      </c>
      <c r="I14" s="206">
        <f>Data!E46</f>
        <v>0</v>
      </c>
      <c r="J14" s="206">
        <f>Data!F46</f>
        <v>0</v>
      </c>
      <c r="K14" s="206">
        <f>Data!G46</f>
        <v>0</v>
      </c>
      <c r="L14" s="206" t="str">
        <f>Data!H46</f>
        <v/>
      </c>
      <c r="M14" s="206" t="str">
        <f>Data!I46</f>
        <v/>
      </c>
      <c r="N14" s="206" t="str">
        <f>Data!J46</f>
        <v/>
      </c>
      <c r="O14" s="206" t="str">
        <f>Data!K46</f>
        <v/>
      </c>
      <c r="P14" s="206" t="str">
        <f>Data!L46</f>
        <v/>
      </c>
      <c r="Q14" s="206" t="str">
        <f>Data!M46</f>
        <v/>
      </c>
    </row>
    <row r="15" spans="1:17" ht="15.75" customHeight="1" x14ac:dyDescent="0.35">
      <c r="A15" s="10"/>
      <c r="B15" s="41" t="s">
        <v>261</v>
      </c>
      <c r="C15" s="206">
        <f>-C4*C82</f>
        <v>-2089.6737831682049</v>
      </c>
      <c r="D15" s="62"/>
      <c r="E15" s="71"/>
      <c r="F15" s="62"/>
      <c r="G15" s="195">
        <f>Data!C48</f>
        <v>-2199</v>
      </c>
      <c r="H15" s="195">
        <f>Data!D48</f>
        <v>-645</v>
      </c>
      <c r="I15" s="195">
        <f>Data!E48</f>
        <v>0</v>
      </c>
      <c r="J15" s="195">
        <f>Data!F48</f>
        <v>0</v>
      </c>
      <c r="K15" s="195">
        <f>Data!G48</f>
        <v>0</v>
      </c>
      <c r="L15" s="195" t="str">
        <f>Data!H48</f>
        <v/>
      </c>
      <c r="M15" s="195" t="str">
        <f>Data!I48</f>
        <v/>
      </c>
      <c r="N15" s="195" t="str">
        <f>Data!J48</f>
        <v/>
      </c>
      <c r="O15" s="195" t="str">
        <f>Data!K48</f>
        <v/>
      </c>
      <c r="P15" s="195" t="str">
        <f>Data!L48</f>
        <v/>
      </c>
      <c r="Q15" s="195" t="str">
        <f>Data!M48</f>
        <v/>
      </c>
    </row>
    <row r="16" spans="1:17" ht="15.75" customHeight="1" x14ac:dyDescent="0.35">
      <c r="A16" s="10"/>
      <c r="B16" s="42" t="s">
        <v>166</v>
      </c>
      <c r="C16" s="209">
        <f>SUM(C13:C15)</f>
        <v>96463.823120077301</v>
      </c>
      <c r="D16" s="63"/>
      <c r="E16" s="87"/>
      <c r="F16" s="63"/>
      <c r="G16" s="196">
        <f>IF(G$4="","",SUM(G13:G15))</f>
        <v>151970</v>
      </c>
      <c r="H16" s="196">
        <f t="shared" ref="H16:Q16" si="8">IF(H$4="","",SUM(H13:H15))</f>
        <v>45523</v>
      </c>
      <c r="I16" s="196">
        <f t="shared" si="8"/>
        <v>80604.017999999996</v>
      </c>
      <c r="J16" s="196">
        <f t="shared" si="8"/>
        <v>283513.147</v>
      </c>
      <c r="K16" s="196">
        <f t="shared" si="8"/>
        <v>202918</v>
      </c>
      <c r="L16" s="196" t="str">
        <f t="shared" si="8"/>
        <v/>
      </c>
      <c r="M16" s="196" t="str">
        <f t="shared" si="8"/>
        <v/>
      </c>
      <c r="N16" s="196" t="str">
        <f t="shared" si="8"/>
        <v/>
      </c>
      <c r="O16" s="196" t="str">
        <f t="shared" si="8"/>
        <v/>
      </c>
      <c r="P16" s="196" t="str">
        <f t="shared" si="8"/>
        <v/>
      </c>
      <c r="Q16" s="196" t="str">
        <f t="shared" si="8"/>
        <v/>
      </c>
    </row>
    <row r="17" spans="1:17" ht="15.75" customHeight="1" x14ac:dyDescent="0.35">
      <c r="A17" s="10"/>
      <c r="B17" s="28" t="s">
        <v>56</v>
      </c>
      <c r="C17" s="206">
        <f>-C4*C84</f>
        <v>0</v>
      </c>
      <c r="D17" s="60"/>
      <c r="E17" s="72" t="s">
        <v>260</v>
      </c>
      <c r="F17" s="6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</row>
    <row r="18" spans="1:17" ht="15.75" customHeight="1" x14ac:dyDescent="0.35">
      <c r="A18" s="10"/>
      <c r="B18" s="28" t="s">
        <v>110</v>
      </c>
      <c r="C18" s="206">
        <f>-C4*C85</f>
        <v>0</v>
      </c>
      <c r="D18" s="60"/>
      <c r="E18" s="72" t="s">
        <v>109</v>
      </c>
      <c r="F18" s="60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</row>
    <row r="19" spans="1:17" ht="15.75" customHeight="1" x14ac:dyDescent="0.35">
      <c r="A19" s="10"/>
      <c r="B19" s="32" t="s">
        <v>71</v>
      </c>
      <c r="C19" s="196">
        <f>SUM(C16:C18)</f>
        <v>96463.823120077301</v>
      </c>
      <c r="D19" s="28"/>
      <c r="E19" s="73"/>
      <c r="F19" s="28"/>
      <c r="G19" s="198">
        <f t="shared" ref="G19:Q19" si="9">IF(G$4="","",SUM(G16:G18))</f>
        <v>151970</v>
      </c>
      <c r="H19" s="198">
        <f t="shared" si="9"/>
        <v>45523</v>
      </c>
      <c r="I19" s="198">
        <f t="shared" si="9"/>
        <v>80604.017999999996</v>
      </c>
      <c r="J19" s="198">
        <f t="shared" si="9"/>
        <v>283513.147</v>
      </c>
      <c r="K19" s="198">
        <f t="shared" si="9"/>
        <v>202918</v>
      </c>
      <c r="L19" s="198" t="str">
        <f t="shared" si="9"/>
        <v/>
      </c>
      <c r="M19" s="198" t="str">
        <f t="shared" si="9"/>
        <v/>
      </c>
      <c r="N19" s="198" t="str">
        <f t="shared" si="9"/>
        <v/>
      </c>
      <c r="O19" s="198" t="str">
        <f t="shared" si="9"/>
        <v/>
      </c>
      <c r="P19" s="198" t="str">
        <f t="shared" si="9"/>
        <v/>
      </c>
      <c r="Q19" s="198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2">
        <f>-C4*C28</f>
        <v>-902304.82874495955</v>
      </c>
      <c r="D23" s="60"/>
      <c r="E23" s="72"/>
      <c r="F23" s="60"/>
      <c r="G23" s="195">
        <f>Data!C37</f>
        <v>-897327</v>
      </c>
      <c r="H23" s="195">
        <f>Data!D37</f>
        <v>-845264</v>
      </c>
      <c r="I23" s="195">
        <f>Data!E37</f>
        <v>-981731</v>
      </c>
      <c r="J23" s="195">
        <f>Data!F37</f>
        <v>-959572</v>
      </c>
      <c r="K23" s="195">
        <f>Data!G37</f>
        <v>-783542</v>
      </c>
      <c r="L23" s="195" t="str">
        <f>Data!H37</f>
        <v/>
      </c>
      <c r="M23" s="195" t="str">
        <f>Data!I37</f>
        <v/>
      </c>
      <c r="N23" s="195" t="str">
        <f>Data!J37</f>
        <v/>
      </c>
      <c r="O23" s="195" t="str">
        <f>Data!K37</f>
        <v/>
      </c>
      <c r="P23" s="195" t="str">
        <f>Data!L37</f>
        <v/>
      </c>
      <c r="Q23" s="195" t="str">
        <f>Data!M37</f>
        <v/>
      </c>
    </row>
    <row r="24" spans="1:17" ht="15.75" customHeight="1" x14ac:dyDescent="0.4">
      <c r="A24" s="10"/>
      <c r="B24" s="74" t="s">
        <v>67</v>
      </c>
      <c r="C24" s="206">
        <f>-C4*C29</f>
        <v>-446480.2087173796</v>
      </c>
      <c r="D24" s="28"/>
      <c r="E24" s="73"/>
      <c r="F24" s="28"/>
      <c r="G24" s="195">
        <f>Data!C40</f>
        <v>-425033</v>
      </c>
      <c r="H24" s="195">
        <f>Data!D40</f>
        <v>-435254</v>
      </c>
      <c r="I24" s="195">
        <f>Data!E40</f>
        <v>0</v>
      </c>
      <c r="J24" s="195">
        <f>Data!F40</f>
        <v>0</v>
      </c>
      <c r="K24" s="195">
        <f>Data!G40</f>
        <v>0</v>
      </c>
      <c r="L24" s="195" t="str">
        <f>Data!H40</f>
        <v/>
      </c>
      <c r="M24" s="195" t="str">
        <f>Data!I40</f>
        <v/>
      </c>
      <c r="N24" s="195" t="str">
        <f>Data!J40</f>
        <v/>
      </c>
      <c r="O24" s="195" t="str">
        <f>Data!K40</f>
        <v/>
      </c>
      <c r="P24" s="195" t="str">
        <f>Data!L40</f>
        <v/>
      </c>
      <c r="Q24" s="195" t="str">
        <f>Data!M40</f>
        <v/>
      </c>
    </row>
    <row r="25" spans="1:17" ht="15.75" customHeight="1" x14ac:dyDescent="0.35">
      <c r="A25" s="10"/>
      <c r="B25" s="76" t="s">
        <v>50</v>
      </c>
      <c r="C25" s="196">
        <f>C23+C24</f>
        <v>-1348785.0374623393</v>
      </c>
      <c r="D25" s="9"/>
      <c r="E25" s="69"/>
      <c r="F25" s="9"/>
      <c r="G25" s="196">
        <f t="shared" ref="G25:Q25" si="10">IF(G$4="","",G23+G24)</f>
        <v>-1322360</v>
      </c>
      <c r="H25" s="196">
        <f t="shared" si="10"/>
        <v>-1280518</v>
      </c>
      <c r="I25" s="196">
        <f t="shared" si="10"/>
        <v>-981731</v>
      </c>
      <c r="J25" s="196">
        <f t="shared" si="10"/>
        <v>-959572</v>
      </c>
      <c r="K25" s="196">
        <f t="shared" si="10"/>
        <v>-783542</v>
      </c>
      <c r="L25" s="196" t="str">
        <f t="shared" si="10"/>
        <v/>
      </c>
      <c r="M25" s="196" t="str">
        <f t="shared" si="10"/>
        <v/>
      </c>
      <c r="N25" s="196" t="str">
        <f t="shared" si="10"/>
        <v/>
      </c>
      <c r="O25" s="196" t="str">
        <f t="shared" si="10"/>
        <v/>
      </c>
      <c r="P25" s="196" t="str">
        <f t="shared" si="10"/>
        <v/>
      </c>
      <c r="Q25" s="196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>
        <f>AVERAGE(G28:H28)</f>
        <v>0.56985734679739708</v>
      </c>
      <c r="D28" s="27"/>
      <c r="E28" s="70" t="s">
        <v>90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AVERAGE(G29:H29)</f>
        <v>0.28197790705733861</v>
      </c>
      <c r="D29" s="27"/>
      <c r="E29" s="70" t="s">
        <v>90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3">
        <f>AVERAGE(G33:H33)</f>
        <v>-175999.5</v>
      </c>
      <c r="E33" s="70" t="s">
        <v>90</v>
      </c>
      <c r="G33" s="206">
        <f>Data!C41</f>
        <v>-188071</v>
      </c>
      <c r="H33" s="206">
        <f>Data!D41</f>
        <v>-163928</v>
      </c>
      <c r="I33" s="206">
        <f>Data!E41</f>
        <v>-705390</v>
      </c>
      <c r="J33" s="206">
        <f>Data!F41</f>
        <v>-456610</v>
      </c>
      <c r="K33" s="206">
        <f>Data!G41</f>
        <v>-396643</v>
      </c>
      <c r="L33" s="206" t="str">
        <f>Data!H41</f>
        <v/>
      </c>
      <c r="M33" s="206" t="str">
        <f>Data!I41</f>
        <v/>
      </c>
      <c r="N33" s="206" t="str">
        <f>Data!J41</f>
        <v/>
      </c>
      <c r="O33" s="206" t="str">
        <f>Data!K41</f>
        <v/>
      </c>
      <c r="P33" s="206" t="str">
        <f>Data!L41</f>
        <v/>
      </c>
      <c r="Q33" s="206" t="str">
        <f>Data!M41</f>
        <v/>
      </c>
    </row>
    <row r="34" spans="1:17" ht="15.75" customHeight="1" x14ac:dyDescent="0.35">
      <c r="A34" s="10"/>
      <c r="B34" s="28" t="s">
        <v>53</v>
      </c>
      <c r="C34" s="213">
        <f>AVERAGE(G34:J34)</f>
        <v>0</v>
      </c>
      <c r="D34" s="60"/>
      <c r="E34" s="70" t="s">
        <v>90</v>
      </c>
      <c r="F34" s="60"/>
      <c r="G34" s="195">
        <f>Data!C42</f>
        <v>0</v>
      </c>
      <c r="H34" s="195">
        <f>Data!D42</f>
        <v>0</v>
      </c>
      <c r="I34" s="195">
        <f>Data!E42</f>
        <v>0</v>
      </c>
      <c r="J34" s="195">
        <f>Data!F42</f>
        <v>0</v>
      </c>
      <c r="K34" s="195">
        <f>Data!G42</f>
        <v>0</v>
      </c>
      <c r="L34" s="195" t="str">
        <f>Data!H42</f>
        <v/>
      </c>
      <c r="M34" s="195" t="str">
        <f>Data!I42</f>
        <v/>
      </c>
      <c r="N34" s="195" t="str">
        <f>Data!J42</f>
        <v/>
      </c>
      <c r="O34" s="195" t="str">
        <f>Data!K42</f>
        <v/>
      </c>
      <c r="P34" s="195" t="str">
        <f>Data!L42</f>
        <v/>
      </c>
      <c r="Q34" s="195" t="str">
        <f>Data!M42</f>
        <v/>
      </c>
    </row>
    <row r="35" spans="1:17" ht="15.75" customHeight="1" x14ac:dyDescent="0.35">
      <c r="A35" s="10"/>
      <c r="B35" s="76" t="s">
        <v>49</v>
      </c>
      <c r="C35" s="196">
        <f>C33+C34</f>
        <v>-175999.5</v>
      </c>
      <c r="D35" s="60"/>
      <c r="E35" s="72"/>
      <c r="F35" s="60"/>
      <c r="G35" s="196">
        <f t="shared" ref="G35:Q35" si="14">IF(G4="","",G33+G34)</f>
        <v>-188071</v>
      </c>
      <c r="H35" s="196">
        <f t="shared" si="14"/>
        <v>-163928</v>
      </c>
      <c r="I35" s="196">
        <f t="shared" si="14"/>
        <v>-705390</v>
      </c>
      <c r="J35" s="196">
        <f t="shared" si="14"/>
        <v>-456610</v>
      </c>
      <c r="K35" s="196">
        <f t="shared" si="14"/>
        <v>-396643</v>
      </c>
      <c r="L35" s="196" t="str">
        <f t="shared" si="14"/>
        <v/>
      </c>
      <c r="M35" s="196" t="str">
        <f t="shared" si="14"/>
        <v/>
      </c>
      <c r="N35" s="196" t="str">
        <f t="shared" si="14"/>
        <v/>
      </c>
      <c r="O35" s="196" t="str">
        <f t="shared" si="14"/>
        <v/>
      </c>
      <c r="P35" s="196" t="str">
        <f t="shared" si="14"/>
        <v/>
      </c>
      <c r="Q35" s="196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6">
        <f>-BS!G31*Normalized_FCF!C53</f>
        <v>-1003</v>
      </c>
      <c r="G47" s="206">
        <f>Data!C51</f>
        <v>-1003</v>
      </c>
      <c r="H47" s="206">
        <f>Data!D51</f>
        <v>-863</v>
      </c>
      <c r="I47" s="206">
        <f>Data!E51</f>
        <v>-1613</v>
      </c>
      <c r="J47" s="206">
        <f>Data!F51</f>
        <v>-2645</v>
      </c>
      <c r="K47" s="206">
        <f>Data!G51</f>
        <v>-299</v>
      </c>
      <c r="L47" s="206" t="str">
        <f>Data!H51</f>
        <v/>
      </c>
      <c r="M47" s="206" t="str">
        <f>Data!I51</f>
        <v/>
      </c>
      <c r="N47" s="206" t="str">
        <f>Data!J51</f>
        <v/>
      </c>
      <c r="O47" s="206" t="str">
        <f>Data!K51</f>
        <v/>
      </c>
      <c r="P47" s="206" t="str">
        <f>Data!L51</f>
        <v/>
      </c>
      <c r="Q47" s="206" t="str">
        <f>Data!M51</f>
        <v/>
      </c>
    </row>
    <row r="48" spans="1:17" ht="15.75" customHeight="1" x14ac:dyDescent="0.35">
      <c r="A48" s="10"/>
      <c r="B48" s="2" t="s">
        <v>72</v>
      </c>
      <c r="C48" s="206">
        <f>BS!$C$66*C52</f>
        <v>73805</v>
      </c>
      <c r="G48" s="206">
        <f>Data!C52</f>
        <v>73805</v>
      </c>
      <c r="H48" s="206">
        <f>Data!D52</f>
        <v>45350</v>
      </c>
      <c r="I48" s="206">
        <f>Data!E52</f>
        <v>0</v>
      </c>
      <c r="J48" s="206">
        <f>Data!F52</f>
        <v>0</v>
      </c>
      <c r="K48" s="206">
        <f>Data!G52</f>
        <v>0</v>
      </c>
      <c r="L48" s="206" t="str">
        <f>Data!H52</f>
        <v/>
      </c>
      <c r="M48" s="206" t="str">
        <f>Data!I52</f>
        <v/>
      </c>
      <c r="N48" s="206" t="str">
        <f>Data!J52</f>
        <v/>
      </c>
      <c r="O48" s="206" t="str">
        <f>Data!K52</f>
        <v/>
      </c>
      <c r="P48" s="206" t="str">
        <f>Data!L52</f>
        <v/>
      </c>
      <c r="Q48" s="206" t="str">
        <f>Data!M52</f>
        <v/>
      </c>
    </row>
    <row r="49" spans="1:17" ht="15.75" customHeight="1" x14ac:dyDescent="0.35">
      <c r="A49" s="10"/>
      <c r="B49" s="76" t="s">
        <v>73</v>
      </c>
      <c r="C49" s="196">
        <f>C47+C48</f>
        <v>72802</v>
      </c>
      <c r="G49" s="196">
        <f t="shared" ref="G49:Q49" si="19">IF(G4="","",G47+G48)</f>
        <v>72802</v>
      </c>
      <c r="H49" s="196">
        <f t="shared" si="19"/>
        <v>44487</v>
      </c>
      <c r="I49" s="196">
        <f t="shared" si="19"/>
        <v>-1613</v>
      </c>
      <c r="J49" s="196">
        <f t="shared" si="19"/>
        <v>-2645</v>
      </c>
      <c r="K49" s="196">
        <f t="shared" si="19"/>
        <v>-299</v>
      </c>
      <c r="L49" s="196" t="str">
        <f t="shared" si="19"/>
        <v/>
      </c>
      <c r="M49" s="196" t="str">
        <f t="shared" si="19"/>
        <v/>
      </c>
      <c r="N49" s="196" t="str">
        <f t="shared" si="19"/>
        <v/>
      </c>
      <c r="O49" s="196" t="str">
        <f t="shared" si="19"/>
        <v/>
      </c>
      <c r="P49" s="196" t="str">
        <f t="shared" si="19"/>
        <v/>
      </c>
      <c r="Q49" s="196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>
        <f>G52</f>
        <v>2.7696969151119136E-2</v>
      </c>
      <c r="E52" s="73" t="s">
        <v>87</v>
      </c>
      <c r="G52" s="6">
        <f>IF(Normalized_FCF!G4="","",Normalized_FCF!G48/BS!$C$66)</f>
        <v>2.7696969151119136E-2</v>
      </c>
      <c r="H52" s="182"/>
      <c r="I52" s="182"/>
      <c r="J52" s="182"/>
      <c r="K52" s="182"/>
      <c r="L52" s="182"/>
      <c r="M52" s="182"/>
      <c r="N52" s="182"/>
      <c r="O52" s="182"/>
      <c r="P52" s="182"/>
      <c r="Q52" s="182"/>
    </row>
    <row r="53" spans="1:17" ht="15.75" customHeight="1" x14ac:dyDescent="0.35">
      <c r="A53" s="10"/>
      <c r="B53" s="8" t="s">
        <v>98</v>
      </c>
      <c r="C53" s="91">
        <f>Normalized_FCF!G53</f>
        <v>2.9500867672578604E-2</v>
      </c>
      <c r="E53" s="73" t="s">
        <v>86</v>
      </c>
      <c r="G53" s="24">
        <f>IFERROR(ABS(Normalized_FCF!G47/BS!$G$31),0)</f>
        <v>2.9500867672578604E-2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</row>
    <row r="54" spans="1:17" ht="15.75" customHeight="1" x14ac:dyDescent="0.35">
      <c r="A54" s="10"/>
      <c r="B54" s="27" t="s">
        <v>101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6">
        <f>BS!$C73*C65</f>
        <v>0</v>
      </c>
      <c r="G57" s="206">
        <f>Data!C56</f>
        <v>0</v>
      </c>
      <c r="H57" s="206">
        <f>Data!D56</f>
        <v>0</v>
      </c>
      <c r="I57" s="206">
        <f>Data!E56</f>
        <v>0</v>
      </c>
      <c r="J57" s="206">
        <f>Data!F56</f>
        <v>0</v>
      </c>
      <c r="K57" s="206">
        <f>Data!G56</f>
        <v>0</v>
      </c>
      <c r="L57" s="206" t="str">
        <f>Data!H56</f>
        <v/>
      </c>
      <c r="M57" s="206" t="str">
        <f>Data!I56</f>
        <v/>
      </c>
      <c r="N57" s="206" t="str">
        <f>Data!J56</f>
        <v/>
      </c>
      <c r="O57" s="206" t="str">
        <f>Data!K56</f>
        <v/>
      </c>
      <c r="P57" s="206" t="str">
        <f>Data!L56</f>
        <v/>
      </c>
      <c r="Q57" s="206" t="str">
        <f>Data!M56</f>
        <v/>
      </c>
    </row>
    <row r="58" spans="1:17" ht="15.75" customHeight="1" x14ac:dyDescent="0.35">
      <c r="A58" s="10"/>
      <c r="B58" s="41" t="s">
        <v>171</v>
      </c>
      <c r="C58" s="206">
        <f>BS!$C68*C66</f>
        <v>0</v>
      </c>
      <c r="G58" s="206">
        <f>Data!C55</f>
        <v>0</v>
      </c>
      <c r="H58" s="206">
        <f>Data!D55</f>
        <v>0</v>
      </c>
      <c r="I58" s="206">
        <f>Data!E55</f>
        <v>0</v>
      </c>
      <c r="J58" s="206">
        <f>Data!F55</f>
        <v>0</v>
      </c>
      <c r="K58" s="206">
        <f>Data!G55</f>
        <v>0</v>
      </c>
      <c r="L58" s="206" t="str">
        <f>Data!H55</f>
        <v/>
      </c>
      <c r="M58" s="206" t="str">
        <f>Data!I55</f>
        <v/>
      </c>
      <c r="N58" s="206" t="str">
        <f>Data!J55</f>
        <v/>
      </c>
      <c r="O58" s="206" t="str">
        <f>Data!K55</f>
        <v/>
      </c>
      <c r="P58" s="206" t="str">
        <f>Data!L55</f>
        <v/>
      </c>
      <c r="Q58" s="206" t="str">
        <f>Data!M55</f>
        <v/>
      </c>
    </row>
    <row r="59" spans="1:17" ht="15.75" customHeight="1" x14ac:dyDescent="0.35">
      <c r="A59" s="10"/>
      <c r="B59" s="41" t="s">
        <v>170</v>
      </c>
      <c r="C59" s="206">
        <f>BS!$C75*C67</f>
        <v>0</v>
      </c>
      <c r="G59" s="206">
        <f>Data!C57</f>
        <v>0</v>
      </c>
      <c r="H59" s="206">
        <f>Data!D57</f>
        <v>0</v>
      </c>
      <c r="I59" s="206">
        <f>Data!E57</f>
        <v>0</v>
      </c>
      <c r="J59" s="206">
        <f>Data!F57</f>
        <v>0</v>
      </c>
      <c r="K59" s="206">
        <f>Data!G57</f>
        <v>0</v>
      </c>
      <c r="L59" s="206" t="str">
        <f>Data!H57</f>
        <v/>
      </c>
      <c r="M59" s="206" t="str">
        <f>Data!I57</f>
        <v/>
      </c>
      <c r="N59" s="206" t="str">
        <f>Data!J57</f>
        <v/>
      </c>
      <c r="O59" s="206" t="str">
        <f>Data!K57</f>
        <v/>
      </c>
      <c r="P59" s="206" t="str">
        <f>Data!L57</f>
        <v/>
      </c>
      <c r="Q59" s="206" t="str">
        <f>Data!M57</f>
        <v/>
      </c>
    </row>
    <row r="60" spans="1:17" ht="15.75" customHeight="1" x14ac:dyDescent="0.35">
      <c r="A60" s="10"/>
      <c r="B60" s="32" t="s">
        <v>206</v>
      </c>
      <c r="C60" s="196">
        <f>SUM(C57:C59)</f>
        <v>0</v>
      </c>
      <c r="G60" s="196">
        <f t="shared" ref="G60:Q60" si="21">IF(G4="","",SUM(G57:G59))</f>
        <v>0</v>
      </c>
      <c r="H60" s="196">
        <f t="shared" si="21"/>
        <v>0</v>
      </c>
      <c r="I60" s="196">
        <f t="shared" si="21"/>
        <v>0</v>
      </c>
      <c r="J60" s="196">
        <f t="shared" si="21"/>
        <v>0</v>
      </c>
      <c r="K60" s="196">
        <f t="shared" si="21"/>
        <v>0</v>
      </c>
      <c r="L60" s="196" t="str">
        <f t="shared" si="21"/>
        <v/>
      </c>
      <c r="M60" s="196" t="str">
        <f t="shared" si="21"/>
        <v/>
      </c>
      <c r="N60" s="196" t="str">
        <f t="shared" si="21"/>
        <v/>
      </c>
      <c r="O60" s="196" t="str">
        <f t="shared" si="21"/>
        <v/>
      </c>
      <c r="P60" s="196" t="str">
        <f t="shared" si="21"/>
        <v/>
      </c>
      <c r="Q60" s="196" t="str">
        <f t="shared" si="21"/>
        <v/>
      </c>
    </row>
    <row r="61" spans="1:17" ht="15.75" customHeight="1" x14ac:dyDescent="0.35">
      <c r="A61" s="10"/>
      <c r="B61" s="41" t="s">
        <v>172</v>
      </c>
      <c r="C61" s="213">
        <v>0</v>
      </c>
      <c r="E61" s="70" t="s">
        <v>207</v>
      </c>
      <c r="G61" s="206">
        <f>Data!C58</f>
        <v>39310</v>
      </c>
      <c r="H61" s="206">
        <f>Data!D58</f>
        <v>39794</v>
      </c>
      <c r="I61" s="206">
        <f>Data!E58</f>
        <v>-74687.603451000003</v>
      </c>
      <c r="J61" s="206">
        <f>Data!F58</f>
        <v>-273680.96301000001</v>
      </c>
      <c r="K61" s="206">
        <f>Data!G58</f>
        <v>-202918</v>
      </c>
      <c r="L61" s="206" t="str">
        <f>Data!H58</f>
        <v/>
      </c>
      <c r="M61" s="206" t="str">
        <f>Data!I58</f>
        <v/>
      </c>
      <c r="N61" s="206" t="str">
        <f>Data!J58</f>
        <v/>
      </c>
      <c r="O61" s="206" t="str">
        <f>Data!K58</f>
        <v/>
      </c>
      <c r="P61" s="206" t="str">
        <f>Data!L58</f>
        <v/>
      </c>
      <c r="Q61" s="206" t="str">
        <f>Data!M58</f>
        <v/>
      </c>
    </row>
    <row r="62" spans="1:17" ht="15.75" customHeight="1" x14ac:dyDescent="0.35">
      <c r="A62" s="10"/>
      <c r="B62" s="32" t="s">
        <v>208</v>
      </c>
      <c r="C62" s="196">
        <f>C60+C61</f>
        <v>0</v>
      </c>
      <c r="G62" s="196">
        <f t="shared" ref="G62:Q62" si="22">IF(G4="","",G60+G61)</f>
        <v>39310</v>
      </c>
      <c r="H62" s="196">
        <f t="shared" si="22"/>
        <v>39794</v>
      </c>
      <c r="I62" s="196">
        <f t="shared" si="22"/>
        <v>-74687.603451000003</v>
      </c>
      <c r="J62" s="196">
        <f t="shared" si="22"/>
        <v>-273680.96301000001</v>
      </c>
      <c r="K62" s="196">
        <f t="shared" si="22"/>
        <v>-202918</v>
      </c>
      <c r="L62" s="196" t="str">
        <f t="shared" si="22"/>
        <v/>
      </c>
      <c r="M62" s="196" t="str">
        <f t="shared" si="22"/>
        <v/>
      </c>
      <c r="N62" s="196" t="str">
        <f t="shared" si="22"/>
        <v/>
      </c>
      <c r="O62" s="196" t="str">
        <f t="shared" si="22"/>
        <v/>
      </c>
      <c r="P62" s="196" t="str">
        <f t="shared" si="22"/>
        <v/>
      </c>
      <c r="Q62" s="196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9">
        <f>G65</f>
        <v>0</v>
      </c>
      <c r="G65" s="24">
        <f>IFERROR(G57/BS!$C$67,0)</f>
        <v>0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</row>
    <row r="66" spans="1:17" ht="15.75" customHeight="1" x14ac:dyDescent="0.35">
      <c r="A66" s="10"/>
      <c r="B66" s="116" t="s">
        <v>169</v>
      </c>
      <c r="C66" s="189">
        <f>G66</f>
        <v>0</v>
      </c>
      <c r="G66" s="24">
        <f>IFERROR(G58/BS!$C$68,0)</f>
        <v>0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</row>
    <row r="67" spans="1:17" ht="15.75" customHeight="1" x14ac:dyDescent="0.35">
      <c r="A67" s="10"/>
      <c r="B67" s="116" t="s">
        <v>170</v>
      </c>
      <c r="C67" s="189">
        <f>G67</f>
        <v>0</v>
      </c>
      <c r="G67" s="24">
        <f>IFERROR(G59/BS!$C$75,0)</f>
        <v>0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>
        <f>G60/BS!C70</f>
        <v>0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0.8518352538547358</v>
      </c>
      <c r="D72" s="28"/>
      <c r="E72" s="73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0.1481647461452642</v>
      </c>
      <c r="D73" s="28"/>
      <c r="E73" s="73"/>
      <c r="F73" s="28"/>
      <c r="G73" s="67">
        <f t="shared" ref="G73:Q73" si="24">IF(G$4="","",ABS(G6/G$4))</f>
        <v>0.18149772373474624</v>
      </c>
      <c r="H73" s="67">
        <f t="shared" si="24"/>
        <v>0.11483176855578245</v>
      </c>
      <c r="I73" s="67">
        <f t="shared" si="24"/>
        <v>0.44508542769239812</v>
      </c>
      <c r="J73" s="67">
        <f t="shared" si="24"/>
        <v>0.43626017387380928</v>
      </c>
      <c r="K73" s="67">
        <f t="shared" si="24"/>
        <v>0.43361221105651143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0.11115379737817763</v>
      </c>
      <c r="D74" s="28"/>
      <c r="E74" s="73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>
        <f>ABS(C8/C$4)</f>
        <v>3.7010948767086591E-2</v>
      </c>
      <c r="D75" s="28"/>
      <c r="E75" s="73"/>
      <c r="F75" s="28"/>
      <c r="G75" s="67">
        <f t="shared" ref="G75:Q75" si="26">IF(G$4="","",ABS(G8/G$4))</f>
        <v>6.5087259413772719E-2</v>
      </c>
      <c r="H75" s="67">
        <f t="shared" si="26"/>
        <v>1.5152373987134308E-3</v>
      </c>
      <c r="I75" s="67">
        <f t="shared" si="26"/>
        <v>4.6370107344910601E-2</v>
      </c>
      <c r="J75" s="67">
        <f t="shared" si="26"/>
        <v>0.16800595010792208</v>
      </c>
      <c r="K75" s="67">
        <f t="shared" si="26"/>
        <v>0.14689656368864581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>
        <f>ABS(C9/C$4)</f>
        <v>2.2719648106287585E-2</v>
      </c>
      <c r="D76" s="28"/>
      <c r="E76" s="73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>
        <f>MAX(AVERAGE(G77:J77),C76)</f>
        <v>2.2719648106287585E-2</v>
      </c>
      <c r="D77" s="28"/>
      <c r="E77" s="70" t="s">
        <v>89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0</v>
      </c>
      <c r="H78" s="67">
        <f t="shared" si="29"/>
        <v>0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>
        <f>ABS(C12/C$4)</f>
        <v>4.5978646284370622E-2</v>
      </c>
      <c r="D79" s="28"/>
      <c r="E79" s="73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>
        <f>C13/C4</f>
        <v>8.2989595051457213E-2</v>
      </c>
      <c r="D80" s="28"/>
      <c r="E80" s="73"/>
      <c r="F80" s="28"/>
      <c r="G80" s="67">
        <f>IF(G$4="","",G13/G$4)</f>
        <v>0.12293874974080596</v>
      </c>
      <c r="H80" s="67">
        <f t="shared" ref="H80:Q80" si="31">IF(H$4="","",H13/H$4)</f>
        <v>4.6442164522154127E-2</v>
      </c>
      <c r="I80" s="67">
        <f t="shared" si="31"/>
        <v>4.5560692465394535E-2</v>
      </c>
      <c r="J80" s="67">
        <f t="shared" si="31"/>
        <v>0.16656139632489186</v>
      </c>
      <c r="K80" s="67">
        <f t="shared" si="31"/>
        <v>0.14668042983890439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>
        <f>ABS(C14/C$4)</f>
        <v>2.0747398762864303E-2</v>
      </c>
      <c r="D81" s="28"/>
      <c r="E81" s="73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1.3197490690642218E-3</v>
      </c>
      <c r="D82" s="28"/>
      <c r="E82" s="73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>
        <f>ABS(C16/C$4)</f>
        <v>6.0922447219528678E-2</v>
      </c>
      <c r="D83" s="28"/>
      <c r="E83" s="73"/>
      <c r="F83" s="28"/>
      <c r="G83" s="67">
        <f t="shared" ref="G83:Q83" si="34">IF(G$4="","",ABS(G16/G$4))</f>
        <v>9.4064998127613222E-2</v>
      </c>
      <c r="H83" s="67">
        <f t="shared" si="34"/>
        <v>3.1468135082861087E-2</v>
      </c>
      <c r="I83" s="67">
        <f t="shared" si="34"/>
        <v>4.5560692465394535E-2</v>
      </c>
      <c r="J83" s="67">
        <f t="shared" si="34"/>
        <v>0.16656139632489186</v>
      </c>
      <c r="K83" s="67">
        <f t="shared" si="34"/>
        <v>0.14668042983890439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0">
        <v>0</v>
      </c>
      <c r="D84" s="28"/>
      <c r="E84" s="72" t="str">
        <f>E17</f>
        <v>WCInv is by default excluded</v>
      </c>
      <c r="F84" s="28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</row>
    <row r="85" spans="1:17" ht="15.75" customHeight="1" x14ac:dyDescent="0.35">
      <c r="A85" s="10"/>
      <c r="B85" s="8" t="s">
        <v>110</v>
      </c>
      <c r="C85" s="250">
        <v>0</v>
      </c>
      <c r="E85" s="72" t="str">
        <f>E18</f>
        <v>Net borrowing is excluded</v>
      </c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</row>
    <row r="86" spans="1:17" ht="15.75" customHeight="1" x14ac:dyDescent="0.35">
      <c r="A86" s="10"/>
      <c r="B86" s="32" t="s">
        <v>152</v>
      </c>
      <c r="C86" s="85">
        <f>ABS(C19/C$4)</f>
        <v>6.0922447219528678E-2</v>
      </c>
      <c r="D86" s="82"/>
      <c r="E86" s="73"/>
      <c r="F86" s="82"/>
      <c r="G86" s="67">
        <f t="shared" ref="G86:Q86" si="35">IF(G$4="","",ABS(G19/G$4))</f>
        <v>9.4064998127613222E-2</v>
      </c>
      <c r="H86" s="67">
        <f t="shared" si="35"/>
        <v>3.1468135082861087E-2</v>
      </c>
      <c r="I86" s="67">
        <f t="shared" si="35"/>
        <v>4.5560692465394535E-2</v>
      </c>
      <c r="J86" s="67">
        <f t="shared" si="35"/>
        <v>0.16656139632489186</v>
      </c>
      <c r="K86" s="67">
        <f t="shared" si="35"/>
        <v>0.14668042983890439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5">
        <f>G89</f>
        <v>0.1178</v>
      </c>
      <c r="G89" s="124">
        <f>Data!C64</f>
        <v>0.1178</v>
      </c>
      <c r="H89" s="124">
        <f>Data!D64</f>
        <v>0</v>
      </c>
      <c r="I89" s="124">
        <f>Data!E64</f>
        <v>0</v>
      </c>
      <c r="J89" s="124">
        <f>Data!F64</f>
        <v>0</v>
      </c>
      <c r="K89" s="124">
        <f>Data!G64</f>
        <v>0</v>
      </c>
      <c r="L89" s="124" t="str">
        <f>Data!H64</f>
        <v/>
      </c>
      <c r="M89" s="124" t="str">
        <f>Data!I64</f>
        <v/>
      </c>
      <c r="N89" s="124" t="str">
        <f>Data!J64</f>
        <v/>
      </c>
      <c r="O89" s="124" t="str">
        <f>Data!K64</f>
        <v/>
      </c>
      <c r="P89" s="124" t="str">
        <f>Data!L64</f>
        <v/>
      </c>
      <c r="Q89" s="124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157066.6863</v>
      </c>
      <c r="G90" s="81">
        <f t="shared" ref="G90:Q90" si="36">IF(G$4="","",G89*Common_Shares/$C$3)</f>
        <v>157066.6863</v>
      </c>
      <c r="H90" s="81">
        <f t="shared" si="36"/>
        <v>0</v>
      </c>
      <c r="I90" s="81">
        <f t="shared" si="36"/>
        <v>0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>
        <f>C89/(C19*$C$3/Common_Shares)</f>
        <v>1.6282444674049961</v>
      </c>
      <c r="G91" s="183">
        <f t="shared" ref="G91:Q91" si="37">IF(G$4="","",G89/(G19*$C$3/Common_Shares))</f>
        <v>1.0335374501546357</v>
      </c>
      <c r="H91" s="183">
        <f t="shared" si="37"/>
        <v>0</v>
      </c>
      <c r="I91" s="183">
        <f t="shared" si="37"/>
        <v>0</v>
      </c>
      <c r="J91" s="183">
        <f t="shared" si="37"/>
        <v>0</v>
      </c>
      <c r="K91" s="183">
        <f t="shared" si="37"/>
        <v>0</v>
      </c>
      <c r="L91" s="183" t="str">
        <f t="shared" si="37"/>
        <v/>
      </c>
      <c r="M91" s="183" t="str">
        <f t="shared" si="37"/>
        <v/>
      </c>
      <c r="N91" s="183" t="str">
        <f t="shared" si="37"/>
        <v/>
      </c>
      <c r="O91" s="183" t="str">
        <f t="shared" si="37"/>
        <v/>
      </c>
      <c r="P91" s="183" t="str">
        <f t="shared" si="37"/>
        <v/>
      </c>
      <c r="Q91" s="183" t="str">
        <f t="shared" si="37"/>
        <v/>
      </c>
    </row>
    <row r="92" spans="1:17" ht="15.75" customHeight="1" x14ac:dyDescent="0.35">
      <c r="A92" s="10"/>
      <c r="B92" s="2" t="s">
        <v>361</v>
      </c>
      <c r="C92" s="24">
        <f>C89/Market_Price</f>
        <v>5.1217391304347833E-2</v>
      </c>
      <c r="G92" s="24">
        <f t="shared" ref="G92:Q92" si="38">IF(G$4="","",G89/Market_Price)</f>
        <v>5.1217391304347833E-2</v>
      </c>
      <c r="H92" s="24">
        <f t="shared" si="38"/>
        <v>0</v>
      </c>
      <c r="I92" s="24">
        <f t="shared" si="38"/>
        <v>0</v>
      </c>
      <c r="J92" s="24">
        <f t="shared" si="38"/>
        <v>0</v>
      </c>
      <c r="K92" s="24">
        <f t="shared" si="38"/>
        <v>0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0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>
        <f>C4/G4-1</f>
        <v>-1.992949922164422E-2</v>
      </c>
      <c r="D95" s="28"/>
      <c r="E95" s="73"/>
      <c r="F95" s="28"/>
      <c r="G95" s="6">
        <f t="shared" ref="G95:Q95" si="39">IF(H4="","",G4/H4-1)</f>
        <v>0.11678595474472542</v>
      </c>
      <c r="H95" s="6">
        <f t="shared" si="39"/>
        <v>-0.18230094898304672</v>
      </c>
      <c r="I95" s="6">
        <f t="shared" si="39"/>
        <v>3.9363653347464389E-2</v>
      </c>
      <c r="J95" s="6">
        <f t="shared" si="39"/>
        <v>0.2304116952266948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>
        <f>C13/G13-1</f>
        <v>-0.33840506631996758</v>
      </c>
      <c r="D96" s="28"/>
      <c r="E96" s="73"/>
      <c r="F96" s="28"/>
      <c r="G96" s="6">
        <f t="shared" ref="G96:Q96" si="40">IF(H5="","",G13/H13-1)</f>
        <v>1.9562848850189773</v>
      </c>
      <c r="H96" s="6">
        <f t="shared" si="40"/>
        <v>-0.16648075782028626</v>
      </c>
      <c r="I96" s="6">
        <f t="shared" si="40"/>
        <v>-0.71569566049083433</v>
      </c>
      <c r="J96" s="6">
        <f t="shared" si="40"/>
        <v>0.39718086616268633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4">
        <f>BS!G32</f>
        <v>3670169</v>
      </c>
      <c r="D100" s="27"/>
      <c r="E100" s="27"/>
      <c r="F100" s="27"/>
      <c r="G100" s="195">
        <f t="shared" ref="G100:Q100" si="41">IF(G$4="","",G104+G103)</f>
        <v>3670169</v>
      </c>
      <c r="H100" s="195">
        <f t="shared" si="41"/>
        <v>3559477</v>
      </c>
      <c r="I100" s="195">
        <f t="shared" si="41"/>
        <v>3413258</v>
      </c>
      <c r="J100" s="195">
        <f t="shared" si="41"/>
        <v>1603329</v>
      </c>
      <c r="K100" s="195">
        <f t="shared" si="41"/>
        <v>1218998</v>
      </c>
      <c r="L100" s="195" t="str">
        <f t="shared" si="41"/>
        <v/>
      </c>
      <c r="M100" s="195" t="str">
        <f t="shared" si="41"/>
        <v/>
      </c>
      <c r="N100" s="195" t="str">
        <f t="shared" si="41"/>
        <v/>
      </c>
      <c r="O100" s="195" t="str">
        <f t="shared" si="41"/>
        <v/>
      </c>
      <c r="P100" s="195" t="str">
        <f t="shared" si="41"/>
        <v/>
      </c>
      <c r="Q100" s="195" t="str">
        <f t="shared" si="41"/>
        <v/>
      </c>
    </row>
    <row r="101" spans="1:17" ht="15.75" customHeight="1" x14ac:dyDescent="0.35">
      <c r="A101" s="10"/>
      <c r="B101" s="102" t="s">
        <v>223</v>
      </c>
      <c r="C101" s="215">
        <f>BS!C4</f>
        <v>180994</v>
      </c>
      <c r="D101" s="98"/>
      <c r="E101" s="98"/>
      <c r="F101" s="98"/>
      <c r="G101" s="197">
        <f>IF(G$4="","",Data!D76)</f>
        <v>0</v>
      </c>
      <c r="H101" s="197">
        <f>IF(H$4="","",Data!E76)</f>
        <v>0</v>
      </c>
      <c r="I101" s="197">
        <f>IF(I$4="","",Data!F76)</f>
        <v>0</v>
      </c>
      <c r="J101" s="197">
        <f>IF(J$4="","",Data!G76)</f>
        <v>0</v>
      </c>
      <c r="K101" s="197" t="str">
        <f>IF(K$4="","",Data!H76)</f>
        <v/>
      </c>
      <c r="L101" s="197" t="str">
        <f>IF(L$4="","",Data!I76)</f>
        <v/>
      </c>
      <c r="M101" s="197" t="str">
        <f>IF(M$4="","",Data!J76)</f>
        <v/>
      </c>
      <c r="N101" s="197" t="str">
        <f>IF(N$4="","",Data!K76)</f>
        <v/>
      </c>
      <c r="O101" s="197" t="str">
        <f>IF(O$4="","",Data!L76)</f>
        <v/>
      </c>
      <c r="P101" s="197" t="str">
        <f>IF(P$4="","",Data!M76)</f>
        <v/>
      </c>
      <c r="Q101" s="197" t="str">
        <f>IF(Q$4="","",Data!N76)</f>
        <v/>
      </c>
    </row>
    <row r="102" spans="1:17" ht="15.75" customHeight="1" x14ac:dyDescent="0.35">
      <c r="A102" s="10"/>
      <c r="B102" s="102" t="s">
        <v>224</v>
      </c>
      <c r="C102" s="215">
        <f>BS!C6+BS!C7</f>
        <v>158110</v>
      </c>
      <c r="D102" s="98"/>
      <c r="E102" s="98"/>
      <c r="F102" s="98"/>
      <c r="G102" s="197">
        <f>IF(G$4="","",Data!D77)</f>
        <v>0</v>
      </c>
      <c r="H102" s="197">
        <f>IF(H$4="","",Data!E77)</f>
        <v>0</v>
      </c>
      <c r="I102" s="197">
        <f>IF(I$4="","",Data!F77)</f>
        <v>0</v>
      </c>
      <c r="J102" s="197">
        <f>IF(J$4="","",Data!G77)</f>
        <v>0</v>
      </c>
      <c r="K102" s="197" t="str">
        <f>IF(K$4="","",Data!H77)</f>
        <v/>
      </c>
      <c r="L102" s="197" t="str">
        <f>IF(L$4="","",Data!I77)</f>
        <v/>
      </c>
      <c r="M102" s="197" t="str">
        <f>IF(M$4="","",Data!J77)</f>
        <v/>
      </c>
      <c r="N102" s="197" t="str">
        <f>IF(N$4="","",Data!K77)</f>
        <v/>
      </c>
      <c r="O102" s="197" t="str">
        <f>IF(O$4="","",Data!L77)</f>
        <v/>
      </c>
      <c r="P102" s="197" t="str">
        <f>IF(P$4="","",Data!M77)</f>
        <v/>
      </c>
      <c r="Q102" s="197" t="str">
        <f>IF(Q$4="","",Data!N77)</f>
        <v/>
      </c>
    </row>
    <row r="103" spans="1:17" ht="15.75" customHeight="1" x14ac:dyDescent="0.35">
      <c r="A103" s="10"/>
      <c r="B103" s="27" t="s">
        <v>42</v>
      </c>
      <c r="C103" s="214">
        <f>BS!G30</f>
        <v>642877</v>
      </c>
      <c r="D103" s="27"/>
      <c r="E103" s="27"/>
      <c r="F103" s="27"/>
      <c r="G103" s="195">
        <f>Data!C78</f>
        <v>642877</v>
      </c>
      <c r="H103" s="195">
        <f>Data!D78</f>
        <v>734909</v>
      </c>
      <c r="I103" s="195">
        <f>Data!E78</f>
        <v>677999</v>
      </c>
      <c r="J103" s="195">
        <f>Data!F78</f>
        <v>1352795</v>
      </c>
      <c r="K103" s="195">
        <f>Data!G78</f>
        <v>1205068</v>
      </c>
      <c r="L103" s="195" t="str">
        <f>Data!H78</f>
        <v/>
      </c>
      <c r="M103" s="195" t="str">
        <f>Data!I78</f>
        <v/>
      </c>
      <c r="N103" s="195" t="str">
        <f>Data!J78</f>
        <v/>
      </c>
      <c r="O103" s="195" t="str">
        <f>Data!K78</f>
        <v/>
      </c>
      <c r="P103" s="195" t="str">
        <f>Data!L78</f>
        <v/>
      </c>
      <c r="Q103" s="195" t="str">
        <f>Data!M78</f>
        <v/>
      </c>
    </row>
    <row r="104" spans="1:17" ht="15.75" customHeight="1" x14ac:dyDescent="0.35">
      <c r="A104" s="10"/>
      <c r="B104" s="27" t="s">
        <v>32</v>
      </c>
      <c r="C104" s="214">
        <f>BS!G27</f>
        <v>3027292</v>
      </c>
      <c r="D104" s="27"/>
      <c r="E104" s="27"/>
      <c r="F104" s="27"/>
      <c r="G104" s="195">
        <f>Data!C79</f>
        <v>3027292</v>
      </c>
      <c r="H104" s="195">
        <f>Data!D79</f>
        <v>2824568</v>
      </c>
      <c r="I104" s="195">
        <f>Data!E79</f>
        <v>2735259</v>
      </c>
      <c r="J104" s="195">
        <f>Data!F79</f>
        <v>250534</v>
      </c>
      <c r="K104" s="195">
        <f>Data!G79</f>
        <v>13930</v>
      </c>
      <c r="L104" s="195" t="str">
        <f>Data!H79</f>
        <v/>
      </c>
      <c r="M104" s="195" t="str">
        <f>Data!I79</f>
        <v/>
      </c>
      <c r="N104" s="195" t="str">
        <f>Data!J79</f>
        <v/>
      </c>
      <c r="O104" s="195" t="str">
        <f>Data!K79</f>
        <v/>
      </c>
      <c r="P104" s="195" t="str">
        <f>Data!L79</f>
        <v/>
      </c>
      <c r="Q104" s="195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>
        <f>C101/C$4</f>
        <v>0.11430811111773545</v>
      </c>
      <c r="D107" s="27"/>
      <c r="E107" s="27"/>
      <c r="F107" s="27"/>
      <c r="G107" s="104">
        <f t="shared" ref="G107:Q107" si="42">IF(G$4="","",G101/G$4)</f>
        <v>0</v>
      </c>
      <c r="H107" s="104">
        <f t="shared" si="42"/>
        <v>0</v>
      </c>
      <c r="I107" s="104">
        <f t="shared" si="42"/>
        <v>0</v>
      </c>
      <c r="J107" s="104">
        <f t="shared" si="42"/>
        <v>0</v>
      </c>
      <c r="K107" s="104" t="e">
        <f t="shared" si="42"/>
        <v>#VALUE!</v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>
        <f>C102/C$4</f>
        <v>9.9855550177492911E-2</v>
      </c>
      <c r="D108" s="27"/>
      <c r="E108" s="27"/>
      <c r="F108" s="27"/>
      <c r="G108" s="104">
        <f t="shared" ref="G108:Q108" si="43">IF(G$4="","",G102/G$4)</f>
        <v>0</v>
      </c>
      <c r="H108" s="104">
        <f t="shared" si="43"/>
        <v>0</v>
      </c>
      <c r="I108" s="104">
        <f t="shared" si="43"/>
        <v>0</v>
      </c>
      <c r="J108" s="104">
        <f t="shared" si="43"/>
        <v>0</v>
      </c>
      <c r="K108" s="104" t="e">
        <f t="shared" si="43"/>
        <v>#VALUE!</v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>
        <f>BS!$G$38/C$4</f>
        <v>0</v>
      </c>
      <c r="D109" s="27"/>
      <c r="E109" s="27"/>
      <c r="F109" s="27"/>
      <c r="G109" s="104">
        <f>BS!$G$38/G$4</f>
        <v>0</v>
      </c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>
        <f>C80</f>
        <v>8.2989595051457213E-2</v>
      </c>
      <c r="G112" s="24">
        <f t="shared" ref="G112:Q112" si="44">G80</f>
        <v>0.12293874974080596</v>
      </c>
      <c r="H112" s="24">
        <f t="shared" si="44"/>
        <v>4.6442164522154127E-2</v>
      </c>
      <c r="I112" s="24">
        <f t="shared" si="44"/>
        <v>4.5560692465394535E-2</v>
      </c>
      <c r="J112" s="24">
        <f t="shared" si="44"/>
        <v>0.16656139632489186</v>
      </c>
      <c r="K112" s="24">
        <f t="shared" si="44"/>
        <v>0.14668042983890439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>
        <f>C4/C100</f>
        <v>0.43142078743512902</v>
      </c>
      <c r="G113" s="43">
        <f t="shared" ref="G113:Q113" si="45">IF(G4="","",G4/G100)</f>
        <v>0.44019362596109335</v>
      </c>
      <c r="H113" s="43">
        <f t="shared" si="45"/>
        <v>0.40641869578030704</v>
      </c>
      <c r="I113" s="43">
        <f t="shared" si="45"/>
        <v>0.51831915430946029</v>
      </c>
      <c r="J113" s="43">
        <f t="shared" si="45"/>
        <v>1.0616373807247297</v>
      </c>
      <c r="K113" s="43">
        <f t="shared" si="45"/>
        <v>1.1348681458049972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1.2123604198075375</v>
      </c>
      <c r="D114" s="11"/>
      <c r="E114" s="11"/>
      <c r="F114" s="11"/>
      <c r="G114" s="15">
        <f t="shared" ref="G114:Q114" si="46">IF(G$4="","",G100/G104)</f>
        <v>1.2123604198075375</v>
      </c>
      <c r="H114" s="15">
        <f t="shared" si="46"/>
        <v>1.2601845662770377</v>
      </c>
      <c r="I114" s="15">
        <f t="shared" si="46"/>
        <v>1.2478737845300938</v>
      </c>
      <c r="J114" s="15">
        <f t="shared" si="46"/>
        <v>6.3996463553848981</v>
      </c>
      <c r="K114" s="15">
        <f t="shared" si="46"/>
        <v>87.508829863603736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3">
        <f>C8/C104</f>
        <v>1.9358113633458775E-2</v>
      </c>
      <c r="D115" s="114"/>
      <c r="E115" s="114"/>
      <c r="F115" s="114"/>
      <c r="G115" s="113">
        <f t="shared" ref="G115:Q115" si="47">IF(G$4="","",G8/G104)</f>
        <v>3.4735334417690791E-2</v>
      </c>
      <c r="H115" s="113">
        <f t="shared" si="47"/>
        <v>7.7604787705588959E-4</v>
      </c>
      <c r="I115" s="113">
        <f t="shared" si="47"/>
        <v>2.9992040973085183E-2</v>
      </c>
      <c r="J115" s="113">
        <f t="shared" si="47"/>
        <v>1.1414498630924346</v>
      </c>
      <c r="K115" s="113">
        <f t="shared" si="47"/>
        <v>14.588442211055277</v>
      </c>
      <c r="L115" s="113" t="str">
        <f t="shared" si="47"/>
        <v/>
      </c>
      <c r="M115" s="113" t="str">
        <f t="shared" si="47"/>
        <v/>
      </c>
      <c r="N115" s="113" t="str">
        <f t="shared" si="47"/>
        <v/>
      </c>
      <c r="O115" s="113" t="str">
        <f t="shared" si="47"/>
        <v/>
      </c>
      <c r="P115" s="113" t="str">
        <f t="shared" si="47"/>
        <v/>
      </c>
      <c r="Q115" s="113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1" t="s">
        <v>182</v>
      </c>
      <c r="C118" s="192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0">
        <f>C16*$C$3/Common_Shares*Exchange_Rate</f>
        <v>7.668872979437022E-2</v>
      </c>
      <c r="D119" s="28"/>
      <c r="E119" s="73"/>
      <c r="F119" s="28"/>
      <c r="G119" s="190">
        <f t="shared" ref="G119:Q119" si="48">IF(G$4="","",G16*$C$3/Common_Shares*Exchange_Rate)</f>
        <v>0.12081613489798315</v>
      </c>
      <c r="H119" s="190">
        <f t="shared" si="48"/>
        <v>3.6190780476152443E-2</v>
      </c>
      <c r="I119" s="190">
        <f t="shared" si="48"/>
        <v>6.4080186299976721E-2</v>
      </c>
      <c r="J119" s="190">
        <f t="shared" si="48"/>
        <v>0.22539292369088454</v>
      </c>
      <c r="K119" s="190">
        <f t="shared" si="48"/>
        <v>0.16131978983502629</v>
      </c>
      <c r="L119" s="190" t="str">
        <f t="shared" si="48"/>
        <v/>
      </c>
      <c r="M119" s="190" t="str">
        <f t="shared" si="48"/>
        <v/>
      </c>
      <c r="N119" s="190" t="str">
        <f t="shared" si="48"/>
        <v/>
      </c>
      <c r="O119" s="190" t="str">
        <f t="shared" si="48"/>
        <v/>
      </c>
      <c r="P119" s="190" t="str">
        <f t="shared" si="48"/>
        <v/>
      </c>
      <c r="Q119" s="190" t="str">
        <f t="shared" si="48"/>
        <v/>
      </c>
    </row>
    <row r="120" spans="1:17" ht="15.75" customHeight="1" x14ac:dyDescent="0.35">
      <c r="A120" s="10"/>
      <c r="B120" s="28" t="s">
        <v>297</v>
      </c>
      <c r="C120" s="84">
        <f>C19*Exchange_Rate*$C$3/(Market_Price*Common_Shares)</f>
        <v>3.3342925997552272E-2</v>
      </c>
      <c r="D120" s="28"/>
      <c r="E120" s="73"/>
      <c r="F120" s="28"/>
      <c r="G120" s="84">
        <f t="shared" ref="G120" si="49">IF(G$4="","",G119/Market_Price)</f>
        <v>5.252875430347094E-2</v>
      </c>
      <c r="H120" s="84">
        <f t="shared" ref="H120" si="50">IF(H$4="","",H119/Market_Price)</f>
        <v>1.5735121946153237E-2</v>
      </c>
      <c r="I120" s="84">
        <f t="shared" ref="I120" si="51">IF(I$4="","",I119/Market_Price)</f>
        <v>2.7860950565207272E-2</v>
      </c>
      <c r="J120" s="84">
        <f t="shared" ref="J120" si="52">IF(J$4="","",J119/Market_Price)</f>
        <v>9.7996923343862855E-2</v>
      </c>
      <c r="K120" s="84">
        <f t="shared" ref="K120" si="53">IF(K$4="","",K119/Market_Price)</f>
        <v>7.0139039058707081E-2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F66" sqref="F66:F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8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8" t="s">
        <v>148</v>
      </c>
      <c r="D3" s="219" t="s">
        <v>37</v>
      </c>
      <c r="F3" s="16" t="s">
        <v>197</v>
      </c>
      <c r="G3" s="218" t="s">
        <v>148</v>
      </c>
      <c r="H3" s="219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84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253051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75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8" t="s">
        <v>148</v>
      </c>
      <c r="D14" s="219" t="s">
        <v>37</v>
      </c>
      <c r="F14" s="16" t="s">
        <v>198</v>
      </c>
      <c r="G14" s="218" t="s">
        <v>148</v>
      </c>
      <c r="H14" s="219" t="s">
        <v>37</v>
      </c>
    </row>
    <row r="15" spans="2:8" ht="15" customHeight="1" x14ac:dyDescent="0.35">
      <c r="B15" s="4" t="s">
        <v>78</v>
      </c>
      <c r="C15" s="20">
        <v>0</v>
      </c>
      <c r="D15" s="91">
        <v>0.4</v>
      </c>
      <c r="F15" s="4" t="s">
        <v>85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126127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194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76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213</v>
      </c>
      <c r="C26" s="218" t="s">
        <v>148</v>
      </c>
      <c r="F26" s="220" t="s">
        <v>209</v>
      </c>
      <c r="G26" s="221" t="s">
        <v>148</v>
      </c>
      <c r="H26" s="222" t="s">
        <v>37</v>
      </c>
    </row>
    <row r="27" spans="2:8" ht="15" customHeight="1" x14ac:dyDescent="0.35">
      <c r="B27" s="4" t="s">
        <v>6</v>
      </c>
      <c r="C27" s="20">
        <v>0</v>
      </c>
      <c r="F27" s="223" t="s">
        <v>32</v>
      </c>
      <c r="G27" s="94">
        <f>G32-G30</f>
        <v>3027292</v>
      </c>
      <c r="H27" s="224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5" t="s">
        <v>262</v>
      </c>
      <c r="G28" s="193">
        <v>3990</v>
      </c>
      <c r="H28" s="224"/>
    </row>
    <row r="29" spans="2:8" ht="15" customHeight="1" x14ac:dyDescent="0.35">
      <c r="B29" s="4" t="s">
        <v>8</v>
      </c>
      <c r="C29" s="20">
        <v>0</v>
      </c>
      <c r="F29" s="226" t="s">
        <v>81</v>
      </c>
      <c r="G29" s="14">
        <f>G27-G28</f>
        <v>3023302</v>
      </c>
      <c r="H29" s="224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3" t="s">
        <v>24</v>
      </c>
      <c r="G30" s="94">
        <f>C33+C42</f>
        <v>642877</v>
      </c>
      <c r="H30" s="224"/>
    </row>
    <row r="31" spans="2:8" ht="15" customHeight="1" x14ac:dyDescent="0.35">
      <c r="B31" s="89" t="s">
        <v>216</v>
      </c>
      <c r="C31" s="90">
        <f>SUM(C27:C30)</f>
        <v>13416</v>
      </c>
      <c r="F31" s="226" t="s">
        <v>82</v>
      </c>
      <c r="G31" s="227">
        <f>C31+C40</f>
        <v>33999</v>
      </c>
      <c r="H31" s="224"/>
    </row>
    <row r="32" spans="2:8" ht="15" customHeight="1" x14ac:dyDescent="0.35">
      <c r="B32" s="4" t="s">
        <v>10</v>
      </c>
      <c r="C32" s="22">
        <f>C33-C31</f>
        <v>598515</v>
      </c>
      <c r="F32" s="228" t="s">
        <v>80</v>
      </c>
      <c r="G32" s="229">
        <f>G35+G40</f>
        <v>3670169</v>
      </c>
      <c r="H32" s="224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0"/>
      <c r="G33" s="2"/>
      <c r="H33" s="231"/>
    </row>
    <row r="34" spans="2:8" ht="15" customHeight="1" x14ac:dyDescent="0.35">
      <c r="B34" s="92"/>
      <c r="C34" s="93"/>
      <c r="F34" s="232" t="s">
        <v>215</v>
      </c>
      <c r="G34" s="233" t="s">
        <v>148</v>
      </c>
      <c r="H34" s="234" t="s">
        <v>37</v>
      </c>
    </row>
    <row r="35" spans="2:8" ht="15" customHeight="1" x14ac:dyDescent="0.35">
      <c r="B35" s="16" t="s">
        <v>214</v>
      </c>
      <c r="C35" s="218" t="s">
        <v>148</v>
      </c>
      <c r="F35" s="235" t="s">
        <v>33</v>
      </c>
      <c r="G35" s="229">
        <f>C12+C24</f>
        <v>624759</v>
      </c>
      <c r="H35" s="236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6" t="s">
        <v>210</v>
      </c>
      <c r="G36" s="227">
        <f>C4+C15</f>
        <v>180994</v>
      </c>
      <c r="H36" s="231"/>
    </row>
    <row r="37" spans="2:8" ht="15" customHeight="1" x14ac:dyDescent="0.35">
      <c r="B37" s="4" t="s">
        <v>15</v>
      </c>
      <c r="C37" s="20">
        <v>20583</v>
      </c>
      <c r="F37" s="226" t="s">
        <v>211</v>
      </c>
      <c r="G37" s="227">
        <f>C6</f>
        <v>158110</v>
      </c>
      <c r="H37" s="231"/>
    </row>
    <row r="38" spans="2:8" ht="15" customHeight="1" x14ac:dyDescent="0.35">
      <c r="B38" s="4" t="s">
        <v>16</v>
      </c>
      <c r="C38" s="20">
        <v>0</v>
      </c>
      <c r="F38" s="226" t="s">
        <v>212</v>
      </c>
      <c r="G38" s="227">
        <f>C7+C17</f>
        <v>0</v>
      </c>
      <c r="H38" s="231"/>
    </row>
    <row r="39" spans="2:8" ht="15" customHeight="1" x14ac:dyDescent="0.35">
      <c r="B39" s="2" t="s">
        <v>17</v>
      </c>
      <c r="C39" s="20">
        <v>0</v>
      </c>
      <c r="F39" s="226" t="s">
        <v>88</v>
      </c>
      <c r="G39" s="227">
        <f>C7+C17+C19+C20</f>
        <v>193915</v>
      </c>
      <c r="H39" s="224">
        <f>C7*D7+C17*D17+C19*D19+C20*D20</f>
        <v>19391.5</v>
      </c>
    </row>
    <row r="40" spans="2:8" ht="15" customHeight="1" x14ac:dyDescent="0.35">
      <c r="B40" s="89" t="s">
        <v>217</v>
      </c>
      <c r="C40" s="90">
        <f>SUM(C36:C39)</f>
        <v>20583</v>
      </c>
      <c r="F40" s="235" t="s">
        <v>150</v>
      </c>
      <c r="G40" s="229">
        <f>G12+G24</f>
        <v>3045410</v>
      </c>
      <c r="H40" s="236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6" t="s">
        <v>203</v>
      </c>
      <c r="G41" s="227">
        <f>C70</f>
        <v>2664732</v>
      </c>
      <c r="H41" s="236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7" t="s">
        <v>204</v>
      </c>
      <c r="G42" s="238">
        <f>C76</f>
        <v>380678</v>
      </c>
      <c r="H42" s="239">
        <f>D76</f>
        <v>227656.8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9" t="s">
        <v>148</v>
      </c>
      <c r="D45" s="218" t="s">
        <v>302</v>
      </c>
      <c r="F45" s="110" t="s">
        <v>64</v>
      </c>
    </row>
    <row r="46" spans="2:8" ht="15" customHeight="1" x14ac:dyDescent="0.35">
      <c r="B46" s="1" t="s">
        <v>304</v>
      </c>
      <c r="C46" s="200">
        <f>G29</f>
        <v>3023302</v>
      </c>
      <c r="D46" s="200">
        <f>H29</f>
        <v>2232466.6000000006</v>
      </c>
      <c r="F46" s="305"/>
    </row>
    <row r="47" spans="2:8" ht="15" customHeight="1" x14ac:dyDescent="0.35">
      <c r="B47" s="1" t="str">
        <f>"Equity per share ("&amp;Market_currency&amp;")"</f>
        <v>Equity per share (HKD)</v>
      </c>
      <c r="C47" s="159">
        <f>C46*H1/Common_Shares*Exchange_Rate</f>
        <v>2.4035247895594014</v>
      </c>
      <c r="D47" s="159">
        <f>D46*H1/Common_Shares*Exchange_Rate</f>
        <v>1.77481072514866</v>
      </c>
      <c r="F47" s="305"/>
    </row>
    <row r="48" spans="2:8" ht="15" customHeight="1" x14ac:dyDescent="0.35">
      <c r="F48" s="305"/>
    </row>
    <row r="49" spans="2:8" ht="15" customHeight="1" x14ac:dyDescent="0.35">
      <c r="B49" s="170" t="s">
        <v>155</v>
      </c>
      <c r="C49" s="280" t="s">
        <v>62</v>
      </c>
      <c r="D49" s="233" t="s">
        <v>106</v>
      </c>
      <c r="E49" s="2"/>
      <c r="F49" s="305"/>
    </row>
    <row r="50" spans="2:8" ht="15" customHeight="1" x14ac:dyDescent="0.35">
      <c r="B50" s="8" t="s">
        <v>104</v>
      </c>
      <c r="C50" s="105">
        <f>G31/Normalized_FCF!C8</f>
        <v>0.58016135321753903</v>
      </c>
      <c r="D50" s="105">
        <f>G31/Normalized_FCF!G8</f>
        <v>0.3233257888430302</v>
      </c>
      <c r="F50" s="305"/>
    </row>
    <row r="51" spans="2:8" ht="15" customHeight="1" x14ac:dyDescent="0.35">
      <c r="B51" s="1" t="s">
        <v>188</v>
      </c>
      <c r="C51" s="217"/>
      <c r="D51" s="101">
        <f>G29/G32</f>
        <v>0.82375007799368372</v>
      </c>
      <c r="F51" s="305"/>
    </row>
    <row r="52" spans="2:8" ht="15" customHeight="1" x14ac:dyDescent="0.35">
      <c r="F52" s="305"/>
    </row>
    <row r="53" spans="2:8" ht="15" customHeight="1" x14ac:dyDescent="0.35">
      <c r="B53" s="170" t="s">
        <v>154</v>
      </c>
      <c r="C53" s="280" t="s">
        <v>62</v>
      </c>
      <c r="D53" s="233" t="s">
        <v>106</v>
      </c>
      <c r="F53" s="305"/>
    </row>
    <row r="54" spans="2:8" ht="15" customHeight="1" x14ac:dyDescent="0.35">
      <c r="B54" s="1" t="s">
        <v>151</v>
      </c>
      <c r="C54" s="101">
        <f>Normalized_FCF!C8/G35</f>
        <v>9.3800429505874555E-2</v>
      </c>
      <c r="D54" s="101">
        <f>Normalized_FCF!G8/G35</f>
        <v>0.16831130083760298</v>
      </c>
      <c r="F54" s="305"/>
    </row>
    <row r="55" spans="2:8" ht="15" customHeight="1" x14ac:dyDescent="0.35">
      <c r="B55" s="1" t="s">
        <v>153</v>
      </c>
      <c r="C55" s="101">
        <f>Normalized_FCF!C11/G40</f>
        <v>0</v>
      </c>
      <c r="D55" s="101">
        <f>Normalized_FCF!G11/G40</f>
        <v>0</v>
      </c>
      <c r="F55" s="305"/>
    </row>
    <row r="56" spans="2:8" ht="15" customHeight="1" x14ac:dyDescent="0.35">
      <c r="F56" s="305"/>
    </row>
    <row r="57" spans="2:8" ht="15" customHeight="1" x14ac:dyDescent="0.35">
      <c r="B57" s="170" t="s">
        <v>187</v>
      </c>
      <c r="C57" s="280" t="s">
        <v>62</v>
      </c>
      <c r="D57" s="233" t="s">
        <v>106</v>
      </c>
      <c r="F57" s="305"/>
    </row>
    <row r="58" spans="2:8" ht="15" customHeight="1" x14ac:dyDescent="0.35">
      <c r="B58" s="2" t="s">
        <v>100</v>
      </c>
      <c r="C58" s="108"/>
      <c r="D58" s="24">
        <f>Normalized_FCF!G9/BS!$G$39</f>
        <v>0.18551427171698939</v>
      </c>
      <c r="F58" s="5"/>
    </row>
    <row r="59" spans="2:8" ht="15" customHeight="1" x14ac:dyDescent="0.35">
      <c r="B59" s="1" t="s">
        <v>103</v>
      </c>
      <c r="C59" s="108"/>
      <c r="D59" s="101">
        <f>G39/G32</f>
        <v>5.2835441637701153E-2</v>
      </c>
      <c r="F59" s="305"/>
    </row>
    <row r="60" spans="2:8" ht="15" customHeight="1" x14ac:dyDescent="0.35">
      <c r="F60" s="305"/>
    </row>
    <row r="61" spans="2:8" ht="15" customHeight="1" x14ac:dyDescent="0.35">
      <c r="B61" s="170" t="s">
        <v>305</v>
      </c>
      <c r="C61" s="280" t="s">
        <v>149</v>
      </c>
      <c r="D61" s="233" t="s">
        <v>106</v>
      </c>
      <c r="F61" s="305"/>
    </row>
    <row r="62" spans="2:8" ht="15" customHeight="1" x14ac:dyDescent="0.35">
      <c r="B62" s="1" t="s">
        <v>263</v>
      </c>
      <c r="C62" s="101">
        <f>IF(G28&lt;=0,0,G28/G29)</f>
        <v>1.3197490690642218E-3</v>
      </c>
      <c r="D62" s="101">
        <f>G28/G29</f>
        <v>1.3197490690642218E-3</v>
      </c>
      <c r="F62" s="305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200</v>
      </c>
      <c r="C65" s="279" t="s">
        <v>148</v>
      </c>
      <c r="D65" s="285" t="s">
        <v>332</v>
      </c>
    </row>
    <row r="66" spans="2:8" ht="15" customHeight="1" x14ac:dyDescent="0.35">
      <c r="B66" s="116" t="s">
        <v>199</v>
      </c>
      <c r="C66" s="21">
        <f>G4+G5+G15</f>
        <v>2664732</v>
      </c>
      <c r="D66" s="200">
        <f>(G4+G15)*60%</f>
        <v>1598839.2</v>
      </c>
      <c r="F66" s="5" t="s">
        <v>239</v>
      </c>
    </row>
    <row r="67" spans="2:8" ht="15" customHeight="1" x14ac:dyDescent="0.35">
      <c r="B67" s="116" t="s">
        <v>189</v>
      </c>
      <c r="C67" s="21">
        <f>G6+G16</f>
        <v>0</v>
      </c>
      <c r="F67" s="305"/>
    </row>
    <row r="68" spans="2:8" ht="15" customHeight="1" x14ac:dyDescent="0.35">
      <c r="B68" s="116" t="s">
        <v>193</v>
      </c>
      <c r="C68" s="21">
        <f>G18</f>
        <v>0</v>
      </c>
      <c r="F68" s="305"/>
    </row>
    <row r="69" spans="2:8" ht="15" customHeight="1" x14ac:dyDescent="0.35">
      <c r="B69" s="116" t="s">
        <v>191</v>
      </c>
      <c r="C69" s="21">
        <f>G8+G20</f>
        <v>0</v>
      </c>
      <c r="F69" s="305"/>
    </row>
    <row r="70" spans="2:8" ht="15" customHeight="1" x14ac:dyDescent="0.35">
      <c r="B70" s="89" t="s">
        <v>200</v>
      </c>
      <c r="C70" s="90">
        <f>SUM(C66:C69)</f>
        <v>2664732</v>
      </c>
      <c r="F70" s="305"/>
    </row>
    <row r="71" spans="2:8" ht="15" customHeight="1" x14ac:dyDescent="0.35">
      <c r="F71" s="305"/>
    </row>
    <row r="72" spans="2:8" ht="15" customHeight="1" x14ac:dyDescent="0.35">
      <c r="B72" s="16" t="s">
        <v>201</v>
      </c>
      <c r="C72" s="279" t="s">
        <v>148</v>
      </c>
      <c r="D72" s="219" t="s">
        <v>37</v>
      </c>
      <c r="F72" s="305"/>
    </row>
    <row r="73" spans="2:8" ht="15" customHeight="1" x14ac:dyDescent="0.35">
      <c r="B73" s="116" t="s">
        <v>190</v>
      </c>
      <c r="C73" s="21">
        <f>G7+G17</f>
        <v>379178</v>
      </c>
      <c r="D73" s="200">
        <f>G7*H7+G17*H17</f>
        <v>227506.8</v>
      </c>
      <c r="F73" s="305"/>
    </row>
    <row r="74" spans="2:8" ht="15" customHeight="1" x14ac:dyDescent="0.35">
      <c r="B74" s="116" t="s">
        <v>194</v>
      </c>
      <c r="C74" s="21">
        <f>G19</f>
        <v>1500</v>
      </c>
      <c r="D74" s="200">
        <f>G19*H19</f>
        <v>150</v>
      </c>
      <c r="F74" s="305"/>
    </row>
    <row r="75" spans="2:8" ht="15" customHeight="1" x14ac:dyDescent="0.35">
      <c r="B75" s="116" t="s">
        <v>192</v>
      </c>
      <c r="C75" s="21">
        <f>G9+G21</f>
        <v>0</v>
      </c>
      <c r="D75" s="200">
        <f>G9*H9+G21*H21</f>
        <v>0</v>
      </c>
      <c r="F75" s="305"/>
    </row>
    <row r="76" spans="2:8" ht="15" customHeight="1" x14ac:dyDescent="0.35">
      <c r="B76" s="89" t="s">
        <v>201</v>
      </c>
      <c r="C76" s="90">
        <f>SUM(C73:C75)</f>
        <v>380678</v>
      </c>
      <c r="D76" s="90">
        <f>SUM(D73:D75)</f>
        <v>227656.8</v>
      </c>
      <c r="F76" s="305"/>
    </row>
    <row r="78" spans="2:8" ht="15" customHeight="1" x14ac:dyDescent="0.35">
      <c r="B78" s="88" t="s">
        <v>335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336</v>
      </c>
      <c r="D79" s="290" t="s">
        <v>337</v>
      </c>
    </row>
    <row r="80" spans="2:8" ht="15" customHeight="1" x14ac:dyDescent="0.35">
      <c r="B80" s="287" t="s">
        <v>333</v>
      </c>
      <c r="C80" s="200">
        <f>-Valuation_Model!C7*Exchange_Rate</f>
        <v>-36038.94</v>
      </c>
      <c r="D80" s="264">
        <f>C80*$H$1/Common_Shares</f>
        <v>-2.7029201621349797E-2</v>
      </c>
      <c r="E80" s="289" t="str">
        <f>Market_currency</f>
        <v>HKD</v>
      </c>
    </row>
    <row r="81" spans="2:5" ht="15" customHeight="1" x14ac:dyDescent="0.35">
      <c r="B81" s="287" t="s">
        <v>334</v>
      </c>
      <c r="C81" s="200">
        <f>Valuation_Model!C8*Exchange_Rate</f>
        <v>1694769.5520000001</v>
      </c>
      <c r="D81" s="264">
        <f>C81*$H$1/Common_Shares</f>
        <v>1.2710770051153746</v>
      </c>
      <c r="E81" s="289" t="str">
        <f>Market_currency</f>
        <v>HKD</v>
      </c>
    </row>
    <row r="82" spans="2:5" ht="15" customHeight="1" x14ac:dyDescent="0.35">
      <c r="B82" s="288" t="s">
        <v>201</v>
      </c>
      <c r="C82" s="200">
        <f>Valuation_Model!C9*Exchange_Rate</f>
        <v>241316.20800000001</v>
      </c>
      <c r="D82" s="264">
        <f>C82*$H$1/Common_Shares</f>
        <v>0.18098713337660832</v>
      </c>
      <c r="E82" s="289" t="str">
        <f>Market_currency</f>
        <v>HKD</v>
      </c>
    </row>
    <row r="83" spans="2:5" ht="15" customHeight="1" x14ac:dyDescent="0.35">
      <c r="B83" s="89" t="s">
        <v>338</v>
      </c>
      <c r="C83" s="199">
        <f>SUM(C80:C82)</f>
        <v>1900046.8200000003</v>
      </c>
      <c r="D83" s="291">
        <f>SUM(D80:D82)</f>
        <v>1.4250349368706332</v>
      </c>
      <c r="E83" s="289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2" t="s">
        <v>64</v>
      </c>
    </row>
    <row r="3" spans="2:8" ht="13.15" x14ac:dyDescent="0.4">
      <c r="B3" s="120" t="s">
        <v>175</v>
      </c>
      <c r="C3" s="118">
        <f>Normalized_FCF!C3</f>
        <v>1000</v>
      </c>
      <c r="E3" s="120" t="s">
        <v>136</v>
      </c>
      <c r="H3" s="132"/>
    </row>
    <row r="4" spans="2:8" x14ac:dyDescent="0.35">
      <c r="B4" s="111" t="s">
        <v>140</v>
      </c>
      <c r="C4" s="121">
        <f>Normalized_FCF!C19</f>
        <v>96463.823120077301</v>
      </c>
      <c r="D4" t="str">
        <f>Reporting_currency</f>
        <v>CNY</v>
      </c>
      <c r="E4" s="111" t="s">
        <v>269</v>
      </c>
      <c r="F4" s="146">
        <f>Thesis!C71</f>
        <v>0</v>
      </c>
      <c r="H4" s="132"/>
    </row>
    <row r="5" spans="2:8" x14ac:dyDescent="0.35">
      <c r="B5" s="242" t="s">
        <v>135</v>
      </c>
      <c r="C5" s="243">
        <f>Thesis!C67</f>
        <v>9.9999999999999992E-2</v>
      </c>
      <c r="E5" s="160"/>
      <c r="H5" s="132"/>
    </row>
    <row r="6" spans="2:8" ht="13.15" customHeight="1" x14ac:dyDescent="0.4">
      <c r="B6" s="161" t="s">
        <v>241</v>
      </c>
      <c r="C6" s="247">
        <f>(C4*(1+Terminal_Growth))/(Equity_Cost-Terminal_Growth)</f>
        <v>964638.23120077304</v>
      </c>
      <c r="D6" t="str">
        <f>Reporting_currency</f>
        <v>CNY</v>
      </c>
      <c r="E6" s="313" t="s">
        <v>268</v>
      </c>
      <c r="F6" s="313"/>
      <c r="H6" s="132"/>
    </row>
    <row r="7" spans="2:8" x14ac:dyDescent="0.35">
      <c r="B7" s="160" t="s">
        <v>237</v>
      </c>
      <c r="C7" s="241">
        <f>BS!G31</f>
        <v>33999</v>
      </c>
      <c r="D7" t="str">
        <f>Reporting_currency</f>
        <v>CNY</v>
      </c>
      <c r="E7" s="313"/>
      <c r="F7" s="313"/>
      <c r="H7" s="132"/>
    </row>
    <row r="8" spans="2:8" x14ac:dyDescent="0.35">
      <c r="B8" s="160" t="s">
        <v>238</v>
      </c>
      <c r="C8" s="216">
        <f>BS!D66</f>
        <v>1598839.2</v>
      </c>
      <c r="D8" t="str">
        <f>Reporting_currency</f>
        <v>CNY</v>
      </c>
      <c r="E8" s="313"/>
      <c r="F8" s="313"/>
      <c r="H8" s="132"/>
    </row>
    <row r="9" spans="2:8" x14ac:dyDescent="0.35">
      <c r="B9" s="242" t="s">
        <v>202</v>
      </c>
      <c r="C9" s="244">
        <f>BS!H42</f>
        <v>227656.8</v>
      </c>
      <c r="D9" t="str">
        <f>Reporting_currency</f>
        <v>CNY</v>
      </c>
      <c r="E9" s="313"/>
      <c r="F9" s="313"/>
      <c r="H9" s="132"/>
    </row>
    <row r="10" spans="2:8" ht="13.15" x14ac:dyDescent="0.4">
      <c r="B10" s="161" t="s">
        <v>240</v>
      </c>
      <c r="C10" s="247">
        <f>C6-C7+C8+C9</f>
        <v>2757135.2312007728</v>
      </c>
      <c r="D10" t="str">
        <f>Reporting_currency</f>
        <v>CNY</v>
      </c>
      <c r="H10" s="132"/>
    </row>
    <row r="11" spans="2:8" ht="13.15" thickBot="1" x14ac:dyDescent="0.4">
      <c r="B11" s="245" t="s">
        <v>178</v>
      </c>
      <c r="C11" s="246">
        <f>Exchange_Rate</f>
        <v>1.06</v>
      </c>
      <c r="D11" t="str">
        <f>Thesis!D9</f>
        <v>CNY/HKD</v>
      </c>
      <c r="H11" s="132"/>
    </row>
    <row r="12" spans="2:8" ht="13.5" thickTop="1" x14ac:dyDescent="0.4">
      <c r="B12" s="161" t="s">
        <v>114</v>
      </c>
      <c r="C12" s="123">
        <f>(C10*C3)/Common_Shares*C11</f>
        <v>2.191922234814335</v>
      </c>
      <c r="D12" t="str">
        <f>Market_currency</f>
        <v>HKD</v>
      </c>
      <c r="H12" s="132"/>
    </row>
    <row r="13" spans="2:8" x14ac:dyDescent="0.35">
      <c r="H13" s="132"/>
    </row>
    <row r="14" spans="2:8" ht="13.9" x14ac:dyDescent="0.45">
      <c r="B14" s="37" t="s">
        <v>242</v>
      </c>
      <c r="C14" s="38"/>
      <c r="D14" s="38"/>
      <c r="E14" s="38"/>
      <c r="F14" s="38"/>
      <c r="H14" s="132"/>
    </row>
    <row r="15" spans="2:8" ht="13.15" x14ac:dyDescent="0.35">
      <c r="B15" s="131" t="s">
        <v>147</v>
      </c>
      <c r="H15" s="132"/>
    </row>
    <row r="16" spans="2:8" ht="13.25" customHeight="1" x14ac:dyDescent="0.35">
      <c r="B16" s="164" t="s">
        <v>145</v>
      </c>
      <c r="C16" s="174">
        <f>Scenarios!C65</f>
        <v>1.8222579123958898E-2</v>
      </c>
      <c r="H16" s="132"/>
    </row>
    <row r="17" spans="2:8" ht="13.25" customHeight="1" x14ac:dyDescent="0.35">
      <c r="B17" s="130" t="s">
        <v>146</v>
      </c>
      <c r="C17" s="175">
        <f>Scenarios!C64</f>
        <v>10</v>
      </c>
      <c r="H17" s="132"/>
    </row>
    <row r="18" spans="2:8" ht="13.25" customHeight="1" x14ac:dyDescent="0.4">
      <c r="B18" s="165" t="s">
        <v>118</v>
      </c>
      <c r="C18" s="152">
        <f>(F52-C7+C8+C9)*Exchange_Rate/Common_Shares*C3</f>
        <v>2.2399508804161896</v>
      </c>
      <c r="D18" t="str">
        <f>Market_currency</f>
        <v>HKD</v>
      </c>
      <c r="H18" s="132"/>
    </row>
    <row r="19" spans="2:8" x14ac:dyDescent="0.35">
      <c r="H19" s="132"/>
    </row>
    <row r="20" spans="2:8" ht="13.15" x14ac:dyDescent="0.4">
      <c r="B20" s="140" t="s">
        <v>119</v>
      </c>
      <c r="C20" s="140" t="s">
        <v>120</v>
      </c>
      <c r="D20" s="140" t="s">
        <v>130</v>
      </c>
      <c r="E20" s="140" t="s">
        <v>121</v>
      </c>
      <c r="F20" s="141" t="s">
        <v>122</v>
      </c>
      <c r="H20" s="132"/>
    </row>
    <row r="21" spans="2:8" x14ac:dyDescent="0.35">
      <c r="B21" s="134">
        <v>1</v>
      </c>
      <c r="C21" s="135">
        <f>C4*(1+D21)</f>
        <v>98221.642769482496</v>
      </c>
      <c r="D21" s="150">
        <f>IF($C$17&lt;B21,0,Valuation_Model!$C$16)</f>
        <v>1.8222579123958898E-2</v>
      </c>
      <c r="E21" s="136">
        <f t="shared" ref="E21:E50" si="0">IF($C$17&lt;B21,0,1/(1+Equity_Cost)^B21)</f>
        <v>0.90909090909090906</v>
      </c>
      <c r="F21" s="137">
        <f t="shared" ref="F21:F51" si="1">C21*E21</f>
        <v>89292.402517711351</v>
      </c>
      <c r="H21" s="132"/>
    </row>
    <row r="22" spans="2:8" x14ac:dyDescent="0.35">
      <c r="B22" s="134">
        <v>2</v>
      </c>
      <c r="C22" s="135">
        <f t="shared" ref="C22:C50" si="2">IF(ROW()-ROW($C$21)&lt;$C$17, $C$21*(1+D22)^(ROW()-ROW($C$21)), 0)</f>
        <v>100011.49442653463</v>
      </c>
      <c r="D22" s="150">
        <f>IF($C$17&lt;B22,0,Valuation_Model!$C$16)</f>
        <v>1.8222579123958898E-2</v>
      </c>
      <c r="E22" s="136">
        <f t="shared" si="0"/>
        <v>0.82644628099173545</v>
      </c>
      <c r="F22" s="137">
        <f t="shared" si="1"/>
        <v>82654.127625235225</v>
      </c>
      <c r="H22" s="132"/>
    </row>
    <row r="23" spans="2:8" x14ac:dyDescent="0.35">
      <c r="B23" s="134">
        <v>3</v>
      </c>
      <c r="C23" s="135">
        <f t="shared" si="2"/>
        <v>101833.96179702754</v>
      </c>
      <c r="D23" s="150">
        <f>IF($C$17&lt;B23,0,Valuation_Model!$C$16)</f>
        <v>1.8222579123958898E-2</v>
      </c>
      <c r="E23" s="136">
        <f t="shared" si="0"/>
        <v>0.75131480090157754</v>
      </c>
      <c r="F23" s="137">
        <f t="shared" si="1"/>
        <v>76509.362732552603</v>
      </c>
      <c r="H23" s="132"/>
    </row>
    <row r="24" spans="2:8" x14ac:dyDescent="0.35">
      <c r="B24" s="134">
        <v>4</v>
      </c>
      <c r="C24" s="135">
        <f t="shared" si="2"/>
        <v>103689.63922338009</v>
      </c>
      <c r="D24" s="150">
        <f>IF($C$17&lt;B24,0,Valuation_Model!$C$16)</f>
        <v>1.8222579123958898E-2</v>
      </c>
      <c r="E24" s="136">
        <f t="shared" si="0"/>
        <v>0.68301345536507052</v>
      </c>
      <c r="F24" s="137">
        <f t="shared" si="1"/>
        <v>70821.41877151838</v>
      </c>
      <c r="H24" s="132"/>
    </row>
    <row r="25" spans="2:8" x14ac:dyDescent="0.35">
      <c r="B25" s="134">
        <v>5</v>
      </c>
      <c r="C25" s="135">
        <f t="shared" si="2"/>
        <v>105579.1318784629</v>
      </c>
      <c r="D25" s="150">
        <f>IF($C$17&lt;B25,0,Valuation_Model!$C$16)</f>
        <v>1.8222579123958898E-2</v>
      </c>
      <c r="E25" s="136">
        <f t="shared" si="0"/>
        <v>0.62092132305915493</v>
      </c>
      <c r="F25" s="137">
        <f t="shared" si="1"/>
        <v>65556.334253412177</v>
      </c>
      <c r="H25" s="132"/>
    </row>
    <row r="26" spans="2:8" x14ac:dyDescent="0.35">
      <c r="B26" s="134">
        <v>6</v>
      </c>
      <c r="C26" s="135">
        <f t="shared" si="2"/>
        <v>107503.05596295709</v>
      </c>
      <c r="D26" s="150">
        <f>IF($C$17&lt;B26,0,Valuation_Model!$C$16)</f>
        <v>1.8222579123958898E-2</v>
      </c>
      <c r="E26" s="136">
        <f t="shared" si="0"/>
        <v>0.56447393005377722</v>
      </c>
      <c r="F26" s="137">
        <f t="shared" si="1"/>
        <v>60682.672492201542</v>
      </c>
      <c r="H26" s="132"/>
    </row>
    <row r="27" spans="2:8" x14ac:dyDescent="0.35">
      <c r="B27" s="134">
        <v>7</v>
      </c>
      <c r="C27" s="135">
        <f t="shared" si="2"/>
        <v>109462.03890630946</v>
      </c>
      <c r="D27" s="150">
        <f>IF($C$17&lt;B27,0,Valuation_Model!$C$16)</f>
        <v>1.8222579123958898E-2</v>
      </c>
      <c r="E27" s="136">
        <f t="shared" si="0"/>
        <v>0.51315811823070645</v>
      </c>
      <c r="F27" s="137">
        <f t="shared" si="1"/>
        <v>56171.333902858139</v>
      </c>
      <c r="H27" s="132"/>
    </row>
    <row r="28" spans="2:8" x14ac:dyDescent="0.35">
      <c r="B28" s="134">
        <v>8</v>
      </c>
      <c r="C28" s="135">
        <f t="shared" si="2"/>
        <v>111456.71957134957</v>
      </c>
      <c r="D28" s="150">
        <f>IF($C$17&lt;B28,0,Valuation_Model!$C$16)</f>
        <v>1.8222579123958898E-2</v>
      </c>
      <c r="E28" s="136">
        <f t="shared" si="0"/>
        <v>0.46650738020973315</v>
      </c>
      <c r="F28" s="137">
        <f t="shared" si="1"/>
        <v>51995.382254001182</v>
      </c>
      <c r="H28" s="132"/>
    </row>
    <row r="29" spans="2:8" x14ac:dyDescent="0.35">
      <c r="B29" s="134">
        <v>9</v>
      </c>
      <c r="C29" s="135">
        <f t="shared" si="2"/>
        <v>113487.7484626354</v>
      </c>
      <c r="D29" s="150">
        <f>IF($C$17&lt;B29,0,Valuation_Model!$C$16)</f>
        <v>1.8222579123958898E-2</v>
      </c>
      <c r="E29" s="136">
        <f t="shared" si="0"/>
        <v>0.42409761837248466</v>
      </c>
      <c r="F29" s="137">
        <f t="shared" si="1"/>
        <v>48129.883837459281</v>
      </c>
      <c r="H29" s="132"/>
    </row>
    <row r="30" spans="2:8" x14ac:dyDescent="0.35">
      <c r="B30" s="134">
        <v>10</v>
      </c>
      <c r="C30" s="135">
        <f t="shared" si="2"/>
        <v>115555.78793859573</v>
      </c>
      <c r="D30" s="150">
        <f>IF($C$17&lt;B30,0,Valuation_Model!$C$16)</f>
        <v>1.8222579123958898E-2</v>
      </c>
      <c r="E30" s="136">
        <f t="shared" si="0"/>
        <v>0.38554328942953148</v>
      </c>
      <c r="F30" s="137">
        <f t="shared" si="1"/>
        <v>44551.758594467581</v>
      </c>
      <c r="H30" s="132"/>
    </row>
    <row r="31" spans="2:8" x14ac:dyDescent="0.35">
      <c r="B31" s="134">
        <v>11</v>
      </c>
      <c r="C31" s="135">
        <f t="shared" si="2"/>
        <v>0</v>
      </c>
      <c r="D31" s="150">
        <f>IF($C$17&lt;B31,0,Valuation_Model!$C$16)</f>
        <v>0</v>
      </c>
      <c r="E31" s="136">
        <f t="shared" si="0"/>
        <v>0</v>
      </c>
      <c r="F31" s="137">
        <f t="shared" si="1"/>
        <v>0</v>
      </c>
      <c r="H31" s="132"/>
    </row>
    <row r="32" spans="2:8" x14ac:dyDescent="0.35">
      <c r="B32" s="134">
        <v>12</v>
      </c>
      <c r="C32" s="135">
        <f t="shared" si="2"/>
        <v>0</v>
      </c>
      <c r="D32" s="150">
        <f>IF($C$17&lt;B32,0,Valuation_Model!$C$16)</f>
        <v>0</v>
      </c>
      <c r="E32" s="136">
        <f t="shared" si="0"/>
        <v>0</v>
      </c>
      <c r="F32" s="137">
        <f t="shared" si="1"/>
        <v>0</v>
      </c>
      <c r="H32" s="132"/>
    </row>
    <row r="33" spans="2:8" x14ac:dyDescent="0.35">
      <c r="B33" s="134">
        <v>13</v>
      </c>
      <c r="C33" s="135">
        <f t="shared" si="2"/>
        <v>0</v>
      </c>
      <c r="D33" s="150">
        <f>IF($C$17&lt;B33,0,Valuation_Model!$C$16)</f>
        <v>0</v>
      </c>
      <c r="E33" s="136">
        <f t="shared" si="0"/>
        <v>0</v>
      </c>
      <c r="F33" s="137">
        <f t="shared" si="1"/>
        <v>0</v>
      </c>
      <c r="H33" s="132"/>
    </row>
    <row r="34" spans="2:8" x14ac:dyDescent="0.35">
      <c r="B34" s="134">
        <v>14</v>
      </c>
      <c r="C34" s="135">
        <f t="shared" si="2"/>
        <v>0</v>
      </c>
      <c r="D34" s="150">
        <f>IF($C$17&lt;B34,0,Valuation_Model!$C$16)</f>
        <v>0</v>
      </c>
      <c r="E34" s="136">
        <f t="shared" si="0"/>
        <v>0</v>
      </c>
      <c r="F34" s="137">
        <f t="shared" si="1"/>
        <v>0</v>
      </c>
      <c r="H34" s="132"/>
    </row>
    <row r="35" spans="2:8" x14ac:dyDescent="0.35">
      <c r="B35" s="134">
        <v>15</v>
      </c>
      <c r="C35" s="135">
        <f t="shared" si="2"/>
        <v>0</v>
      </c>
      <c r="D35" s="150">
        <f>IF($C$17&lt;B35,0,Valuation_Model!$C$16)</f>
        <v>0</v>
      </c>
      <c r="E35" s="136">
        <f t="shared" si="0"/>
        <v>0</v>
      </c>
      <c r="F35" s="137">
        <f t="shared" si="1"/>
        <v>0</v>
      </c>
      <c r="H35" s="132"/>
    </row>
    <row r="36" spans="2:8" x14ac:dyDescent="0.35">
      <c r="B36" s="134">
        <v>16</v>
      </c>
      <c r="C36" s="135">
        <f t="shared" si="2"/>
        <v>0</v>
      </c>
      <c r="D36" s="150">
        <f>IF($C$17&lt;B36,0,Valuation_Model!$C$16)</f>
        <v>0</v>
      </c>
      <c r="E36" s="136">
        <f t="shared" si="0"/>
        <v>0</v>
      </c>
      <c r="F36" s="137">
        <f t="shared" si="1"/>
        <v>0</v>
      </c>
      <c r="H36" s="132"/>
    </row>
    <row r="37" spans="2:8" x14ac:dyDescent="0.35">
      <c r="B37" s="134">
        <v>17</v>
      </c>
      <c r="C37" s="135">
        <f t="shared" si="2"/>
        <v>0</v>
      </c>
      <c r="D37" s="150">
        <f>IF($C$17&lt;B37,0,Valuation_Model!$C$16)</f>
        <v>0</v>
      </c>
      <c r="E37" s="136">
        <f t="shared" si="0"/>
        <v>0</v>
      </c>
      <c r="F37" s="137">
        <f t="shared" si="1"/>
        <v>0</v>
      </c>
      <c r="H37" s="132"/>
    </row>
    <row r="38" spans="2:8" x14ac:dyDescent="0.35">
      <c r="B38" s="134">
        <v>18</v>
      </c>
      <c r="C38" s="135">
        <f t="shared" si="2"/>
        <v>0</v>
      </c>
      <c r="D38" s="150">
        <f>IF($C$17&lt;B38,0,Valuation_Model!$C$16)</f>
        <v>0</v>
      </c>
      <c r="E38" s="136">
        <f t="shared" si="0"/>
        <v>0</v>
      </c>
      <c r="F38" s="137">
        <f t="shared" si="1"/>
        <v>0</v>
      </c>
      <c r="H38" s="132"/>
    </row>
    <row r="39" spans="2:8" x14ac:dyDescent="0.35">
      <c r="B39" s="134">
        <v>19</v>
      </c>
      <c r="C39" s="135">
        <f t="shared" si="2"/>
        <v>0</v>
      </c>
      <c r="D39" s="150">
        <f>IF($C$17&lt;B39,0,Valuation_Model!$C$16)</f>
        <v>0</v>
      </c>
      <c r="E39" s="136">
        <f t="shared" si="0"/>
        <v>0</v>
      </c>
      <c r="F39" s="137">
        <f t="shared" si="1"/>
        <v>0</v>
      </c>
      <c r="H39" s="132"/>
    </row>
    <row r="40" spans="2:8" x14ac:dyDescent="0.35">
      <c r="B40" s="134">
        <v>20</v>
      </c>
      <c r="C40" s="135">
        <f t="shared" si="2"/>
        <v>0</v>
      </c>
      <c r="D40" s="150">
        <f>IF($C$17&lt;B40,0,Valuation_Model!$C$16)</f>
        <v>0</v>
      </c>
      <c r="E40" s="136">
        <f t="shared" si="0"/>
        <v>0</v>
      </c>
      <c r="F40" s="137">
        <f t="shared" si="1"/>
        <v>0</v>
      </c>
      <c r="H40" s="132"/>
    </row>
    <row r="41" spans="2:8" x14ac:dyDescent="0.35">
      <c r="B41" s="134">
        <v>21</v>
      </c>
      <c r="C41" s="135">
        <f t="shared" si="2"/>
        <v>0</v>
      </c>
      <c r="D41" s="150">
        <f>IF($C$17&lt;B41,0,Valuation_Model!$C$16)</f>
        <v>0</v>
      </c>
      <c r="E41" s="136">
        <f t="shared" si="0"/>
        <v>0</v>
      </c>
      <c r="F41" s="137">
        <f t="shared" si="1"/>
        <v>0</v>
      </c>
      <c r="H41" s="132"/>
    </row>
    <row r="42" spans="2:8" x14ac:dyDescent="0.35">
      <c r="B42" s="134">
        <v>22</v>
      </c>
      <c r="C42" s="135">
        <f t="shared" si="2"/>
        <v>0</v>
      </c>
      <c r="D42" s="150">
        <f>IF($C$17&lt;B42,0,Valuation_Model!$C$16)</f>
        <v>0</v>
      </c>
      <c r="E42" s="136">
        <f t="shared" si="0"/>
        <v>0</v>
      </c>
      <c r="F42" s="137">
        <f t="shared" si="1"/>
        <v>0</v>
      </c>
      <c r="H42" s="132"/>
    </row>
    <row r="43" spans="2:8" x14ac:dyDescent="0.35">
      <c r="B43" s="134">
        <v>23</v>
      </c>
      <c r="C43" s="135">
        <f t="shared" si="2"/>
        <v>0</v>
      </c>
      <c r="D43" s="150">
        <f>IF($C$17&lt;B43,0,Valuation_Model!$C$16)</f>
        <v>0</v>
      </c>
      <c r="E43" s="136">
        <f t="shared" si="0"/>
        <v>0</v>
      </c>
      <c r="F43" s="137">
        <f t="shared" si="1"/>
        <v>0</v>
      </c>
      <c r="H43" s="132"/>
    </row>
    <row r="44" spans="2:8" x14ac:dyDescent="0.35">
      <c r="B44" s="134">
        <v>24</v>
      </c>
      <c r="C44" s="135">
        <f t="shared" si="2"/>
        <v>0</v>
      </c>
      <c r="D44" s="150">
        <f>IF($C$17&lt;B44,0,Valuation_Model!$C$16)</f>
        <v>0</v>
      </c>
      <c r="E44" s="136">
        <f t="shared" si="0"/>
        <v>0</v>
      </c>
      <c r="F44" s="137">
        <f t="shared" si="1"/>
        <v>0</v>
      </c>
      <c r="H44" s="132"/>
    </row>
    <row r="45" spans="2:8" x14ac:dyDescent="0.35">
      <c r="B45" s="134">
        <v>25</v>
      </c>
      <c r="C45" s="135">
        <f t="shared" si="2"/>
        <v>0</v>
      </c>
      <c r="D45" s="150">
        <f>IF($C$17&lt;B45,0,Valuation_Model!$C$16)</f>
        <v>0</v>
      </c>
      <c r="E45" s="136">
        <f t="shared" si="0"/>
        <v>0</v>
      </c>
      <c r="F45" s="137">
        <f t="shared" si="1"/>
        <v>0</v>
      </c>
      <c r="H45" s="132"/>
    </row>
    <row r="46" spans="2:8" x14ac:dyDescent="0.35">
      <c r="B46" s="134">
        <v>26</v>
      </c>
      <c r="C46" s="135">
        <f t="shared" si="2"/>
        <v>0</v>
      </c>
      <c r="D46" s="150">
        <f>IF($C$17&lt;B46,0,Valuation_Model!$C$16)</f>
        <v>0</v>
      </c>
      <c r="E46" s="136">
        <f t="shared" si="0"/>
        <v>0</v>
      </c>
      <c r="F46" s="137">
        <f t="shared" si="1"/>
        <v>0</v>
      </c>
      <c r="H46" s="132"/>
    </row>
    <row r="47" spans="2:8" x14ac:dyDescent="0.35">
      <c r="B47" s="134">
        <v>27</v>
      </c>
      <c r="C47" s="135">
        <f t="shared" si="2"/>
        <v>0</v>
      </c>
      <c r="D47" s="150">
        <f>IF($C$17&lt;B47,0,Valuation_Model!$C$16)</f>
        <v>0</v>
      </c>
      <c r="E47" s="136">
        <f t="shared" si="0"/>
        <v>0</v>
      </c>
      <c r="F47" s="137">
        <f t="shared" si="1"/>
        <v>0</v>
      </c>
      <c r="H47" s="132"/>
    </row>
    <row r="48" spans="2:8" x14ac:dyDescent="0.35">
      <c r="B48" s="134">
        <v>28</v>
      </c>
      <c r="C48" s="135">
        <f t="shared" si="2"/>
        <v>0</v>
      </c>
      <c r="D48" s="150">
        <f>IF($C$17&lt;B48,0,Valuation_Model!$C$16)</f>
        <v>0</v>
      </c>
      <c r="E48" s="136">
        <f t="shared" si="0"/>
        <v>0</v>
      </c>
      <c r="F48" s="137">
        <f t="shared" si="1"/>
        <v>0</v>
      </c>
      <c r="H48" s="132"/>
    </row>
    <row r="49" spans="1:8" x14ac:dyDescent="0.35">
      <c r="B49" s="134">
        <v>29</v>
      </c>
      <c r="C49" s="135">
        <f t="shared" si="2"/>
        <v>0</v>
      </c>
      <c r="D49" s="150">
        <f>IF($C$17&lt;B49,0,Valuation_Model!$C$16)</f>
        <v>0</v>
      </c>
      <c r="E49" s="136">
        <f t="shared" si="0"/>
        <v>0</v>
      </c>
      <c r="F49" s="137">
        <f t="shared" si="1"/>
        <v>0</v>
      </c>
      <c r="H49" s="132"/>
    </row>
    <row r="50" spans="1:8" x14ac:dyDescent="0.35">
      <c r="B50" s="134">
        <v>30</v>
      </c>
      <c r="C50" s="135">
        <f t="shared" si="2"/>
        <v>0</v>
      </c>
      <c r="D50" s="150">
        <f>IF($C$17&lt;B50,0,Valuation_Model!$C$16)</f>
        <v>0</v>
      </c>
      <c r="E50" s="136">
        <f t="shared" si="0"/>
        <v>0</v>
      </c>
      <c r="F50" s="137">
        <f t="shared" si="1"/>
        <v>0</v>
      </c>
      <c r="H50" s="132"/>
    </row>
    <row r="51" spans="1:8" x14ac:dyDescent="0.35">
      <c r="B51" s="138" t="s">
        <v>143</v>
      </c>
      <c r="C51" s="135">
        <f>C$21*(1+Terminal_Growth)^$C$17/Equity_Cost</f>
        <v>982216.42769482499</v>
      </c>
      <c r="D51" s="151">
        <f>Terminal_Growth</f>
        <v>0</v>
      </c>
      <c r="E51" s="136">
        <f>1/(1+Equity_Cost)^C17</f>
        <v>0.38554328942953148</v>
      </c>
      <c r="F51" s="137">
        <f t="shared" si="1"/>
        <v>378686.95246518636</v>
      </c>
      <c r="H51" s="132"/>
    </row>
    <row r="52" spans="1:8" x14ac:dyDescent="0.35">
      <c r="C52" s="126"/>
      <c r="E52" s="139" t="s">
        <v>112</v>
      </c>
      <c r="F52" s="149">
        <f>SUM(F21:F51)</f>
        <v>1025051.6294466037</v>
      </c>
      <c r="H52" s="132"/>
    </row>
    <row r="53" spans="1:8" x14ac:dyDescent="0.35">
      <c r="C53" s="126"/>
      <c r="H53" s="132"/>
    </row>
    <row r="54" spans="1:8" ht="13.15" x14ac:dyDescent="0.35">
      <c r="B54" s="131" t="s">
        <v>141</v>
      </c>
      <c r="C54" s="148"/>
      <c r="D54" s="148"/>
      <c r="E54" s="129"/>
      <c r="F54" s="129"/>
      <c r="H54" s="132"/>
    </row>
    <row r="55" spans="1:8" ht="13.15" x14ac:dyDescent="0.4">
      <c r="A55" s="145">
        <f>F52</f>
        <v>1025051.6294466037</v>
      </c>
      <c r="B55" s="143">
        <f>C78</f>
        <v>-0.15</v>
      </c>
      <c r="C55" s="143">
        <f>C77</f>
        <v>-0.05</v>
      </c>
      <c r="D55" s="143">
        <f>C76</f>
        <v>0.04</v>
      </c>
      <c r="E55" s="143">
        <f>C75</f>
        <v>0.1</v>
      </c>
      <c r="F55" s="143">
        <f>C74</f>
        <v>0.15</v>
      </c>
      <c r="H55" s="132"/>
    </row>
    <row r="56" spans="1:8" ht="13.15" x14ac:dyDescent="0.4">
      <c r="A56" s="155">
        <v>5</v>
      </c>
      <c r="B56" s="135">
        <f t="dataTable" ref="B56:F61" dt2D="1" dtr="1" r1="C16" r2="C17"/>
        <v>746737.1179868232</v>
      </c>
      <c r="C56" s="135">
        <v>886424.49913926551</v>
      </c>
      <c r="D56" s="135">
        <v>1031827.4488650651</v>
      </c>
      <c r="E56" s="135">
        <v>1141180.0070700764</v>
      </c>
      <c r="F56" s="135">
        <v>1241023.5057988083</v>
      </c>
      <c r="H56" s="132"/>
    </row>
    <row r="57" spans="1:8" ht="13.15" x14ac:dyDescent="0.4">
      <c r="A57" s="155">
        <v>10</v>
      </c>
      <c r="B57" s="135">
        <v>619205.68915954977</v>
      </c>
      <c r="C57" s="135">
        <v>823223.63554253592</v>
      </c>
      <c r="D57" s="135">
        <v>1104595.7140257917</v>
      </c>
      <c r="E57" s="135">
        <v>1373739.0076440671</v>
      </c>
      <c r="F57" s="135">
        <v>1669568.2116978904</v>
      </c>
      <c r="H57" s="132"/>
    </row>
    <row r="58" spans="1:8" ht="13.15" x14ac:dyDescent="0.4">
      <c r="A58" s="155">
        <v>15</v>
      </c>
      <c r="B58" s="135">
        <v>517406.08920374722</v>
      </c>
      <c r="C58" s="135">
        <v>762559.92712337279</v>
      </c>
      <c r="D58" s="135">
        <v>1191334.3570014765</v>
      </c>
      <c r="E58" s="135">
        <v>1700976.7421748578</v>
      </c>
      <c r="F58" s="135">
        <v>2368747.2478235997</v>
      </c>
      <c r="H58" s="132"/>
    </row>
    <row r="59" spans="1:8" ht="13.15" x14ac:dyDescent="0.4">
      <c r="A59" s="156">
        <v>20</v>
      </c>
      <c r="B59" s="135">
        <v>447966.63338024286</v>
      </c>
      <c r="C59" s="135">
        <v>714600.69247380772</v>
      </c>
      <c r="D59" s="135">
        <v>1276584.9853845071</v>
      </c>
      <c r="E59" s="135">
        <v>2087002.5214596698</v>
      </c>
      <c r="F59" s="135">
        <v>3343761.7843977446</v>
      </c>
      <c r="H59" s="132"/>
    </row>
    <row r="60" spans="1:8" ht="13.15" x14ac:dyDescent="0.4">
      <c r="A60" s="156">
        <v>25</v>
      </c>
      <c r="B60" s="135">
        <v>403133.81548150722</v>
      </c>
      <c r="C60" s="135">
        <v>679876.99142326158</v>
      </c>
      <c r="D60" s="135">
        <v>1353234.4413870566</v>
      </c>
      <c r="E60" s="135">
        <v>2509531.051273209</v>
      </c>
      <c r="F60" s="135">
        <v>4624670.3995234473</v>
      </c>
      <c r="H60" s="132"/>
    </row>
    <row r="61" spans="1:8" ht="13.15" x14ac:dyDescent="0.4">
      <c r="A61" s="156">
        <v>30</v>
      </c>
      <c r="B61" s="135">
        <v>374823.28997660452</v>
      </c>
      <c r="C61" s="135">
        <v>655940.54582671018</v>
      </c>
      <c r="D61" s="135">
        <v>1418743.5136284102</v>
      </c>
      <c r="E61" s="135">
        <v>2954724.9172403435</v>
      </c>
      <c r="F61" s="135">
        <v>6263643.7732896013</v>
      </c>
      <c r="H61" s="132"/>
    </row>
    <row r="62" spans="1:8" x14ac:dyDescent="0.35">
      <c r="C62" s="126"/>
      <c r="D62" s="126"/>
      <c r="E62" s="126"/>
      <c r="F62" s="126"/>
      <c r="H62" s="132"/>
    </row>
    <row r="63" spans="1:8" ht="13.15" x14ac:dyDescent="0.35">
      <c r="B63" s="131" t="s">
        <v>142</v>
      </c>
      <c r="C63" s="126"/>
      <c r="D63" s="126"/>
      <c r="E63" s="126"/>
      <c r="F63" s="126"/>
      <c r="H63" s="132"/>
    </row>
    <row r="64" spans="1:8" ht="13.15" x14ac:dyDescent="0.4">
      <c r="B64" s="144">
        <f>B55</f>
        <v>-0.15</v>
      </c>
      <c r="C64" s="144">
        <f>C55</f>
        <v>-0.05</v>
      </c>
      <c r="D64" s="144">
        <f>D55</f>
        <v>0.04</v>
      </c>
      <c r="E64" s="144">
        <f>E55</f>
        <v>0.1</v>
      </c>
      <c r="F64" s="144">
        <f>F55</f>
        <v>0.15</v>
      </c>
      <c r="H64" s="132"/>
    </row>
    <row r="65" spans="1:8" ht="13.15" x14ac:dyDescent="0.4">
      <c r="A65" s="155">
        <v>0</v>
      </c>
      <c r="B65" s="136">
        <f>C12</f>
        <v>2.191922234814335</v>
      </c>
      <c r="C65" s="136">
        <f>C12</f>
        <v>2.191922234814335</v>
      </c>
      <c r="D65" s="136">
        <f>C12</f>
        <v>2.191922234814335</v>
      </c>
      <c r="E65" s="153">
        <f>C12</f>
        <v>2.191922234814335</v>
      </c>
      <c r="F65" s="136">
        <f>C12</f>
        <v>2.191922234814335</v>
      </c>
      <c r="H65" s="132"/>
    </row>
    <row r="66" spans="1:8" ht="13.15" x14ac:dyDescent="0.4">
      <c r="A66" s="155">
        <f t="shared" ref="A66:A71" si="3">A56</f>
        <v>5</v>
      </c>
      <c r="B66" s="136">
        <f t="shared" ref="B66:F71" si="4">(B56-$C$7+$C$8+$C$9)/Common_Shares*$C$3*Exchange_Rate</f>
        <v>2.0186908714631655</v>
      </c>
      <c r="C66" s="136">
        <f t="shared" si="4"/>
        <v>2.1297423255979249</v>
      </c>
      <c r="D66" s="136">
        <f t="shared" si="4"/>
        <v>2.2453376561805194</v>
      </c>
      <c r="E66" s="136">
        <f t="shared" si="4"/>
        <v>2.3322729290865944</v>
      </c>
      <c r="F66" s="136">
        <f t="shared" si="4"/>
        <v>2.4116485006539903</v>
      </c>
      <c r="H66" s="132"/>
    </row>
    <row r="67" spans="1:8" ht="13.15" x14ac:dyDescent="0.4">
      <c r="A67" s="155">
        <f t="shared" si="3"/>
        <v>10</v>
      </c>
      <c r="B67" s="136">
        <f t="shared" si="4"/>
        <v>1.9173033982189176</v>
      </c>
      <c r="C67" s="136">
        <f t="shared" si="4"/>
        <v>2.0794976453191101</v>
      </c>
      <c r="D67" s="136">
        <f t="shared" si="4"/>
        <v>2.3031884197519523</v>
      </c>
      <c r="E67" s="136">
        <f t="shared" si="4"/>
        <v>2.5171573114323689</v>
      </c>
      <c r="F67" s="136">
        <f t="shared" si="4"/>
        <v>2.7523414992571356</v>
      </c>
      <c r="H67" s="132"/>
    </row>
    <row r="68" spans="1:8" ht="13.15" x14ac:dyDescent="0.4">
      <c r="A68" s="155">
        <f t="shared" si="3"/>
        <v>15</v>
      </c>
      <c r="B68" s="136">
        <f t="shared" si="4"/>
        <v>1.8363727263703882</v>
      </c>
      <c r="C68" s="136">
        <f t="shared" si="4"/>
        <v>2.0312700031543307</v>
      </c>
      <c r="D68" s="136">
        <f t="shared" si="4"/>
        <v>2.3721456322979693</v>
      </c>
      <c r="E68" s="136">
        <f t="shared" si="4"/>
        <v>2.7773112778651017</v>
      </c>
      <c r="F68" s="136">
        <f t="shared" si="4"/>
        <v>3.3081887634961666</v>
      </c>
      <c r="H68" s="132"/>
    </row>
    <row r="69" spans="1:8" ht="13.15" x14ac:dyDescent="0.4">
      <c r="A69" s="156">
        <f t="shared" si="3"/>
        <v>20</v>
      </c>
      <c r="B69" s="136">
        <f t="shared" si="4"/>
        <v>1.7811683658912472</v>
      </c>
      <c r="C69" s="136">
        <f t="shared" si="4"/>
        <v>1.9931424163738749</v>
      </c>
      <c r="D69" s="136">
        <f t="shared" si="4"/>
        <v>2.439919873390699</v>
      </c>
      <c r="E69" s="136">
        <f t="shared" si="4"/>
        <v>3.0842017340352208</v>
      </c>
      <c r="F69" s="136">
        <f t="shared" si="4"/>
        <v>4.0833252231805535</v>
      </c>
      <c r="H69" s="132"/>
    </row>
    <row r="70" spans="1:8" ht="13.15" x14ac:dyDescent="0.4">
      <c r="A70" s="156">
        <f t="shared" si="3"/>
        <v>25</v>
      </c>
      <c r="B70" s="136">
        <f t="shared" si="4"/>
        <v>1.7455262801170135</v>
      </c>
      <c r="C70" s="136">
        <f t="shared" si="4"/>
        <v>1.9655370774893581</v>
      </c>
      <c r="D70" s="136">
        <f t="shared" si="4"/>
        <v>2.5008561832956868</v>
      </c>
      <c r="E70" s="136">
        <f t="shared" si="4"/>
        <v>3.4201118732482176</v>
      </c>
      <c r="F70" s="136">
        <f t="shared" si="4"/>
        <v>5.1016474449152103</v>
      </c>
    </row>
    <row r="71" spans="1:8" ht="13.15" x14ac:dyDescent="0.4">
      <c r="A71" s="156">
        <f t="shared" si="3"/>
        <v>30</v>
      </c>
      <c r="B71" s="136">
        <f t="shared" si="4"/>
        <v>1.7230194151539735</v>
      </c>
      <c r="C71" s="136">
        <f t="shared" si="4"/>
        <v>1.9465076056187838</v>
      </c>
      <c r="D71" s="136">
        <f t="shared" si="4"/>
        <v>2.5529358892176002</v>
      </c>
      <c r="E71" s="136">
        <f t="shared" si="4"/>
        <v>3.7740409524509539</v>
      </c>
      <c r="F71" s="136">
        <f t="shared" si="4"/>
        <v>6.4046311141863441</v>
      </c>
    </row>
    <row r="73" spans="1:8" ht="13.15" x14ac:dyDescent="0.4">
      <c r="B73" s="184" t="s">
        <v>129</v>
      </c>
      <c r="C73" s="184" t="s">
        <v>144</v>
      </c>
      <c r="D73" s="184" t="s">
        <v>124</v>
      </c>
      <c r="E73" s="185" t="s">
        <v>125</v>
      </c>
      <c r="F73" s="185" t="s">
        <v>131</v>
      </c>
    </row>
    <row r="74" spans="1:8" x14ac:dyDescent="0.35">
      <c r="B74" s="139" t="str">
        <f>Scenarios!B54</f>
        <v>Snowball Scenario</v>
      </c>
      <c r="C74" s="154">
        <f>Scenarios!C56</f>
        <v>0.15</v>
      </c>
      <c r="D74" s="157">
        <f>Scenarios!C55</f>
        <v>10</v>
      </c>
      <c r="E74" s="147">
        <f>INDEX(B$65:F$71, MATCH(D74, A$65:A$71, 0), MATCH(C74, B$64:F$64, 0))</f>
        <v>2.7523414992571356</v>
      </c>
      <c r="F74" s="154">
        <f>Scenarios!C58</f>
        <v>0.05</v>
      </c>
    </row>
    <row r="75" spans="1:8" x14ac:dyDescent="0.35">
      <c r="B75" s="139" t="str">
        <f>Scenarios!B36</f>
        <v>Optimistic</v>
      </c>
      <c r="C75" s="154">
        <f>Scenarios!C38</f>
        <v>0.1</v>
      </c>
      <c r="D75" s="157">
        <f>Scenarios!C37</f>
        <v>5</v>
      </c>
      <c r="E75" s="147">
        <f>INDEX(B$65:F$71, MATCH(D75, A$65:A$71, 0), MATCH(C75, B$64:F$64, 0))</f>
        <v>2.3322729290865944</v>
      </c>
      <c r="F75" s="154">
        <f>Scenarios!C40*(1-F$74-F$78)</f>
        <v>0.21249999999999999</v>
      </c>
      <c r="H75" s="132"/>
    </row>
    <row r="76" spans="1:8" x14ac:dyDescent="0.35">
      <c r="B76" s="139" t="str">
        <f>Scenarios!B24</f>
        <v>Base</v>
      </c>
      <c r="C76" s="154">
        <f>Scenarios!C26</f>
        <v>0.04</v>
      </c>
      <c r="D76" s="157">
        <f>Scenarios!C25</f>
        <v>5</v>
      </c>
      <c r="E76" s="147">
        <f>INDEX(B$65:F$71, MATCH(D76, A$65:A$71, 0), MATCH(C76, B$64:F$64, 0))</f>
        <v>2.2453376561805194</v>
      </c>
      <c r="F76" s="154">
        <f>Scenarios!C28*(1-F$74-F$78)</f>
        <v>0.51</v>
      </c>
      <c r="H76" s="132"/>
    </row>
    <row r="77" spans="1:8" x14ac:dyDescent="0.35">
      <c r="B77" s="139" t="str">
        <f>Scenarios!B30</f>
        <v>Pessimistic</v>
      </c>
      <c r="C77" s="154">
        <f>Scenarios!C32</f>
        <v>-0.05</v>
      </c>
      <c r="D77" s="157">
        <f>Scenarios!C31</f>
        <v>5</v>
      </c>
      <c r="E77" s="147">
        <f>INDEX(B$65:F$71, MATCH(D77, A$65:A$71, 0), MATCH(C77, B$64:F$64, 0))</f>
        <v>2.1297423255979249</v>
      </c>
      <c r="F77" s="154">
        <f>Scenarios!C34*(1-F$74-F$78)</f>
        <v>0.1275</v>
      </c>
      <c r="H77" s="132"/>
    </row>
    <row r="78" spans="1:8" x14ac:dyDescent="0.35">
      <c r="B78" s="139" t="str">
        <f>Scenarios!B48</f>
        <v>Devil's advocate</v>
      </c>
      <c r="C78" s="154">
        <f>Scenarios!C50</f>
        <v>-0.15</v>
      </c>
      <c r="D78" s="157">
        <f>Scenarios!C49</f>
        <v>10</v>
      </c>
      <c r="E78" s="147">
        <f>INDEX(B$65:F$71, MATCH(D78, A$65:A$71, 0), MATCH(C78, B$64:F$64, 0))</f>
        <v>1.9173033982189176</v>
      </c>
      <c r="F78" s="154">
        <f>Scenarios!C52</f>
        <v>0.1</v>
      </c>
    </row>
    <row r="79" spans="1:8" x14ac:dyDescent="0.35">
      <c r="B79" s="168"/>
      <c r="C79" s="168"/>
      <c r="D79" s="168"/>
      <c r="E79" s="168"/>
      <c r="F79" s="169"/>
    </row>
    <row r="80" spans="1:8" x14ac:dyDescent="0.35">
      <c r="B80" s="168" t="s">
        <v>362</v>
      </c>
      <c r="C80" s="168" t="s">
        <v>117</v>
      </c>
    </row>
    <row r="81" spans="3:3" x14ac:dyDescent="0.35">
      <c r="C81" s="168" t="s">
        <v>116</v>
      </c>
    </row>
    <row r="82" spans="3:3" x14ac:dyDescent="0.35">
      <c r="C82" s="168" t="s">
        <v>115</v>
      </c>
    </row>
    <row r="92" spans="3:3" x14ac:dyDescent="0.35">
      <c r="C92" s="127"/>
    </row>
    <row r="93" spans="3:3" x14ac:dyDescent="0.35">
      <c r="C93" s="127"/>
    </row>
    <row r="94" spans="3:3" x14ac:dyDescent="0.35">
      <c r="C94" s="127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tabSelected="1" topLeftCell="A13" zoomScale="75" zoomScaleNormal="100" workbookViewId="0">
      <selection activeCell="B55" sqref="B55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8" t="s">
        <v>343</v>
      </c>
      <c r="I2" s="299"/>
    </row>
    <row r="3" spans="2:9" ht="13.15" x14ac:dyDescent="0.4">
      <c r="B3" s="172" t="s">
        <v>160</v>
      </c>
      <c r="H3" s="297">
        <v>0</v>
      </c>
      <c r="I3" s="283">
        <f>-Market_Price</f>
        <v>-2.2999999999999998</v>
      </c>
    </row>
    <row r="4" spans="2:9" x14ac:dyDescent="0.35">
      <c r="B4" s="164" t="s">
        <v>158</v>
      </c>
      <c r="C4" s="132">
        <v>3</v>
      </c>
      <c r="D4" s="132"/>
      <c r="E4" s="168" t="s">
        <v>162</v>
      </c>
      <c r="F4" s="168"/>
      <c r="H4" s="297">
        <v>1</v>
      </c>
      <c r="I4" s="283">
        <f t="shared" ref="I4:I13" si="0">IF(ROW()-3 &lt; $C$76, $C$77, IF(ROW()-3 = $C$76, $C$77 + $C$60, ""))</f>
        <v>0.1178</v>
      </c>
    </row>
    <row r="5" spans="2:9" x14ac:dyDescent="0.35">
      <c r="H5" s="297">
        <v>2</v>
      </c>
      <c r="I5" s="283">
        <f t="shared" si="0"/>
        <v>0.1178</v>
      </c>
    </row>
    <row r="6" spans="2:9" ht="13.15" x14ac:dyDescent="0.4">
      <c r="B6" s="172" t="s">
        <v>106</v>
      </c>
      <c r="C6" s="118">
        <f>Valuation_Model!C3</f>
        <v>1000</v>
      </c>
      <c r="E6" s="111" t="s">
        <v>313</v>
      </c>
      <c r="F6" s="111"/>
      <c r="H6" s="297">
        <v>3</v>
      </c>
      <c r="I6" s="283">
        <f t="shared" si="0"/>
        <v>2.35941976338145</v>
      </c>
    </row>
    <row r="7" spans="2:9" ht="12.75" customHeight="1" x14ac:dyDescent="0.35">
      <c r="B7" s="111" t="s">
        <v>307</v>
      </c>
      <c r="C7" s="126">
        <f>Normalized_FCF!G8</f>
        <v>105154</v>
      </c>
      <c r="D7" t="str">
        <f>Reporting_currency</f>
        <v>CNY</v>
      </c>
      <c r="E7" s="315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5"/>
      <c r="H7" s="297">
        <v>4</v>
      </c>
      <c r="I7" s="283" t="str">
        <f t="shared" si="0"/>
        <v/>
      </c>
    </row>
    <row r="8" spans="2:9" x14ac:dyDescent="0.35">
      <c r="B8" s="111" t="s">
        <v>71</v>
      </c>
      <c r="C8" s="126">
        <f>Normalized_FCF!G19</f>
        <v>151970</v>
      </c>
      <c r="D8" t="str">
        <f>Reporting_currency</f>
        <v>CNY</v>
      </c>
      <c r="E8" s="315"/>
      <c r="F8" s="315"/>
      <c r="H8" s="297">
        <v>5</v>
      </c>
      <c r="I8" s="283" t="str">
        <f t="shared" si="0"/>
        <v/>
      </c>
    </row>
    <row r="9" spans="2:9" x14ac:dyDescent="0.35">
      <c r="B9" s="111" t="s">
        <v>62</v>
      </c>
      <c r="C9" s="216">
        <f>Normalized_FCF!C19</f>
        <v>96463.823120077301</v>
      </c>
      <c r="D9" t="str">
        <f>Reporting_currency</f>
        <v>CNY</v>
      </c>
      <c r="E9" s="315"/>
      <c r="F9" s="315"/>
      <c r="H9" s="297">
        <v>6</v>
      </c>
      <c r="I9" s="283" t="str">
        <f t="shared" si="0"/>
        <v/>
      </c>
    </row>
    <row r="10" spans="2:9" x14ac:dyDescent="0.35">
      <c r="E10" s="315"/>
      <c r="F10" s="315"/>
      <c r="H10" s="297">
        <v>7</v>
      </c>
      <c r="I10" s="283" t="str">
        <f t="shared" si="0"/>
        <v/>
      </c>
    </row>
    <row r="11" spans="2:9" ht="13.15" x14ac:dyDescent="0.4">
      <c r="B11" s="172" t="s">
        <v>310</v>
      </c>
      <c r="E11" s="315"/>
      <c r="F11" s="315"/>
      <c r="H11" s="297">
        <v>8</v>
      </c>
      <c r="I11" s="283" t="str">
        <f t="shared" si="0"/>
        <v/>
      </c>
    </row>
    <row r="12" spans="2:9" x14ac:dyDescent="0.35">
      <c r="B12" s="130" t="s">
        <v>156</v>
      </c>
      <c r="C12" s="171">
        <f ca="1">(Normalized_FCF!G4/OFFSET(Normalized_FCF!G4, 0, $C$4))^(1/$C$4) - 1</f>
        <v>-1.7248638436905273E-2</v>
      </c>
      <c r="D12" s="171"/>
      <c r="E12" s="315"/>
      <c r="F12" s="315"/>
      <c r="H12" s="297">
        <v>9</v>
      </c>
      <c r="I12" s="283" t="str">
        <f t="shared" si="0"/>
        <v/>
      </c>
    </row>
    <row r="13" spans="2:9" x14ac:dyDescent="0.35">
      <c r="B13" s="160" t="s">
        <v>164</v>
      </c>
      <c r="C13" s="171">
        <f ca="1">(Normalized_FCF!G8/OFFSET(Normalized_FCF!G8, 0, $C$4))^(1/$C$4) - 1</f>
        <v>-0.283580450424601</v>
      </c>
      <c r="E13" s="315"/>
      <c r="F13" s="315"/>
      <c r="H13" s="297">
        <v>10</v>
      </c>
      <c r="I13" s="283" t="str">
        <f t="shared" si="0"/>
        <v/>
      </c>
    </row>
    <row r="14" spans="2:9" x14ac:dyDescent="0.35">
      <c r="B14" s="111" t="s">
        <v>71</v>
      </c>
      <c r="C14" s="171">
        <f ca="1">(Normalized_FCF!G19/OFFSET(Normalized_FCF!G19, 0, $C$4))^(1/$C$4) - 1</f>
        <v>-0.18767799077696001</v>
      </c>
      <c r="E14" s="315"/>
      <c r="F14" s="315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20" t="s">
        <v>163</v>
      </c>
    </row>
    <row r="18" spans="2:6" x14ac:dyDescent="0.35">
      <c r="B18" s="164" t="s">
        <v>145</v>
      </c>
      <c r="C18" s="162">
        <v>5</v>
      </c>
      <c r="E18" s="111"/>
      <c r="F18" s="111"/>
    </row>
    <row r="20" spans="2:6" ht="13.15" x14ac:dyDescent="0.4">
      <c r="B20" s="172" t="s">
        <v>351</v>
      </c>
    </row>
    <row r="21" spans="2:6" x14ac:dyDescent="0.35">
      <c r="B21" s="111" t="s">
        <v>311</v>
      </c>
      <c r="C21" s="173">
        <f>Market_Price</f>
        <v>2.2999999999999998</v>
      </c>
      <c r="D21" t="str">
        <f>Market_currency</f>
        <v>HKD</v>
      </c>
    </row>
    <row r="22" spans="2:6" x14ac:dyDescent="0.35">
      <c r="B22" s="111" t="s">
        <v>312</v>
      </c>
      <c r="C22" s="173">
        <f>Valuation_Model!C12</f>
        <v>2.191922234814335</v>
      </c>
      <c r="D22" t="str">
        <f>Market_currency</f>
        <v>HKD</v>
      </c>
    </row>
    <row r="24" spans="2:6" ht="13.15" x14ac:dyDescent="0.4">
      <c r="B24" s="172" t="s">
        <v>127</v>
      </c>
      <c r="E24" s="172" t="s">
        <v>161</v>
      </c>
      <c r="F24" s="172"/>
    </row>
    <row r="25" spans="2:6" x14ac:dyDescent="0.35">
      <c r="B25" s="164" t="s">
        <v>145</v>
      </c>
      <c r="C25" s="179">
        <f>C18</f>
        <v>5</v>
      </c>
      <c r="D25" s="176"/>
      <c r="E25" s="314"/>
      <c r="F25" s="314"/>
    </row>
    <row r="26" spans="2:6" x14ac:dyDescent="0.35">
      <c r="B26" s="130" t="s">
        <v>146</v>
      </c>
      <c r="C26" s="177">
        <v>0.04</v>
      </c>
      <c r="D26" s="177"/>
      <c r="E26" s="314"/>
      <c r="F26" s="314"/>
    </row>
    <row r="27" spans="2:6" x14ac:dyDescent="0.35">
      <c r="B27" s="111" t="s">
        <v>125</v>
      </c>
      <c r="C27" s="173">
        <f>Valuation_Model!E76</f>
        <v>2.2453376561805194</v>
      </c>
      <c r="D27" s="173" t="str">
        <f>Market_currency</f>
        <v>HKD</v>
      </c>
      <c r="E27" s="314"/>
      <c r="F27" s="314"/>
    </row>
    <row r="28" spans="2:6" x14ac:dyDescent="0.35">
      <c r="B28" s="111" t="s">
        <v>159</v>
      </c>
      <c r="C28" s="178">
        <v>0.6</v>
      </c>
      <c r="D28" s="178"/>
      <c r="E28" s="314"/>
      <c r="F28" s="314"/>
    </row>
    <row r="30" spans="2:6" ht="13.15" x14ac:dyDescent="0.4">
      <c r="B30" s="172" t="s">
        <v>128</v>
      </c>
      <c r="E30" s="172" t="s">
        <v>161</v>
      </c>
      <c r="F30" s="172"/>
    </row>
    <row r="31" spans="2:6" x14ac:dyDescent="0.35">
      <c r="B31" s="164" t="s">
        <v>145</v>
      </c>
      <c r="C31" s="179">
        <f>C18</f>
        <v>5</v>
      </c>
      <c r="D31" s="176"/>
      <c r="E31" s="314"/>
      <c r="F31" s="314"/>
    </row>
    <row r="32" spans="2:6" x14ac:dyDescent="0.35">
      <c r="B32" s="130" t="s">
        <v>146</v>
      </c>
      <c r="C32" s="177">
        <v>-0.05</v>
      </c>
      <c r="D32" s="177"/>
      <c r="E32" s="314"/>
      <c r="F32" s="314"/>
    </row>
    <row r="33" spans="2:6" x14ac:dyDescent="0.35">
      <c r="B33" s="111" t="s">
        <v>125</v>
      </c>
      <c r="C33" s="173">
        <f>Valuation_Model!E77</f>
        <v>2.1297423255979249</v>
      </c>
      <c r="D33" t="str">
        <f>Market_currency</f>
        <v>HKD</v>
      </c>
      <c r="E33" s="314"/>
      <c r="F33" s="314"/>
    </row>
    <row r="34" spans="2:6" x14ac:dyDescent="0.35">
      <c r="B34" s="111" t="s">
        <v>159</v>
      </c>
      <c r="C34" s="178">
        <v>0.15</v>
      </c>
      <c r="D34" s="178"/>
      <c r="E34" s="314"/>
      <c r="F34" s="314"/>
    </row>
    <row r="36" spans="2:6" ht="13.15" x14ac:dyDescent="0.4">
      <c r="B36" s="172" t="s">
        <v>126</v>
      </c>
      <c r="E36" s="172" t="s">
        <v>161</v>
      </c>
      <c r="F36" s="172"/>
    </row>
    <row r="37" spans="2:6" x14ac:dyDescent="0.35">
      <c r="B37" s="164" t="s">
        <v>145</v>
      </c>
      <c r="C37" s="179">
        <f>C18</f>
        <v>5</v>
      </c>
      <c r="D37" s="176"/>
      <c r="E37" s="314"/>
      <c r="F37" s="314"/>
    </row>
    <row r="38" spans="2:6" x14ac:dyDescent="0.35">
      <c r="B38" s="130" t="s">
        <v>146</v>
      </c>
      <c r="C38" s="177">
        <v>0.1</v>
      </c>
      <c r="D38" s="177"/>
      <c r="E38" s="314"/>
      <c r="F38" s="314"/>
    </row>
    <row r="39" spans="2:6" x14ac:dyDescent="0.35">
      <c r="B39" s="111" t="s">
        <v>125</v>
      </c>
      <c r="C39" s="173">
        <f>Valuation_Model!E75</f>
        <v>2.3322729290865944</v>
      </c>
      <c r="D39" t="str">
        <f>Market_currency</f>
        <v>HKD</v>
      </c>
      <c r="E39" s="314"/>
      <c r="F39" s="314"/>
    </row>
    <row r="40" spans="2:6" x14ac:dyDescent="0.35">
      <c r="B40" s="111" t="s">
        <v>159</v>
      </c>
      <c r="C40" s="180">
        <f>1-C28-C34</f>
        <v>0.25</v>
      </c>
      <c r="D40" s="178"/>
      <c r="E40" s="314"/>
      <c r="F40" s="314"/>
    </row>
    <row r="42" spans="2:6" ht="13.15" x14ac:dyDescent="0.4">
      <c r="B42" s="111" t="s">
        <v>132</v>
      </c>
      <c r="C42" s="167">
        <f>C27*C28+C33*C34+C39*C40</f>
        <v>2.2497321748196488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20" t="s">
        <v>163</v>
      </c>
    </row>
    <row r="46" spans="2:6" x14ac:dyDescent="0.35">
      <c r="B46" s="164" t="s">
        <v>145</v>
      </c>
      <c r="C46" s="162">
        <v>10</v>
      </c>
      <c r="E46" s="111"/>
      <c r="F46" s="111"/>
    </row>
    <row r="47" spans="2:6" ht="13.15" x14ac:dyDescent="0.4">
      <c r="B47" s="172"/>
      <c r="E47" s="172"/>
      <c r="F47" s="172"/>
    </row>
    <row r="48" spans="2:6" ht="13.15" x14ac:dyDescent="0.4">
      <c r="B48" s="172" t="s">
        <v>177</v>
      </c>
      <c r="E48" s="172" t="s">
        <v>161</v>
      </c>
      <c r="F48" s="172"/>
    </row>
    <row r="49" spans="2:6" ht="12.75" customHeight="1" x14ac:dyDescent="0.35">
      <c r="B49" s="164" t="s">
        <v>145</v>
      </c>
      <c r="C49" s="179">
        <f>C46</f>
        <v>10</v>
      </c>
      <c r="D49" s="176"/>
      <c r="E49" s="314"/>
      <c r="F49" s="314"/>
    </row>
    <row r="50" spans="2:6" x14ac:dyDescent="0.35">
      <c r="B50" s="130" t="s">
        <v>146</v>
      </c>
      <c r="C50" s="177">
        <v>-0.15</v>
      </c>
      <c r="D50" s="177"/>
      <c r="E50" s="314"/>
      <c r="F50" s="314"/>
    </row>
    <row r="51" spans="2:6" x14ac:dyDescent="0.35">
      <c r="B51" s="111" t="s">
        <v>125</v>
      </c>
      <c r="C51" s="173">
        <f>Valuation_Model!E78</f>
        <v>1.9173033982189176</v>
      </c>
      <c r="D51" t="str">
        <f>Market_currency</f>
        <v>HKD</v>
      </c>
      <c r="E51" s="314"/>
      <c r="F51" s="314"/>
    </row>
    <row r="52" spans="2:6" x14ac:dyDescent="0.35">
      <c r="B52" s="111" t="s">
        <v>159</v>
      </c>
      <c r="C52" s="178">
        <v>0.1</v>
      </c>
      <c r="D52" s="178"/>
      <c r="E52" s="314"/>
      <c r="F52" s="314"/>
    </row>
    <row r="54" spans="2:6" ht="13.15" x14ac:dyDescent="0.4">
      <c r="B54" s="172" t="s">
        <v>371</v>
      </c>
      <c r="E54" s="172" t="s">
        <v>161</v>
      </c>
      <c r="F54" s="172"/>
    </row>
    <row r="55" spans="2:6" x14ac:dyDescent="0.35">
      <c r="B55" s="164" t="s">
        <v>145</v>
      </c>
      <c r="C55" s="179">
        <f>C46</f>
        <v>10</v>
      </c>
      <c r="D55" s="176"/>
      <c r="E55" s="314"/>
      <c r="F55" s="314"/>
    </row>
    <row r="56" spans="2:6" x14ac:dyDescent="0.35">
      <c r="B56" s="130" t="s">
        <v>146</v>
      </c>
      <c r="C56" s="177">
        <v>0.15</v>
      </c>
      <c r="D56" s="177"/>
      <c r="E56" s="314"/>
      <c r="F56" s="314"/>
    </row>
    <row r="57" spans="2:6" x14ac:dyDescent="0.35">
      <c r="B57" s="111" t="s">
        <v>125</v>
      </c>
      <c r="C57" s="173">
        <f>Valuation_Model!E74</f>
        <v>2.7523414992571356</v>
      </c>
      <c r="D57" t="str">
        <f>Market_currency</f>
        <v>HKD</v>
      </c>
      <c r="E57" s="314"/>
      <c r="F57" s="314"/>
    </row>
    <row r="58" spans="2:6" x14ac:dyDescent="0.35">
      <c r="B58" s="111" t="s">
        <v>159</v>
      </c>
      <c r="C58" s="178">
        <v>0.05</v>
      </c>
      <c r="D58" s="178"/>
      <c r="E58" s="314"/>
      <c r="F58" s="314"/>
    </row>
    <row r="60" spans="2:6" ht="13.15" x14ac:dyDescent="0.4">
      <c r="B60" s="111" t="s">
        <v>132</v>
      </c>
      <c r="C60" s="167">
        <f>C51*C52+C57*C58+C42*(1-C52-C58)</f>
        <v>2.2416197633814501</v>
      </c>
      <c r="D60" t="str">
        <f>Market_currency</f>
        <v>HKD</v>
      </c>
      <c r="E60" s="111" t="s">
        <v>344</v>
      </c>
      <c r="F60" s="294">
        <v>3</v>
      </c>
    </row>
    <row r="62" spans="2:6" ht="13.9" x14ac:dyDescent="0.45">
      <c r="B62" s="37" t="s">
        <v>330</v>
      </c>
      <c r="C62" s="38"/>
      <c r="D62" s="38"/>
      <c r="E62" s="38"/>
      <c r="F62" s="38"/>
    </row>
    <row r="63" spans="2:6" ht="13.15" x14ac:dyDescent="0.4">
      <c r="B63" s="120" t="s">
        <v>352</v>
      </c>
      <c r="E63" s="304" t="s">
        <v>363</v>
      </c>
    </row>
    <row r="64" spans="2:6" x14ac:dyDescent="0.35">
      <c r="B64" s="164" t="s">
        <v>145</v>
      </c>
      <c r="C64" s="179">
        <v>10</v>
      </c>
      <c r="D64" s="162"/>
      <c r="E64" s="303" t="s">
        <v>364</v>
      </c>
    </row>
    <row r="65" spans="2:6" x14ac:dyDescent="0.35">
      <c r="B65" s="130" t="s">
        <v>146</v>
      </c>
      <c r="C65" s="163">
        <v>1.8222579123958898E-2</v>
      </c>
      <c r="D65" s="163"/>
      <c r="E65" s="303" t="s">
        <v>365</v>
      </c>
    </row>
    <row r="66" spans="2:6" x14ac:dyDescent="0.35">
      <c r="B66" s="111" t="s">
        <v>114</v>
      </c>
      <c r="C66" s="173">
        <f>Valuation_Model!C18</f>
        <v>2.2399508804161896</v>
      </c>
      <c r="D66" s="173" t="str">
        <f>Market_currency</f>
        <v>HKD</v>
      </c>
      <c r="E66" s="303" t="s">
        <v>366</v>
      </c>
    </row>
    <row r="68" spans="2:6" ht="13.15" x14ac:dyDescent="0.4">
      <c r="B68" s="120" t="s">
        <v>339</v>
      </c>
      <c r="E68" s="304" t="s">
        <v>367</v>
      </c>
    </row>
    <row r="69" spans="2:6" x14ac:dyDescent="0.35">
      <c r="B69" s="111" t="s">
        <v>353</v>
      </c>
      <c r="C69" s="293" t="str">
        <f>IF(C60&lt;C22,"Y","N")</f>
        <v>N</v>
      </c>
      <c r="E69" s="146"/>
    </row>
    <row r="70" spans="2:6" x14ac:dyDescent="0.35">
      <c r="B70" s="111" t="s">
        <v>341</v>
      </c>
      <c r="C70" s="293" t="str">
        <f>IF(C69="Y","N",IF(C65&gt;8%,"N","Y"))</f>
        <v>Y</v>
      </c>
      <c r="E70" s="303" t="s">
        <v>342</v>
      </c>
    </row>
    <row r="71" spans="2:6" x14ac:dyDescent="0.35">
      <c r="B71" s="111" t="s">
        <v>340</v>
      </c>
      <c r="C71" s="293" t="str">
        <f>IF(C65&gt;8%,"Y","N")</f>
        <v>N</v>
      </c>
      <c r="E71" s="303"/>
    </row>
    <row r="72" spans="2:6" x14ac:dyDescent="0.35">
      <c r="B72" s="111" t="s">
        <v>331</v>
      </c>
      <c r="C72" s="292" t="str">
        <f>IF(E72&gt;50%,"Y","N")</f>
        <v>Y</v>
      </c>
      <c r="E72" s="146" t="str">
        <f>"Non-FCF Value is "&amp;ROUND(BS!D83/C60*100,0)&amp;"% of Expected Equity Value"</f>
        <v>Non-FCF Value is 64% of Expected Equity Value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20" t="s">
        <v>137</v>
      </c>
      <c r="E75" s="269"/>
      <c r="F75" s="269"/>
    </row>
    <row r="76" spans="2:6" x14ac:dyDescent="0.35">
      <c r="B76" s="296" t="s">
        <v>345</v>
      </c>
      <c r="C76" s="295">
        <f>F60</f>
        <v>3</v>
      </c>
      <c r="D76" s="146"/>
    </row>
    <row r="77" spans="2:6" x14ac:dyDescent="0.35">
      <c r="B77" s="111" t="s">
        <v>123</v>
      </c>
      <c r="C77" s="186">
        <f>Normalized_FCF!C89</f>
        <v>0.1178</v>
      </c>
      <c r="D77" t="str">
        <f>Market_currency</f>
        <v>HKD</v>
      </c>
      <c r="E77" s="111"/>
      <c r="F77" s="111"/>
    </row>
    <row r="79" spans="2:6" ht="13.15" x14ac:dyDescent="0.4">
      <c r="B79" s="120" t="s">
        <v>349</v>
      </c>
    </row>
    <row r="80" spans="2:6" x14ac:dyDescent="0.35">
      <c r="B80" s="160" t="s">
        <v>347</v>
      </c>
      <c r="C80" s="180">
        <f>Thesis!C115</f>
        <v>0.2</v>
      </c>
    </row>
    <row r="81" spans="2:6" x14ac:dyDescent="0.35">
      <c r="B81" s="111" t="s">
        <v>133</v>
      </c>
      <c r="C81" s="128">
        <f>PV(C80, C76, -C77, 0)</f>
        <v>0.24814351851851849</v>
      </c>
      <c r="D81" s="128"/>
      <c r="E81" s="111"/>
      <c r="F81" s="111"/>
    </row>
    <row r="82" spans="2:6" x14ac:dyDescent="0.35">
      <c r="B82" s="111" t="s">
        <v>134</v>
      </c>
      <c r="C82" s="128">
        <f>C60/(1+C80)^C76</f>
        <v>1.297233659364265</v>
      </c>
      <c r="D82" s="128"/>
    </row>
    <row r="83" spans="2:6" ht="13.15" x14ac:dyDescent="0.4">
      <c r="B83" s="122" t="s">
        <v>113</v>
      </c>
      <c r="C83" s="123">
        <f>C81+C82</f>
        <v>1.5453771778827836</v>
      </c>
      <c r="D83" t="str">
        <f>Market_currency</f>
        <v>HKD</v>
      </c>
      <c r="E83" s="158" t="s">
        <v>138</v>
      </c>
      <c r="F83" s="281">
        <f>(C83/C60-1)</f>
        <v>-0.31059798672027894</v>
      </c>
    </row>
    <row r="84" spans="2:6" x14ac:dyDescent="0.35">
      <c r="E84" s="132"/>
    </row>
    <row r="85" spans="2:6" ht="13.15" x14ac:dyDescent="0.4">
      <c r="B85" s="120" t="s">
        <v>350</v>
      </c>
    </row>
    <row r="86" spans="2:6" x14ac:dyDescent="0.35">
      <c r="B86" s="160" t="s">
        <v>348</v>
      </c>
      <c r="C86" s="286">
        <f>Market_Price</f>
        <v>2.2999999999999998</v>
      </c>
      <c r="D86" t="str">
        <f>Market_currency</f>
        <v>HKD</v>
      </c>
    </row>
    <row r="87" spans="2:6" ht="13.15" x14ac:dyDescent="0.4">
      <c r="B87" s="111" t="s">
        <v>346</v>
      </c>
      <c r="C87" s="284">
        <f ca="1">IRR(OFFSET($I$3, 0, 0, $C$76 + 1, 1))</f>
        <v>4.3110984690918341E-2</v>
      </c>
    </row>
    <row r="88" spans="2:6" x14ac:dyDescent="0.35">
      <c r="B88" s="111"/>
    </row>
    <row r="90" spans="2:6" x14ac:dyDescent="0.35">
      <c r="C90" s="129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2025-03-18T05:55:26Z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