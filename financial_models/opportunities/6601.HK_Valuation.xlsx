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6C97B3-E56F-406B-9DE9-50DE6BE6592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<sst xmlns="http://schemas.openxmlformats.org/spreadsheetml/2006/main" count="685" uniqueCount="466">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</sst>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3.01</v>
      </c>
      <c r="D12" s="50"/>
      <c r="E12" s="48"/>
    </row>
    <row r="13" spans="1:10">
      <c r="B13" s="1" t="s">
        <v>416</v>
      </c>
      <c r="C13" s="48" t="s">
        <v>396</v>
      </c>
      <c r="D13" s="48"/>
      <c r="E13" s="5"/>
    </row>
    <row r="14" spans="1:10">
      <c r="B14" s="4" t="s">
        <v>420</v>
      </c>
      <c r="C14" s="35">
        <f>Thesis!C12*Common_Shares/1000000</f>
        <v>4013.3338349999995</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1.09144815</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2.8317160451156438</v>
      </c>
      <c r="D26" s="1" t="s">
        <v>399</v>
      </c>
      <c r="E26" s="301">
        <f ca="1">Scenarios!C87</f>
        <v>1.7738173660958978E-2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1.2927943625860749</v>
      </c>
      <c r="D29" s="310" t="str">
        <f>D149</f>
        <v/>
      </c>
      <c r="E29" s="306" t="s">
        <v>424</v>
      </c>
      <c r="F29" s="302">
        <v>0.3674</v>
      </c>
    </row>
    <row r="30" spans="2:6">
      <c r="B30" s="1" t="s">
        <v>426</v>
      </c>
      <c r="C30" s="311">
        <f>C157</f>
        <v>1.7986483095523265</v>
      </c>
      <c r="D30" s="311" t="str">
        <f>D157</f>
        <v/>
      </c>
      <c r="E30" s="307" t="s">
        <v>437</v>
      </c>
      <c r="F30" s="312">
        <v>0.21740000000000001</v>
      </c>
    </row>
    <row r="31" spans="2:6">
      <c r="B31" s="1" t="s">
        <v>427</v>
      </c>
      <c r="C31" s="311">
        <f>C165</f>
        <v>2.5701015854844238</v>
      </c>
      <c r="D31" s="311" t="str">
        <f>D165</f>
        <v/>
      </c>
      <c r="E31" s="307" t="s">
        <v>436</v>
      </c>
      <c r="F31" s="312">
        <v>7.4999999999999997E-2</v>
      </c>
    </row>
    <row r="32" spans="2:6">
      <c r="B32" s="1" t="s">
        <v>428</v>
      </c>
      <c r="C32" s="311">
        <f>C173</f>
        <v>2.299338097867996</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113776.93034265516</v>
      </c>
      <c r="D41" s="1" t="str">
        <f>Reporting_currency</f>
        <v>CNY</v>
      </c>
    </row>
    <row r="42" spans="1:6">
      <c r="B42" s="47"/>
      <c r="C42" s="76"/>
    </row>
    <row r="43" spans="1:6" ht="24.5" customHeight="1">
      <c r="B43" s="357" t="s">
        <v>233</v>
      </c>
      <c r="C43" s="357"/>
      <c r="D43" s="357"/>
      <c r="E43" s="357"/>
      <c r="F43" s="357"/>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25020.946225997162</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23140.946225997162</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-34229.469142163085</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133758.94622599718</v>
      </c>
      <c r="D67" s="1" t="str">
        <f>Reporting_currency</f>
        <v>CNY</v>
      </c>
    </row>
    <row r="68" spans="1:6">
      <c r="B68" s="47" t="s">
        <v>248</v>
      </c>
      <c r="C68" s="349">
        <f>Normalized_FCF!C19</f>
        <v>102688.40742648926</v>
      </c>
      <c r="D68" s="1" t="str">
        <f>Reporting_currency</f>
        <v>CNY</v>
      </c>
    </row>
    <row r="69" spans="1:6">
      <c r="B69" s="227" t="s">
        <v>390</v>
      </c>
      <c r="C69" s="92">
        <f>Normalized_FCF!C125</f>
        <v>2.7926675656695769E-2</v>
      </c>
      <c r="F69" s="314"/>
    </row>
    <row r="70" spans="1:6">
      <c r="B70" s="227" t="s">
        <v>308</v>
      </c>
      <c r="C70" s="92">
        <f>Normalized_FCF!C93</f>
        <v>3.7135581256694625E-2</v>
      </c>
      <c r="E70" s="47" t="s">
        <v>448</v>
      </c>
      <c r="F70" s="315">
        <f>Normalized_FCF!C92</f>
        <v>1.4513564722149837</v>
      </c>
    </row>
    <row r="72" spans="1:6">
      <c r="B72" s="210" t="s">
        <v>451</v>
      </c>
      <c r="C72" s="323" t="s">
        <v>453</v>
      </c>
      <c r="D72" s="323" t="s">
        <v>454</v>
      </c>
    </row>
    <row r="73" spans="1:6">
      <c r="B73" s="47" t="s">
        <v>452</v>
      </c>
      <c r="C73" s="92">
        <f>Normalized_FCF!C120</f>
        <v>4.3344545273672035E-2</v>
      </c>
      <c r="D73" s="92">
        <f>Normalized_FCF!G120</f>
        <v>5.7308932567351659E-2</v>
      </c>
    </row>
    <row r="74" spans="1:6">
      <c r="B74" s="259" t="str">
        <f>Normalized_FCF!B117</f>
        <v>Pre-tax Profit/Sales</v>
      </c>
      <c r="C74" s="322">
        <f>Normalized_FCF!C117</f>
        <v>8.413063958710644E-2</v>
      </c>
      <c r="D74" s="322">
        <f>Normalized_FCF!G117</f>
        <v>9.9460551915599063E-2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1.1207905830220566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33999</v>
      </c>
      <c r="D102" s="1" t="str">
        <f>Reporting_currency</f>
        <v>CNY</v>
      </c>
    </row>
    <row r="103" spans="2:6">
      <c r="B103" s="47" t="s">
        <v>281</v>
      </c>
      <c r="C103" s="223">
        <f>C102*scaling_factor*Exchange_Rate/Common_Shares</f>
        <v>2.7831105759999281E-2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1876287.8894680522</v>
      </c>
      <c r="D109" s="1" t="str">
        <f>Reporting_currency</f>
        <v>CNY</v>
      </c>
    </row>
    <row r="110" spans="2:6">
      <c r="B110" s="47" t="s">
        <v>282</v>
      </c>
      <c r="C110" s="223">
        <f>C109*scaling_factor*Exchange_Rate/Common_Shares</f>
        <v>1.5359030173826052</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0.18793924393508071</v>
      </c>
      <c r="D114" s="1" t="str">
        <f>Market_currency</f>
        <v>HKD</v>
      </c>
    </row>
    <row r="116" spans="1:6" ht="24.5" customHeight="1">
      <c r="B116" s="356" t="s">
        <v>366</v>
      </c>
      <c r="C116" s="356"/>
      <c r="D116" s="356"/>
      <c r="E116" s="356"/>
      <c r="F116" s="356"/>
    </row>
    <row r="118" spans="1:6">
      <c r="B118" s="47" t="s">
        <v>449</v>
      </c>
      <c r="C118" s="223">
        <f>IF(valuation_method="DCF",DCF!C12,DDM!C7)</f>
        <v>2.8168017385797435</v>
      </c>
      <c r="D118" s="1" t="str">
        <f>Market_currency</f>
        <v>HKD</v>
      </c>
    </row>
    <row r="119" spans="1:6">
      <c r="B119" s="296" t="s">
        <v>405</v>
      </c>
      <c r="C119" s="223">
        <f>BS!D47</f>
        <v>1.908602780679354</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2.8317160451156438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0.11177809958265081</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0.1852452972342413</v>
      </c>
    </row>
    <row r="148" spans="2:4">
      <c r="B148" s="212" t="str">
        <f>"+ PV(Equity Value realized at year "&amp;C141&amp;")"</f>
        <v>+ PV(Equity Value realized at year 3)</v>
      </c>
      <c r="C148" s="216">
        <f>Scenarios!C82</f>
        <v>1.1075490653518336</v>
      </c>
    </row>
    <row r="149" spans="2:4">
      <c r="B149" s="80" t="s">
        <v>260</v>
      </c>
      <c r="C149" s="215">
        <f>Scenarios!C83</f>
        <v>1.2927943625860749</v>
      </c>
      <c r="D149" s="300" t="str">
        <f>IF($D$11="","",C149*$E$25)</f>
        <v/>
      </c>
    </row>
    <row r="150" spans="2:4">
      <c r="B150" s="259" t="s">
        <v>416</v>
      </c>
      <c r="C150" s="298" t="str">
        <f>Market_currency</f>
        <v>HKD</v>
      </c>
      <c r="D150" s="298" t="str">
        <f>IF($D$11="","",D$13)</f>
        <v/>
      </c>
    </row>
    <row r="151" spans="2:4">
      <c r="B151" s="214" t="s">
        <v>262</v>
      </c>
      <c r="C151" s="92">
        <f>Scenarios!F83</f>
        <v>0.54345903968161513</v>
      </c>
    </row>
    <row r="153" spans="2:4">
      <c r="B153" s="210" t="s">
        <v>411</v>
      </c>
    </row>
    <row r="154" spans="2:4">
      <c r="B154" s="1" t="s">
        <v>410</v>
      </c>
      <c r="C154" s="297">
        <f>Scenarios!C90</f>
        <v>0.21740000000000001</v>
      </c>
    </row>
    <row r="155" spans="2:4">
      <c r="B155" s="212" t="str">
        <f>"PV("&amp;C141&amp;" yrs of Dividends)"</f>
        <v>PV(3 yrs of Dividends)</v>
      </c>
      <c r="C155" s="216">
        <f>Scenarios!C91</f>
        <v>0.22918990747432416</v>
      </c>
    </row>
    <row r="156" spans="2:4">
      <c r="B156" s="212" t="str">
        <f>"+ PV(Equity Value realized at year "&amp;C141&amp;")"</f>
        <v>+ PV(Equity Value realized at year 3)</v>
      </c>
      <c r="C156" s="216">
        <f>Scenarios!C92</f>
        <v>1.5694584020780022</v>
      </c>
    </row>
    <row r="157" spans="2:4">
      <c r="B157" s="80" t="s">
        <v>260</v>
      </c>
      <c r="C157" s="215">
        <f>Scenarios!C93</f>
        <v>1.7986483095523265</v>
      </c>
      <c r="D157" s="300" t="str">
        <f>IF($D$11="","",C157*$E$25)</f>
        <v/>
      </c>
    </row>
    <row r="158" spans="2:4">
      <c r="B158" s="259" t="s">
        <v>416</v>
      </c>
      <c r="C158" s="298" t="str">
        <f>Market_currency</f>
        <v>HKD</v>
      </c>
      <c r="D158" s="298" t="str">
        <f>IF($D$11="","",D$13)</f>
        <v/>
      </c>
    </row>
    <row r="159" spans="2:4">
      <c r="B159" s="214" t="s">
        <v>262</v>
      </c>
      <c r="C159" s="92">
        <f>Scenarios!F93</f>
        <v>0.36482038421374563</v>
      </c>
    </row>
    <row r="161" spans="2:4">
      <c r="B161" s="210" t="s">
        <v>400</v>
      </c>
    </row>
    <row r="162" spans="2:4">
      <c r="B162" s="1" t="s">
        <v>409</v>
      </c>
      <c r="C162" s="92">
        <f>Scenarios!C96</f>
        <v>7.4999999999999997E-2</v>
      </c>
    </row>
    <row r="163" spans="2:4">
      <c r="B163" s="212" t="str">
        <f>"PV("&amp;C141&amp;" yrs of Dividends)"</f>
        <v>PV(3 yrs of Dividends)</v>
      </c>
      <c r="C163" s="216">
        <f>Scenarios!C97</f>
        <v>0.29068182511865459</v>
      </c>
    </row>
    <row r="164" spans="2:4">
      <c r="B164" s="212" t="str">
        <f>"+ PV(Equity Value realized at year "&amp;C141&amp;")"</f>
        <v>+ PV(Equity Value realized at year 3)</v>
      </c>
      <c r="C164" s="216">
        <f>Scenarios!C98</f>
        <v>2.2794197603657693</v>
      </c>
    </row>
    <row r="165" spans="2:4">
      <c r="B165" s="80" t="s">
        <v>401</v>
      </c>
      <c r="C165" s="215">
        <f>Scenarios!C99</f>
        <v>2.5701015854844238</v>
      </c>
      <c r="D165" s="300" t="str">
        <f>IF($D$11="","",C165*$E$25)</f>
        <v/>
      </c>
    </row>
    <row r="166" spans="2:4">
      <c r="B166" s="259" t="s">
        <v>416</v>
      </c>
      <c r="C166" s="298" t="str">
        <f>Market_currency</f>
        <v>HKD</v>
      </c>
      <c r="D166" s="298" t="str">
        <f>IF($D$11="","",D$13)</f>
        <v/>
      </c>
    </row>
    <row r="167" spans="2:4">
      <c r="B167" s="214" t="s">
        <v>262</v>
      </c>
      <c r="C167" s="92">
        <f>Scenarios!F99</f>
        <v>9.2387250509270546E-2</v>
      </c>
    </row>
    <row r="169" spans="2:4">
      <c r="B169" s="210" t="s">
        <v>432</v>
      </c>
    </row>
    <row r="170" spans="2:4">
      <c r="B170" s="1" t="s">
        <v>423</v>
      </c>
      <c r="C170" s="92">
        <f>F32</f>
        <v>0.1174</v>
      </c>
    </row>
    <row r="171" spans="2:4">
      <c r="B171" s="212" t="str">
        <f>"PV("&amp;C141&amp;" yrs of Dividends)"</f>
        <v>PV(3 yrs of Dividends)</v>
      </c>
      <c r="C171" s="216">
        <f>Scenarios!C103</f>
        <v>0.26967619246458496</v>
      </c>
    </row>
    <row r="172" spans="2:4">
      <c r="B172" s="212" t="str">
        <f>"+ PV(Equity Value realized at year "&amp;C141&amp;")"</f>
        <v>+ PV(Equity Value realized at year 3)</v>
      </c>
      <c r="C172" s="216">
        <f>Scenarios!C104</f>
        <v>2.0296619054034113</v>
      </c>
    </row>
    <row r="173" spans="2:4">
      <c r="B173" s="80" t="s">
        <v>401</v>
      </c>
      <c r="C173" s="215">
        <f>Scenarios!C105</f>
        <v>2.299338097867996</v>
      </c>
      <c r="D173" s="300" t="str">
        <f>IF($D$11="","",C173*$E$25)</f>
        <v/>
      </c>
    </row>
    <row r="174" spans="2:4">
      <c r="B174" s="259" t="s">
        <v>416</v>
      </c>
      <c r="C174" s="298" t="str">
        <f>Market_currency</f>
        <v>HKD</v>
      </c>
      <c r="D174" s="298" t="str">
        <f>IF($D$11="","",D$13)</f>
        <v/>
      </c>
    </row>
    <row r="175" spans="2:4">
      <c r="B175" s="214" t="s">
        <v>262</v>
      </c>
      <c r="C175" s="92">
        <f>Scenarios!F105</f>
        <v>0.1921795538548603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0.11177809958265081</v>
      </c>
      <c r="D25" s="39">
        <f>(0.064+0.041)/Exchange_Rate</f>
        <v>9.6202462755560145E-2</v>
      </c>
      <c r="E25" s="39">
        <f>(0.022+0.0168)/Exchange_Rate</f>
        <v>3.5549100523006985E-2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0.11177809958265081</v>
      </c>
      <c r="D65" s="73">
        <f t="shared" ref="D65:M65" si="33">IF(D$4="","",D25)</f>
        <v>9.6202462755560145E-2</v>
      </c>
      <c r="E65" s="73">
        <f t="shared" si="33"/>
        <v>3.5549100523006985E-2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2.5871198019273498</v>
      </c>
      <c r="D47" s="147">
        <f>D46*H1/Common_Shares*Exchange_Rate</f>
        <v>1.908602780679354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1876287.8894680522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-150938.1237283237</v>
      </c>
      <c r="D73" s="349">
        <f>(Normalized_FCF!C25+Normalized_FCF!C35-Normalized_FCF!C91)/12</f>
        <v>-138558.68508865798</v>
      </c>
      <c r="F73" s="1" t="s">
        <v>351</v>
      </c>
    </row>
    <row r="74" spans="2:6" ht="15" customHeight="1">
      <c r="B74" s="257" t="s">
        <v>321</v>
      </c>
      <c r="C74" s="258">
        <f>-$C$66/C73</f>
        <v>17.938741605623314</v>
      </c>
      <c r="D74" s="258">
        <f>-$C$66/D73</f>
        <v>19.541467200468112</v>
      </c>
      <c r="F74" s="253" t="s">
        <v>319</v>
      </c>
    </row>
    <row r="75" spans="2:6" ht="15" customHeight="1">
      <c r="B75" s="80" t="s">
        <v>320</v>
      </c>
      <c r="C75" s="320"/>
      <c r="D75" s="321">
        <f>MAX(-D73*D76,G5)</f>
        <v>831352.11053194781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-37108.145651849998</v>
      </c>
      <c r="D86" s="223">
        <f>C86*scaling_factor/Common_Shares</f>
        <v>-2.7831105759999281E-2</v>
      </c>
      <c r="E86" s="240" t="str">
        <f>Market_currency</f>
        <v>HKD</v>
      </c>
    </row>
    <row r="87" spans="2:8" ht="15" customHeight="1">
      <c r="B87" s="238" t="s">
        <v>287</v>
      </c>
      <c r="C87" s="76">
        <f>DCF!C8*Exchange_Rate</f>
        <v>2047870.94582731</v>
      </c>
      <c r="D87" s="223">
        <f>C87*scaling_factor/Common_Shares</f>
        <v>1.5359030173826054</v>
      </c>
      <c r="E87" s="240" t="str">
        <f>Market_currency</f>
        <v>HKD</v>
      </c>
    </row>
    <row r="88" spans="2:8" ht="15" customHeight="1">
      <c r="B88" s="239" t="s">
        <v>189</v>
      </c>
      <c r="C88" s="76">
        <f>DCF!C9*Exchange_Rate</f>
        <v>250585.68990331495</v>
      </c>
      <c r="D88" s="223">
        <f>C88*scaling_factor/Common_Shares</f>
        <v>0.18793924393508071</v>
      </c>
      <c r="E88" s="240" t="str">
        <f>Market_currency</f>
        <v>HKD</v>
      </c>
    </row>
    <row r="89" spans="2:8" ht="15" customHeight="1">
      <c r="B89" s="80" t="s">
        <v>291</v>
      </c>
      <c r="C89" s="180">
        <f>SUM(C86:C88)</f>
        <v>2261348.4900787752</v>
      </c>
      <c r="D89" s="242">
        <f>SUM(D86:D88)</f>
        <v>1.6960111555576867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23140.946225997162</v>
      </c>
      <c r="E12" s="268"/>
      <c r="G12" s="328">
        <f>G50</f>
        <v>23140.946225997162</v>
      </c>
      <c r="H12" s="328">
        <f t="shared" ref="H12:Q12" si="6">H50</f>
        <v>21658.04154090293</v>
      </c>
      <c r="I12" s="328">
        <f t="shared" si="6"/>
        <v>13061.235944447502</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136917.87656865234</v>
      </c>
      <c r="E13" s="268"/>
      <c r="G13" s="329">
        <f>IF(G$4="","",SUM(G8:G12))</f>
        <v>181028.94622599718</v>
      </c>
      <c r="H13" s="329">
        <f t="shared" ref="H13:Q13" si="7">IF(H$4="","",SUM(H8:H12))</f>
        <v>147474.04154090292</v>
      </c>
      <c r="I13" s="329">
        <f t="shared" si="7"/>
        <v>35759.235944447501</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-34229.469142163085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102688.40742648926</v>
      </c>
      <c r="D16" s="61"/>
      <c r="E16" s="276"/>
      <c r="F16" s="61"/>
      <c r="G16" s="329">
        <f>IF(G$4="","",SUM(G13:G15))</f>
        <v>133758.94622599718</v>
      </c>
      <c r="H16" s="329">
        <f t="shared" ref="H16:Q16" si="8">IF(H$4="","",SUM(H13:H15))</f>
        <v>103025.04154090292</v>
      </c>
      <c r="I16" s="329">
        <f t="shared" si="8"/>
        <v>14742.235944447501</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102688.40742648926</v>
      </c>
      <c r="D19" s="27"/>
      <c r="E19" s="265"/>
      <c r="F19" s="27"/>
      <c r="G19" s="334">
        <f>IF(G$4="","",G16+G17)</f>
        <v>133758.94622599718</v>
      </c>
      <c r="H19" s="334">
        <f t="shared" ref="H19:Q19" si="9">IF(H$4="","",H16+H17)</f>
        <v>103025.04154090292</v>
      </c>
      <c r="I19" s="334">
        <f t="shared" si="9"/>
        <v>14742.235944447501</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0.26111846191154403</v>
      </c>
      <c r="H43" s="6">
        <f t="shared" si="18"/>
        <v>0.35051087783065998</v>
      </c>
      <c r="I43" s="6">
        <f t="shared" si="18"/>
        <v>1.3778715596181825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25020.946225997162</v>
      </c>
      <c r="E48" s="268"/>
      <c r="G48" s="337">
        <f>IFERROR(IF(G$4="","",($C$48/$C$49)*G49),0)</f>
        <v>25020.946225997162</v>
      </c>
      <c r="H48" s="337">
        <f t="shared" ref="H48:Q48" si="19">IFERROR(IF(H$4="","",($C$48/$C$49)*H49),0)</f>
        <v>22661.04154090293</v>
      </c>
      <c r="I48" s="337">
        <f t="shared" si="19"/>
        <v>13924.235944447502</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23140.946225997162</v>
      </c>
      <c r="E50" s="268"/>
      <c r="G50" s="329">
        <f>IF(G$4="","",(G47+G48))</f>
        <v>23140.946225997162</v>
      </c>
      <c r="H50" s="329">
        <f t="shared" ref="H50:Q50" si="20">IF(H$4="","",(H47+H48))</f>
        <v>21658.04154090293</v>
      </c>
      <c r="I50" s="329">
        <f t="shared" si="20"/>
        <v>13061.235944447502</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1.4219199533581701E-2</v>
      </c>
      <c r="D80" s="27"/>
      <c r="E80" s="265"/>
      <c r="F80" s="27"/>
      <c r="G80" s="6">
        <f t="shared" ref="G80:Q80" si="31">IF(G$4="","",ABS(G12/G$4))</f>
        <v>1.2714051158501122E-2</v>
      </c>
      <c r="H80" s="6">
        <f t="shared" si="31"/>
        <v>1.3405696104446953E-2</v>
      </c>
      <c r="I80" s="6">
        <f t="shared" si="31"/>
        <v>9.0286830184520949E-3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8.413063958710644E-2</v>
      </c>
      <c r="D81" s="27"/>
      <c r="E81" s="265"/>
      <c r="F81" s="27"/>
      <c r="G81" s="65">
        <f t="shared" ref="G81:Q81" si="32">IF(G$4="","",G13/G$4)</f>
        <v>9.9460551915599063E-2</v>
      </c>
      <c r="H81" s="65">
        <f t="shared" si="32"/>
        <v>9.1282130956218913E-2</v>
      </c>
      <c r="I81" s="65">
        <f t="shared" si="32"/>
        <v>2.4718855680859689E-2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2.103265989677661E-2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6.3097979690329833E-2</v>
      </c>
      <c r="D84" s="27"/>
      <c r="E84" s="265"/>
      <c r="F84" s="27"/>
      <c r="G84" s="65">
        <f t="shared" ref="G84:Q84" si="35">IF(G$4="","",ABS(G16/G$4))</f>
        <v>7.3489565578524554E-2</v>
      </c>
      <c r="H84" s="65">
        <f t="shared" si="35"/>
        <v>6.3769496214004781E-2</v>
      </c>
      <c r="I84" s="65">
        <f t="shared" si="35"/>
        <v>1.019068761116983E-2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6.3097979690329833E-2</v>
      </c>
      <c r="D87" s="75"/>
      <c r="E87" s="265"/>
      <c r="F87" s="75"/>
      <c r="G87" s="65">
        <f t="shared" ref="G87:Q87" si="36">IF(G$4="","",ABS(G19/G$4))</f>
        <v>7.3489565578524554E-2</v>
      </c>
      <c r="H87" s="65">
        <f t="shared" si="36"/>
        <v>6.3769496214004781E-2</v>
      </c>
      <c r="I87" s="65">
        <f t="shared" si="36"/>
        <v>1.019068761116983E-2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0.11177809958265081</v>
      </c>
      <c r="E90" s="268"/>
      <c r="G90" s="112">
        <f>Data!C65</f>
        <v>0.11177809958265081</v>
      </c>
      <c r="H90" s="112">
        <f>Data!D65</f>
        <v>9.6202462755560145E-2</v>
      </c>
      <c r="I90" s="112">
        <f>Data!E65</f>
        <v>3.5549100523006985E-2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149037.48473988436</v>
      </c>
      <c r="E91" s="268"/>
      <c r="G91" s="74">
        <f t="shared" ref="G91:Q91" si="37">IF(G$4="","",G90*Common_Shares/scaling_factor)</f>
        <v>149037.48473988436</v>
      </c>
      <c r="H91" s="74">
        <f t="shared" si="37"/>
        <v>128269.96637449064</v>
      </c>
      <c r="I91" s="74">
        <f t="shared" si="37"/>
        <v>47398.806622192737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1.4513564722149837</v>
      </c>
      <c r="E92" s="268"/>
      <c r="G92" s="170">
        <f t="shared" ref="G92:Q92" si="38">IF(G$4="","",G90/(G19*scaling_factor/Common_Shares))</f>
        <v>1.1142244234495744</v>
      </c>
      <c r="H92" s="170">
        <f t="shared" si="38"/>
        <v>1.2450367838343941</v>
      </c>
      <c r="I92" s="170">
        <f t="shared" si="38"/>
        <v>3.2151708058942692</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3.7135581256694625E-2</v>
      </c>
      <c r="E93" s="268"/>
      <c r="G93" s="23">
        <f t="shared" ref="G93:Q93" si="39">IF(G$4="","",G90/Market_Price)</f>
        <v>3.7135581256694625E-2</v>
      </c>
      <c r="H93" s="23">
        <f t="shared" si="39"/>
        <v>3.1960951081581444E-2</v>
      </c>
      <c r="I93" s="23">
        <f t="shared" si="39"/>
        <v>1.1810332399670095E-2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-0.24366859873490299</v>
      </c>
      <c r="D97" s="27"/>
      <c r="E97" s="265"/>
      <c r="F97" s="27"/>
      <c r="G97" s="6">
        <f t="shared" ref="G97:Q97" si="41">IF(H5="","",G13/H13-1)</f>
        <v>0.22753092228633043</v>
      </c>
      <c r="H97" s="6">
        <f t="shared" si="41"/>
        <v>3.1240825662496263</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8.413063958710644E-2</v>
      </c>
      <c r="E117" s="268"/>
      <c r="G117" s="23">
        <f t="shared" ref="G117:Q117" si="45">IF(G4="","",IF(valuation_method="DDM",G13/(G4+G12),G81))</f>
        <v>9.9460551915599063E-2</v>
      </c>
      <c r="H117" s="23">
        <f t="shared" si="45"/>
        <v>9.1282130956218913E-2</v>
      </c>
      <c r="I117" s="23">
        <f t="shared" si="45"/>
        <v>2.4718855680859689E-2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4.3344545273672035E-2</v>
      </c>
      <c r="D120" s="103"/>
      <c r="E120" s="271"/>
      <c r="F120" s="103"/>
      <c r="G120" s="102">
        <f>IF(G$4="","",G13/G105)</f>
        <v>5.7308932567351659E-2</v>
      </c>
      <c r="H120" s="102">
        <f t="shared" ref="H120:Q120" si="48">IF(H$4="","",H13/H105)</f>
        <v>4.8714838720844547E-2</v>
      </c>
      <c r="I120" s="102">
        <f t="shared" si="48"/>
        <v>1.2660072600287018E-2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8.4059293726654244E-2</v>
      </c>
      <c r="D124" s="27"/>
      <c r="E124" s="265"/>
      <c r="F124" s="27"/>
      <c r="G124" s="177">
        <f t="shared" ref="G124:Q124" si="49">IF(G$4="","",G16*$C$3/Common_Shares*Exchange_Rate)</f>
        <v>0.10949320211658531</v>
      </c>
      <c r="H124" s="177">
        <f t="shared" si="49"/>
        <v>8.4334857703261532E-2</v>
      </c>
      <c r="I124" s="177">
        <f t="shared" si="49"/>
        <v>1.2067788102849532E-2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2.7926675656695769E-2</v>
      </c>
      <c r="D125" s="27"/>
      <c r="E125" s="265"/>
      <c r="F125" s="27"/>
      <c r="G125" s="77">
        <f t="shared" ref="G125" si="50">IF(G$4="","",G124/Market_Price)</f>
        <v>3.6376479108500108E-2</v>
      </c>
      <c r="H125" s="77">
        <f t="shared" ref="H125" si="51">IF(H$4="","",H124/Market_Price)</f>
        <v>2.8018225150585229E-2</v>
      </c>
      <c r="I125" s="77">
        <f t="shared" ref="I125" si="52">IF(I$4="","",I124/Market_Price)</f>
        <v>4.0092319278569877E-3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4.8650076975218788E-2</v>
      </c>
      <c r="H126" s="23">
        <f>IF(H$4="","",(Data!D47*$C$3)/(Market_Price*Common_Shares))</f>
        <v>4.3060708903125675E-2</v>
      </c>
      <c r="I126" s="23">
        <f>IF(I$4="","",(Data!E47*$C$3)/(Market_Price*Common_Shares))</f>
        <v>1.6309632512790953E-2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102688.40742648926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1369178.7656865234</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1876287.8894680522</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3441057.7551545757</v>
      </c>
      <c r="D10" t="str">
        <f>Reporting_currency</f>
        <v>CNY</v>
      </c>
      <c r="H10" s="120"/>
    </row>
    <row r="11" spans="2:8" ht="13.15" thickBot="1">
      <c r="B11" s="207" t="s">
        <v>166</v>
      </c>
      <c r="C11" s="208">
        <f>Exchange_Rate</f>
        <v>1.09144815</v>
      </c>
      <c r="D11" t="str">
        <f>Thesis!C15</f>
        <v>CNY/HKD</v>
      </c>
      <c r="H11" s="120"/>
    </row>
    <row r="12" spans="2:8" ht="13.5" thickTop="1">
      <c r="B12" s="149" t="s">
        <v>102</v>
      </c>
      <c r="C12" s="111">
        <f>(C10*scaling_factor)/Common_Shares*Exchange_Rate</f>
        <v>2.8168017385797435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2.8463479834414565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103569.25846845786</v>
      </c>
      <c r="D21" s="138">
        <f>IF($C$17&lt;B21,0,DCF!$C$16)</f>
        <v>8.5779014792802307E-3</v>
      </c>
      <c r="E21" s="124">
        <f t="shared" ref="E21:E50" si="0">IF($C$17&lt;B21,0,1/(1+Equity_Cost)^B21)</f>
        <v>0.93023255813953487</v>
      </c>
      <c r="F21" s="125">
        <f t="shared" ref="F21:F51" si="1">C21*E21</f>
        <v>96343.496249728239</v>
      </c>
      <c r="H21" s="120"/>
    </row>
    <row r="22" spans="2:17">
      <c r="B22" s="122">
        <v>2</v>
      </c>
      <c r="C22" s="123">
        <f t="shared" ref="C22:C50" si="2">IF(ROW()-ROW($C$21)&lt;$C$17, $C$21*(1+D22)^(ROW()-ROW($C$21)), 0)</f>
        <v>104457.66536388239</v>
      </c>
      <c r="D22" s="138">
        <f>IF($C$17&lt;B22,0,DCF!$C$16)</f>
        <v>8.5779014792802307E-3</v>
      </c>
      <c r="E22" s="124">
        <f t="shared" si="0"/>
        <v>0.86533261222282321</v>
      </c>
      <c r="F22" s="125">
        <f t="shared" si="1"/>
        <v>90390.624436025872</v>
      </c>
      <c r="H22" s="120"/>
    </row>
    <row r="23" spans="2:17">
      <c r="B23" s="122">
        <v>3</v>
      </c>
      <c r="C23" s="123">
        <f t="shared" si="2"/>
        <v>105353.69292612938</v>
      </c>
      <c r="D23" s="138">
        <f>IF($C$17&lt;B23,0,DCF!$C$16)</f>
        <v>8.5779014792802307E-3</v>
      </c>
      <c r="E23" s="124">
        <f t="shared" si="0"/>
        <v>0.80496056950960304</v>
      </c>
      <c r="F23" s="125">
        <f t="shared" si="1"/>
        <v>84805.568657756943</v>
      </c>
      <c r="G23" s="338"/>
      <c r="H23" s="339"/>
      <c r="I23" s="338"/>
      <c r="J23" s="338"/>
      <c r="K23" s="338"/>
      <c r="L23" s="338"/>
      <c r="M23" s="338"/>
      <c r="N23" s="338"/>
      <c r="O23" s="338"/>
      <c r="P23" s="338"/>
      <c r="Q23" s="338"/>
    </row>
    <row r="24" spans="2:17">
      <c r="B24" s="122">
        <v>4</v>
      </c>
      <c r="C24" s="123">
        <f t="shared" si="2"/>
        <v>106257.40652452805</v>
      </c>
      <c r="D24" s="138">
        <f>IF($C$17&lt;B24,0,DCF!$C$16)</f>
        <v>8.5779014792802307E-3</v>
      </c>
      <c r="E24" s="124">
        <f t="shared" si="0"/>
        <v>0.7488005297763749</v>
      </c>
      <c r="F24" s="125">
        <f t="shared" si="1"/>
        <v>79565.602298230238</v>
      </c>
      <c r="G24" s="338"/>
      <c r="H24" s="339"/>
      <c r="I24" s="338"/>
      <c r="J24" s="338"/>
      <c r="K24" s="338"/>
      <c r="L24" s="338"/>
      <c r="M24" s="338"/>
      <c r="N24" s="338"/>
      <c r="O24" s="338"/>
      <c r="P24" s="338"/>
      <c r="Q24" s="338"/>
    </row>
    <row r="25" spans="2:17">
      <c r="B25" s="122">
        <v>5</v>
      </c>
      <c r="C25" s="123">
        <f t="shared" si="2"/>
        <v>107168.87208913927</v>
      </c>
      <c r="D25" s="138">
        <f>IF($C$17&lt;B25,0,DCF!$C$16)</f>
        <v>8.5779014792802307E-3</v>
      </c>
      <c r="E25" s="124">
        <f t="shared" si="0"/>
        <v>0.69655863235011617</v>
      </c>
      <c r="F25" s="125">
        <f t="shared" si="1"/>
        <v>74649.402972915384</v>
      </c>
      <c r="G25" s="338"/>
      <c r="H25" s="339"/>
      <c r="I25" s="338"/>
      <c r="J25" s="338"/>
      <c r="K25" s="338"/>
      <c r="L25" s="338"/>
      <c r="M25" s="338"/>
      <c r="N25" s="338"/>
      <c r="O25" s="338"/>
      <c r="P25" s="338"/>
      <c r="Q25" s="338"/>
    </row>
    <row r="26" spans="2:17">
      <c r="B26" s="122">
        <v>6</v>
      </c>
      <c r="C26" s="123">
        <f t="shared" si="2"/>
        <v>108088.15611556551</v>
      </c>
      <c r="D26" s="138">
        <f>IF($C$17&lt;B26,0,DCF!$C$16)</f>
        <v>8.5779014792802307E-3</v>
      </c>
      <c r="E26" s="124">
        <f t="shared" si="0"/>
        <v>0.64796151846522443</v>
      </c>
      <c r="F26" s="125">
        <f t="shared" si="1"/>
        <v>70036.965764748064</v>
      </c>
      <c r="H26" s="120"/>
    </row>
    <row r="27" spans="2:17">
      <c r="B27" s="122">
        <v>7</v>
      </c>
      <c r="C27" s="123">
        <f t="shared" si="2"/>
        <v>109015.32566980185</v>
      </c>
      <c r="D27" s="138">
        <f>IF($C$17&lt;B27,0,DCF!$C$16)</f>
        <v>8.5779014792802307E-3</v>
      </c>
      <c r="E27" s="124">
        <f t="shared" si="0"/>
        <v>0.60275490089788319</v>
      </c>
      <c r="F27" s="125">
        <f t="shared" si="1"/>
        <v>65709.521820451875</v>
      </c>
      <c r="H27" s="120"/>
    </row>
    <row r="28" spans="2:17">
      <c r="B28" s="122">
        <v>8</v>
      </c>
      <c r="C28" s="123">
        <f t="shared" si="2"/>
        <v>109950.44839312906</v>
      </c>
      <c r="D28" s="138">
        <f>IF($C$17&lt;B28,0,DCF!$C$16)</f>
        <v>8.5779014792802307E-3</v>
      </c>
      <c r="E28" s="124">
        <f t="shared" si="0"/>
        <v>0.56070223339337966</v>
      </c>
      <c r="F28" s="125">
        <f t="shared" si="1"/>
        <v>61649.461976630999</v>
      </c>
      <c r="H28" s="120"/>
    </row>
    <row r="29" spans="2:17">
      <c r="B29" s="122">
        <v>9</v>
      </c>
      <c r="C29" s="123">
        <f t="shared" si="2"/>
        <v>110893.592507048</v>
      </c>
      <c r="D29" s="138">
        <f>IF($C$17&lt;B29,0,DCF!$C$16)</f>
        <v>8.5779014792802307E-3</v>
      </c>
      <c r="E29" s="124">
        <f t="shared" si="0"/>
        <v>0.52158347292407414</v>
      </c>
      <c r="F29" s="125">
        <f t="shared" si="1"/>
        <v>57840.265104853184</v>
      </c>
      <c r="H29" s="120"/>
    </row>
    <row r="30" spans="2:17">
      <c r="B30" s="122">
        <v>10</v>
      </c>
      <c r="C30" s="123">
        <f t="shared" si="2"/>
        <v>111844.8268182569</v>
      </c>
      <c r="D30" s="138">
        <f>IF($C$17&lt;B30,0,DCF!$C$16)</f>
        <v>8.5779014792802307E-3</v>
      </c>
      <c r="E30" s="124">
        <f t="shared" si="0"/>
        <v>0.48519392830146441</v>
      </c>
      <c r="F30" s="125">
        <f t="shared" si="1"/>
        <v>54266.430884147041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1380923.4462461048</v>
      </c>
      <c r="D51" s="139">
        <f>Terminal_Growth</f>
        <v>0</v>
      </c>
      <c r="E51" s="124">
        <f>1/(1+Equity_Cost)^C17</f>
        <v>0.48519392830146441</v>
      </c>
      <c r="F51" s="125">
        <f t="shared" si="1"/>
        <v>670015.67156774364</v>
      </c>
      <c r="H51" s="120"/>
    </row>
    <row r="52" spans="1:17">
      <c r="C52" s="114"/>
      <c r="E52" s="127" t="s">
        <v>100</v>
      </c>
      <c r="F52" s="137">
        <f>SUM(F21:F51)</f>
        <v>1405273.0117332316</v>
      </c>
      <c r="H52" s="120"/>
    </row>
    <row r="53" spans="1:17">
      <c r="C53" s="114"/>
      <c r="H53" s="120"/>
    </row>
    <row r="54" spans="1:17" ht="13.15">
      <c r="B54" s="119" t="s">
        <v>129</v>
      </c>
      <c r="C54" s="136"/>
      <c r="D54" s="136"/>
      <c r="E54" s="117"/>
      <c r="F54" s="117"/>
      <c r="H54" s="120"/>
    </row>
    <row r="55" spans="1:17" ht="13.15">
      <c r="A55" s="133">
        <f>F52</f>
        <v>1405273.0117332316</v>
      </c>
      <c r="B55" s="131">
        <f>C78</f>
        <v>-0.1</v>
      </c>
      <c r="C55" s="131">
        <f>C77</f>
        <v>-0.08</v>
      </c>
      <c r="D55" s="131">
        <f>C76</f>
        <v>0.02</v>
      </c>
      <c r="E55" s="131">
        <f>C75</f>
        <v>0.04</v>
      </c>
      <c r="F55" s="131">
        <f>C74</f>
        <v>0.08</v>
      </c>
      <c r="H55" s="120"/>
    </row>
    <row r="56" spans="1:17" ht="13.15">
      <c r="A56" s="143">
        <v>5</v>
      </c>
      <c r="B56" s="123">
        <f t="dataTable" ref="B56:F61" dt2D="1" dtr="1" r1="C16" r2="C17"/>
        <v>1169235.6219283645</v>
      </c>
      <c r="C56" s="123">
        <v>1207104.4393208707</v>
      </c>
      <c r="D56" s="123">
        <v>1412596.1134751332</v>
      </c>
      <c r="E56" s="123">
        <v>1457278.2933394718</v>
      </c>
      <c r="F56" s="123">
        <v>1550661.2812645142</v>
      </c>
      <c r="H56" s="120"/>
    </row>
    <row r="57" spans="1:17" ht="13.15">
      <c r="A57" s="143">
        <v>10</v>
      </c>
      <c r="B57" s="123">
        <v>1036653.1179557475</v>
      </c>
      <c r="C57" s="123">
        <v>1092216.2674122318</v>
      </c>
      <c r="D57" s="123">
        <v>1455649.985005639</v>
      </c>
      <c r="E57" s="123">
        <v>1550732.9228539269</v>
      </c>
      <c r="F57" s="123">
        <v>1770985.7815273793</v>
      </c>
      <c r="H57" s="120"/>
    </row>
    <row r="58" spans="1:17" ht="13.15">
      <c r="A58" s="143">
        <v>15</v>
      </c>
      <c r="B58" s="123">
        <v>907825.87573403027</v>
      </c>
      <c r="C58" s="341">
        <v>976247.40511867066</v>
      </c>
      <c r="D58" s="123">
        <v>1510161.2282471382</v>
      </c>
      <c r="E58" s="123">
        <v>1675353.0321063607</v>
      </c>
      <c r="F58" s="123">
        <v>2098658.3917016359</v>
      </c>
      <c r="G58" s="338"/>
      <c r="H58" s="339"/>
      <c r="I58" s="338"/>
      <c r="J58" s="338"/>
      <c r="K58" s="338"/>
      <c r="L58" s="338"/>
      <c r="M58" s="338"/>
      <c r="N58" s="338"/>
      <c r="O58" s="338"/>
      <c r="P58" s="338"/>
      <c r="Q58" s="338"/>
    </row>
    <row r="59" spans="1:17" ht="13.15">
      <c r="A59" s="144">
        <v>20</v>
      </c>
      <c r="B59" s="123">
        <v>803087.27238911064</v>
      </c>
      <c r="C59" s="341">
        <v>878967.48272986035</v>
      </c>
      <c r="D59" s="123">
        <v>1566990.0886522559</v>
      </c>
      <c r="E59" s="123">
        <v>1812602.6137122018</v>
      </c>
      <c r="F59" s="123">
        <v>2505194.3645401029</v>
      </c>
      <c r="G59" s="338"/>
      <c r="H59" s="339"/>
      <c r="I59" s="338"/>
      <c r="J59" s="338"/>
      <c r="K59" s="338"/>
      <c r="L59" s="338"/>
      <c r="M59" s="338"/>
      <c r="N59" s="338"/>
      <c r="O59" s="338"/>
      <c r="P59" s="338"/>
      <c r="Q59" s="338"/>
    </row>
    <row r="60" spans="1:17" ht="13.15">
      <c r="A60" s="144">
        <v>25</v>
      </c>
      <c r="B60" s="123">
        <v>723959.84768255509</v>
      </c>
      <c r="C60" s="341">
        <v>803630.97379485623</v>
      </c>
      <c r="D60" s="123">
        <v>1621078.047750405</v>
      </c>
      <c r="E60" s="123">
        <v>1950955.087867023</v>
      </c>
      <c r="F60" s="123">
        <v>2970848.3877738547</v>
      </c>
      <c r="G60" s="338"/>
      <c r="H60" s="339"/>
      <c r="I60" s="338"/>
      <c r="J60" s="338"/>
      <c r="K60" s="338"/>
      <c r="L60" s="338"/>
      <c r="M60" s="338"/>
      <c r="N60" s="338"/>
      <c r="O60" s="338"/>
      <c r="P60" s="338"/>
      <c r="Q60" s="338"/>
    </row>
    <row r="61" spans="1:17" ht="13.15">
      <c r="A61" s="144">
        <v>30</v>
      </c>
      <c r="B61" s="123">
        <v>666304.82051634626</v>
      </c>
      <c r="C61" s="341">
        <v>747676.9238210097</v>
      </c>
      <c r="D61" s="123">
        <v>1669907.3670158838</v>
      </c>
      <c r="E61" s="123">
        <v>2083555.1231106312</v>
      </c>
      <c r="F61" s="123">
        <v>3481964.9310647356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2.8168017385797435</v>
      </c>
      <c r="C65" s="124">
        <f>C12</f>
        <v>2.8168017385797435</v>
      </c>
      <c r="D65" s="124">
        <f>C12</f>
        <v>2.8168017385797435</v>
      </c>
      <c r="E65" s="141">
        <f>C12</f>
        <v>2.8168017385797435</v>
      </c>
      <c r="F65" s="124">
        <f>C12</f>
        <v>2.8168017385797435</v>
      </c>
      <c r="H65" s="120"/>
    </row>
    <row r="66" spans="1:8" ht="13.15">
      <c r="A66" s="143">
        <f t="shared" ref="A66:A71" si="3">A56</f>
        <v>5</v>
      </c>
      <c r="B66" s="124">
        <f t="shared" ref="B66:F71" si="4">(B56-$C$7+$C$8+$C$9)/Common_Shares*$C$3*Exchange_Rate</f>
        <v>2.6531310782685558</v>
      </c>
      <c r="C66" s="124">
        <f t="shared" si="4"/>
        <v>2.6841299624079999</v>
      </c>
      <c r="D66" s="124">
        <f t="shared" si="4"/>
        <v>2.8523425720784776</v>
      </c>
      <c r="E66" s="124">
        <f t="shared" si="4"/>
        <v>2.8889187794196265</v>
      </c>
      <c r="F66" s="124">
        <f t="shared" si="4"/>
        <v>2.9653607869235703</v>
      </c>
      <c r="H66" s="120"/>
    </row>
    <row r="67" spans="1:8" ht="13.15">
      <c r="A67" s="143">
        <f t="shared" si="3"/>
        <v>10</v>
      </c>
      <c r="B67" s="124">
        <f t="shared" si="4"/>
        <v>2.5446008953223687</v>
      </c>
      <c r="C67" s="124">
        <f t="shared" si="4"/>
        <v>2.5900841121488059</v>
      </c>
      <c r="D67" s="124">
        <f t="shared" si="4"/>
        <v>2.8875858689972969</v>
      </c>
      <c r="E67" s="124">
        <f t="shared" si="4"/>
        <v>2.9654194317264104</v>
      </c>
      <c r="F67" s="124">
        <f t="shared" si="4"/>
        <v>3.1457153405379352</v>
      </c>
      <c r="H67" s="120"/>
    </row>
    <row r="68" spans="1:8" ht="13.15">
      <c r="A68" s="143">
        <f t="shared" si="3"/>
        <v>15</v>
      </c>
      <c r="B68" s="124">
        <f t="shared" si="4"/>
        <v>2.4391447171100196</v>
      </c>
      <c r="C68" s="124">
        <f t="shared" si="4"/>
        <v>2.4951536238591836</v>
      </c>
      <c r="D68" s="124">
        <f t="shared" si="4"/>
        <v>2.9322080101121299</v>
      </c>
      <c r="E68" s="124">
        <f t="shared" si="4"/>
        <v>3.0674317097471508</v>
      </c>
      <c r="F68" s="124">
        <f t="shared" si="4"/>
        <v>3.4139435551446815</v>
      </c>
      <c r="H68" s="120"/>
    </row>
    <row r="69" spans="1:8" ht="13.15">
      <c r="A69" s="144">
        <f t="shared" si="3"/>
        <v>20</v>
      </c>
      <c r="B69" s="124">
        <f t="shared" si="4"/>
        <v>2.3534071616864165</v>
      </c>
      <c r="C69" s="124">
        <f t="shared" si="4"/>
        <v>2.4155216403206237</v>
      </c>
      <c r="D69" s="124">
        <f t="shared" si="4"/>
        <v>2.978727320214047</v>
      </c>
      <c r="E69" s="124">
        <f t="shared" si="4"/>
        <v>3.1797822971523049</v>
      </c>
      <c r="F69" s="124">
        <f t="shared" si="4"/>
        <v>3.7467282151438446</v>
      </c>
      <c r="H69" s="120"/>
    </row>
    <row r="70" spans="1:8" ht="13.15">
      <c r="A70" s="144">
        <f t="shared" si="3"/>
        <v>25</v>
      </c>
      <c r="B70" s="124">
        <f t="shared" si="4"/>
        <v>2.2886345588003159</v>
      </c>
      <c r="C70" s="124">
        <f t="shared" si="4"/>
        <v>2.3538522280508736</v>
      </c>
      <c r="D70" s="124">
        <f t="shared" si="4"/>
        <v>3.0230029668508043</v>
      </c>
      <c r="E70" s="124">
        <f t="shared" si="4"/>
        <v>3.2930356969687815</v>
      </c>
      <c r="F70" s="124">
        <f t="shared" si="4"/>
        <v>4.1279060841455122</v>
      </c>
    </row>
    <row r="71" spans="1:8" ht="13.15">
      <c r="A71" s="144">
        <f t="shared" si="3"/>
        <v>30</v>
      </c>
      <c r="B71" s="124">
        <f t="shared" si="4"/>
        <v>2.2414389601456972</v>
      </c>
      <c r="C71" s="124">
        <f t="shared" si="4"/>
        <v>2.3080490255295523</v>
      </c>
      <c r="D71" s="124">
        <f t="shared" si="4"/>
        <v>3.0629739644879783</v>
      </c>
      <c r="E71" s="124">
        <f t="shared" si="4"/>
        <v>3.4015802307681429</v>
      </c>
      <c r="F71" s="124">
        <f t="shared" si="4"/>
        <v>4.5462989360533257</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3.4139435551446815</v>
      </c>
      <c r="F74" s="142">
        <f>Scenarios!C58</f>
        <v>0.05</v>
      </c>
    </row>
    <row r="75" spans="1:8">
      <c r="B75" s="127" t="str">
        <f>Scenarios!B36</f>
        <v>Optimistic</v>
      </c>
      <c r="C75" s="142">
        <f>Scenarios!C38</f>
        <v>0.04</v>
      </c>
      <c r="D75" s="145">
        <f>Scenarios!C37</f>
        <v>10</v>
      </c>
      <c r="E75" s="135">
        <f>INDEX(B$65:F$71, MATCH(D75, A$65:A$71, 0), MATCH(C75, B$64:F$64, 0))</f>
        <v>2.9654194317264104</v>
      </c>
      <c r="F75" s="142">
        <f>Scenarios!C40*(1-F$74-F$78)</f>
        <v>0.17</v>
      </c>
      <c r="H75" s="120"/>
    </row>
    <row r="76" spans="1:8">
      <c r="B76" s="127" t="str">
        <f>Scenarios!B24</f>
        <v>Base</v>
      </c>
      <c r="C76" s="142">
        <f>Scenarios!C26</f>
        <v>0.02</v>
      </c>
      <c r="D76" s="145">
        <f>Scenarios!C25</f>
        <v>10</v>
      </c>
      <c r="E76" s="135">
        <f>INDEX(B$65:F$71, MATCH(D76, A$65:A$71, 0), MATCH(C76, B$64:F$64, 0))</f>
        <v>2.8875858689972969</v>
      </c>
      <c r="F76" s="142">
        <f>Scenarios!C28*(1-F$74-F$78)</f>
        <v>0.51</v>
      </c>
      <c r="H76" s="120"/>
    </row>
    <row r="77" spans="1:8">
      <c r="B77" s="127" t="str">
        <f>Scenarios!B30</f>
        <v>Pessimistic</v>
      </c>
      <c r="C77" s="142">
        <f>Scenarios!C32</f>
        <v>-0.08</v>
      </c>
      <c r="D77" s="145">
        <f>Scenarios!C31</f>
        <v>10</v>
      </c>
      <c r="E77" s="135">
        <f>INDEX(B$65:F$71, MATCH(D77, A$65:A$71, 0), MATCH(C77, B$64:F$64, 0))</f>
        <v>2.5900841121488059</v>
      </c>
      <c r="F77" s="142">
        <f>Scenarios!C34*(1-F$74-F$78)</f>
        <v>0.17</v>
      </c>
      <c r="H77" s="120"/>
    </row>
    <row r="78" spans="1:8">
      <c r="B78" s="127" t="str">
        <f>Scenarios!B48</f>
        <v>Devil's advocate</v>
      </c>
      <c r="C78" s="142">
        <f>Scenarios!C50</f>
        <v>-0.1</v>
      </c>
      <c r="D78" s="145">
        <f>Scenarios!C49</f>
        <v>15</v>
      </c>
      <c r="E78" s="135">
        <f>INDEX(B$65:F$71, MATCH(D78, A$65:A$71, 0), MATCH(C78, B$64:F$64, 0))</f>
        <v>2.4391447171100196</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149037.48473988436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1987166.4631984581</v>
      </c>
      <c r="D6" t="str">
        <f>Reporting_currency</f>
        <v>CNY</v>
      </c>
      <c r="E6" s="364"/>
      <c r="F6" s="364"/>
      <c r="H6" s="120"/>
    </row>
    <row r="7" spans="2:8" ht="13.15">
      <c r="B7" s="149" t="s">
        <v>444</v>
      </c>
      <c r="C7" s="111">
        <f>(C6*scaling_factor)/Common_Shares*Exchange_Rate</f>
        <v>1.6266666666666667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1.5296638693980673</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150315.9136007028</v>
      </c>
      <c r="D16" s="138">
        <f>IF($C$12&lt;B16,0,DDM!$C$11)</f>
        <v>8.5779014792802307E-3</v>
      </c>
      <c r="E16" s="124">
        <f t="shared" ref="E16:E45" si="0">IF($C$12&lt;B16,0,1/(1+Equity_Cost)^B16)</f>
        <v>0.93023255813953487</v>
      </c>
      <c r="F16" s="125">
        <f t="shared" ref="F16:F46" si="1">C16*E16</f>
        <v>139828.75683786307</v>
      </c>
      <c r="H16" s="120"/>
    </row>
    <row r="17" spans="2:8">
      <c r="B17" s="122">
        <v>2</v>
      </c>
      <c r="C17" s="123">
        <f t="shared" ref="C17:C45" si="2">IF(ROW()-ROW($C$16)&lt;$C$12, $C$16*(1+D17)^(ROW()-ROW($C$16)), 0)</f>
        <v>151605.30869833761</v>
      </c>
      <c r="D17" s="138">
        <f>IF($C$12&lt;B17,0,DDM!$C$11)</f>
        <v>8.5779014792802307E-3</v>
      </c>
      <c r="E17" s="124">
        <f t="shared" si="0"/>
        <v>0.86533261222282321</v>
      </c>
      <c r="F17" s="125">
        <f t="shared" si="1"/>
        <v>131189.01780278</v>
      </c>
      <c r="H17" s="120"/>
    </row>
    <row r="18" spans="2:8">
      <c r="B18" s="122">
        <v>3</v>
      </c>
      <c r="C18" s="123">
        <f t="shared" si="2"/>
        <v>152905.76410008781</v>
      </c>
      <c r="D18" s="138">
        <f>IF($C$12&lt;B18,0,DDM!$C$11)</f>
        <v>8.5779014792802307E-3</v>
      </c>
      <c r="E18" s="124">
        <f t="shared" si="0"/>
        <v>0.80496056950960304</v>
      </c>
      <c r="F18" s="125">
        <f t="shared" si="1"/>
        <v>123083.1109513077</v>
      </c>
      <c r="H18" s="120"/>
    </row>
    <row r="19" spans="2:8">
      <c r="B19" s="122">
        <v>4</v>
      </c>
      <c r="C19" s="123">
        <f t="shared" si="2"/>
        <v>154217.3746801524</v>
      </c>
      <c r="D19" s="138">
        <f>IF($C$12&lt;B19,0,DDM!$C$11)</f>
        <v>8.5779014792802307E-3</v>
      </c>
      <c r="E19" s="124">
        <f t="shared" si="0"/>
        <v>0.7488005297763749</v>
      </c>
      <c r="F19" s="125">
        <f t="shared" si="1"/>
        <v>115478.05186121982</v>
      </c>
      <c r="H19" s="120"/>
    </row>
    <row r="20" spans="2:8">
      <c r="B20" s="122">
        <v>5</v>
      </c>
      <c r="C20" s="123">
        <f t="shared" si="2"/>
        <v>155540.23612655199</v>
      </c>
      <c r="D20" s="138">
        <f>IF($C$12&lt;B20,0,DDM!$C$11)</f>
        <v>8.5779014792802307E-3</v>
      </c>
      <c r="E20" s="124">
        <f t="shared" si="0"/>
        <v>0.69655863235011617</v>
      </c>
      <c r="F20" s="125">
        <f t="shared" si="1"/>
        <v>108342.89415172518</v>
      </c>
      <c r="H20" s="120"/>
    </row>
    <row r="21" spans="2:8">
      <c r="B21" s="122">
        <v>6</v>
      </c>
      <c r="C21" s="123">
        <f t="shared" si="2"/>
        <v>156874.44494810954</v>
      </c>
      <c r="D21" s="138">
        <f>IF($C$12&lt;B21,0,DDM!$C$11)</f>
        <v>8.5779014792802307E-3</v>
      </c>
      <c r="E21" s="124">
        <f t="shared" si="0"/>
        <v>0.64796151846522443</v>
      </c>
      <c r="F21" s="125">
        <f t="shared" si="1"/>
        <v>101648.60355696631</v>
      </c>
      <c r="H21" s="120"/>
    </row>
    <row r="22" spans="2:8">
      <c r="B22" s="122">
        <v>7</v>
      </c>
      <c r="C22" s="123">
        <f t="shared" si="2"/>
        <v>158220.09848149115</v>
      </c>
      <c r="D22" s="138">
        <f>IF($C$12&lt;B22,0,DDM!$C$11)</f>
        <v>8.5779014792802307E-3</v>
      </c>
      <c r="E22" s="124">
        <f t="shared" si="0"/>
        <v>0.60275490089788319</v>
      </c>
      <c r="F22" s="125">
        <f t="shared" si="1"/>
        <v>95367.939780264511</v>
      </c>
      <c r="H22" s="120"/>
    </row>
    <row r="23" spans="2:8">
      <c r="B23" s="122">
        <v>8</v>
      </c>
      <c r="C23" s="123">
        <f t="shared" si="2"/>
        <v>159577.29489830739</v>
      </c>
      <c r="D23" s="138">
        <f>IF($C$12&lt;B23,0,DDM!$C$11)</f>
        <v>8.5779014792802307E-3</v>
      </c>
      <c r="E23" s="124">
        <f t="shared" si="0"/>
        <v>0.56070223339337966</v>
      </c>
      <c r="F23" s="125">
        <f t="shared" si="1"/>
        <v>89475.345648354923</v>
      </c>
      <c r="H23" s="120"/>
    </row>
    <row r="24" spans="2:8">
      <c r="B24" s="122">
        <v>9</v>
      </c>
      <c r="C24" s="123">
        <f t="shared" si="2"/>
        <v>160946.1332122751</v>
      </c>
      <c r="D24" s="138">
        <f>IF($C$12&lt;B24,0,DDM!$C$11)</f>
        <v>8.5779014792802307E-3</v>
      </c>
      <c r="E24" s="124">
        <f t="shared" si="0"/>
        <v>0.52158347292407414</v>
      </c>
      <c r="F24" s="125">
        <f t="shared" si="1"/>
        <v>83946.843114559117</v>
      </c>
      <c r="H24" s="120"/>
    </row>
    <row r="25" spans="2:8">
      <c r="B25" s="122">
        <v>10</v>
      </c>
      <c r="C25" s="123">
        <f t="shared" si="2"/>
        <v>162326.71328644111</v>
      </c>
      <c r="D25" s="138">
        <f>IF($C$12&lt;B25,0,DDM!$C$11)</f>
        <v>8.5779014792802307E-3</v>
      </c>
      <c r="E25" s="124">
        <f t="shared" si="0"/>
        <v>0.48519392830146441</v>
      </c>
      <c r="F25" s="125">
        <f t="shared" si="1"/>
        <v>78759.935687713878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2004212.181342704</v>
      </c>
      <c r="D46" s="139">
        <f>Terminal_Growth</f>
        <v>0</v>
      </c>
      <c r="E46" s="124">
        <f>1/(1+Equity_Cost)^C12</f>
        <v>0.48519392830146441</v>
      </c>
      <c r="F46" s="125">
        <f t="shared" si="1"/>
        <v>972431.58141531353</v>
      </c>
      <c r="H46" s="120"/>
    </row>
    <row r="47" spans="2:8">
      <c r="C47" s="114"/>
      <c r="E47" s="127" t="s">
        <v>100</v>
      </c>
      <c r="F47" s="137">
        <f>SUM(F16:F46)</f>
        <v>2039552.0808080679</v>
      </c>
      <c r="H47" s="120"/>
    </row>
    <row r="48" spans="2:8">
      <c r="C48" s="114"/>
      <c r="H48" s="120"/>
    </row>
    <row r="49" spans="1:8" ht="13.15">
      <c r="B49" s="119" t="s">
        <v>129</v>
      </c>
      <c r="C49" s="136"/>
      <c r="D49" s="136"/>
      <c r="E49" s="117"/>
      <c r="F49" s="117"/>
      <c r="H49" s="120"/>
    </row>
    <row r="50" spans="1:8" ht="13.15">
      <c r="A50" s="133">
        <f>F47</f>
        <v>2039552.0808080679</v>
      </c>
      <c r="B50" s="131">
        <f>C73</f>
        <v>-0.1</v>
      </c>
      <c r="C50" s="131">
        <f>C72</f>
        <v>-0.08</v>
      </c>
      <c r="D50" s="131">
        <f>C71</f>
        <v>0.02</v>
      </c>
      <c r="E50" s="131">
        <f>C70</f>
        <v>0.04</v>
      </c>
      <c r="F50" s="131">
        <f>C69</f>
        <v>0.08</v>
      </c>
      <c r="H50" s="120"/>
    </row>
    <row r="51" spans="1:8" ht="13.15">
      <c r="A51" s="143">
        <v>5</v>
      </c>
      <c r="B51" s="123">
        <f t="dataTable" ref="B51:F56" dt2D="1" dtr="1" r1="C11" r2="C12"/>
        <v>1696977.6874300435</v>
      </c>
      <c r="C51" s="123">
        <v>1751938.8406477848</v>
      </c>
      <c r="D51" s="123">
        <v>2050180.5119178661</v>
      </c>
      <c r="E51" s="123">
        <v>2115030.2828566479</v>
      </c>
      <c r="F51" s="123">
        <v>2250562.2867764318</v>
      </c>
      <c r="H51" s="120"/>
    </row>
    <row r="52" spans="1:8" ht="13.15">
      <c r="A52" s="143">
        <v>10</v>
      </c>
      <c r="B52" s="123">
        <v>1504553.2121869167</v>
      </c>
      <c r="C52" s="123">
        <v>1585195.1487672338</v>
      </c>
      <c r="D52" s="123">
        <v>2112667.0270175785</v>
      </c>
      <c r="E52" s="123">
        <v>2250666.2642609058</v>
      </c>
      <c r="F52" s="123">
        <v>2570331.6762204729</v>
      </c>
      <c r="H52" s="120"/>
    </row>
    <row r="53" spans="1:8" ht="13.15">
      <c r="A53" s="143">
        <v>15</v>
      </c>
      <c r="B53" s="123">
        <v>1317578.9603908202</v>
      </c>
      <c r="C53" s="123">
        <v>1416882.9899020658</v>
      </c>
      <c r="D53" s="123">
        <v>2191782.2727046129</v>
      </c>
      <c r="E53" s="123">
        <v>2431534.4663925637</v>
      </c>
      <c r="F53" s="123">
        <v>3045901.4397644582</v>
      </c>
      <c r="H53" s="120"/>
    </row>
    <row r="54" spans="1:8" ht="13.15">
      <c r="A54" s="144">
        <v>20</v>
      </c>
      <c r="B54" s="123">
        <v>1165565.9105354133</v>
      </c>
      <c r="C54" s="123">
        <v>1275695.1449264949</v>
      </c>
      <c r="D54" s="123">
        <v>2274261.2070621825</v>
      </c>
      <c r="E54" s="123">
        <v>2630732.5349649996</v>
      </c>
      <c r="F54" s="123">
        <v>3635930.0551317818</v>
      </c>
      <c r="H54" s="120"/>
    </row>
    <row r="55" spans="1:8" ht="13.15">
      <c r="A55" s="144">
        <v>25</v>
      </c>
      <c r="B55" s="123">
        <v>1050723.8105578502</v>
      </c>
      <c r="C55" s="123">
        <v>1166355.0150895945</v>
      </c>
      <c r="D55" s="123">
        <v>2352762.1165681807</v>
      </c>
      <c r="E55" s="123">
        <v>2831531.2937765555</v>
      </c>
      <c r="F55" s="123">
        <v>4311760.0355650336</v>
      </c>
      <c r="H55" s="120"/>
    </row>
    <row r="56" spans="1:8" ht="13.15">
      <c r="A56" s="144">
        <v>30</v>
      </c>
      <c r="B56" s="123">
        <v>967045.8137244425</v>
      </c>
      <c r="C56" s="123">
        <v>1085145.7425134117</v>
      </c>
      <c r="D56" s="123">
        <v>2423630.8651179844</v>
      </c>
      <c r="E56" s="123">
        <v>3023981.2131433007</v>
      </c>
      <c r="F56" s="123">
        <v>5053572.3387264041</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1.4341126256395489</v>
      </c>
      <c r="D61" s="124">
        <f t="shared" si="4"/>
        <v>1.6782490853929701</v>
      </c>
      <c r="E61" s="124">
        <f t="shared" si="4"/>
        <v>1.7313342006466237</v>
      </c>
      <c r="F61" s="124">
        <f t="shared" si="4"/>
        <v>1.8422788029865791</v>
      </c>
      <c r="H61" s="120"/>
    </row>
    <row r="62" spans="1:8" ht="13.15">
      <c r="A62" s="143">
        <f t="shared" si="3"/>
        <v>10</v>
      </c>
      <c r="B62" s="124">
        <f t="shared" si="4"/>
        <v>1.2316062110626995</v>
      </c>
      <c r="C62" s="124">
        <f t="shared" si="4"/>
        <v>1.2976185721809075</v>
      </c>
      <c r="D62" s="124">
        <f t="shared" si="4"/>
        <v>1.729399672478293</v>
      </c>
      <c r="E62" s="124">
        <f t="shared" si="4"/>
        <v>1.8423639175007429</v>
      </c>
      <c r="F62" s="124">
        <f t="shared" si="4"/>
        <v>2.1040375516682315</v>
      </c>
      <c r="H62" s="120"/>
    </row>
    <row r="63" spans="1:8" ht="13.15">
      <c r="A63" s="143">
        <f t="shared" si="3"/>
        <v>15</v>
      </c>
      <c r="B63" s="124">
        <f t="shared" si="4"/>
        <v>1.0785517042791499</v>
      </c>
      <c r="C63" s="124">
        <f t="shared" si="4"/>
        <v>1.1598405935912346</v>
      </c>
      <c r="D63" s="124">
        <f t="shared" si="4"/>
        <v>1.7941623057893958</v>
      </c>
      <c r="E63" s="124">
        <f t="shared" si="4"/>
        <v>1.9904200974515383</v>
      </c>
      <c r="F63" s="124">
        <f t="shared" si="4"/>
        <v>2.4933323069684019</v>
      </c>
      <c r="H63" s="120"/>
    </row>
    <row r="64" spans="1:8" ht="13.15">
      <c r="A64" s="144">
        <f t="shared" si="3"/>
        <v>20</v>
      </c>
      <c r="B64" s="124">
        <f t="shared" si="4"/>
        <v>0.95411594830321322</v>
      </c>
      <c r="C64" s="124">
        <f t="shared" si="4"/>
        <v>1.0442661988872286</v>
      </c>
      <c r="D64" s="124">
        <f t="shared" si="4"/>
        <v>1.8616784075887884</v>
      </c>
      <c r="E64" s="124">
        <f t="shared" si="4"/>
        <v>2.1534808496391631</v>
      </c>
      <c r="F64" s="124">
        <f t="shared" si="4"/>
        <v>2.9763214771120512</v>
      </c>
      <c r="H64" s="120"/>
    </row>
    <row r="65" spans="1:8" ht="13.15">
      <c r="A65" s="144">
        <f t="shared" si="3"/>
        <v>25</v>
      </c>
      <c r="B65" s="124">
        <f t="shared" si="4"/>
        <v>0.86010781188226049</v>
      </c>
      <c r="C65" s="124">
        <f t="shared" si="4"/>
        <v>0.95476189825183277</v>
      </c>
      <c r="D65" s="124">
        <f t="shared" si="4"/>
        <v>1.9259381538965497</v>
      </c>
      <c r="E65" s="124">
        <f t="shared" si="4"/>
        <v>2.3178519044631578</v>
      </c>
      <c r="F65" s="124">
        <f t="shared" si="4"/>
        <v>3.5295464443527371</v>
      </c>
    </row>
    <row r="66" spans="1:8" ht="13.15">
      <c r="A66" s="144">
        <f t="shared" si="3"/>
        <v>30</v>
      </c>
      <c r="B66" s="124">
        <f t="shared" si="4"/>
        <v>0.79161017431481862</v>
      </c>
      <c r="C66" s="124">
        <f t="shared" si="4"/>
        <v>0.88828512382433911</v>
      </c>
      <c r="D66" s="124">
        <f t="shared" si="4"/>
        <v>1.9839503200181525</v>
      </c>
      <c r="E66" s="124">
        <f t="shared" si="4"/>
        <v>2.4753887161164188</v>
      </c>
      <c r="F66" s="124">
        <f t="shared" si="4"/>
        <v>4.1367836178976276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-3.01</v>
      </c>
    </row>
    <row r="4" spans="2:9">
      <c r="B4" s="152" t="s">
        <v>146</v>
      </c>
      <c r="C4" s="120">
        <v>2</v>
      </c>
      <c r="D4" s="120"/>
      <c r="E4" s="155" t="s">
        <v>150</v>
      </c>
      <c r="F4" s="155"/>
      <c r="H4" s="247">
        <v>1</v>
      </c>
      <c r="I4" s="124">
        <f t="shared" ref="I4:I13" si="0">IF(ROW()-3 &lt; $C$76, $C$77, IF(ROW()-3 = $C$76, $C$77 + $C$60, ""))</f>
        <v>0.11177809958265081</v>
      </c>
    </row>
    <row r="5" spans="2:9">
      <c r="H5" s="247">
        <v>2</v>
      </c>
      <c r="I5" s="124">
        <f t="shared" si="0"/>
        <v>0.11177809958265081</v>
      </c>
    </row>
    <row r="6" spans="2:9" ht="13.15">
      <c r="B6" s="159" t="s">
        <v>95</v>
      </c>
      <c r="C6" s="107">
        <f>DCF!C3</f>
        <v>1000</v>
      </c>
      <c r="E6" s="100" t="s">
        <v>279</v>
      </c>
      <c r="F6" s="100"/>
      <c r="H6" s="247">
        <v>3</v>
      </c>
      <c r="I6" s="124">
        <f t="shared" si="0"/>
        <v>2.9434941446982945</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133758.94622599718</v>
      </c>
      <c r="D8" t="str">
        <f>Reporting_currency</f>
        <v>CNY</v>
      </c>
      <c r="E8" s="366"/>
      <c r="F8" s="366"/>
      <c r="H8" s="247">
        <v>5</v>
      </c>
      <c r="I8" s="124" t="str">
        <f t="shared" si="0"/>
        <v/>
      </c>
    </row>
    <row r="9" spans="2:9">
      <c r="B9" s="100" t="s">
        <v>57</v>
      </c>
      <c r="C9" s="338">
        <f>Normalized_FCF!C19</f>
        <v>102688.40742648926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2.0121718150753232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3.01</v>
      </c>
      <c r="D21" t="str">
        <f>Market_currency</f>
        <v>HKD</v>
      </c>
      <c r="E21" s="367"/>
      <c r="F21" s="367"/>
    </row>
    <row r="22" spans="2:6">
      <c r="B22" s="100" t="s">
        <v>278</v>
      </c>
      <c r="C22" s="160">
        <f>IF(valuation_method="DCF",DCF!C12,DDM!C7)</f>
        <v>2.8168017385797435</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2.8875858689972969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2.5900841121488059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2.9654194317264104</v>
      </c>
      <c r="D39" t="str">
        <f>Market_currency</f>
        <v>HKD</v>
      </c>
      <c r="E39" s="365"/>
      <c r="F39" s="365"/>
    </row>
    <row r="40" spans="2:6">
      <c r="B40" s="100" t="s">
        <v>147</v>
      </c>
      <c r="C40" s="167">
        <f>1-C28-C34</f>
        <v>0.2</v>
      </c>
      <c r="D40" s="165"/>
      <c r="E40" s="365"/>
      <c r="F40" s="365"/>
    </row>
    <row r="42" spans="2:6" ht="13.15">
      <c r="B42" s="100" t="s">
        <v>120</v>
      </c>
      <c r="C42" s="154">
        <f>C27*C28+C33*C34+C39*C40</f>
        <v>2.8436522301734213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2.4391447171100196</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3.4139435551446815</v>
      </c>
      <c r="D57" t="str">
        <f>Market_currency</f>
        <v>HKD</v>
      </c>
      <c r="E57" s="365"/>
      <c r="F57" s="365"/>
    </row>
    <row r="58" spans="2:6">
      <c r="B58" s="100" t="s">
        <v>147</v>
      </c>
      <c r="C58" s="165">
        <v>0.05</v>
      </c>
      <c r="D58" s="165"/>
      <c r="E58" s="365"/>
      <c r="F58" s="365"/>
    </row>
    <row r="60" spans="2:6" ht="13.15">
      <c r="B60" s="100" t="s">
        <v>120</v>
      </c>
      <c r="C60" s="154">
        <f>C51*C52+C57*C58+C42*(1-C52-C58)</f>
        <v>2.8317160451156438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2.8463479834414565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0.59893404866038524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0.11177809958265081</v>
      </c>
      <c r="D77" t="str">
        <f>Market_currency</f>
        <v>HKD</v>
      </c>
    </row>
    <row r="79" spans="2:6" ht="13.15">
      <c r="B79" s="109" t="s">
        <v>301</v>
      </c>
    </row>
    <row r="80" spans="2:6">
      <c r="B80" s="148" t="s">
        <v>299</v>
      </c>
      <c r="C80" s="167">
        <f>Thesis!F29</f>
        <v>0.3674</v>
      </c>
    </row>
    <row r="81" spans="2:8">
      <c r="B81" s="100" t="s">
        <v>121</v>
      </c>
      <c r="C81" s="116">
        <f>PV(C80, C76, -C77, 0)</f>
        <v>0.1852452972342413</v>
      </c>
      <c r="D81" s="116"/>
      <c r="E81" s="100"/>
      <c r="F81" s="100"/>
    </row>
    <row r="82" spans="2:8">
      <c r="B82" s="100" t="s">
        <v>122</v>
      </c>
      <c r="C82" s="116">
        <f>C60/(1+C80)^C76</f>
        <v>1.1075490653518336</v>
      </c>
      <c r="D82" s="116"/>
    </row>
    <row r="83" spans="2:8" ht="13.15">
      <c r="B83" s="110" t="s">
        <v>101</v>
      </c>
      <c r="C83" s="111">
        <f>C81+C82</f>
        <v>1.2927943625860749</v>
      </c>
      <c r="D83" t="str">
        <f>Market_currency</f>
        <v>HKD</v>
      </c>
      <c r="E83" s="146" t="s">
        <v>126</v>
      </c>
      <c r="F83" s="291">
        <f>(1-C83/C60)</f>
        <v>0.54345903968161513</v>
      </c>
    </row>
    <row r="84" spans="2:8">
      <c r="E84" s="120"/>
    </row>
    <row r="85" spans="2:8" ht="13.15">
      <c r="B85" s="109" t="s">
        <v>302</v>
      </c>
    </row>
    <row r="86" spans="2:8">
      <c r="B86" s="148" t="s">
        <v>300</v>
      </c>
      <c r="C86" s="116">
        <f>Market_Price</f>
        <v>3.01</v>
      </c>
      <c r="D86" t="str">
        <f>Market_currency</f>
        <v>HKD</v>
      </c>
    </row>
    <row r="87" spans="2:8" ht="13.15">
      <c r="B87" s="100" t="s">
        <v>298</v>
      </c>
      <c r="C87" s="237">
        <f ca="1">IRR(OFFSET($I$3, 0, 0, $C$76 + 1, 1))</f>
        <v>1.7738173660958978E-2</v>
      </c>
    </row>
    <row r="88" spans="2:8">
      <c r="B88" s="100"/>
    </row>
    <row r="89" spans="2:8" ht="13.15">
      <c r="B89" s="109" t="s">
        <v>412</v>
      </c>
    </row>
    <row r="90" spans="2:8">
      <c r="B90" s="148" t="s">
        <v>413</v>
      </c>
      <c r="C90" s="167">
        <f>Thesis!F30</f>
        <v>0.21740000000000001</v>
      </c>
    </row>
    <row r="91" spans="2:8">
      <c r="B91" s="100" t="s">
        <v>121</v>
      </c>
      <c r="C91" s="116">
        <f>PV(C90, C76, -C77, 0)</f>
        <v>0.22918990747432416</v>
      </c>
      <c r="D91" s="116"/>
      <c r="E91" s="100"/>
      <c r="F91" s="100"/>
    </row>
    <row r="92" spans="2:8">
      <c r="B92" s="100" t="s">
        <v>122</v>
      </c>
      <c r="C92" s="116">
        <f>C60/(1+C90)^C76</f>
        <v>1.5694584020780022</v>
      </c>
      <c r="D92" s="116"/>
    </row>
    <row r="93" spans="2:8" ht="13.15">
      <c r="B93" s="110" t="s">
        <v>101</v>
      </c>
      <c r="C93" s="111">
        <f>C91+C92</f>
        <v>1.7986483095523265</v>
      </c>
      <c r="D93" t="str">
        <f>Market_currency</f>
        <v>HKD</v>
      </c>
      <c r="E93" s="146" t="s">
        <v>126</v>
      </c>
      <c r="F93" s="291">
        <f>(1-C93/C60)</f>
        <v>0.36482038421374563</v>
      </c>
    </row>
    <row r="95" spans="2:8" ht="13.15">
      <c r="B95" s="109" t="s">
        <v>397</v>
      </c>
      <c r="G95" s="2"/>
      <c r="H95" s="281"/>
    </row>
    <row r="96" spans="2:8">
      <c r="B96" s="148" t="s">
        <v>403</v>
      </c>
      <c r="C96" s="134">
        <f>Thesis!F31</f>
        <v>7.4999999999999997E-2</v>
      </c>
      <c r="G96" s="2"/>
      <c r="H96" s="281"/>
    </row>
    <row r="97" spans="2:8">
      <c r="B97" s="100" t="s">
        <v>121</v>
      </c>
      <c r="C97" s="116">
        <f>PV(C96, C76, -C77, 0)</f>
        <v>0.29068182511865459</v>
      </c>
      <c r="D97" s="116"/>
      <c r="G97" s="2"/>
      <c r="H97" s="281"/>
    </row>
    <row r="98" spans="2:8">
      <c r="B98" s="100" t="s">
        <v>122</v>
      </c>
      <c r="C98" s="116">
        <f>C60/(1+C96)^C76</f>
        <v>2.2794197603657693</v>
      </c>
      <c r="D98" s="116"/>
      <c r="G98" s="2"/>
      <c r="H98" s="281"/>
    </row>
    <row r="99" spans="2:8" ht="13.15">
      <c r="B99" s="110" t="s">
        <v>398</v>
      </c>
      <c r="C99" s="111">
        <f>C97+C98</f>
        <v>2.5701015854844238</v>
      </c>
      <c r="D99" t="s">
        <v>396</v>
      </c>
      <c r="E99" s="146" t="s">
        <v>126</v>
      </c>
      <c r="F99" s="291">
        <f>(1-C99/C60)</f>
        <v>9.2387250509270546E-2</v>
      </c>
    </row>
    <row r="100" spans="2:8">
      <c r="B100" s="100"/>
    </row>
    <row r="101" spans="2:8" ht="13.15">
      <c r="B101" s="109" t="s">
        <v>422</v>
      </c>
    </row>
    <row r="102" spans="2:8">
      <c r="B102" s="148" t="s">
        <v>421</v>
      </c>
      <c r="C102" s="134">
        <f>Thesis!F32</f>
        <v>0.1174</v>
      </c>
    </row>
    <row r="103" spans="2:8">
      <c r="B103" s="100" t="s">
        <v>121</v>
      </c>
      <c r="C103" s="116">
        <f>PV(C102, C76, -C77, 0)</f>
        <v>0.26967619246458496</v>
      </c>
      <c r="D103" s="116"/>
    </row>
    <row r="104" spans="2:8">
      <c r="B104" s="100" t="s">
        <v>122</v>
      </c>
      <c r="C104" s="116">
        <f>C60/(1+C102)^C76</f>
        <v>2.0296619054034113</v>
      </c>
      <c r="D104" s="116"/>
    </row>
    <row r="105" spans="2:8" ht="13.15">
      <c r="B105" s="110" t="s">
        <v>398</v>
      </c>
      <c r="C105" s="111">
        <f>C103+C104</f>
        <v>2.299338097867996</v>
      </c>
      <c r="D105" t="s">
        <v>396</v>
      </c>
      <c r="E105" s="146" t="s">
        <v>126</v>
      </c>
      <c r="F105" s="291">
        <f>(1-C105/C66)</f>
        <v>0.1921795538548603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