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9769B5-9F0D-4E62-9B20-191D7BBD1BB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<sst xmlns="http://schemas.openxmlformats.org/spreadsheetml/2006/main" count="686" uniqueCount="466">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</sst>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2.67</v>
      </c>
      <c r="D12" s="50"/>
      <c r="E12" s="48"/>
    </row>
    <row r="13" spans="1:10">
      <c r="B13" s="1" t="s">
        <v>413</v>
      </c>
      <c r="C13" s="48" t="s">
        <v>393</v>
      </c>
      <c r="D13" s="48"/>
      <c r="E13" s="5"/>
    </row>
    <row r="14" spans="1:10">
      <c r="B14" s="4" t="s">
        <v>417</v>
      </c>
      <c r="C14" s="35">
        <f>Thesis!C12*Common_Shares/1000000</f>
        <v>3560.0004450000001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1.09349107</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2.8370956707486386</v>
      </c>
      <c r="D26" s="1" t="s">
        <v>396</v>
      </c>
      <c r="E26" s="301">
        <f ca="1">Scenarios!C87</f>
        <v>6.1416797926589828E-2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1.2945523720789367</v>
      </c>
      <c r="D29" s="310" t="str">
        <f>D149</f>
        <v/>
      </c>
      <c r="E29" s="306" t="s">
        <v>421</v>
      </c>
      <c r="F29" s="302">
        <v>0.3674</v>
      </c>
    </row>
    <row r="30" spans="2:6">
      <c r="B30" s="1" t="s">
        <v>423</v>
      </c>
      <c r="C30" s="311">
        <f>C157</f>
        <v>1.8012017434964176</v>
      </c>
      <c r="D30" s="311" t="str">
        <f>D157</f>
        <v/>
      </c>
      <c r="E30" s="307" t="s">
        <v>434</v>
      </c>
      <c r="F30" s="312">
        <v>0.21740000000000001</v>
      </c>
    </row>
    <row r="31" spans="2:6">
      <c r="B31" s="1" t="s">
        <v>424</v>
      </c>
      <c r="C31" s="311">
        <f>C165</f>
        <v>2.573888904266783</v>
      </c>
      <c r="D31" s="311" t="str">
        <f>D165</f>
        <v/>
      </c>
      <c r="E31" s="307" t="s">
        <v>433</v>
      </c>
      <c r="F31" s="312">
        <v>7.4999999999999997E-2</v>
      </c>
    </row>
    <row r="32" spans="2:6">
      <c r="B32" s="1" t="s">
        <v>425</v>
      </c>
      <c r="C32" s="311">
        <f>C173</f>
        <v>2.3026901765952292</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113776.93034265516</v>
      </c>
      <c r="D41" s="1" t="str">
        <f>Reporting_currency</f>
        <v>CNY</v>
      </c>
    </row>
    <row r="42" spans="1:6">
      <c r="B42" s="47"/>
      <c r="C42" s="76"/>
    </row>
    <row r="43" spans="1:6" ht="24.6" customHeight="1">
      <c r="B43" s="359" t="s">
        <v>232</v>
      </c>
      <c r="C43" s="359"/>
      <c r="D43" s="359"/>
      <c r="E43" s="359"/>
      <c r="F43" s="359"/>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25016.756164837396</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23136.756164837396</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-34228.42162687314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133754.7561648374</v>
      </c>
      <c r="D67" s="1" t="str">
        <f>Reporting_currency</f>
        <v>CNY</v>
      </c>
    </row>
    <row r="68" spans="1:6">
      <c r="B68" s="47" t="s">
        <v>247</v>
      </c>
      <c r="C68" s="349">
        <f>Normalized_FCF!C19</f>
        <v>102685.26488061942</v>
      </c>
      <c r="D68" s="1" t="str">
        <f>Reporting_currency</f>
        <v>CNY</v>
      </c>
    </row>
    <row r="69" spans="1:6">
      <c r="B69" s="227" t="s">
        <v>387</v>
      </c>
      <c r="C69" s="92">
        <f>Normalized_FCF!C126</f>
        <v>3.1540844419063532E-2</v>
      </c>
      <c r="F69" s="314"/>
    </row>
    <row r="70" spans="1:6">
      <c r="B70" s="227" t="s">
        <v>455</v>
      </c>
      <c r="C70" s="92">
        <f>Normalized_FCF!C94</f>
        <v>4.178624329792751E-2</v>
      </c>
      <c r="E70" s="47" t="s">
        <v>445</v>
      </c>
      <c r="F70" s="315">
        <f>Normalized_FCF!C92</f>
        <v>1.4486893022912839</v>
      </c>
    </row>
    <row r="72" spans="1:6">
      <c r="B72" s="210" t="s">
        <v>448</v>
      </c>
      <c r="C72" s="323" t="s">
        <v>450</v>
      </c>
      <c r="D72" s="323" t="s">
        <v>451</v>
      </c>
    </row>
    <row r="73" spans="1:6">
      <c r="B73" s="47" t="s">
        <v>449</v>
      </c>
      <c r="C73" s="92">
        <f>Normalized_FCF!C121</f>
        <v>4.3343218812144944E-2</v>
      </c>
      <c r="D73" s="92">
        <f>Normalized_FCF!G121</f>
        <v>5.7307606105824568E-2</v>
      </c>
    </row>
    <row r="74" spans="1:6">
      <c r="B74" s="259" t="str">
        <f>Normalized_FCF!B118</f>
        <v>Pre-tax Profit/Sales</v>
      </c>
      <c r="C74" s="322">
        <f>Normalized_FCF!C118</f>
        <v>8.412806495964277E-2</v>
      </c>
      <c r="D74" s="322">
        <f>Normalized_FCF!G118</f>
        <v>9.9458249820800412E-2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1.1228540613186619</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33999</v>
      </c>
      <c r="D102" s="1" t="str">
        <f>Reporting_currency</f>
        <v>CNY</v>
      </c>
    </row>
    <row r="103" spans="2:6">
      <c r="B103" s="47" t="s">
        <v>280</v>
      </c>
      <c r="C103" s="223">
        <f>C102*scaling_factor*Exchange_Rate/Common_Shares</f>
        <v>2.7883198681297666E-2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1876427.1094702443</v>
      </c>
      <c r="D109" s="1" t="str">
        <f>Reporting_currency</f>
        <v>CNY</v>
      </c>
    </row>
    <row r="110" spans="2:6">
      <c r="B110" s="47" t="s">
        <v>281</v>
      </c>
      <c r="C110" s="223">
        <f>C109*scaling_factor*Exchange_Rate/Common_Shares</f>
        <v>1.5388920234222154</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0.18829101954642777</v>
      </c>
      <c r="D114" s="1" t="str">
        <f>Market_currency</f>
        <v>HKD</v>
      </c>
    </row>
    <row r="116" spans="1:6" ht="24.6" customHeight="1">
      <c r="B116" s="358" t="s">
        <v>363</v>
      </c>
      <c r="C116" s="358"/>
      <c r="D116" s="358"/>
      <c r="E116" s="358"/>
      <c r="F116" s="358"/>
    </row>
    <row r="118" spans="1:6">
      <c r="B118" s="47" t="s">
        <v>446</v>
      </c>
      <c r="C118" s="223">
        <f>IF(valuation_method="DCF",DCF!C12,DDM!C7)</f>
        <v>2.8221539056060077</v>
      </c>
      <c r="D118" s="1" t="str">
        <f>Market_currency</f>
        <v>HKD</v>
      </c>
    </row>
    <row r="119" spans="1:6">
      <c r="B119" s="296" t="s">
        <v>402</v>
      </c>
      <c r="C119" s="223">
        <f>BS!D47</f>
        <v>1.9121752113007313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257</v>
      </c>
      <c r="C132" s="217">
        <f>Scenarios!C60</f>
        <v>2.8370956707486386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0.11156926960546645</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0.18489921180838978</v>
      </c>
    </row>
    <row r="148" spans="2:4">
      <c r="B148" s="212" t="str">
        <f>"+ PV(Equity Value realized at year "&amp;C141&amp;")"</f>
        <v>+ PV(Equity Value realized at year 3)</v>
      </c>
      <c r="C148" s="216">
        <f>Scenarios!C82</f>
        <v>1.1096531602705468</v>
      </c>
    </row>
    <row r="149" spans="2:4">
      <c r="B149" s="80" t="s">
        <v>259</v>
      </c>
      <c r="C149" s="215">
        <f>Scenarios!C83</f>
        <v>1.2945523720789367</v>
      </c>
      <c r="D149" s="300" t="str">
        <f>IF($D$11="","",C149*$E$25)</f>
        <v/>
      </c>
    </row>
    <row r="150" spans="2:4">
      <c r="B150" s="259" t="s">
        <v>413</v>
      </c>
      <c r="C150" s="298" t="str">
        <f>Market_currency</f>
        <v>HKD</v>
      </c>
      <c r="D150" s="298" t="str">
        <f>IF($D$11="","",D$13)</f>
        <v/>
      </c>
    </row>
    <row r="151" spans="2:4">
      <c r="B151" s="214" t="s">
        <v>261</v>
      </c>
      <c r="C151" s="92">
        <f>Scenarios!F83</f>
        <v>0.54370506943908004</v>
      </c>
    </row>
    <row r="153" spans="2:4">
      <c r="B153" s="210" t="s">
        <v>408</v>
      </c>
    </row>
    <row r="154" spans="2:4">
      <c r="B154" s="1" t="s">
        <v>407</v>
      </c>
      <c r="C154" s="297">
        <f>Scenarios!C90</f>
        <v>0.21740000000000001</v>
      </c>
    </row>
    <row r="155" spans="2:4">
      <c r="B155" s="212" t="str">
        <f>"PV("&amp;C141&amp;" yrs of Dividends)"</f>
        <v>PV(3 yrs of Dividends)</v>
      </c>
      <c r="C155" s="216">
        <f>Scenarios!C91</f>
        <v>0.22876172231705766</v>
      </c>
    </row>
    <row r="156" spans="2:4">
      <c r="B156" s="212" t="str">
        <f>"+ PV(Equity Value realized at year "&amp;C141&amp;")"</f>
        <v>+ PV(Equity Value realized at year 3)</v>
      </c>
      <c r="C156" s="216">
        <f>Scenarios!C92</f>
        <v>1.5724400211793599</v>
      </c>
    </row>
    <row r="157" spans="2:4">
      <c r="B157" s="80" t="s">
        <v>259</v>
      </c>
      <c r="C157" s="215">
        <f>Scenarios!C93</f>
        <v>1.8012017434964176</v>
      </c>
      <c r="D157" s="300" t="str">
        <f>IF($D$11="","",C157*$E$25)</f>
        <v/>
      </c>
    </row>
    <row r="158" spans="2:4">
      <c r="B158" s="259" t="s">
        <v>413</v>
      </c>
      <c r="C158" s="298" t="str">
        <f>Market_currency</f>
        <v>HKD</v>
      </c>
      <c r="D158" s="298" t="str">
        <f>IF($D$11="","",D$13)</f>
        <v/>
      </c>
    </row>
    <row r="159" spans="2:4">
      <c r="B159" s="214" t="s">
        <v>261</v>
      </c>
      <c r="C159" s="92">
        <f>Scenarios!F93</f>
        <v>0.36512477810763233</v>
      </c>
    </row>
    <row r="161" spans="2:4">
      <c r="B161" s="210" t="s">
        <v>397</v>
      </c>
    </row>
    <row r="162" spans="2:4">
      <c r="B162" s="1" t="s">
        <v>406</v>
      </c>
      <c r="C162" s="92">
        <f>Scenarios!C96</f>
        <v>7.4999999999999997E-2</v>
      </c>
    </row>
    <row r="163" spans="2:4">
      <c r="B163" s="212" t="str">
        <f>"PV("&amp;C141&amp;" yrs of Dividends)"</f>
        <v>PV(3 yrs of Dividends)</v>
      </c>
      <c r="C163" s="216">
        <f>Scenarios!C97</f>
        <v>0.29013875738772982</v>
      </c>
    </row>
    <row r="164" spans="2:4">
      <c r="B164" s="212" t="str">
        <f>"+ PV(Equity Value realized at year "&amp;C141&amp;")"</f>
        <v>+ PV(Equity Value realized at year 3)</v>
      </c>
      <c r="C164" s="216">
        <f>Scenarios!C98</f>
        <v>2.2837501468790533</v>
      </c>
    </row>
    <row r="165" spans="2:4">
      <c r="B165" s="80" t="s">
        <v>398</v>
      </c>
      <c r="C165" s="215">
        <f>Scenarios!C99</f>
        <v>2.573888904266783</v>
      </c>
      <c r="D165" s="300" t="str">
        <f>IF($D$11="","",C165*$E$25)</f>
        <v/>
      </c>
    </row>
    <row r="166" spans="2:4">
      <c r="B166" s="259" t="s">
        <v>413</v>
      </c>
      <c r="C166" s="298" t="str">
        <f>Market_currency</f>
        <v>HKD</v>
      </c>
      <c r="D166" s="298" t="str">
        <f>IF($D$11="","",D$13)</f>
        <v/>
      </c>
    </row>
    <row r="167" spans="2:4">
      <c r="B167" s="214" t="s">
        <v>261</v>
      </c>
      <c r="C167" s="92">
        <f>Scenarios!F99</f>
        <v>9.2773313637464327E-2</v>
      </c>
    </row>
    <row r="169" spans="2:4">
      <c r="B169" s="210" t="s">
        <v>429</v>
      </c>
    </row>
    <row r="170" spans="2:4">
      <c r="B170" s="1" t="s">
        <v>420</v>
      </c>
      <c r="C170" s="92">
        <f>F32</f>
        <v>0.1174</v>
      </c>
    </row>
    <row r="171" spans="2:4">
      <c r="B171" s="212" t="str">
        <f>"PV("&amp;C141&amp;" yrs of Dividends)"</f>
        <v>PV(3 yrs of Dividends)</v>
      </c>
      <c r="C171" s="216">
        <f>Scenarios!C103</f>
        <v>0.26917236860884031</v>
      </c>
    </row>
    <row r="172" spans="2:4">
      <c r="B172" s="212" t="str">
        <f>"+ PV(Equity Value realized at year "&amp;C141&amp;")"</f>
        <v>+ PV(Equity Value realized at year 3)</v>
      </c>
      <c r="C172" s="216">
        <f>Scenarios!C104</f>
        <v>2.0335178079863891</v>
      </c>
    </row>
    <row r="173" spans="2:4">
      <c r="B173" s="80" t="s">
        <v>398</v>
      </c>
      <c r="C173" s="215">
        <f>Scenarios!C105</f>
        <v>2.3026901765952292</v>
      </c>
      <c r="D173" s="300" t="str">
        <f>IF($D$11="","",C173*$E$25)</f>
        <v/>
      </c>
    </row>
    <row r="174" spans="2:4">
      <c r="B174" s="259" t="s">
        <v>413</v>
      </c>
      <c r="C174" s="298" t="str">
        <f>Market_currency</f>
        <v>HKD</v>
      </c>
      <c r="D174" s="298" t="str">
        <f>IF($D$11="","",D$13)</f>
        <v/>
      </c>
    </row>
    <row r="175" spans="2:4">
      <c r="B175" s="214" t="s">
        <v>261</v>
      </c>
      <c r="C175" s="92">
        <f>Scenarios!F105</f>
        <v>0.19253563447134048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0.11156926960546645</v>
      </c>
      <c r="D25" s="39">
        <f>(0.064+0.041)/Exchange_Rate</f>
        <v>9.6022732037491634E-2</v>
      </c>
      <c r="E25" s="39">
        <f>(0.022+0.0168)/Exchange_Rate</f>
        <v>3.5482685743377859E-2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0.11156926960546645</v>
      </c>
      <c r="D65" s="73">
        <f t="shared" ref="D65:M65" si="33">IF(D$4="","",D25)</f>
        <v>9.6022732037491634E-2</v>
      </c>
      <c r="E65" s="73">
        <f t="shared" si="33"/>
        <v>3.5482685743377859E-2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2.5919622479801041</v>
      </c>
      <c r="D47" s="147">
        <f>D46*H1/Common_Shares*Exchange_Rate</f>
        <v>1.9121752113007313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1876427.1094702443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-150914.92039462502</v>
      </c>
      <c r="D73" s="349">
        <f>(Normalized_FCF!C25+Normalized_FCF!C35-Normalized_FCF!C91)/12</f>
        <v>-138535.4817549593</v>
      </c>
      <c r="F73" s="1" t="s">
        <v>348</v>
      </c>
    </row>
    <row r="74" spans="2:6" ht="15" customHeight="1">
      <c r="B74" s="257" t="s">
        <v>318</v>
      </c>
      <c r="C74" s="258">
        <f>-$C$66/C73</f>
        <v>17.941499706721082</v>
      </c>
      <c r="D74" s="258">
        <f>-$C$66/D73</f>
        <v>19.544740204457202</v>
      </c>
      <c r="F74" s="253" t="s">
        <v>316</v>
      </c>
    </row>
    <row r="75" spans="2:6" ht="15" customHeight="1">
      <c r="B75" s="80" t="s">
        <v>317</v>
      </c>
      <c r="C75" s="320"/>
      <c r="D75" s="321">
        <f>MAX(-D73*D76,G5)</f>
        <v>831212.89052975574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-37177.60288893</v>
      </c>
      <c r="D86" s="223">
        <f>C86*scaling_factor/Common_Shares</f>
        <v>-2.7883198681297666E-2</v>
      </c>
      <c r="E86" s="240" t="str">
        <f>Market_currency</f>
        <v>HKD</v>
      </c>
    </row>
    <row r="87" spans="2:8" ht="15" customHeight="1">
      <c r="B87" s="238" t="s">
        <v>286</v>
      </c>
      <c r="C87" s="76">
        <f>DCF!C8*Exchange_Rate</f>
        <v>2051856.2877116245</v>
      </c>
      <c r="D87" s="223">
        <f>C87*scaling_factor/Common_Shares</f>
        <v>1.5388920234222156</v>
      </c>
      <c r="E87" s="240" t="str">
        <f>Market_currency</f>
        <v>HKD</v>
      </c>
    </row>
    <row r="88" spans="2:8" ht="15" customHeight="1">
      <c r="B88" s="239" t="s">
        <v>188</v>
      </c>
      <c r="C88" s="76">
        <f>DCF!C9*Exchange_Rate</f>
        <v>251054.72411040697</v>
      </c>
      <c r="D88" s="223">
        <f>C88*scaling_factor/Common_Shares</f>
        <v>0.18829101954642777</v>
      </c>
      <c r="E88" s="240" t="str">
        <f>Market_currency</f>
        <v>HKD</v>
      </c>
    </row>
    <row r="89" spans="2:8" ht="15" customHeight="1">
      <c r="B89" s="80" t="s">
        <v>290</v>
      </c>
      <c r="C89" s="180">
        <f>SUM(C86:C88)</f>
        <v>2265733.4089331017</v>
      </c>
      <c r="D89" s="242">
        <f>SUM(D86:D88)</f>
        <v>1.6992998442873457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23136.756164837396</v>
      </c>
      <c r="E12" s="268"/>
      <c r="G12" s="328">
        <f>G50</f>
        <v>23136.756164837392</v>
      </c>
      <c r="H12" s="328">
        <f t="shared" ref="H12:Q12" si="6">H50</f>
        <v>21654.246674428145</v>
      </c>
      <c r="I12" s="328">
        <f t="shared" si="6"/>
        <v>13058.904162120674</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136913.68650749256</v>
      </c>
      <c r="E13" s="268"/>
      <c r="G13" s="329">
        <f>IF(G$4="","",SUM(G8:G12))</f>
        <v>181024.7561648374</v>
      </c>
      <c r="H13" s="329">
        <f t="shared" ref="H13:Q13" si="7">IF(H$4="","",SUM(H8:H12))</f>
        <v>147470.24667442814</v>
      </c>
      <c r="I13" s="329">
        <f t="shared" si="7"/>
        <v>35756.904162120671</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-34228.42162687314</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102685.26488061942</v>
      </c>
      <c r="D16" s="61"/>
      <c r="E16" s="276"/>
      <c r="F16" s="61"/>
      <c r="G16" s="329">
        <f>IF(G$4="","",SUM(G13:G15))</f>
        <v>133754.7561648374</v>
      </c>
      <c r="H16" s="329">
        <f t="shared" ref="H16:Q16" si="8">IF(H$4="","",SUM(H13:H15))</f>
        <v>103021.24667442814</v>
      </c>
      <c r="I16" s="329">
        <f t="shared" si="8"/>
        <v>14739.904162120671</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102685.26488061942</v>
      </c>
      <c r="D19" s="27"/>
      <c r="E19" s="265"/>
      <c r="F19" s="27"/>
      <c r="G19" s="334">
        <f>IF(G$4="","",G16+G17)</f>
        <v>133754.7561648374</v>
      </c>
      <c r="H19" s="334">
        <f t="shared" ref="H19:Q19" si="9">IF(H$4="","",H16+H17)</f>
        <v>103021.24667442814</v>
      </c>
      <c r="I19" s="334">
        <f t="shared" si="9"/>
        <v>14739.904162120671</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0.26112450584911667</v>
      </c>
      <c r="H43" s="6">
        <f t="shared" si="18"/>
        <v>0.35052136722716382</v>
      </c>
      <c r="I43" s="6">
        <f t="shared" si="18"/>
        <v>1.3780822288688186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25016.756164837396</v>
      </c>
      <c r="E48" s="268"/>
      <c r="G48" s="337">
        <f>IFERROR(IF(G$4="","",($C$48/$C$49)*G49),0)</f>
        <v>25016.756164837392</v>
      </c>
      <c r="H48" s="337">
        <f t="shared" ref="H48:Q48" si="19">IFERROR(IF(H$4="","",($C$48/$C$49)*H49),0)</f>
        <v>22657.246674428145</v>
      </c>
      <c r="I48" s="337">
        <f t="shared" si="19"/>
        <v>13921.904162120674</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23136.756164837396</v>
      </c>
      <c r="E50" s="268"/>
      <c r="G50" s="329">
        <f>IF(G$4="","",(G47+G48))</f>
        <v>23136.756164837392</v>
      </c>
      <c r="H50" s="329">
        <f t="shared" ref="H50:Q50" si="20">IF(H$4="","",(H47+H48))</f>
        <v>21654.246674428145</v>
      </c>
      <c r="I50" s="329">
        <f t="shared" si="20"/>
        <v>13058.904162120674</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1.4216624906118037E-2</v>
      </c>
      <c r="D80" s="27"/>
      <c r="E80" s="265"/>
      <c r="F80" s="27"/>
      <c r="G80" s="6">
        <f t="shared" ref="G80:Q80" si="31">IF(G$4="","",ABS(G12/G$4))</f>
        <v>1.2711749063702479E-2</v>
      </c>
      <c r="H80" s="6">
        <f t="shared" si="31"/>
        <v>1.3403347192768034E-2</v>
      </c>
      <c r="I80" s="6">
        <f t="shared" si="31"/>
        <v>9.0270711554104582E-3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8.412806495964277E-2</v>
      </c>
      <c r="D81" s="27"/>
      <c r="E81" s="265"/>
      <c r="F81" s="27"/>
      <c r="G81" s="65">
        <f t="shared" ref="G81:Q81" si="32">IF(G$4="","",G13/G$4)</f>
        <v>9.9458249820800412E-2</v>
      </c>
      <c r="H81" s="65">
        <f t="shared" si="32"/>
        <v>9.1279782044539987E-2</v>
      </c>
      <c r="I81" s="65">
        <f t="shared" si="32"/>
        <v>2.4717243817818053E-2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2.1032016239910693E-2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6.3096048719732081E-2</v>
      </c>
      <c r="D84" s="27"/>
      <c r="E84" s="265"/>
      <c r="F84" s="27"/>
      <c r="G84" s="65">
        <f t="shared" ref="G84:Q84" si="35">IF(G$4="","",ABS(G16/G$4))</f>
        <v>7.3487263483725904E-2</v>
      </c>
      <c r="H84" s="65">
        <f t="shared" si="35"/>
        <v>6.3767147302325869E-2</v>
      </c>
      <c r="I84" s="65">
        <f t="shared" si="35"/>
        <v>1.0189075748128192E-2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6.3096048719732081E-2</v>
      </c>
      <c r="D87" s="75"/>
      <c r="E87" s="265"/>
      <c r="F87" s="75"/>
      <c r="G87" s="65">
        <f t="shared" ref="G87:Q87" si="36">IF(G$4="","",ABS(G19/G$4))</f>
        <v>7.3487263483725904E-2</v>
      </c>
      <c r="H87" s="65">
        <f t="shared" si="36"/>
        <v>6.3767147302325869E-2</v>
      </c>
      <c r="I87" s="65">
        <f t="shared" si="36"/>
        <v>1.0189075748128192E-2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0.11156926960546645</v>
      </c>
      <c r="E90" s="268"/>
      <c r="G90" s="112">
        <f>Data!C65</f>
        <v>0.11156926960546645</v>
      </c>
      <c r="H90" s="112">
        <f>Data!D65</f>
        <v>9.6022732037491634E-2</v>
      </c>
      <c r="I90" s="112">
        <f>Data!E65</f>
        <v>3.5482685743377859E-2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148759.04473550021</v>
      </c>
      <c r="E91" s="268"/>
      <c r="G91" s="74">
        <f t="shared" ref="G91:Q91" si="37">IF(G$4="","",G90*Common_Shares/scaling_factor)</f>
        <v>148759.04473550021</v>
      </c>
      <c r="H91" s="74">
        <f t="shared" si="37"/>
        <v>128030.32538711086</v>
      </c>
      <c r="I91" s="74">
        <f t="shared" si="37"/>
        <v>47310.253571618101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1.4486893022912839</v>
      </c>
      <c r="E92" s="268"/>
      <c r="G92" s="170">
        <f t="shared" ref="G92:Q92" si="38">IF(G$4="","",G90/(G19*scaling_factor/Common_Shares))</f>
        <v>1.1121776077418266</v>
      </c>
      <c r="H92" s="170">
        <f t="shared" si="38"/>
        <v>1.2427565140200389</v>
      </c>
      <c r="I92" s="170">
        <f t="shared" si="38"/>
        <v>3.2096717218283088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4.178624329792751E-2</v>
      </c>
      <c r="E94" s="268"/>
      <c r="G94" s="23">
        <f t="shared" ref="G94:Q94" si="39">IF(G$4="","",(G90*(1-dividend_tax_rate))/Market_Price)</f>
        <v>4.178624329792751E-2</v>
      </c>
      <c r="H94" s="23">
        <f t="shared" si="39"/>
        <v>3.5963570051494996E-2</v>
      </c>
      <c r="I94" s="23">
        <f t="shared" si="39"/>
        <v>1.3289395409504816E-2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-0.24367423877195127</v>
      </c>
      <c r="D98" s="27"/>
      <c r="E98" s="265"/>
      <c r="F98" s="27"/>
      <c r="G98" s="6">
        <f t="shared" ref="G98:Q98" si="41">IF(H5="","",G13/H13-1)</f>
        <v>0.22753409753553844</v>
      </c>
      <c r="H98" s="6">
        <f t="shared" si="41"/>
        <v>3.1242453766635592</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8.412806495964277E-2</v>
      </c>
      <c r="E118" s="268"/>
      <c r="G118" s="23">
        <f t="shared" ref="G118:Q118" si="45">IF(G4="","",IF(valuation_method="DDM",G13/(G4+G12),G81))</f>
        <v>9.9458249820800412E-2</v>
      </c>
      <c r="H118" s="23">
        <f t="shared" si="45"/>
        <v>9.1279782044539987E-2</v>
      </c>
      <c r="I118" s="23">
        <f t="shared" si="45"/>
        <v>2.4717243817818053E-2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4.3343218812144944E-2</v>
      </c>
      <c r="D121" s="103"/>
      <c r="E121" s="271"/>
      <c r="F121" s="103"/>
      <c r="G121" s="102">
        <f t="shared" ref="G121:Q121" si="48">IF(G$4="","",G13/G106)</f>
        <v>5.7307606105824568E-2</v>
      </c>
      <c r="H121" s="102">
        <f t="shared" si="48"/>
        <v>4.8713585169328937E-2</v>
      </c>
      <c r="I121" s="102">
        <f t="shared" si="48"/>
        <v>1.265924706437256E-2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8.4214054598899635E-2</v>
      </c>
      <c r="D125" s="27"/>
      <c r="E125" s="265"/>
      <c r="F125" s="27"/>
      <c r="G125" s="177">
        <f t="shared" ref="G125:Q125" si="49">IF(G$4="","",G16*$C$3/Common_Shares*Exchange_Rate)</f>
        <v>0.10969470986536912</v>
      </c>
      <c r="H125" s="177">
        <f t="shared" si="49"/>
        <v>8.4489599382865849E-2</v>
      </c>
      <c r="I125" s="177">
        <f t="shared" si="49"/>
        <v>1.208846366939313E-2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3.1540844419063532E-2</v>
      </c>
      <c r="D126" s="27"/>
      <c r="E126" s="265"/>
      <c r="F126" s="27"/>
      <c r="G126" s="77">
        <f t="shared" ref="G126" si="50">IF(G$4="","",G125/Market_Price)</f>
        <v>4.108416099826559E-2</v>
      </c>
      <c r="H126" s="77">
        <f t="shared" ref="H126" si="51">IF(H$4="","",H125/Market_Price)</f>
        <v>3.1644044712683839E-2</v>
      </c>
      <c r="I126" s="77">
        <f t="shared" ref="I126" si="52">IF(I$4="","",I125/Market_Price)</f>
        <v>4.5275144829187751E-3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5.484521786344889E-2</v>
      </c>
      <c r="H127" s="23">
        <f>IF(H$4="","",(Data!D47*$C$3)/(Market_Price*Common_Shares))</f>
        <v>4.8544095055583623E-2</v>
      </c>
      <c r="I127" s="23">
        <f>IF(I$4="","",(Data!E47*$C$3)/(Market_Price*Common_Shares))</f>
        <v>1.8386514555618266E-2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102685.26488061942</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1369136.8650749256</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1876427.1094702443</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3441155.0745451697</v>
      </c>
      <c r="D10" t="str">
        <f>Reporting_currency</f>
        <v>CNY</v>
      </c>
      <c r="H10" s="120"/>
    </row>
    <row r="11" spans="2:8" ht="13.15" thickBot="1">
      <c r="B11" s="207" t="s">
        <v>165</v>
      </c>
      <c r="C11" s="208">
        <f>Exchange_Rate</f>
        <v>1.09349107</v>
      </c>
      <c r="D11" t="str">
        <f>Thesis!C15</f>
        <v>CNY/HKD</v>
      </c>
      <c r="H11" s="120"/>
    </row>
    <row r="12" spans="2:8" ht="13.5" thickTop="1">
      <c r="B12" s="149" t="s">
        <v>102</v>
      </c>
      <c r="C12" s="111">
        <f>(C10*scaling_factor)/Common_Shares*Exchange_Rate</f>
        <v>2.8221539056060077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2.8517545478153976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103566.08896613916</v>
      </c>
      <c r="D21" s="138">
        <f>IF($C$17&lt;B21,0,DCF!$C$16)</f>
        <v>8.5779014792802307E-3</v>
      </c>
      <c r="E21" s="124">
        <f t="shared" ref="E21:E50" si="0">IF($C$17&lt;B21,0,1/(1+Equity_Cost)^B21)</f>
        <v>0.93023255813953487</v>
      </c>
      <c r="F21" s="125">
        <f t="shared" ref="F21:F51" si="1">C21*E21</f>
        <v>96340.547875478282</v>
      </c>
      <c r="H21" s="120"/>
    </row>
    <row r="22" spans="2:17">
      <c r="B22" s="122">
        <v>2</v>
      </c>
      <c r="C22" s="123">
        <f t="shared" ref="C22:C50" si="2">IF(ROW()-ROW($C$21)&lt;$C$17, $C$21*(1+D22)^(ROW()-ROW($C$21)), 0)</f>
        <v>104454.46867388506</v>
      </c>
      <c r="D22" s="138">
        <f>IF($C$17&lt;B22,0,DCF!$C$16)</f>
        <v>8.5779014792802307E-3</v>
      </c>
      <c r="E22" s="124">
        <f t="shared" si="0"/>
        <v>0.86533261222282321</v>
      </c>
      <c r="F22" s="125">
        <f t="shared" si="1"/>
        <v>90387.858235920008</v>
      </c>
      <c r="H22" s="120"/>
    </row>
    <row r="23" spans="2:17">
      <c r="B23" s="122">
        <v>3</v>
      </c>
      <c r="C23" s="123">
        <f t="shared" si="2"/>
        <v>105350.46881524019</v>
      </c>
      <c r="D23" s="138">
        <f>IF($C$17&lt;B23,0,DCF!$C$16)</f>
        <v>8.5779014792802307E-3</v>
      </c>
      <c r="E23" s="124">
        <f t="shared" si="0"/>
        <v>0.80496056950960304</v>
      </c>
      <c r="F23" s="125">
        <f t="shared" si="1"/>
        <v>84802.973375619418</v>
      </c>
      <c r="G23" s="338"/>
      <c r="H23" s="339"/>
      <c r="I23" s="338"/>
      <c r="J23" s="338"/>
      <c r="K23" s="338"/>
      <c r="L23" s="338"/>
      <c r="M23" s="338"/>
      <c r="N23" s="338"/>
      <c r="O23" s="338"/>
      <c r="P23" s="338"/>
      <c r="Q23" s="338"/>
    </row>
    <row r="24" spans="2:17">
      <c r="B24" s="122">
        <v>4</v>
      </c>
      <c r="C24" s="123">
        <f t="shared" si="2"/>
        <v>106254.1547575333</v>
      </c>
      <c r="D24" s="138">
        <f>IF($C$17&lt;B24,0,DCF!$C$16)</f>
        <v>8.5779014792802307E-3</v>
      </c>
      <c r="E24" s="124">
        <f t="shared" si="0"/>
        <v>0.7488005297763749</v>
      </c>
      <c r="F24" s="125">
        <f t="shared" si="1"/>
        <v>79563.167373381861</v>
      </c>
      <c r="G24" s="338"/>
      <c r="H24" s="339"/>
      <c r="I24" s="338"/>
      <c r="J24" s="338"/>
      <c r="K24" s="338"/>
      <c r="L24" s="338"/>
      <c r="M24" s="338"/>
      <c r="N24" s="338"/>
      <c r="O24" s="338"/>
      <c r="P24" s="338"/>
      <c r="Q24" s="338"/>
    </row>
    <row r="25" spans="2:17">
      <c r="B25" s="122">
        <v>5</v>
      </c>
      <c r="C25" s="123">
        <f t="shared" si="2"/>
        <v>107165.59242880761</v>
      </c>
      <c r="D25" s="138">
        <f>IF($C$17&lt;B25,0,DCF!$C$16)</f>
        <v>8.5779014792802307E-3</v>
      </c>
      <c r="E25" s="124">
        <f t="shared" si="0"/>
        <v>0.69655863235011617</v>
      </c>
      <c r="F25" s="125">
        <f t="shared" si="1"/>
        <v>74647.118497200194</v>
      </c>
      <c r="G25" s="338"/>
      <c r="H25" s="339"/>
      <c r="I25" s="338"/>
      <c r="J25" s="338"/>
      <c r="K25" s="338"/>
      <c r="L25" s="338"/>
      <c r="M25" s="338"/>
      <c r="N25" s="338"/>
      <c r="O25" s="338"/>
      <c r="P25" s="338"/>
      <c r="Q25" s="338"/>
    </row>
    <row r="26" spans="2:17">
      <c r="B26" s="122">
        <v>6</v>
      </c>
      <c r="C26" s="123">
        <f t="shared" si="2"/>
        <v>108084.84832263063</v>
      </c>
      <c r="D26" s="138">
        <f>IF($C$17&lt;B26,0,DCF!$C$16)</f>
        <v>8.5779014792802307E-3</v>
      </c>
      <c r="E26" s="124">
        <f t="shared" si="0"/>
        <v>0.64796151846522443</v>
      </c>
      <c r="F26" s="125">
        <f t="shared" si="1"/>
        <v>70034.822442215213</v>
      </c>
      <c r="H26" s="120"/>
    </row>
    <row r="27" spans="2:17">
      <c r="B27" s="122">
        <v>7</v>
      </c>
      <c r="C27" s="123">
        <f t="shared" si="2"/>
        <v>109011.98950294507</v>
      </c>
      <c r="D27" s="138">
        <f>IF($C$17&lt;B27,0,DCF!$C$16)</f>
        <v>8.5779014792802307E-3</v>
      </c>
      <c r="E27" s="124">
        <f t="shared" si="0"/>
        <v>0.60275490089788319</v>
      </c>
      <c r="F27" s="125">
        <f t="shared" si="1"/>
        <v>65707.51092952874</v>
      </c>
      <c r="H27" s="120"/>
    </row>
    <row r="28" spans="2:17">
      <c r="B28" s="122">
        <v>8</v>
      </c>
      <c r="C28" s="123">
        <f t="shared" si="2"/>
        <v>109947.08360896165</v>
      </c>
      <c r="D28" s="138">
        <f>IF($C$17&lt;B28,0,DCF!$C$16)</f>
        <v>8.5779014792802307E-3</v>
      </c>
      <c r="E28" s="124">
        <f t="shared" si="0"/>
        <v>0.56070223339337966</v>
      </c>
      <c r="F28" s="125">
        <f t="shared" si="1"/>
        <v>61647.575334633439</v>
      </c>
      <c r="H28" s="120"/>
    </row>
    <row r="29" spans="2:17">
      <c r="B29" s="122">
        <v>9</v>
      </c>
      <c r="C29" s="123">
        <f t="shared" si="2"/>
        <v>110890.1988600935</v>
      </c>
      <c r="D29" s="138">
        <f>IF($C$17&lt;B29,0,DCF!$C$16)</f>
        <v>8.5779014792802307E-3</v>
      </c>
      <c r="E29" s="124">
        <f t="shared" si="0"/>
        <v>0.52158347292407414</v>
      </c>
      <c r="F29" s="125">
        <f t="shared" si="1"/>
        <v>57838.495034688778</v>
      </c>
      <c r="H29" s="120"/>
    </row>
    <row r="30" spans="2:17">
      <c r="B30" s="122">
        <v>10</v>
      </c>
      <c r="C30" s="123">
        <f t="shared" si="2"/>
        <v>111841.40406093319</v>
      </c>
      <c r="D30" s="138">
        <f>IF($C$17&lt;B30,0,DCF!$C$16)</f>
        <v>8.5779014792802307E-3</v>
      </c>
      <c r="E30" s="124">
        <f t="shared" si="0"/>
        <v>0.48519392830146441</v>
      </c>
      <c r="F30" s="125">
        <f t="shared" si="1"/>
        <v>54264.770183075525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1380881.1862151888</v>
      </c>
      <c r="D51" s="139">
        <f>Terminal_Growth</f>
        <v>0</v>
      </c>
      <c r="E51" s="124">
        <f>1/(1+Equity_Cost)^C17</f>
        <v>0.48519392830146441</v>
      </c>
      <c r="F51" s="125">
        <f t="shared" si="1"/>
        <v>669995.16725733341</v>
      </c>
      <c r="H51" s="120"/>
    </row>
    <row r="52" spans="1:17">
      <c r="C52" s="114"/>
      <c r="E52" s="127" t="s">
        <v>100</v>
      </c>
      <c r="F52" s="137">
        <f>SUM(F21:F51)</f>
        <v>1405230.0065390749</v>
      </c>
      <c r="H52" s="120"/>
    </row>
    <row r="53" spans="1:17">
      <c r="C53" s="114"/>
      <c r="H53" s="120"/>
    </row>
    <row r="54" spans="1:17" ht="13.15">
      <c r="B54" s="119" t="s">
        <v>128</v>
      </c>
      <c r="C54" s="136"/>
      <c r="D54" s="136"/>
      <c r="E54" s="117"/>
      <c r="F54" s="117"/>
      <c r="H54" s="120"/>
    </row>
    <row r="55" spans="1:17" ht="13.15">
      <c r="A55" s="133">
        <f>F52</f>
        <v>1405230.0065390749</v>
      </c>
      <c r="B55" s="131">
        <f>C78</f>
        <v>-0.1</v>
      </c>
      <c r="C55" s="131">
        <f>C77</f>
        <v>-0.08</v>
      </c>
      <c r="D55" s="131">
        <f>C76</f>
        <v>0.02</v>
      </c>
      <c r="E55" s="131">
        <f>C75</f>
        <v>0.04</v>
      </c>
      <c r="F55" s="131">
        <f>C74</f>
        <v>0.08</v>
      </c>
      <c r="H55" s="120"/>
    </row>
    <row r="56" spans="1:17" ht="13.15">
      <c r="A56" s="143">
        <v>5</v>
      </c>
      <c r="B56" s="123">
        <f t="dataTable" ref="B56:F61" dt2D="1" dtr="1" r1="C16" r2="C17"/>
        <v>1169199.8401233233</v>
      </c>
      <c r="C56" s="123">
        <v>1207067.4986265381</v>
      </c>
      <c r="D56" s="123">
        <v>1412552.8841740526</v>
      </c>
      <c r="E56" s="123">
        <v>1457233.6966415902</v>
      </c>
      <c r="F56" s="123">
        <v>1550613.8267920271</v>
      </c>
      <c r="H56" s="120"/>
    </row>
    <row r="57" spans="1:17" ht="13.15">
      <c r="A57" s="143">
        <v>10</v>
      </c>
      <c r="B57" s="123">
        <v>1036621.3935376178</v>
      </c>
      <c r="C57" s="123">
        <v>1092182.8426098989</v>
      </c>
      <c r="D57" s="123">
        <v>1455605.4381384421</v>
      </c>
      <c r="E57" s="123">
        <v>1550685.4661890117</v>
      </c>
      <c r="F57" s="123">
        <v>1770931.5845231335</v>
      </c>
      <c r="H57" s="120"/>
    </row>
    <row r="58" spans="1:17" ht="13.15">
      <c r="A58" s="143">
        <v>15</v>
      </c>
      <c r="B58" s="123">
        <v>907798.0937815411</v>
      </c>
      <c r="C58" s="341">
        <v>976217.5292804162</v>
      </c>
      <c r="D58" s="123">
        <v>1510115.0131869426</v>
      </c>
      <c r="E58" s="123">
        <v>1675301.7617255701</v>
      </c>
      <c r="F58" s="123">
        <v>2098594.1670201328</v>
      </c>
      <c r="G58" s="338"/>
      <c r="H58" s="339"/>
      <c r="I58" s="338"/>
      <c r="J58" s="338"/>
      <c r="K58" s="338"/>
      <c r="L58" s="338"/>
      <c r="M58" s="338"/>
      <c r="N58" s="338"/>
      <c r="O58" s="338"/>
      <c r="P58" s="338"/>
      <c r="Q58" s="338"/>
    </row>
    <row r="59" spans="1:17" ht="13.15">
      <c r="A59" s="144">
        <v>20</v>
      </c>
      <c r="B59" s="123">
        <v>803062.6957240887</v>
      </c>
      <c r="C59" s="341">
        <v>878940.58392305451</v>
      </c>
      <c r="D59" s="123">
        <v>1566942.1344736435</v>
      </c>
      <c r="E59" s="123">
        <v>1812547.143119171</v>
      </c>
      <c r="F59" s="123">
        <v>2505117.6987469452</v>
      </c>
      <c r="G59" s="338"/>
      <c r="H59" s="339"/>
      <c r="I59" s="338"/>
      <c r="J59" s="338"/>
      <c r="K59" s="338"/>
      <c r="L59" s="338"/>
      <c r="M59" s="338"/>
      <c r="N59" s="338"/>
      <c r="O59" s="338"/>
      <c r="P59" s="338"/>
      <c r="Q59" s="338"/>
    </row>
    <row r="60" spans="1:17" ht="13.15">
      <c r="A60" s="144">
        <v>25</v>
      </c>
      <c r="B60" s="123">
        <v>723937.69253294985</v>
      </c>
      <c r="C60" s="341">
        <v>803606.38049108558</v>
      </c>
      <c r="D60" s="123">
        <v>1621028.4383324455</v>
      </c>
      <c r="E60" s="123">
        <v>1950895.3833102258</v>
      </c>
      <c r="F60" s="123">
        <v>2970757.4716951572</v>
      </c>
      <c r="G60" s="338"/>
      <c r="H60" s="339"/>
      <c r="I60" s="338"/>
      <c r="J60" s="338"/>
      <c r="K60" s="338"/>
      <c r="L60" s="338"/>
      <c r="M60" s="338"/>
      <c r="N60" s="338"/>
      <c r="O60" s="338"/>
      <c r="P60" s="338"/>
      <c r="Q60" s="338"/>
    </row>
    <row r="61" spans="1:17" ht="13.15">
      <c r="A61" s="144">
        <v>30</v>
      </c>
      <c r="B61" s="123">
        <v>666284.42976811843</v>
      </c>
      <c r="C61" s="341">
        <v>747654.0428640662</v>
      </c>
      <c r="D61" s="123">
        <v>1669856.2632873254</v>
      </c>
      <c r="E61" s="123">
        <v>2083491.3606304172</v>
      </c>
      <c r="F61" s="123">
        <v>3481858.3734231554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2.8221539056060077</v>
      </c>
      <c r="C65" s="124">
        <f>C12</f>
        <v>2.8221539056060077</v>
      </c>
      <c r="D65" s="124">
        <f>C12</f>
        <v>2.8221539056060077</v>
      </c>
      <c r="E65" s="141">
        <f>C12</f>
        <v>2.8221539056060077</v>
      </c>
      <c r="F65" s="124">
        <f>C12</f>
        <v>2.8221539056060077</v>
      </c>
      <c r="H65" s="120"/>
    </row>
    <row r="66" spans="1:8" ht="13.15">
      <c r="A66" s="143">
        <f t="shared" ref="A66:A71" si="3">A56</f>
        <v>5</v>
      </c>
      <c r="B66" s="124">
        <f t="shared" ref="B66:F71" si="4">(B56-$C$7+$C$8+$C$9)/Common_Shares*$C$3*Exchange_Rate</f>
        <v>2.6581819125922985</v>
      </c>
      <c r="C66" s="124">
        <f t="shared" si="4"/>
        <v>2.6892378685216101</v>
      </c>
      <c r="D66" s="124">
        <f t="shared" si="4"/>
        <v>2.8577601730401079</v>
      </c>
      <c r="E66" s="124">
        <f t="shared" si="4"/>
        <v>2.8944037205348621</v>
      </c>
      <c r="F66" s="124">
        <f t="shared" si="4"/>
        <v>2.9709864647882247</v>
      </c>
      <c r="H66" s="120"/>
    </row>
    <row r="67" spans="1:8" ht="13.15">
      <c r="A67" s="143">
        <f t="shared" si="3"/>
        <v>10</v>
      </c>
      <c r="B67" s="124">
        <f t="shared" si="4"/>
        <v>2.5494519156215922</v>
      </c>
      <c r="C67" s="124">
        <f t="shared" si="4"/>
        <v>2.595018871223322</v>
      </c>
      <c r="D67" s="124">
        <f t="shared" si="4"/>
        <v>2.8930683561021495</v>
      </c>
      <c r="E67" s="124">
        <f t="shared" si="4"/>
        <v>2.9710452175615276</v>
      </c>
      <c r="F67" s="124">
        <f t="shared" si="4"/>
        <v>3.1516730676834399</v>
      </c>
      <c r="H67" s="120"/>
    </row>
    <row r="68" spans="1:8" ht="13.15">
      <c r="A68" s="143">
        <f t="shared" si="3"/>
        <v>15</v>
      </c>
      <c r="B68" s="124">
        <f t="shared" si="4"/>
        <v>2.4438015829094821</v>
      </c>
      <c r="C68" s="124">
        <f t="shared" si="4"/>
        <v>2.499913607194824</v>
      </c>
      <c r="D68" s="124">
        <f t="shared" si="4"/>
        <v>2.9377726506728852</v>
      </c>
      <c r="E68" s="124">
        <f t="shared" si="4"/>
        <v>3.073245309545797</v>
      </c>
      <c r="F68" s="124">
        <f t="shared" si="4"/>
        <v>3.42039511504339</v>
      </c>
      <c r="H68" s="120"/>
    </row>
    <row r="69" spans="1:8" ht="13.15">
      <c r="A69" s="144">
        <f t="shared" si="3"/>
        <v>20</v>
      </c>
      <c r="B69" s="124">
        <f t="shared" si="4"/>
        <v>2.3579061767798679</v>
      </c>
      <c r="C69" s="124">
        <f t="shared" si="4"/>
        <v>2.4201350138682836</v>
      </c>
      <c r="D69" s="124">
        <f t="shared" si="4"/>
        <v>2.9843776070928767</v>
      </c>
      <c r="E69" s="124">
        <f t="shared" si="4"/>
        <v>3.1858027446906023</v>
      </c>
      <c r="F69" s="124">
        <f t="shared" si="4"/>
        <v>3.7537924621348191</v>
      </c>
      <c r="H69" s="120"/>
    </row>
    <row r="70" spans="1:8" ht="13.15">
      <c r="A70" s="144">
        <f t="shared" si="3"/>
        <v>25</v>
      </c>
      <c r="B70" s="124">
        <f t="shared" si="4"/>
        <v>2.293014321588926</v>
      </c>
      <c r="C70" s="124">
        <f t="shared" si="4"/>
        <v>2.3583520625523366</v>
      </c>
      <c r="D70" s="124">
        <f t="shared" si="4"/>
        <v>3.0287347692574107</v>
      </c>
      <c r="E70" s="124">
        <f t="shared" si="4"/>
        <v>3.2992646544072137</v>
      </c>
      <c r="F70" s="124">
        <f t="shared" si="4"/>
        <v>4.1356721145666349</v>
      </c>
    </row>
    <row r="71" spans="1:8" ht="13.15">
      <c r="A71" s="144">
        <f t="shared" si="3"/>
        <v>30</v>
      </c>
      <c r="B71" s="124">
        <f t="shared" si="4"/>
        <v>2.2457318315069572</v>
      </c>
      <c r="C71" s="124">
        <f t="shared" si="4"/>
        <v>2.3124645321327004</v>
      </c>
      <c r="D71" s="124">
        <f t="shared" si="4"/>
        <v>3.0687793571686015</v>
      </c>
      <c r="E71" s="124">
        <f t="shared" si="4"/>
        <v>3.408009028652331</v>
      </c>
      <c r="F71" s="124">
        <f t="shared" si="4"/>
        <v>4.5548352661026277</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3.42039511504339</v>
      </c>
      <c r="F74" s="142">
        <f>Scenarios!C58</f>
        <v>0.05</v>
      </c>
    </row>
    <row r="75" spans="1:8">
      <c r="B75" s="127" t="str">
        <f>Scenarios!B36</f>
        <v>Optimistic</v>
      </c>
      <c r="C75" s="142">
        <f>Scenarios!C38</f>
        <v>0.04</v>
      </c>
      <c r="D75" s="145">
        <f>Scenarios!C37</f>
        <v>10</v>
      </c>
      <c r="E75" s="135">
        <f>INDEX(B$65:F$71, MATCH(D75, A$65:A$71, 0), MATCH(C75, B$64:F$64, 0))</f>
        <v>2.9710452175615276</v>
      </c>
      <c r="F75" s="142">
        <f>Scenarios!C40*(1-F$74-F$78)</f>
        <v>0.17</v>
      </c>
      <c r="H75" s="120"/>
    </row>
    <row r="76" spans="1:8">
      <c r="B76" s="127" t="str">
        <f>Scenarios!B24</f>
        <v>Base</v>
      </c>
      <c r="C76" s="142">
        <f>Scenarios!C26</f>
        <v>0.02</v>
      </c>
      <c r="D76" s="145">
        <f>Scenarios!C25</f>
        <v>10</v>
      </c>
      <c r="E76" s="135">
        <f>INDEX(B$65:F$71, MATCH(D76, A$65:A$71, 0), MATCH(C76, B$64:F$64, 0))</f>
        <v>2.8930683561021495</v>
      </c>
      <c r="F76" s="142">
        <f>Scenarios!C28*(1-F$74-F$78)</f>
        <v>0.51</v>
      </c>
      <c r="H76" s="120"/>
    </row>
    <row r="77" spans="1:8">
      <c r="B77" s="127" t="str">
        <f>Scenarios!B30</f>
        <v>Pessimistic</v>
      </c>
      <c r="C77" s="142">
        <f>Scenarios!C32</f>
        <v>-0.08</v>
      </c>
      <c r="D77" s="145">
        <f>Scenarios!C31</f>
        <v>10</v>
      </c>
      <c r="E77" s="135">
        <f>INDEX(B$65:F$71, MATCH(D77, A$65:A$71, 0), MATCH(C77, B$64:F$64, 0))</f>
        <v>2.595018871223322</v>
      </c>
      <c r="F77" s="142">
        <f>Scenarios!C34*(1-F$74-F$78)</f>
        <v>0.17</v>
      </c>
      <c r="H77" s="120"/>
    </row>
    <row r="78" spans="1:8">
      <c r="B78" s="127" t="str">
        <f>Scenarios!B48</f>
        <v>Devil's advocate</v>
      </c>
      <c r="C78" s="142">
        <f>Scenarios!C50</f>
        <v>-0.1</v>
      </c>
      <c r="D78" s="145">
        <f>Scenarios!C49</f>
        <v>15</v>
      </c>
      <c r="E78" s="135">
        <f>INDEX(B$65:F$71, MATCH(D78, A$65:A$71, 0), MATCH(C78, B$64:F$64, 0))</f>
        <v>2.4438015829094821</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148759.04473550021</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1983453.9298066695</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1.5268060674481432</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150035.08516539316</v>
      </c>
      <c r="D16" s="138">
        <f>IF($C$12&lt;B16,0,DDM!$C$11)</f>
        <v>8.5779014792802307E-3</v>
      </c>
      <c r="E16" s="124">
        <f t="shared" ref="E16:E45" si="0">IF($C$12&lt;B16,0,1/(1+Equity_Cost)^B16)</f>
        <v>0.93023255813953487</v>
      </c>
      <c r="F16" s="125">
        <f t="shared" ref="F16:F46" si="1">C16*E16</f>
        <v>139567.52108408665</v>
      </c>
      <c r="H16" s="120"/>
    </row>
    <row r="17" spans="2:8">
      <c r="B17" s="122">
        <v>2</v>
      </c>
      <c r="C17" s="123">
        <f t="shared" ref="C17:C45" si="2">IF(ROW()-ROW($C$16)&lt;$C$12, $C$16*(1+D17)^(ROW()-ROW($C$16)), 0)</f>
        <v>151322.0713443773</v>
      </c>
      <c r="D17" s="138">
        <f>IF($C$12&lt;B17,0,DDM!$C$11)</f>
        <v>8.5779014792802307E-3</v>
      </c>
      <c r="E17" s="124">
        <f t="shared" si="0"/>
        <v>0.86533261222282321</v>
      </c>
      <c r="F17" s="125">
        <f t="shared" si="1"/>
        <v>130943.92328339843</v>
      </c>
      <c r="H17" s="120"/>
    </row>
    <row r="18" spans="2:8">
      <c r="B18" s="122">
        <v>3</v>
      </c>
      <c r="C18" s="123">
        <f t="shared" si="2"/>
        <v>152620.09716400996</v>
      </c>
      <c r="D18" s="138">
        <f>IF($C$12&lt;B18,0,DDM!$C$11)</f>
        <v>8.5779014792802307E-3</v>
      </c>
      <c r="E18" s="124">
        <f t="shared" si="0"/>
        <v>0.80496056950960304</v>
      </c>
      <c r="F18" s="125">
        <f t="shared" si="1"/>
        <v>122853.16033175241</v>
      </c>
      <c r="H18" s="120"/>
    </row>
    <row r="19" spans="2:8">
      <c r="B19" s="122">
        <v>4</v>
      </c>
      <c r="C19" s="123">
        <f t="shared" si="2"/>
        <v>153929.25732124099</v>
      </c>
      <c r="D19" s="138">
        <f>IF($C$12&lt;B19,0,DDM!$C$11)</f>
        <v>8.5779014792802307E-3</v>
      </c>
      <c r="E19" s="124">
        <f t="shared" si="0"/>
        <v>0.7488005297763749</v>
      </c>
      <c r="F19" s="125">
        <f t="shared" si="1"/>
        <v>115262.30943022919</v>
      </c>
      <c r="H19" s="120"/>
    </row>
    <row r="20" spans="2:8">
      <c r="B20" s="122">
        <v>5</v>
      </c>
      <c r="C20" s="123">
        <f t="shared" si="2"/>
        <v>155249.64732532139</v>
      </c>
      <c r="D20" s="138">
        <f>IF($C$12&lt;B20,0,DDM!$C$11)</f>
        <v>8.5779014792802307E-3</v>
      </c>
      <c r="E20" s="124">
        <f t="shared" si="0"/>
        <v>0.69655863235011617</v>
      </c>
      <c r="F20" s="125">
        <f t="shared" si="1"/>
        <v>108140.48201376374</v>
      </c>
      <c r="H20" s="120"/>
    </row>
    <row r="21" spans="2:8">
      <c r="B21" s="122">
        <v>6</v>
      </c>
      <c r="C21" s="123">
        <f t="shared" si="2"/>
        <v>156581.363504771</v>
      </c>
      <c r="D21" s="138">
        <f>IF($C$12&lt;B21,0,DDM!$C$11)</f>
        <v>8.5779014792802307E-3</v>
      </c>
      <c r="E21" s="124">
        <f t="shared" si="0"/>
        <v>0.64796151846522443</v>
      </c>
      <c r="F21" s="125">
        <f t="shared" si="1"/>
        <v>101458.69805990669</v>
      </c>
      <c r="H21" s="120"/>
    </row>
    <row r="22" spans="2:8">
      <c r="B22" s="122">
        <v>7</v>
      </c>
      <c r="C22" s="123">
        <f t="shared" si="2"/>
        <v>157924.50301440625</v>
      </c>
      <c r="D22" s="138">
        <f>IF($C$12&lt;B22,0,DDM!$C$11)</f>
        <v>8.5779014792802307E-3</v>
      </c>
      <c r="E22" s="124">
        <f t="shared" si="0"/>
        <v>0.60275490089788319</v>
      </c>
      <c r="F22" s="125">
        <f t="shared" si="1"/>
        <v>95189.768163795889</v>
      </c>
      <c r="H22" s="120"/>
    </row>
    <row r="23" spans="2:8">
      <c r="B23" s="122">
        <v>8</v>
      </c>
      <c r="C23" s="123">
        <f t="shared" si="2"/>
        <v>159279.1638424281</v>
      </c>
      <c r="D23" s="138">
        <f>IF($C$12&lt;B23,0,DDM!$C$11)</f>
        <v>8.5779014792802307E-3</v>
      </c>
      <c r="E23" s="124">
        <f t="shared" si="0"/>
        <v>0.56070223339337966</v>
      </c>
      <c r="F23" s="125">
        <f t="shared" si="1"/>
        <v>89308.182899479478</v>
      </c>
      <c r="H23" s="120"/>
    </row>
    <row r="24" spans="2:8">
      <c r="B24" s="122">
        <v>9</v>
      </c>
      <c r="C24" s="123">
        <f t="shared" si="2"/>
        <v>160645.44481757056</v>
      </c>
      <c r="D24" s="138">
        <f>IF($C$12&lt;B24,0,DDM!$C$11)</f>
        <v>8.5779014792802307E-3</v>
      </c>
      <c r="E24" s="124">
        <f t="shared" si="0"/>
        <v>0.52158347292407414</v>
      </c>
      <c r="F24" s="125">
        <f t="shared" si="1"/>
        <v>83790.009017381162</v>
      </c>
      <c r="H24" s="120"/>
    </row>
    <row r="25" spans="2:8">
      <c r="B25" s="122">
        <v>10</v>
      </c>
      <c r="C25" s="123">
        <f t="shared" si="2"/>
        <v>162023.44561631084</v>
      </c>
      <c r="D25" s="138">
        <f>IF($C$12&lt;B25,0,DDM!$C$11)</f>
        <v>8.5779014792802307E-3</v>
      </c>
      <c r="E25" s="124">
        <f t="shared" si="0"/>
        <v>0.48519392830146441</v>
      </c>
      <c r="F25" s="125">
        <f t="shared" si="1"/>
        <v>78612.792055516533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2000467.8022052422</v>
      </c>
      <c r="D46" s="139">
        <f>Terminal_Growth</f>
        <v>0</v>
      </c>
      <c r="E46" s="124">
        <f>1/(1+Equity_Cost)^C12</f>
        <v>0.48519392830146441</v>
      </c>
      <c r="F46" s="125">
        <f t="shared" si="1"/>
        <v>970614.83139255841</v>
      </c>
      <c r="H46" s="120"/>
    </row>
    <row r="47" spans="2:8">
      <c r="C47" s="114"/>
      <c r="E47" s="127" t="s">
        <v>100</v>
      </c>
      <c r="F47" s="137">
        <f>SUM(F16:F46)</f>
        <v>2035741.6777318688</v>
      </c>
      <c r="H47" s="120"/>
    </row>
    <row r="48" spans="2:8">
      <c r="C48" s="114"/>
      <c r="H48" s="120"/>
    </row>
    <row r="49" spans="1:8" ht="13.15">
      <c r="B49" s="119" t="s">
        <v>128</v>
      </c>
      <c r="C49" s="136"/>
      <c r="D49" s="136"/>
      <c r="E49" s="117"/>
      <c r="F49" s="117"/>
      <c r="H49" s="120"/>
    </row>
    <row r="50" spans="1:8" ht="13.15">
      <c r="A50" s="133">
        <f>F47</f>
        <v>2035741.6777318688</v>
      </c>
      <c r="B50" s="131">
        <f>C73</f>
        <v>-0.1</v>
      </c>
      <c r="C50" s="131">
        <f>C72</f>
        <v>-0.08</v>
      </c>
      <c r="D50" s="131">
        <f>C71</f>
        <v>0.02</v>
      </c>
      <c r="E50" s="131">
        <f>C70</f>
        <v>0.04</v>
      </c>
      <c r="F50" s="131">
        <f>C69</f>
        <v>0.08</v>
      </c>
      <c r="H50" s="120"/>
    </row>
    <row r="51" spans="1:8" ht="13.15">
      <c r="A51" s="143">
        <v>5</v>
      </c>
      <c r="B51" s="123">
        <f t="dataTable" ref="B51:F56" dt2D="1" dtr="1" r1="C11" r2="C12"/>
        <v>1693807.3006273375</v>
      </c>
      <c r="C51" s="123">
        <v>1748665.7724037648</v>
      </c>
      <c r="D51" s="123">
        <v>2046350.2522236488</v>
      </c>
      <c r="E51" s="123">
        <v>2111078.8672630535</v>
      </c>
      <c r="F51" s="123">
        <v>2246357.6628585598</v>
      </c>
      <c r="H51" s="120"/>
    </row>
    <row r="52" spans="1:8" ht="13.15">
      <c r="A52" s="143">
        <v>10</v>
      </c>
      <c r="B52" s="123">
        <v>1501742.3233442297</v>
      </c>
      <c r="C52" s="123">
        <v>1582233.6002350454</v>
      </c>
      <c r="D52" s="123">
        <v>2108720.0265881782</v>
      </c>
      <c r="E52" s="123">
        <v>2246461.4460865934</v>
      </c>
      <c r="F52" s="123">
        <v>2565529.641588416</v>
      </c>
      <c r="H52" s="120"/>
    </row>
    <row r="53" spans="1:8" ht="13.15">
      <c r="A53" s="143">
        <v>15</v>
      </c>
      <c r="B53" s="123">
        <v>1315117.3871017382</v>
      </c>
      <c r="C53" s="123">
        <v>1414235.8913777668</v>
      </c>
      <c r="D53" s="123">
        <v>2187687.4648333844</v>
      </c>
      <c r="E53" s="123">
        <v>2426991.7403215747</v>
      </c>
      <c r="F53" s="123">
        <v>3040210.9196129548</v>
      </c>
      <c r="H53" s="120"/>
    </row>
    <row r="54" spans="1:8" ht="13.15">
      <c r="A54" s="144">
        <v>20</v>
      </c>
      <c r="B54" s="123">
        <v>1163388.3363646874</v>
      </c>
      <c r="C54" s="123">
        <v>1273311.8212789835</v>
      </c>
      <c r="D54" s="123">
        <v>2270012.3075214378</v>
      </c>
      <c r="E54" s="123">
        <v>2625817.656135371</v>
      </c>
      <c r="F54" s="123">
        <v>3629137.2111552591</v>
      </c>
      <c r="H54" s="120"/>
    </row>
    <row r="55" spans="1:8" ht="13.15">
      <c r="A55" s="144">
        <v>25</v>
      </c>
      <c r="B55" s="123">
        <v>1048760.7906979211</v>
      </c>
      <c r="C55" s="123">
        <v>1164175.9666704545</v>
      </c>
      <c r="D55" s="123">
        <v>2348366.5573221594</v>
      </c>
      <c r="E55" s="123">
        <v>2826241.2716909773</v>
      </c>
      <c r="F55" s="123">
        <v>4303704.5689466763</v>
      </c>
      <c r="H55" s="120"/>
    </row>
    <row r="56" spans="1:8" ht="13.15">
      <c r="A56" s="144">
        <v>30</v>
      </c>
      <c r="B56" s="123">
        <v>965239.12568832142</v>
      </c>
      <c r="C56" s="123">
        <v>1083118.4137120019</v>
      </c>
      <c r="D56" s="123">
        <v>2419102.9049884453</v>
      </c>
      <c r="E56" s="123">
        <v>3018331.6455615959</v>
      </c>
      <c r="F56" s="123">
        <v>5044130.9776714556</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1.4341126256395489</v>
      </c>
      <c r="D61" s="124">
        <f t="shared" si="4"/>
        <v>1.6782490853929699</v>
      </c>
      <c r="E61" s="124">
        <f t="shared" si="4"/>
        <v>1.7313342006466235</v>
      </c>
      <c r="F61" s="124">
        <f t="shared" si="4"/>
        <v>1.8422788029865789</v>
      </c>
      <c r="H61" s="120"/>
    </row>
    <row r="62" spans="1:8" ht="13.15">
      <c r="A62" s="143">
        <f t="shared" si="3"/>
        <v>10</v>
      </c>
      <c r="B62" s="124">
        <f t="shared" si="4"/>
        <v>1.2316062110626995</v>
      </c>
      <c r="C62" s="124">
        <f t="shared" si="4"/>
        <v>1.2976185721809077</v>
      </c>
      <c r="D62" s="124">
        <f t="shared" si="4"/>
        <v>1.7293996724782925</v>
      </c>
      <c r="E62" s="124">
        <f t="shared" si="4"/>
        <v>1.8423639175007427</v>
      </c>
      <c r="F62" s="124">
        <f t="shared" si="4"/>
        <v>2.104037551668231</v>
      </c>
      <c r="H62" s="120"/>
    </row>
    <row r="63" spans="1:8" ht="13.15">
      <c r="A63" s="143">
        <f t="shared" si="3"/>
        <v>15</v>
      </c>
      <c r="B63" s="124">
        <f t="shared" si="4"/>
        <v>1.0785517042791499</v>
      </c>
      <c r="C63" s="124">
        <f t="shared" si="4"/>
        <v>1.1598405935912344</v>
      </c>
      <c r="D63" s="124">
        <f t="shared" si="4"/>
        <v>1.7941623057893954</v>
      </c>
      <c r="E63" s="124">
        <f t="shared" si="4"/>
        <v>1.9904200974515387</v>
      </c>
      <c r="F63" s="124">
        <f t="shared" si="4"/>
        <v>2.4933323069684019</v>
      </c>
      <c r="H63" s="120"/>
    </row>
    <row r="64" spans="1:8" ht="13.15">
      <c r="A64" s="144">
        <f t="shared" si="3"/>
        <v>20</v>
      </c>
      <c r="B64" s="124">
        <f t="shared" si="4"/>
        <v>0.95411594830321289</v>
      </c>
      <c r="C64" s="124">
        <f t="shared" si="4"/>
        <v>1.0442661988872284</v>
      </c>
      <c r="D64" s="124">
        <f t="shared" si="4"/>
        <v>1.8616784075887887</v>
      </c>
      <c r="E64" s="124">
        <f t="shared" si="4"/>
        <v>2.1534808496391626</v>
      </c>
      <c r="F64" s="124">
        <f t="shared" si="4"/>
        <v>2.9763214771120503</v>
      </c>
      <c r="H64" s="120"/>
    </row>
    <row r="65" spans="1:8" ht="13.15">
      <c r="A65" s="144">
        <f t="shared" si="3"/>
        <v>25</v>
      </c>
      <c r="B65" s="124">
        <f t="shared" si="4"/>
        <v>0.86010781188226038</v>
      </c>
      <c r="C65" s="124">
        <f t="shared" si="4"/>
        <v>0.95476189825183244</v>
      </c>
      <c r="D65" s="124">
        <f t="shared" si="4"/>
        <v>1.9259381538965492</v>
      </c>
      <c r="E65" s="124">
        <f t="shared" si="4"/>
        <v>2.3178519044631574</v>
      </c>
      <c r="F65" s="124">
        <f t="shared" si="4"/>
        <v>3.5295464443527367</v>
      </c>
    </row>
    <row r="66" spans="1:8" ht="13.15">
      <c r="A66" s="144">
        <f t="shared" si="3"/>
        <v>30</v>
      </c>
      <c r="B66" s="124">
        <f t="shared" si="4"/>
        <v>0.79161017431481862</v>
      </c>
      <c r="C66" s="124">
        <f t="shared" si="4"/>
        <v>0.88828512382433922</v>
      </c>
      <c r="D66" s="124">
        <f t="shared" si="4"/>
        <v>1.9839503200181525</v>
      </c>
      <c r="E66" s="124">
        <f t="shared" si="4"/>
        <v>2.4753887161164183</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-2.67</v>
      </c>
    </row>
    <row r="4" spans="2:9">
      <c r="B4" s="152" t="s">
        <v>145</v>
      </c>
      <c r="C4" s="120">
        <v>2</v>
      </c>
      <c r="D4" s="120"/>
      <c r="E4" s="155" t="s">
        <v>149</v>
      </c>
      <c r="F4" s="155"/>
      <c r="H4" s="247">
        <v>1</v>
      </c>
      <c r="I4" s="124">
        <f t="shared" ref="I4:I13" si="0">IF(ROW()-3 &lt; $C$76, $C$77, IF(ROW()-3 = $C$76, $C$77 + $C$60, ""))</f>
        <v>0.11156926960546645</v>
      </c>
    </row>
    <row r="5" spans="2:9">
      <c r="H5" s="247">
        <v>2</v>
      </c>
      <c r="I5" s="124">
        <f t="shared" si="0"/>
        <v>0.11156926960546645</v>
      </c>
    </row>
    <row r="6" spans="2:9" ht="13.15">
      <c r="B6" s="159" t="s">
        <v>95</v>
      </c>
      <c r="C6" s="107">
        <f>DCF!C3</f>
        <v>1000</v>
      </c>
      <c r="E6" s="100" t="s">
        <v>278</v>
      </c>
      <c r="F6" s="100"/>
      <c r="H6" s="247">
        <v>3</v>
      </c>
      <c r="I6" s="124">
        <f t="shared" si="0"/>
        <v>2.9486649403541052</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133754.7561648374</v>
      </c>
      <c r="D8" t="str">
        <f>Reporting_currency</f>
        <v>CNY</v>
      </c>
      <c r="E8" s="368"/>
      <c r="F8" s="368"/>
      <c r="H8" s="247">
        <v>5</v>
      </c>
      <c r="I8" s="124" t="str">
        <f t="shared" si="0"/>
        <v/>
      </c>
    </row>
    <row r="9" spans="2:9">
      <c r="B9" s="100" t="s">
        <v>57</v>
      </c>
      <c r="C9" s="338">
        <f>Normalized_FCF!C19</f>
        <v>102685.26488061942</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2.0123628782970631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2.67</v>
      </c>
      <c r="D21" t="str">
        <f>Market_currency</f>
        <v>HKD</v>
      </c>
      <c r="E21" s="369"/>
      <c r="F21" s="369"/>
    </row>
    <row r="22" spans="2:6">
      <c r="B22" s="100" t="s">
        <v>277</v>
      </c>
      <c r="C22" s="160">
        <f>IF(valuation_method="DCF",DCF!C12,DDM!C7)</f>
        <v>2.8221539056060077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2.8930683561021495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2.595018871223322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2.9710452175615276</v>
      </c>
      <c r="D39" t="str">
        <f>Market_currency</f>
        <v>HKD</v>
      </c>
      <c r="E39" s="367"/>
      <c r="F39" s="367"/>
    </row>
    <row r="40" spans="2:6">
      <c r="B40" s="100" t="s">
        <v>146</v>
      </c>
      <c r="C40" s="167">
        <f>1-C28-C34</f>
        <v>0.2</v>
      </c>
      <c r="D40" s="165"/>
      <c r="E40" s="367"/>
      <c r="F40" s="367"/>
    </row>
    <row r="42" spans="2:6" ht="13.15">
      <c r="B42" s="100" t="s">
        <v>119</v>
      </c>
      <c r="C42" s="154">
        <f>C27*C28+C33*C34+C39*C40</f>
        <v>2.8490538314182596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2.4438015829094821</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3.42039511504339</v>
      </c>
      <c r="D57" t="str">
        <f>Market_currency</f>
        <v>HKD</v>
      </c>
      <c r="E57" s="367"/>
      <c r="F57" s="367"/>
    </row>
    <row r="58" spans="2:6">
      <c r="B58" s="100" t="s">
        <v>146</v>
      </c>
      <c r="C58" s="165">
        <v>0.05</v>
      </c>
      <c r="D58" s="165"/>
      <c r="E58" s="367"/>
      <c r="F58" s="367"/>
    </row>
    <row r="60" spans="2:6" ht="13.15">
      <c r="B60" s="100" t="s">
        <v>119</v>
      </c>
      <c r="C60" s="154">
        <f>C51*C52+C57*C58+C42*(1-C52-C58)</f>
        <v>2.8370956707486386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2.8517545478153976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0.5989575402083438</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0.11156926960546645</v>
      </c>
      <c r="D77" t="str">
        <f>Market_currency</f>
        <v>HKD</v>
      </c>
    </row>
    <row r="79" spans="2:6" ht="13.15">
      <c r="B79" s="109" t="s">
        <v>300</v>
      </c>
    </row>
    <row r="80" spans="2:6">
      <c r="B80" s="148" t="s">
        <v>298</v>
      </c>
      <c r="C80" s="167">
        <f>Thesis!F29</f>
        <v>0.3674</v>
      </c>
    </row>
    <row r="81" spans="2:8">
      <c r="B81" s="100" t="s">
        <v>120</v>
      </c>
      <c r="C81" s="116">
        <f>PV(C80, C76, -C77, 0)</f>
        <v>0.18489921180838978</v>
      </c>
      <c r="D81" s="116"/>
      <c r="E81" s="100"/>
      <c r="F81" s="100"/>
    </row>
    <row r="82" spans="2:8">
      <c r="B82" s="100" t="s">
        <v>121</v>
      </c>
      <c r="C82" s="116">
        <f>C60/(1+C80)^C76</f>
        <v>1.1096531602705468</v>
      </c>
      <c r="D82" s="116"/>
    </row>
    <row r="83" spans="2:8" ht="13.15">
      <c r="B83" s="110" t="s">
        <v>101</v>
      </c>
      <c r="C83" s="111">
        <f>C81+C82</f>
        <v>1.2945523720789367</v>
      </c>
      <c r="D83" t="str">
        <f>Market_currency</f>
        <v>HKD</v>
      </c>
      <c r="E83" s="146" t="s">
        <v>125</v>
      </c>
      <c r="F83" s="291">
        <f>(1-C83/C60)</f>
        <v>0.54370506943908004</v>
      </c>
    </row>
    <row r="84" spans="2:8">
      <c r="E84" s="120"/>
    </row>
    <row r="85" spans="2:8" ht="13.15">
      <c r="B85" s="109" t="s">
        <v>301</v>
      </c>
    </row>
    <row r="86" spans="2:8">
      <c r="B86" s="148" t="s">
        <v>299</v>
      </c>
      <c r="C86" s="116">
        <f>Market_Price</f>
        <v>2.67</v>
      </c>
      <c r="D86" t="str">
        <f>Market_currency</f>
        <v>HKD</v>
      </c>
    </row>
    <row r="87" spans="2:8" ht="13.15">
      <c r="B87" s="100" t="s">
        <v>297</v>
      </c>
      <c r="C87" s="237">
        <f ca="1">IRR(OFFSET($I$3, 0, 0, $C$76 + 1, 1))</f>
        <v>6.1416797926589828E-2</v>
      </c>
    </row>
    <row r="88" spans="2:8">
      <c r="B88" s="100"/>
    </row>
    <row r="89" spans="2:8" ht="13.15">
      <c r="B89" s="109" t="s">
        <v>409</v>
      </c>
    </row>
    <row r="90" spans="2:8">
      <c r="B90" s="148" t="s">
        <v>410</v>
      </c>
      <c r="C90" s="167">
        <f>Thesis!F30</f>
        <v>0.21740000000000001</v>
      </c>
    </row>
    <row r="91" spans="2:8">
      <c r="B91" s="100" t="s">
        <v>120</v>
      </c>
      <c r="C91" s="116">
        <f>PV(C90, C76, -C77, 0)</f>
        <v>0.22876172231705766</v>
      </c>
      <c r="D91" s="116"/>
      <c r="E91" s="100"/>
      <c r="F91" s="100"/>
    </row>
    <row r="92" spans="2:8">
      <c r="B92" s="100" t="s">
        <v>121</v>
      </c>
      <c r="C92" s="116">
        <f>C60/(1+C90)^C76</f>
        <v>1.5724400211793599</v>
      </c>
      <c r="D92" s="116"/>
    </row>
    <row r="93" spans="2:8" ht="13.15">
      <c r="B93" s="110" t="s">
        <v>101</v>
      </c>
      <c r="C93" s="111">
        <f>C91+C92</f>
        <v>1.8012017434964176</v>
      </c>
      <c r="D93" t="str">
        <f>Market_currency</f>
        <v>HKD</v>
      </c>
      <c r="E93" s="146" t="s">
        <v>125</v>
      </c>
      <c r="F93" s="291">
        <f>(1-C93/C60)</f>
        <v>0.36512477810763233</v>
      </c>
    </row>
    <row r="95" spans="2:8" ht="13.15">
      <c r="B95" s="109" t="s">
        <v>394</v>
      </c>
      <c r="G95" s="2"/>
      <c r="H95" s="281"/>
    </row>
    <row r="96" spans="2:8">
      <c r="B96" s="148" t="s">
        <v>400</v>
      </c>
      <c r="C96" s="134">
        <f>Thesis!F31</f>
        <v>7.4999999999999997E-2</v>
      </c>
      <c r="G96" s="2"/>
      <c r="H96" s="281"/>
    </row>
    <row r="97" spans="2:8">
      <c r="B97" s="100" t="s">
        <v>120</v>
      </c>
      <c r="C97" s="116">
        <f>PV(C96, C76, -C77, 0)</f>
        <v>0.29013875738772982</v>
      </c>
      <c r="D97" s="116"/>
      <c r="G97" s="2"/>
      <c r="H97" s="281"/>
    </row>
    <row r="98" spans="2:8">
      <c r="B98" s="100" t="s">
        <v>121</v>
      </c>
      <c r="C98" s="116">
        <f>C60/(1+C96)^C76</f>
        <v>2.2837501468790533</v>
      </c>
      <c r="D98" s="116"/>
      <c r="G98" s="2"/>
      <c r="H98" s="281"/>
    </row>
    <row r="99" spans="2:8" ht="13.15">
      <c r="B99" s="110" t="s">
        <v>395</v>
      </c>
      <c r="C99" s="111">
        <f>C97+C98</f>
        <v>2.573888904266783</v>
      </c>
      <c r="D99" t="s">
        <v>393</v>
      </c>
      <c r="E99" s="146" t="s">
        <v>125</v>
      </c>
      <c r="F99" s="291">
        <f>(1-C99/C60)</f>
        <v>9.2773313637464327E-2</v>
      </c>
    </row>
    <row r="100" spans="2:8">
      <c r="B100" s="100"/>
    </row>
    <row r="101" spans="2:8" ht="13.15">
      <c r="B101" s="109" t="s">
        <v>419</v>
      </c>
    </row>
    <row r="102" spans="2:8">
      <c r="B102" s="148" t="s">
        <v>418</v>
      </c>
      <c r="C102" s="134">
        <f>Thesis!F32</f>
        <v>0.1174</v>
      </c>
    </row>
    <row r="103" spans="2:8">
      <c r="B103" s="100" t="s">
        <v>120</v>
      </c>
      <c r="C103" s="116">
        <f>PV(C102, C76, -C77, 0)</f>
        <v>0.26917236860884031</v>
      </c>
      <c r="D103" s="116"/>
    </row>
    <row r="104" spans="2:8">
      <c r="B104" s="100" t="s">
        <v>121</v>
      </c>
      <c r="C104" s="116">
        <f>C60/(1+C102)^C76</f>
        <v>2.0335178079863891</v>
      </c>
      <c r="D104" s="116"/>
    </row>
    <row r="105" spans="2:8" ht="13.15">
      <c r="B105" s="110" t="s">
        <v>395</v>
      </c>
      <c r="C105" s="111">
        <f>C103+C104</f>
        <v>2.3026901765952292</v>
      </c>
      <c r="D105" t="s">
        <v>393</v>
      </c>
      <c r="E105" s="146" t="s">
        <v>125</v>
      </c>
      <c r="F105" s="291">
        <f>(1-C105/C66)</f>
        <v>0.19253563447134048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