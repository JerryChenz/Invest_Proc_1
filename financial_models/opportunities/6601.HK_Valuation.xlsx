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D2FE9CEA-485B-40A2-A222-5CB40F15C9DC}" xr6:coauthVersionLast="47" xr6:coauthVersionMax="47" xr10:uidLastSave="{00000000-0000-0000-0000-000000000000}"/>
  <bookViews>
    <workbookView xWindow="-98" yWindow="-98" windowWidth="17115" windowHeight="10755" activeTab="1"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Thesis!$C$22</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6" i="4"/>
  <c r="C25" i="4"/>
  <c r="D25" i="4"/>
  <c r="E25" i="4"/>
  <c r="C28" i="4"/>
  <c r="C29" i="4"/>
  <c r="C30" i="4"/>
  <c r="C32" i="4"/>
  <c r="D62" i="4"/>
  <c r="E62" i="4"/>
  <c r="F62" i="4"/>
  <c r="G62" i="4"/>
  <c r="H62" i="4"/>
  <c r="I62" i="4"/>
  <c r="J62" i="4"/>
  <c r="K62" i="4"/>
  <c r="L62" i="4"/>
  <c r="M62" i="4"/>
  <c r="D135" i="6"/>
  <c r="E22" i="6"/>
  <c r="D22" i="6"/>
  <c r="D156" i="6"/>
  <c r="D148" i="6"/>
  <c r="D140" i="6"/>
  <c r="C135" i="6"/>
  <c r="D15" i="6"/>
  <c r="C156" i="6"/>
  <c r="C148" i="6"/>
  <c r="C140" i="6"/>
  <c r="D14" i="6"/>
  <c r="C14" i="6"/>
  <c r="C90" i="9" l="1"/>
  <c r="C144" i="6" s="1"/>
  <c r="D93" i="9"/>
  <c r="C96" i="9" l="1"/>
  <c r="C152" i="6" s="1"/>
  <c r="C33" i="6"/>
  <c r="H1" i="3"/>
  <c r="C3" i="2"/>
  <c r="C3" i="8"/>
  <c r="C136" i="6"/>
  <c r="D109" i="6"/>
  <c r="C64" i="9"/>
  <c r="M69" i="4"/>
  <c r="M70" i="4"/>
  <c r="M71" i="4"/>
  <c r="M72" i="4"/>
  <c r="D64" i="4"/>
  <c r="E64" i="4"/>
  <c r="F64" i="4"/>
  <c r="G64" i="4"/>
  <c r="H64" i="4"/>
  <c r="I64" i="4"/>
  <c r="J64" i="4"/>
  <c r="K64" i="4"/>
  <c r="L64" i="4"/>
  <c r="M64" i="4"/>
  <c r="C64" i="4"/>
  <c r="D46" i="6"/>
  <c r="D45" i="6"/>
  <c r="F60" i="9"/>
  <c r="B25" i="6"/>
  <c r="C40" i="3" l="1"/>
  <c r="B91" i="2" l="1"/>
  <c r="B90" i="2"/>
  <c r="C8" i="6"/>
  <c r="C71" i="9"/>
  <c r="D66" i="9"/>
  <c r="D18" i="8"/>
  <c r="D22" i="9"/>
  <c r="D21" i="9"/>
  <c r="D9" i="9"/>
  <c r="D86" i="9"/>
  <c r="C86" i="9"/>
  <c r="C76" i="9"/>
  <c r="E87" i="3"/>
  <c r="E88" i="3"/>
  <c r="E89" i="3"/>
  <c r="E86" i="3"/>
  <c r="I3" i="9"/>
  <c r="C74" i="6" l="1"/>
  <c r="C73" i="6"/>
  <c r="C75" i="6" l="1"/>
  <c r="D104" i="6"/>
  <c r="D100" i="6"/>
  <c r="D92" i="6"/>
  <c r="D82" i="6"/>
  <c r="E7" i="9"/>
  <c r="D8" i="9"/>
  <c r="D7" i="9"/>
  <c r="C21" i="9"/>
  <c r="D61" i="6"/>
  <c r="B124" i="2"/>
  <c r="C131" i="6"/>
  <c r="C132" i="6"/>
  <c r="C80" i="9" s="1"/>
  <c r="D98" i="6"/>
  <c r="D108" i="6"/>
  <c r="D133" i="6"/>
  <c r="D122" i="6"/>
  <c r="F78" i="8"/>
  <c r="F74" i="8"/>
  <c r="F116" i="6" s="1"/>
  <c r="D103" i="6"/>
  <c r="D99" i="6"/>
  <c r="D91" i="6"/>
  <c r="F4" i="8"/>
  <c r="D62" i="6"/>
  <c r="D50" i="6"/>
  <c r="B83" i="2"/>
  <c r="D56" i="6"/>
  <c r="D53" i="6"/>
  <c r="D47" i="6"/>
  <c r="D42" i="6"/>
  <c r="D39" i="6"/>
  <c r="D38" i="6"/>
  <c r="D35" i="6"/>
  <c r="B146" i="6" l="1"/>
  <c r="B145" i="6"/>
  <c r="B154" i="6"/>
  <c r="B153" i="6"/>
  <c r="B137" i="6"/>
  <c r="B138" i="6"/>
  <c r="F76" i="8"/>
  <c r="F118" i="6" s="1"/>
  <c r="F77" i="8"/>
  <c r="F119" i="6" s="1"/>
  <c r="F12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0" i="6" s="1"/>
  <c r="B77" i="8"/>
  <c r="B119" i="6" s="1"/>
  <c r="B76" i="8"/>
  <c r="B118" i="6" s="1"/>
  <c r="B75" i="8"/>
  <c r="B117" i="6" s="1"/>
  <c r="B74" i="8"/>
  <c r="B116" i="6" s="1"/>
  <c r="C74" i="8"/>
  <c r="C55" i="9"/>
  <c r="D74" i="8" s="1"/>
  <c r="D116" i="6" s="1"/>
  <c r="C49" i="9"/>
  <c r="C40" i="9"/>
  <c r="F75" i="8" s="1"/>
  <c r="F11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6" i="6"/>
  <c r="C103" i="6"/>
  <c r="C104" i="6" s="1"/>
  <c r="G67" i="2"/>
  <c r="C59" i="2" s="1"/>
  <c r="C77" i="8" l="1"/>
  <c r="C31" i="9"/>
  <c r="D77" i="8" s="1"/>
  <c r="D119" i="6" s="1"/>
  <c r="D78" i="8"/>
  <c r="D120" i="6" s="1"/>
  <c r="C25" i="9"/>
  <c r="D76" i="8" s="1"/>
  <c r="D118" i="6" s="1"/>
  <c r="C76" i="8"/>
  <c r="C5" i="8"/>
  <c r="C78" i="8"/>
  <c r="D75" i="8"/>
  <c r="D117" i="6" s="1"/>
  <c r="C75" i="8"/>
  <c r="C17" i="8"/>
  <c r="C16" i="8"/>
  <c r="Q96" i="2"/>
  <c r="D51" i="8"/>
  <c r="A71" i="8"/>
  <c r="A70" i="8"/>
  <c r="C61" i="2" l="1"/>
  <c r="C63" i="2" s="1"/>
  <c r="D55" i="8"/>
  <c r="C118" i="6"/>
  <c r="B55" i="8"/>
  <c r="B64" i="8" s="1"/>
  <c r="C120" i="6"/>
  <c r="C55" i="8"/>
  <c r="C119" i="6"/>
  <c r="E55" i="8"/>
  <c r="C11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2" i="6" s="1"/>
  <c r="H32" i="3"/>
  <c r="H27" i="3" s="1"/>
  <c r="H29" i="3" s="1"/>
  <c r="D46" i="3" s="1"/>
  <c r="D47" i="3" s="1"/>
  <c r="C10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G9" i="2" l="1"/>
  <c r="C62" i="4"/>
  <c r="G10" i="2" s="1"/>
  <c r="K45" i="4"/>
  <c r="C77" i="9"/>
  <c r="C91" i="9" s="1"/>
  <c r="C145" i="6" s="1"/>
  <c r="L45" i="4"/>
  <c r="C70" i="3"/>
  <c r="C69" i="2" s="1"/>
  <c r="C98"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3" i="2" l="1"/>
  <c r="C64" i="6" s="1"/>
  <c r="C91" i="2"/>
  <c r="C133" i="6"/>
  <c r="C97" i="9"/>
  <c r="C153" i="6" s="1"/>
  <c r="G72" i="4"/>
  <c r="I72" i="4"/>
  <c r="F72" i="4"/>
  <c r="E72" i="4"/>
  <c r="D72" i="4"/>
  <c r="J72" i="4"/>
  <c r="H72" i="4"/>
  <c r="L69" i="4"/>
  <c r="L70" i="4"/>
  <c r="L72" i="4"/>
  <c r="L71" i="4"/>
  <c r="K72" i="4"/>
  <c r="C72" i="4"/>
  <c r="I4" i="9"/>
  <c r="I5" i="9"/>
  <c r="C81" i="9"/>
  <c r="C137" i="6" s="1"/>
  <c r="C9" i="2"/>
  <c r="C38"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3"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56"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39" i="6"/>
  <c r="I55" i="2"/>
  <c r="H55" i="2"/>
  <c r="J55" i="2"/>
  <c r="G55" i="2"/>
  <c r="C7" i="9"/>
  <c r="K55" i="2"/>
  <c r="C13" i="9"/>
  <c r="G79" i="2"/>
  <c r="L74" i="2"/>
  <c r="I74" i="2"/>
  <c r="H74" i="2"/>
  <c r="G74" i="2"/>
  <c r="K74" i="2"/>
  <c r="J74" i="2"/>
  <c r="C104" i="2"/>
  <c r="D55" i="3" l="1"/>
  <c r="G29" i="3"/>
  <c r="D62" i="3" s="1"/>
  <c r="D51" i="3" l="1"/>
  <c r="C46" i="3"/>
  <c r="C47" i="3" s="1"/>
  <c r="C62" i="3"/>
  <c r="C15" i="2" l="1"/>
  <c r="G1" i="2"/>
  <c r="C50"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9" i="6" s="1"/>
  <c r="C100"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45" i="6"/>
  <c r="C87" i="3"/>
  <c r="D87" i="3" s="1"/>
  <c r="C31" i="3"/>
  <c r="O80" i="2" l="1"/>
  <c r="O13" i="2"/>
  <c r="O43" i="2"/>
  <c r="L80" i="2"/>
  <c r="L43" i="2"/>
  <c r="K80" i="2"/>
  <c r="P80" i="2"/>
  <c r="P13" i="2"/>
  <c r="P43" i="2"/>
  <c r="M80" i="2"/>
  <c r="M43" i="2"/>
  <c r="J43" i="2"/>
  <c r="H43" i="2"/>
  <c r="I43" i="2"/>
  <c r="N80" i="2"/>
  <c r="N43" i="2"/>
  <c r="G80" i="2"/>
  <c r="C35" i="6"/>
  <c r="C74" i="2"/>
  <c r="C32" i="3"/>
  <c r="G31" i="3"/>
  <c r="B1" i="2"/>
  <c r="O81" i="2" l="1"/>
  <c r="O117" i="2" s="1"/>
  <c r="O16" i="2"/>
  <c r="C7" i="8"/>
  <c r="C86" i="3" s="1"/>
  <c r="D86" i="3" s="1"/>
  <c r="D89" i="3" s="1"/>
  <c r="C94" i="6"/>
  <c r="P81" i="2"/>
  <c r="P117" i="2" s="1"/>
  <c r="P16" i="2"/>
  <c r="O97" i="2"/>
  <c r="C91" i="6"/>
  <c r="C92" i="6" s="1"/>
  <c r="B69" i="8"/>
  <c r="E68" i="8"/>
  <c r="D69" i="8"/>
  <c r="F66" i="8"/>
  <c r="F67" i="8"/>
  <c r="C67" i="8"/>
  <c r="D71" i="8"/>
  <c r="D70" i="8"/>
  <c r="D68" i="8"/>
  <c r="C68" i="8"/>
  <c r="F70" i="8"/>
  <c r="E67" i="8"/>
  <c r="E70" i="8"/>
  <c r="F71" i="8"/>
  <c r="E69" i="8"/>
  <c r="C69" i="8"/>
  <c r="B68" i="8"/>
  <c r="B67" i="8"/>
  <c r="G54" i="2"/>
  <c r="B66" i="8" l="1"/>
  <c r="E66" i="8"/>
  <c r="F69" i="8"/>
  <c r="C66" i="8"/>
  <c r="D66" i="8"/>
  <c r="B70" i="8"/>
  <c r="C70" i="8"/>
  <c r="C71" i="8"/>
  <c r="D67" i="8"/>
  <c r="E71" i="8"/>
  <c r="F68" i="8"/>
  <c r="B71" i="8"/>
  <c r="C89" i="3"/>
  <c r="O84" i="2"/>
  <c r="O19" i="2"/>
  <c r="O124" i="2"/>
  <c r="O125" i="2" s="1"/>
  <c r="P84" i="2"/>
  <c r="P19" i="2"/>
  <c r="P92" i="2" s="1"/>
  <c r="P124" i="2"/>
  <c r="P125" i="2" s="1"/>
  <c r="C47" i="2"/>
  <c r="O92" i="2" l="1"/>
  <c r="O114" i="2"/>
  <c r="O87" i="2"/>
  <c r="P114" i="2"/>
  <c r="P87" i="2"/>
  <c r="C55" i="2"/>
  <c r="C46" i="6"/>
  <c r="E78" i="8"/>
  <c r="E120" i="6" s="1"/>
  <c r="C50" i="2"/>
  <c r="C12" i="2" s="1"/>
  <c r="I1" i="2"/>
  <c r="C13" i="2" l="1"/>
  <c r="C14" i="2"/>
  <c r="C53" i="6" s="1"/>
  <c r="C47"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6" i="6" s="1"/>
  <c r="E75" i="8"/>
  <c r="E117" i="6" s="1"/>
  <c r="E77" i="8"/>
  <c r="E119" i="6" s="1"/>
  <c r="E76" i="8"/>
  <c r="E118" i="6" s="1"/>
  <c r="C27" i="9" l="1"/>
  <c r="C57" i="9"/>
  <c r="C33" i="9"/>
  <c r="C39" i="9"/>
  <c r="C42" i="9" l="1"/>
  <c r="C60" i="9" s="1"/>
  <c r="C92" i="9" s="1"/>
  <c r="C146" i="6" s="1"/>
  <c r="F72" i="9" l="1"/>
  <c r="C72" i="9" s="1"/>
  <c r="C98" i="9"/>
  <c r="I6" i="9"/>
  <c r="C82" i="9"/>
  <c r="C122" i="6"/>
  <c r="C99" i="9" l="1"/>
  <c r="C154" i="6"/>
  <c r="C87" i="9"/>
  <c r="C83" i="9"/>
  <c r="F83" i="9" s="1"/>
  <c r="C138" i="6"/>
  <c r="H76" i="2"/>
  <c r="H120" i="2"/>
  <c r="H116" i="2" s="1"/>
  <c r="H13" i="2"/>
  <c r="C26" i="6" l="1"/>
  <c r="C93" i="9"/>
  <c r="F99" i="9"/>
  <c r="C157" i="6" s="1"/>
  <c r="C155" i="6"/>
  <c r="D155" i="6" s="1"/>
  <c r="C141" i="6"/>
  <c r="C139" i="6"/>
  <c r="H16" i="2"/>
  <c r="H19" i="2" s="1"/>
  <c r="H81" i="2"/>
  <c r="H117" i="2" s="1"/>
  <c r="C25" i="6" l="1"/>
  <c r="D139" i="6"/>
  <c r="H114" i="2"/>
  <c r="H92" i="2"/>
  <c r="F93" i="9"/>
  <c r="C149" i="6" s="1"/>
  <c r="C147" i="6"/>
  <c r="D147" i="6" s="1"/>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1"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95" i="6" s="1"/>
  <c r="C54" i="3"/>
  <c r="C120" i="2"/>
  <c r="M114" i="2" l="1"/>
  <c r="M92" i="2"/>
  <c r="L92" i="2"/>
  <c r="L114" i="2"/>
  <c r="C14" i="9"/>
  <c r="M87" i="2"/>
  <c r="C81" i="2"/>
  <c r="C117" i="2" s="1"/>
  <c r="C97" i="2"/>
  <c r="J87" i="2"/>
  <c r="C82" i="2"/>
  <c r="C124" i="2" l="1"/>
  <c r="C84" i="2" l="1"/>
  <c r="C9" i="9"/>
  <c r="C62" i="6" l="1"/>
  <c r="C125" i="2"/>
  <c r="C63" i="6" s="1"/>
  <c r="C87" i="2"/>
  <c r="C6" i="8" l="1"/>
  <c r="C82"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8" i="6" l="1"/>
  <c r="C22" i="9"/>
  <c r="C69" i="9" s="1"/>
  <c r="E65" i="8"/>
  <c r="F65" i="8"/>
  <c r="C65" i="8"/>
  <c r="B65" i="8"/>
  <c r="D65" i="8"/>
  <c r="F52" i="8"/>
  <c r="C18" i="8" s="1"/>
  <c r="C70" i="9" l="1"/>
  <c r="C21" i="6" s="1"/>
  <c r="C66" i="9"/>
  <c r="A55" i="8"/>
</calcChain>
</file>

<file path=xl/sharedStrings.xml><?xml version="1.0" encoding="utf-8"?>
<sst xmlns="http://schemas.openxmlformats.org/spreadsheetml/2006/main" count="626" uniqueCount="440">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</sst>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5">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79"/>
  <sheetViews>
    <sheetView showGridLines="0" topLeftCell="A26" zoomScaleNormal="100" workbookViewId="0">
      <selection activeCell="B37" sqref="B37:F37"/>
    </sheetView>
  </sheetViews>
  <sheetFormatPr defaultColWidth="9" defaultRowHeight="11.65"/>
  <cols>
    <col min="1" max="1" width="2.664062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31" t="s">
        <v>361</v>
      </c>
      <c r="F1" s="284" t="s">
        <v>431</v>
      </c>
    </row>
    <row r="2" spans="1:10" ht="13.9">
      <c r="A2" s="247" t="s">
        <v>268</v>
      </c>
      <c r="B2" s="36"/>
      <c r="C2" s="36"/>
      <c r="D2" s="36"/>
      <c r="E2" s="36"/>
      <c r="F2" s="36"/>
      <c r="G2" s="22"/>
      <c r="H2" s="22"/>
      <c r="I2" s="22"/>
      <c r="J2" s="22"/>
    </row>
    <row r="4" spans="1:10">
      <c r="B4" s="45" t="s">
        <v>425</v>
      </c>
      <c r="C4" s="46"/>
      <c r="D4" s="5"/>
      <c r="E4" s="2"/>
      <c r="F4" s="2"/>
    </row>
    <row r="5" spans="1:10" ht="12.4">
      <c r="B5" s="4" t="s">
        <v>323</v>
      </c>
      <c r="C5" s="333" t="s">
        <v>432</v>
      </c>
    </row>
    <row r="6" spans="1:10">
      <c r="B6" s="4" t="s">
        <v>0</v>
      </c>
      <c r="C6" s="51">
        <v>1333333500</v>
      </c>
      <c r="E6" s="48"/>
    </row>
    <row r="7" spans="1:10">
      <c r="B7" s="2" t="s">
        <v>314</v>
      </c>
      <c r="C7" s="279">
        <v>6</v>
      </c>
      <c r="D7" s="48"/>
      <c r="E7" s="48"/>
    </row>
    <row r="8" spans="1:10">
      <c r="B8" s="1" t="s">
        <v>269</v>
      </c>
      <c r="C8" s="33">
        <f>EOMONTH(EDATE(BS!C1,C7+2),0)</f>
        <v>45900</v>
      </c>
      <c r="E8" s="48"/>
    </row>
    <row r="9" spans="1:10">
      <c r="E9" s="34"/>
    </row>
    <row r="10" spans="1:10">
      <c r="B10" s="45" t="s">
        <v>428</v>
      </c>
      <c r="C10" s="46"/>
      <c r="E10" s="34"/>
    </row>
    <row r="11" spans="1:10">
      <c r="B11" s="1" t="s">
        <v>427</v>
      </c>
      <c r="C11" s="49" t="s">
        <v>433</v>
      </c>
      <c r="D11" s="49" t="s">
        <v>434</v>
      </c>
      <c r="E11" s="34"/>
    </row>
    <row r="12" spans="1:10">
      <c r="B12" s="4" t="s">
        <v>95</v>
      </c>
      <c r="C12" s="50">
        <v>2.2999999999999998</v>
      </c>
      <c r="D12" s="50"/>
      <c r="E12" s="48"/>
    </row>
    <row r="13" spans="1:10">
      <c r="B13" s="1" t="s">
        <v>426</v>
      </c>
      <c r="C13" s="48" t="s">
        <v>404</v>
      </c>
      <c r="D13" s="48"/>
      <c r="E13" s="5"/>
    </row>
    <row r="14" spans="1:10">
      <c r="B14" s="4" t="s">
        <v>430</v>
      </c>
      <c r="C14" s="35">
        <f>Thesis!C12*Common_Shares/1000000</f>
        <v>3066.66705</v>
      </c>
      <c r="D14" s="35" t="str">
        <f>IF(D11="","",Thesis!D12*Common_Shares/1000000)</f>
        <v/>
      </c>
      <c r="E14" s="5"/>
    </row>
    <row r="15" spans="1:10">
      <c r="B15" s="4" t="s">
        <v>429</v>
      </c>
      <c r="C15" s="32" t="str">
        <f>IF(C22=C13,C13,C22&amp;"/"&amp;C13)</f>
        <v>CNY/HKD</v>
      </c>
      <c r="D15" s="32" t="str">
        <f>IF(D11="","",IF(C22=D13,D13,C22&amp;"/"&amp;D13))</f>
        <v/>
      </c>
      <c r="E15" s="5"/>
    </row>
    <row r="16" spans="1:10">
      <c r="B16" s="4" t="s">
        <v>1</v>
      </c>
      <c r="C16" s="50">
        <v>1.0828863799999999</v>
      </c>
      <c r="D16" s="50"/>
      <c r="E16" s="5"/>
    </row>
    <row r="17" spans="1:6">
      <c r="D17" s="5"/>
      <c r="E17" s="5"/>
    </row>
    <row r="18" spans="1:6" ht="24.4" customHeight="1">
      <c r="B18" s="345" t="s">
        <v>367</v>
      </c>
      <c r="C18" s="345"/>
      <c r="D18" s="345"/>
      <c r="E18" s="345"/>
      <c r="F18" s="345"/>
    </row>
    <row r="20" spans="1:6">
      <c r="B20" s="45" t="s">
        <v>313</v>
      </c>
      <c r="C20" s="46"/>
      <c r="D20" s="5"/>
    </row>
    <row r="21" spans="1:6">
      <c r="B21" s="2" t="s">
        <v>356</v>
      </c>
      <c r="C21" s="32" t="str">
        <f>IF(Scenarios!C69="Y",Scenarios!B69,"")&amp;IF(Scenarios!C70="Y",Scenarios!B70,"")&amp;IF(Scenarios!C71="Y",Scenarios!B71,"")&amp;" "&amp;IF(Scenarios!C72="Y",Scenarios!B72,"")</f>
        <v>Low Growth Asset Play</v>
      </c>
      <c r="E21" s="5"/>
    </row>
    <row r="22" spans="1:6">
      <c r="B22" s="4" t="s">
        <v>355</v>
      </c>
      <c r="C22" s="48" t="s">
        <v>424</v>
      </c>
      <c r="D22" s="32" t="str">
        <f>IF(D11="","",Market_currency&amp;"/"&amp;D13&amp;":")</f>
        <v/>
      </c>
      <c r="E22" s="341" t="str">
        <f>IF(D11="","",1/Exchange_Rate*D16)</f>
        <v/>
      </c>
    </row>
    <row r="23" spans="1:6">
      <c r="B23" s="2" t="s">
        <v>56</v>
      </c>
      <c r="C23" s="48" t="s">
        <v>435</v>
      </c>
      <c r="E23" s="5"/>
    </row>
    <row r="24" spans="1:6">
      <c r="B24" s="2" t="s">
        <v>277</v>
      </c>
      <c r="C24" s="249">
        <v>0.4</v>
      </c>
      <c r="D24" s="1" t="s">
        <v>417</v>
      </c>
      <c r="E24" s="339">
        <v>0.2</v>
      </c>
    </row>
    <row r="25" spans="1:6">
      <c r="B25" s="2" t="str">
        <f>"Target Buy Price ("&amp;Market_currency&amp;"):"</f>
        <v>Target Buy Price (HKD):</v>
      </c>
      <c r="C25" s="252">
        <f>C139</f>
        <v>1.1772358671835936</v>
      </c>
      <c r="D25" s="1" t="s">
        <v>315</v>
      </c>
      <c r="E25" s="330">
        <v>3</v>
      </c>
    </row>
    <row r="26" spans="1:6">
      <c r="B26" s="1" t="s">
        <v>407</v>
      </c>
      <c r="C26" s="280">
        <f ca="1">Scenarios!C87</f>
        <v>0.10631428577577151</v>
      </c>
      <c r="D26" s="5"/>
      <c r="E26" s="5"/>
    </row>
    <row r="27" spans="1:6">
      <c r="D27" s="5"/>
      <c r="E27" s="5"/>
    </row>
    <row r="28" spans="1:6" ht="13.9">
      <c r="A28" s="247" t="s">
        <v>362</v>
      </c>
      <c r="B28" s="36"/>
      <c r="C28" s="36"/>
      <c r="D28" s="36"/>
      <c r="E28" s="36"/>
      <c r="F28" s="36"/>
    </row>
    <row r="30" spans="1:6" ht="24.4" customHeight="1">
      <c r="B30" s="345" t="s">
        <v>368</v>
      </c>
      <c r="C30" s="345"/>
      <c r="D30" s="345"/>
      <c r="E30" s="345"/>
      <c r="F30" s="345"/>
    </row>
    <row r="31" spans="1:6" ht="24.4" customHeight="1">
      <c r="B31" s="348" t="s">
        <v>347</v>
      </c>
      <c r="C31" s="348"/>
      <c r="D31" s="348"/>
      <c r="E31" s="348"/>
      <c r="F31" s="348"/>
    </row>
    <row r="33" spans="2:6">
      <c r="B33" s="234" t="s">
        <v>231</v>
      </c>
      <c r="C33" s="108">
        <f>scaling_factor</f>
        <v>1000</v>
      </c>
    </row>
    <row r="34" spans="2:6" ht="24.4" customHeight="1">
      <c r="B34" s="346" t="s">
        <v>232</v>
      </c>
      <c r="C34" s="346"/>
      <c r="D34" s="346"/>
      <c r="E34" s="346"/>
      <c r="F34" s="346"/>
    </row>
    <row r="35" spans="2:6">
      <c r="B35" s="47" t="s">
        <v>233</v>
      </c>
      <c r="C35" s="188">
        <f>Normalized_FCF!C8</f>
        <v>113776.93034265516</v>
      </c>
      <c r="D35" s="1" t="str">
        <f>Reporting_currency</f>
        <v>CNY</v>
      </c>
    </row>
    <row r="36" spans="2:6">
      <c r="B36" s="47"/>
      <c r="C36" s="76"/>
    </row>
    <row r="37" spans="2:6" ht="24.4" customHeight="1">
      <c r="B37" s="346" t="s">
        <v>234</v>
      </c>
      <c r="C37" s="346"/>
      <c r="D37" s="346"/>
      <c r="E37" s="346"/>
      <c r="F37" s="346"/>
    </row>
    <row r="38" spans="2:6">
      <c r="B38" s="47" t="s">
        <v>235</v>
      </c>
      <c r="C38" s="188">
        <f>Normalized_FCF!C9</f>
        <v>35974</v>
      </c>
      <c r="D38" s="1" t="str">
        <f>Reporting_currency</f>
        <v>CNY</v>
      </c>
    </row>
    <row r="39" spans="2:6">
      <c r="B39" s="52" t="s">
        <v>236</v>
      </c>
      <c r="C39" s="188">
        <f>Normalized_FCF!C10</f>
        <v>-35974</v>
      </c>
      <c r="D39" s="1" t="str">
        <f>Reporting_currency</f>
        <v>CNY</v>
      </c>
    </row>
    <row r="41" spans="2:6">
      <c r="B41" s="346" t="s">
        <v>237</v>
      </c>
      <c r="C41" s="346"/>
      <c r="D41" s="346"/>
      <c r="E41" s="346"/>
      <c r="F41" s="346"/>
    </row>
    <row r="42" spans="2:6">
      <c r="B42" s="47" t="s">
        <v>238</v>
      </c>
      <c r="C42" s="188">
        <f>Normalized_FCF!C11</f>
        <v>0</v>
      </c>
      <c r="D42" s="1" t="str">
        <f>Reporting_currency</f>
        <v>CNY</v>
      </c>
    </row>
    <row r="44" spans="2:6">
      <c r="B44" s="346" t="s">
        <v>241</v>
      </c>
      <c r="C44" s="346"/>
      <c r="D44" s="346"/>
      <c r="E44" s="346"/>
      <c r="F44" s="346"/>
    </row>
    <row r="45" spans="2:6">
      <c r="B45" s="47" t="s">
        <v>348</v>
      </c>
      <c r="C45" s="322">
        <f>Normalized_FCF!C48</f>
        <v>25038.678519384193</v>
      </c>
      <c r="D45" s="1" t="str">
        <f>Reporting_currency</f>
        <v>CNY</v>
      </c>
      <c r="E45" s="321"/>
      <c r="F45" s="321"/>
    </row>
    <row r="46" spans="2:6">
      <c r="B46" s="47" t="s">
        <v>349</v>
      </c>
      <c r="C46" s="322">
        <f>Normalized_FCF!C47</f>
        <v>-1880</v>
      </c>
      <c r="D46" s="1" t="str">
        <f>Reporting_currency</f>
        <v>CNY</v>
      </c>
      <c r="E46" s="321"/>
      <c r="F46" s="321"/>
    </row>
    <row r="47" spans="2:6">
      <c r="B47" s="47" t="s">
        <v>239</v>
      </c>
      <c r="C47" s="188">
        <f>Normalized_FCF!C12</f>
        <v>23158.678519384193</v>
      </c>
      <c r="D47" s="1" t="str">
        <f>Reporting_currency</f>
        <v>CNY</v>
      </c>
    </row>
    <row r="49" spans="2:6">
      <c r="B49" s="1" t="s">
        <v>247</v>
      </c>
    </row>
    <row r="50" spans="2:6">
      <c r="B50" s="47" t="s">
        <v>266</v>
      </c>
      <c r="C50" s="188">
        <f>Normalized_FCF!C15</f>
        <v>0</v>
      </c>
      <c r="D50" s="1" t="str">
        <f>Reporting_currency</f>
        <v>CNY</v>
      </c>
    </row>
    <row r="52" spans="2:6">
      <c r="B52" s="346" t="s">
        <v>242</v>
      </c>
      <c r="C52" s="346"/>
      <c r="D52" s="346"/>
      <c r="E52" s="346"/>
      <c r="F52" s="346"/>
    </row>
    <row r="53" spans="2:6">
      <c r="B53" s="47" t="s">
        <v>240</v>
      </c>
      <c r="C53" s="188">
        <f>Normalized_FCF!C14</f>
        <v>-34233.902215509836</v>
      </c>
      <c r="D53" s="1" t="str">
        <f>Reporting_currency</f>
        <v>CNY</v>
      </c>
    </row>
    <row r="55" spans="2:6">
      <c r="B55" s="346" t="s">
        <v>346</v>
      </c>
      <c r="C55" s="347"/>
      <c r="D55" s="347"/>
      <c r="E55" s="347"/>
      <c r="F55" s="347"/>
    </row>
    <row r="56" spans="2:6">
      <c r="B56" s="47" t="s">
        <v>243</v>
      </c>
      <c r="C56" s="1">
        <f>Normalized_FCF!C17</f>
        <v>0</v>
      </c>
      <c r="D56" s="1" t="str">
        <f>Reporting_currency</f>
        <v>CNY</v>
      </c>
    </row>
    <row r="58" spans="2:6" ht="24.4" customHeight="1">
      <c r="B58" s="345" t="s">
        <v>351</v>
      </c>
      <c r="C58" s="345"/>
      <c r="D58" s="345"/>
      <c r="E58" s="345"/>
      <c r="F58" s="345"/>
    </row>
    <row r="59" spans="2:6" ht="24.4" customHeight="1">
      <c r="B59" s="345" t="s">
        <v>369</v>
      </c>
      <c r="C59" s="345"/>
      <c r="D59" s="345"/>
      <c r="E59" s="345"/>
      <c r="F59" s="345"/>
    </row>
    <row r="61" spans="2:6">
      <c r="B61" s="47" t="s">
        <v>271</v>
      </c>
      <c r="C61" s="188">
        <f>Normalized_FCF!G19</f>
        <v>133776.67851938418</v>
      </c>
      <c r="D61" s="1" t="str">
        <f>Reporting_currency</f>
        <v>CNY</v>
      </c>
    </row>
    <row r="62" spans="2:6">
      <c r="B62" s="47" t="s">
        <v>249</v>
      </c>
      <c r="C62" s="188">
        <f>Normalized_FCF!C19</f>
        <v>102701.70664652951</v>
      </c>
      <c r="D62" s="1" t="str">
        <f>Reporting_currency</f>
        <v>CNY</v>
      </c>
    </row>
    <row r="63" spans="2:6">
      <c r="B63" s="254" t="s">
        <v>398</v>
      </c>
      <c r="C63" s="92">
        <f>Normalized_FCF!C125</f>
        <v>3.6265521335380142E-2</v>
      </c>
    </row>
    <row r="64" spans="2:6">
      <c r="B64" s="254" t="s">
        <v>316</v>
      </c>
      <c r="C64" s="92">
        <f>Normalized_FCF!C93</f>
        <v>4.8983419904929985E-2</v>
      </c>
    </row>
    <row r="66" spans="1:6" ht="13.9">
      <c r="A66" s="247" t="s">
        <v>363</v>
      </c>
      <c r="B66" s="36"/>
      <c r="C66" s="36"/>
      <c r="D66" s="36"/>
      <c r="E66" s="36"/>
      <c r="F66" s="36"/>
    </row>
    <row r="67" spans="1:6">
      <c r="A67" s="233"/>
    </row>
    <row r="68" spans="1:6" ht="24.4" customHeight="1">
      <c r="A68" s="17"/>
      <c r="B68" s="345" t="s">
        <v>370</v>
      </c>
      <c r="C68" s="345"/>
      <c r="D68" s="345"/>
      <c r="E68" s="345"/>
      <c r="F68" s="345"/>
    </row>
    <row r="69" spans="1:6">
      <c r="B69" s="348" t="s">
        <v>253</v>
      </c>
      <c r="C69" s="348"/>
      <c r="D69" s="348"/>
      <c r="E69" s="348"/>
      <c r="F69" s="348"/>
    </row>
    <row r="71" spans="1:6">
      <c r="B71" s="234" t="s">
        <v>231</v>
      </c>
    </row>
    <row r="72" spans="1:6">
      <c r="B72" s="1" t="s">
        <v>288</v>
      </c>
      <c r="C72" s="311">
        <v>0.08</v>
      </c>
    </row>
    <row r="73" spans="1:6">
      <c r="B73" s="1" t="s">
        <v>290</v>
      </c>
      <c r="C73" s="263">
        <f>IF(D73="Y",1%,0)</f>
        <v>0</v>
      </c>
      <c r="D73" s="286" t="s">
        <v>436</v>
      </c>
    </row>
    <row r="74" spans="1:6">
      <c r="B74" s="1" t="s">
        <v>289</v>
      </c>
      <c r="C74" s="263">
        <f>IF(D74="Y",1%,0)</f>
        <v>0</v>
      </c>
      <c r="D74" s="286" t="s">
        <v>436</v>
      </c>
    </row>
    <row r="75" spans="1:6">
      <c r="B75" s="80" t="s">
        <v>248</v>
      </c>
      <c r="C75" s="263">
        <f>SUM(C72:C74)</f>
        <v>0.08</v>
      </c>
    </row>
    <row r="76" spans="1:6">
      <c r="C76" s="122"/>
    </row>
    <row r="77" spans="1:6">
      <c r="B77" s="332" t="s">
        <v>364</v>
      </c>
      <c r="C77" s="122"/>
    </row>
    <row r="78" spans="1:6" ht="24.4" customHeight="1">
      <c r="B78" s="345" t="s">
        <v>371</v>
      </c>
      <c r="C78" s="345"/>
      <c r="D78" s="345"/>
      <c r="E78" s="345"/>
      <c r="F78" s="345"/>
    </row>
    <row r="79" spans="1:6" ht="24.4" customHeight="1">
      <c r="B79" s="345" t="s">
        <v>372</v>
      </c>
      <c r="C79" s="345"/>
      <c r="D79" s="345"/>
      <c r="E79" s="345"/>
      <c r="F79" s="345"/>
    </row>
    <row r="81" spans="1:6">
      <c r="B81" s="47" t="s">
        <v>252</v>
      </c>
      <c r="C81" s="263">
        <v>0</v>
      </c>
    </row>
    <row r="82" spans="1:6">
      <c r="B82" s="47" t="s">
        <v>284</v>
      </c>
      <c r="C82" s="248">
        <f>Valuation_Model!C6*scaling_factor*Exchange_Rate/Common_Shares</f>
        <v>1.0426337383921789</v>
      </c>
      <c r="D82" s="1" t="str">
        <f>Market_currency</f>
        <v>HKD</v>
      </c>
    </row>
    <row r="84" spans="1:6" ht="13.9">
      <c r="A84" s="247" t="s">
        <v>365</v>
      </c>
      <c r="B84" s="36"/>
      <c r="C84" s="36"/>
      <c r="D84" s="36"/>
      <c r="E84" s="36"/>
      <c r="F84" s="36"/>
    </row>
    <row r="85" spans="1:6">
      <c r="A85" s="233"/>
    </row>
    <row r="86" spans="1:6">
      <c r="B86" s="345" t="s">
        <v>373</v>
      </c>
      <c r="C86" s="345"/>
      <c r="D86" s="345"/>
      <c r="E86" s="345"/>
      <c r="F86" s="345"/>
    </row>
    <row r="87" spans="1:6">
      <c r="B87" s="1" t="s">
        <v>254</v>
      </c>
    </row>
    <row r="89" spans="1:6">
      <c r="B89" s="234" t="s">
        <v>231</v>
      </c>
    </row>
    <row r="90" spans="1:6" ht="24.4" customHeight="1">
      <c r="B90" s="345" t="s">
        <v>352</v>
      </c>
      <c r="C90" s="345"/>
      <c r="D90" s="345"/>
      <c r="E90" s="345"/>
      <c r="F90" s="345"/>
    </row>
    <row r="91" spans="1:6">
      <c r="B91" s="47" t="s">
        <v>256</v>
      </c>
      <c r="C91" s="188">
        <f>Valuation_Model!C7</f>
        <v>33999</v>
      </c>
      <c r="D91" s="1" t="str">
        <f>Reporting_currency</f>
        <v>CNY</v>
      </c>
    </row>
    <row r="92" spans="1:6">
      <c r="B92" s="47" t="s">
        <v>285</v>
      </c>
      <c r="C92" s="248">
        <f>C91*scaling_factor*Exchange_Rate/Common_Shares</f>
        <v>2.7612787073616616E-2</v>
      </c>
      <c r="D92" s="1" t="str">
        <f>Market_currency</f>
        <v>HKD</v>
      </c>
    </row>
    <row r="93" spans="1:6">
      <c r="B93" s="336" t="s">
        <v>412</v>
      </c>
      <c r="C93" s="337">
        <f>BS!G30/BS!G27</f>
        <v>0.20351769929714394</v>
      </c>
    </row>
    <row r="94" spans="1:6">
      <c r="B94" s="336" t="s">
        <v>413</v>
      </c>
      <c r="C94" s="337">
        <f>BS!G31/BS!G27</f>
        <v>1.0763175939415467E-2</v>
      </c>
    </row>
    <row r="95" spans="1:6">
      <c r="B95" s="336" t="s">
        <v>415</v>
      </c>
      <c r="C95" s="338">
        <f>BS!C50</f>
        <v>0.29882156160837919</v>
      </c>
    </row>
    <row r="97" spans="1:6">
      <c r="B97" s="1" t="s">
        <v>255</v>
      </c>
    </row>
    <row r="98" spans="1:6">
      <c r="B98" s="47" t="s">
        <v>265</v>
      </c>
      <c r="C98" s="188">
        <f>BS!C66</f>
        <v>2707640</v>
      </c>
      <c r="D98" s="1" t="str">
        <f>Reporting_currency</f>
        <v>CNY</v>
      </c>
    </row>
    <row r="99" spans="1:6">
      <c r="B99" s="47" t="s">
        <v>267</v>
      </c>
      <c r="C99" s="188">
        <f>Valuation_Model!C8</f>
        <v>1875698.7119286128</v>
      </c>
      <c r="D99" s="1" t="str">
        <f>Reporting_currency</f>
        <v>CNY</v>
      </c>
    </row>
    <row r="100" spans="1:6">
      <c r="B100" s="47" t="s">
        <v>286</v>
      </c>
      <c r="C100" s="248">
        <f>C99*scaling_factor*Exchange_Rate/Common_Shares</f>
        <v>1.5233762506762474</v>
      </c>
      <c r="D100" s="1" t="str">
        <f>Market_currency</f>
        <v>HKD</v>
      </c>
    </row>
    <row r="102" spans="1:6">
      <c r="B102" s="1" t="s">
        <v>257</v>
      </c>
    </row>
    <row r="103" spans="1:6">
      <c r="B103" s="47" t="s">
        <v>258</v>
      </c>
      <c r="C103" s="188">
        <f>Valuation_Model!C9</f>
        <v>229590.09999999998</v>
      </c>
      <c r="D103" s="1" t="str">
        <f>Reporting_currency</f>
        <v>CNY</v>
      </c>
    </row>
    <row r="104" spans="1:6">
      <c r="B104" s="47" t="s">
        <v>287</v>
      </c>
      <c r="C104" s="248">
        <f>C103*scaling_factor*Exchange_Rate/Common_Shares</f>
        <v>0.1864649708965071</v>
      </c>
      <c r="D104" s="1" t="str">
        <f>Market_currency</f>
        <v>HKD</v>
      </c>
    </row>
    <row r="106" spans="1:6" ht="24.4" customHeight="1">
      <c r="B106" s="345" t="s">
        <v>374</v>
      </c>
      <c r="C106" s="345"/>
      <c r="D106" s="345"/>
      <c r="E106" s="345"/>
      <c r="F106" s="345"/>
    </row>
    <row r="108" spans="1:6">
      <c r="B108" s="47" t="s">
        <v>283</v>
      </c>
      <c r="C108" s="248">
        <f>Valuation_Model!C12</f>
        <v>2.7248621728913167</v>
      </c>
      <c r="D108" s="1" t="str">
        <f>Market_currency</f>
        <v>HKD</v>
      </c>
    </row>
    <row r="109" spans="1:6">
      <c r="B109" s="336" t="s">
        <v>414</v>
      </c>
      <c r="C109" s="248">
        <f>BS!D47</f>
        <v>1.8936309123138828</v>
      </c>
      <c r="D109" s="1" t="str">
        <f>Market_currency</f>
        <v>HKD</v>
      </c>
    </row>
    <row r="111" spans="1:6" ht="13.9">
      <c r="A111" s="247" t="s">
        <v>366</v>
      </c>
      <c r="B111" s="36"/>
      <c r="C111" s="36"/>
      <c r="D111" s="36"/>
      <c r="E111" s="36"/>
      <c r="F111" s="36"/>
    </row>
    <row r="113" spans="1:6" ht="24.4" customHeight="1">
      <c r="B113" s="346" t="s">
        <v>375</v>
      </c>
      <c r="C113" s="346"/>
      <c r="D113" s="346"/>
      <c r="E113" s="346"/>
      <c r="F113" s="346"/>
    </row>
    <row r="115" spans="1:6" ht="12.4">
      <c r="B115" s="260" t="s">
        <v>118</v>
      </c>
      <c r="C115" s="260" t="s">
        <v>133</v>
      </c>
      <c r="D115" s="260" t="s">
        <v>113</v>
      </c>
      <c r="E115" s="260" t="s">
        <v>260</v>
      </c>
      <c r="F115" s="260" t="s">
        <v>148</v>
      </c>
    </row>
    <row r="116" spans="1:6">
      <c r="B116" s="255" t="str">
        <f>Valuation_Model!B74</f>
        <v>Snowball Scenario</v>
      </c>
      <c r="C116" s="256">
        <f>Valuation_Model!C74</f>
        <v>0.08</v>
      </c>
      <c r="D116" s="257">
        <f>Valuation_Model!D74</f>
        <v>15</v>
      </c>
      <c r="E116" s="258" t="str">
        <f>ROUND(Valuation_Model!E74,2)&amp;" "&amp;Market_currency</f>
        <v>3.29 HKD</v>
      </c>
      <c r="F116" s="259">
        <f>Valuation_Model!F74</f>
        <v>0.05</v>
      </c>
    </row>
    <row r="117" spans="1:6">
      <c r="B117" s="242" t="str">
        <f>Valuation_Model!B75</f>
        <v>Optimistic</v>
      </c>
      <c r="C117" s="243">
        <f>Valuation_Model!C75</f>
        <v>0.04</v>
      </c>
      <c r="D117" s="244">
        <f>Valuation_Model!D75</f>
        <v>10</v>
      </c>
      <c r="E117" s="245" t="str">
        <f>ROUND(Valuation_Model!E75,2)&amp;" "&amp;Market_currency</f>
        <v>2.87 HKD</v>
      </c>
      <c r="F117" s="246">
        <f>Valuation_Model!F75</f>
        <v>0.17</v>
      </c>
    </row>
    <row r="118" spans="1:6">
      <c r="B118" s="242" t="str">
        <f>Valuation_Model!B76</f>
        <v>Base</v>
      </c>
      <c r="C118" s="243">
        <f>Valuation_Model!C76</f>
        <v>0.02</v>
      </c>
      <c r="D118" s="244">
        <f>Valuation_Model!D76</f>
        <v>10</v>
      </c>
      <c r="E118" s="245" t="str">
        <f>ROUND(Valuation_Model!E76,2)&amp;" "&amp;Market_currency</f>
        <v>2.79 HKD</v>
      </c>
      <c r="F118" s="246">
        <f>Valuation_Model!F76</f>
        <v>0.51</v>
      </c>
    </row>
    <row r="119" spans="1:6">
      <c r="B119" s="242" t="str">
        <f>Valuation_Model!B77</f>
        <v>Pessimistic</v>
      </c>
      <c r="C119" s="243">
        <f>Valuation_Model!C77</f>
        <v>-0.08</v>
      </c>
      <c r="D119" s="244">
        <f>Valuation_Model!D77</f>
        <v>10</v>
      </c>
      <c r="E119" s="245" t="str">
        <f>ROUND(Valuation_Model!E77,2)&amp;" "&amp;Market_currency</f>
        <v>2.51 HKD</v>
      </c>
      <c r="F119" s="246">
        <f>Valuation_Model!F77</f>
        <v>0.17</v>
      </c>
    </row>
    <row r="120" spans="1:6">
      <c r="B120" s="242" t="str">
        <f>Valuation_Model!B78</f>
        <v>Devil's advocate</v>
      </c>
      <c r="C120" s="243">
        <f>Valuation_Model!C78</f>
        <v>-0.1</v>
      </c>
      <c r="D120" s="244">
        <f>Valuation_Model!D78</f>
        <v>15</v>
      </c>
      <c r="E120" s="245" t="str">
        <f>ROUND(Valuation_Model!E78,2)&amp;" "&amp;Market_currency</f>
        <v>2.37 HKD</v>
      </c>
      <c r="F120" s="246">
        <f>Valuation_Model!F78</f>
        <v>0.1</v>
      </c>
    </row>
    <row r="122" spans="1:6">
      <c r="B122" s="235" t="s">
        <v>259</v>
      </c>
      <c r="C122" s="241">
        <f>Scenarios!C60</f>
        <v>2.7391294847451428</v>
      </c>
      <c r="D122" s="236" t="str">
        <f>Market_currency</f>
        <v>HKD</v>
      </c>
    </row>
    <row r="124" spans="1:6" ht="24.4" customHeight="1">
      <c r="B124" s="349" t="s">
        <v>378</v>
      </c>
      <c r="C124" s="349"/>
      <c r="D124" s="349"/>
      <c r="E124" s="349"/>
      <c r="F124" s="349"/>
    </row>
    <row r="126" spans="1:6" ht="13.9">
      <c r="A126" s="247" t="s">
        <v>410</v>
      </c>
      <c r="B126" s="36"/>
      <c r="C126" s="36"/>
      <c r="D126" s="36"/>
      <c r="E126" s="36"/>
      <c r="F126" s="36"/>
    </row>
    <row r="128" spans="1:6">
      <c r="B128" s="350" t="s">
        <v>376</v>
      </c>
      <c r="C128" s="350"/>
      <c r="D128" s="350"/>
      <c r="E128" s="350"/>
      <c r="F128" s="350"/>
    </row>
    <row r="129" spans="2:6" ht="24.4" customHeight="1">
      <c r="B129" s="345" t="s">
        <v>377</v>
      </c>
      <c r="C129" s="345"/>
      <c r="D129" s="345"/>
      <c r="E129" s="345"/>
      <c r="F129" s="345"/>
    </row>
    <row r="130" spans="2:6">
      <c r="B130" s="234" t="s">
        <v>231</v>
      </c>
    </row>
    <row r="131" spans="2:6">
      <c r="B131" s="1" t="s">
        <v>264</v>
      </c>
      <c r="C131" s="251">
        <f>E25</f>
        <v>3</v>
      </c>
    </row>
    <row r="132" spans="2:6">
      <c r="B132" s="1" t="s">
        <v>278</v>
      </c>
      <c r="C132" s="250">
        <f>C24</f>
        <v>0.4</v>
      </c>
    </row>
    <row r="133" spans="2:6">
      <c r="B133" s="236" t="s">
        <v>262</v>
      </c>
      <c r="C133" s="237">
        <f>Scenarios!C77</f>
        <v>0.11266186578133895</v>
      </c>
      <c r="D133" s="236" t="str">
        <f>Market_currency</f>
        <v>HKD</v>
      </c>
    </row>
    <row r="135" spans="2:6">
      <c r="B135" s="234" t="s">
        <v>418</v>
      </c>
      <c r="C135" s="270" t="str">
        <f>C11</f>
        <v>6601.HK</v>
      </c>
      <c r="D135" s="270" t="str">
        <f>IF(D11="","",D11)</f>
        <v/>
      </c>
    </row>
    <row r="136" spans="2:6">
      <c r="B136" s="1" t="s">
        <v>416</v>
      </c>
      <c r="C136" s="337">
        <f>C24</f>
        <v>0.4</v>
      </c>
    </row>
    <row r="137" spans="2:6">
      <c r="B137" s="236" t="str">
        <f>"PV("&amp;C131&amp;" yrs of Dividends)"</f>
        <v>PV(3 yrs of Dividends)</v>
      </c>
      <c r="C137" s="240">
        <f>Scenarios!C81</f>
        <v>0.17901083629979506</v>
      </c>
    </row>
    <row r="138" spans="2:6">
      <c r="B138" s="236" t="str">
        <f>"+ PV(Equity Value realized at year "&amp;C131&amp;")"</f>
        <v>+ PV(Equity Value realized at year 3)</v>
      </c>
      <c r="C138" s="240">
        <f>Scenarios!C82</f>
        <v>0.99822503088379866</v>
      </c>
    </row>
    <row r="139" spans="2:6">
      <c r="B139" s="80" t="s">
        <v>261</v>
      </c>
      <c r="C139" s="239">
        <f>Scenarios!C83</f>
        <v>1.1772358671835936</v>
      </c>
      <c r="D139" s="342" t="str">
        <f>IF($D$11="","",C139*$E$22)</f>
        <v/>
      </c>
    </row>
    <row r="140" spans="2:6">
      <c r="B140" s="290" t="s">
        <v>426</v>
      </c>
      <c r="C140" s="340" t="str">
        <f>Market_currency</f>
        <v>HKD</v>
      </c>
      <c r="D140" s="340" t="str">
        <f>IF($D$11="","",D$13)</f>
        <v/>
      </c>
    </row>
    <row r="141" spans="2:6">
      <c r="B141" s="238" t="s">
        <v>263</v>
      </c>
      <c r="C141" s="92">
        <f>Scenarios!F83</f>
        <v>0.57021532799383978</v>
      </c>
    </row>
    <row r="143" spans="2:6">
      <c r="B143" s="234" t="s">
        <v>421</v>
      </c>
    </row>
    <row r="144" spans="2:6">
      <c r="B144" s="1" t="s">
        <v>420</v>
      </c>
      <c r="C144" s="337">
        <f>Scenarios!C90</f>
        <v>0.2</v>
      </c>
    </row>
    <row r="145" spans="1:6">
      <c r="B145" s="236" t="str">
        <f>"PV("&amp;C131&amp;" yrs of Dividends)"</f>
        <v>PV(3 yrs of Dividends)</v>
      </c>
      <c r="C145" s="240">
        <f>Scenarios!C91</f>
        <v>0.23732013393754267</v>
      </c>
    </row>
    <row r="146" spans="1:6">
      <c r="B146" s="236" t="str">
        <f>"+ PV(Equity Value realized at year "&amp;C131&amp;")"</f>
        <v>+ PV(Equity Value realized at year 3)</v>
      </c>
      <c r="C146" s="240">
        <f>Scenarios!C92</f>
        <v>1.5851443777460317</v>
      </c>
    </row>
    <row r="147" spans="1:6">
      <c r="B147" s="80" t="s">
        <v>261</v>
      </c>
      <c r="C147" s="239">
        <f>Scenarios!C93</f>
        <v>1.8224645116835743</v>
      </c>
      <c r="D147" s="342" t="str">
        <f>IF($D$11="","",C147*$E$22)</f>
        <v/>
      </c>
    </row>
    <row r="148" spans="1:6">
      <c r="B148" s="290" t="s">
        <v>426</v>
      </c>
      <c r="C148" s="340" t="str">
        <f>Market_currency</f>
        <v>HKD</v>
      </c>
      <c r="D148" s="340" t="str">
        <f>IF($D$11="","",D$13)</f>
        <v/>
      </c>
    </row>
    <row r="149" spans="1:6">
      <c r="B149" s="238" t="s">
        <v>263</v>
      </c>
      <c r="C149" s="92">
        <f>Scenarios!F93</f>
        <v>0.33465558242744331</v>
      </c>
    </row>
    <row r="151" spans="1:6">
      <c r="B151" s="234" t="s">
        <v>408</v>
      </c>
    </row>
    <row r="152" spans="1:6">
      <c r="B152" s="1" t="s">
        <v>419</v>
      </c>
      <c r="C152" s="92">
        <f>Scenarios!C96</f>
        <v>0.08</v>
      </c>
    </row>
    <row r="153" spans="1:6">
      <c r="B153" s="236" t="str">
        <f>"PV("&amp;C131&amp;" yrs of Dividends)"</f>
        <v>PV(3 yrs of Dividends)</v>
      </c>
      <c r="C153" s="240">
        <f>Scenarios!C97</f>
        <v>0.29034055488281368</v>
      </c>
    </row>
    <row r="154" spans="1:6">
      <c r="B154" s="236" t="str">
        <f>"+ PV(Equity Value realized at year "&amp;C131&amp;")"</f>
        <v>+ PV(Equity Value realized at year 3)</v>
      </c>
      <c r="C154" s="240">
        <f>Scenarios!C98</f>
        <v>2.1744092973196594</v>
      </c>
    </row>
    <row r="155" spans="1:6">
      <c r="B155" s="80" t="s">
        <v>409</v>
      </c>
      <c r="C155" s="239">
        <f>Scenarios!C99</f>
        <v>2.4647498522024729</v>
      </c>
      <c r="D155" s="342" t="str">
        <f>IF($D$11="","",C155*$E$22)</f>
        <v/>
      </c>
    </row>
    <row r="156" spans="1:6">
      <c r="B156" s="290" t="s">
        <v>426</v>
      </c>
      <c r="C156" s="340" t="str">
        <f>Market_currency</f>
        <v>HKD</v>
      </c>
      <c r="D156" s="340" t="str">
        <f>IF($D$11="","",D$13)</f>
        <v/>
      </c>
    </row>
    <row r="157" spans="1:6">
      <c r="B157" s="238" t="s">
        <v>263</v>
      </c>
      <c r="C157" s="92">
        <f>Scenarios!F99</f>
        <v>0.10017037678238827</v>
      </c>
    </row>
    <row r="159" spans="1:6" ht="13.9">
      <c r="A159" s="247" t="s">
        <v>382</v>
      </c>
      <c r="B159" s="36"/>
      <c r="C159" s="36"/>
      <c r="D159" s="36"/>
      <c r="E159" s="36"/>
      <c r="F159" s="36"/>
    </row>
    <row r="161" spans="2:6">
      <c r="B161" s="344" t="s">
        <v>384</v>
      </c>
      <c r="C161" s="345"/>
      <c r="D161" s="345"/>
      <c r="E161" s="345"/>
      <c r="F161" s="345"/>
    </row>
    <row r="163" spans="2:6">
      <c r="B163" s="234" t="s">
        <v>383</v>
      </c>
    </row>
    <row r="164" spans="2:6">
      <c r="B164" s="347" t="s">
        <v>388</v>
      </c>
      <c r="C164" s="347"/>
      <c r="D164" s="347"/>
      <c r="E164" s="347"/>
      <c r="F164" s="347"/>
    </row>
    <row r="165" spans="2:6">
      <c r="B165" s="238" t="s">
        <v>385</v>
      </c>
    </row>
    <row r="166" spans="2:6">
      <c r="B166" s="238" t="s">
        <v>386</v>
      </c>
    </row>
    <row r="167" spans="2:6">
      <c r="B167" s="238" t="s">
        <v>387</v>
      </c>
    </row>
    <row r="169" spans="2:6">
      <c r="B169" s="1" t="s">
        <v>392</v>
      </c>
    </row>
    <row r="170" spans="2:6" ht="46.5" customHeight="1">
      <c r="B170" s="346" t="s">
        <v>389</v>
      </c>
      <c r="C170" s="346"/>
      <c r="D170" s="346"/>
      <c r="E170" s="346"/>
      <c r="F170" s="346"/>
    </row>
    <row r="172" spans="2:6">
      <c r="B172" s="1" t="s">
        <v>393</v>
      </c>
    </row>
    <row r="173" spans="2:6" ht="24.4" customHeight="1">
      <c r="B173" s="343" t="s">
        <v>390</v>
      </c>
      <c r="C173" s="343"/>
      <c r="D173" s="343"/>
      <c r="E173" s="343"/>
      <c r="F173" s="343"/>
    </row>
    <row r="174" spans="2:6" ht="24.4" customHeight="1">
      <c r="B174" s="343" t="s">
        <v>391</v>
      </c>
      <c r="C174" s="343"/>
      <c r="D174" s="343"/>
      <c r="E174" s="343"/>
      <c r="F174" s="343"/>
    </row>
    <row r="176" spans="2:6">
      <c r="B176" s="1" t="s">
        <v>397</v>
      </c>
    </row>
    <row r="177" spans="2:2">
      <c r="B177" s="238" t="s">
        <v>394</v>
      </c>
    </row>
    <row r="178" spans="2:2">
      <c r="B178" s="238" t="s">
        <v>395</v>
      </c>
    </row>
    <row r="179" spans="2:2">
      <c r="B179" s="238" t="s">
        <v>396</v>
      </c>
    </row>
  </sheetData>
  <mergeCells count="27">
    <mergeCell ref="B129:F129"/>
    <mergeCell ref="B41:F41"/>
    <mergeCell ref="B18:F18"/>
    <mergeCell ref="B30:F30"/>
    <mergeCell ref="B31:F31"/>
    <mergeCell ref="B34:F34"/>
    <mergeCell ref="B37:F37"/>
    <mergeCell ref="B79:F79"/>
    <mergeCell ref="B86:F86"/>
    <mergeCell ref="B106:F106"/>
    <mergeCell ref="B128:F128"/>
    <mergeCell ref="B44:F44"/>
    <mergeCell ref="B52:F52"/>
    <mergeCell ref="B55:F55"/>
    <mergeCell ref="B59:F59"/>
    <mergeCell ref="B68:F68"/>
    <mergeCell ref="B69:F69"/>
    <mergeCell ref="B113:F113"/>
    <mergeCell ref="B78:F78"/>
    <mergeCell ref="B124:F124"/>
    <mergeCell ref="B58:F58"/>
    <mergeCell ref="B90:F90"/>
    <mergeCell ref="B173:F173"/>
    <mergeCell ref="B174:F174"/>
    <mergeCell ref="B161:F161"/>
    <mergeCell ref="B170:F170"/>
    <mergeCell ref="B164:F164"/>
  </mergeCells>
  <phoneticPr fontId="2" type="noConversion"/>
  <dataValidations count="3">
    <dataValidation type="list" allowBlank="1" showInputMessage="1" showErrorMessage="1" sqref="F1" xr:uid="{45F807FD-9E0F-415A-9BBD-D5FB6470B56D}">
      <formula1>"Y, N"</formula1>
    </dataValidation>
    <dataValidation type="list" allowBlank="1" showInputMessage="1" showErrorMessage="1" sqref="D73:D74" xr:uid="{342D2C68-3352-49DC-9D77-964DC8D8A160}">
      <formula1>"Y,N"</formula1>
    </dataValidation>
    <dataValidation type="list" allowBlank="1" sqref="C22:D22" xr:uid="{00000000-0002-0000-0000-000001000000}">
      <formula1>"HKD,USD,CNY,EUR"</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tabSelected="1"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Thesis!C22</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0.11266186578133895</v>
      </c>
      <c r="D25" s="39">
        <f>(0.064+0.041)/Exchange_Rate</f>
        <v>9.696308120525074E-2</v>
      </c>
      <c r="E25" s="39">
        <f>(0.022+0.0168)/Exchange_Rate</f>
        <v>3.5830167150130751E-2</v>
      </c>
      <c r="F25" s="39"/>
      <c r="G25" s="39"/>
      <c r="H25" s="39"/>
      <c r="I25" s="39"/>
      <c r="J25" s="39"/>
      <c r="K25" s="39"/>
      <c r="L25" s="39"/>
      <c r="M25" s="39"/>
    </row>
    <row r="27" spans="2:13">
      <c r="B27" s="16" t="s">
        <v>28</v>
      </c>
      <c r="C27" s="97" t="s">
        <v>437</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0.11266186578133895</v>
      </c>
      <c r="D65" s="73">
        <f t="shared" ref="D65:M65" si="33">IF(D$4="","",D25)</f>
        <v>9.696308120525074E-2</v>
      </c>
      <c r="E65" s="73">
        <f t="shared" si="33"/>
        <v>3.5830167150130751E-2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5"/>
      <c r="J77" s="335"/>
      <c r="K77" s="335"/>
      <c r="L77" s="335"/>
      <c r="M77" s="335"/>
    </row>
    <row r="78" spans="2:13">
      <c r="B78" s="93" t="s">
        <v>87</v>
      </c>
      <c r="C78" s="185">
        <f t="shared" si="40"/>
        <v>318027</v>
      </c>
      <c r="D78" s="185">
        <f t="shared" si="40"/>
        <v>0</v>
      </c>
      <c r="E78" s="185">
        <f t="shared" si="40"/>
        <v>0</v>
      </c>
      <c r="F78" s="185" t="str">
        <f t="shared" si="40"/>
        <v/>
      </c>
      <c r="G78" s="185" t="str">
        <f t="shared" si="40"/>
        <v/>
      </c>
      <c r="H78" s="185" t="str">
        <f t="shared" si="40"/>
        <v/>
      </c>
      <c r="I78" s="335"/>
      <c r="J78" s="335"/>
      <c r="K78" s="335"/>
      <c r="L78" s="335"/>
      <c r="M78" s="335"/>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4">
        <v>0.6</v>
      </c>
      <c r="E4" s="25"/>
      <c r="F4" s="4" t="s">
        <v>78</v>
      </c>
      <c r="G4" s="19">
        <f>1713053+891425</f>
        <v>2604478</v>
      </c>
      <c r="H4" s="294">
        <v>0.9</v>
      </c>
    </row>
    <row r="5" spans="2:8" ht="15" customHeight="1">
      <c r="B5" s="1" t="s">
        <v>33</v>
      </c>
      <c r="C5" s="19">
        <v>0</v>
      </c>
      <c r="D5" s="294">
        <v>0.6</v>
      </c>
      <c r="E5" s="25"/>
      <c r="F5" s="1" t="s">
        <v>29</v>
      </c>
      <c r="G5" s="19">
        <v>0</v>
      </c>
      <c r="H5" s="294">
        <v>0.7</v>
      </c>
    </row>
    <row r="6" spans="2:8" ht="15" customHeight="1">
      <c r="B6" s="4" t="s">
        <v>10</v>
      </c>
      <c r="C6" s="19">
        <v>318027</v>
      </c>
      <c r="D6" s="294">
        <v>0.5</v>
      </c>
      <c r="E6" s="25"/>
      <c r="F6" s="4" t="s">
        <v>178</v>
      </c>
      <c r="G6" s="19">
        <v>0</v>
      </c>
      <c r="H6" s="294">
        <v>0.6</v>
      </c>
    </row>
    <row r="7" spans="2:8" ht="15" customHeight="1">
      <c r="B7" s="1" t="s">
        <v>69</v>
      </c>
      <c r="C7" s="19">
        <v>0</v>
      </c>
      <c r="D7" s="294">
        <v>0.6</v>
      </c>
      <c r="E7" s="25"/>
      <c r="F7" s="4" t="s">
        <v>179</v>
      </c>
      <c r="G7" s="19">
        <v>270180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19230</v>
      </c>
      <c r="D10" s="294">
        <v>0.9</v>
      </c>
      <c r="H10" s="295"/>
    </row>
    <row r="11" spans="2:8" ht="15" customHeight="1">
      <c r="B11" s="4" t="s">
        <v>12</v>
      </c>
      <c r="C11" s="19">
        <v>0</v>
      </c>
      <c r="D11" s="294">
        <v>0.05</v>
      </c>
      <c r="H11" s="295"/>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103162</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111923</v>
      </c>
      <c r="H17" s="294">
        <v>0.6</v>
      </c>
    </row>
    <row r="18" spans="2:8" ht="15" customHeight="1">
      <c r="B18" s="4" t="s">
        <v>174</v>
      </c>
      <c r="C18" s="19">
        <v>0</v>
      </c>
      <c r="D18" s="294">
        <v>0.6</v>
      </c>
      <c r="F18" s="4" t="s">
        <v>182</v>
      </c>
      <c r="G18" s="19">
        <v>0</v>
      </c>
      <c r="H18" s="294">
        <v>0.1</v>
      </c>
    </row>
    <row r="19" spans="2:8" ht="15" customHeight="1">
      <c r="B19" s="4" t="s">
        <v>26</v>
      </c>
      <c r="C19" s="19">
        <f>147013+53837+407</f>
        <v>201257</v>
      </c>
      <c r="D19" s="294">
        <v>0.1</v>
      </c>
      <c r="F19" s="4" t="s">
        <v>183</v>
      </c>
      <c r="G19" s="19">
        <v>3283</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60400</v>
      </c>
      <c r="D22" s="294">
        <v>0.9</v>
      </c>
      <c r="H22" s="295"/>
    </row>
    <row r="23" spans="2:8" ht="15" customHeight="1">
      <c r="B23" s="4" t="s">
        <v>21</v>
      </c>
      <c r="C23" s="19">
        <v>0</v>
      </c>
      <c r="D23" s="294">
        <v>0</v>
      </c>
      <c r="H23" s="295"/>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3160474</v>
      </c>
      <c r="D46" s="188">
        <f>H29</f>
        <v>2331584.9000000004</v>
      </c>
      <c r="F46" s="283"/>
    </row>
    <row r="47" spans="2:8" ht="15" customHeight="1">
      <c r="B47" s="1" t="str">
        <f>"Equity per share ("&amp;Market_currency&amp;")"</f>
        <v>Equity per share (HKD)</v>
      </c>
      <c r="C47" s="148">
        <f>C46*H1/Common_Shares*Exchange_Rate</f>
        <v>2.5668253658549189</v>
      </c>
      <c r="D47" s="148">
        <f>D46*H1/Common_Shares*Exchange_Rate</f>
        <v>1.8936309123138828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0.29882156160837919</v>
      </c>
      <c r="D50" s="95">
        <f>G31/Normalized_FCF!G8</f>
        <v>0.21533618767734089</v>
      </c>
      <c r="F50" s="283"/>
    </row>
    <row r="51" spans="2:8" ht="15" customHeight="1">
      <c r="B51" s="1" t="s">
        <v>177</v>
      </c>
      <c r="C51" s="202"/>
      <c r="D51" s="92">
        <f>G29/G32</f>
        <v>0.83133111660747827</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0.16054836031457936</v>
      </c>
      <c r="D54" s="92">
        <f>Normalized_FCF!G8/G35</f>
        <v>0.2227926121491173</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0.17874657775878602</v>
      </c>
      <c r="F58" s="5"/>
    </row>
    <row r="59" spans="2:8" ht="15" customHeight="1">
      <c r="B59" s="1" t="s">
        <v>93</v>
      </c>
      <c r="C59" s="98"/>
      <c r="D59" s="92">
        <f>G39/G32</f>
        <v>5.2938643550009039E-2</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-5.2144077122608828E-4</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2707640</v>
      </c>
      <c r="D66" s="188">
        <f>C66-D75</f>
        <v>1875698.7119286128</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2707640</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-151036.31998489689</v>
      </c>
      <c r="D73" s="188">
        <f>(Normalized_FCF!C25+Normalized_FCF!C35-Normalized_FCF!C91)/12</f>
        <v>-138656.8813452312</v>
      </c>
      <c r="F73" s="1" t="s">
        <v>359</v>
      </c>
    </row>
    <row r="74" spans="2:6" ht="15" customHeight="1">
      <c r="B74" s="288" t="s">
        <v>329</v>
      </c>
      <c r="C74" s="289">
        <f>-$C$66/C73</f>
        <v>17.92707873358378</v>
      </c>
      <c r="D74" s="289">
        <f>-$C$66/D73</f>
        <v>19.527628010458805</v>
      </c>
      <c r="F74" s="283" t="s">
        <v>327</v>
      </c>
    </row>
    <row r="75" spans="2:6" ht="15" customHeight="1">
      <c r="B75" s="80" t="s">
        <v>328</v>
      </c>
      <c r="C75" s="293"/>
      <c r="D75" s="292">
        <f>MAX(-D73*D76,G5)</f>
        <v>831941.28807138721</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382103</v>
      </c>
      <c r="D79" s="188">
        <f>G7*H7+G17*H17</f>
        <v>229261.8</v>
      </c>
      <c r="F79" s="283"/>
    </row>
    <row r="80" spans="2:6" ht="15" customHeight="1">
      <c r="B80" s="105" t="s">
        <v>183</v>
      </c>
      <c r="C80" s="20">
        <f>G19</f>
        <v>3283</v>
      </c>
      <c r="D80" s="188">
        <f>G19*H19</f>
        <v>328.3</v>
      </c>
      <c r="F80" s="283"/>
    </row>
    <row r="81" spans="2:8" ht="15" customHeight="1">
      <c r="B81" s="105" t="s">
        <v>181</v>
      </c>
      <c r="C81" s="20">
        <f>G9+G21</f>
        <v>0</v>
      </c>
      <c r="D81" s="188">
        <f>G9*H9+G21*H21</f>
        <v>0</v>
      </c>
      <c r="F81" s="283"/>
    </row>
    <row r="82" spans="2:8" ht="15" customHeight="1">
      <c r="B82" s="80" t="s">
        <v>190</v>
      </c>
      <c r="C82" s="81">
        <f>SUM(C79:C81)</f>
        <v>385386</v>
      </c>
      <c r="D82" s="81">
        <f>SUM(D79:D81)</f>
        <v>229590.09999999998</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-36817.054033619999</v>
      </c>
      <c r="D86" s="248">
        <f>C86*scaling_factor/Common_Shares</f>
        <v>-2.7612787073616616E-2</v>
      </c>
      <c r="E86" s="269" t="str">
        <f>Market_currency</f>
        <v>HKD</v>
      </c>
    </row>
    <row r="87" spans="2:8" ht="15" customHeight="1">
      <c r="B87" s="267" t="s">
        <v>294</v>
      </c>
      <c r="C87" s="188">
        <f>Valuation_Model!C8*Exchange_Rate</f>
        <v>2031168.5881310382</v>
      </c>
      <c r="D87" s="248">
        <f>C87*scaling_factor/Common_Shares</f>
        <v>1.5233762506762474</v>
      </c>
      <c r="E87" s="269" t="str">
        <f>Market_currency</f>
        <v>HKD</v>
      </c>
    </row>
    <row r="88" spans="2:8" ht="15" customHeight="1">
      <c r="B88" s="268" t="s">
        <v>190</v>
      </c>
      <c r="C88" s="188">
        <f>Valuation_Model!C9*Exchange_Rate</f>
        <v>248619.99227283796</v>
      </c>
      <c r="D88" s="248">
        <f>C88*scaling_factor/Common_Shares</f>
        <v>0.18646497089650713</v>
      </c>
      <c r="E88" s="269" t="str">
        <f>Market_currency</f>
        <v>HKD</v>
      </c>
    </row>
    <row r="89" spans="2:8" ht="15" customHeight="1">
      <c r="B89" s="80" t="s">
        <v>298</v>
      </c>
      <c r="C89" s="187">
        <f>SUM(C86:C88)</f>
        <v>2242971.5263702562</v>
      </c>
      <c r="D89" s="271">
        <f>SUM(D86:D88)</f>
        <v>1.6822284344991378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Thesis!C22</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AVERAGE(G4:K4)</f>
        <v>1627443.6666666667</v>
      </c>
      <c r="D4" s="57"/>
      <c r="E4" s="300"/>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302"/>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302"/>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302"/>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8"/>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302"/>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302"/>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23158.678519384193</v>
      </c>
      <c r="E12" s="302"/>
      <c r="G12" s="191">
        <f>G50</f>
        <v>23158.678519384193</v>
      </c>
      <c r="H12" s="191">
        <f t="shared" ref="H12:Q12" si="6">H50</f>
        <v>21674.10137466899</v>
      </c>
      <c r="I12" s="191">
        <f t="shared" si="6"/>
        <v>13071.104021966514</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136935.60886203934</v>
      </c>
      <c r="E13" s="302"/>
      <c r="G13" s="184">
        <f>IF(G$4="","",SUM(G8:G12))</f>
        <v>181046.67851938418</v>
      </c>
      <c r="H13" s="184">
        <f t="shared" ref="H13:Q13" si="7">IF(H$4="","",SUM(H8:H12))</f>
        <v>147490.101374669</v>
      </c>
      <c r="I13" s="184">
        <f t="shared" si="7"/>
        <v>35769.104021966516</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-34233.902215509836</v>
      </c>
      <c r="E14" s="302"/>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102701.70664652951</v>
      </c>
      <c r="D16" s="61"/>
      <c r="E16" s="310"/>
      <c r="F16" s="61"/>
      <c r="G16" s="184">
        <f>IF(G$4="","",SUM(G13:G15))</f>
        <v>133776.67851938418</v>
      </c>
      <c r="H16" s="184">
        <f t="shared" ref="H16:Q16" si="8">IF(H$4="","",SUM(H13:H15))</f>
        <v>103041.101374669</v>
      </c>
      <c r="I16" s="184">
        <f t="shared" si="8"/>
        <v>14752.104021966516</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102701.70664652951</v>
      </c>
      <c r="D19" s="27"/>
      <c r="E19" s="299"/>
      <c r="F19" s="27"/>
      <c r="G19" s="186">
        <f>IF(G$4="","",G16+G17)</f>
        <v>133776.67851938418</v>
      </c>
      <c r="H19" s="186">
        <f t="shared" ref="H19:Q19" si="9">IF(H$4="","",H16+H17)</f>
        <v>103041.101374669</v>
      </c>
      <c r="I19" s="186">
        <f t="shared" si="9"/>
        <v>14752.104021966516</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-865842.54650761362</v>
      </c>
      <c r="D23" s="58"/>
      <c r="E23" s="301"/>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9"/>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7"/>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0.53202612430882723</v>
      </c>
      <c r="D28" s="26"/>
      <c r="E28" s="300" t="s">
        <v>341</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300" t="s">
        <v>341</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302"/>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-192887</v>
      </c>
      <c r="E33" s="300" t="s">
        <v>341</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301"/>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0.11852146034343021</v>
      </c>
      <c r="D38" s="27"/>
      <c r="E38" s="299"/>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302"/>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0.2610928871304255</v>
      </c>
      <c r="H43" s="6">
        <f t="shared" si="18"/>
        <v>0.35046649376774219</v>
      </c>
      <c r="I43" s="6">
        <f t="shared" si="18"/>
        <v>1.3769807222536474</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-1880</v>
      </c>
      <c r="E47" s="302"/>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25038.678519384193</v>
      </c>
      <c r="E48" s="302"/>
      <c r="G48" s="328">
        <f>IFERROR(IF(G$4="","",($C$48/$C$49)*G49),0)</f>
        <v>25038.678519384193</v>
      </c>
      <c r="H48" s="328">
        <f t="shared" ref="H48:Q48" si="19">IFERROR(IF(H$4="","",($C$48/$C$49)*H49),0)</f>
        <v>22677.10137466899</v>
      </c>
      <c r="I48" s="328">
        <f t="shared" si="19"/>
        <v>13934.104021966514</v>
      </c>
      <c r="J48" s="328" t="str">
        <f t="shared" si="19"/>
        <v/>
      </c>
      <c r="K48" s="328" t="str">
        <f t="shared" si="19"/>
        <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81491</v>
      </c>
      <c r="D49" s="325"/>
      <c r="E49" s="326"/>
      <c r="F49" s="325"/>
      <c r="G49" s="324">
        <f>Data!C52</f>
        <v>81491</v>
      </c>
      <c r="H49" s="324">
        <f>Data!D52</f>
        <v>73805</v>
      </c>
      <c r="I49" s="324">
        <f>Data!E52</f>
        <v>45350</v>
      </c>
      <c r="J49" s="324" t="str">
        <f>Data!F52</f>
        <v/>
      </c>
      <c r="K49" s="324" t="str">
        <f>Data!G52</f>
        <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23158.678519384193</v>
      </c>
      <c r="E50" s="302"/>
      <c r="G50" s="184">
        <f>IF(G$4="","",(G47+G48))</f>
        <v>23158.678519384193</v>
      </c>
      <c r="H50" s="184">
        <f t="shared" ref="H50:Q50" si="20">IF(H$4="","",(H47+H48))</f>
        <v>21674.10137466899</v>
      </c>
      <c r="I50" s="184">
        <f t="shared" si="20"/>
        <v>13071.104021966514</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3.0096689367862788E-2</v>
      </c>
      <c r="E53" s="299" t="s">
        <v>343</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9" t="s">
        <v>344</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302"/>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438</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0.81156709960304507</v>
      </c>
      <c r="D73" s="27"/>
      <c r="E73" s="299"/>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9"/>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9"/>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9"/>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9"/>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300" t="s">
        <v>439</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1.4230095329086163E-2</v>
      </c>
      <c r="D80" s="27"/>
      <c r="E80" s="299"/>
      <c r="F80" s="27"/>
      <c r="G80" s="6">
        <f t="shared" ref="G80:Q80" si="31">IF(G$4="","",ABS(G12/G$4))</f>
        <v>1.272379359872282E-2</v>
      </c>
      <c r="H80" s="6">
        <f t="shared" si="31"/>
        <v>1.3415636673198247E-2</v>
      </c>
      <c r="I80" s="6">
        <f t="shared" si="31"/>
        <v>9.0355044053636868E-3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8.4141535382610891E-2</v>
      </c>
      <c r="D81" s="27"/>
      <c r="E81" s="299"/>
      <c r="F81" s="27"/>
      <c r="G81" s="65">
        <f t="shared" ref="G81:Q81" si="32">IF(G$4="","",G13/G$4)</f>
        <v>9.9470294355820749E-2</v>
      </c>
      <c r="H81" s="65">
        <f t="shared" si="32"/>
        <v>9.1292071524970209E-2</v>
      </c>
      <c r="I81" s="65">
        <f t="shared" si="32"/>
        <v>2.4725677067771283E-2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2.1035383845652723E-2</v>
      </c>
      <c r="D82" s="27"/>
      <c r="E82" s="299"/>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6.3106151536958172E-2</v>
      </c>
      <c r="D84" s="27"/>
      <c r="E84" s="299"/>
      <c r="F84" s="27"/>
      <c r="G84" s="65">
        <f t="shared" ref="G84:Q84" si="35">IF(G$4="","",ABS(G16/G$4))</f>
        <v>7.349930801874624E-2</v>
      </c>
      <c r="H84" s="65">
        <f t="shared" si="35"/>
        <v>6.3779436782756091E-2</v>
      </c>
      <c r="I84" s="65">
        <f t="shared" si="35"/>
        <v>1.0197508998081424E-2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6.3106151536958172E-2</v>
      </c>
      <c r="D87" s="75"/>
      <c r="E87" s="299"/>
      <c r="F87" s="75"/>
      <c r="G87" s="65">
        <f t="shared" ref="G87:Q87" si="36">IF(G$4="","",ABS(G19/G$4))</f>
        <v>7.349930801874624E-2</v>
      </c>
      <c r="H87" s="65">
        <f t="shared" si="36"/>
        <v>6.3779436782756091E-2</v>
      </c>
      <c r="I87" s="65">
        <f t="shared" si="36"/>
        <v>1.0197508998081424E-2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0.11266186578133895</v>
      </c>
      <c r="E90" s="302"/>
      <c r="G90" s="113">
        <f>Data!C65</f>
        <v>0.11266186578133895</v>
      </c>
      <c r="H90" s="113">
        <f>Data!D65</f>
        <v>9.696308120525074E-2</v>
      </c>
      <c r="I90" s="113">
        <f>Data!E65</f>
        <v>3.5830167150130751E-2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150215.83981876291</v>
      </c>
      <c r="E91" s="302"/>
      <c r="G91" s="74">
        <f t="shared" ref="G91:Q91" si="37">IF(G$4="","",G90*Common_Shares/scaling_factor)</f>
        <v>150215.83981876291</v>
      </c>
      <c r="H91" s="74">
        <f t="shared" si="37"/>
        <v>129284.12443418118</v>
      </c>
      <c r="I91" s="74">
        <f t="shared" si="37"/>
        <v>47773.562171868864</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1.4626420993739053</v>
      </c>
      <c r="E92" s="302"/>
      <c r="G92" s="171">
        <f t="shared" ref="G92:Q92" si="38">IF(G$4="","",G90/(G19*scaling_factor/Common_Shares))</f>
        <v>1.1228851058444891</v>
      </c>
      <c r="H92" s="171">
        <f t="shared" si="38"/>
        <v>1.2546850015130333</v>
      </c>
      <c r="I92" s="171">
        <f t="shared" si="38"/>
        <v>3.2384236242323117</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4.8983419904929985E-2</v>
      </c>
      <c r="E93" s="302"/>
      <c r="G93" s="23">
        <f t="shared" ref="G93:Q93" si="39">IF(G$4="","",G90/Market_Price)</f>
        <v>4.8983419904929985E-2</v>
      </c>
      <c r="H93" s="23">
        <f t="shared" si="39"/>
        <v>4.2157861393587279E-2</v>
      </c>
      <c r="I93" s="23">
        <f t="shared" si="39"/>
        <v>1.5578333543535111E-2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-0.10585324240832594</v>
      </c>
      <c r="D96" s="27"/>
      <c r="E96" s="299"/>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-0.24364473304944934</v>
      </c>
      <c r="D97" s="27"/>
      <c r="E97" s="299"/>
      <c r="F97" s="27"/>
      <c r="G97" s="6">
        <f t="shared" ref="G97:Q97" si="41">IF(H5="","",G13/H13-1)</f>
        <v>0.2275174864750511</v>
      </c>
      <c r="H97" s="6">
        <f t="shared" si="41"/>
        <v>3.1233937893465935</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3801703</v>
      </c>
      <c r="D101" s="26"/>
      <c r="E101" s="303"/>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4"/>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4"/>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303"/>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303"/>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303"/>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303"/>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t="str">
        <f>IF(J$4="","",Data!F$22/Data!F15)</f>
        <v/>
      </c>
      <c r="K113" s="334" t="str">
        <f>IF(K$4="","",Data!G$22/Data!G15)</f>
        <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t="str">
        <f>IF(J$4="","",Data!F$22/J19)</f>
        <v/>
      </c>
      <c r="K114" s="334" t="str">
        <f>IF(K$4="","",Data!G$22/K19)</f>
        <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8.4141535382610891E-2</v>
      </c>
      <c r="E117" s="302"/>
      <c r="G117" s="23">
        <f t="shared" ref="G117:Q117" si="45">G81</f>
        <v>9.9470294355820749E-2</v>
      </c>
      <c r="H117" s="23">
        <f t="shared" si="45"/>
        <v>9.1292071524970209E-2</v>
      </c>
      <c r="I117" s="23">
        <f t="shared" si="45"/>
        <v>2.4725677067771283E-2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302"/>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6"/>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5"/>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8.3410699071374328E-2</v>
      </c>
      <c r="D124" s="27"/>
      <c r="E124" s="299"/>
      <c r="F124" s="27"/>
      <c r="G124" s="178">
        <f t="shared" ref="G124:Q124" si="49">IF(G$4="","",G16*$C$3/Common_Shares*Exchange_Rate)</f>
        <v>0.10864869376662303</v>
      </c>
      <c r="H124" s="178">
        <f t="shared" si="49"/>
        <v>8.3686343483328304E-2</v>
      </c>
      <c r="I124" s="178">
        <f t="shared" si="49"/>
        <v>1.1981137893655833E-2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3.6265521335380142E-2</v>
      </c>
      <c r="D125" s="27"/>
      <c r="E125" s="299"/>
      <c r="F125" s="27"/>
      <c r="G125" s="77">
        <f t="shared" ref="G125" si="50">IF(G$4="","",G124/Market_Price)</f>
        <v>4.7238562507227411E-2</v>
      </c>
      <c r="H125" s="77">
        <f t="shared" ref="H125" si="51">IF(H$4="","",H124/Market_Price)</f>
        <v>3.6385366731881877E-2</v>
      </c>
      <c r="I125" s="77">
        <f t="shared" ref="I125" si="52">IF(I$4="","",I124/Market_Price)</f>
        <v>5.2091903885460146E-3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6.3668144215395017E-2</v>
      </c>
      <c r="H126" s="23">
        <f>IF(H$4="","",(Data!D47*$C$3)/(Market_Price*Common_Shares))</f>
        <v>5.6353362521047078E-2</v>
      </c>
      <c r="I126" s="23">
        <f>IF(I$4="","",(Data!E47*$C$3)/(Market_Price*Common_Shares))</f>
        <v>2.1344345158043811E-2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E26" sqref="E26"/>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102701.70664652951</v>
      </c>
      <c r="D4" t="str">
        <f>Reporting_currency</f>
        <v>CNY</v>
      </c>
      <c r="E4" s="100" t="s">
        <v>251</v>
      </c>
      <c r="F4" s="135">
        <f>Thesis!C81</f>
        <v>0</v>
      </c>
      <c r="H4" s="121"/>
    </row>
    <row r="5" spans="2:8">
      <c r="B5" s="227" t="s">
        <v>124</v>
      </c>
      <c r="C5" s="228">
        <f>Thesis!C75</f>
        <v>0.08</v>
      </c>
      <c r="E5" s="149"/>
      <c r="H5" s="121"/>
    </row>
    <row r="6" spans="2:8" ht="13.15" customHeight="1">
      <c r="B6" s="150" t="s">
        <v>229</v>
      </c>
      <c r="C6" s="232">
        <f>(C4*(1+Terminal_Growth))/(Equity_Cost-Terminal_Growth)</f>
        <v>1283771.3330816189</v>
      </c>
      <c r="D6" t="str">
        <f>Reporting_currency</f>
        <v>CNY</v>
      </c>
      <c r="E6" s="351" t="s">
        <v>250</v>
      </c>
      <c r="F6" s="351"/>
      <c r="H6" s="121"/>
    </row>
    <row r="7" spans="2:8">
      <c r="B7" s="149" t="s">
        <v>225</v>
      </c>
      <c r="C7" s="226">
        <f>BS!G31</f>
        <v>33999</v>
      </c>
      <c r="D7" t="str">
        <f>Reporting_currency</f>
        <v>CNY</v>
      </c>
      <c r="E7" s="351"/>
      <c r="F7" s="351"/>
      <c r="H7" s="121"/>
    </row>
    <row r="8" spans="2:8">
      <c r="B8" s="149" t="s">
        <v>226</v>
      </c>
      <c r="C8" s="201">
        <f>BS!D66</f>
        <v>1875698.7119286128</v>
      </c>
      <c r="D8" t="str">
        <f>Reporting_currency</f>
        <v>CNY</v>
      </c>
      <c r="E8" s="351"/>
      <c r="F8" s="351"/>
      <c r="H8" s="121"/>
    </row>
    <row r="9" spans="2:8">
      <c r="B9" s="227" t="s">
        <v>191</v>
      </c>
      <c r="C9" s="229">
        <f>BS!H42</f>
        <v>229590.09999999998</v>
      </c>
      <c r="D9" t="str">
        <f>Reporting_currency</f>
        <v>CNY</v>
      </c>
      <c r="E9" s="351"/>
      <c r="F9" s="351"/>
      <c r="H9" s="121"/>
    </row>
    <row r="10" spans="2:8" ht="13.15">
      <c r="B10" s="150" t="s">
        <v>228</v>
      </c>
      <c r="C10" s="232">
        <f>C6-C7+C8+C9</f>
        <v>3355061.1450102315</v>
      </c>
      <c r="D10" t="str">
        <f>Reporting_currency</f>
        <v>CNY</v>
      </c>
      <c r="H10" s="121"/>
    </row>
    <row r="11" spans="2:8" ht="13.15" thickBot="1">
      <c r="B11" s="230" t="s">
        <v>167</v>
      </c>
      <c r="C11" s="231">
        <f>Exchange_Rate</f>
        <v>1.0828863799999999</v>
      </c>
      <c r="D11" t="str">
        <f>Thesis!C15</f>
        <v>CNY/HKD</v>
      </c>
      <c r="H11" s="121"/>
    </row>
    <row r="12" spans="2:8" ht="13.5" thickTop="1">
      <c r="B12" s="150" t="s">
        <v>103</v>
      </c>
      <c r="C12" s="112">
        <f>(C10*scaling_factor)/Common_Shares*Exchange_Rate</f>
        <v>2.7248621728913167</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8.5779014792802307E-3</v>
      </c>
      <c r="H16" s="121"/>
    </row>
    <row r="17" spans="2:8" ht="13.25" customHeight="1">
      <c r="B17" s="119" t="s">
        <v>135</v>
      </c>
      <c r="C17" s="163">
        <f>Scenarios!C64</f>
        <v>10</v>
      </c>
      <c r="H17" s="121"/>
    </row>
    <row r="18" spans="2:8" ht="13.25" customHeight="1">
      <c r="B18" s="154" t="s">
        <v>107</v>
      </c>
      <c r="C18" s="141">
        <f>(F52-C7+C8+C9)*Exchange_Rate/Common_Shares*scaling_factor</f>
        <v>2.7529542737837494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103582.67176789737</v>
      </c>
      <c r="D21" s="139">
        <f>IF($C$17&lt;B21,0,Valuation_Model!$C$16)</f>
        <v>8.5779014792802307E-3</v>
      </c>
      <c r="E21" s="125">
        <f t="shared" ref="E21:E50" si="0">IF($C$17&lt;B21,0,1/(1+Equity_Cost)^B21)</f>
        <v>0.92592592592592582</v>
      </c>
      <c r="F21" s="126">
        <f t="shared" ref="F21:F51" si="1">C21*E21</f>
        <v>95909.881266571625</v>
      </c>
      <c r="H21" s="121"/>
    </row>
    <row r="22" spans="2:8">
      <c r="B22" s="123">
        <v>2</v>
      </c>
      <c r="C22" s="124">
        <f t="shared" ref="C22:C50" si="2">IF(ROW()-ROW($C$21)&lt;$C$17, $C$21*(1+D22)^(ROW()-ROW($C$21)), 0)</f>
        <v>104471.19372128301</v>
      </c>
      <c r="D22" s="139">
        <f>IF($C$17&lt;B22,0,Valuation_Model!$C$16)</f>
        <v>8.5779014792802307E-3</v>
      </c>
      <c r="E22" s="125">
        <f t="shared" si="0"/>
        <v>0.85733882030178321</v>
      </c>
      <c r="F22" s="126">
        <f t="shared" si="1"/>
        <v>89567.209980523839</v>
      </c>
      <c r="H22" s="121"/>
    </row>
    <row r="23" spans="2:8">
      <c r="B23" s="123">
        <v>3</v>
      </c>
      <c r="C23" s="124">
        <f t="shared" si="2"/>
        <v>105367.33732844696</v>
      </c>
      <c r="D23" s="139">
        <f>IF($C$17&lt;B23,0,Valuation_Model!$C$16)</f>
        <v>8.5779014792802307E-3</v>
      </c>
      <c r="E23" s="125">
        <f t="shared" si="0"/>
        <v>0.79383224102016958</v>
      </c>
      <c r="F23" s="126">
        <f t="shared" si="1"/>
        <v>83643.98952176921</v>
      </c>
      <c r="H23" s="121"/>
    </row>
    <row r="24" spans="2:8">
      <c r="B24" s="123">
        <v>4</v>
      </c>
      <c r="C24" s="124">
        <f t="shared" si="2"/>
        <v>106271.16796718445</v>
      </c>
      <c r="D24" s="139">
        <f>IF($C$17&lt;B24,0,Valuation_Model!$C$16)</f>
        <v>8.5779014792802307E-3</v>
      </c>
      <c r="E24" s="125">
        <f t="shared" si="0"/>
        <v>0.73502985279645328</v>
      </c>
      <c r="F24" s="126">
        <f t="shared" si="1"/>
        <v>78112.480947426739</v>
      </c>
      <c r="H24" s="121"/>
    </row>
    <row r="25" spans="2:8">
      <c r="B25" s="123">
        <v>5</v>
      </c>
      <c r="C25" s="124">
        <f t="shared" si="2"/>
        <v>107182.75157609499</v>
      </c>
      <c r="D25" s="139">
        <f>IF($C$17&lt;B25,0,Valuation_Model!$C$16)</f>
        <v>8.5779014792802307E-3</v>
      </c>
      <c r="E25" s="125">
        <f t="shared" si="0"/>
        <v>0.68058319703375303</v>
      </c>
      <c r="F25" s="126">
        <f t="shared" si="1"/>
        <v>72946.779734533266</v>
      </c>
      <c r="H25" s="121"/>
    </row>
    <row r="26" spans="2:8">
      <c r="B26" s="123">
        <v>6</v>
      </c>
      <c r="C26" s="124">
        <f t="shared" si="2"/>
        <v>108102.15465939291</v>
      </c>
      <c r="D26" s="139">
        <f>IF($C$17&lt;B26,0,Valuation_Model!$C$16)</f>
        <v>8.5779014792802307E-3</v>
      </c>
      <c r="E26" s="125">
        <f t="shared" si="0"/>
        <v>0.63016962688310452</v>
      </c>
      <c r="F26" s="126">
        <f t="shared" si="1"/>
        <v>68122.694466969289</v>
      </c>
      <c r="H26" s="121"/>
    </row>
    <row r="27" spans="2:8">
      <c r="B27" s="123">
        <v>7</v>
      </c>
      <c r="C27" s="124">
        <f t="shared" si="2"/>
        <v>109029.44429175906</v>
      </c>
      <c r="D27" s="139">
        <f>IF($C$17&lt;B27,0,Valuation_Model!$C$16)</f>
        <v>8.5779014792802307E-3</v>
      </c>
      <c r="E27" s="125">
        <f t="shared" si="0"/>
        <v>0.58349039526213387</v>
      </c>
      <c r="F27" s="126">
        <f t="shared" si="1"/>
        <v>63617.633545009303</v>
      </c>
      <c r="H27" s="121"/>
    </row>
    <row r="28" spans="2:8">
      <c r="B28" s="123">
        <v>8</v>
      </c>
      <c r="C28" s="124">
        <f t="shared" si="2"/>
        <v>109964.68812323445</v>
      </c>
      <c r="D28" s="139">
        <f>IF($C$17&lt;B28,0,Valuation_Model!$C$16)</f>
        <v>8.5779014792802307E-3</v>
      </c>
      <c r="E28" s="125">
        <f t="shared" si="0"/>
        <v>0.54026888450197574</v>
      </c>
      <c r="F28" s="126">
        <f t="shared" si="1"/>
        <v>59410.499386947537</v>
      </c>
      <c r="H28" s="121"/>
    </row>
    <row r="29" spans="2:8">
      <c r="B29" s="123">
        <v>9</v>
      </c>
      <c r="C29" s="124">
        <f t="shared" si="2"/>
        <v>110907.95438415531</v>
      </c>
      <c r="D29" s="139">
        <f>IF($C$17&lt;B29,0,Valuation_Model!$C$16)</f>
        <v>8.5779014792802307E-3</v>
      </c>
      <c r="E29" s="125">
        <f t="shared" si="0"/>
        <v>0.50024896713145905</v>
      </c>
      <c r="F29" s="126">
        <f t="shared" si="1"/>
        <v>55481.589627336667</v>
      </c>
      <c r="H29" s="121"/>
    </row>
    <row r="30" spans="2:8">
      <c r="B30" s="123">
        <v>10</v>
      </c>
      <c r="C30" s="124">
        <f t="shared" si="2"/>
        <v>111859.31189013111</v>
      </c>
      <c r="D30" s="139">
        <f>IF($C$17&lt;B30,0,Valuation_Model!$C$16)</f>
        <v>8.5779014792802307E-3</v>
      </c>
      <c r="E30" s="125">
        <f t="shared" si="0"/>
        <v>0.46319348808468425</v>
      </c>
      <c r="F30" s="126">
        <f t="shared" si="1"/>
        <v>51812.504849142424</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1294783.397098717</v>
      </c>
      <c r="D51" s="140">
        <f>Terminal_Growth</f>
        <v>0</v>
      </c>
      <c r="E51" s="125">
        <f>1/(1+Equity_Cost)^C17</f>
        <v>0.46319348808468425</v>
      </c>
      <c r="F51" s="126">
        <f t="shared" si="1"/>
        <v>599735.23801629164</v>
      </c>
      <c r="H51" s="121"/>
    </row>
    <row r="52" spans="1:8">
      <c r="C52" s="115"/>
      <c r="E52" s="128" t="s">
        <v>101</v>
      </c>
      <c r="F52" s="138">
        <f>SUM(F21:F51)</f>
        <v>1318360.5013425215</v>
      </c>
      <c r="H52" s="121"/>
    </row>
    <row r="53" spans="1:8">
      <c r="C53" s="115"/>
      <c r="H53" s="121"/>
    </row>
    <row r="54" spans="1:8" ht="13.15">
      <c r="B54" s="120" t="s">
        <v>130</v>
      </c>
      <c r="C54" s="137"/>
      <c r="D54" s="137"/>
      <c r="E54" s="118"/>
      <c r="F54" s="118"/>
      <c r="H54" s="121"/>
    </row>
    <row r="55" spans="1:8" ht="13.15">
      <c r="A55" s="134">
        <f>F52</f>
        <v>1318360.5013425215</v>
      </c>
      <c r="B55" s="132">
        <f>C78</f>
        <v>-0.1</v>
      </c>
      <c r="C55" s="132">
        <f>C77</f>
        <v>-0.08</v>
      </c>
      <c r="D55" s="132">
        <f>C76</f>
        <v>0.02</v>
      </c>
      <c r="E55" s="132">
        <f>C75</f>
        <v>0.04</v>
      </c>
      <c r="F55" s="132">
        <f>C74</f>
        <v>0.08</v>
      </c>
      <c r="H55" s="121"/>
    </row>
    <row r="56" spans="1:8" ht="13.15">
      <c r="A56" s="144">
        <v>5</v>
      </c>
      <c r="B56" s="124">
        <f t="dataTable" ref="B56:F61" dt2D="1" dtr="1" r1="C16" r2="C17"/>
        <v>1093482.8490034509</v>
      </c>
      <c r="C56" s="124">
        <v>1129460.7717833167</v>
      </c>
      <c r="D56" s="124">
        <v>1325192.5164854736</v>
      </c>
      <c r="E56" s="124">
        <v>1367854.2462567948</v>
      </c>
      <c r="F56" s="124">
        <v>1457118.7872119364</v>
      </c>
      <c r="H56" s="121"/>
    </row>
    <row r="57" spans="1:8" ht="13.15">
      <c r="A57" s="144">
        <v>10</v>
      </c>
      <c r="B57" s="124">
        <v>965745.10775987897</v>
      </c>
      <c r="C57" s="124">
        <v>1018779.4826359788</v>
      </c>
      <c r="D57" s="124">
        <v>1366651.842253665</v>
      </c>
      <c r="E57" s="124">
        <v>1457839.2225203267</v>
      </c>
      <c r="F57" s="124">
        <v>1669222.3498723512</v>
      </c>
      <c r="H57" s="121"/>
    </row>
    <row r="58" spans="1:8" ht="13.15">
      <c r="A58" s="144">
        <v>15</v>
      </c>
      <c r="B58" s="124">
        <v>844407.45719850156</v>
      </c>
      <c r="C58" s="124">
        <v>909559.74725029222</v>
      </c>
      <c r="D58" s="124">
        <v>1417969.2534856279</v>
      </c>
      <c r="E58" s="124">
        <v>1575146.0505372391</v>
      </c>
      <c r="F58" s="124">
        <v>1977599.7246310841</v>
      </c>
      <c r="H58" s="121"/>
    </row>
    <row r="59" spans="1:8" ht="13.15">
      <c r="A59" s="145">
        <v>20</v>
      </c>
      <c r="B59" s="124">
        <v>748001.90368588537</v>
      </c>
      <c r="C59" s="124">
        <v>820024.08195155533</v>
      </c>
      <c r="D59" s="124">
        <v>1470253.4658838187</v>
      </c>
      <c r="E59" s="124">
        <v>1701406.4459533948</v>
      </c>
      <c r="F59" s="124">
        <v>2351499.4382183175</v>
      </c>
      <c r="H59" s="121"/>
    </row>
    <row r="60" spans="1:8" ht="13.15">
      <c r="A60" s="145">
        <v>25</v>
      </c>
      <c r="B60" s="124">
        <v>676833.87113033095</v>
      </c>
      <c r="C60" s="124">
        <v>752268.36029512272</v>
      </c>
      <c r="D60" s="124">
        <v>1518880.6846655842</v>
      </c>
      <c r="E60" s="124">
        <v>1825777.2307262421</v>
      </c>
      <c r="F60" s="124">
        <v>2769992.5546425804</v>
      </c>
      <c r="H60" s="121"/>
    </row>
    <row r="61" spans="1:8" ht="13.15">
      <c r="A61" s="145">
        <v>30</v>
      </c>
      <c r="B61" s="124">
        <v>626165.25906183349</v>
      </c>
      <c r="C61" s="124">
        <v>703096.11210723489</v>
      </c>
      <c r="D61" s="124">
        <v>1561776.656074977</v>
      </c>
      <c r="E61" s="124">
        <v>1942251.5728678526</v>
      </c>
      <c r="F61" s="124">
        <v>3218835.1917362832</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2.7248621728913167</v>
      </c>
      <c r="C65" s="125">
        <f>C12</f>
        <v>2.7248621728913167</v>
      </c>
      <c r="D65" s="125">
        <f>C12</f>
        <v>2.7248621728913167</v>
      </c>
      <c r="E65" s="142">
        <f>C12</f>
        <v>2.7248621728913167</v>
      </c>
      <c r="F65" s="125">
        <f>C12</f>
        <v>2.7248621728913167</v>
      </c>
      <c r="H65" s="121"/>
    </row>
    <row r="66" spans="1:8" ht="13.15">
      <c r="A66" s="144">
        <f t="shared" ref="A66:A71" si="3">A56</f>
        <v>5</v>
      </c>
      <c r="B66" s="125">
        <f t="shared" ref="B66:F71" si="4">(B56-$C$7+$C$8+$C$9)/Common_Shares*$C$3*Exchange_Rate</f>
        <v>2.5703165864501938</v>
      </c>
      <c r="C66" s="125">
        <f t="shared" si="4"/>
        <v>2.5995365847169505</v>
      </c>
      <c r="D66" s="125">
        <f t="shared" si="4"/>
        <v>2.7585029951998519</v>
      </c>
      <c r="E66" s="125">
        <f t="shared" si="4"/>
        <v>2.7931513454562604</v>
      </c>
      <c r="F66" s="125">
        <f t="shared" si="4"/>
        <v>2.8656488531070288</v>
      </c>
      <c r="H66" s="121"/>
    </row>
    <row r="67" spans="1:8" ht="13.15">
      <c r="A67" s="144">
        <f t="shared" si="3"/>
        <v>10</v>
      </c>
      <c r="B67" s="125">
        <f t="shared" si="4"/>
        <v>2.4665725042647333</v>
      </c>
      <c r="C67" s="125">
        <f t="shared" si="4"/>
        <v>2.5096451505495092</v>
      </c>
      <c r="D67" s="125">
        <f t="shared" si="4"/>
        <v>2.7921747953896441</v>
      </c>
      <c r="E67" s="125">
        <f t="shared" si="4"/>
        <v>2.8662339652212352</v>
      </c>
      <c r="F67" s="125">
        <f t="shared" si="4"/>
        <v>3.0379118759399808</v>
      </c>
      <c r="H67" s="121"/>
    </row>
    <row r="68" spans="1:8" ht="13.15">
      <c r="A68" s="144">
        <f t="shared" si="3"/>
        <v>15</v>
      </c>
      <c r="B68" s="125">
        <f t="shared" si="4"/>
        <v>2.3680263497024159</v>
      </c>
      <c r="C68" s="125">
        <f t="shared" si="4"/>
        <v>2.4209407387302879</v>
      </c>
      <c r="D68" s="125">
        <f t="shared" si="4"/>
        <v>2.8338529844398352</v>
      </c>
      <c r="E68" s="125">
        <f t="shared" si="4"/>
        <v>2.9615064280675645</v>
      </c>
      <c r="F68" s="125">
        <f t="shared" si="4"/>
        <v>3.2883650889031193</v>
      </c>
      <c r="H68" s="121"/>
    </row>
    <row r="69" spans="1:8" ht="13.15">
      <c r="A69" s="145">
        <f t="shared" si="3"/>
        <v>20</v>
      </c>
      <c r="B69" s="125">
        <f t="shared" si="4"/>
        <v>2.2897291638481847</v>
      </c>
      <c r="C69" s="125">
        <f t="shared" si="4"/>
        <v>2.3482230334628209</v>
      </c>
      <c r="D69" s="125">
        <f t="shared" si="4"/>
        <v>2.8763163752531815</v>
      </c>
      <c r="E69" s="125">
        <f t="shared" si="4"/>
        <v>3.0640506621467125</v>
      </c>
      <c r="F69" s="125">
        <f t="shared" si="4"/>
        <v>3.5920332314417385</v>
      </c>
      <c r="H69" s="121"/>
    </row>
    <row r="70" spans="1:8" ht="13.15">
      <c r="A70" s="145">
        <f t="shared" si="3"/>
        <v>25</v>
      </c>
      <c r="B70" s="125">
        <f t="shared" si="4"/>
        <v>2.23192900121385</v>
      </c>
      <c r="C70" s="125">
        <f t="shared" si="4"/>
        <v>2.2931942292298046</v>
      </c>
      <c r="D70" s="125">
        <f t="shared" si="4"/>
        <v>2.9158096850035586</v>
      </c>
      <c r="E70" s="125">
        <f t="shared" si="4"/>
        <v>3.1650602211958385</v>
      </c>
      <c r="F70" s="125">
        <f t="shared" si="4"/>
        <v>3.9319185608807636</v>
      </c>
    </row>
    <row r="71" spans="1:8" ht="13.15">
      <c r="A71" s="145">
        <f t="shared" si="3"/>
        <v>30</v>
      </c>
      <c r="B71" s="125">
        <f t="shared" si="4"/>
        <v>2.1907777439308975</v>
      </c>
      <c r="C71" s="125">
        <f t="shared" si="4"/>
        <v>2.2532582658443174</v>
      </c>
      <c r="D71" s="125">
        <f t="shared" si="4"/>
        <v>2.9506482780458101</v>
      </c>
      <c r="E71" s="125">
        <f t="shared" si="4"/>
        <v>3.2596565684147523</v>
      </c>
      <c r="F71" s="125">
        <f t="shared" si="4"/>
        <v>4.2964526991680367</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3.2883650889031193</v>
      </c>
      <c r="F74" s="143">
        <f>Scenarios!C58</f>
        <v>0.05</v>
      </c>
    </row>
    <row r="75" spans="1:8">
      <c r="B75" s="128" t="str">
        <f>Scenarios!B36</f>
        <v>Optimistic</v>
      </c>
      <c r="C75" s="143">
        <f>Scenarios!C38</f>
        <v>0.04</v>
      </c>
      <c r="D75" s="146">
        <f>Scenarios!C37</f>
        <v>10</v>
      </c>
      <c r="E75" s="136">
        <f>INDEX(B$65:F$71, MATCH(D75, A$65:A$71, 0), MATCH(C75, B$64:F$64, 0))</f>
        <v>2.8662339652212352</v>
      </c>
      <c r="F75" s="143">
        <f>Scenarios!C40*(1-F$74-F$78)</f>
        <v>0.17</v>
      </c>
      <c r="H75" s="121"/>
    </row>
    <row r="76" spans="1:8">
      <c r="B76" s="128" t="str">
        <f>Scenarios!B24</f>
        <v>Base</v>
      </c>
      <c r="C76" s="143">
        <f>Scenarios!C26</f>
        <v>0.02</v>
      </c>
      <c r="D76" s="146">
        <f>Scenarios!C25</f>
        <v>10</v>
      </c>
      <c r="E76" s="136">
        <f>INDEX(B$65:F$71, MATCH(D76, A$65:A$71, 0), MATCH(C76, B$64:F$64, 0))</f>
        <v>2.7921747953896441</v>
      </c>
      <c r="F76" s="143">
        <f>Scenarios!C28*(1-F$74-F$78)</f>
        <v>0.51</v>
      </c>
      <c r="H76" s="121"/>
    </row>
    <row r="77" spans="1:8">
      <c r="B77" s="128" t="str">
        <f>Scenarios!B30</f>
        <v>Pessimistic</v>
      </c>
      <c r="C77" s="143">
        <f>Scenarios!C32</f>
        <v>-0.08</v>
      </c>
      <c r="D77" s="146">
        <f>Scenarios!C31</f>
        <v>10</v>
      </c>
      <c r="E77" s="136">
        <f>INDEX(B$65:F$71, MATCH(D77, A$65:A$71, 0), MATCH(C77, B$64:F$64, 0))</f>
        <v>2.5096451505495092</v>
      </c>
      <c r="F77" s="143">
        <f>Scenarios!C34*(1-F$74-F$78)</f>
        <v>0.17</v>
      </c>
      <c r="H77" s="121"/>
    </row>
    <row r="78" spans="1:8">
      <c r="B78" s="128" t="str">
        <f>Scenarios!B48</f>
        <v>Devil's advocate</v>
      </c>
      <c r="C78" s="143">
        <f>Scenarios!C50</f>
        <v>-0.1</v>
      </c>
      <c r="D78" s="146">
        <f>Scenarios!C49</f>
        <v>15</v>
      </c>
      <c r="E78" s="136">
        <f>INDEX(B$65:F$71, MATCH(D78, A$65:A$71, 0), MATCH(C78, B$64:F$64, 0))</f>
        <v>2.3680263497024159</v>
      </c>
      <c r="F78" s="143">
        <f>Scenarios!C52</f>
        <v>0.1</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zoomScale="75" zoomScaleNormal="100" workbookViewId="0">
      <selection activeCell="F62" sqref="F62"/>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-2.2999999999999998</v>
      </c>
    </row>
    <row r="4" spans="2:9">
      <c r="B4" s="153" t="s">
        <v>147</v>
      </c>
      <c r="C4" s="121">
        <v>2</v>
      </c>
      <c r="D4" s="121"/>
      <c r="E4" s="156" t="s">
        <v>151</v>
      </c>
      <c r="F4" s="156"/>
      <c r="H4" s="276">
        <v>1</v>
      </c>
      <c r="I4" s="264">
        <f t="shared" ref="I4:I13" si="0">IF(ROW()-3 &lt; $C$76, $C$77, IF(ROW()-3 = $C$76, $C$77 + $C$60, ""))</f>
        <v>0.11266186578133895</v>
      </c>
    </row>
    <row r="5" spans="2:9">
      <c r="H5" s="276">
        <v>2</v>
      </c>
      <c r="I5" s="264">
        <f t="shared" si="0"/>
        <v>0.11266186578133895</v>
      </c>
    </row>
    <row r="6" spans="2:9" ht="13.15">
      <c r="B6" s="160" t="s">
        <v>96</v>
      </c>
      <c r="C6" s="107">
        <f>Valuation_Model!C3</f>
        <v>1000</v>
      </c>
      <c r="E6" s="100" t="s">
        <v>282</v>
      </c>
      <c r="F6" s="100"/>
      <c r="H6" s="276">
        <v>3</v>
      </c>
      <c r="I6" s="264">
        <f t="shared" si="0"/>
        <v>2.8517913505264816</v>
      </c>
    </row>
    <row r="7" spans="2:9" ht="12.75" customHeight="1">
      <c r="B7" s="100" t="s">
        <v>276</v>
      </c>
      <c r="C7" s="115">
        <f>Normalized_FCF!G8</f>
        <v>157888</v>
      </c>
      <c r="D7" t="str">
        <f>Reporting_currency</f>
        <v>CNY</v>
      </c>
      <c r="E7" s="353"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3"/>
      <c r="H7" s="276">
        <v>4</v>
      </c>
      <c r="I7" s="264" t="str">
        <f t="shared" si="0"/>
        <v/>
      </c>
    </row>
    <row r="8" spans="2:9">
      <c r="B8" s="100" t="s">
        <v>66</v>
      </c>
      <c r="C8" s="115">
        <f>Normalized_FCF!G19</f>
        <v>133776.67851938418</v>
      </c>
      <c r="D8" t="str">
        <f>Reporting_currency</f>
        <v>CNY</v>
      </c>
      <c r="E8" s="353"/>
      <c r="F8" s="353"/>
      <c r="H8" s="276">
        <v>5</v>
      </c>
      <c r="I8" s="264" t="str">
        <f t="shared" si="0"/>
        <v/>
      </c>
    </row>
    <row r="9" spans="2:9">
      <c r="B9" s="100" t="s">
        <v>57</v>
      </c>
      <c r="C9" s="201">
        <f>Normalized_FCF!C19</f>
        <v>102701.70664652951</v>
      </c>
      <c r="D9" t="str">
        <f>Reporting_currency</f>
        <v>CNY</v>
      </c>
      <c r="E9" s="353"/>
      <c r="F9" s="353"/>
      <c r="H9" s="276">
        <v>6</v>
      </c>
      <c r="I9" s="264" t="str">
        <f t="shared" si="0"/>
        <v/>
      </c>
    </row>
    <row r="10" spans="2:9">
      <c r="E10" s="353"/>
      <c r="F10" s="353"/>
      <c r="H10" s="276">
        <v>7</v>
      </c>
      <c r="I10" s="264" t="str">
        <f t="shared" si="0"/>
        <v/>
      </c>
    </row>
    <row r="11" spans="2:9" ht="13.15">
      <c r="B11" s="160" t="s">
        <v>279</v>
      </c>
      <c r="E11" s="353"/>
      <c r="F11" s="353"/>
      <c r="H11" s="276">
        <v>8</v>
      </c>
      <c r="I11" s="264" t="str">
        <f t="shared" si="0"/>
        <v/>
      </c>
    </row>
    <row r="12" spans="2:9">
      <c r="B12" s="119" t="s">
        <v>145</v>
      </c>
      <c r="C12" s="159">
        <f ca="1">(Normalized_FCF!G4/OFFSET(Normalized_FCF!G4, 0, $C$4))^(1/$C$4) - 1</f>
        <v>0.12167914390403989</v>
      </c>
      <c r="D12" s="159"/>
      <c r="E12" s="353"/>
      <c r="F12" s="353"/>
      <c r="H12" s="276">
        <v>9</v>
      </c>
      <c r="I12" s="264" t="str">
        <f t="shared" si="0"/>
        <v/>
      </c>
    </row>
    <row r="13" spans="2:9">
      <c r="B13" s="149" t="s">
        <v>153</v>
      </c>
      <c r="C13" s="159">
        <f ca="1">(Normalized_FCF!G8/OFFSET(Normalized_FCF!G8, 0, $C$4))^(1/$C$4) - 1</f>
        <v>7.4870016543118432</v>
      </c>
      <c r="E13" s="353"/>
      <c r="F13" s="353"/>
      <c r="H13" s="276">
        <v>10</v>
      </c>
      <c r="I13" s="264" t="str">
        <f t="shared" si="0"/>
        <v/>
      </c>
    </row>
    <row r="14" spans="2:9">
      <c r="B14" s="100" t="s">
        <v>66</v>
      </c>
      <c r="C14" s="159">
        <f ca="1">(Normalized_FCF!G19/OFFSET(Normalized_FCF!G19, 0, $C$4))^(1/$C$4) - 1</f>
        <v>2.0113637722739965</v>
      </c>
      <c r="E14" s="353"/>
      <c r="F14" s="353"/>
    </row>
    <row r="16" spans="2:9" ht="13.9">
      <c r="B16" s="36" t="s">
        <v>163</v>
      </c>
      <c r="C16" s="37"/>
      <c r="D16" s="37"/>
      <c r="E16" s="37"/>
      <c r="F16" s="37"/>
    </row>
    <row r="17" spans="2:6" ht="13.15">
      <c r="B17" s="109" t="s">
        <v>152</v>
      </c>
      <c r="E17" s="160" t="s">
        <v>337</v>
      </c>
    </row>
    <row r="18" spans="2:6">
      <c r="B18" s="153" t="s">
        <v>134</v>
      </c>
      <c r="C18" s="151">
        <v>10</v>
      </c>
      <c r="E18" s="353" t="s">
        <v>338</v>
      </c>
      <c r="F18" s="354"/>
    </row>
    <row r="19" spans="2:6">
      <c r="E19" s="354"/>
      <c r="F19" s="354"/>
    </row>
    <row r="20" spans="2:6" ht="13.15">
      <c r="B20" s="160" t="s">
        <v>310</v>
      </c>
      <c r="E20" s="354"/>
      <c r="F20" s="354"/>
    </row>
    <row r="21" spans="2:6">
      <c r="B21" s="100" t="s">
        <v>280</v>
      </c>
      <c r="C21" s="161">
        <f>Market_Price</f>
        <v>2.2999999999999998</v>
      </c>
      <c r="D21" t="str">
        <f>Market_currency</f>
        <v>HKD</v>
      </c>
      <c r="E21" s="354"/>
      <c r="F21" s="354"/>
    </row>
    <row r="22" spans="2:6">
      <c r="B22" s="100" t="s">
        <v>281</v>
      </c>
      <c r="C22" s="161">
        <f>Valuation_Model!C12</f>
        <v>2.7248621728913167</v>
      </c>
      <c r="D22" t="str">
        <f>Market_currency</f>
        <v>HKD</v>
      </c>
      <c r="E22" s="354"/>
      <c r="F22" s="354"/>
    </row>
    <row r="24" spans="2:6" ht="13.15">
      <c r="B24" s="160" t="s">
        <v>116</v>
      </c>
      <c r="E24" s="160" t="s">
        <v>150</v>
      </c>
      <c r="F24" s="160"/>
    </row>
    <row r="25" spans="2:6">
      <c r="B25" s="153" t="s">
        <v>134</v>
      </c>
      <c r="C25" s="167">
        <f>C18</f>
        <v>10</v>
      </c>
      <c r="D25" s="164"/>
      <c r="E25" s="352"/>
      <c r="F25" s="352"/>
    </row>
    <row r="26" spans="2:6">
      <c r="B26" s="119" t="s">
        <v>135</v>
      </c>
      <c r="C26" s="165">
        <v>0.02</v>
      </c>
      <c r="D26" s="165"/>
      <c r="E26" s="352"/>
      <c r="F26" s="352"/>
    </row>
    <row r="27" spans="2:6">
      <c r="B27" s="100" t="s">
        <v>114</v>
      </c>
      <c r="C27" s="161">
        <f>Valuation_Model!E76</f>
        <v>2.7921747953896441</v>
      </c>
      <c r="D27" s="161" t="str">
        <f>Market_currency</f>
        <v>HKD</v>
      </c>
      <c r="E27" s="352"/>
      <c r="F27" s="352"/>
    </row>
    <row r="28" spans="2:6">
      <c r="B28" s="100" t="s">
        <v>148</v>
      </c>
      <c r="C28" s="166">
        <v>0.6</v>
      </c>
      <c r="D28" s="166"/>
      <c r="E28" s="352"/>
      <c r="F28" s="352"/>
    </row>
    <row r="30" spans="2:6" ht="13.15">
      <c r="B30" s="160" t="s">
        <v>117</v>
      </c>
      <c r="E30" s="160" t="s">
        <v>150</v>
      </c>
      <c r="F30" s="160"/>
    </row>
    <row r="31" spans="2:6">
      <c r="B31" s="153" t="s">
        <v>134</v>
      </c>
      <c r="C31" s="167">
        <f>C18</f>
        <v>10</v>
      </c>
      <c r="D31" s="164"/>
      <c r="E31" s="352"/>
      <c r="F31" s="352"/>
    </row>
    <row r="32" spans="2:6">
      <c r="B32" s="119" t="s">
        <v>135</v>
      </c>
      <c r="C32" s="165">
        <v>-0.08</v>
      </c>
      <c r="D32" s="165"/>
      <c r="E32" s="352"/>
      <c r="F32" s="352"/>
    </row>
    <row r="33" spans="2:6">
      <c r="B33" s="100" t="s">
        <v>114</v>
      </c>
      <c r="C33" s="161">
        <f>Valuation_Model!E77</f>
        <v>2.5096451505495092</v>
      </c>
      <c r="D33" t="str">
        <f>Market_currency</f>
        <v>HKD</v>
      </c>
      <c r="E33" s="352"/>
      <c r="F33" s="352"/>
    </row>
    <row r="34" spans="2:6">
      <c r="B34" s="100" t="s">
        <v>148</v>
      </c>
      <c r="C34" s="166">
        <v>0.2</v>
      </c>
      <c r="D34" s="166"/>
      <c r="E34" s="352"/>
      <c r="F34" s="352"/>
    </row>
    <row r="36" spans="2:6" ht="13.15">
      <c r="B36" s="160" t="s">
        <v>115</v>
      </c>
      <c r="E36" s="160" t="s">
        <v>150</v>
      </c>
      <c r="F36" s="160"/>
    </row>
    <row r="37" spans="2:6">
      <c r="B37" s="153" t="s">
        <v>134</v>
      </c>
      <c r="C37" s="167">
        <f>C18</f>
        <v>10</v>
      </c>
      <c r="D37" s="164"/>
      <c r="E37" s="352"/>
      <c r="F37" s="352"/>
    </row>
    <row r="38" spans="2:6">
      <c r="B38" s="119" t="s">
        <v>135</v>
      </c>
      <c r="C38" s="165">
        <v>0.04</v>
      </c>
      <c r="D38" s="165"/>
      <c r="E38" s="352"/>
      <c r="F38" s="352"/>
    </row>
    <row r="39" spans="2:6">
      <c r="B39" s="100" t="s">
        <v>114</v>
      </c>
      <c r="C39" s="161">
        <f>Valuation_Model!E75</f>
        <v>2.8662339652212352</v>
      </c>
      <c r="D39" t="str">
        <f>Market_currency</f>
        <v>HKD</v>
      </c>
      <c r="E39" s="352"/>
      <c r="F39" s="352"/>
    </row>
    <row r="40" spans="2:6">
      <c r="B40" s="100" t="s">
        <v>148</v>
      </c>
      <c r="C40" s="168">
        <f>1-C28-C34</f>
        <v>0.2</v>
      </c>
      <c r="D40" s="166"/>
      <c r="E40" s="352"/>
      <c r="F40" s="352"/>
    </row>
    <row r="42" spans="2:6" ht="13.15">
      <c r="B42" s="100" t="s">
        <v>121</v>
      </c>
      <c r="C42" s="155">
        <f>C27*C28+C33*C34+C39*C40</f>
        <v>2.7504807003879357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2"/>
      <c r="F49" s="352"/>
    </row>
    <row r="50" spans="2:6">
      <c r="B50" s="119" t="s">
        <v>135</v>
      </c>
      <c r="C50" s="165">
        <v>-0.1</v>
      </c>
      <c r="D50" s="165"/>
      <c r="E50" s="352"/>
      <c r="F50" s="352"/>
    </row>
    <row r="51" spans="2:6">
      <c r="B51" s="100" t="s">
        <v>114</v>
      </c>
      <c r="C51" s="161">
        <f>Valuation_Model!E78</f>
        <v>2.3680263497024159</v>
      </c>
      <c r="D51" t="str">
        <f>Market_currency</f>
        <v>HKD</v>
      </c>
      <c r="E51" s="352"/>
      <c r="F51" s="352"/>
    </row>
    <row r="52" spans="2:6">
      <c r="B52" s="100" t="s">
        <v>148</v>
      </c>
      <c r="C52" s="166">
        <v>0.1</v>
      </c>
      <c r="D52" s="166"/>
      <c r="E52" s="352"/>
      <c r="F52" s="352"/>
    </row>
    <row r="54" spans="2:6" ht="13.15">
      <c r="B54" s="160" t="s">
        <v>324</v>
      </c>
      <c r="E54" s="160" t="s">
        <v>150</v>
      </c>
      <c r="F54" s="160"/>
    </row>
    <row r="55" spans="2:6">
      <c r="B55" s="153" t="s">
        <v>134</v>
      </c>
      <c r="C55" s="167">
        <f>C46</f>
        <v>15</v>
      </c>
      <c r="D55" s="164"/>
      <c r="E55" s="352"/>
      <c r="F55" s="352"/>
    </row>
    <row r="56" spans="2:6">
      <c r="B56" s="119" t="s">
        <v>135</v>
      </c>
      <c r="C56" s="165">
        <v>0.08</v>
      </c>
      <c r="D56" s="165"/>
      <c r="E56" s="352"/>
      <c r="F56" s="352"/>
    </row>
    <row r="57" spans="2:6">
      <c r="B57" s="100" t="s">
        <v>114</v>
      </c>
      <c r="C57" s="161">
        <f>Valuation_Model!E74</f>
        <v>3.2883650889031193</v>
      </c>
      <c r="D57" t="str">
        <f>Market_currency</f>
        <v>HKD</v>
      </c>
      <c r="E57" s="352"/>
      <c r="F57" s="352"/>
    </row>
    <row r="58" spans="2:6">
      <c r="B58" s="100" t="s">
        <v>148</v>
      </c>
      <c r="C58" s="166">
        <v>0.05</v>
      </c>
      <c r="D58" s="166"/>
      <c r="E58" s="352"/>
      <c r="F58" s="352"/>
    </row>
    <row r="60" spans="2:6" ht="13.15">
      <c r="B60" s="100" t="s">
        <v>121</v>
      </c>
      <c r="C60" s="155">
        <f>C51*C52+C57*C58+C42*(1-C52-C58)</f>
        <v>2.7391294847451428</v>
      </c>
      <c r="D60" t="str">
        <f>Market_currency</f>
        <v>HKD</v>
      </c>
      <c r="E60" s="100" t="s">
        <v>303</v>
      </c>
      <c r="F60" s="312">
        <f>Thesis!E25</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8.5779014792802307E-3</v>
      </c>
      <c r="D65" s="152"/>
      <c r="E65" s="281" t="s">
        <v>320</v>
      </c>
    </row>
    <row r="66" spans="2:6">
      <c r="B66" s="100" t="s">
        <v>103</v>
      </c>
      <c r="C66" s="161">
        <f>Valuation_Model!C18</f>
        <v>2.7529542737837494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Y</v>
      </c>
      <c r="E72" s="135" t="s">
        <v>354</v>
      </c>
      <c r="F72" s="329">
        <f>BS!D89/C60</f>
        <v>0.61414710179561216</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0.11266186578133895</v>
      </c>
      <c r="D77" t="str">
        <f>Market_currency</f>
        <v>HKD</v>
      </c>
    </row>
    <row r="79" spans="2:6" ht="13.15">
      <c r="B79" s="109" t="s">
        <v>308</v>
      </c>
    </row>
    <row r="80" spans="2:6">
      <c r="B80" s="149" t="s">
        <v>306</v>
      </c>
      <c r="C80" s="168">
        <f>Thesis!C132</f>
        <v>0.4</v>
      </c>
    </row>
    <row r="81" spans="2:8">
      <c r="B81" s="100" t="s">
        <v>122</v>
      </c>
      <c r="C81" s="117">
        <f>PV(C80, C76, -C77, 0)</f>
        <v>0.17901083629979506</v>
      </c>
      <c r="D81" s="117"/>
      <c r="E81" s="100"/>
      <c r="F81" s="100"/>
    </row>
    <row r="82" spans="2:8">
      <c r="B82" s="100" t="s">
        <v>123</v>
      </c>
      <c r="C82" s="117">
        <f>C60/(1+C80)^C76</f>
        <v>0.99822503088379866</v>
      </c>
      <c r="D82" s="117"/>
    </row>
    <row r="83" spans="2:8" ht="13.15">
      <c r="B83" s="111" t="s">
        <v>102</v>
      </c>
      <c r="C83" s="112">
        <f>C81+C82</f>
        <v>1.1772358671835936</v>
      </c>
      <c r="D83" t="str">
        <f>Market_currency</f>
        <v>HKD</v>
      </c>
      <c r="E83" s="147" t="s">
        <v>127</v>
      </c>
      <c r="F83" s="329">
        <f>(1-C83/C60)</f>
        <v>0.57021532799383978</v>
      </c>
    </row>
    <row r="84" spans="2:8">
      <c r="E84" s="121"/>
    </row>
    <row r="85" spans="2:8" ht="13.15">
      <c r="B85" s="109" t="s">
        <v>309</v>
      </c>
    </row>
    <row r="86" spans="2:8">
      <c r="B86" s="149" t="s">
        <v>307</v>
      </c>
      <c r="C86" s="266">
        <f>Market_Price</f>
        <v>2.2999999999999998</v>
      </c>
      <c r="D86" t="str">
        <f>Market_currency</f>
        <v>HKD</v>
      </c>
    </row>
    <row r="87" spans="2:8" ht="13.15">
      <c r="B87" s="100" t="s">
        <v>305</v>
      </c>
      <c r="C87" s="265">
        <f ca="1">IRR(OFFSET($I$3, 0, 0, $C$76 + 1, 1))</f>
        <v>0.10631428577577151</v>
      </c>
    </row>
    <row r="88" spans="2:8">
      <c r="B88" s="100"/>
    </row>
    <row r="89" spans="2:8" ht="13.15">
      <c r="B89" s="109" t="s">
        <v>422</v>
      </c>
    </row>
    <row r="90" spans="2:8">
      <c r="B90" s="149" t="s">
        <v>423</v>
      </c>
      <c r="C90" s="168">
        <f>Thesis!E24</f>
        <v>0.2</v>
      </c>
    </row>
    <row r="91" spans="2:8">
      <c r="B91" s="100" t="s">
        <v>122</v>
      </c>
      <c r="C91" s="117">
        <f>PV(C90, C76, -C77, 0)</f>
        <v>0.23732013393754267</v>
      </c>
      <c r="D91" s="117"/>
      <c r="E91" s="100"/>
      <c r="F91" s="100"/>
    </row>
    <row r="92" spans="2:8">
      <c r="B92" s="100" t="s">
        <v>123</v>
      </c>
      <c r="C92" s="117">
        <f>C60/(1+C90)^C76</f>
        <v>1.5851443777460317</v>
      </c>
      <c r="D92" s="117"/>
    </row>
    <row r="93" spans="2:8" ht="13.15">
      <c r="B93" s="111" t="s">
        <v>102</v>
      </c>
      <c r="C93" s="112">
        <f>C91+C92</f>
        <v>1.8224645116835743</v>
      </c>
      <c r="D93" t="str">
        <f>Market_currency</f>
        <v>HKD</v>
      </c>
      <c r="E93" s="147" t="s">
        <v>127</v>
      </c>
      <c r="F93" s="329">
        <f>(1-C93/C60)</f>
        <v>0.33465558242744331</v>
      </c>
    </row>
    <row r="95" spans="2:8" ht="13.15">
      <c r="B95" s="109" t="s">
        <v>405</v>
      </c>
      <c r="G95" s="2"/>
      <c r="H95" s="316"/>
    </row>
    <row r="96" spans="2:8">
      <c r="B96" s="149" t="s">
        <v>411</v>
      </c>
      <c r="C96" s="135">
        <f>Thesis!C72</f>
        <v>0.08</v>
      </c>
      <c r="G96" s="2"/>
      <c r="H96" s="316"/>
    </row>
    <row r="97" spans="2:8">
      <c r="B97" s="100" t="s">
        <v>122</v>
      </c>
      <c r="C97" s="117">
        <f>PV(C96, C76, -C77, 0)</f>
        <v>0.29034055488281368</v>
      </c>
      <c r="D97" s="117"/>
      <c r="G97" s="2"/>
      <c r="H97" s="316"/>
    </row>
    <row r="98" spans="2:8">
      <c r="B98" s="100" t="s">
        <v>123</v>
      </c>
      <c r="C98" s="117">
        <f>C60/(1+C96)^C76</f>
        <v>2.1744092973196594</v>
      </c>
      <c r="D98" s="117"/>
      <c r="G98" s="2"/>
      <c r="H98" s="316"/>
    </row>
    <row r="99" spans="2:8" ht="13.15">
      <c r="B99" s="111" t="s">
        <v>406</v>
      </c>
      <c r="C99" s="112">
        <f>C97+C98</f>
        <v>2.4647498522024729</v>
      </c>
      <c r="D99" t="s">
        <v>404</v>
      </c>
      <c r="E99" s="147" t="s">
        <v>127</v>
      </c>
      <c r="F99" s="329">
        <f>(1-C99/C60)</f>
        <v>0.10017037678238827</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2025-05-15T11:13:20Z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