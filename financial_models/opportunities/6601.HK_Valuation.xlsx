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2F87279-4546-4599-9102-EA2021B9E15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L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C96" i="6" l="1"/>
  <c r="J76" i="4"/>
  <c r="I76" i="4"/>
  <c r="H76" i="4"/>
  <c r="F76" i="4"/>
  <c r="E76" i="4"/>
  <c r="G76"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5" i="4"/>
  <c r="H90" i="2" s="1"/>
  <c r="E65" i="4"/>
  <c r="I90" i="2" s="1"/>
  <c r="F65" i="4"/>
  <c r="J90" i="2" s="1"/>
  <c r="G65" i="4"/>
  <c r="K90" i="2" s="1"/>
  <c r="H65" i="4"/>
  <c r="L90" i="2" s="1"/>
  <c r="C65" i="4"/>
  <c r="G90" i="2" s="1"/>
  <c r="G104" i="2"/>
  <c r="C80" i="4"/>
  <c r="E77" i="4"/>
  <c r="F77" i="4"/>
  <c r="G77" i="4"/>
  <c r="H77" i="4"/>
  <c r="E78" i="4"/>
  <c r="F78" i="4"/>
  <c r="G78" i="4"/>
  <c r="H78" i="4"/>
  <c r="D78" i="4"/>
  <c r="D80" i="4"/>
  <c r="H105" i="2" s="1"/>
  <c r="D77" i="4"/>
  <c r="C77" i="9" l="1"/>
  <c r="C124" i="6" s="1"/>
  <c r="C93" i="2"/>
  <c r="C59" i="6" s="1"/>
  <c r="C70" i="3"/>
  <c r="C69" i="2" s="1"/>
  <c r="C90" i="6"/>
  <c r="J45" i="4"/>
  <c r="I45" i="4"/>
  <c r="G35" i="3"/>
  <c r="G40" i="3"/>
  <c r="D58" i="3"/>
  <c r="G105" i="2"/>
  <c r="C76" i="4"/>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L70" i="4"/>
  <c r="L68" i="4"/>
  <c r="L69" i="4"/>
  <c r="L71" i="4"/>
  <c r="D68" i="4"/>
  <c r="D69" i="4"/>
  <c r="D71" i="4"/>
  <c r="K70" i="4"/>
  <c r="K69" i="4"/>
  <c r="K71" i="4"/>
  <c r="K68" i="4"/>
  <c r="C68" i="4"/>
  <c r="C69" i="4"/>
  <c r="C71" i="4"/>
  <c r="J69" i="4"/>
  <c r="J71" i="4"/>
  <c r="J70" i="4"/>
  <c r="J68" i="4"/>
  <c r="I71" i="4"/>
  <c r="I68" i="4"/>
  <c r="I69" i="4"/>
  <c r="E69" i="4"/>
  <c r="E68" i="4"/>
  <c r="E71" i="4"/>
  <c r="H68" i="4"/>
  <c r="H71" i="4"/>
  <c r="H69" i="4"/>
  <c r="G68" i="4"/>
  <c r="G69" i="4"/>
  <c r="G71" i="4"/>
  <c r="F69" i="4"/>
  <c r="F71" i="4"/>
  <c r="F68" i="4"/>
  <c r="J4" i="2"/>
  <c r="J113" i="2" s="1"/>
  <c r="Q4" i="2"/>
  <c r="P4" i="2"/>
  <c r="I4" i="2"/>
  <c r="I113" i="2" s="1"/>
  <c r="G4" i="2"/>
  <c r="G113" i="2" s="1"/>
  <c r="H4" i="2"/>
  <c r="H113" i="2" s="1"/>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K113" i="2" l="1"/>
  <c r="M114" i="2"/>
  <c r="M113" i="2"/>
  <c r="L114" i="2"/>
  <c r="L113" i="2"/>
  <c r="N114" i="2"/>
  <c r="N113" i="2"/>
  <c r="P113" i="2"/>
  <c r="P114" i="2"/>
  <c r="O114" i="2"/>
  <c r="O113" i="2"/>
  <c r="Q113" i="2"/>
  <c r="Q114" i="2"/>
  <c r="Q19" i="2"/>
  <c r="Q50" i="2"/>
  <c r="Q12" i="2" s="1"/>
  <c r="Q48" i="2"/>
  <c r="O19" i="2"/>
  <c r="O50" i="2"/>
  <c r="O12" i="2" s="1"/>
  <c r="O48" i="2"/>
  <c r="L19" i="2"/>
  <c r="L48" i="2"/>
  <c r="L50" i="2"/>
  <c r="L12" i="2" s="1"/>
  <c r="L80" i="2" s="1"/>
  <c r="M19" i="2"/>
  <c r="M48" i="2"/>
  <c r="M50" i="2"/>
  <c r="M12" i="2" s="1"/>
  <c r="M80" i="2" s="1"/>
  <c r="P19" i="2"/>
  <c r="P48" i="2"/>
  <c r="P50" i="2"/>
  <c r="P12" i="2" s="1"/>
  <c r="Q93" i="2"/>
  <c r="O93" i="2"/>
  <c r="K93" i="2"/>
  <c r="P93" i="2"/>
  <c r="J93" i="2"/>
  <c r="H93" i="2"/>
  <c r="I93" i="2"/>
  <c r="L43" i="2"/>
  <c r="L93" i="2"/>
  <c r="M43" i="2"/>
  <c r="M93" i="2"/>
  <c r="N93" i="2"/>
  <c r="G93" i="2"/>
  <c r="P81" i="2"/>
  <c r="P117" i="2" s="1"/>
  <c r="P43" i="2"/>
  <c r="O81" i="2"/>
  <c r="O117" i="2" s="1"/>
  <c r="O43" i="2"/>
  <c r="Q81" i="2"/>
  <c r="Q117" i="2" s="1"/>
  <c r="Q43" i="2"/>
  <c r="C12" i="9"/>
  <c r="H101" i="2"/>
  <c r="P55" i="2"/>
  <c r="P124" i="2"/>
  <c r="P125" i="2"/>
  <c r="P101" i="2"/>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9" i="2"/>
  <c r="P120"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3" i="2" l="1"/>
  <c r="C49" i="2"/>
  <c r="C24" i="2"/>
  <c r="C110" i="2"/>
  <c r="G30" i="2"/>
  <c r="C17" i="2"/>
  <c r="C51" i="6" s="1"/>
  <c r="M63" i="2"/>
  <c r="M79" i="2" s="1"/>
  <c r="M11" i="2"/>
  <c r="N63" i="2"/>
  <c r="N11" i="2"/>
  <c r="G69" i="2"/>
  <c r="G11" i="2"/>
  <c r="N73" i="2"/>
  <c r="M6" i="2"/>
  <c r="M8" i="2"/>
  <c r="M55" i="2" s="1"/>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N79" i="2" l="1"/>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J48" i="2" l="1"/>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J43" i="2"/>
  <c r="H43" i="2"/>
  <c r="I43" i="2"/>
  <c r="N80" i="2"/>
  <c r="N43" i="2"/>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124" i="2" s="1"/>
  <c r="M125" i="2" s="1"/>
  <c r="M81" i="2"/>
  <c r="M117" i="2" s="1"/>
  <c r="K124" i="2"/>
  <c r="K125" i="2" s="1"/>
  <c r="K84" i="2"/>
  <c r="N84" i="2"/>
  <c r="I124" i="2" l="1"/>
  <c r="I125" i="2" s="1"/>
  <c r="J84" i="2"/>
  <c r="J92" i="2"/>
  <c r="K92" i="2"/>
  <c r="N124" i="2"/>
  <c r="N125" i="2" s="1"/>
  <c r="M84" i="2"/>
  <c r="I87" i="2"/>
  <c r="M92" i="2"/>
  <c r="I84" i="2"/>
  <c r="J124" i="2"/>
  <c r="J125" i="2" s="1"/>
  <c r="L87" i="2"/>
  <c r="K87" i="2"/>
  <c r="L84" i="2"/>
  <c r="N87" i="2"/>
  <c r="N92" i="2"/>
  <c r="C76" i="2"/>
  <c r="C50" i="3"/>
  <c r="C54" i="3"/>
  <c r="C120" i="2"/>
  <c r="I92" i="2" l="1"/>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<sst xmlns="http://schemas.openxmlformats.org/spreadsheetml/2006/main" count="585" uniqueCount="414">
  <si>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</si>
  <si>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</si>
  <si>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</si>
  <si>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</si>
  <si>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</si>
  <si>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</si>
  <si>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</si>
  <si>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</si>
  <si>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</si>
  <si>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</si>
  <si>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</si>
  <si>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</si>
  <si>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</si>
  <si>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</si>
  <si>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</si>
  <si>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</si>
  <si>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</si>
  <si>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</si>
  <si>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</si>
  <si>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</si>
  <si>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</si>
  <si>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</si>
  <si>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</si>
  <si>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</si>
  <si>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</si>
  <si>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</si>
  <si>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</si>
  <si>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</si>
  <si>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</si>
  <si>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</si>
  <si>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</si>
  <si>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</si>
  <si>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</si>
  <si>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</si>
  <si>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</si>
  <si>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</si>
  <si>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</si>
  <si>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</si>
  <si>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</si>
  <si>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</si>
  <si>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</si>
  <si>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</si>
  <si>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</si>
  <si>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</si>
  <si>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</si>
  <si>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</si>
  <si>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</si>
  <si>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</si>
  <si>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</si>
  <si>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</si>
  <si>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</si>
  <si>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</si>
  <si>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</si>
  <si>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</si>
  <si>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</si>
  <si>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</si>
  <si>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</si>
  <si>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</si>
  <si>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</si>
  <si>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</si>
  <si>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</si>
  <si>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</si>
  <si>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</si>
  <si>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</si>
  <si>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</si>
  <si>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</si>
  <si>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</si>
  <si>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</si>
  <si>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</si>
  <si>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</si>
  <si>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</si>
  <si>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</si>
  <si>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</si>
  <si>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</si>
  <si>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</si>
  <si>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</si>
  <si>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</si>
  <si>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</si>
  <si>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</si>
  <si>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</si>
  <si>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</si>
  <si>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</si>
  <si>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</si>
  <si>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</si>
  <si>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</si>
  <si>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</si>
  <si>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</si>
  <si>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</si>
  <si>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</si>
  <si>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</si>
  <si>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</si>
  <si>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</si>
  <si>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</si>
  <si>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</si>
  <si>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</si>
  <si>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</si>
  <si>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</si>
  <si>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</si>
  <si>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</si>
  <si>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</si>
  <si>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</si>
  <si>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</si>
  <si>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</si>
  <si>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</si>
  <si>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</si>
  <si>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</si>
  <si>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</si>
  <si>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</si>
  <si>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</si>
  <si>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</si>
  <si>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</si>
  <si>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</si>
  <si>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</si>
  <si>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</si>
  <si>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</si>
  <si>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</si>
  <si>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</si>
  <si>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</si>
  <si>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</si>
  <si>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</si>
  <si>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</si>
  <si>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</si>
  <si>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</si>
  <si>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</si>
  <si>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</si>
  <si>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</si>
  <si>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</si>
  <si>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</si>
  <si>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</si>
  <si>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</si>
  <si>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</si>
  <si>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</si>
  <si>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</si>
  <si>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</si>
  <si>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</si>
  <si>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</si>
  <si>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</si>
  <si>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</si>
  <si>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</si>
  <si>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</si>
  <si>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</si>
  <si>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</si>
  <si>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</si>
  <si>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</si>
  <si>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</si>
  <si>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</si>
  <si>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</si>
  <si>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</si>
  <si>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</si>
  <si>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</si>
  <si>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</si>
  <si>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</si>
  <si>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</si>
  <si>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</si>
  <si>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</si>
  <si>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</si>
  <si>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</si>
  <si>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</si>
  <si>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</si>
  <si>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</si>
  <si>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</si>
  <si>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</si>
  <si>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</si>
  <si>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</si>
  <si>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</si>
  <si>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</si>
  <si>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</si>
  <si>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</si>
  <si>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</si>
  <si>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</si>
  <si>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</si>
  <si>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</si>
  <si>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</si>
  <si>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</si>
  <si>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</si>
  <si>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</si>
  <si>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</si>
  <si>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</si>
  <si>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</si>
  <si>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</si>
  <si>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</si>
  <si>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</si>
  <si>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</si>
  <si>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</si>
  <si>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</si>
  <si>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</si>
  <si>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</si>
  <si>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</si>
  <si>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</si>
  <si>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</si>
  <si>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</si>
  <si>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</si>
  <si>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</si>
  <si>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</si>
  <si>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</si>
  <si>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</si>
  <si>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</si>
  <si>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</si>
  <si>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</si>
  <si>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</si>
  <si>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</si>
  <si>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</si>
  <si>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</si>
  <si>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</si>
  <si>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</si>
  <si>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</si>
  <si>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</si>
  <si>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</si>
  <si>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</si>
  <si>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</si>
  <si>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</si>
  <si>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</si>
  <si>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</si>
  <si>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</si>
  <si>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</si>
  <si>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</si>
  <si>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</si>
  <si>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</si>
  <si>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</si>
  <si>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</si>
  <si>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</si>
  <si>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</si>
  <si>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</si>
  <si>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</si>
  <si>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</si>
  <si>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</si>
  <si>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</si>
  <si>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</si>
  <si>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</si>
  <si>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</si>
  <si>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</si>
  <si>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</si>
  <si>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</si>
  <si>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</si>
  <si>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</si>
  <si>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</si>
  <si>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</si>
  <si>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</si>
  <si>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</si>
  <si>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</si>
  <si>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</si>
  <si>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</si>
  <si>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</si>
  <si>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</si>
  <si>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</si>
  <si>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</si>
  <si>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</si>
  <si>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</si>
  <si>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</si>
  <si>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</si>
  <si>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</si>
  <si>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</si>
  <si>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</si>
  <si>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</si>
  <si>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</si>
  <si>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</si>
  <si>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</si>
  <si>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</si>
  <si>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</si>
  <si>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</si>
  <si>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</si>
  <si>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</si>
  <si>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</si>
  <si>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</si>
  <si>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</si>
  <si>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</si>
  <si>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</si>
  <si>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</si>
  <si>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</si>
  <si>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</si>
  <si>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</si>
  <si>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</si>
  <si>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</si>
  <si>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</si>
  <si>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</si>
  <si>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</si>
  <si>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</si>
  <si>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</si>
  <si>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</si>
  <si>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</si>
  <si>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</si>
  <si>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</si>
  <si>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</si>
  <si>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</si>
  <si>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</si>
  <si>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</si>
  <si>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</si>
  <si>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</si>
  <si>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</si>
  <si>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</si>
  <si>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</si>
  <si>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</si>
  <si>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</si>
  <si>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</si>
  <si>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</si>
  <si>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</si>
  <si>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</si>
  <si>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</si>
  <si>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</si>
  <si>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</si>
  <si>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</si>
  <si>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</si>
  <si>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</si>
  <si>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</si>
  <si>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</si>
  <si>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</si>
  <si>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</si>
  <si>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</si>
  <si>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</si>
  <si>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</si>
  <si>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</si>
  <si>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</si>
  <si>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</si>
  <si>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</si>
  <si>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</si>
  <si>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</si>
  <si>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</si>
  <si>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</si>
  <si>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</si>
  <si>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</si>
  <si>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</si>
  <si>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</si>
  <si>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</si>
  <si>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</si>
  <si>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</si>
  <si>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</si>
  <si>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</si>
  <si>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</si>
  <si>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</si>
  <si>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</si>
  <si>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</si>
  <si>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</si>
  <si>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</si>
  <si>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</si>
  <si>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</si>
  <si>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</si>
  <si>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</si>
  <si>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</si>
  <si>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</si>
  <si>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</si>
  <si>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</si>
  <si>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</si>
  <si>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</si>
  <si>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</si>
  <si>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</si>
  <si>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</si>
  <si>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</si>
  <si>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</si>
  <si>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</si>
  <si>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</si>
  <si>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</si>
  <si>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</si>
  <si>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</si>
  <si>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</si>
  <si>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</si>
  <si>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</si>
  <si>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</si>
  <si>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</si>
  <si>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</si>
  <si>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</si>
  <si>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</si>
  <si>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</si>
  <si>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</si>
  <si>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</si>
  <si>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</si>
  <si>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</si>
  <si>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</si>
  <si>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</si>
  <si>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</si>
  <si>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</si>
  <si>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</si>
  <si>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</si>
  <si>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</si>
  <si>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</si>
  <si>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</si>
  <si>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</si>
  <si>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</si>
  <si>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</si>
  <si>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</si>
  <si>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</si>
  <si>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</si>
  <si>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</si>
  <si>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</si>
  <si>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</si>
  <si>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</si>
  <si>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</si>
  <si>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</si>
  <si>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</si>
  <si>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</si>
  <si>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</si>
  <si>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</si>
  <si>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</si>
  <si>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</si>
  <si>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</si>
  <si>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</si>
  <si>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</si>
  <si>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</si>
  <si>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</si>
  <si>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</si>
  <si>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</si>
  <si>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</si>
  <si>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</si>
  <si>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</si>
  <si>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</si>
  <si>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</si>
  <si>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</si>
  <si>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</si>
  <si>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</si>
  <si>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</si>
  <si>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</si>
  <si>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</si>
  <si>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朝云集团</t>
    <phoneticPr fontId="2" type="noConversion"/>
  </si>
  <si>
    <t>6601.HK</t>
    <phoneticPr fontId="2" type="noConversion"/>
  </si>
  <si>
    <t>CNS_04</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</si>
</sst>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6" sqref="C16"/>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366</v>
      </c>
      <c r="F1" s="290" t="s">
        <v>333</v>
      </c>
    </row>
    <row r="2" spans="1:10" ht="13.9" x14ac:dyDescent="0.45">
      <c r="A2" s="253"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9" t="s">
        <v>411</v>
      </c>
      <c r="D5" s="49" t="s">
        <v>412</v>
      </c>
    </row>
    <row r="6" spans="1:10" x14ac:dyDescent="0.35">
      <c r="B6" s="4" t="s">
        <v>96</v>
      </c>
      <c r="C6" s="50">
        <v>1.98</v>
      </c>
      <c r="D6" s="48" t="s">
        <v>41</v>
      </c>
      <c r="E6" s="48"/>
    </row>
    <row r="7" spans="1:10" x14ac:dyDescent="0.35">
      <c r="B7" s="4" t="s">
        <v>0</v>
      </c>
      <c r="C7" s="51">
        <v>1333333500</v>
      </c>
      <c r="D7" s="34"/>
      <c r="E7" s="34"/>
    </row>
    <row r="8" spans="1:10" x14ac:dyDescent="0.35">
      <c r="B8" s="2" t="s">
        <v>317</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2640.0003299999998</v>
      </c>
      <c r="D10" s="32"/>
      <c r="E10" s="5"/>
    </row>
    <row r="11" spans="1:10" x14ac:dyDescent="0.35">
      <c r="D11" s="5"/>
      <c r="E11" s="5"/>
    </row>
    <row r="12" spans="1:10" ht="24.4" customHeight="1" x14ac:dyDescent="0.35">
      <c r="B12" s="341" t="s">
        <v>375</v>
      </c>
      <c r="C12" s="341"/>
      <c r="D12" s="341"/>
      <c r="E12" s="341"/>
      <c r="F12" s="341"/>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1.06349396</v>
      </c>
      <c r="D17" s="32" t="str">
        <f>IF(C16=D6,D6,C16&amp;"/"&amp;D6)</f>
        <v>CNY/HKD</v>
      </c>
      <c r="E17" s="5"/>
    </row>
    <row r="18" spans="1:6" x14ac:dyDescent="0.35">
      <c r="B18" s="2" t="s">
        <v>57</v>
      </c>
      <c r="C18" s="48" t="s">
        <v>413</v>
      </c>
      <c r="E18" s="5"/>
    </row>
    <row r="19" spans="1:6" x14ac:dyDescent="0.35">
      <c r="B19" s="2" t="s">
        <v>280</v>
      </c>
      <c r="C19" s="255">
        <v>0.2</v>
      </c>
      <c r="E19" s="5"/>
    </row>
    <row r="20" spans="1:6" x14ac:dyDescent="0.35">
      <c r="B20" s="2" t="str">
        <f>"Target Buy Price ("&amp;Market_currency&amp;"):"</f>
        <v>Target Buy Price (HKD):</v>
      </c>
      <c r="C20" s="258">
        <f>C129</f>
        <v>1.5381369358980914</v>
      </c>
      <c r="D20" s="1" t="s">
        <v>318</v>
      </c>
      <c r="E20" s="336">
        <v>3</v>
      </c>
    </row>
    <row r="21" spans="1:6" x14ac:dyDescent="0.35">
      <c r="B21" s="1" t="s">
        <v>374</v>
      </c>
      <c r="C21" s="286">
        <f ca="1">Scenarios!C87</f>
        <v>9.7593325788780882E-2</v>
      </c>
      <c r="D21" s="5"/>
      <c r="E21" s="5"/>
    </row>
    <row r="22" spans="1:6" x14ac:dyDescent="0.35">
      <c r="D22" s="5"/>
      <c r="E22" s="5"/>
    </row>
    <row r="23" spans="1:6" ht="13.9" x14ac:dyDescent="0.45">
      <c r="A23" s="253" t="s">
        <v>368</v>
      </c>
      <c r="B23" s="36"/>
      <c r="C23" s="36"/>
      <c r="D23" s="36"/>
      <c r="E23" s="36"/>
      <c r="F23" s="36"/>
    </row>
    <row r="25" spans="1:6" ht="24.4" customHeight="1" x14ac:dyDescent="0.35">
      <c r="B25" s="341" t="s">
        <v>376</v>
      </c>
      <c r="C25" s="341"/>
      <c r="D25" s="341"/>
      <c r="E25" s="341"/>
      <c r="F25" s="341"/>
    </row>
    <row r="26" spans="1:6" ht="24.4" customHeight="1" x14ac:dyDescent="0.35">
      <c r="B26" s="343" t="s">
        <v>352</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58602.662537660683</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35974</v>
      </c>
      <c r="D33" s="1" t="str">
        <f>Reporting_currency</f>
        <v>CNY</v>
      </c>
    </row>
    <row r="34" spans="2:6" x14ac:dyDescent="0.35">
      <c r="B34" s="52" t="s">
        <v>237</v>
      </c>
      <c r="C34" s="191">
        <f>Normalized_FCF!C10</f>
        <v>-35974</v>
      </c>
      <c r="D34" s="1" t="str">
        <f>Reporting_currency</f>
        <v>CNY</v>
      </c>
    </row>
    <row r="36" spans="2:6" x14ac:dyDescent="0.35">
      <c r="B36" s="342" t="s">
        <v>238</v>
      </c>
      <c r="C36" s="342"/>
      <c r="D36" s="342"/>
      <c r="E36" s="342"/>
      <c r="F36" s="342"/>
    </row>
    <row r="37" spans="2:6" x14ac:dyDescent="0.35">
      <c r="B37" s="47" t="s">
        <v>239</v>
      </c>
      <c r="C37" s="191">
        <f>Normalized_FCF!C11</f>
        <v>0</v>
      </c>
      <c r="D37" s="1" t="str">
        <f>Reporting_currency</f>
        <v>CNY</v>
      </c>
    </row>
    <row r="39" spans="2:6" x14ac:dyDescent="0.35">
      <c r="B39" s="342" t="s">
        <v>242</v>
      </c>
      <c r="C39" s="342"/>
      <c r="D39" s="342"/>
      <c r="E39" s="342"/>
      <c r="F39" s="342"/>
    </row>
    <row r="40" spans="2:6" x14ac:dyDescent="0.35">
      <c r="B40" s="47" t="s">
        <v>353</v>
      </c>
      <c r="C40" s="328">
        <f>Normalized_FCF!C48</f>
        <v>23291.09073065874</v>
      </c>
      <c r="D40" s="1" t="str">
        <f>Reporting_currency</f>
        <v>CNY</v>
      </c>
      <c r="E40" s="327"/>
      <c r="F40" s="327"/>
    </row>
    <row r="41" spans="2:6" x14ac:dyDescent="0.35">
      <c r="B41" s="47" t="s">
        <v>354</v>
      </c>
      <c r="C41" s="328">
        <f>Normalized_FCF!C47</f>
        <v>-1003</v>
      </c>
      <c r="D41" s="1" t="str">
        <f>Reporting_currency</f>
        <v>CNY</v>
      </c>
      <c r="E41" s="327"/>
      <c r="F41" s="327"/>
    </row>
    <row r="42" spans="2:6" x14ac:dyDescent="0.35">
      <c r="B42" s="47" t="s">
        <v>240</v>
      </c>
      <c r="C42" s="191">
        <f>Normalized_FCF!C12</f>
        <v>22288.09073065874</v>
      </c>
      <c r="D42" s="1" t="str">
        <f>Reporting_currency</f>
        <v>CNY</v>
      </c>
    </row>
    <row r="44" spans="2:6" x14ac:dyDescent="0.35">
      <c r="B44" s="1" t="s">
        <v>248</v>
      </c>
    </row>
    <row r="45" spans="2:6" x14ac:dyDescent="0.35">
      <c r="B45" s="47" t="s">
        <v>268</v>
      </c>
      <c r="C45" s="191">
        <f>Normalized_FCF!C15</f>
        <v>-2089.6737831682049</v>
      </c>
      <c r="D45" s="1" t="str">
        <f>Reporting_currency</f>
        <v>CNY</v>
      </c>
    </row>
    <row r="47" spans="2:6" x14ac:dyDescent="0.35">
      <c r="B47" s="342" t="s">
        <v>243</v>
      </c>
      <c r="C47" s="342"/>
      <c r="D47" s="342"/>
      <c r="E47" s="342"/>
      <c r="F47" s="342"/>
    </row>
    <row r="48" spans="2:6" x14ac:dyDescent="0.35">
      <c r="B48" s="47" t="s">
        <v>241</v>
      </c>
      <c r="C48" s="191">
        <f>Normalized_FCF!C14</f>
        <v>-20222.688317079854</v>
      </c>
      <c r="D48" s="1" t="str">
        <f>Reporting_currency</f>
        <v>CNY</v>
      </c>
    </row>
    <row r="50" spans="1:6" x14ac:dyDescent="0.35">
      <c r="B50" s="342" t="s">
        <v>351</v>
      </c>
      <c r="C50" s="345"/>
      <c r="D50" s="345"/>
      <c r="E50" s="345"/>
      <c r="F50" s="345"/>
    </row>
    <row r="51" spans="1:6" x14ac:dyDescent="0.35">
      <c r="B51" s="47" t="s">
        <v>244</v>
      </c>
      <c r="C51" s="1">
        <f>Normalized_FCF!C17</f>
        <v>0</v>
      </c>
      <c r="D51" s="1" t="str">
        <f>Reporting_currency</f>
        <v>CNY</v>
      </c>
    </row>
    <row r="53" spans="1:6" ht="24.4" customHeight="1" x14ac:dyDescent="0.35">
      <c r="B53" s="341" t="s">
        <v>356</v>
      </c>
      <c r="C53" s="341"/>
      <c r="D53" s="341"/>
      <c r="E53" s="341"/>
      <c r="F53" s="341"/>
    </row>
    <row r="54" spans="1:6" ht="24.4" customHeight="1" x14ac:dyDescent="0.35">
      <c r="B54" s="341" t="s">
        <v>377</v>
      </c>
      <c r="C54" s="341"/>
      <c r="D54" s="341"/>
      <c r="E54" s="341"/>
      <c r="F54" s="341"/>
    </row>
    <row r="56" spans="1:6" x14ac:dyDescent="0.35">
      <c r="B56" s="47" t="s">
        <v>273</v>
      </c>
      <c r="C56" s="191">
        <f>Normalized_FCF!G19</f>
        <v>101456.09073065873</v>
      </c>
      <c r="D56" s="1" t="str">
        <f>Reporting_currency</f>
        <v>CNY</v>
      </c>
    </row>
    <row r="57" spans="1:6" x14ac:dyDescent="0.35">
      <c r="B57" s="47" t="s">
        <v>250</v>
      </c>
      <c r="C57" s="191">
        <f>Normalized_FCF!C19</f>
        <v>58578.391168071357</v>
      </c>
      <c r="D57" s="1" t="str">
        <f>Reporting_currency</f>
        <v>CNY</v>
      </c>
    </row>
    <row r="58" spans="1:6" x14ac:dyDescent="0.35">
      <c r="B58" s="260" t="s">
        <v>406</v>
      </c>
      <c r="C58" s="94">
        <f>Normalized_FCF!C125</f>
        <v>2.359763538126574E-2</v>
      </c>
    </row>
    <row r="59" spans="1:6" x14ac:dyDescent="0.35">
      <c r="B59" s="260" t="s">
        <v>319</v>
      </c>
      <c r="C59" s="94">
        <f>Normalized_FCF!C93</f>
        <v>5.9494949494949496E-2</v>
      </c>
    </row>
    <row r="61" spans="1:6" ht="13.9" x14ac:dyDescent="0.45">
      <c r="A61" s="253" t="s">
        <v>369</v>
      </c>
      <c r="B61" s="36"/>
      <c r="C61" s="36"/>
      <c r="D61" s="36"/>
      <c r="E61" s="36"/>
      <c r="F61" s="36"/>
    </row>
    <row r="62" spans="1:6" x14ac:dyDescent="0.35">
      <c r="A62" s="239"/>
    </row>
    <row r="63" spans="1:6" ht="24.4" customHeight="1" x14ac:dyDescent="0.35">
      <c r="A63" s="17"/>
      <c r="B63" s="341" t="s">
        <v>378</v>
      </c>
      <c r="C63" s="341"/>
      <c r="D63" s="341"/>
      <c r="E63" s="341"/>
      <c r="F63" s="341"/>
    </row>
    <row r="64" spans="1:6" x14ac:dyDescent="0.35">
      <c r="B64" s="343" t="s">
        <v>254</v>
      </c>
      <c r="C64" s="343"/>
      <c r="D64" s="343"/>
      <c r="E64" s="343"/>
      <c r="F64" s="343"/>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41" t="s">
        <v>379</v>
      </c>
      <c r="C73" s="341"/>
      <c r="D73" s="341"/>
      <c r="E73" s="341"/>
      <c r="F73" s="341"/>
    </row>
    <row r="74" spans="1:6" ht="24.4" customHeight="1" x14ac:dyDescent="0.35">
      <c r="B74" s="341" t="s">
        <v>380</v>
      </c>
      <c r="C74" s="341"/>
      <c r="D74" s="341"/>
      <c r="E74" s="341"/>
      <c r="F74" s="341"/>
    </row>
    <row r="76" spans="1:6" x14ac:dyDescent="0.35">
      <c r="B76" s="47" t="s">
        <v>253</v>
      </c>
      <c r="C76" s="269">
        <v>0</v>
      </c>
    </row>
    <row r="77" spans="1:6" x14ac:dyDescent="0.35">
      <c r="B77" s="47" t="s">
        <v>287</v>
      </c>
      <c r="C77" s="254">
        <f>Valuation_Model!C6*C28*Exchange_Rate/Common_Shares</f>
        <v>0.58404147568632703</v>
      </c>
      <c r="D77" s="1" t="str">
        <f>Market_currency</f>
        <v>HKD</v>
      </c>
    </row>
    <row r="79" spans="1:6" ht="13.9" x14ac:dyDescent="0.45">
      <c r="A79" s="253" t="s">
        <v>371</v>
      </c>
      <c r="B79" s="36"/>
      <c r="C79" s="36"/>
      <c r="D79" s="36"/>
      <c r="E79" s="36"/>
      <c r="F79" s="36"/>
    </row>
    <row r="80" spans="1:6" x14ac:dyDescent="0.35">
      <c r="A80" s="239"/>
    </row>
    <row r="81" spans="2:6" x14ac:dyDescent="0.35">
      <c r="B81" s="341" t="s">
        <v>381</v>
      </c>
      <c r="C81" s="341"/>
      <c r="D81" s="341"/>
      <c r="E81" s="341"/>
      <c r="F81" s="341"/>
    </row>
    <row r="82" spans="2:6" x14ac:dyDescent="0.35">
      <c r="B82" s="1" t="s">
        <v>255</v>
      </c>
    </row>
    <row r="84" spans="2:6" x14ac:dyDescent="0.35">
      <c r="B84" s="240" t="s">
        <v>232</v>
      </c>
    </row>
    <row r="85" spans="2:6" ht="24.4" customHeight="1" x14ac:dyDescent="0.35">
      <c r="B85" s="341" t="s">
        <v>357</v>
      </c>
      <c r="C85" s="341"/>
      <c r="D85" s="341"/>
      <c r="E85" s="341"/>
      <c r="F85" s="341"/>
    </row>
    <row r="86" spans="2:6" x14ac:dyDescent="0.35">
      <c r="B86" s="47" t="s">
        <v>257</v>
      </c>
      <c r="C86" s="191">
        <f>Valuation_Model!C7</f>
        <v>33999</v>
      </c>
      <c r="D86" s="1" t="str">
        <f>Reporting_currency</f>
        <v>CNY</v>
      </c>
    </row>
    <row r="87" spans="2:6" x14ac:dyDescent="0.35">
      <c r="B87" s="47" t="s">
        <v>288</v>
      </c>
      <c r="C87" s="254">
        <f>C86*C28*Exchange_Rate/Common_Shares</f>
        <v>2.7118294969743127E-2</v>
      </c>
      <c r="D87" s="1" t="str">
        <f>Market_currency</f>
        <v>HKD</v>
      </c>
    </row>
    <row r="89" spans="2:6" x14ac:dyDescent="0.35">
      <c r="B89" s="1" t="s">
        <v>256</v>
      </c>
    </row>
    <row r="90" spans="2:6" x14ac:dyDescent="0.35">
      <c r="B90" s="47" t="s">
        <v>267</v>
      </c>
      <c r="C90" s="191">
        <f>BS!C66</f>
        <v>2664732</v>
      </c>
      <c r="D90" s="1" t="str">
        <f>Reporting_currency</f>
        <v>CNY</v>
      </c>
    </row>
    <row r="91" spans="2:6" x14ac:dyDescent="0.35">
      <c r="B91" s="47" t="s">
        <v>269</v>
      </c>
      <c r="C91" s="191">
        <f>Valuation_Model!C8</f>
        <v>1823806.3881188305</v>
      </c>
      <c r="D91" s="1" t="str">
        <f>Reporting_currency</f>
        <v>CNY</v>
      </c>
    </row>
    <row r="92" spans="2:6" x14ac:dyDescent="0.35">
      <c r="B92" s="47" t="s">
        <v>289</v>
      </c>
      <c r="C92" s="254">
        <f>C91*C28*Exchange_Rate/Common_Shares</f>
        <v>1.4547051266422031</v>
      </c>
      <c r="D92" s="1" t="str">
        <f>Market_currency</f>
        <v>HKD</v>
      </c>
    </row>
    <row r="94" spans="2:6" x14ac:dyDescent="0.35">
      <c r="B94" s="1" t="s">
        <v>258</v>
      </c>
    </row>
    <row r="95" spans="2:6" x14ac:dyDescent="0.35">
      <c r="B95" s="47" t="s">
        <v>259</v>
      </c>
      <c r="C95" s="191">
        <f>Valuation_Model!C9</f>
        <v>227656.8</v>
      </c>
      <c r="D95" s="1" t="str">
        <f>Reporting_currency</f>
        <v>CNY</v>
      </c>
    </row>
    <row r="96" spans="2:6" x14ac:dyDescent="0.35">
      <c r="B96" s="47" t="s">
        <v>290</v>
      </c>
      <c r="C96" s="254">
        <f>C95*C28*Exchange_Rate/Common_Shares</f>
        <v>0.18158370111673336</v>
      </c>
      <c r="D96" s="1" t="str">
        <f>Market_currency</f>
        <v>HKD</v>
      </c>
    </row>
    <row r="98" spans="1:6" ht="24.4" customHeight="1" x14ac:dyDescent="0.35">
      <c r="B98" s="341" t="s">
        <v>382</v>
      </c>
      <c r="C98" s="341"/>
      <c r="D98" s="341"/>
      <c r="E98" s="341"/>
      <c r="F98" s="341"/>
    </row>
    <row r="100" spans="1:6" x14ac:dyDescent="0.35">
      <c r="B100" s="47" t="s">
        <v>286</v>
      </c>
      <c r="C100" s="254">
        <f>Valuation_Model!C12</f>
        <v>2.1932120084755207</v>
      </c>
      <c r="D100" s="1" t="str">
        <f>Market_currency</f>
        <v>HKD</v>
      </c>
    </row>
    <row r="102" spans="1:6" ht="13.9" x14ac:dyDescent="0.45">
      <c r="A102" s="253" t="s">
        <v>372</v>
      </c>
      <c r="B102" s="36"/>
      <c r="C102" s="36"/>
      <c r="D102" s="36"/>
      <c r="E102" s="36"/>
      <c r="F102" s="36"/>
    </row>
    <row r="104" spans="1:6" ht="24.4" customHeight="1" x14ac:dyDescent="0.35">
      <c r="B104" s="342" t="s">
        <v>383</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0.08</v>
      </c>
      <c r="D107" s="263">
        <f>Valuation_Model!D74</f>
        <v>15</v>
      </c>
      <c r="E107" s="264" t="str">
        <f>ROUND(Valuation_Model!E74,2)&amp;" "&amp;Market_currency</f>
        <v>2.51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2.32 HKD</v>
      </c>
      <c r="F108" s="252">
        <f>Valuation_Model!F75</f>
        <v>0.21249999999999999</v>
      </c>
    </row>
    <row r="109" spans="1:6" x14ac:dyDescent="0.35">
      <c r="B109" s="248" t="str">
        <f>Valuation_Model!B76</f>
        <v>Base</v>
      </c>
      <c r="C109" s="249">
        <f>Valuation_Model!C76</f>
        <v>0.02</v>
      </c>
      <c r="D109" s="250">
        <f>Valuation_Model!D76</f>
        <v>10</v>
      </c>
      <c r="E109" s="251" t="str">
        <f>ROUND(Valuation_Model!E76,2)&amp;" "&amp;Market_currency</f>
        <v>2.23 HKD</v>
      </c>
      <c r="F109" s="252">
        <f>Valuation_Model!F76</f>
        <v>0.51</v>
      </c>
    </row>
    <row r="110" spans="1:6" x14ac:dyDescent="0.35">
      <c r="B110" s="248" t="str">
        <f>Valuation_Model!B77</f>
        <v>Pessimistic</v>
      </c>
      <c r="C110" s="249">
        <f>Valuation_Model!C77</f>
        <v>-0.06</v>
      </c>
      <c r="D110" s="250">
        <f>Valuation_Model!D77</f>
        <v>10</v>
      </c>
      <c r="E110" s="251" t="str">
        <f>ROUND(Valuation_Model!E77,2)&amp;" "&amp;Market_currency</f>
        <v>2.1 HKD</v>
      </c>
      <c r="F110" s="252">
        <f>Valuation_Model!F77</f>
        <v>0.1275</v>
      </c>
    </row>
    <row r="111" spans="1:6" x14ac:dyDescent="0.35">
      <c r="B111" s="248" t="str">
        <f>Valuation_Model!B78</f>
        <v>Devil's advocate</v>
      </c>
      <c r="C111" s="249">
        <f>Valuation_Model!C78</f>
        <v>-0.06</v>
      </c>
      <c r="D111" s="250">
        <f>Valuation_Model!D78</f>
        <v>15</v>
      </c>
      <c r="E111" s="251" t="str">
        <f>ROUND(Valuation_Model!E78,2)&amp;" "&amp;Market_currency</f>
        <v>2.06 HKD</v>
      </c>
      <c r="F111" s="252">
        <f>Valuation_Model!F78</f>
        <v>0.1</v>
      </c>
    </row>
    <row r="113" spans="1:6" x14ac:dyDescent="0.35">
      <c r="B113" s="241" t="s">
        <v>260</v>
      </c>
      <c r="C113" s="247">
        <f>Scenarios!C60</f>
        <v>2.2291086252319019</v>
      </c>
      <c r="D113" s="242" t="str">
        <f>Market_currency</f>
        <v>HKD</v>
      </c>
    </row>
    <row r="115" spans="1:6" ht="24.4" customHeight="1" x14ac:dyDescent="0.35">
      <c r="B115" s="346" t="s">
        <v>386</v>
      </c>
      <c r="C115" s="346"/>
      <c r="D115" s="346"/>
      <c r="E115" s="346"/>
      <c r="F115" s="346"/>
    </row>
    <row r="117" spans="1:6" ht="13.9" x14ac:dyDescent="0.45">
      <c r="A117" s="253" t="s">
        <v>373</v>
      </c>
      <c r="B117" s="36"/>
      <c r="C117" s="36"/>
      <c r="D117" s="36"/>
      <c r="E117" s="36"/>
      <c r="F117" s="36"/>
    </row>
    <row r="119" spans="1:6" x14ac:dyDescent="0.35">
      <c r="B119" s="344" t="s">
        <v>384</v>
      </c>
      <c r="C119" s="344"/>
      <c r="D119" s="344"/>
      <c r="E119" s="344"/>
      <c r="F119" s="344"/>
    </row>
    <row r="120" spans="1:6" ht="24.4" customHeight="1" x14ac:dyDescent="0.35">
      <c r="B120" s="341" t="s">
        <v>385</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0.1178</v>
      </c>
      <c r="D124" s="242" t="str">
        <f>Market_currency</f>
        <v>HKD</v>
      </c>
    </row>
    <row r="126" spans="1:6" x14ac:dyDescent="0.35">
      <c r="B126" s="240" t="s">
        <v>265</v>
      </c>
    </row>
    <row r="127" spans="1:6" x14ac:dyDescent="0.35">
      <c r="B127" s="242" t="str">
        <f>"PV("&amp;C122&amp;" yrs of Dividends)"</f>
        <v>PV(3 yrs of Dividends)</v>
      </c>
      <c r="C127" s="246">
        <f>Scenarios!C81</f>
        <v>0.24814351851851849</v>
      </c>
    </row>
    <row r="128" spans="1:6" x14ac:dyDescent="0.35">
      <c r="B128" s="242" t="str">
        <f>"+ PV(Equity Value realized at year "&amp;C122&amp;")"</f>
        <v>+ PV(Equity Value realized at year 3)</v>
      </c>
      <c r="C128" s="246">
        <f>Scenarios!C82</f>
        <v>1.2899934173795728</v>
      </c>
    </row>
    <row r="129" spans="1:6" x14ac:dyDescent="0.35">
      <c r="B129" s="82" t="s">
        <v>262</v>
      </c>
      <c r="C129" s="245">
        <f>Scenarios!C83</f>
        <v>1.5381369358980914</v>
      </c>
      <c r="D129" s="47" t="str">
        <f>Reporting_currency</f>
        <v>CNY</v>
      </c>
    </row>
    <row r="130" spans="1:6" x14ac:dyDescent="0.35">
      <c r="B130" s="244" t="s">
        <v>264</v>
      </c>
      <c r="C130" s="94">
        <f>Scenarios!F83</f>
        <v>0.30997667924860606</v>
      </c>
    </row>
    <row r="132" spans="1:6" ht="13.9" x14ac:dyDescent="0.45">
      <c r="A132" s="253" t="s">
        <v>390</v>
      </c>
      <c r="B132" s="36"/>
      <c r="C132" s="36"/>
      <c r="D132" s="36"/>
      <c r="E132" s="36"/>
      <c r="F132" s="36"/>
    </row>
    <row r="134" spans="1:6" x14ac:dyDescent="0.35">
      <c r="B134" s="348" t="s">
        <v>392</v>
      </c>
      <c r="C134" s="341"/>
      <c r="D134" s="341"/>
      <c r="E134" s="341"/>
      <c r="F134" s="341"/>
    </row>
    <row r="136" spans="1:6" x14ac:dyDescent="0.35">
      <c r="B136" s="240" t="s">
        <v>391</v>
      </c>
    </row>
    <row r="137" spans="1:6" x14ac:dyDescent="0.35">
      <c r="B137" s="345" t="s">
        <v>396</v>
      </c>
      <c r="C137" s="345"/>
      <c r="D137" s="345"/>
      <c r="E137" s="345"/>
      <c r="F137" s="345"/>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2" t="s">
        <v>397</v>
      </c>
      <c r="C143" s="342"/>
      <c r="D143" s="342"/>
      <c r="E143" s="342"/>
      <c r="F143" s="342"/>
    </row>
    <row r="145" spans="2:6" x14ac:dyDescent="0.35">
      <c r="B145" s="1" t="s">
        <v>401</v>
      </c>
    </row>
    <row r="146" spans="2:6" ht="24.4" customHeight="1" x14ac:dyDescent="0.35">
      <c r="B146" s="347" t="s">
        <v>398</v>
      </c>
      <c r="C146" s="347"/>
      <c r="D146" s="347"/>
      <c r="E146" s="347"/>
      <c r="F146" s="347"/>
    </row>
    <row r="147" spans="2:6" ht="24.4" customHeight="1" x14ac:dyDescent="0.35">
      <c r="B147" s="347" t="s">
        <v>399</v>
      </c>
      <c r="C147" s="347"/>
      <c r="D147" s="347"/>
      <c r="E147" s="347"/>
      <c r="F147" s="347"/>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8" sqref="D18"/>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44</v>
      </c>
      <c r="C5" s="193">
        <v>897327</v>
      </c>
      <c r="D5" s="184">
        <v>845264</v>
      </c>
      <c r="E5" s="184">
        <v>981731</v>
      </c>
      <c r="F5" s="184">
        <v>959572</v>
      </c>
      <c r="G5" s="184">
        <v>783542</v>
      </c>
      <c r="H5" s="184"/>
      <c r="I5" s="184"/>
      <c r="J5" s="184"/>
      <c r="K5" s="184"/>
      <c r="L5" s="184"/>
      <c r="M5" s="184"/>
    </row>
    <row r="6" spans="2:13" x14ac:dyDescent="0.35">
      <c r="B6" s="40" t="s">
        <v>55</v>
      </c>
      <c r="C6" s="193">
        <v>613104</v>
      </c>
      <c r="D6" s="184">
        <v>599182</v>
      </c>
      <c r="E6" s="184">
        <v>705390</v>
      </c>
      <c r="F6" s="184">
        <v>456610</v>
      </c>
      <c r="G6" s="184">
        <v>396643</v>
      </c>
      <c r="H6" s="184"/>
      <c r="I6" s="184"/>
      <c r="J6" s="184"/>
      <c r="K6" s="184"/>
      <c r="L6" s="184"/>
      <c r="M6" s="184"/>
    </row>
    <row r="7" spans="2:13" x14ac:dyDescent="0.35">
      <c r="B7" s="70" t="s">
        <v>62</v>
      </c>
      <c r="C7" s="194">
        <v>425033</v>
      </c>
      <c r="D7" s="192">
        <v>435254</v>
      </c>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68</v>
      </c>
      <c r="C13" s="193">
        <v>73805</v>
      </c>
      <c r="D13" s="184">
        <v>45350</v>
      </c>
      <c r="E13" s="184"/>
      <c r="F13" s="184"/>
      <c r="G13" s="184"/>
      <c r="H13" s="184"/>
      <c r="I13" s="184"/>
      <c r="J13" s="184"/>
      <c r="K13" s="184"/>
      <c r="L13" s="184"/>
      <c r="M13" s="184"/>
    </row>
    <row r="14" spans="2:13" x14ac:dyDescent="0.35">
      <c r="B14" s="40" t="s">
        <v>51</v>
      </c>
      <c r="C14" s="193">
        <v>44449</v>
      </c>
      <c r="D14" s="184">
        <v>21017</v>
      </c>
      <c r="E14" s="184"/>
      <c r="F14" s="184"/>
      <c r="G14" s="184"/>
      <c r="H14" s="184"/>
      <c r="I14" s="184"/>
      <c r="J14" s="184"/>
      <c r="K14" s="184"/>
      <c r="L14" s="184"/>
      <c r="M14" s="184"/>
    </row>
    <row r="15" spans="2:13" x14ac:dyDescent="0.35">
      <c r="B15" s="43" t="s">
        <v>43</v>
      </c>
      <c r="C15" s="195">
        <v>172817</v>
      </c>
      <c r="D15" s="185">
        <v>65456</v>
      </c>
      <c r="E15" s="185">
        <v>5735.3965490000001</v>
      </c>
      <c r="F15" s="185">
        <v>9646.0369900000005</v>
      </c>
      <c r="G15" s="185"/>
      <c r="H15" s="185"/>
      <c r="I15" s="185"/>
      <c r="J15" s="185"/>
      <c r="K15" s="185"/>
      <c r="L15" s="185"/>
      <c r="M15" s="185"/>
    </row>
    <row r="16" spans="2:13" x14ac:dyDescent="0.35">
      <c r="B16" s="28" t="s">
        <v>45</v>
      </c>
      <c r="C16" s="193">
        <v>2199</v>
      </c>
      <c r="D16" s="184">
        <v>645</v>
      </c>
      <c r="E16" s="184"/>
      <c r="F16" s="184"/>
      <c r="G16" s="184"/>
      <c r="H16" s="184"/>
      <c r="I16" s="184"/>
      <c r="J16" s="184"/>
      <c r="K16" s="184"/>
      <c r="L16" s="184"/>
      <c r="M16" s="184"/>
    </row>
    <row r="18" spans="2:13" x14ac:dyDescent="0.35">
      <c r="B18" s="16" t="s">
        <v>52</v>
      </c>
      <c r="C18" s="9"/>
    </row>
    <row r="19" spans="2:13" x14ac:dyDescent="0.35">
      <c r="B19" s="27" t="s">
        <v>48</v>
      </c>
      <c r="C19" s="184">
        <v>35974</v>
      </c>
      <c r="D19" s="184">
        <v>32106</v>
      </c>
      <c r="E19" s="184">
        <v>181.018</v>
      </c>
      <c r="F19" s="184">
        <v>186.14699999999999</v>
      </c>
      <c r="G19" s="184"/>
      <c r="H19" s="184"/>
      <c r="I19" s="184"/>
      <c r="J19" s="184"/>
      <c r="K19" s="184"/>
      <c r="L19" s="184"/>
      <c r="M19" s="184"/>
    </row>
    <row r="20" spans="2:13" x14ac:dyDescent="0.35">
      <c r="B20" s="27" t="s">
        <v>54</v>
      </c>
      <c r="C20" s="184">
        <v>15312</v>
      </c>
      <c r="D20" s="184">
        <v>11600</v>
      </c>
      <c r="E20" s="184"/>
      <c r="F20" s="184"/>
      <c r="G20" s="184"/>
      <c r="H20" s="184"/>
      <c r="I20" s="184"/>
      <c r="J20" s="184"/>
      <c r="K20" s="184"/>
      <c r="L20" s="184"/>
      <c r="M20" s="184"/>
    </row>
    <row r="21" spans="2:13" x14ac:dyDescent="0.35">
      <c r="B21" s="27" t="s">
        <v>53</v>
      </c>
      <c r="C21" s="184">
        <v>-169280</v>
      </c>
      <c r="D21" s="184">
        <v>-50846</v>
      </c>
      <c r="E21" s="184"/>
      <c r="F21" s="184"/>
      <c r="G21" s="184"/>
      <c r="H21" s="184"/>
      <c r="I21" s="184"/>
      <c r="J21" s="184"/>
      <c r="K21" s="184"/>
      <c r="L21" s="184"/>
      <c r="M21" s="184"/>
    </row>
    <row r="22" spans="2:13" x14ac:dyDescent="0.35">
      <c r="B22" s="27" t="s">
        <v>387</v>
      </c>
      <c r="C22" s="184"/>
      <c r="D22" s="184"/>
      <c r="E22" s="184"/>
      <c r="F22" s="184"/>
      <c r="G22" s="184"/>
      <c r="H22" s="184"/>
      <c r="I22" s="184"/>
      <c r="J22" s="184"/>
      <c r="K22" s="184"/>
      <c r="L22" s="184"/>
      <c r="M22" s="184"/>
    </row>
    <row r="23" spans="2:13" x14ac:dyDescent="0.35">
      <c r="B23" s="27" t="s">
        <v>389</v>
      </c>
      <c r="C23" s="184"/>
      <c r="D23" s="184"/>
      <c r="E23" s="184"/>
      <c r="F23" s="184"/>
      <c r="G23" s="184"/>
      <c r="H23" s="184"/>
      <c r="I23" s="184"/>
      <c r="J23" s="184"/>
      <c r="K23" s="184"/>
      <c r="L23" s="184"/>
      <c r="M23" s="184"/>
    </row>
    <row r="24" spans="2:13" x14ac:dyDescent="0.35">
      <c r="B24" s="27" t="s">
        <v>388</v>
      </c>
      <c r="C24" s="184"/>
      <c r="D24" s="184"/>
      <c r="E24" s="184"/>
      <c r="F24" s="184"/>
      <c r="G24" s="184"/>
      <c r="H24" s="184"/>
      <c r="I24" s="184"/>
      <c r="J24" s="184"/>
      <c r="K24" s="184"/>
      <c r="L24" s="184"/>
      <c r="M24" s="184"/>
    </row>
    <row r="25" spans="2:13" x14ac:dyDescent="0.35">
      <c r="B25" s="24" t="str">
        <f>"Dividend per share ("&amp;Market_currency&amp;")"</f>
        <v>Dividend per share (HKD)</v>
      </c>
      <c r="C25" s="39">
        <v>0.1178</v>
      </c>
      <c r="D25" s="39"/>
      <c r="E25" s="39"/>
      <c r="F25" s="39"/>
      <c r="G25" s="39"/>
      <c r="H25" s="39"/>
      <c r="I25" s="39"/>
      <c r="J25" s="39"/>
      <c r="K25" s="39"/>
      <c r="L25" s="39"/>
      <c r="M25" s="39"/>
    </row>
    <row r="27" spans="2:13" x14ac:dyDescent="0.35">
      <c r="B27" s="16" t="s">
        <v>28</v>
      </c>
      <c r="C27" s="9"/>
    </row>
    <row r="28" spans="2:13" x14ac:dyDescent="0.35">
      <c r="B28" s="26" t="s">
        <v>24</v>
      </c>
      <c r="C28" s="184"/>
      <c r="D28" s="184"/>
      <c r="E28" s="184"/>
      <c r="F28" s="184"/>
      <c r="G28" s="184"/>
      <c r="H28" s="184"/>
      <c r="I28" s="184"/>
      <c r="J28" s="184"/>
      <c r="K28" s="184"/>
      <c r="L28" s="184"/>
      <c r="M28" s="184"/>
    </row>
    <row r="29" spans="2:13" x14ac:dyDescent="0.35">
      <c r="B29" s="26" t="s">
        <v>32</v>
      </c>
      <c r="C29" s="184"/>
      <c r="D29" s="184"/>
      <c r="E29" s="184"/>
      <c r="F29" s="184"/>
      <c r="G29" s="184"/>
      <c r="H29" s="184"/>
      <c r="I29" s="184"/>
      <c r="J29" s="184"/>
      <c r="K29" s="184"/>
      <c r="L29" s="184"/>
      <c r="M29" s="184"/>
    </row>
    <row r="30" spans="2:13" x14ac:dyDescent="0.35">
      <c r="B30" s="29" t="s">
        <v>40</v>
      </c>
      <c r="C30" s="185">
        <v>642877</v>
      </c>
      <c r="D30" s="185">
        <v>734909</v>
      </c>
      <c r="E30" s="185">
        <v>677999</v>
      </c>
      <c r="F30" s="185">
        <v>1352795</v>
      </c>
      <c r="G30" s="185">
        <v>1205068</v>
      </c>
      <c r="H30" s="185"/>
      <c r="I30" s="185"/>
      <c r="J30" s="185"/>
      <c r="K30" s="185"/>
      <c r="L30" s="185"/>
      <c r="M30" s="185"/>
    </row>
    <row r="31" spans="2:13" x14ac:dyDescent="0.35">
      <c r="B31" s="29" t="s">
        <v>30</v>
      </c>
      <c r="C31" s="185">
        <v>3027292</v>
      </c>
      <c r="D31" s="185">
        <v>2824568</v>
      </c>
      <c r="E31" s="185">
        <v>2735259</v>
      </c>
      <c r="F31" s="185">
        <v>250534</v>
      </c>
      <c r="G31" s="185">
        <v>13930</v>
      </c>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0.1178</v>
      </c>
      <c r="D65" s="75">
        <f t="shared" si="33"/>
        <v>0</v>
      </c>
      <c r="E65" s="75">
        <f t="shared" si="33"/>
        <v>0</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0.11678595474472542</v>
      </c>
      <c r="D68" s="94">
        <f t="shared" si="34"/>
        <v>-0.18230094898304672</v>
      </c>
      <c r="E68" s="94">
        <f t="shared" si="34"/>
        <v>3.9363653347464389E-2</v>
      </c>
      <c r="F68" s="94">
        <f t="shared" si="34"/>
        <v>0.2304116952266948</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6.15937742527779E-2</v>
      </c>
      <c r="D69" s="104">
        <f t="shared" si="35"/>
        <v>-0.13900650992990948</v>
      </c>
      <c r="E69" s="104">
        <f t="shared" si="35"/>
        <v>2.3092587111753993E-2</v>
      </c>
      <c r="F69" s="104">
        <f t="shared" si="35"/>
        <v>0.22465930352170016</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0.19436157865155468</v>
      </c>
      <c r="D70" s="94">
        <f t="shared" si="36"/>
        <v>-0.23627871063439609</v>
      </c>
      <c r="E70" s="94">
        <f t="shared" si="36"/>
        <v>6.0389290340999269E-2</v>
      </c>
      <c r="F70" s="94">
        <f t="shared" si="36"/>
        <v>0.23792551595372258</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2.3235010397508526E-2</v>
      </c>
      <c r="D71" s="104">
        <f t="shared" si="37"/>
        <v>-0.15056635336480528</v>
      </c>
      <c r="E71" s="104">
        <f t="shared" si="37"/>
        <v>0.54484133067606932</v>
      </c>
      <c r="F71" s="104">
        <f t="shared" si="37"/>
        <v>0.15118633128531189</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e">
        <f>IF(D$36="","",C65/D65-1)</f>
        <v>#DIV/0!</v>
      </c>
      <c r="D72" s="94" t="e">
        <f t="shared" ref="D72:M72" si="38">IF(E$36="","",D65/E65-1)</f>
        <v>#DIV/0!</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3670169</v>
      </c>
      <c r="D76" s="78">
        <f t="shared" ref="D76:M76" si="39">IF(D$4="","",D79+D80)</f>
        <v>3559477</v>
      </c>
      <c r="E76" s="78">
        <f t="shared" si="39"/>
        <v>3413258</v>
      </c>
      <c r="F76" s="78">
        <f t="shared" si="39"/>
        <v>1603329</v>
      </c>
      <c r="G76" s="78">
        <f t="shared" si="39"/>
        <v>1218998</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0</v>
      </c>
      <c r="E77" s="74">
        <f t="shared" si="40"/>
        <v>0</v>
      </c>
      <c r="F77" s="74">
        <f t="shared" si="40"/>
        <v>0</v>
      </c>
      <c r="G77" s="74">
        <f t="shared" si="40"/>
        <v>0</v>
      </c>
      <c r="H77" s="74" t="str">
        <f t="shared" si="40"/>
        <v/>
      </c>
      <c r="I77" s="96"/>
      <c r="J77" s="96"/>
      <c r="K77" s="96"/>
      <c r="L77" s="96"/>
      <c r="M77" s="96"/>
    </row>
    <row r="78" spans="2:13" x14ac:dyDescent="0.35">
      <c r="B78" s="95" t="s">
        <v>88</v>
      </c>
      <c r="C78" s="74">
        <f t="shared" si="40"/>
        <v>0</v>
      </c>
      <c r="D78" s="74">
        <f t="shared" si="40"/>
        <v>0</v>
      </c>
      <c r="E78" s="74">
        <f t="shared" si="40"/>
        <v>0</v>
      </c>
      <c r="F78" s="74">
        <f t="shared" si="40"/>
        <v>0</v>
      </c>
      <c r="G78" s="74">
        <f t="shared" si="40"/>
        <v>0</v>
      </c>
      <c r="H78" s="74" t="str">
        <f t="shared" si="40"/>
        <v/>
      </c>
      <c r="I78" s="96"/>
      <c r="J78" s="96"/>
      <c r="K78" s="96"/>
      <c r="L78" s="96"/>
      <c r="M78" s="96"/>
    </row>
    <row r="79" spans="2:13" x14ac:dyDescent="0.35">
      <c r="B79" s="26" t="s">
        <v>40</v>
      </c>
      <c r="C79" s="58">
        <f t="shared" ref="C79:M79" si="41">IF(C$4="","",C30)</f>
        <v>642877</v>
      </c>
      <c r="D79" s="58">
        <f t="shared" si="41"/>
        <v>734909</v>
      </c>
      <c r="E79" s="58">
        <f t="shared" si="41"/>
        <v>677999</v>
      </c>
      <c r="F79" s="58">
        <f t="shared" si="41"/>
        <v>1352795</v>
      </c>
      <c r="G79" s="58">
        <f t="shared" si="41"/>
        <v>1205068</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3027292</v>
      </c>
      <c r="D80" s="58">
        <f t="shared" si="42"/>
        <v>2824568</v>
      </c>
      <c r="E80" s="58">
        <f t="shared" si="42"/>
        <v>2735259</v>
      </c>
      <c r="F80" s="58">
        <f t="shared" si="42"/>
        <v>250534</v>
      </c>
      <c r="G80" s="58">
        <f t="shared" si="42"/>
        <v>13930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76" sqref="F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180994</v>
      </c>
      <c r="D4" s="300">
        <v>0.6</v>
      </c>
      <c r="E4" s="25"/>
      <c r="F4" s="4" t="s">
        <v>79</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179</v>
      </c>
      <c r="G6" s="19">
        <v>0</v>
      </c>
      <c r="H6" s="300">
        <v>0.6</v>
      </c>
    </row>
    <row r="7" spans="2:8" ht="15" customHeight="1" x14ac:dyDescent="0.35">
      <c r="B7" s="1" t="s">
        <v>70</v>
      </c>
      <c r="C7" s="19">
        <v>0</v>
      </c>
      <c r="D7" s="300">
        <v>0.6</v>
      </c>
      <c r="E7" s="25"/>
      <c r="F7" s="4" t="s">
        <v>180</v>
      </c>
      <c r="G7" s="19">
        <v>253051</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73</v>
      </c>
      <c r="C12" s="83">
        <f>SUM(C4:C11)</f>
        <v>345016</v>
      </c>
      <c r="D12" s="20">
        <f>C4*D4+C5*D5+C9*D9+C6*D6+C8*D8+C7*D7+C10*D10+C11*D11</f>
        <v>192972.19999999998</v>
      </c>
      <c r="F12" s="82" t="s">
        <v>71</v>
      </c>
      <c r="G12" s="83">
        <f>SUM(G4:G9)</f>
        <v>2638358</v>
      </c>
      <c r="H12" s="20">
        <f>G4*H4+G5*H5+G6*H6+G7*H7+G8*H8+G9*H9</f>
        <v>2298606.9000000004</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279425</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126127</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193915</v>
      </c>
      <c r="D19" s="300">
        <v>0.1</v>
      </c>
      <c r="F19" s="4" t="s">
        <v>184</v>
      </c>
      <c r="G19" s="19">
        <v>1500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9704</v>
      </c>
      <c r="D21" s="300">
        <v>0.05</v>
      </c>
      <c r="F21" s="1" t="s">
        <v>182</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75</v>
      </c>
      <c r="C24" s="83">
        <f>SUM(C15:C23)</f>
        <v>279743</v>
      </c>
      <c r="D24" s="20">
        <f>C15*D15+C16*D16+C18*D18+C17*D17+C19*D19+C20*D20+C21*D21+C22*D22+C23*D23</f>
        <v>88388.3</v>
      </c>
      <c r="F24" s="82" t="s">
        <v>72</v>
      </c>
      <c r="G24" s="83">
        <f>SUM(G15:G21)</f>
        <v>407052</v>
      </c>
      <c r="H24" s="20">
        <f>G15*H15+G16*H16+G17*H17+G18*H18+G19*H19+G20*H20+G21*H21</f>
        <v>299366.2</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246</v>
      </c>
      <c r="G28" s="184">
        <v>3990</v>
      </c>
      <c r="H28" s="215"/>
    </row>
    <row r="29" spans="2:8" ht="15" customHeight="1" x14ac:dyDescent="0.35">
      <c r="B29" s="4" t="s">
        <v>7</v>
      </c>
      <c r="C29" s="19">
        <v>0</v>
      </c>
      <c r="F29" s="217" t="s">
        <v>77</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205</v>
      </c>
      <c r="C31" s="83">
        <f>SUM(C27:C30)</f>
        <v>13416</v>
      </c>
      <c r="F31" s="217" t="s">
        <v>78</v>
      </c>
      <c r="G31" s="218">
        <f>C31+C40</f>
        <v>33999</v>
      </c>
      <c r="H31" s="215"/>
    </row>
    <row r="32" spans="2:8" ht="15" customHeight="1" x14ac:dyDescent="0.35">
      <c r="B32" s="4" t="s">
        <v>9</v>
      </c>
      <c r="C32" s="21">
        <f>C33-C31</f>
        <v>598515</v>
      </c>
      <c r="F32" s="219" t="s">
        <v>76</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624759</v>
      </c>
      <c r="H35" s="227">
        <f>D12+D24</f>
        <v>281360.5</v>
      </c>
    </row>
    <row r="36" spans="2:8" ht="15" customHeight="1" x14ac:dyDescent="0.35">
      <c r="B36" s="4" t="s">
        <v>13</v>
      </c>
      <c r="C36" s="19">
        <v>0</v>
      </c>
      <c r="F36" s="217" t="s">
        <v>199</v>
      </c>
      <c r="G36" s="218">
        <f>C4+C15</f>
        <v>180994</v>
      </c>
      <c r="H36" s="222"/>
    </row>
    <row r="37" spans="2:8" ht="15" customHeight="1" x14ac:dyDescent="0.35">
      <c r="B37" s="4" t="s">
        <v>14</v>
      </c>
      <c r="C37" s="19">
        <v>20583</v>
      </c>
      <c r="F37" s="217" t="s">
        <v>200</v>
      </c>
      <c r="G37" s="218">
        <f>C6</f>
        <v>158110</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193915</v>
      </c>
      <c r="H39" s="215">
        <f>C7*D7+C17*D17+C19*D19+C20*D20</f>
        <v>19391.5</v>
      </c>
    </row>
    <row r="40" spans="2:8" ht="15" customHeight="1" x14ac:dyDescent="0.35">
      <c r="B40" s="82" t="s">
        <v>206</v>
      </c>
      <c r="C40" s="83">
        <f>SUM(C36:C39)</f>
        <v>20583</v>
      </c>
      <c r="F40" s="226" t="s">
        <v>140</v>
      </c>
      <c r="G40" s="220">
        <f>G12+G24</f>
        <v>3045410</v>
      </c>
      <c r="H40" s="227">
        <f>H12+H24</f>
        <v>2597973.1000000006</v>
      </c>
    </row>
    <row r="41" spans="2:8" ht="15" customHeight="1" x14ac:dyDescent="0.35">
      <c r="B41" s="4" t="s">
        <v>17</v>
      </c>
      <c r="C41" s="21">
        <f>C42-C40</f>
        <v>10363</v>
      </c>
      <c r="F41" s="217" t="s">
        <v>193</v>
      </c>
      <c r="G41" s="218">
        <f>C70</f>
        <v>2664732</v>
      </c>
      <c r="H41" s="227">
        <f>H40-H42</f>
        <v>2370316.3000000007</v>
      </c>
    </row>
    <row r="42" spans="2:8" ht="15" customHeight="1" x14ac:dyDescent="0.35">
      <c r="B42" s="85" t="s">
        <v>22</v>
      </c>
      <c r="C42" s="86">
        <v>30946</v>
      </c>
      <c r="F42" s="228" t="s">
        <v>194</v>
      </c>
      <c r="G42" s="229">
        <f>C82</f>
        <v>380678</v>
      </c>
      <c r="H42" s="230">
        <f>D82</f>
        <v>227656.8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3023302</v>
      </c>
      <c r="D46" s="191">
        <f>H29</f>
        <v>2232466.6000000006</v>
      </c>
      <c r="F46" s="289"/>
    </row>
    <row r="47" spans="2:8" ht="15" customHeight="1" x14ac:dyDescent="0.35">
      <c r="B47" s="1" t="str">
        <f>"Equity per share ("&amp;Market_currency&amp;")"</f>
        <v>Equity per share (HKD)</v>
      </c>
      <c r="C47" s="151">
        <f>C46*H1/Common_Shares*Exchange_Rate</f>
        <v>2.4114472607610322</v>
      </c>
      <c r="D47" s="151">
        <f>D46*H1/Common_Shares*Exchange_Rate</f>
        <v>1.780660836168698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0.58016135321753903</v>
      </c>
      <c r="D50" s="98">
        <f>G31/Normalized_FCF!G8</f>
        <v>0.3233257888430302</v>
      </c>
      <c r="F50" s="289"/>
    </row>
    <row r="51" spans="2:8" ht="15" customHeight="1" x14ac:dyDescent="0.35">
      <c r="B51" s="1" t="s">
        <v>178</v>
      </c>
      <c r="C51" s="208"/>
      <c r="D51" s="94">
        <f>G29/G32</f>
        <v>0.82375007799368372</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9.3800429505874555E-2</v>
      </c>
      <c r="D54" s="94">
        <f>Normalized_FCF!G8/G35</f>
        <v>0.16831130083760298</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0.18551427171698939</v>
      </c>
      <c r="F58" s="5"/>
    </row>
    <row r="59" spans="2:8" ht="15" customHeight="1" x14ac:dyDescent="0.35">
      <c r="B59" s="1" t="s">
        <v>94</v>
      </c>
      <c r="C59" s="101"/>
      <c r="D59" s="94">
        <f>G39/G32</f>
        <v>5.2835441637701153E-2</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1.3197490690642218E-3</v>
      </c>
      <c r="D62" s="94">
        <f>G28/G29</f>
        <v>1.3197490690642218E-3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2664732</v>
      </c>
      <c r="D66" s="191">
        <f>C66-D75</f>
        <v>1823806.3881188305</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2664732</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-138958.140525</v>
      </c>
      <c r="D73" s="191">
        <f>(Normalized_FCF!C25+Normalized_FCF!C35-Normalized_FCF!C91)/12</f>
        <v>-140154.2686468616</v>
      </c>
      <c r="F73" s="1" t="s">
        <v>364</v>
      </c>
    </row>
    <row r="74" spans="2:6" ht="15" customHeight="1" x14ac:dyDescent="0.35">
      <c r="B74" s="294" t="s">
        <v>334</v>
      </c>
      <c r="C74" s="295">
        <f>-$C$66/C73</f>
        <v>19.176508766829585</v>
      </c>
      <c r="D74" s="295">
        <f>-$C$66/D73</f>
        <v>19.012849381806323</v>
      </c>
      <c r="F74" s="289" t="s">
        <v>331</v>
      </c>
    </row>
    <row r="75" spans="2:6" ht="15" customHeight="1" x14ac:dyDescent="0.35">
      <c r="B75" s="82" t="s">
        <v>332</v>
      </c>
      <c r="C75" s="299"/>
      <c r="D75" s="298">
        <f>MAX(-D73*D76,G5)</f>
        <v>840925.61188116961</v>
      </c>
      <c r="F75" s="289" t="s">
        <v>365</v>
      </c>
    </row>
    <row r="76" spans="2:6" ht="15" customHeight="1" x14ac:dyDescent="0.35">
      <c r="B76" s="296" t="s">
        <v>335</v>
      </c>
      <c r="C76" s="297"/>
      <c r="D76" s="333">
        <f>IF(D74&lt;=3,1,IF(D74&gt;18,6,2))</f>
        <v>6</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379178</v>
      </c>
      <c r="D79" s="191">
        <f>G7*H7+G17*H17</f>
        <v>227506.8</v>
      </c>
      <c r="F79" s="289"/>
    </row>
    <row r="80" spans="2:6" ht="15" customHeight="1" x14ac:dyDescent="0.35">
      <c r="B80" s="108" t="s">
        <v>184</v>
      </c>
      <c r="C80" s="20">
        <f>G19</f>
        <v>1500</v>
      </c>
      <c r="D80" s="191">
        <f>G19*H19</f>
        <v>150</v>
      </c>
      <c r="F80" s="289"/>
    </row>
    <row r="81" spans="2:8" ht="15" customHeight="1" x14ac:dyDescent="0.35">
      <c r="B81" s="108" t="s">
        <v>182</v>
      </c>
      <c r="C81" s="20">
        <f>G9+G21</f>
        <v>0</v>
      </c>
      <c r="D81" s="191">
        <f>G9*H9+G21*H21</f>
        <v>0</v>
      </c>
      <c r="F81" s="289"/>
    </row>
    <row r="82" spans="2:8" ht="15" customHeight="1" x14ac:dyDescent="0.35">
      <c r="B82" s="82" t="s">
        <v>191</v>
      </c>
      <c r="C82" s="83">
        <f>SUM(C79:C81)</f>
        <v>380678</v>
      </c>
      <c r="D82" s="83">
        <f>SUM(D79:D81)</f>
        <v>227656.8</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-36157.731146040001</v>
      </c>
      <c r="D86" s="254">
        <f>C86*$H$1/Common_Shares</f>
        <v>-2.7118294969743127E-2</v>
      </c>
      <c r="E86" s="275" t="str">
        <f>Market_currency</f>
        <v>HKD</v>
      </c>
    </row>
    <row r="87" spans="2:8" ht="15" customHeight="1" x14ac:dyDescent="0.35">
      <c r="B87" s="273" t="s">
        <v>297</v>
      </c>
      <c r="C87" s="191">
        <f>Valuation_Model!C8*Exchange_Rate</f>
        <v>1939607.0779737919</v>
      </c>
      <c r="D87" s="254">
        <f>C87*$H$1/Common_Shares</f>
        <v>1.4547051266422031</v>
      </c>
      <c r="E87" s="275" t="str">
        <f>Market_currency</f>
        <v>HKD</v>
      </c>
    </row>
    <row r="88" spans="2:8" ht="15" customHeight="1" x14ac:dyDescent="0.35">
      <c r="B88" s="274" t="s">
        <v>191</v>
      </c>
      <c r="C88" s="191">
        <f>Valuation_Model!C9*Exchange_Rate</f>
        <v>242111.63175292799</v>
      </c>
      <c r="D88" s="254">
        <f>C88*$H$1/Common_Shares</f>
        <v>0.18158370111673336</v>
      </c>
      <c r="E88" s="275" t="str">
        <f>Market_currency</f>
        <v>HKD</v>
      </c>
    </row>
    <row r="89" spans="2:8" ht="15" customHeight="1" x14ac:dyDescent="0.35">
      <c r="B89" s="82" t="s">
        <v>301</v>
      </c>
      <c r="C89" s="190">
        <f>SUM(C86:C88)</f>
        <v>2145560.9785806797</v>
      </c>
      <c r="D89" s="277">
        <f>SUM(D86:D88)</f>
        <v>1.6091705327891934</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95" activePane="bottomRight" state="frozen"/>
      <selection pane="topRight" activeCell="C1" sqref="C1"/>
      <selection pane="bottomLeft" activeCell="A2" sqref="A2"/>
      <selection pane="bottomRight" activeCell="K114" sqref="K114"/>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0.56985734679739708</v>
      </c>
      <c r="D28" s="26"/>
      <c r="E28" s="306" t="s">
        <v>346</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346</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-175999.5</v>
      </c>
      <c r="E33" s="306" t="s">
        <v>346</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346</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2.7696969151119136E-2</v>
      </c>
      <c r="E53" s="305" t="s">
        <v>348</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89</v>
      </c>
      <c r="C54" s="84">
        <f>G54</f>
        <v>2.9500867672578604E-2</v>
      </c>
      <c r="E54" s="305" t="s">
        <v>349</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92</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2.2719648106287585E-2</v>
      </c>
      <c r="D78" s="27"/>
      <c r="E78" s="306" t="s">
        <v>367</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0.1178</v>
      </c>
      <c r="E90" s="308"/>
      <c r="G90" s="116">
        <f>Data!C65</f>
        <v>0.1178</v>
      </c>
      <c r="H90" s="116">
        <f>Data!D65</f>
        <v>0</v>
      </c>
      <c r="I90" s="116">
        <f>Data!E65</f>
        <v>0</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5.9494949494949496E-2</v>
      </c>
      <c r="E93" s="308"/>
      <c r="G93" s="23">
        <f t="shared" ref="G93:Q93" si="39">IF(G$4="","",G90/Market_Price)</f>
        <v>5.9494949494949496E-2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180994</v>
      </c>
      <c r="D102" s="91"/>
      <c r="E102" s="310"/>
      <c r="F102" s="91"/>
      <c r="G102" s="188">
        <f>IF(G$4="","",Data!D77)</f>
        <v>0</v>
      </c>
      <c r="H102" s="188">
        <f>IF(H$4="","",Data!E77)</f>
        <v>0</v>
      </c>
      <c r="I102" s="188">
        <f>IF(I$4="","",Data!F77)</f>
        <v>0</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158110</v>
      </c>
      <c r="D103" s="91"/>
      <c r="E103" s="310"/>
      <c r="F103" s="91"/>
      <c r="G103" s="188">
        <f>IF(G$4="","",Data!D78)</f>
        <v>0</v>
      </c>
      <c r="H103" s="188">
        <f>IF(H$4="","",Data!E78)</f>
        <v>0</v>
      </c>
      <c r="I103" s="188">
        <f>IF(I$4="","",Data!F78)</f>
        <v>0</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642877</v>
      </c>
      <c r="D104" s="26"/>
      <c r="E104" s="309"/>
      <c r="F104" s="26"/>
      <c r="G104" s="186">
        <f>Data!C79</f>
        <v>642877</v>
      </c>
      <c r="H104" s="186">
        <f>Data!D79</f>
        <v>734909</v>
      </c>
      <c r="I104" s="186">
        <f>Data!E79</f>
        <v>677999</v>
      </c>
      <c r="J104" s="186">
        <f>Data!F79</f>
        <v>1352795</v>
      </c>
      <c r="K104" s="186">
        <f>Data!G79</f>
        <v>1205068</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3027292</v>
      </c>
      <c r="D105" s="26"/>
      <c r="E105" s="309"/>
      <c r="F105" s="26"/>
      <c r="G105" s="186">
        <f>Data!C80</f>
        <v>3027292</v>
      </c>
      <c r="H105" s="186">
        <f>Data!D80</f>
        <v>2824568</v>
      </c>
      <c r="I105" s="186">
        <f>Data!E80</f>
        <v>2735259</v>
      </c>
      <c r="J105" s="186">
        <f>Data!F80</f>
        <v>250534</v>
      </c>
      <c r="K105" s="186">
        <f>Data!G80</f>
        <v>13930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f>IF(J$4="","",Data!F$22/Data!F15)</f>
        <v>0</v>
      </c>
      <c r="K113" s="340" t="e">
        <f>IF(K$4="","",Data!G$22/Data!G15)</f>
        <v>#DIV/0!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5.10871587621268E-2</v>
      </c>
      <c r="E117" s="308"/>
      <c r="G117" s="23">
        <f t="shared" ref="G117:Q117" si="45">G81</f>
        <v>9.1672113030672311E-2</v>
      </c>
      <c r="H117" s="23">
        <f t="shared" si="45"/>
        <v>2.4986467996109377E-2</v>
      </c>
      <c r="I117" s="23">
        <f t="shared" si="45"/>
        <v>4.5560692465394535E-2</v>
      </c>
      <c r="J117" s="23">
        <f t="shared" si="45"/>
        <v>0.16656139632489186</v>
      </c>
      <c r="K117" s="23">
        <f t="shared" si="45"/>
        <v>0.14668042983890439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0.43142078743512902</v>
      </c>
      <c r="E118" s="308"/>
      <c r="G118" s="42">
        <f t="shared" ref="G118:Q118" si="46">IF(G4="","",G4/G101)</f>
        <v>0.44019362596109335</v>
      </c>
      <c r="H118" s="42">
        <f t="shared" si="46"/>
        <v>0.40641869578030704</v>
      </c>
      <c r="I118" s="42">
        <f t="shared" si="46"/>
        <v>0.51831915430946029</v>
      </c>
      <c r="J118" s="42">
        <f t="shared" si="46"/>
        <v>1.0616373807247297</v>
      </c>
      <c r="K118" s="42">
        <f t="shared" si="46"/>
        <v>1.1348681458049972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1.2123604198075375</v>
      </c>
      <c r="D119" s="11"/>
      <c r="E119" s="312"/>
      <c r="F119" s="11"/>
      <c r="G119" s="15">
        <f t="shared" ref="G119:Q119" si="47">IF(G$4="","",G101/G105)</f>
        <v>1.2123604198075375</v>
      </c>
      <c r="H119" s="15">
        <f t="shared" si="47"/>
        <v>1.2601845662770377</v>
      </c>
      <c r="I119" s="15">
        <f t="shared" si="47"/>
        <v>1.2478737845300938</v>
      </c>
      <c r="J119" s="15">
        <f t="shared" si="47"/>
        <v>6.3996463553848981</v>
      </c>
      <c r="K119" s="15">
        <f t="shared" si="47"/>
        <v>87.508829863603736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1.9358113633458775E-2</v>
      </c>
      <c r="D120" s="106"/>
      <c r="E120" s="311"/>
      <c r="F120" s="106"/>
      <c r="G120" s="105">
        <f t="shared" ref="G120:Q120" si="48">IF(G$4="","",G8/G105)</f>
        <v>3.4735334417690791E-2</v>
      </c>
      <c r="H120" s="105">
        <f t="shared" si="48"/>
        <v>7.7604787705588959E-4</v>
      </c>
      <c r="I120" s="105">
        <f t="shared" si="48"/>
        <v>2.9992040973085183E-2</v>
      </c>
      <c r="J120" s="105">
        <f t="shared" si="48"/>
        <v>1.1414498630924346</v>
      </c>
      <c r="K120" s="105">
        <f t="shared" si="48"/>
        <v>14.588442211055277</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4.672331805490617E-2</v>
      </c>
      <c r="D124" s="27"/>
      <c r="E124" s="305"/>
      <c r="F124" s="27"/>
      <c r="G124" s="181">
        <f t="shared" ref="G124:Q124" si="49">IF(G$4="","",G16*$C$3/Common_Shares*Exchange_Rate)</f>
        <v>8.0923444657520077E-2</v>
      </c>
      <c r="H124" s="181">
        <f t="shared" si="49"/>
        <v>1.1553031824359673E-2</v>
      </c>
      <c r="I124" s="181">
        <f t="shared" si="49"/>
        <v>6.4291406684622618E-2</v>
      </c>
      <c r="J124" s="181">
        <f t="shared" si="49"/>
        <v>0.22613586129433641</v>
      </c>
      <c r="K124" s="181">
        <f t="shared" si="49"/>
        <v>0.16185153030001873</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2.359763538126574E-2</v>
      </c>
      <c r="D125" s="27"/>
      <c r="E125" s="305"/>
      <c r="F125" s="27"/>
      <c r="G125" s="79">
        <f t="shared" ref="G125" si="50">IF(G$4="","",G124/Market_Price)</f>
        <v>4.0870426594707111E-2</v>
      </c>
      <c r="H125" s="79">
        <f t="shared" ref="H125" si="51">IF(H$4="","",H124/Market_Price)</f>
        <v>5.8348645577574101E-3</v>
      </c>
      <c r="I125" s="79">
        <f t="shared" ref="I125" si="52">IF(I$4="","",I124/Market_Price)</f>
        <v>3.2470407416476069E-2</v>
      </c>
      <c r="J125" s="79">
        <f t="shared" ref="J125" si="53">IF(J$4="","",J124/Market_Price)</f>
        <v>0.11421003095673556</v>
      </c>
      <c r="K125" s="79">
        <f t="shared" ref="K125" si="54">IF(K$4="","",K124/Market_Price)</f>
        <v>8.1743197121221578E-2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58578.391168071357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732229.88960089197</v>
      </c>
      <c r="D6" t="str">
        <f>Reporting_currency</f>
        <v>CNY</v>
      </c>
      <c r="E6" s="349" t="s">
        <v>251</v>
      </c>
      <c r="F6" s="349"/>
      <c r="H6" s="124"/>
    </row>
    <row r="7" spans="2:8" x14ac:dyDescent="0.35">
      <c r="B7" s="152" t="s">
        <v>226</v>
      </c>
      <c r="C7" s="232">
        <f>BS!G31</f>
        <v>33999</v>
      </c>
      <c r="D7" t="str">
        <f>Reporting_currency</f>
        <v>CNY</v>
      </c>
      <c r="E7" s="349"/>
      <c r="F7" s="349"/>
      <c r="H7" s="124"/>
    </row>
    <row r="8" spans="2:8" x14ac:dyDescent="0.35">
      <c r="B8" s="152" t="s">
        <v>227</v>
      </c>
      <c r="C8" s="207">
        <f>BS!D66</f>
        <v>1823806.3881188305</v>
      </c>
      <c r="D8" t="str">
        <f>Reporting_currency</f>
        <v>CNY</v>
      </c>
      <c r="E8" s="349"/>
      <c r="F8" s="349"/>
      <c r="H8" s="124"/>
    </row>
    <row r="9" spans="2:8" x14ac:dyDescent="0.35">
      <c r="B9" s="233" t="s">
        <v>192</v>
      </c>
      <c r="C9" s="235">
        <f>BS!H42</f>
        <v>227656.8</v>
      </c>
      <c r="D9" t="str">
        <f>Reporting_currency</f>
        <v>CNY</v>
      </c>
      <c r="E9" s="349"/>
      <c r="F9" s="349"/>
      <c r="H9" s="124"/>
    </row>
    <row r="10" spans="2:8" ht="13.15" x14ac:dyDescent="0.4">
      <c r="B10" s="153" t="s">
        <v>229</v>
      </c>
      <c r="C10" s="238">
        <f>C6-C7+C8+C9</f>
        <v>2749694.0777197224</v>
      </c>
      <c r="D10" t="str">
        <f>Reporting_currency</f>
        <v>CNY</v>
      </c>
      <c r="H10" s="124"/>
    </row>
    <row r="11" spans="2:8" ht="13.15" thickBot="1" x14ac:dyDescent="0.4">
      <c r="B11" s="236" t="s">
        <v>168</v>
      </c>
      <c r="C11" s="237">
        <f>Exchange_Rate</f>
        <v>1.06349396</v>
      </c>
      <c r="D11" t="str">
        <f>Thesis!D17</f>
        <v>CNY/HKD</v>
      </c>
      <c r="H11" s="124"/>
    </row>
    <row r="12" spans="2:8" ht="13.5" thickTop="1" x14ac:dyDescent="0.4">
      <c r="B12" s="153" t="s">
        <v>104</v>
      </c>
      <c r="C12" s="115">
        <f>(C10*C3)/Common_Shares*C11</f>
        <v>2.1932120084755207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1.77907652777404E-2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2.2265748797838305</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102</v>
      </c>
      <c r="F52" s="141">
        <f>SUM(F21:F51)</f>
        <v>774057.89769936702</v>
      </c>
      <c r="H52" s="124"/>
    </row>
    <row r="53" spans="1:8" x14ac:dyDescent="0.35">
      <c r="C53" s="118"/>
      <c r="H53" s="124"/>
    </row>
    <row r="54" spans="1:8" ht="13.15" x14ac:dyDescent="0.35">
      <c r="B54" s="123" t="s">
        <v>131</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2.1932120084755207</v>
      </c>
      <c r="C65" s="128">
        <f>C12</f>
        <v>2.1932120084755207</v>
      </c>
      <c r="D65" s="128">
        <f>C12</f>
        <v>2.1932120084755207</v>
      </c>
      <c r="E65" s="145">
        <f>C12</f>
        <v>2.1932120084755207</v>
      </c>
      <c r="F65" s="128">
        <f>C12</f>
        <v>2.1932120084755207</v>
      </c>
      <c r="H65" s="124"/>
    </row>
    <row r="66" spans="1:8" ht="13.15" x14ac:dyDescent="0.4">
      <c r="A66" s="147">
        <f t="shared" ref="A66:A71" si="3">A56</f>
        <v>5</v>
      </c>
      <c r="B66" s="128">
        <f t="shared" ref="B66:F71" si="4">(B56-$C$7+$C$8+$C$9)/Common_Shares*$C$3*Exchange_Rate</f>
        <v>2.1398291418058975</v>
      </c>
      <c r="C66" s="128">
        <f t="shared" si="4"/>
        <v>2.1398291418058975</v>
      </c>
      <c r="D66" s="128">
        <f t="shared" si="4"/>
        <v>2.2120562437816558</v>
      </c>
      <c r="E66" s="128">
        <f t="shared" si="4"/>
        <v>2.25146261093577</v>
      </c>
      <c r="F66" s="128">
        <f t="shared" si="4"/>
        <v>2.2720750429644685</v>
      </c>
      <c r="H66" s="124"/>
    </row>
    <row r="67" spans="1:8" ht="13.15" x14ac:dyDescent="0.4">
      <c r="A67" s="147">
        <f t="shared" si="3"/>
        <v>10</v>
      </c>
      <c r="B67" s="128">
        <f t="shared" si="4"/>
        <v>2.0989107545774273</v>
      </c>
      <c r="C67" s="128">
        <f t="shared" si="4"/>
        <v>2.0989107545774273</v>
      </c>
      <c r="D67" s="128">
        <f t="shared" si="4"/>
        <v>2.2309178316506499</v>
      </c>
      <c r="E67" s="128">
        <f t="shared" si="4"/>
        <v>2.3181191919937278</v>
      </c>
      <c r="F67" s="128">
        <f t="shared" si="4"/>
        <v>2.3685698583122732</v>
      </c>
      <c r="H67" s="124"/>
    </row>
    <row r="68" spans="1:8" ht="13.15" x14ac:dyDescent="0.4">
      <c r="A68" s="147">
        <f t="shared" si="3"/>
        <v>15</v>
      </c>
      <c r="B68" s="128">
        <f t="shared" si="4"/>
        <v>2.056858979515698</v>
      </c>
      <c r="C68" s="128">
        <f t="shared" si="4"/>
        <v>2.056858979515698</v>
      </c>
      <c r="D68" s="128">
        <f t="shared" si="4"/>
        <v>2.2542642764667788</v>
      </c>
      <c r="E68" s="128">
        <f t="shared" si="4"/>
        <v>2.4098078909260172</v>
      </c>
      <c r="F68" s="128">
        <f t="shared" si="4"/>
        <v>2.5088636726242299</v>
      </c>
      <c r="H68" s="124"/>
    </row>
    <row r="69" spans="1:8" ht="13.15" x14ac:dyDescent="0.4">
      <c r="A69" s="148">
        <f t="shared" si="3"/>
        <v>20</v>
      </c>
      <c r="B69" s="128">
        <f t="shared" si="4"/>
        <v>2.0211448906425162</v>
      </c>
      <c r="C69" s="128">
        <f t="shared" si="4"/>
        <v>2.0211448906425162</v>
      </c>
      <c r="D69" s="128">
        <f t="shared" si="4"/>
        <v>2.2780505597224079</v>
      </c>
      <c r="E69" s="128">
        <f t="shared" si="4"/>
        <v>2.5143997741310775</v>
      </c>
      <c r="F69" s="128">
        <f t="shared" si="4"/>
        <v>2.6789663496780873</v>
      </c>
      <c r="H69" s="124"/>
    </row>
    <row r="70" spans="1:8" ht="13.15" x14ac:dyDescent="0.4">
      <c r="A70" s="148">
        <f t="shared" si="3"/>
        <v>25</v>
      </c>
      <c r="B70" s="128">
        <f t="shared" si="4"/>
        <v>1.9932949727632625</v>
      </c>
      <c r="C70" s="128">
        <f t="shared" si="4"/>
        <v>1.9932949727632625</v>
      </c>
      <c r="D70" s="128">
        <f t="shared" si="4"/>
        <v>2.3001731230512301</v>
      </c>
      <c r="E70" s="128">
        <f t="shared" si="4"/>
        <v>2.6240088876244538</v>
      </c>
      <c r="F70" s="128">
        <f t="shared" si="4"/>
        <v>2.8693564378367684</v>
      </c>
    </row>
    <row r="71" spans="1:8" ht="13.15" x14ac:dyDescent="0.4">
      <c r="A71" s="148">
        <f t="shared" si="3"/>
        <v>30</v>
      </c>
      <c r="B71" s="128">
        <f t="shared" si="4"/>
        <v>1.9725708649631495</v>
      </c>
      <c r="C71" s="128">
        <f t="shared" si="4"/>
        <v>1.9725708649631495</v>
      </c>
      <c r="D71" s="128">
        <f t="shared" si="4"/>
        <v>2.3196883013367597</v>
      </c>
      <c r="E71" s="128">
        <f t="shared" si="4"/>
        <v>2.7336040719450039</v>
      </c>
      <c r="F71" s="128">
        <f t="shared" si="4"/>
        <v>3.073553797104708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0.08</v>
      </c>
      <c r="D74" s="149">
        <f>Scenarios!C55</f>
        <v>15</v>
      </c>
      <c r="E74" s="139">
        <f>INDEX(B$65:F$71, MATCH(D74, A$65:A$71, 0), MATCH(C74, B$64:F$64, 0))</f>
        <v>2.5088636726242299</v>
      </c>
      <c r="F74" s="146">
        <f>Scenarios!C58</f>
        <v>0.05</v>
      </c>
    </row>
    <row r="75" spans="1:8" x14ac:dyDescent="0.35">
      <c r="B75" s="131" t="str">
        <f>Scenarios!B36</f>
        <v>Optimistic</v>
      </c>
      <c r="C75" s="146">
        <f>Scenarios!C38</f>
        <v>0.06</v>
      </c>
      <c r="D75" s="149">
        <f>Scenarios!C37</f>
        <v>10</v>
      </c>
      <c r="E75" s="139">
        <f>INDEX(B$65:F$71, MATCH(D75, A$65:A$71, 0), MATCH(C75, B$64:F$64, 0))</f>
        <v>2.3181191919937278</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2.2309178316506499</v>
      </c>
      <c r="F76" s="146">
        <f>Scenarios!C28*(1-F$74-F$78)</f>
        <v>0.51</v>
      </c>
      <c r="H76" s="124"/>
    </row>
    <row r="77" spans="1:8" x14ac:dyDescent="0.35">
      <c r="B77" s="131" t="str">
        <f>Scenarios!B30</f>
        <v>Pessimistic</v>
      </c>
      <c r="C77" s="146">
        <f>Scenarios!C32</f>
        <v>-0.06</v>
      </c>
      <c r="D77" s="149">
        <f>Scenarios!C31</f>
        <v>10</v>
      </c>
      <c r="E77" s="139">
        <f>INDEX(B$65:F$71, MATCH(D77, A$65:A$71, 0), MATCH(C77, B$64:F$64, 0))</f>
        <v>2.0989107545774273</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2.056858979515698</v>
      </c>
      <c r="F78" s="146">
        <f>Scenarios!C52</f>
        <v>0.1</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4" zoomScale="75" zoomScaleNormal="100" workbookViewId="0">
      <selection activeCell="F60" sqref="F6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-1.98</v>
      </c>
    </row>
    <row r="4" spans="2:9" x14ac:dyDescent="0.35">
      <c r="B4" s="156" t="s">
        <v>148</v>
      </c>
      <c r="C4" s="124">
        <v>3</v>
      </c>
      <c r="D4" s="124"/>
      <c r="E4" s="159" t="s">
        <v>152</v>
      </c>
      <c r="F4" s="159"/>
      <c r="H4" s="282">
        <v>1</v>
      </c>
      <c r="I4" s="270">
        <f t="shared" ref="I4:I13" si="0">IF(ROW()-3 &lt; $C$76, $C$77, IF(ROW()-3 = $C$76, $C$77 + $C$60, ""))</f>
        <v>0.1178</v>
      </c>
    </row>
    <row r="5" spans="2:9" x14ac:dyDescent="0.35">
      <c r="H5" s="282">
        <v>2</v>
      </c>
      <c r="I5" s="270">
        <f t="shared" si="0"/>
        <v>0.1178</v>
      </c>
    </row>
    <row r="6" spans="2:9" ht="13.15" x14ac:dyDescent="0.4">
      <c r="B6" s="163" t="s">
        <v>97</v>
      </c>
      <c r="C6" s="110">
        <f>Valuation_Model!C3</f>
        <v>1000</v>
      </c>
      <c r="E6" s="103" t="s">
        <v>285</v>
      </c>
      <c r="F6" s="103"/>
      <c r="H6" s="282">
        <v>3</v>
      </c>
      <c r="I6" s="270">
        <f t="shared" si="0"/>
        <v>2.3469086252319018</v>
      </c>
    </row>
    <row r="7" spans="2:9" ht="12.75" customHeight="1" x14ac:dyDescent="0.35">
      <c r="B7" s="103" t="s">
        <v>279</v>
      </c>
      <c r="C7" s="118">
        <f>Normalized_FCF!G8</f>
        <v>105154</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1"/>
      <c r="H7" s="282">
        <v>4</v>
      </c>
      <c r="I7" s="270" t="str">
        <f t="shared" si="0"/>
        <v/>
      </c>
    </row>
    <row r="8" spans="2:9" x14ac:dyDescent="0.35">
      <c r="B8" s="103" t="s">
        <v>67</v>
      </c>
      <c r="C8" s="118">
        <f>Normalized_FCF!G19</f>
        <v>101456.09073065873</v>
      </c>
      <c r="D8" t="str">
        <f>Reporting_currency</f>
        <v>CNY</v>
      </c>
      <c r="E8" s="351"/>
      <c r="F8" s="351"/>
      <c r="H8" s="282">
        <v>5</v>
      </c>
      <c r="I8" s="270" t="str">
        <f t="shared" si="0"/>
        <v/>
      </c>
    </row>
    <row r="9" spans="2:9" x14ac:dyDescent="0.35">
      <c r="B9" s="103" t="s">
        <v>58</v>
      </c>
      <c r="C9" s="207">
        <f>Normalized_FCF!C19</f>
        <v>58578.391168071357</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-1.7248638436905273E-2</v>
      </c>
      <c r="D12" s="162"/>
      <c r="E12" s="351"/>
      <c r="F12" s="351"/>
      <c r="H12" s="282">
        <v>9</v>
      </c>
      <c r="I12" s="270" t="str">
        <f t="shared" si="0"/>
        <v/>
      </c>
    </row>
    <row r="13" spans="2:9" x14ac:dyDescent="0.35">
      <c r="B13" s="152" t="s">
        <v>154</v>
      </c>
      <c r="C13" s="162">
        <f ca="1">(Normalized_FCF!G8/OFFSET(Normalized_FCF!G8, 0, $C$4))^(1/$C$4) - 1</f>
        <v>-0.283580450424601</v>
      </c>
      <c r="E13" s="351"/>
      <c r="F13" s="351"/>
      <c r="H13" s="282">
        <v>10</v>
      </c>
      <c r="I13" s="270" t="str">
        <f t="shared" si="0"/>
        <v/>
      </c>
    </row>
    <row r="14" spans="2:9" x14ac:dyDescent="0.35">
      <c r="B14" s="103" t="s">
        <v>67</v>
      </c>
      <c r="C14" s="162">
        <f ca="1">(Normalized_FCF!G19/OFFSET(Normalized_FCF!G19, 0, $C$4))^(1/$C$4) - 1</f>
        <v>-0.29003821304292421</v>
      </c>
      <c r="E14" s="351"/>
      <c r="F14" s="351"/>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51" t="s">
        <v>343</v>
      </c>
      <c r="F18" s="352"/>
    </row>
    <row r="19" spans="2:6" x14ac:dyDescent="0.35">
      <c r="E19" s="352"/>
      <c r="F19" s="352"/>
    </row>
    <row r="20" spans="2:6" ht="13.15" x14ac:dyDescent="0.4">
      <c r="B20" s="163" t="s">
        <v>313</v>
      </c>
      <c r="E20" s="352"/>
      <c r="F20" s="352"/>
    </row>
    <row r="21" spans="2:6" x14ac:dyDescent="0.35">
      <c r="B21" s="103" t="s">
        <v>283</v>
      </c>
      <c r="C21" s="164">
        <f>Market_Price</f>
        <v>1.98</v>
      </c>
      <c r="D21" t="str">
        <f>Market_currency</f>
        <v>HKD</v>
      </c>
      <c r="E21" s="352"/>
      <c r="F21" s="352"/>
    </row>
    <row r="22" spans="2:6" x14ac:dyDescent="0.35">
      <c r="B22" s="103" t="s">
        <v>284</v>
      </c>
      <c r="C22" s="164">
        <f>Valuation_Model!C12</f>
        <v>2.1932120084755207</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0.02</v>
      </c>
      <c r="D26" s="168"/>
      <c r="E26" s="350"/>
      <c r="F26" s="350"/>
    </row>
    <row r="27" spans="2:6" x14ac:dyDescent="0.35">
      <c r="B27" s="103" t="s">
        <v>115</v>
      </c>
      <c r="C27" s="164">
        <f>Valuation_Model!E76</f>
        <v>2.2309178316506499</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-0.06</v>
      </c>
      <c r="D32" s="168"/>
      <c r="E32" s="350"/>
      <c r="F32" s="350"/>
    </row>
    <row r="33" spans="2:6" x14ac:dyDescent="0.35">
      <c r="B33" s="103" t="s">
        <v>115</v>
      </c>
      <c r="C33" s="164">
        <f>Valuation_Model!E77</f>
        <v>2.0989107545774273</v>
      </c>
      <c r="D33" t="str">
        <f>Market_currency</f>
        <v>HKD</v>
      </c>
      <c r="E33" s="350"/>
      <c r="F33" s="350"/>
    </row>
    <row r="34" spans="2:6" x14ac:dyDescent="0.35">
      <c r="B34" s="103" t="s">
        <v>149</v>
      </c>
      <c r="C34" s="169">
        <v>0.15</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2.3181191919937278</v>
      </c>
      <c r="D39" t="str">
        <f>Market_currency</f>
        <v>HKD</v>
      </c>
      <c r="E39" s="350"/>
      <c r="F39" s="350"/>
    </row>
    <row r="40" spans="2:6" x14ac:dyDescent="0.35">
      <c r="B40" s="103" t="s">
        <v>149</v>
      </c>
      <c r="C40" s="171">
        <f>1-C28-C34</f>
        <v>0.25</v>
      </c>
      <c r="D40" s="169"/>
      <c r="E40" s="350"/>
      <c r="F40" s="350"/>
    </row>
    <row r="42" spans="2:6" ht="13.15" x14ac:dyDescent="0.4">
      <c r="B42" s="103" t="s">
        <v>122</v>
      </c>
      <c r="C42" s="158">
        <f>C27*C28+C33*C34+C39*C40</f>
        <v>2.2329171101754359</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-0.06</v>
      </c>
      <c r="D50" s="168"/>
      <c r="E50" s="350"/>
      <c r="F50" s="350"/>
    </row>
    <row r="51" spans="2:6" x14ac:dyDescent="0.35">
      <c r="B51" s="103" t="s">
        <v>115</v>
      </c>
      <c r="C51" s="164">
        <f>Valuation_Model!E78</f>
        <v>2.056858979515698</v>
      </c>
      <c r="D51" t="str">
        <f>Market_currency</f>
        <v>HKD</v>
      </c>
      <c r="E51" s="350"/>
      <c r="F51" s="350"/>
    </row>
    <row r="52" spans="2:6" x14ac:dyDescent="0.35">
      <c r="B52" s="103" t="s">
        <v>149</v>
      </c>
      <c r="C52" s="169">
        <v>0.1</v>
      </c>
      <c r="D52" s="169"/>
      <c r="E52" s="350"/>
      <c r="F52" s="350"/>
    </row>
    <row r="54" spans="2:6" ht="13.15" x14ac:dyDescent="0.4">
      <c r="B54" s="163" t="s">
        <v>328</v>
      </c>
      <c r="E54" s="163" t="s">
        <v>151</v>
      </c>
      <c r="F54" s="163"/>
    </row>
    <row r="55" spans="2:6" x14ac:dyDescent="0.35">
      <c r="B55" s="156" t="s">
        <v>135</v>
      </c>
      <c r="C55" s="170">
        <f>C46</f>
        <v>15</v>
      </c>
      <c r="D55" s="167"/>
      <c r="E55" s="350"/>
      <c r="F55" s="350"/>
    </row>
    <row r="56" spans="2:6" x14ac:dyDescent="0.35">
      <c r="B56" s="122" t="s">
        <v>136</v>
      </c>
      <c r="C56" s="168">
        <v>0.08</v>
      </c>
      <c r="D56" s="168"/>
      <c r="E56" s="350"/>
      <c r="F56" s="350"/>
    </row>
    <row r="57" spans="2:6" x14ac:dyDescent="0.35">
      <c r="B57" s="103" t="s">
        <v>115</v>
      </c>
      <c r="C57" s="164">
        <f>Valuation_Model!E74</f>
        <v>2.5088636726242299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2.2291086252319019</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1.77907652777404E-2</v>
      </c>
      <c r="D65" s="155"/>
      <c r="E65" s="287" t="s">
        <v>324</v>
      </c>
    </row>
    <row r="66" spans="2:6" x14ac:dyDescent="0.35">
      <c r="B66" s="103" t="s">
        <v>104</v>
      </c>
      <c r="C66" s="164">
        <f>Valuation_Model!C18</f>
        <v>2.2265748797838305</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Y</v>
      </c>
      <c r="E72" s="138" t="s">
        <v>359</v>
      </c>
      <c r="F72" s="335">
        <f>BS!D89/C60</f>
        <v>0.72188968925719621</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0.1178</v>
      </c>
      <c r="D77" t="str">
        <f>Market_currency</f>
        <v>HKD</v>
      </c>
    </row>
    <row r="79" spans="2:6" ht="13.15" x14ac:dyDescent="0.4">
      <c r="B79" s="112" t="s">
        <v>311</v>
      </c>
    </row>
    <row r="80" spans="2:6" x14ac:dyDescent="0.35">
      <c r="B80" s="152" t="s">
        <v>309</v>
      </c>
      <c r="C80" s="171">
        <f>Thesis!C123</f>
        <v>0.2</v>
      </c>
    </row>
    <row r="81" spans="2:8" x14ac:dyDescent="0.35">
      <c r="B81" s="103" t="s">
        <v>123</v>
      </c>
      <c r="C81" s="120">
        <f>PV(C80, C76, -C77, 0)</f>
        <v>0.24814351851851849</v>
      </c>
      <c r="D81" s="120"/>
      <c r="E81" s="103"/>
      <c r="F81" s="103"/>
    </row>
    <row r="82" spans="2:8" x14ac:dyDescent="0.35">
      <c r="B82" s="103" t="s">
        <v>124</v>
      </c>
      <c r="C82" s="120">
        <f>C60/(1+C80)^C76</f>
        <v>1.2899934173795728</v>
      </c>
      <c r="D82" s="120"/>
    </row>
    <row r="83" spans="2:8" ht="13.15" x14ac:dyDescent="0.4">
      <c r="B83" s="114" t="s">
        <v>103</v>
      </c>
      <c r="C83" s="115">
        <f>C81+C82</f>
        <v>1.5381369358980914</v>
      </c>
      <c r="D83" t="str">
        <f>Market_currency</f>
        <v>HKD</v>
      </c>
      <c r="E83" s="150" t="s">
        <v>128</v>
      </c>
      <c r="F83" s="335">
        <f>(1-C83/C60)</f>
        <v>0.30997667924860606</v>
      </c>
    </row>
    <row r="84" spans="2:8" x14ac:dyDescent="0.35">
      <c r="E84" s="124"/>
    </row>
    <row r="85" spans="2:8" ht="13.15" x14ac:dyDescent="0.4">
      <c r="B85" s="112" t="s">
        <v>312</v>
      </c>
    </row>
    <row r="86" spans="2:8" x14ac:dyDescent="0.35">
      <c r="B86" s="152" t="s">
        <v>310</v>
      </c>
      <c r="C86" s="272">
        <f>Market_Price</f>
        <v>1.98</v>
      </c>
      <c r="D86" t="str">
        <f>Market_currency</f>
        <v>HKD</v>
      </c>
    </row>
    <row r="87" spans="2:8" ht="13.15" x14ac:dyDescent="0.4">
      <c r="B87" s="103" t="s">
        <v>308</v>
      </c>
      <c r="C87" s="271">
        <f ca="1">IRR(OFFSET($I$3, 0, 0, $C$76 + 1, 1))</f>
        <v>9.7593325788780882E-2</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2025-04-07T07:17:33Z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