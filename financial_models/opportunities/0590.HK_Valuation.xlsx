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ry\PycharmProjects\Invest_Proc_v4\financial_models\opportunities\"/>
    </mc:Choice>
  </mc:AlternateContent>
  <xr:revisionPtr revIDLastSave="0" documentId="13_ncr:1_{0C315F51-6E2F-4D60-A057-C644DEE0AF79}" xr6:coauthVersionLast="47" xr6:coauthVersionMax="47" xr10:uidLastSave="{00000000-0000-0000-0000-000000000000}"/>
  <bookViews>
    <workbookView xWindow="33720" yWindow="-120" windowWidth="29040" windowHeight="15720" activeTab="2" xr2:uid="{00000000-000D-0000-FFFF-FFFF00000000}"/>
  </bookViews>
  <sheets>
    <sheet name="Thesis" sheetId="6" r:id="rId1"/>
    <sheet name="Inputs" sheetId="4" r:id="rId2"/>
    <sheet name="Data" sheetId="2" r:id="rId3"/>
    <sheet name="Dashboard" sheetId="1" r:id="rId4"/>
    <sheet name="Fin_Analysis" sheetId="3" r:id="rId5"/>
  </sheets>
  <definedNames>
    <definedName name="Common_Shares">Thesis!$C$12</definedName>
    <definedName name="Exchange_Rate">Thesis!$C$14</definedName>
  </definedNames>
  <calcPr calcId="19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9" roundtripDataSignature="AMtx7mi73Cg0ax9bLfpeUuF69nNRn7idDQ=="/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I4" i="2"/>
  <c r="J4" i="2"/>
  <c r="K4" i="2"/>
  <c r="L4" i="2"/>
  <c r="M4" i="2"/>
  <c r="N4" i="2"/>
  <c r="O4" i="2"/>
  <c r="E5" i="2"/>
  <c r="F5" i="2"/>
  <c r="G5" i="2"/>
  <c r="H5" i="2"/>
  <c r="I5" i="2"/>
  <c r="J5" i="2"/>
  <c r="K5" i="2"/>
  <c r="L5" i="2"/>
  <c r="M5" i="2"/>
  <c r="N5" i="2"/>
  <c r="O5" i="2"/>
  <c r="F8" i="2"/>
  <c r="G8" i="2"/>
  <c r="H8" i="2"/>
  <c r="I8" i="2"/>
  <c r="J8" i="2"/>
  <c r="K8" i="2"/>
  <c r="L8" i="2"/>
  <c r="M8" i="2"/>
  <c r="N8" i="2"/>
  <c r="O8" i="2"/>
  <c r="E8" i="2"/>
  <c r="F7" i="2"/>
  <c r="F10" i="2" s="1"/>
  <c r="G7" i="2"/>
  <c r="G10" i="2" s="1"/>
  <c r="H7" i="2"/>
  <c r="H10" i="2" s="1"/>
  <c r="I7" i="2"/>
  <c r="I10" i="2" s="1"/>
  <c r="J7" i="2"/>
  <c r="J10" i="2" s="1"/>
  <c r="K7" i="2"/>
  <c r="L7" i="2"/>
  <c r="M7" i="2"/>
  <c r="N7" i="2"/>
  <c r="O7" i="2"/>
  <c r="E7" i="2"/>
  <c r="E10" i="2" s="1"/>
  <c r="A19" i="6" l="1"/>
  <c r="A89" i="6"/>
  <c r="A78" i="6"/>
  <c r="A64" i="6"/>
  <c r="A56" i="6"/>
  <c r="A43" i="6"/>
  <c r="A30" i="6"/>
  <c r="D45" i="6"/>
  <c r="D46" i="6"/>
  <c r="B31" i="4"/>
  <c r="C13" i="6"/>
  <c r="D14" i="6" s="1"/>
  <c r="C12" i="6"/>
  <c r="C15" i="6" s="1"/>
  <c r="C6" i="6"/>
  <c r="D1" i="6"/>
  <c r="B10" i="6" s="1"/>
  <c r="C1" i="6"/>
  <c r="D139" i="6"/>
  <c r="D140" i="6"/>
  <c r="D141" i="6"/>
  <c r="D142" i="6"/>
  <c r="D138" i="6"/>
  <c r="F82" i="4"/>
  <c r="D53" i="4"/>
  <c r="D52" i="4"/>
  <c r="D51" i="4"/>
  <c r="D46" i="4"/>
  <c r="D47" i="4" s="1"/>
  <c r="D45" i="4"/>
  <c r="D44" i="4"/>
  <c r="D43" i="4"/>
  <c r="D42" i="4"/>
  <c r="D55" i="4" s="1"/>
  <c r="D39" i="4"/>
  <c r="D34" i="4"/>
  <c r="D40" i="4" s="1"/>
  <c r="H28" i="4"/>
  <c r="G28" i="4"/>
  <c r="F28" i="4"/>
  <c r="E28" i="4"/>
  <c r="D28" i="4"/>
  <c r="C28" i="4"/>
  <c r="F27" i="4"/>
  <c r="E27" i="4"/>
  <c r="D27" i="4"/>
  <c r="C27" i="4"/>
  <c r="B1" i="2" l="1"/>
  <c r="D37" i="4"/>
  <c r="F15" i="2"/>
  <c r="G15" i="2"/>
  <c r="H15" i="2"/>
  <c r="I15" i="2"/>
  <c r="J15" i="2"/>
  <c r="K15" i="2"/>
  <c r="K14" i="2" s="1"/>
  <c r="L15" i="2"/>
  <c r="L14" i="2" s="1"/>
  <c r="M15" i="2"/>
  <c r="M14" i="2" s="1"/>
  <c r="N15" i="2"/>
  <c r="N14" i="2" s="1"/>
  <c r="O15" i="2"/>
  <c r="O14" i="2" s="1"/>
  <c r="E15" i="2"/>
  <c r="G2" i="1" l="1"/>
  <c r="D102" i="3" l="1"/>
  <c r="C49" i="3" l="1"/>
  <c r="D4" i="3"/>
  <c r="D3" i="3"/>
  <c r="I49" i="3"/>
  <c r="E55" i="2"/>
  <c r="E54" i="2"/>
  <c r="G55" i="2"/>
  <c r="H55" i="2"/>
  <c r="I55" i="2"/>
  <c r="J55" i="2"/>
  <c r="K55" i="2"/>
  <c r="L55" i="2"/>
  <c r="M55" i="2"/>
  <c r="N55" i="2"/>
  <c r="O55" i="2"/>
  <c r="F55" i="2"/>
  <c r="F54" i="2"/>
  <c r="F52" i="2"/>
  <c r="G52" i="2"/>
  <c r="H52" i="2"/>
  <c r="I52" i="2"/>
  <c r="J52" i="2"/>
  <c r="K52" i="2"/>
  <c r="L52" i="2"/>
  <c r="M52" i="2"/>
  <c r="N52" i="2"/>
  <c r="O52" i="2"/>
  <c r="F53" i="2"/>
  <c r="G53" i="2"/>
  <c r="H53" i="2"/>
  <c r="I53" i="2"/>
  <c r="J53" i="2"/>
  <c r="K53" i="2"/>
  <c r="L53" i="2"/>
  <c r="M53" i="2"/>
  <c r="N53" i="2"/>
  <c r="O53" i="2"/>
  <c r="G54" i="2"/>
  <c r="H54" i="2"/>
  <c r="I54" i="2"/>
  <c r="J54" i="2"/>
  <c r="K54" i="2"/>
  <c r="L54" i="2"/>
  <c r="M54" i="2"/>
  <c r="N54" i="2"/>
  <c r="O54" i="2"/>
  <c r="B7" i="3"/>
  <c r="O60" i="2"/>
  <c r="O51" i="2" l="1"/>
  <c r="O64" i="2"/>
  <c r="N51" i="2"/>
  <c r="N64" i="2"/>
  <c r="H64" i="2"/>
  <c r="E64" i="2"/>
  <c r="L65" i="2"/>
  <c r="L64" i="2"/>
  <c r="M51" i="2"/>
  <c r="M64" i="2"/>
  <c r="K51" i="2"/>
  <c r="K64" i="2"/>
  <c r="J51" i="2"/>
  <c r="J64" i="2"/>
  <c r="I51" i="2"/>
  <c r="I64" i="2"/>
  <c r="F51" i="2"/>
  <c r="F65" i="2" s="1"/>
  <c r="L51" i="2"/>
  <c r="H51" i="2"/>
  <c r="H65" i="2" s="1"/>
  <c r="I3" i="3"/>
  <c r="G51" i="2"/>
  <c r="G65" i="2" s="1"/>
  <c r="I65" i="2"/>
  <c r="O65" i="2"/>
  <c r="N65" i="2"/>
  <c r="M65" i="2"/>
  <c r="K65" i="2"/>
  <c r="J65" i="2"/>
  <c r="E51" i="2"/>
  <c r="E65" i="2" s="1"/>
  <c r="D103" i="3"/>
  <c r="C28" i="1"/>
  <c r="B100" i="3"/>
  <c r="C81" i="4"/>
  <c r="C78" i="4"/>
  <c r="C80" i="4"/>
  <c r="C79" i="4"/>
  <c r="D29" i="4"/>
  <c r="E29" i="4"/>
  <c r="F29" i="4"/>
  <c r="G29" i="4"/>
  <c r="H29" i="4"/>
  <c r="I29" i="4"/>
  <c r="J29" i="4"/>
  <c r="K29" i="4"/>
  <c r="L29" i="4"/>
  <c r="M29" i="4"/>
  <c r="C29" i="4"/>
  <c r="D11" i="1"/>
  <c r="G64" i="2" l="1"/>
  <c r="F64" i="2"/>
  <c r="C38" i="1"/>
  <c r="C35" i="1"/>
  <c r="C34" i="1"/>
  <c r="C32" i="1"/>
  <c r="C31" i="1"/>
  <c r="C82" i="4"/>
  <c r="C117" i="3"/>
  <c r="C77" i="4"/>
  <c r="C76" i="4"/>
  <c r="C75" i="4"/>
  <c r="E75" i="4" l="1"/>
  <c r="F75" i="4"/>
  <c r="F79" i="4" l="1"/>
  <c r="F77" i="4"/>
  <c r="F80" i="4"/>
  <c r="E77" i="4"/>
  <c r="E79" i="4"/>
  <c r="E88" i="3"/>
  <c r="H88" i="3"/>
  <c r="O48" i="2"/>
  <c r="O33" i="2" l="1"/>
  <c r="N33" i="2"/>
  <c r="M33" i="2"/>
  <c r="L33" i="2" l="1"/>
  <c r="K33" i="2"/>
  <c r="F36" i="3" l="1"/>
  <c r="F37" i="3"/>
  <c r="F35" i="3"/>
  <c r="F20" i="3"/>
  <c r="F19" i="3"/>
  <c r="C88" i="3" l="1"/>
  <c r="H89" i="3" l="1"/>
  <c r="C89" i="3"/>
  <c r="D58" i="3"/>
  <c r="D57" i="3"/>
  <c r="D31" i="3"/>
  <c r="D32" i="3"/>
  <c r="D33" i="3"/>
  <c r="D34" i="3"/>
  <c r="D35" i="3"/>
  <c r="D36" i="3"/>
  <c r="D37" i="3"/>
  <c r="D38" i="3"/>
  <c r="D39" i="3"/>
  <c r="D40" i="3"/>
  <c r="D41" i="3"/>
  <c r="D42" i="3"/>
  <c r="D30" i="3"/>
  <c r="C31" i="3"/>
  <c r="C32" i="3"/>
  <c r="C33" i="3"/>
  <c r="C34" i="3"/>
  <c r="C35" i="3"/>
  <c r="C36" i="3"/>
  <c r="C37" i="3"/>
  <c r="C38" i="3"/>
  <c r="C39" i="3"/>
  <c r="C40" i="3"/>
  <c r="C41" i="3"/>
  <c r="C42" i="3"/>
  <c r="C30" i="3"/>
  <c r="I33" i="3"/>
  <c r="I31" i="3"/>
  <c r="I32" i="3"/>
  <c r="I30" i="3"/>
  <c r="I28" i="3"/>
  <c r="I48" i="3" s="1"/>
  <c r="I14" i="3"/>
  <c r="I12" i="3"/>
  <c r="I13" i="3"/>
  <c r="D9" i="3"/>
  <c r="C8" i="6" s="1"/>
  <c r="D12" i="3"/>
  <c r="D13" i="3"/>
  <c r="D14" i="3"/>
  <c r="D15" i="3"/>
  <c r="D16" i="3"/>
  <c r="D17" i="3"/>
  <c r="D18" i="3"/>
  <c r="D19" i="3"/>
  <c r="D20" i="3"/>
  <c r="D21" i="3"/>
  <c r="D22" i="3"/>
  <c r="D11" i="3"/>
  <c r="C12" i="3"/>
  <c r="C13" i="3"/>
  <c r="E52" i="2" s="1"/>
  <c r="C14" i="3"/>
  <c r="C15" i="3"/>
  <c r="C16" i="3"/>
  <c r="C17" i="3"/>
  <c r="C18" i="3"/>
  <c r="E53" i="2" s="1"/>
  <c r="C19" i="3"/>
  <c r="C20" i="3"/>
  <c r="C21" i="3"/>
  <c r="C22" i="3"/>
  <c r="C11" i="3"/>
  <c r="I84" i="3"/>
  <c r="K12" i="2" l="1"/>
  <c r="O12" i="2"/>
  <c r="L12" i="2"/>
  <c r="M12" i="2"/>
  <c r="N12" i="2"/>
  <c r="F12" i="2"/>
  <c r="E12" i="2"/>
  <c r="G12" i="2"/>
  <c r="I12" i="2"/>
  <c r="H12" i="2"/>
  <c r="J12" i="2"/>
  <c r="D84" i="3"/>
  <c r="E77" i="2"/>
  <c r="E76" i="2"/>
  <c r="F11" i="2"/>
  <c r="G11" i="2"/>
  <c r="H11" i="2"/>
  <c r="I11" i="2"/>
  <c r="J11" i="2"/>
  <c r="K11" i="2"/>
  <c r="L11" i="2"/>
  <c r="M11" i="2"/>
  <c r="N11" i="2"/>
  <c r="O11" i="2"/>
  <c r="F34" i="2"/>
  <c r="G34" i="2"/>
  <c r="H34" i="2"/>
  <c r="I34" i="2"/>
  <c r="J34" i="2"/>
  <c r="K34" i="2"/>
  <c r="L34" i="2"/>
  <c r="M34" i="2"/>
  <c r="N34" i="2"/>
  <c r="O34" i="2"/>
  <c r="F16" i="2"/>
  <c r="G16" i="2"/>
  <c r="H16" i="2"/>
  <c r="I16" i="2"/>
  <c r="J16" i="2"/>
  <c r="K16" i="2"/>
  <c r="L16" i="2"/>
  <c r="M16" i="2"/>
  <c r="N16" i="2"/>
  <c r="O16" i="2"/>
  <c r="F32" i="2"/>
  <c r="G32" i="2"/>
  <c r="H32" i="2"/>
  <c r="I32" i="2"/>
  <c r="J32" i="2"/>
  <c r="K32" i="2"/>
  <c r="L32" i="2"/>
  <c r="M32" i="2"/>
  <c r="N32" i="2"/>
  <c r="O32" i="2"/>
  <c r="K10" i="2"/>
  <c r="L10" i="2"/>
  <c r="M10" i="2"/>
  <c r="N10" i="2"/>
  <c r="O10" i="2"/>
  <c r="O47" i="2"/>
  <c r="M58" i="2"/>
  <c r="N58" i="2"/>
  <c r="O58" i="2"/>
  <c r="L59" i="2"/>
  <c r="M59" i="2"/>
  <c r="N59" i="2"/>
  <c r="O59" i="2"/>
  <c r="E34" i="2"/>
  <c r="C82" i="3" s="1"/>
  <c r="E16" i="2"/>
  <c r="E32" i="2"/>
  <c r="C101" i="3"/>
  <c r="I11" i="3"/>
  <c r="C1" i="4"/>
  <c r="C73" i="4" s="1"/>
  <c r="B6" i="3"/>
  <c r="C103" i="3"/>
  <c r="H105" i="3"/>
  <c r="E105" i="3"/>
  <c r="F84" i="3"/>
  <c r="I24" i="2" l="1"/>
  <c r="I6" i="2"/>
  <c r="I9" i="2" s="1"/>
  <c r="I23" i="2" s="1"/>
  <c r="E24" i="2"/>
  <c r="E6" i="2"/>
  <c r="E20" i="2" s="1"/>
  <c r="O19" i="2"/>
  <c r="O24" i="2"/>
  <c r="O6" i="2"/>
  <c r="O20" i="2"/>
  <c r="J19" i="2"/>
  <c r="J24" i="2"/>
  <c r="J6" i="2"/>
  <c r="J13" i="2" s="1"/>
  <c r="J26" i="2" s="1"/>
  <c r="N19" i="2"/>
  <c r="N24" i="2"/>
  <c r="N6" i="2"/>
  <c r="N20" i="2"/>
  <c r="G24" i="2"/>
  <c r="G6" i="2"/>
  <c r="G9" i="2" s="1"/>
  <c r="G23" i="2" s="1"/>
  <c r="G20" i="2"/>
  <c r="F24" i="2"/>
  <c r="F6" i="2"/>
  <c r="F9" i="2" s="1"/>
  <c r="F23" i="2" s="1"/>
  <c r="M19" i="2"/>
  <c r="M24" i="2"/>
  <c r="M20" i="2"/>
  <c r="M6" i="2"/>
  <c r="L19" i="2"/>
  <c r="L24" i="2"/>
  <c r="L20" i="2"/>
  <c r="L6" i="2"/>
  <c r="H24" i="2"/>
  <c r="H6" i="2"/>
  <c r="H9" i="2" s="1"/>
  <c r="H23" i="2" s="1"/>
  <c r="K19" i="2"/>
  <c r="K24" i="2"/>
  <c r="K6" i="2"/>
  <c r="K20" i="2"/>
  <c r="I19" i="2"/>
  <c r="H19" i="2"/>
  <c r="G19" i="2"/>
  <c r="E19" i="2"/>
  <c r="C4" i="2"/>
  <c r="F19" i="2"/>
  <c r="M25" i="2"/>
  <c r="J25" i="2"/>
  <c r="L25" i="2"/>
  <c r="I25" i="2"/>
  <c r="H25" i="2"/>
  <c r="G25" i="2"/>
  <c r="F25" i="2"/>
  <c r="E25" i="2"/>
  <c r="O25" i="2"/>
  <c r="N25" i="2"/>
  <c r="K25" i="2"/>
  <c r="B102" i="3"/>
  <c r="I62" i="3"/>
  <c r="M60" i="2"/>
  <c r="N63" i="2"/>
  <c r="J60" i="2"/>
  <c r="K63" i="2"/>
  <c r="I60" i="2"/>
  <c r="J63" i="2"/>
  <c r="G60" i="2"/>
  <c r="H63" i="2"/>
  <c r="H60" i="2"/>
  <c r="I63" i="2"/>
  <c r="K60" i="2"/>
  <c r="L63" i="2"/>
  <c r="F60" i="2"/>
  <c r="G63" i="2"/>
  <c r="L60" i="2"/>
  <c r="M63" i="2"/>
  <c r="E60" i="2"/>
  <c r="F63" i="2"/>
  <c r="N60" i="2"/>
  <c r="O63" i="2"/>
  <c r="D1" i="4"/>
  <c r="E1" i="4" s="1"/>
  <c r="F1" i="4" s="1"/>
  <c r="G1" i="4" s="1"/>
  <c r="H1" i="4" s="1"/>
  <c r="I1" i="4" s="1"/>
  <c r="J1" i="4" s="1"/>
  <c r="K1" i="4" s="1"/>
  <c r="L1" i="4" s="1"/>
  <c r="M1" i="4" s="1"/>
  <c r="B74" i="4"/>
  <c r="C81" i="3"/>
  <c r="C77" i="3"/>
  <c r="G30" i="2"/>
  <c r="F30" i="2"/>
  <c r="J30" i="2"/>
  <c r="I30" i="2"/>
  <c r="N35" i="2"/>
  <c r="N73" i="2" s="1"/>
  <c r="N30" i="2"/>
  <c r="M35" i="2"/>
  <c r="M73" i="2" s="1"/>
  <c r="M30" i="2"/>
  <c r="K35" i="2"/>
  <c r="K73" i="2" s="1"/>
  <c r="K30" i="2"/>
  <c r="L35" i="2"/>
  <c r="L73" i="2" s="1"/>
  <c r="L30" i="2"/>
  <c r="H30" i="2"/>
  <c r="E30" i="2"/>
  <c r="O35" i="2"/>
  <c r="O73" i="2" s="1"/>
  <c r="O30" i="2"/>
  <c r="N31" i="2"/>
  <c r="N13" i="2"/>
  <c r="K13" i="2"/>
  <c r="K72" i="2" s="1"/>
  <c r="K31" i="2"/>
  <c r="M31" i="2"/>
  <c r="M13" i="2"/>
  <c r="L13" i="2"/>
  <c r="L72" i="2" s="1"/>
  <c r="L31" i="2"/>
  <c r="J31" i="2"/>
  <c r="H31" i="2"/>
  <c r="I31" i="2"/>
  <c r="G31" i="2"/>
  <c r="F31" i="2"/>
  <c r="E31" i="2"/>
  <c r="O31" i="2"/>
  <c r="O13" i="2"/>
  <c r="K59" i="2"/>
  <c r="K58" i="2"/>
  <c r="L58" i="2"/>
  <c r="J59" i="2"/>
  <c r="I59" i="2"/>
  <c r="J58" i="2"/>
  <c r="I58" i="2"/>
  <c r="F43" i="2"/>
  <c r="I43" i="2"/>
  <c r="G43" i="2"/>
  <c r="E43" i="2"/>
  <c r="O43" i="2"/>
  <c r="M43" i="2"/>
  <c r="J43" i="2"/>
  <c r="N43" i="2"/>
  <c r="L43" i="2"/>
  <c r="H43" i="2"/>
  <c r="K43" i="2"/>
  <c r="F29" i="2"/>
  <c r="F27" i="2"/>
  <c r="J27" i="2"/>
  <c r="H27" i="2"/>
  <c r="G27" i="2"/>
  <c r="H114" i="3"/>
  <c r="E114" i="3"/>
  <c r="K47" i="2"/>
  <c r="L27" i="2"/>
  <c r="L47" i="2"/>
  <c r="M27" i="2"/>
  <c r="K27" i="2"/>
  <c r="O27" i="2"/>
  <c r="N42" i="2"/>
  <c r="N27" i="2"/>
  <c r="E27" i="2"/>
  <c r="I27" i="2"/>
  <c r="J42" i="2"/>
  <c r="F42" i="2"/>
  <c r="H47" i="2"/>
  <c r="G59" i="2"/>
  <c r="G58" i="2"/>
  <c r="H59" i="2"/>
  <c r="H58" i="2"/>
  <c r="I42" i="2"/>
  <c r="F59" i="2"/>
  <c r="F58" i="2"/>
  <c r="G42" i="2"/>
  <c r="H42" i="2"/>
  <c r="L42" i="2"/>
  <c r="H13" i="2"/>
  <c r="H26" i="2" s="1"/>
  <c r="G13" i="2"/>
  <c r="G26" i="2" s="1"/>
  <c r="N47" i="2"/>
  <c r="E47" i="2"/>
  <c r="O42" i="2"/>
  <c r="G47" i="2"/>
  <c r="E42" i="2"/>
  <c r="F13" i="2"/>
  <c r="F26" i="2" s="1"/>
  <c r="J47" i="2"/>
  <c r="M42" i="2"/>
  <c r="K42" i="2"/>
  <c r="I47" i="2"/>
  <c r="I13" i="2"/>
  <c r="M47" i="2"/>
  <c r="F47" i="2"/>
  <c r="E111" i="3"/>
  <c r="H111" i="3"/>
  <c r="C102" i="3"/>
  <c r="I103" i="3" s="1"/>
  <c r="I14" i="2" l="1"/>
  <c r="I26" i="2"/>
  <c r="H20" i="2"/>
  <c r="J20" i="2"/>
  <c r="E9" i="2"/>
  <c r="J9" i="2"/>
  <c r="J23" i="2" s="1"/>
  <c r="F20" i="2"/>
  <c r="I20" i="2"/>
  <c r="C19" i="2"/>
  <c r="C5" i="2" s="1"/>
  <c r="C6" i="2" s="1"/>
  <c r="C20" i="2" s="1"/>
  <c r="J72" i="2"/>
  <c r="J14" i="2"/>
  <c r="G14" i="2"/>
  <c r="H14" i="2"/>
  <c r="F14" i="2"/>
  <c r="L48" i="2"/>
  <c r="M72" i="2"/>
  <c r="G35" i="2"/>
  <c r="G73" i="2" s="1"/>
  <c r="G72" i="2"/>
  <c r="H35" i="2"/>
  <c r="H73" i="2" s="1"/>
  <c r="H72" i="2"/>
  <c r="M48" i="2"/>
  <c r="N72" i="2"/>
  <c r="N48" i="2"/>
  <c r="O72" i="2"/>
  <c r="F35" i="2"/>
  <c r="F73" i="2" s="1"/>
  <c r="F72" i="2"/>
  <c r="I35" i="2"/>
  <c r="I73" i="2" s="1"/>
  <c r="I72" i="2"/>
  <c r="H112" i="3"/>
  <c r="I112" i="3"/>
  <c r="D77" i="4"/>
  <c r="D81" i="4"/>
  <c r="F81" i="4" s="1"/>
  <c r="D76" i="4"/>
  <c r="H76" i="2"/>
  <c r="J35" i="2"/>
  <c r="J73" i="2" s="1"/>
  <c r="O41" i="2"/>
  <c r="H48" i="2"/>
  <c r="J48" i="2"/>
  <c r="I48" i="2"/>
  <c r="F48" i="2"/>
  <c r="G48" i="2"/>
  <c r="M41" i="2"/>
  <c r="G41" i="2"/>
  <c r="N41" i="2"/>
  <c r="I41" i="2"/>
  <c r="F41" i="2"/>
  <c r="M68" i="2"/>
  <c r="N37" i="2"/>
  <c r="N36" i="2" s="1"/>
  <c r="O69" i="2"/>
  <c r="O68" i="2"/>
  <c r="E23" i="2" l="1"/>
  <c r="E13" i="2"/>
  <c r="F76" i="4"/>
  <c r="H75" i="3" s="1"/>
  <c r="E76" i="4"/>
  <c r="G69" i="2"/>
  <c r="F68" i="2"/>
  <c r="I69" i="2"/>
  <c r="I71" i="2"/>
  <c r="G71" i="2"/>
  <c r="O71" i="2"/>
  <c r="M71" i="2"/>
  <c r="N71" i="2"/>
  <c r="F71" i="2"/>
  <c r="H77" i="3"/>
  <c r="E74" i="3"/>
  <c r="H78" i="3"/>
  <c r="K48" i="2"/>
  <c r="L69" i="2"/>
  <c r="L41" i="2"/>
  <c r="L71" i="2" s="1"/>
  <c r="J41" i="2"/>
  <c r="J71" i="2" s="1"/>
  <c r="J69" i="2"/>
  <c r="H41" i="2"/>
  <c r="H71" i="2" s="1"/>
  <c r="H69" i="2"/>
  <c r="K41" i="2"/>
  <c r="K71" i="2" s="1"/>
  <c r="K69" i="2"/>
  <c r="E41" i="2"/>
  <c r="M69" i="2"/>
  <c r="N69" i="2"/>
  <c r="N68" i="2"/>
  <c r="F69" i="2"/>
  <c r="I68" i="2"/>
  <c r="I76" i="2"/>
  <c r="F44" i="2"/>
  <c r="G68" i="2"/>
  <c r="E89" i="3"/>
  <c r="E48" i="2" l="1"/>
  <c r="H74" i="3" s="1"/>
  <c r="E35" i="2"/>
  <c r="E69" i="2" s="1"/>
  <c r="E26" i="2"/>
  <c r="E14" i="2"/>
  <c r="C16" i="1"/>
  <c r="F103" i="3"/>
  <c r="E112" i="3" s="1"/>
  <c r="E77" i="3"/>
  <c r="E75" i="3"/>
  <c r="L68" i="2"/>
  <c r="J68" i="2"/>
  <c r="K68" i="2"/>
  <c r="H68" i="2"/>
  <c r="G21" i="1"/>
  <c r="C78" i="3"/>
  <c r="C105" i="3"/>
  <c r="B105" i="3"/>
  <c r="C80" i="3"/>
  <c r="G33" i="3"/>
  <c r="E29" i="2"/>
  <c r="G29" i="2"/>
  <c r="H29" i="2"/>
  <c r="I29" i="2"/>
  <c r="J29" i="2"/>
  <c r="K29" i="2"/>
  <c r="L29" i="2"/>
  <c r="M29" i="2"/>
  <c r="N29" i="2"/>
  <c r="O29" i="2"/>
  <c r="I34" i="3"/>
  <c r="E9" i="3"/>
  <c r="E58" i="2" l="1"/>
  <c r="E59" i="2"/>
  <c r="I15" i="3"/>
  <c r="C62" i="3"/>
  <c r="D56" i="3" l="1"/>
  <c r="F112" i="3"/>
  <c r="B73" i="3"/>
  <c r="C74" i="3"/>
  <c r="C75" i="3"/>
  <c r="F77" i="2"/>
  <c r="C25" i="3"/>
  <c r="O38" i="2"/>
  <c r="C92" i="3" l="1"/>
  <c r="D112" i="3"/>
  <c r="C94" i="3"/>
  <c r="G37" i="2"/>
  <c r="D80" i="3"/>
  <c r="C76" i="3"/>
  <c r="D78" i="3"/>
  <c r="D75" i="3"/>
  <c r="D82" i="3"/>
  <c r="D81" i="3"/>
  <c r="C28" i="3"/>
  <c r="C79" i="3" l="1"/>
  <c r="C83" i="3" s="1"/>
  <c r="C85" i="3" s="1"/>
  <c r="C93" i="3"/>
  <c r="F75" i="3"/>
  <c r="I37" i="2"/>
  <c r="L44" i="2"/>
  <c r="F37" i="2"/>
  <c r="N44" i="2"/>
  <c r="I77" i="3"/>
  <c r="F77" i="3" s="1"/>
  <c r="H77" i="2"/>
  <c r="I75" i="3"/>
  <c r="I78" i="3"/>
  <c r="F78" i="3" s="1"/>
  <c r="E78" i="3" s="1"/>
  <c r="E37" i="2"/>
  <c r="G44" i="2"/>
  <c r="C47" i="3"/>
  <c r="C45" i="3"/>
  <c r="C27" i="3"/>
  <c r="C26" i="3"/>
  <c r="C44" i="3"/>
  <c r="C46" i="3"/>
  <c r="D79" i="3" l="1"/>
  <c r="D80" i="4"/>
  <c r="H80" i="3"/>
  <c r="I80" i="3" s="1"/>
  <c r="I44" i="2"/>
  <c r="M44" i="2"/>
  <c r="O37" i="2"/>
  <c r="N38" i="2" s="1"/>
  <c r="M37" i="2"/>
  <c r="M36" i="2" s="1"/>
  <c r="L37" i="2"/>
  <c r="L36" i="2" s="1"/>
  <c r="J37" i="2"/>
  <c r="J36" i="2" s="1"/>
  <c r="K44" i="2"/>
  <c r="J44" i="2"/>
  <c r="K37" i="2"/>
  <c r="K36" i="2" s="1"/>
  <c r="H37" i="2"/>
  <c r="H44" i="2"/>
  <c r="O44" i="2"/>
  <c r="O36" i="2"/>
  <c r="E76" i="3"/>
  <c r="E79" i="3" s="1"/>
  <c r="H76" i="3"/>
  <c r="H79" i="3" s="1"/>
  <c r="D83" i="3"/>
  <c r="D85" i="3"/>
  <c r="C86" i="3"/>
  <c r="C87" i="3" s="1"/>
  <c r="E44" i="2"/>
  <c r="F80" i="3" l="1"/>
  <c r="E80" i="3" s="1"/>
  <c r="C20" i="1"/>
  <c r="E68" i="2"/>
  <c r="I79" i="3"/>
  <c r="F79" i="3"/>
  <c r="D88" i="3"/>
  <c r="I22" i="3"/>
  <c r="I42" i="3" l="1"/>
  <c r="E11" i="3"/>
  <c r="E62" i="3" s="1"/>
  <c r="E12" i="3"/>
  <c r="E13" i="3"/>
  <c r="E14" i="3"/>
  <c r="E15" i="3"/>
  <c r="E16" i="3"/>
  <c r="E17" i="3"/>
  <c r="E18" i="3"/>
  <c r="E19" i="3"/>
  <c r="E20" i="3"/>
  <c r="E21" i="3"/>
  <c r="E22" i="3"/>
  <c r="E31" i="3"/>
  <c r="E44" i="3" s="1"/>
  <c r="E32" i="3"/>
  <c r="E33" i="3"/>
  <c r="E34" i="3"/>
  <c r="E35" i="3"/>
  <c r="E36" i="3"/>
  <c r="E37" i="3"/>
  <c r="E38" i="3"/>
  <c r="E39" i="3"/>
  <c r="E40" i="3"/>
  <c r="E41" i="3"/>
  <c r="E42" i="3"/>
  <c r="G19" i="3"/>
  <c r="G20" i="3"/>
  <c r="G35" i="3"/>
  <c r="G36" i="3"/>
  <c r="G37" i="3"/>
  <c r="C48" i="3"/>
  <c r="E7" i="3"/>
  <c r="E1" i="2"/>
  <c r="C72" i="3" s="1"/>
  <c r="C24" i="3"/>
  <c r="I6" i="3" s="1"/>
  <c r="E36" i="2"/>
  <c r="M38" i="2"/>
  <c r="L38" i="2"/>
  <c r="K38" i="2"/>
  <c r="J38" i="2"/>
  <c r="I38" i="2"/>
  <c r="C61" i="3" l="1"/>
  <c r="E61" i="3"/>
  <c r="E63" i="3" s="1"/>
  <c r="F38" i="2"/>
  <c r="G36" i="2"/>
  <c r="F36" i="2"/>
  <c r="E38" i="2"/>
  <c r="H36" i="2"/>
  <c r="G38" i="2"/>
  <c r="H38" i="2"/>
  <c r="I36" i="2"/>
  <c r="F1" i="2"/>
  <c r="G1" i="2" s="1"/>
  <c r="E45" i="3"/>
  <c r="E47" i="3"/>
  <c r="D47" i="3" s="1"/>
  <c r="E46" i="3"/>
  <c r="D46" i="3" s="1"/>
  <c r="E25" i="3"/>
  <c r="E27" i="3"/>
  <c r="E26" i="3"/>
  <c r="I7" i="3"/>
  <c r="E64" i="3"/>
  <c r="E69" i="3" s="1"/>
  <c r="E24" i="3"/>
  <c r="E48" i="3"/>
  <c r="D48" i="3" s="1"/>
  <c r="D78" i="4" l="1"/>
  <c r="F78" i="4" s="1"/>
  <c r="E65" i="3"/>
  <c r="C63" i="3"/>
  <c r="H1" i="2"/>
  <c r="I1" i="2" s="1"/>
  <c r="J1" i="2" s="1"/>
  <c r="K1" i="2" s="1"/>
  <c r="L1" i="2" s="1"/>
  <c r="M1" i="2" s="1"/>
  <c r="N1" i="2" s="1"/>
  <c r="O1" i="2" s="1"/>
  <c r="D26" i="3"/>
  <c r="D27" i="3"/>
  <c r="I5" i="3"/>
  <c r="I26" i="3"/>
  <c r="E28" i="3"/>
  <c r="I25" i="3" s="1"/>
  <c r="D61" i="3"/>
  <c r="I27" i="3"/>
  <c r="J27" i="3" s="1"/>
  <c r="I47" i="3"/>
  <c r="I46" i="3"/>
  <c r="J46" i="3" s="1"/>
  <c r="D62" i="3"/>
  <c r="D24" i="3"/>
  <c r="H81" i="3" l="1"/>
  <c r="I81" i="3" s="1"/>
  <c r="C19" i="1" s="1"/>
  <c r="J47" i="3"/>
  <c r="J26" i="3"/>
  <c r="C29" i="1"/>
  <c r="C65" i="3"/>
  <c r="D65" i="3" s="1"/>
  <c r="C68" i="3"/>
  <c r="D63" i="3"/>
  <c r="E3" i="3"/>
  <c r="F27" i="3"/>
  <c r="F26" i="3"/>
  <c r="F24" i="3"/>
  <c r="F25" i="3"/>
  <c r="D28" i="3"/>
  <c r="E49" i="3"/>
  <c r="E68" i="3" s="1"/>
  <c r="E70" i="3" s="1"/>
  <c r="C108" i="3" s="1"/>
  <c r="I61" i="3" s="1"/>
  <c r="D44" i="3"/>
  <c r="D45" i="3"/>
  <c r="D25" i="3"/>
  <c r="I63" i="3" l="1"/>
  <c r="I64" i="3" s="1"/>
  <c r="H108" i="3" s="1"/>
  <c r="E108" i="3" s="1"/>
  <c r="F81" i="3"/>
  <c r="E81" i="3" s="1"/>
  <c r="C70" i="3"/>
  <c r="D70" i="3" s="1"/>
  <c r="D49" i="3"/>
  <c r="D68" i="3"/>
  <c r="J28" i="3"/>
  <c r="G18" i="1" l="1"/>
  <c r="E63" i="2"/>
  <c r="C17" i="1" l="1"/>
  <c r="D79" i="4" l="1"/>
  <c r="E82" i="3" l="1"/>
  <c r="E83" i="3" s="1"/>
  <c r="H82" i="3"/>
  <c r="I82" i="3" l="1"/>
  <c r="C21" i="1" s="1"/>
  <c r="H83" i="3"/>
  <c r="F82" i="3"/>
  <c r="E85" i="3"/>
  <c r="E86" i="3" s="1"/>
  <c r="I83" i="3" l="1"/>
  <c r="H85" i="3"/>
  <c r="F83" i="3"/>
  <c r="F88" i="3"/>
  <c r="E87" i="3"/>
  <c r="F85" i="3"/>
  <c r="F102" i="3" l="1"/>
  <c r="E106" i="3" s="1"/>
  <c r="I85" i="3"/>
  <c r="H86" i="3"/>
  <c r="G19" i="1" s="1"/>
  <c r="H87" i="3" l="1"/>
  <c r="I102" i="3" s="1"/>
  <c r="I88" i="3"/>
  <c r="G20" i="1" s="1"/>
  <c r="H106" i="3" l="1"/>
  <c r="I106" i="3"/>
  <c r="C106" i="3" l="1"/>
  <c r="C53" i="3"/>
  <c r="E53" i="3" s="1"/>
  <c r="C18" i="1" l="1"/>
  <c r="C15" i="1" s="1"/>
  <c r="E72" i="2"/>
  <c r="E73" i="2"/>
  <c r="D52" i="3"/>
  <c r="C107" i="3"/>
  <c r="D6" i="3"/>
  <c r="D53" i="3"/>
  <c r="E71" i="2" l="1"/>
  <c r="D7" i="3"/>
  <c r="E6" i="3"/>
  <c r="H107" i="3"/>
  <c r="H109" i="3" s="1"/>
  <c r="H115" i="3" s="1"/>
  <c r="I109" i="3" l="1"/>
  <c r="E109" i="3"/>
  <c r="F109" i="3" l="1"/>
  <c r="E115" i="3"/>
  <c r="I115" i="3"/>
  <c r="G24" i="1"/>
  <c r="D24" i="1" s="1"/>
  <c r="F115" i="3" l="1"/>
  <c r="F24" i="1"/>
  <c r="D109" i="3"/>
  <c r="D115" i="3" l="1"/>
  <c r="C24" i="1"/>
</calcChain>
</file>

<file path=xl/sharedStrings.xml><?xml version="1.0" encoding="utf-8"?>
<sst xmlns="http://schemas.openxmlformats.org/spreadsheetml/2006/main" count="527" uniqueCount="393">
  <si>
    <t>Company Info:</t>
  </si>
  <si>
    <t>HKD</t>
  </si>
  <si>
    <t>Number of Shares:</t>
  </si>
  <si>
    <t>Next Review Date:</t>
  </si>
  <si>
    <t>Reporting Currency:</t>
  </si>
  <si>
    <t>Exchange Rate:</t>
  </si>
  <si>
    <t>Valuation Output:</t>
  </si>
  <si>
    <t>Note</t>
  </si>
  <si>
    <t>Company Statement Inputs</t>
  </si>
  <si>
    <t>Year of the last 10k =</t>
  </si>
  <si>
    <t>Unit =</t>
  </si>
  <si>
    <t>Sales</t>
  </si>
  <si>
    <t>Sales Growth Rate</t>
  </si>
  <si>
    <t>Total Assets</t>
  </si>
  <si>
    <t>Current Assets</t>
  </si>
  <si>
    <t>Current Liabilities</t>
  </si>
  <si>
    <t>Total Equity per books  =</t>
  </si>
  <si>
    <t>Common Equity =</t>
  </si>
  <si>
    <t xml:space="preserve">Non-common Interest = </t>
  </si>
  <si>
    <t>Discount</t>
  </si>
  <si>
    <t>Book Current Ratio</t>
  </si>
  <si>
    <t>Book Quick Ratio</t>
  </si>
  <si>
    <t>Book Cash Ratio</t>
  </si>
  <si>
    <t>Most Recent Quarter Inputs</t>
  </si>
  <si>
    <t>Book Figure</t>
  </si>
  <si>
    <t>Ajusted Valuation</t>
  </si>
  <si>
    <t>is_OP</t>
  </si>
  <si>
    <t>Cash and cash equivalents</t>
  </si>
  <si>
    <t>ST Borrowing</t>
  </si>
  <si>
    <t>ST Lease liabilities</t>
  </si>
  <si>
    <t>ST SH Loan</t>
  </si>
  <si>
    <t>ST FV Investments</t>
  </si>
  <si>
    <t>ST Financial Liabilities</t>
  </si>
  <si>
    <t>ST non-FV Investments</t>
  </si>
  <si>
    <t>Other ST liabilities</t>
  </si>
  <si>
    <t>Y</t>
  </si>
  <si>
    <t>Inventory</t>
  </si>
  <si>
    <t>Properties held for sale</t>
  </si>
  <si>
    <t>Properties under development</t>
  </si>
  <si>
    <t>ST DTA</t>
  </si>
  <si>
    <t>Other ST Assets</t>
  </si>
  <si>
    <t>%</t>
  </si>
  <si>
    <t>ST Core-Monetary Asset</t>
  </si>
  <si>
    <t>ST Debt</t>
  </si>
  <si>
    <t>ST Noncore-Monetary Asset</t>
  </si>
  <si>
    <t>ST Current Ratio</t>
  </si>
  <si>
    <t>ST Tangible Assets</t>
  </si>
  <si>
    <t>ST Cash-debt Ratio</t>
  </si>
  <si>
    <t>ST Non-tangible Assets</t>
  </si>
  <si>
    <t>ST Quick Ratio</t>
  </si>
  <si>
    <t>LT Depositis</t>
  </si>
  <si>
    <t>LT Borrowing</t>
  </si>
  <si>
    <t>LT FV Securities</t>
  </si>
  <si>
    <t>LT Lease liabilities</t>
  </si>
  <si>
    <t>LT non-FV Securities</t>
  </si>
  <si>
    <t>LT SH Loan</t>
  </si>
  <si>
    <t>LT Financial Liabilities</t>
  </si>
  <si>
    <t>LT AR</t>
  </si>
  <si>
    <t>Other LT liabilities</t>
  </si>
  <si>
    <t>Investments in JV or associate</t>
  </si>
  <si>
    <t>N</t>
  </si>
  <si>
    <t>Investment property</t>
  </si>
  <si>
    <t>Biological assets</t>
  </si>
  <si>
    <t>Intangible assets</t>
  </si>
  <si>
    <t>LT DTA</t>
  </si>
  <si>
    <t>Other assets &amp; Goodwill</t>
  </si>
  <si>
    <t xml:space="preserve">LT Core-Monetary Asset </t>
  </si>
  <si>
    <t>LT Debt</t>
  </si>
  <si>
    <t>LT Noncore-Monetary Asset</t>
  </si>
  <si>
    <t>LT Tangible Assets</t>
  </si>
  <si>
    <t>LT Cash-debt Ratio</t>
  </si>
  <si>
    <t>LT Non-tangible Assets</t>
  </si>
  <si>
    <t>LT Quick Ratio</t>
  </si>
  <si>
    <t>Noncurrent Assets</t>
  </si>
  <si>
    <t>Noncurrent Liabilities</t>
  </si>
  <si>
    <t>Total Liabilities</t>
  </si>
  <si>
    <t>1. MV of Noncommon Interest</t>
  </si>
  <si>
    <t>Noncommon Interest</t>
  </si>
  <si>
    <t>+ Interest Bearing Debt</t>
  </si>
  <si>
    <t>+ MV of the Options</t>
  </si>
  <si>
    <t>// If avg exercise price &gt; current price, then assume 0</t>
  </si>
  <si>
    <t>+ Preference Shares</t>
  </si>
  <si>
    <t>Value @</t>
  </si>
  <si>
    <t>Non-operating Assets</t>
  </si>
  <si>
    <t>Gross profit =</t>
    <phoneticPr fontId="3" type="noConversion"/>
  </si>
  <si>
    <t>Tax Rate</t>
    <phoneticPr fontId="3" type="noConversion"/>
  </si>
  <si>
    <t>D&amp;A/Sales</t>
    <phoneticPr fontId="3" type="noConversion"/>
  </si>
  <si>
    <t>Capitalization:</t>
    <phoneticPr fontId="3" type="noConversion"/>
  </si>
  <si>
    <t>Base Year</t>
    <phoneticPr fontId="3" type="noConversion"/>
  </si>
  <si>
    <t>Normalized Year</t>
    <phoneticPr fontId="3" type="noConversion"/>
  </si>
  <si>
    <t>Gross Profit</t>
    <phoneticPr fontId="3" type="noConversion"/>
  </si>
  <si>
    <t>+ D&amp;A</t>
    <phoneticPr fontId="3" type="noConversion"/>
  </si>
  <si>
    <t>- COGS</t>
    <phoneticPr fontId="3" type="noConversion"/>
  </si>
  <si>
    <t>- R&amp;D</t>
    <phoneticPr fontId="3" type="noConversion"/>
  </si>
  <si>
    <t>- CAPX</t>
    <phoneticPr fontId="3" type="noConversion"/>
  </si>
  <si>
    <t>ΔWC</t>
    <phoneticPr fontId="3" type="noConversion"/>
  </si>
  <si>
    <t>- ΔWC</t>
    <phoneticPr fontId="3" type="noConversion"/>
  </si>
  <si>
    <t>After-tax Profit Margin</t>
    <phoneticPr fontId="3" type="noConversion"/>
  </si>
  <si>
    <t>Valuation</t>
    <phoneticPr fontId="3" type="noConversion"/>
  </si>
  <si>
    <t>ST AR</t>
    <phoneticPr fontId="3" type="noConversion"/>
  </si>
  <si>
    <t>Prepayments and Contract Assets</t>
    <phoneticPr fontId="3" type="noConversion"/>
  </si>
  <si>
    <t>PP&amp;E &amp; Right of Use Assets</t>
    <phoneticPr fontId="3" type="noConversion"/>
  </si>
  <si>
    <t>Properties under development</t>
    <phoneticPr fontId="3" type="noConversion"/>
  </si>
  <si>
    <t>Pre-tax Profit / Total Debt</t>
    <phoneticPr fontId="3" type="noConversion"/>
  </si>
  <si>
    <t>Interest/Sales</t>
    <phoneticPr fontId="3" type="noConversion"/>
  </si>
  <si>
    <t>Interest / Pre-tax Profit</t>
    <phoneticPr fontId="3" type="noConversion"/>
  </si>
  <si>
    <t>Pre-tax Profit/Sales</t>
    <phoneticPr fontId="3" type="noConversion"/>
  </si>
  <si>
    <t>Pre-tax Profit =</t>
    <phoneticPr fontId="3" type="noConversion"/>
  </si>
  <si>
    <t>Sales</t>
    <phoneticPr fontId="3" type="noConversion"/>
  </si>
  <si>
    <t>Normalized FCFE Analysis</t>
    <phoneticPr fontId="3" type="noConversion"/>
  </si>
  <si>
    <t>After-tax Profit Growth</t>
    <phoneticPr fontId="3" type="noConversion"/>
  </si>
  <si>
    <t>Operating Equity Valuation</t>
    <phoneticPr fontId="3" type="noConversion"/>
  </si>
  <si>
    <t>https://pages.stern.nyu.edu/~adamodar/New_Home_Page/datafile/wcdata.html</t>
    <phoneticPr fontId="3" type="noConversion"/>
  </si>
  <si>
    <t>Note:</t>
    <phoneticPr fontId="3" type="noConversion"/>
  </si>
  <si>
    <t>Income Statement</t>
    <phoneticPr fontId="3" type="noConversion"/>
  </si>
  <si>
    <t>Balance Sheet</t>
    <phoneticPr fontId="3" type="noConversion"/>
  </si>
  <si>
    <t>Restricted cash</t>
    <phoneticPr fontId="3" type="noConversion"/>
  </si>
  <si>
    <t>Total Equity</t>
    <phoneticPr fontId="3" type="noConversion"/>
  </si>
  <si>
    <t>Non-common Interest</t>
    <phoneticPr fontId="3" type="noConversion"/>
  </si>
  <si>
    <t>Non-operating Cash</t>
    <phoneticPr fontId="3" type="noConversion"/>
  </si>
  <si>
    <t>Operating Assets</t>
    <phoneticPr fontId="3" type="noConversion"/>
  </si>
  <si>
    <t>Non-operating Assets</t>
    <phoneticPr fontId="3" type="noConversion"/>
  </si>
  <si>
    <t>Net Non-operating Assets</t>
    <phoneticPr fontId="3" type="noConversion"/>
  </si>
  <si>
    <t>Net Operating Assets</t>
    <phoneticPr fontId="3" type="noConversion"/>
  </si>
  <si>
    <t>- Noncommon Interest</t>
    <phoneticPr fontId="3" type="noConversion"/>
  </si>
  <si>
    <t>+ Net Non-Operating Valuation</t>
    <phoneticPr fontId="3" type="noConversion"/>
  </si>
  <si>
    <t>ST Inventory</t>
    <phoneticPr fontId="3" type="noConversion"/>
  </si>
  <si>
    <t>2. Total Debt + PS + Options</t>
    <phoneticPr fontId="3" type="noConversion"/>
  </si>
  <si>
    <t xml:space="preserve"> - (Total Debt + PS + Options)</t>
    <phoneticPr fontId="3" type="noConversion"/>
  </si>
  <si>
    <t>- Non-intreset-bearing Debt</t>
    <phoneticPr fontId="3" type="noConversion"/>
  </si>
  <si>
    <t>3. Non-operating Assets</t>
    <phoneticPr fontId="3" type="noConversion"/>
  </si>
  <si>
    <t>4. Operating Assets</t>
    <phoneticPr fontId="3" type="noConversion"/>
  </si>
  <si>
    <t>Operating ST Financial Assets</t>
  </si>
  <si>
    <t>Operating LT Financial Assets</t>
  </si>
  <si>
    <t>EPS</t>
  </si>
  <si>
    <t>Operating Equity Valuation</t>
  </si>
  <si>
    <t>After-tax Profit =</t>
  </si>
  <si>
    <t>Lower</t>
  </si>
  <si>
    <t>Upper</t>
  </si>
  <si>
    <t>Value Range</t>
  </si>
  <si>
    <t>- Non-controling Interests</t>
  </si>
  <si>
    <t>Normalized Payout Ratio</t>
  </si>
  <si>
    <t>CN Riskfree</t>
  </si>
  <si>
    <t>https://fred.stlouisfed.org/series/BAMLC0A4CBBBEY</t>
  </si>
  <si>
    <t>https://yield.chinabond.com.cn/cbweb-mn/yield_main?locale=en_US</t>
  </si>
  <si>
    <t>US BBB Bond yield</t>
  </si>
  <si>
    <t>https://iftp.chinamoney.com.cn/chinese/scsjzqxx/</t>
  </si>
  <si>
    <t>https://tradingeconomics.com/china/government-bond-yield</t>
  </si>
  <si>
    <t>https://fred.stlouisfed.org/series/DGS10</t>
  </si>
  <si>
    <t>Notes</t>
  </si>
  <si>
    <t>CN Onshore BBB- Bond yield</t>
  </si>
  <si>
    <t>CN Offshore BBB- Bond yield</t>
  </si>
  <si>
    <t>PB Ratio</t>
  </si>
  <si>
    <t>HK</t>
  </si>
  <si>
    <t>Normalized D/P</t>
  </si>
  <si>
    <t>Name:</t>
  </si>
  <si>
    <t>Valued @</t>
    <phoneticPr fontId="3" type="noConversion"/>
  </si>
  <si>
    <t>Avg of E and D method</t>
    <phoneticPr fontId="3" type="noConversion"/>
  </si>
  <si>
    <t>Avg Valuation</t>
    <phoneticPr fontId="3" type="noConversion"/>
  </si>
  <si>
    <t>CAGR Calculator</t>
    <phoneticPr fontId="3" type="noConversion"/>
  </si>
  <si>
    <t>Inputs =</t>
    <phoneticPr fontId="3" type="noConversion"/>
  </si>
  <si>
    <t>CAGR =</t>
    <phoneticPr fontId="3" type="noConversion"/>
  </si>
  <si>
    <t>Initial Value (PV)</t>
    <phoneticPr fontId="3" type="noConversion"/>
  </si>
  <si>
    <t>Final Value (FV)</t>
    <phoneticPr fontId="3" type="noConversion"/>
  </si>
  <si>
    <t># of Years</t>
    <phoneticPr fontId="3" type="noConversion"/>
  </si>
  <si>
    <t>Base Case</t>
    <phoneticPr fontId="3" type="noConversion"/>
  </si>
  <si>
    <t>Pessimistic Case</t>
    <phoneticPr fontId="3" type="noConversion"/>
  </si>
  <si>
    <t>Dividend per share</t>
    <phoneticPr fontId="3" type="noConversion"/>
  </si>
  <si>
    <t>E/P Initial Rate of Retrun</t>
    <phoneticPr fontId="3" type="noConversion"/>
  </si>
  <si>
    <t>E/P Future Value is</t>
    <phoneticPr fontId="3" type="noConversion"/>
  </si>
  <si>
    <t>D/P Future Value is</t>
    <phoneticPr fontId="3" type="noConversion"/>
  </si>
  <si>
    <t>Target Return</t>
    <phoneticPr fontId="3" type="noConversion"/>
  </si>
  <si>
    <t>Target</t>
    <phoneticPr fontId="3" type="noConversion"/>
  </si>
  <si>
    <t>Lower</t>
    <phoneticPr fontId="3" type="noConversion"/>
  </si>
  <si>
    <t>Inputs</t>
    <phoneticPr fontId="3" type="noConversion"/>
  </si>
  <si>
    <t>Watchlist</t>
    <phoneticPr fontId="3" type="noConversion"/>
  </si>
  <si>
    <t>Comp_Group:</t>
    <phoneticPr fontId="3" type="noConversion"/>
  </si>
  <si>
    <t>Number of Shares:</t>
    <phoneticPr fontId="3" type="noConversion"/>
  </si>
  <si>
    <t>Reporting Currency:</t>
    <phoneticPr fontId="3" type="noConversion"/>
  </si>
  <si>
    <t>Most Recent Quarter</t>
    <phoneticPr fontId="3" type="noConversion"/>
  </si>
  <si>
    <t>D/P Dividend Yield</t>
    <phoneticPr fontId="3" type="noConversion"/>
  </si>
  <si>
    <t>Earnings Power Checklist</t>
    <phoneticPr fontId="3" type="noConversion"/>
  </si>
  <si>
    <t>Present</t>
    <phoneticPr fontId="3" type="noConversion"/>
  </si>
  <si>
    <t>1. Consumer monopoly?</t>
    <phoneticPr fontId="3" type="noConversion"/>
  </si>
  <si>
    <t>2. Conservatively financed?</t>
    <phoneticPr fontId="3" type="noConversion"/>
  </si>
  <si>
    <t>Future</t>
    <phoneticPr fontId="3" type="noConversion"/>
  </si>
  <si>
    <t>5. Can earnings be sustained?</t>
    <phoneticPr fontId="3" type="noConversion"/>
  </si>
  <si>
    <t>Consumer Monopoly Test</t>
    <phoneticPr fontId="3" type="noConversion"/>
  </si>
  <si>
    <t>If you had access to billions of dollars and your pick of the top fifty managers in the country, could you start a business and successfully compete with the business in question?</t>
    <phoneticPr fontId="3" type="noConversion"/>
  </si>
  <si>
    <t>6. No big MCX-D&amp;A required?</t>
  </si>
  <si>
    <t>EBIT =</t>
    <phoneticPr fontId="3" type="noConversion"/>
  </si>
  <si>
    <t>EBIT</t>
    <phoneticPr fontId="3" type="noConversion"/>
  </si>
  <si>
    <t>CAPX/Sales</t>
    <phoneticPr fontId="3" type="noConversion"/>
  </si>
  <si>
    <t>(CAPX-D&amp;A)/Sales</t>
    <phoneticPr fontId="3" type="noConversion"/>
  </si>
  <si>
    <t>Mid</t>
    <phoneticPr fontId="3" type="noConversion"/>
  </si>
  <si>
    <t>3. Upward earnings trend?</t>
    <phoneticPr fontId="3" type="noConversion"/>
  </si>
  <si>
    <t>4. Stable margin and ROE?</t>
    <phoneticPr fontId="3" type="noConversion"/>
  </si>
  <si>
    <t>- Pre-tax Non-controling Interests</t>
    <phoneticPr fontId="3" type="noConversion"/>
  </si>
  <si>
    <t>EBIT/Sales</t>
    <phoneticPr fontId="3" type="noConversion"/>
  </si>
  <si>
    <t>EBIT Growth</t>
    <phoneticPr fontId="3" type="noConversion"/>
  </si>
  <si>
    <t>unclear</t>
  </si>
  <si>
    <t>- (CAPX - D&amp;A)</t>
    <phoneticPr fontId="3" type="noConversion"/>
  </si>
  <si>
    <t>- (OPEX + R&amp;D) =</t>
    <phoneticPr fontId="3" type="noConversion"/>
  </si>
  <si>
    <t>Valuation method</t>
    <phoneticPr fontId="3" type="noConversion"/>
  </si>
  <si>
    <t>Dividend Yield</t>
    <phoneticPr fontId="3" type="noConversion"/>
  </si>
  <si>
    <t>Discount Rate (US)</t>
    <phoneticPr fontId="3" type="noConversion"/>
  </si>
  <si>
    <t>Discount Rate (CN)</t>
    <phoneticPr fontId="3" type="noConversion"/>
  </si>
  <si>
    <t>Choice of Discount Rate</t>
    <phoneticPr fontId="3" type="noConversion"/>
  </si>
  <si>
    <t>- Interest Expense</t>
    <phoneticPr fontId="3" type="noConversion"/>
  </si>
  <si>
    <t>Base Case Valuation</t>
    <phoneticPr fontId="3" type="noConversion"/>
  </si>
  <si>
    <t>Normalized PE Ratio</t>
    <phoneticPr fontId="3" type="noConversion"/>
  </si>
  <si>
    <t>LT AR or Prepayments</t>
    <phoneticPr fontId="3" type="noConversion"/>
  </si>
  <si>
    <t>Prepayments or Contract Assets</t>
    <phoneticPr fontId="3" type="noConversion"/>
  </si>
  <si>
    <t>ΔWC/Δsales</t>
    <phoneticPr fontId="3" type="noConversion"/>
  </si>
  <si>
    <t>Leverage Analysis</t>
    <phoneticPr fontId="3" type="noConversion"/>
  </si>
  <si>
    <t>Common_Equity / Total Assets</t>
    <phoneticPr fontId="3" type="noConversion"/>
  </si>
  <si>
    <t>ROE</t>
    <phoneticPr fontId="3" type="noConversion"/>
  </si>
  <si>
    <t>EBIT ROE</t>
    <phoneticPr fontId="3" type="noConversion"/>
  </si>
  <si>
    <t>Pre-tax ROE</t>
    <phoneticPr fontId="3" type="noConversion"/>
  </si>
  <si>
    <t>Sales/Total_Assets</t>
    <phoneticPr fontId="3" type="noConversion"/>
  </si>
  <si>
    <t>ST_AR / Sales</t>
    <phoneticPr fontId="3" type="noConversion"/>
  </si>
  <si>
    <t>ST_Inventory / Sales</t>
    <phoneticPr fontId="3" type="noConversion"/>
  </si>
  <si>
    <t>EBIT Margin</t>
    <phoneticPr fontId="3" type="noConversion"/>
  </si>
  <si>
    <t>Interest Expense</t>
    <phoneticPr fontId="3" type="noConversion"/>
  </si>
  <si>
    <t>Normalized ΔWC</t>
    <phoneticPr fontId="3" type="noConversion"/>
  </si>
  <si>
    <t>Normalized CAPX-D&amp;A</t>
    <phoneticPr fontId="3" type="noConversion"/>
  </si>
  <si>
    <t>ROE &amp; Cost Structure</t>
    <phoneticPr fontId="3" type="noConversion"/>
  </si>
  <si>
    <t>Total Liabilities</t>
    <phoneticPr fontId="3" type="noConversion"/>
  </si>
  <si>
    <t>Asset Turnover Ratio</t>
    <phoneticPr fontId="3" type="noConversion"/>
  </si>
  <si>
    <t># In general, the higher the accounts receivable, the higher the inventory, and the lower the fixed assets, the lower the asset turnover ratio.</t>
    <phoneticPr fontId="3" type="noConversion"/>
  </si>
  <si>
    <t>Contingent Liabilities</t>
    <phoneticPr fontId="3" type="noConversion"/>
  </si>
  <si>
    <t>Contin. Liabilities / Total Assets</t>
    <phoneticPr fontId="3" type="noConversion"/>
  </si>
  <si>
    <t>Leverage Ratio</t>
    <phoneticPr fontId="3" type="noConversion"/>
  </si>
  <si>
    <t>https://pages.stern.nyu.edu/~adamodar/New_Home_Page/datafile/countrytaxrates.html</t>
    <phoneticPr fontId="3" type="noConversion"/>
  </si>
  <si>
    <t>Nonop Assets Valuation</t>
  </si>
  <si>
    <t>Nonop Assets per share</t>
  </si>
  <si>
    <t>Net Nonop Assets FV</t>
  </si>
  <si>
    <t>Net Nonop Assets PV</t>
  </si>
  <si>
    <t>HKD</t>
    <phoneticPr fontId="3" type="noConversion"/>
  </si>
  <si>
    <t>Market Yields</t>
    <phoneticPr fontId="3" type="noConversion"/>
  </si>
  <si>
    <t>Price Indicators</t>
    <phoneticPr fontId="3" type="noConversion"/>
  </si>
  <si>
    <t>Balance Sheet items Adjustments</t>
    <phoneticPr fontId="3" type="noConversion"/>
  </si>
  <si>
    <t>Assets</t>
    <phoneticPr fontId="3" type="noConversion"/>
  </si>
  <si>
    <t>Asset Model Output</t>
    <phoneticPr fontId="3" type="noConversion"/>
  </si>
  <si>
    <t>Model last updated:</t>
    <phoneticPr fontId="3" type="noConversion"/>
  </si>
  <si>
    <t>External Drivers</t>
    <phoneticPr fontId="3" type="noConversion"/>
  </si>
  <si>
    <t>Internal Drivers</t>
    <phoneticPr fontId="3" type="noConversion"/>
  </si>
  <si>
    <t>Dividend method</t>
    <phoneticPr fontId="3" type="noConversion"/>
  </si>
  <si>
    <t>Selecting the Valuation method</t>
    <phoneticPr fontId="3" type="noConversion"/>
  </si>
  <si>
    <t>Liabilities</t>
    <phoneticPr fontId="3" type="noConversion"/>
  </si>
  <si>
    <t>C0003</t>
  </si>
  <si>
    <t>Profit</t>
  </si>
  <si>
    <t>Reinvest Nonop @</t>
    <phoneticPr fontId="3" type="noConversion"/>
  </si>
  <si>
    <t>0590.HK</t>
  </si>
  <si>
    <t>Reported Net Income</t>
    <phoneticPr fontId="3" type="noConversion"/>
  </si>
  <si>
    <t>Est. Pre-tax FCF</t>
    <phoneticPr fontId="3" type="noConversion"/>
  </si>
  <si>
    <t>Est. After-tax FCF</t>
    <phoneticPr fontId="3" type="noConversion"/>
  </si>
  <si>
    <t>HOLD</t>
  </si>
  <si>
    <t>六福珠宝</t>
  </si>
  <si>
    <t xml:space="preserve">Superior Cycl. </t>
  </si>
  <si>
    <t>Strongly agree</t>
  </si>
  <si>
    <t>agree</t>
  </si>
  <si>
    <t>Consumer Monopoly</t>
  </si>
  <si>
    <t>% Sales</t>
    <phoneticPr fontId="3" type="noConversion"/>
  </si>
  <si>
    <t>% of Revenue</t>
    <phoneticPr fontId="3" type="noConversion"/>
  </si>
  <si>
    <t>COGS</t>
    <phoneticPr fontId="3" type="noConversion"/>
  </si>
  <si>
    <t>Gross Proift</t>
    <phoneticPr fontId="3" type="noConversion"/>
  </si>
  <si>
    <t>OPEX + R&amp;D</t>
    <phoneticPr fontId="3" type="noConversion"/>
  </si>
  <si>
    <t>Non-controling Interests</t>
    <phoneticPr fontId="3" type="noConversion"/>
  </si>
  <si>
    <t>Fixed Costs</t>
    <phoneticPr fontId="3" type="noConversion"/>
  </si>
  <si>
    <t>Variable Costs</t>
    <phoneticPr fontId="3" type="noConversion"/>
  </si>
  <si>
    <t>D&amp;A</t>
    <phoneticPr fontId="3" type="noConversion"/>
  </si>
  <si>
    <t>Contribution Margin</t>
    <phoneticPr fontId="3" type="noConversion"/>
  </si>
  <si>
    <t>Income Tax Expense</t>
    <phoneticPr fontId="3" type="noConversion"/>
  </si>
  <si>
    <t>Divisional Sales</t>
    <phoneticPr fontId="3" type="noConversion"/>
  </si>
  <si>
    <t>Total Sales</t>
    <phoneticPr fontId="3" type="noConversion"/>
  </si>
  <si>
    <t>Categories</t>
    <phoneticPr fontId="3" type="noConversion"/>
  </si>
  <si>
    <t>Items</t>
    <phoneticPr fontId="3" type="noConversion"/>
  </si>
  <si>
    <t>Results</t>
    <phoneticPr fontId="3" type="noConversion"/>
  </si>
  <si>
    <t>Capex - D&amp;A</t>
    <phoneticPr fontId="3" type="noConversion"/>
  </si>
  <si>
    <t>Administrative and General Expenses</t>
    <phoneticPr fontId="3" type="noConversion"/>
  </si>
  <si>
    <t>Pre-tax Profit (EBT)</t>
    <phoneticPr fontId="3" type="noConversion"/>
  </si>
  <si>
    <t>Net Income</t>
    <phoneticPr fontId="3" type="noConversion"/>
  </si>
  <si>
    <t xml:space="preserve">FCFF </t>
    <phoneticPr fontId="3" type="noConversion"/>
  </si>
  <si>
    <t>Adjustments</t>
    <phoneticPr fontId="3" type="noConversion"/>
  </si>
  <si>
    <t>Selling and Distribution Costs</t>
    <phoneticPr fontId="3" type="noConversion"/>
  </si>
  <si>
    <t>Other Variable Operating Expenses</t>
    <phoneticPr fontId="3" type="noConversion"/>
  </si>
  <si>
    <t>Total Variable Costs</t>
    <phoneticPr fontId="3" type="noConversion"/>
  </si>
  <si>
    <t>Total Sales - Total Variable Costs</t>
    <phoneticPr fontId="3" type="noConversion"/>
  </si>
  <si>
    <t>Contribution Margin</t>
    <phoneticPr fontId="3" type="noConversion"/>
  </si>
  <si>
    <t>Other Fixed Operating Expenses</t>
    <phoneticPr fontId="3" type="noConversion"/>
  </si>
  <si>
    <t>Component</t>
    <phoneticPr fontId="3" type="noConversion"/>
  </si>
  <si>
    <t>Amount ($)</t>
    <phoneticPr fontId="3" type="noConversion"/>
  </si>
  <si>
    <t>Percentage of Sales</t>
    <phoneticPr fontId="3" type="noConversion"/>
  </si>
  <si>
    <t xml:space="preserve">Sales Revenue	</t>
    <phoneticPr fontId="3" type="noConversion"/>
  </si>
  <si>
    <t xml:space="preserve">Contribution Margin	</t>
    <phoneticPr fontId="3" type="noConversion"/>
  </si>
  <si>
    <t>Profit</t>
    <phoneticPr fontId="3" type="noConversion"/>
  </si>
  <si>
    <t>US Riskfree</t>
    <phoneticPr fontId="3" type="noConversion"/>
  </si>
  <si>
    <t>Symbol:</t>
    <phoneticPr fontId="3" type="noConversion"/>
  </si>
  <si>
    <t>Review Interval:</t>
    <phoneticPr fontId="3" type="noConversion"/>
  </si>
  <si>
    <t>Review Date:</t>
    <phoneticPr fontId="3" type="noConversion"/>
  </si>
  <si>
    <t>Risk-Free Rate</t>
    <phoneticPr fontId="3" type="noConversion"/>
  </si>
  <si>
    <t>If Holding</t>
    <phoneticPr fontId="3" type="noConversion"/>
  </si>
  <si>
    <t>- WCINv</t>
    <phoneticPr fontId="3" type="noConversion"/>
  </si>
  <si>
    <t>R&amp;D</t>
    <phoneticPr fontId="3" type="noConversion"/>
  </si>
  <si>
    <t>Income Tax Paid</t>
    <phoneticPr fontId="3" type="noConversion"/>
  </si>
  <si>
    <t>Cash Flow Statement</t>
    <phoneticPr fontId="3" type="noConversion"/>
  </si>
  <si>
    <t>WCInv</t>
    <phoneticPr fontId="3" type="noConversion"/>
  </si>
  <si>
    <t>CAPX</t>
    <phoneticPr fontId="3" type="noConversion"/>
  </si>
  <si>
    <t>Other Data</t>
    <phoneticPr fontId="3" type="noConversion"/>
  </si>
  <si>
    <t>Financial Statements Inputs</t>
    <phoneticPr fontId="3" type="noConversion"/>
  </si>
  <si>
    <t>Adjusted FCFE</t>
    <phoneticPr fontId="3" type="noConversion"/>
  </si>
  <si>
    <t>YoY</t>
    <phoneticPr fontId="3" type="noConversion"/>
  </si>
  <si>
    <t>Selling and Marketing Expenses</t>
    <phoneticPr fontId="3" type="noConversion"/>
  </si>
  <si>
    <t>OPEX</t>
    <phoneticPr fontId="3" type="noConversion"/>
  </si>
  <si>
    <t>Other Operating Expenses</t>
    <phoneticPr fontId="3" type="noConversion"/>
  </si>
  <si>
    <t>Pre-tax Minority Interests</t>
    <phoneticPr fontId="3" type="noConversion"/>
  </si>
  <si>
    <t>EBT Margin</t>
    <phoneticPr fontId="3" type="noConversion"/>
  </si>
  <si>
    <t>Financials</t>
    <phoneticPr fontId="3" type="noConversion"/>
  </si>
  <si>
    <t>% Total Assets</t>
    <phoneticPr fontId="3" type="noConversion"/>
  </si>
  <si>
    <t>Non-Operating Net Income</t>
    <phoneticPr fontId="3" type="noConversion"/>
  </si>
  <si>
    <t>Key Metrics:</t>
    <phoneticPr fontId="3" type="noConversion"/>
  </si>
  <si>
    <t>Adjusted FCFE = Net Income + D&amp;A – Maintenance Capex ± WCInv (if material).</t>
    <phoneticPr fontId="3" type="noConversion"/>
  </si>
  <si>
    <t>Notes:</t>
    <phoneticPr fontId="3" type="noConversion"/>
  </si>
  <si>
    <t>1. the model explicitly avoids aggressive growth assumptions and prioritizes downside protection.</t>
    <phoneticPr fontId="3" type="noConversion"/>
  </si>
  <si>
    <t>2. Net borrowing is excluded (fixed at 0), and WCInv is only included if it materially distorts FCFE (&gt;5% volatility).</t>
    <phoneticPr fontId="3" type="noConversion"/>
  </si>
  <si>
    <t xml:space="preserve">3. Normalization: 5-year averages will smooth cyclicality for 590.HK.
</t>
    <phoneticPr fontId="3" type="noConversion"/>
  </si>
  <si>
    <t>Assumptions:</t>
    <phoneticPr fontId="3" type="noConversion"/>
  </si>
  <si>
    <t>Base ERP</t>
    <phoneticPr fontId="3" type="noConversion"/>
  </si>
  <si>
    <t>Stable Business</t>
  </si>
  <si>
    <t>Weak balance sheets</t>
    <phoneticPr fontId="3" type="noConversion"/>
  </si>
  <si>
    <t>Durable moats</t>
    <phoneticPr fontId="3" type="noConversion"/>
  </si>
  <si>
    <t>Poor management</t>
    <phoneticPr fontId="3" type="noConversion"/>
  </si>
  <si>
    <t>Qualitative Adjustments (2% for each):</t>
    <phoneticPr fontId="3" type="noConversion"/>
  </si>
  <si>
    <t>Adjusted Earnings Yield = Adjusted FCFE / Market Cap.</t>
    <phoneticPr fontId="3" type="noConversion"/>
  </si>
  <si>
    <t>Intrinsic Value (No Growth) = Adjusted FCFE / Equity Cost of Capital.</t>
    <phoneticPr fontId="3" type="noConversion"/>
  </si>
  <si>
    <t>Decision Rule:</t>
    <phoneticPr fontId="3" type="noConversion"/>
  </si>
  <si>
    <t>Buy if Adjusted Earnings Yield &gt; 7%</t>
    <phoneticPr fontId="3" type="noConversion"/>
  </si>
  <si>
    <t>g = (r × P - Adjusted FCFE) / (P + Adjusted FCFE)</t>
    <phoneticPr fontId="3" type="noConversion"/>
  </si>
  <si>
    <t>Equity Cost(r) = 4.5% (Risk-Free) + 3.5% (ERP) – 1% (Moat) = 7%.</t>
    <phoneticPr fontId="3" type="noConversion"/>
  </si>
  <si>
    <t>Investment Thesis for</t>
    <phoneticPr fontId="3" type="noConversion"/>
  </si>
  <si>
    <t>Adjusted FCFE Calculation</t>
    <phoneticPr fontId="3" type="noConversion"/>
  </si>
  <si>
    <t>Equity Cost of Capital (Buffett Method)</t>
    <phoneticPr fontId="3" type="noConversion"/>
  </si>
  <si>
    <t>No-Growth DCF Valuation</t>
    <phoneticPr fontId="3" type="noConversion"/>
  </si>
  <si>
    <t>Phase Breakdown:</t>
    <phoneticPr fontId="3" type="noConversion"/>
  </si>
  <si>
    <t>High Growth: 5 years at 5%, then transitions to 3% perpetual growth.</t>
    <phoneticPr fontId="3" type="noConversion"/>
  </si>
  <si>
    <t>Opertimistic Case</t>
    <phoneticPr fontId="3" type="noConversion"/>
  </si>
  <si>
    <t>Scenario Analysis:</t>
    <phoneticPr fontId="3" type="noConversion"/>
  </si>
  <si>
    <t>Stress Testing</t>
    <phoneticPr fontId="3" type="noConversion"/>
  </si>
  <si>
    <t>Equity Cost of Capital: ±1.5% (e.g., 5.5%–8.5%).</t>
    <phoneticPr fontId="3" type="noConversion"/>
  </si>
  <si>
    <t>Growth Rate: ±1.5% (e.g., 1.5%–4.5%).</t>
    <phoneticPr fontId="3" type="noConversion"/>
  </si>
  <si>
    <t>Maintenance Capex: ±20%.</t>
    <phoneticPr fontId="3" type="noConversion"/>
  </si>
  <si>
    <t>Variables Adjusted:</t>
    <phoneticPr fontId="3" type="noConversion"/>
  </si>
  <si>
    <t>Output:</t>
    <phoneticPr fontId="3" type="noConversion"/>
  </si>
  <si>
    <t>Buy price range incorporating a 15–20% margin of safety (e.g., HKD 10–14/share).</t>
    <phoneticPr fontId="3" type="noConversion"/>
  </si>
  <si>
    <t>Equity Value Calculation</t>
    <phoneticPr fontId="3" type="noConversion"/>
  </si>
  <si>
    <t>Formula:</t>
    <phoneticPr fontId="3" type="noConversion"/>
  </si>
  <si>
    <t>Key Adjustments:</t>
    <phoneticPr fontId="3" type="noConversion"/>
  </si>
  <si>
    <t>Equity Value = Intrinsic Value (with user-selected implied g) + Non-operating Assets - Interest-bearing Debt</t>
    <phoneticPr fontId="3" type="noConversion"/>
  </si>
  <si>
    <t>Non-operating Assets: Include cash, marketable securities, real estate, etc., at market value.</t>
    <phoneticPr fontId="3" type="noConversion"/>
  </si>
  <si>
    <t>Debt: Subtract total interest-bearing debt (market value if distressed).</t>
    <phoneticPr fontId="3" type="noConversion"/>
  </si>
  <si>
    <t>KEY EXCLUSIONS &amp; LIMITATIONS</t>
    <phoneticPr fontId="3" type="noConversion"/>
  </si>
  <si>
    <t>Conservative Bias:</t>
    <phoneticPr fontId="3" type="noConversion"/>
  </si>
  <si>
    <t>Excludes net borrowing, potentially undervaluing firms with debt efficiency.</t>
    <phoneticPr fontId="3" type="noConversion"/>
  </si>
  <si>
    <t>Growth Constraints:</t>
    <phoneticPr fontId="3" type="noConversion"/>
  </si>
  <si>
    <t>Perpetual growth capped at 3%, penalizing high-growth companies.</t>
    <phoneticPr fontId="3" type="noConversion"/>
  </si>
  <si>
    <t>Subjective Adjustments:</t>
    <phoneticPr fontId="3" type="noConversion"/>
  </si>
  <si>
    <t>Non-operating assets and debt require manual review.</t>
    <phoneticPr fontId="3" type="noConversion"/>
  </si>
  <si>
    <t>15–20%</t>
    <phoneticPr fontId="3" type="noConversion"/>
  </si>
  <si>
    <t>Margin of Safety:</t>
    <phoneticPr fontId="3" type="noConversion"/>
  </si>
  <si>
    <t>Catalysts:</t>
    <phoneticPr fontId="3" type="noConversion"/>
  </si>
  <si>
    <t>Stable FCFE generation</t>
    <phoneticPr fontId="3" type="noConversion"/>
  </si>
  <si>
    <t>Low leverage</t>
    <phoneticPr fontId="3" type="noConversion"/>
  </si>
  <si>
    <t>Strong non-operating assets</t>
    <phoneticPr fontId="3" type="noConversion"/>
  </si>
  <si>
    <t>Risks:</t>
    <phoneticPr fontId="3" type="noConversion"/>
  </si>
  <si>
    <t>Cyclicality in WCInv</t>
    <phoneticPr fontId="3" type="noConversion"/>
  </si>
  <si>
    <t>Rising debt levels</t>
    <phoneticPr fontId="3" type="noConversion"/>
  </si>
  <si>
    <t>Overstated competitive moat</t>
    <phoneticPr fontId="3" type="noConversion"/>
  </si>
  <si>
    <t>Conclusion</t>
    <phoneticPr fontId="3" type="noConversion"/>
  </si>
  <si>
    <t>Price Target:</t>
    <phoneticPr fontId="3" type="noConversion"/>
  </si>
  <si>
    <t>Comapny Information</t>
    <phoneticPr fontId="3" type="noConversion"/>
  </si>
  <si>
    <t>Current Price:</t>
    <phoneticPr fontId="3" type="noConversion"/>
  </si>
  <si>
    <t>Comp_Type:</t>
    <phoneticPr fontId="3" type="noConversion"/>
  </si>
  <si>
    <t>Comp_Sector:</t>
    <phoneticPr fontId="3" type="noConversion"/>
  </si>
  <si>
    <t>Introduction</t>
    <phoneticPr fontId="3" type="noConversion"/>
  </si>
  <si>
    <t>Stock Analysis</t>
    <phoneticPr fontId="3" type="noConversion"/>
  </si>
  <si>
    <t>Growth Scenario Analysis</t>
    <phoneticPr fontId="3" type="noConversion"/>
  </si>
  <si>
    <t xml:space="preserve">Net Income = </t>
    <phoneticPr fontId="3" type="noConversion"/>
  </si>
  <si>
    <t>Variables</t>
    <phoneticPr fontId="3" type="noConversion"/>
  </si>
  <si>
    <t>Normalized Income Calculation</t>
    <phoneticPr fontId="3" type="noConversion"/>
  </si>
  <si>
    <t>Net Income = Variable Cost + Fixed Cost</t>
    <phoneticPr fontId="3" type="noConversion"/>
  </si>
  <si>
    <t>Variable Cost = COGS + Selling and Distribution Costs + Other Variable Operating Expenses</t>
    <phoneticPr fontId="3" type="noConversion"/>
  </si>
  <si>
    <t>Normalized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</si>
</sst>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;[Red]\-&quot;$&quot;#,##0.00"/>
    <numFmt numFmtId="176" formatCode="_(* #,##0.00_);_(* \(#,##0.00\);_(* &quot;-&quot;??_);_(@_)"/>
    <numFmt numFmtId="177" formatCode="yyyy\-mm\-dd"/>
    <numFmt numFmtId="178" formatCode="#,##0&quot;mm&quot;"/>
    <numFmt numFmtId="179" formatCode="#,##0.00&quot;x&quot;"/>
    <numFmt numFmtId="180" formatCode="0.00\x"/>
    <numFmt numFmtId="181" formatCode="yyyy\-mm\-dd;@"/>
    <numFmt numFmtId="182" formatCode="&quot;in&quot;\ 0\ &quot;Months&quot;"/>
    <numFmt numFmtId="183" formatCode="#,##0.00_ "/>
    <numFmt numFmtId="184" formatCode="#,##0.0000"/>
    <numFmt numFmtId="185" formatCode="0&quot; Years&quot;"/>
    <numFmt numFmtId="186" formatCode="&quot;g = &quot;0.00%"/>
    <numFmt numFmtId="187" formatCode="0_)"/>
    <numFmt numFmtId="188" formatCode="&quot;for &quot;0&quot; Yrs&quot;"/>
    <numFmt numFmtId="189" formatCode="#,##0_ "/>
    <numFmt numFmtId="190" formatCode="#,##0_);\(#,##0\)"/>
  </numFmts>
  <fonts count="3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name val="Arial"/>
      <family val="3"/>
      <charset val="134"/>
      <scheme val="minor"/>
    </font>
    <font>
      <b/>
      <sz val="9"/>
      <color indexed="9"/>
      <name val="Arial"/>
      <family val="2"/>
      <scheme val="major"/>
    </font>
    <font>
      <sz val="9"/>
      <color rgb="FF000000"/>
      <name val="Arial"/>
      <family val="2"/>
      <scheme val="major"/>
    </font>
    <font>
      <b/>
      <sz val="9"/>
      <color rgb="FF002060"/>
      <name val="Arial"/>
      <family val="2"/>
      <scheme val="major"/>
    </font>
    <font>
      <b/>
      <sz val="9"/>
      <color theme="1"/>
      <name val="Arial"/>
      <family val="2"/>
      <scheme val="major"/>
    </font>
    <font>
      <sz val="9"/>
      <color theme="1"/>
      <name val="Arial"/>
      <family val="2"/>
      <scheme val="major"/>
    </font>
    <font>
      <sz val="9"/>
      <color rgb="FF0000FF"/>
      <name val="Arial"/>
      <family val="2"/>
      <scheme val="major"/>
    </font>
    <font>
      <sz val="9"/>
      <name val="Arial"/>
      <family val="2"/>
      <scheme val="major"/>
    </font>
    <font>
      <sz val="9"/>
      <color rgb="FFC00000"/>
      <name val="Arial"/>
      <family val="2"/>
      <scheme val="major"/>
    </font>
    <font>
      <sz val="9"/>
      <color theme="0"/>
      <name val="Arial"/>
      <family val="2"/>
      <scheme val="major"/>
    </font>
    <font>
      <b/>
      <u/>
      <sz val="9"/>
      <color rgb="FF000000"/>
      <name val="Arial"/>
      <family val="2"/>
      <scheme val="major"/>
    </font>
    <font>
      <u/>
      <sz val="9"/>
      <color theme="1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9"/>
      <name val="Arial"/>
      <family val="2"/>
      <scheme val="major"/>
    </font>
    <font>
      <u/>
      <sz val="9"/>
      <color theme="1"/>
      <name val="Arial"/>
      <family val="2"/>
      <scheme val="major"/>
    </font>
    <font>
      <u/>
      <sz val="9"/>
      <color rgb="FF000000"/>
      <name val="Arial"/>
      <family val="2"/>
      <scheme val="major"/>
    </font>
    <font>
      <i/>
      <sz val="9"/>
      <color rgb="FF000000"/>
      <name val="Arial"/>
      <family val="2"/>
      <scheme val="major"/>
    </font>
    <font>
      <sz val="9"/>
      <color rgb="FFFF0000"/>
      <name val="Arial"/>
      <family val="2"/>
      <scheme val="major"/>
    </font>
    <font>
      <i/>
      <sz val="9"/>
      <color rgb="FFFF0000"/>
      <name val="Arial"/>
      <family val="2"/>
      <scheme val="major"/>
    </font>
    <font>
      <sz val="9"/>
      <color rgb="FFFFFFFF"/>
      <name val="Arial"/>
      <family val="2"/>
      <scheme val="major"/>
    </font>
    <font>
      <i/>
      <sz val="9"/>
      <name val="Arial"/>
      <family val="2"/>
      <scheme val="major"/>
    </font>
    <font>
      <i/>
      <sz val="9"/>
      <color theme="1"/>
      <name val="Arial"/>
      <family val="2"/>
      <scheme val="major"/>
    </font>
    <font>
      <sz val="9"/>
      <color rgb="FFA61C00"/>
      <name val="Arial"/>
      <family val="2"/>
      <scheme val="major"/>
    </font>
    <font>
      <u/>
      <sz val="9"/>
      <color rgb="FF0000FF"/>
      <name val="Arial"/>
      <family val="2"/>
      <scheme val="major"/>
    </font>
    <font>
      <b/>
      <sz val="9"/>
      <color theme="0"/>
      <name val="Arial"/>
      <family val="2"/>
      <scheme val="major"/>
    </font>
    <font>
      <b/>
      <sz val="9"/>
      <color rgb="FF0000FF"/>
      <name val="Arial"/>
      <family val="2"/>
      <scheme val="major"/>
    </font>
    <font>
      <sz val="10"/>
      <color theme="0"/>
      <name val="Microsoft YaHei"/>
      <family val="2"/>
      <charset val="134"/>
    </font>
    <font>
      <sz val="10"/>
      <name val="Microsoft YaHei"/>
      <family val="2"/>
      <charset val="134"/>
    </font>
    <font>
      <i/>
      <sz val="9"/>
      <color rgb="FF0000FF"/>
      <name val="Arial"/>
      <family val="2"/>
      <scheme val="major"/>
    </font>
    <font>
      <b/>
      <i/>
      <u/>
      <sz val="9"/>
      <color rgb="FF000000"/>
      <name val="Arial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E599"/>
      </patternFill>
    </fill>
    <fill>
      <patternFill patternType="solid">
        <fgColor theme="8" tint="0.79998168889431442"/>
        <bgColor indexed="64"/>
      </patternFill>
    </fill>
    <fill>
      <patternFill patternType="gray125">
        <bgColor theme="0" tint="-4.9989318521683403E-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003871"/>
        <bgColor indexed="64"/>
      </patternFill>
    </fill>
    <fill>
      <patternFill patternType="solid">
        <fgColor rgb="FF003871"/>
        <bgColor rgb="FF1C4587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5">
    <xf numFmtId="0" fontId="0" fillId="0" borderId="0" xfId="0"/>
    <xf numFmtId="0" fontId="5" fillId="0" borderId="0" xfId="0" applyFont="1"/>
    <xf numFmtId="0" fontId="5" fillId="0" borderId="2" xfId="0" applyFont="1" applyBorder="1"/>
    <xf numFmtId="0" fontId="5" fillId="4" borderId="2" xfId="0" applyFont="1" applyFill="1" applyBorder="1"/>
    <xf numFmtId="0" fontId="6" fillId="0" borderId="1" xfId="0" applyFont="1" applyBorder="1"/>
    <xf numFmtId="0" fontId="7" fillId="0" borderId="2" xfId="0" applyFont="1" applyBorder="1"/>
    <xf numFmtId="0" fontId="5" fillId="0" borderId="1" xfId="0" applyFont="1" applyBorder="1"/>
    <xf numFmtId="0" fontId="5" fillId="0" borderId="3" xfId="0" applyFont="1" applyBorder="1"/>
    <xf numFmtId="0" fontId="8" fillId="0" borderId="2" xfId="0" applyFont="1" applyBorder="1"/>
    <xf numFmtId="0" fontId="8" fillId="0" borderId="3" xfId="0" applyFont="1" applyBorder="1"/>
    <xf numFmtId="0" fontId="10" fillId="0" borderId="2" xfId="0" applyFont="1" applyBorder="1"/>
    <xf numFmtId="0" fontId="5" fillId="0" borderId="0" xfId="0" quotePrefix="1" applyFont="1"/>
    <xf numFmtId="0" fontId="13" fillId="0" borderId="0" xfId="0" applyFont="1"/>
    <xf numFmtId="10" fontId="9" fillId="0" borderId="12" xfId="0" applyNumberFormat="1" applyFont="1" applyBorder="1" applyAlignment="1">
      <alignment horizontal="right"/>
    </xf>
    <xf numFmtId="0" fontId="14" fillId="0" borderId="0" xfId="2" applyFont="1"/>
    <xf numFmtId="0" fontId="5" fillId="0" borderId="5" xfId="0" applyFont="1" applyBorder="1"/>
    <xf numFmtId="10" fontId="9" fillId="0" borderId="13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/>
    </xf>
    <xf numFmtId="10" fontId="9" fillId="0" borderId="12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0" fontId="5" fillId="0" borderId="22" xfId="0" applyNumberFormat="1" applyFont="1" applyBorder="1" applyAlignment="1">
      <alignment horizontal="right"/>
    </xf>
    <xf numFmtId="0" fontId="5" fillId="0" borderId="23" xfId="0" applyFont="1" applyBorder="1" applyAlignment="1">
      <alignment horizontal="center"/>
    </xf>
    <xf numFmtId="10" fontId="5" fillId="0" borderId="24" xfId="0" applyNumberFormat="1" applyFont="1" applyBorder="1" applyAlignment="1">
      <alignment horizontal="right"/>
    </xf>
    <xf numFmtId="10" fontId="5" fillId="0" borderId="2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180" fontId="5" fillId="0" borderId="26" xfId="0" applyNumberFormat="1" applyFont="1" applyBorder="1" applyAlignment="1">
      <alignment horizontal="right"/>
    </xf>
    <xf numFmtId="0" fontId="5" fillId="0" borderId="27" xfId="0" applyFont="1" applyBorder="1" applyAlignment="1">
      <alignment horizontal="center"/>
    </xf>
    <xf numFmtId="180" fontId="5" fillId="0" borderId="28" xfId="0" applyNumberFormat="1" applyFont="1" applyBorder="1" applyAlignment="1">
      <alignment horizontal="right"/>
    </xf>
    <xf numFmtId="0" fontId="5" fillId="0" borderId="12" xfId="0" applyFont="1" applyBorder="1"/>
    <xf numFmtId="179" fontId="8" fillId="0" borderId="12" xfId="0" applyNumberFormat="1" applyFont="1" applyBorder="1" applyAlignment="1">
      <alignment horizontal="right"/>
    </xf>
    <xf numFmtId="0" fontId="5" fillId="0" borderId="15" xfId="0" applyFont="1" applyBorder="1" applyAlignment="1">
      <alignment horizontal="center"/>
    </xf>
    <xf numFmtId="10" fontId="5" fillId="0" borderId="15" xfId="0" applyNumberFormat="1" applyFont="1" applyBorder="1" applyAlignment="1">
      <alignment horizontal="right"/>
    </xf>
    <xf numFmtId="180" fontId="8" fillId="0" borderId="12" xfId="0" applyNumberFormat="1" applyFont="1" applyBorder="1" applyAlignment="1">
      <alignment horizontal="right"/>
    </xf>
    <xf numFmtId="10" fontId="5" fillId="0" borderId="12" xfId="0" applyNumberFormat="1" applyFont="1" applyBorder="1" applyAlignment="1">
      <alignment horizontal="right"/>
    </xf>
    <xf numFmtId="0" fontId="5" fillId="0" borderId="12" xfId="0" quotePrefix="1" applyFont="1" applyBorder="1" applyAlignment="1">
      <alignment horizontal="center"/>
    </xf>
    <xf numFmtId="0" fontId="8" fillId="0" borderId="12" xfId="0" applyFont="1" applyBorder="1"/>
    <xf numFmtId="10" fontId="8" fillId="0" borderId="12" xfId="0" applyNumberFormat="1" applyFont="1" applyBorder="1" applyAlignment="1">
      <alignment horizontal="right"/>
    </xf>
    <xf numFmtId="0" fontId="6" fillId="0" borderId="3" xfId="0" applyFont="1" applyBorder="1"/>
    <xf numFmtId="0" fontId="15" fillId="0" borderId="3" xfId="0" applyFont="1" applyBorder="1" applyAlignment="1">
      <alignment horizontal="center"/>
    </xf>
    <xf numFmtId="10" fontId="16" fillId="0" borderId="3" xfId="0" applyNumberFormat="1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2" fontId="5" fillId="0" borderId="2" xfId="0" applyNumberFormat="1" applyFont="1" applyBorder="1" applyAlignment="1">
      <alignment horizontal="center"/>
    </xf>
    <xf numFmtId="39" fontId="5" fillId="0" borderId="2" xfId="1" applyNumberFormat="1" applyFont="1" applyBorder="1" applyAlignment="1">
      <alignment horizontal="center"/>
    </xf>
    <xf numFmtId="2" fontId="5" fillId="0" borderId="0" xfId="1" applyNumberFormat="1" applyFont="1" applyAlignment="1">
      <alignment horizontal="left"/>
    </xf>
    <xf numFmtId="0" fontId="8" fillId="0" borderId="0" xfId="0" quotePrefix="1" applyFont="1"/>
    <xf numFmtId="0" fontId="8" fillId="0" borderId="0" xfId="0" applyFont="1"/>
    <xf numFmtId="0" fontId="10" fillId="0" borderId="16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8" fillId="0" borderId="12" xfId="0" applyFont="1" applyBorder="1" applyAlignment="1">
      <alignment horizontal="left"/>
    </xf>
    <xf numFmtId="0" fontId="5" fillId="0" borderId="12" xfId="0" quotePrefix="1" applyFont="1" applyBorder="1"/>
    <xf numFmtId="0" fontId="9" fillId="0" borderId="0" xfId="0" applyFont="1"/>
    <xf numFmtId="0" fontId="17" fillId="0" borderId="2" xfId="0" applyFont="1" applyBorder="1" applyAlignment="1">
      <alignment horizontal="center"/>
    </xf>
    <xf numFmtId="10" fontId="10" fillId="0" borderId="2" xfId="0" applyNumberFormat="1" applyFont="1" applyBorder="1" applyAlignment="1">
      <alignment horizontal="right"/>
    </xf>
    <xf numFmtId="0" fontId="15" fillId="5" borderId="2" xfId="0" applyFont="1" applyFill="1" applyBorder="1"/>
    <xf numFmtId="0" fontId="18" fillId="0" borderId="2" xfId="0" applyFont="1" applyBorder="1" applyAlignment="1">
      <alignment horizontal="left"/>
    </xf>
    <xf numFmtId="3" fontId="9" fillId="6" borderId="2" xfId="0" applyNumberFormat="1" applyFont="1" applyFill="1" applyBorder="1"/>
    <xf numFmtId="0" fontId="5" fillId="0" borderId="2" xfId="0" applyFont="1" applyBorder="1" applyAlignment="1">
      <alignment horizontal="left"/>
    </xf>
    <xf numFmtId="3" fontId="9" fillId="6" borderId="3" xfId="0" applyNumberFormat="1" applyFont="1" applyFill="1" applyBorder="1"/>
    <xf numFmtId="0" fontId="8" fillId="0" borderId="17" xfId="0" applyFont="1" applyBorder="1"/>
    <xf numFmtId="3" fontId="9" fillId="6" borderId="17" xfId="0" applyNumberFormat="1" applyFont="1" applyFill="1" applyBorder="1"/>
    <xf numFmtId="0" fontId="8" fillId="0" borderId="7" xfId="0" applyFont="1" applyBorder="1"/>
    <xf numFmtId="3" fontId="9" fillId="6" borderId="7" xfId="0" applyNumberFormat="1" applyFont="1" applyFill="1" applyBorder="1"/>
    <xf numFmtId="0" fontId="5" fillId="0" borderId="2" xfId="0" quotePrefix="1" applyFont="1" applyBorder="1"/>
    <xf numFmtId="0" fontId="6" fillId="0" borderId="1" xfId="0" applyFont="1" applyBorder="1" applyAlignment="1">
      <alignment vertical="center"/>
    </xf>
    <xf numFmtId="0" fontId="15" fillId="0" borderId="2" xfId="0" applyFont="1" applyBorder="1"/>
    <xf numFmtId="0" fontId="19" fillId="0" borderId="1" xfId="0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9" fontId="19" fillId="9" borderId="2" xfId="0" applyNumberFormat="1" applyFont="1" applyFill="1" applyBorder="1" applyAlignment="1">
      <alignment horizontal="right"/>
    </xf>
    <xf numFmtId="3" fontId="20" fillId="6" borderId="18" xfId="0" applyNumberFormat="1" applyFont="1" applyFill="1" applyBorder="1" applyAlignment="1">
      <alignment horizontal="right"/>
    </xf>
    <xf numFmtId="0" fontId="8" fillId="0" borderId="2" xfId="0" quotePrefix="1" applyFont="1" applyBorder="1"/>
    <xf numFmtId="10" fontId="19" fillId="0" borderId="0" xfId="0" applyNumberFormat="1" applyFont="1" applyAlignment="1">
      <alignment horizontal="right"/>
    </xf>
    <xf numFmtId="3" fontId="20" fillId="6" borderId="19" xfId="0" applyNumberFormat="1" applyFont="1" applyFill="1" applyBorder="1" applyAlignment="1">
      <alignment horizontal="right"/>
    </xf>
    <xf numFmtId="3" fontId="10" fillId="9" borderId="19" xfId="0" applyNumberFormat="1" applyFont="1" applyFill="1" applyBorder="1" applyAlignment="1">
      <alignment horizontal="right"/>
    </xf>
    <xf numFmtId="184" fontId="10" fillId="0" borderId="3" xfId="0" applyNumberFormat="1" applyFont="1" applyBorder="1" applyAlignment="1">
      <alignment horizontal="right"/>
    </xf>
    <xf numFmtId="9" fontId="19" fillId="9" borderId="20" xfId="0" applyNumberFormat="1" applyFont="1" applyFill="1" applyBorder="1" applyAlignment="1">
      <alignment horizontal="right"/>
    </xf>
    <xf numFmtId="184" fontId="20" fillId="6" borderId="15" xfId="0" applyNumberFormat="1" applyFont="1" applyFill="1" applyBorder="1" applyAlignment="1">
      <alignment horizontal="right"/>
    </xf>
    <xf numFmtId="3" fontId="20" fillId="6" borderId="2" xfId="0" applyNumberFormat="1" applyFont="1" applyFill="1" applyBorder="1" applyAlignment="1">
      <alignment horizontal="right"/>
    </xf>
    <xf numFmtId="186" fontId="20" fillId="6" borderId="2" xfId="0" applyNumberFormat="1" applyFont="1" applyFill="1" applyBorder="1" applyAlignment="1">
      <alignment horizontal="center"/>
    </xf>
    <xf numFmtId="10" fontId="20" fillId="6" borderId="2" xfId="0" applyNumberFormat="1" applyFont="1" applyFill="1" applyBorder="1" applyAlignment="1">
      <alignment horizontal="center"/>
    </xf>
    <xf numFmtId="10" fontId="20" fillId="6" borderId="3" xfId="0" applyNumberFormat="1" applyFont="1" applyFill="1" applyBorder="1" applyAlignment="1">
      <alignment horizontal="center"/>
    </xf>
    <xf numFmtId="10" fontId="20" fillId="6" borderId="17" xfId="0" applyNumberFormat="1" applyFont="1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10" fontId="20" fillId="0" borderId="15" xfId="0" applyNumberFormat="1" applyFont="1" applyBorder="1" applyAlignment="1">
      <alignment horizontal="right"/>
    </xf>
    <xf numFmtId="10" fontId="20" fillId="0" borderId="14" xfId="0" applyNumberFormat="1" applyFont="1" applyBorder="1" applyAlignment="1">
      <alignment horizontal="right"/>
    </xf>
    <xf numFmtId="10" fontId="20" fillId="0" borderId="12" xfId="0" applyNumberFormat="1" applyFont="1" applyBorder="1" applyAlignment="1">
      <alignment horizontal="right"/>
    </xf>
    <xf numFmtId="10" fontId="20" fillId="6" borderId="12" xfId="0" applyNumberFormat="1" applyFont="1" applyFill="1" applyBorder="1" applyAlignment="1">
      <alignment horizontal="right"/>
    </xf>
    <xf numFmtId="0" fontId="20" fillId="7" borderId="16" xfId="0" applyFont="1" applyFill="1" applyBorder="1" applyAlignment="1">
      <alignment horizontal="right"/>
    </xf>
    <xf numFmtId="0" fontId="20" fillId="7" borderId="16" xfId="0" applyFont="1" applyFill="1" applyBorder="1" applyAlignment="1">
      <alignment horizontal="right" vertical="center" wrapText="1"/>
    </xf>
    <xf numFmtId="0" fontId="7" fillId="4" borderId="2" xfId="0" applyFont="1" applyFill="1" applyBorder="1"/>
    <xf numFmtId="0" fontId="22" fillId="0" borderId="2" xfId="0" applyFont="1" applyBorder="1"/>
    <xf numFmtId="0" fontId="10" fillId="0" borderId="3" xfId="0" applyFont="1" applyBorder="1" applyAlignment="1">
      <alignment horizontal="center"/>
    </xf>
    <xf numFmtId="0" fontId="8" fillId="3" borderId="2" xfId="0" applyFont="1" applyFill="1" applyBorder="1"/>
    <xf numFmtId="0" fontId="8" fillId="0" borderId="2" xfId="0" applyFont="1" applyBorder="1" applyAlignment="1">
      <alignment horizontal="right"/>
    </xf>
    <xf numFmtId="3" fontId="9" fillId="7" borderId="2" xfId="0" applyNumberFormat="1" applyFont="1" applyFill="1" applyBorder="1" applyAlignment="1">
      <alignment horizontal="center"/>
    </xf>
    <xf numFmtId="10" fontId="24" fillId="0" borderId="2" xfId="0" applyNumberFormat="1" applyFont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10" fontId="8" fillId="0" borderId="2" xfId="0" applyNumberFormat="1" applyFont="1" applyBorder="1" applyAlignment="1">
      <alignment horizontal="right"/>
    </xf>
    <xf numFmtId="3" fontId="10" fillId="0" borderId="2" xfId="0" applyNumberFormat="1" applyFont="1" applyBorder="1" applyAlignment="1">
      <alignment horizontal="right"/>
    </xf>
    <xf numFmtId="4" fontId="8" fillId="0" borderId="2" xfId="0" applyNumberFormat="1" applyFont="1" applyBorder="1" applyAlignment="1">
      <alignment horizontal="center"/>
    </xf>
    <xf numFmtId="179" fontId="8" fillId="0" borderId="2" xfId="0" applyNumberFormat="1" applyFont="1" applyBorder="1" applyAlignment="1">
      <alignment horizontal="right"/>
    </xf>
    <xf numFmtId="10" fontId="5" fillId="0" borderId="0" xfId="0" applyNumberFormat="1" applyFont="1" applyAlignment="1">
      <alignment horizontal="right"/>
    </xf>
    <xf numFmtId="0" fontId="5" fillId="4" borderId="0" xfId="0" applyFont="1" applyFill="1"/>
    <xf numFmtId="0" fontId="6" fillId="0" borderId="1" xfId="0" applyFont="1" applyBorder="1" applyAlignment="1">
      <alignment horizontal="left"/>
    </xf>
    <xf numFmtId="0" fontId="6" fillId="0" borderId="2" xfId="0" applyFont="1" applyBorder="1"/>
    <xf numFmtId="0" fontId="15" fillId="0" borderId="3" xfId="0" applyFont="1" applyBorder="1"/>
    <xf numFmtId="3" fontId="9" fillId="0" borderId="4" xfId="0" applyNumberFormat="1" applyFont="1" applyBorder="1"/>
    <xf numFmtId="0" fontId="11" fillId="0" borderId="4" xfId="0" applyFont="1" applyBorder="1"/>
    <xf numFmtId="0" fontId="15" fillId="0" borderId="0" xfId="0" applyFont="1" applyAlignment="1">
      <alignment horizontal="center"/>
    </xf>
    <xf numFmtId="3" fontId="10" fillId="0" borderId="4" xfId="0" applyNumberFormat="1" applyFont="1" applyBorder="1" applyAlignment="1">
      <alignment horizontal="center"/>
    </xf>
    <xf numFmtId="4" fontId="5" fillId="0" borderId="2" xfId="0" applyNumberFormat="1" applyFont="1" applyBorder="1"/>
    <xf numFmtId="0" fontId="15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80" fontId="24" fillId="2" borderId="2" xfId="0" applyNumberFormat="1" applyFont="1" applyFill="1" applyBorder="1" applyAlignment="1">
      <alignment horizontal="right"/>
    </xf>
    <xf numFmtId="3" fontId="8" fillId="0" borderId="5" xfId="0" applyNumberFormat="1" applyFont="1" applyBorder="1"/>
    <xf numFmtId="10" fontId="8" fillId="0" borderId="2" xfId="0" applyNumberFormat="1" applyFont="1" applyBorder="1" applyAlignment="1">
      <alignment horizontal="center"/>
    </xf>
    <xf numFmtId="4" fontId="8" fillId="2" borderId="2" xfId="0" applyNumberFormat="1" applyFont="1" applyFill="1" applyBorder="1"/>
    <xf numFmtId="0" fontId="9" fillId="0" borderId="2" xfId="0" applyFont="1" applyBorder="1"/>
    <xf numFmtId="0" fontId="6" fillId="0" borderId="3" xfId="0" applyFont="1" applyBorder="1" applyAlignment="1">
      <alignment horizontal="left"/>
    </xf>
    <xf numFmtId="3" fontId="9" fillId="0" borderId="2" xfId="0" applyNumberFormat="1" applyFont="1" applyBorder="1"/>
    <xf numFmtId="3" fontId="8" fillId="0" borderId="2" xfId="0" applyNumberFormat="1" applyFont="1" applyBorder="1" applyAlignment="1">
      <alignment horizontal="center"/>
    </xf>
    <xf numFmtId="10" fontId="9" fillId="0" borderId="0" xfId="0" applyNumberFormat="1" applyFont="1" applyAlignment="1">
      <alignment horizontal="left"/>
    </xf>
    <xf numFmtId="3" fontId="9" fillId="0" borderId="3" xfId="0" applyNumberFormat="1" applyFont="1" applyBorder="1"/>
    <xf numFmtId="3" fontId="9" fillId="0" borderId="0" xfId="0" applyNumberFormat="1" applyFont="1" applyAlignment="1">
      <alignment horizontal="left"/>
    </xf>
    <xf numFmtId="3" fontId="5" fillId="0" borderId="0" xfId="0" applyNumberFormat="1" applyFont="1"/>
    <xf numFmtId="0" fontId="12" fillId="0" borderId="2" xfId="0" applyFont="1" applyBorder="1"/>
    <xf numFmtId="3" fontId="10" fillId="0" borderId="2" xfId="0" applyNumberFormat="1" applyFont="1" applyBorder="1"/>
    <xf numFmtId="0" fontId="24" fillId="0" borderId="2" xfId="0" applyFont="1" applyBorder="1"/>
    <xf numFmtId="3" fontId="8" fillId="0" borderId="2" xfId="0" applyNumberFormat="1" applyFont="1" applyBorder="1"/>
    <xf numFmtId="10" fontId="24" fillId="0" borderId="2" xfId="0" applyNumberFormat="1" applyFont="1" applyBorder="1" applyAlignment="1">
      <alignment horizontal="center"/>
    </xf>
    <xf numFmtId="10" fontId="5" fillId="0" borderId="2" xfId="0" applyNumberFormat="1" applyFont="1" applyBorder="1" applyAlignment="1">
      <alignment horizontal="left"/>
    </xf>
    <xf numFmtId="0" fontId="25" fillId="0" borderId="2" xfId="0" applyFont="1" applyBorder="1"/>
    <xf numFmtId="0" fontId="8" fillId="0" borderId="4" xfId="0" applyFont="1" applyBorder="1"/>
    <xf numFmtId="3" fontId="8" fillId="0" borderId="4" xfId="0" applyNumberFormat="1" applyFont="1" applyBorder="1"/>
    <xf numFmtId="10" fontId="8" fillId="0" borderId="4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0" fontId="12" fillId="0" borderId="0" xfId="0" applyFont="1"/>
    <xf numFmtId="10" fontId="5" fillId="0" borderId="2" xfId="0" applyNumberFormat="1" applyFont="1" applyBorder="1"/>
    <xf numFmtId="3" fontId="8" fillId="0" borderId="7" xfId="0" applyNumberFormat="1" applyFont="1" applyBorder="1"/>
    <xf numFmtId="10" fontId="8" fillId="0" borderId="7" xfId="0" applyNumberFormat="1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3" fontId="10" fillId="0" borderId="7" xfId="0" applyNumberFormat="1" applyFont="1" applyBorder="1"/>
    <xf numFmtId="0" fontId="15" fillId="0" borderId="2" xfId="0" applyFont="1" applyBorder="1" applyAlignment="1">
      <alignment horizontal="left"/>
    </xf>
    <xf numFmtId="3" fontId="10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3" fontId="5" fillId="0" borderId="2" xfId="0" applyNumberFormat="1" applyFont="1" applyBorder="1"/>
    <xf numFmtId="4" fontId="5" fillId="0" borderId="0" xfId="0" applyNumberFormat="1" applyFont="1"/>
    <xf numFmtId="3" fontId="5" fillId="0" borderId="3" xfId="0" applyNumberFormat="1" applyFont="1" applyBorder="1"/>
    <xf numFmtId="10" fontId="5" fillId="0" borderId="3" xfId="0" applyNumberFormat="1" applyFont="1" applyBorder="1" applyAlignment="1">
      <alignment horizontal="center"/>
    </xf>
    <xf numFmtId="3" fontId="8" fillId="0" borderId="3" xfId="0" applyNumberFormat="1" applyFont="1" applyBorder="1"/>
    <xf numFmtId="4" fontId="8" fillId="0" borderId="2" xfId="0" applyNumberFormat="1" applyFont="1" applyBorder="1"/>
    <xf numFmtId="0" fontId="8" fillId="0" borderId="5" xfId="0" quotePrefix="1" applyFont="1" applyBorder="1"/>
    <xf numFmtId="0" fontId="5" fillId="9" borderId="5" xfId="0" applyFont="1" applyFill="1" applyBorder="1" applyAlignment="1">
      <alignment horizontal="right"/>
    </xf>
    <xf numFmtId="3" fontId="5" fillId="0" borderId="5" xfId="0" applyNumberFormat="1" applyFont="1" applyBorder="1"/>
    <xf numFmtId="10" fontId="19" fillId="0" borderId="2" xfId="0" applyNumberFormat="1" applyFont="1" applyBorder="1" applyAlignment="1">
      <alignment horizontal="right"/>
    </xf>
    <xf numFmtId="10" fontId="19" fillId="9" borderId="3" xfId="0" applyNumberFormat="1" applyFont="1" applyFill="1" applyBorder="1" applyAlignment="1">
      <alignment horizontal="right"/>
    </xf>
    <xf numFmtId="3" fontId="10" fillId="0" borderId="10" xfId="0" applyNumberFormat="1" applyFont="1" applyBorder="1" applyAlignment="1">
      <alignment horizontal="right"/>
    </xf>
    <xf numFmtId="3" fontId="10" fillId="0" borderId="9" xfId="0" applyNumberFormat="1" applyFont="1" applyBorder="1" applyAlignment="1">
      <alignment horizontal="right"/>
    </xf>
    <xf numFmtId="0" fontId="8" fillId="10" borderId="3" xfId="0" applyFont="1" applyFill="1" applyBorder="1"/>
    <xf numFmtId="3" fontId="8" fillId="10" borderId="3" xfId="0" applyNumberFormat="1" applyFont="1" applyFill="1" applyBorder="1" applyAlignment="1">
      <alignment horizontal="right"/>
    </xf>
    <xf numFmtId="10" fontId="19" fillId="10" borderId="3" xfId="0" applyNumberFormat="1" applyFont="1" applyFill="1" applyBorder="1" applyAlignment="1">
      <alignment horizontal="right"/>
    </xf>
    <xf numFmtId="3" fontId="10" fillId="10" borderId="10" xfId="0" applyNumberFormat="1" applyFont="1" applyFill="1" applyBorder="1" applyAlignment="1">
      <alignment horizontal="right"/>
    </xf>
    <xf numFmtId="0" fontId="5" fillId="10" borderId="0" xfId="0" applyFont="1" applyFill="1"/>
    <xf numFmtId="0" fontId="26" fillId="0" borderId="0" xfId="2" applyFont="1"/>
    <xf numFmtId="0" fontId="5" fillId="0" borderId="5" xfId="0" quotePrefix="1" applyFont="1" applyBorder="1"/>
    <xf numFmtId="3" fontId="8" fillId="0" borderId="5" xfId="0" applyNumberFormat="1" applyFont="1" applyBorder="1" applyAlignment="1">
      <alignment horizontal="right"/>
    </xf>
    <xf numFmtId="10" fontId="19" fillId="0" borderId="5" xfId="0" applyNumberFormat="1" applyFont="1" applyBorder="1" applyAlignment="1">
      <alignment horizontal="right"/>
    </xf>
    <xf numFmtId="3" fontId="8" fillId="0" borderId="11" xfId="0" applyNumberFormat="1" applyFont="1" applyBorder="1" applyAlignment="1">
      <alignment horizontal="right"/>
    </xf>
    <xf numFmtId="0" fontId="5" fillId="9" borderId="0" xfId="0" applyFont="1" applyFill="1" applyAlignment="1">
      <alignment horizontal="right"/>
    </xf>
    <xf numFmtId="3" fontId="9" fillId="9" borderId="9" xfId="0" applyNumberFormat="1" applyFont="1" applyFill="1" applyBorder="1" applyAlignment="1">
      <alignment horizontal="right"/>
    </xf>
    <xf numFmtId="10" fontId="23" fillId="0" borderId="2" xfId="0" applyNumberFormat="1" applyFont="1" applyBorder="1" applyAlignment="1">
      <alignment horizontal="right"/>
    </xf>
    <xf numFmtId="0" fontId="5" fillId="10" borderId="3" xfId="0" applyFont="1" applyFill="1" applyBorder="1"/>
    <xf numFmtId="3" fontId="8" fillId="10" borderId="10" xfId="0" applyNumberFormat="1" applyFont="1" applyFill="1" applyBorder="1" applyAlignment="1">
      <alignment horizontal="right"/>
    </xf>
    <xf numFmtId="184" fontId="10" fillId="0" borderId="2" xfId="0" applyNumberFormat="1" applyFont="1" applyBorder="1" applyAlignment="1">
      <alignment horizontal="right"/>
    </xf>
    <xf numFmtId="184" fontId="8" fillId="0" borderId="9" xfId="0" applyNumberFormat="1" applyFont="1" applyBorder="1" applyAlignment="1">
      <alignment horizontal="right"/>
    </xf>
    <xf numFmtId="10" fontId="19" fillId="11" borderId="2" xfId="0" applyNumberFormat="1" applyFont="1" applyFill="1" applyBorder="1" applyAlignment="1">
      <alignment horizontal="right"/>
    </xf>
    <xf numFmtId="10" fontId="19" fillId="11" borderId="9" xfId="0" applyNumberFormat="1" applyFont="1" applyFill="1" applyBorder="1" applyAlignment="1">
      <alignment horizontal="right"/>
    </xf>
    <xf numFmtId="184" fontId="9" fillId="0" borderId="3" xfId="0" applyNumberFormat="1" applyFont="1" applyBorder="1" applyAlignment="1">
      <alignment horizontal="right"/>
    </xf>
    <xf numFmtId="10" fontId="19" fillId="0" borderId="3" xfId="0" applyNumberFormat="1" applyFont="1" applyBorder="1" applyAlignment="1">
      <alignment horizontal="right"/>
    </xf>
    <xf numFmtId="10" fontId="5" fillId="0" borderId="0" xfId="0" applyNumberFormat="1" applyFont="1" applyAlignment="1">
      <alignment horizontal="center"/>
    </xf>
    <xf numFmtId="8" fontId="5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5" fillId="8" borderId="3" xfId="0" quotePrefix="1" applyFont="1" applyFill="1" applyBorder="1" applyAlignment="1">
      <alignment horizontal="center"/>
    </xf>
    <xf numFmtId="0" fontId="13" fillId="0" borderId="0" xfId="0" quotePrefix="1" applyFont="1" applyAlignment="1">
      <alignment horizontal="center"/>
    </xf>
    <xf numFmtId="0" fontId="13" fillId="0" borderId="2" xfId="0" quotePrefix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9" fontId="19" fillId="9" borderId="2" xfId="0" applyNumberFormat="1" applyFont="1" applyFill="1" applyBorder="1" applyAlignment="1">
      <alignment horizontal="center"/>
    </xf>
    <xf numFmtId="183" fontId="5" fillId="0" borderId="2" xfId="0" applyNumberFormat="1" applyFont="1" applyBorder="1" applyAlignment="1">
      <alignment horizontal="center"/>
    </xf>
    <xf numFmtId="0" fontId="5" fillId="9" borderId="0" xfId="0" applyFont="1" applyFill="1"/>
    <xf numFmtId="3" fontId="5" fillId="0" borderId="5" xfId="0" applyNumberFormat="1" applyFont="1" applyBorder="1" applyAlignment="1">
      <alignment horizontal="center"/>
    </xf>
    <xf numFmtId="9" fontId="19" fillId="9" borderId="5" xfId="0" applyNumberFormat="1" applyFont="1" applyFill="1" applyBorder="1" applyAlignment="1">
      <alignment horizontal="center"/>
    </xf>
    <xf numFmtId="183" fontId="5" fillId="0" borderId="5" xfId="0" applyNumberFormat="1" applyFont="1" applyBorder="1" applyAlignment="1">
      <alignment horizontal="center"/>
    </xf>
    <xf numFmtId="0" fontId="5" fillId="9" borderId="5" xfId="0" applyFont="1" applyFill="1" applyBorder="1"/>
    <xf numFmtId="183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85" fontId="20" fillId="0" borderId="0" xfId="0" applyNumberFormat="1" applyFont="1" applyAlignment="1">
      <alignment horizontal="right"/>
    </xf>
    <xf numFmtId="186" fontId="20" fillId="0" borderId="0" xfId="0" applyNumberFormat="1" applyFont="1" applyAlignment="1">
      <alignment horizontal="right"/>
    </xf>
    <xf numFmtId="184" fontId="20" fillId="0" borderId="10" xfId="0" applyNumberFormat="1" applyFont="1" applyBorder="1" applyAlignment="1">
      <alignment horizontal="right"/>
    </xf>
    <xf numFmtId="3" fontId="20" fillId="0" borderId="9" xfId="0" applyNumberFormat="1" applyFont="1" applyBorder="1" applyAlignment="1">
      <alignment horizontal="right"/>
    </xf>
    <xf numFmtId="10" fontId="21" fillId="0" borderId="2" xfId="0" applyNumberFormat="1" applyFont="1" applyBorder="1" applyAlignment="1">
      <alignment horizontal="right"/>
    </xf>
    <xf numFmtId="10" fontId="20" fillId="0" borderId="2" xfId="0" applyNumberFormat="1" applyFont="1" applyBorder="1" applyAlignment="1">
      <alignment horizontal="center"/>
    </xf>
    <xf numFmtId="3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20" fillId="6" borderId="2" xfId="0" applyFont="1" applyFill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0" borderId="2" xfId="0" quotePrefix="1" applyFont="1" applyBorder="1" applyAlignment="1">
      <alignment horizontal="left" wrapText="1"/>
    </xf>
    <xf numFmtId="0" fontId="10" fillId="0" borderId="0" xfId="0" quotePrefix="1" applyFont="1" applyAlignment="1">
      <alignment horizontal="left"/>
    </xf>
    <xf numFmtId="3" fontId="7" fillId="0" borderId="2" xfId="0" applyNumberFormat="1" applyFont="1" applyBorder="1" applyAlignment="1">
      <alignment horizontal="right"/>
    </xf>
    <xf numFmtId="0" fontId="23" fillId="0" borderId="2" xfId="0" applyFont="1" applyBorder="1" applyAlignment="1">
      <alignment horizontal="left" wrapText="1" indent="2"/>
    </xf>
    <xf numFmtId="0" fontId="23" fillId="0" borderId="2" xfId="0" quotePrefix="1" applyFont="1" applyBorder="1" applyAlignment="1">
      <alignment horizontal="left" wrapText="1" indent="2"/>
    </xf>
    <xf numFmtId="0" fontId="16" fillId="0" borderId="2" xfId="0" applyFont="1" applyBorder="1" applyAlignment="1">
      <alignment horizontal="left" wrapText="1" indent="1"/>
    </xf>
    <xf numFmtId="10" fontId="7" fillId="0" borderId="2" xfId="0" applyNumberFormat="1" applyFont="1" applyBorder="1" applyAlignment="1">
      <alignment horizontal="right"/>
    </xf>
    <xf numFmtId="187" fontId="4" fillId="0" borderId="0" xfId="0" applyNumberFormat="1" applyFont="1" applyAlignment="1">
      <alignment horizontal="left" wrapText="1"/>
    </xf>
    <xf numFmtId="181" fontId="27" fillId="12" borderId="8" xfId="0" applyNumberFormat="1" applyFont="1" applyFill="1" applyBorder="1" applyAlignment="1">
      <alignment horizontal="center"/>
    </xf>
    <xf numFmtId="181" fontId="27" fillId="12" borderId="12" xfId="0" applyNumberFormat="1" applyFont="1" applyFill="1" applyBorder="1" applyAlignment="1">
      <alignment horizontal="center"/>
    </xf>
    <xf numFmtId="10" fontId="10" fillId="0" borderId="2" xfId="0" applyNumberFormat="1" applyFont="1" applyBorder="1"/>
    <xf numFmtId="188" fontId="20" fillId="0" borderId="12" xfId="0" applyNumberFormat="1" applyFont="1" applyBorder="1"/>
    <xf numFmtId="0" fontId="16" fillId="0" borderId="2" xfId="0" quotePrefix="1" applyFont="1" applyBorder="1" applyAlignment="1">
      <alignment horizontal="left" wrapText="1" indent="1"/>
    </xf>
    <xf numFmtId="0" fontId="15" fillId="0" borderId="3" xfId="0" quotePrefix="1" applyFont="1" applyBorder="1"/>
    <xf numFmtId="3" fontId="8" fillId="0" borderId="3" xfId="0" applyNumberFormat="1" applyFont="1" applyBorder="1" applyAlignment="1">
      <alignment horizontal="center"/>
    </xf>
    <xf numFmtId="0" fontId="15" fillId="0" borderId="0" xfId="0" quotePrefix="1" applyFont="1" applyAlignment="1">
      <alignment horizontal="left" indent="1"/>
    </xf>
    <xf numFmtId="0" fontId="10" fillId="0" borderId="2" xfId="0" applyFont="1" applyBorder="1" applyAlignment="1">
      <alignment horizontal="left"/>
    </xf>
    <xf numFmtId="177" fontId="10" fillId="0" borderId="2" xfId="0" applyNumberFormat="1" applyFont="1" applyBorder="1" applyAlignment="1">
      <alignment horizontal="left"/>
    </xf>
    <xf numFmtId="3" fontId="10" fillId="0" borderId="2" xfId="0" applyNumberFormat="1" applyFont="1" applyBorder="1" applyAlignment="1">
      <alignment horizontal="left"/>
    </xf>
    <xf numFmtId="178" fontId="10" fillId="0" borderId="2" xfId="0" applyNumberFormat="1" applyFont="1" applyBorder="1" applyAlignment="1">
      <alignment horizontal="left"/>
    </xf>
    <xf numFmtId="0" fontId="29" fillId="13" borderId="0" xfId="0" applyFont="1" applyFill="1"/>
    <xf numFmtId="181" fontId="12" fillId="14" borderId="2" xfId="0" applyNumberFormat="1" applyFont="1" applyFill="1" applyBorder="1" applyAlignment="1">
      <alignment horizontal="center"/>
    </xf>
    <xf numFmtId="0" fontId="30" fillId="0" borderId="0" xfId="0" applyFont="1"/>
    <xf numFmtId="181" fontId="16" fillId="0" borderId="2" xfId="0" applyNumberFormat="1" applyFont="1" applyBorder="1" applyAlignment="1">
      <alignment horizontal="center"/>
    </xf>
    <xf numFmtId="49" fontId="9" fillId="0" borderId="12" xfId="0" applyNumberFormat="1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177" fontId="9" fillId="0" borderId="12" xfId="0" applyNumberFormat="1" applyFont="1" applyBorder="1" applyAlignment="1">
      <alignment horizontal="right"/>
    </xf>
    <xf numFmtId="182" fontId="20" fillId="0" borderId="12" xfId="0" applyNumberFormat="1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3" fontId="9" fillId="0" borderId="12" xfId="0" applyNumberFormat="1" applyFont="1" applyBorder="1"/>
    <xf numFmtId="181" fontId="9" fillId="0" borderId="12" xfId="0" applyNumberFormat="1" applyFont="1" applyBorder="1" applyAlignment="1">
      <alignment horizontal="right"/>
    </xf>
    <xf numFmtId="3" fontId="9" fillId="0" borderId="12" xfId="0" applyNumberFormat="1" applyFont="1" applyBorder="1" applyAlignment="1">
      <alignment horizontal="right"/>
    </xf>
    <xf numFmtId="10" fontId="21" fillId="0" borderId="12" xfId="0" applyNumberFormat="1" applyFont="1" applyBorder="1" applyAlignment="1">
      <alignment horizontal="right"/>
    </xf>
    <xf numFmtId="3" fontId="28" fillId="0" borderId="2" xfId="0" applyNumberFormat="1" applyFont="1" applyBorder="1" applyAlignment="1">
      <alignment horizontal="right"/>
    </xf>
    <xf numFmtId="184" fontId="9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10" fontId="10" fillId="0" borderId="2" xfId="0" applyNumberFormat="1" applyFont="1" applyBorder="1" applyAlignment="1">
      <alignment horizontal="center"/>
    </xf>
    <xf numFmtId="3" fontId="31" fillId="0" borderId="2" xfId="0" applyNumberFormat="1" applyFont="1" applyBorder="1" applyAlignment="1">
      <alignment horizontal="right"/>
    </xf>
    <xf numFmtId="0" fontId="10" fillId="0" borderId="2" xfId="0" quotePrefix="1" applyFont="1" applyBorder="1" applyAlignment="1">
      <alignment horizontal="left"/>
    </xf>
    <xf numFmtId="0" fontId="23" fillId="0" borderId="2" xfId="0" quotePrefix="1" applyFont="1" applyBorder="1" applyAlignment="1">
      <alignment horizontal="left" indent="2"/>
    </xf>
    <xf numFmtId="0" fontId="16" fillId="0" borderId="2" xfId="0" applyFont="1" applyBorder="1" applyAlignment="1">
      <alignment horizontal="left" indent="1"/>
    </xf>
    <xf numFmtId="181" fontId="10" fillId="0" borderId="3" xfId="0" applyNumberFormat="1" applyFont="1" applyBorder="1" applyAlignment="1">
      <alignment horizontal="center"/>
    </xf>
    <xf numFmtId="180" fontId="5" fillId="0" borderId="2" xfId="0" applyNumberFormat="1" applyFont="1" applyBorder="1" applyAlignment="1">
      <alignment horizontal="right"/>
    </xf>
    <xf numFmtId="0" fontId="10" fillId="0" borderId="2" xfId="0" applyFont="1" applyBorder="1" applyAlignment="1">
      <alignment horizontal="center" wrapText="1"/>
    </xf>
    <xf numFmtId="0" fontId="23" fillId="0" borderId="2" xfId="0" quotePrefix="1" applyFont="1" applyBorder="1" applyAlignment="1">
      <alignment horizontal="left"/>
    </xf>
    <xf numFmtId="0" fontId="16" fillId="0" borderId="2" xfId="0" quotePrefix="1" applyFont="1" applyBorder="1" applyAlignment="1">
      <alignment horizontal="left" indent="1"/>
    </xf>
    <xf numFmtId="177" fontId="9" fillId="0" borderId="2" xfId="0" applyNumberFormat="1" applyFont="1" applyBorder="1" applyAlignment="1">
      <alignment horizontal="left"/>
    </xf>
    <xf numFmtId="182" fontId="9" fillId="0" borderId="2" xfId="0" applyNumberFormat="1" applyFont="1" applyBorder="1" applyAlignment="1">
      <alignment horizontal="left"/>
    </xf>
    <xf numFmtId="0" fontId="16" fillId="0" borderId="3" xfId="0" applyFont="1" applyBorder="1"/>
    <xf numFmtId="0" fontId="10" fillId="0" borderId="3" xfId="0" applyFont="1" applyBorder="1"/>
    <xf numFmtId="0" fontId="15" fillId="0" borderId="0" xfId="0" applyFont="1"/>
    <xf numFmtId="0" fontId="19" fillId="0" borderId="0" xfId="0" applyFont="1"/>
    <xf numFmtId="189" fontId="5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left"/>
    </xf>
    <xf numFmtId="10" fontId="20" fillId="0" borderId="2" xfId="0" applyNumberFormat="1" applyFont="1" applyBorder="1" applyAlignment="1">
      <alignment horizontal="left"/>
    </xf>
    <xf numFmtId="0" fontId="20" fillId="0" borderId="2" xfId="0" applyFont="1" applyBorder="1"/>
    <xf numFmtId="0" fontId="9" fillId="0" borderId="2" xfId="0" applyFont="1" applyBorder="1" applyAlignment="1">
      <alignment horizontal="left"/>
    </xf>
    <xf numFmtId="49" fontId="9" fillId="0" borderId="2" xfId="0" applyNumberFormat="1" applyFont="1" applyBorder="1" applyAlignment="1">
      <alignment horizontal="left"/>
    </xf>
    <xf numFmtId="4" fontId="9" fillId="0" borderId="2" xfId="0" applyNumberFormat="1" applyFont="1" applyBorder="1" applyAlignment="1">
      <alignment horizontal="left"/>
    </xf>
    <xf numFmtId="3" fontId="9" fillId="0" borderId="2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0" fontId="16" fillId="0" borderId="2" xfId="0" applyFont="1" applyBorder="1"/>
    <xf numFmtId="0" fontId="16" fillId="0" borderId="2" xfId="0" applyFont="1" applyBorder="1" applyAlignment="1">
      <alignment horizontal="center" wrapText="1"/>
    </xf>
    <xf numFmtId="0" fontId="29" fillId="13" borderId="2" xfId="0" applyFont="1" applyFill="1" applyBorder="1"/>
    <xf numFmtId="0" fontId="23" fillId="0" borderId="2" xfId="0" applyFont="1" applyBorder="1" applyAlignment="1">
      <alignment horizontal="left" indent="2"/>
    </xf>
    <xf numFmtId="0" fontId="16" fillId="0" borderId="2" xfId="0" applyFont="1" applyBorder="1" applyAlignment="1">
      <alignment horizontal="left"/>
    </xf>
    <xf numFmtId="0" fontId="29" fillId="0" borderId="2" xfId="0" applyFont="1" applyBorder="1"/>
    <xf numFmtId="3" fontId="15" fillId="0" borderId="2" xfId="0" applyNumberFormat="1" applyFont="1" applyBorder="1" applyAlignment="1">
      <alignment horizontal="right"/>
    </xf>
    <xf numFmtId="0" fontId="19" fillId="0" borderId="2" xfId="0" applyFont="1" applyBorder="1"/>
    <xf numFmtId="10" fontId="5" fillId="0" borderId="2" xfId="0" applyNumberFormat="1" applyFont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81" fontId="10" fillId="0" borderId="2" xfId="0" applyNumberFormat="1" applyFont="1" applyBorder="1" applyAlignment="1">
      <alignment horizontal="center"/>
    </xf>
    <xf numFmtId="190" fontId="10" fillId="0" borderId="2" xfId="0" applyNumberFormat="1" applyFont="1" applyBorder="1" applyAlignment="1">
      <alignment horizontal="left" wrapText="1"/>
    </xf>
    <xf numFmtId="190" fontId="10" fillId="0" borderId="2" xfId="0" applyNumberFormat="1" applyFont="1" applyBorder="1" applyAlignment="1">
      <alignment horizontal="right"/>
    </xf>
    <xf numFmtId="190" fontId="10" fillId="0" borderId="2" xfId="0" quotePrefix="1" applyNumberFormat="1" applyFont="1" applyBorder="1" applyAlignment="1">
      <alignment horizontal="left" wrapText="1"/>
    </xf>
    <xf numFmtId="190" fontId="16" fillId="0" borderId="2" xfId="0" applyNumberFormat="1" applyFont="1" applyBorder="1" applyAlignment="1">
      <alignment horizontal="left" wrapText="1" indent="1"/>
    </xf>
    <xf numFmtId="190" fontId="16" fillId="0" borderId="2" xfId="0" applyNumberFormat="1" applyFont="1" applyBorder="1" applyAlignment="1">
      <alignment horizontal="right"/>
    </xf>
    <xf numFmtId="190" fontId="10" fillId="0" borderId="2" xfId="0" quotePrefix="1" applyNumberFormat="1" applyFont="1" applyBorder="1" applyAlignment="1">
      <alignment horizontal="left"/>
    </xf>
    <xf numFmtId="190" fontId="16" fillId="0" borderId="2" xfId="0" applyNumberFormat="1" applyFont="1" applyBorder="1" applyAlignment="1">
      <alignment horizontal="left" indent="1"/>
    </xf>
    <xf numFmtId="190" fontId="16" fillId="0" borderId="2" xfId="0" applyNumberFormat="1" applyFont="1" applyBorder="1" applyAlignment="1">
      <alignment wrapText="1"/>
    </xf>
    <xf numFmtId="0" fontId="32" fillId="0" borderId="2" xfId="0" applyFont="1" applyBorder="1"/>
    <xf numFmtId="10" fontId="10" fillId="0" borderId="2" xfId="0" applyNumberFormat="1" applyFont="1" applyBorder="1" applyAlignment="1">
      <alignment horizontal="right" wrapText="1"/>
    </xf>
    <xf numFmtId="190" fontId="20" fillId="0" borderId="2" xfId="0" applyNumberFormat="1" applyFont="1" applyBorder="1" applyAlignment="1">
      <alignment wrapText="1"/>
    </xf>
    <xf numFmtId="190" fontId="10" fillId="0" borderId="2" xfId="0" quotePrefix="1" applyNumberFormat="1" applyFont="1" applyBorder="1" applyAlignment="1">
      <alignment wrapText="1"/>
    </xf>
    <xf numFmtId="190" fontId="10" fillId="0" borderId="2" xfId="0" quotePrefix="1" applyNumberFormat="1" applyFont="1" applyBorder="1"/>
    <xf numFmtId="190" fontId="16" fillId="0" borderId="2" xfId="0" applyNumberFormat="1" applyFont="1" applyBorder="1"/>
    <xf numFmtId="0" fontId="10" fillId="0" borderId="2" xfId="0" quotePrefix="1" applyFont="1" applyBorder="1" applyAlignment="1">
      <alignment wrapText="1"/>
    </xf>
    <xf numFmtId="10" fontId="20" fillId="0" borderId="2" xfId="0" applyNumberFormat="1" applyFont="1" applyBorder="1" applyAlignment="1">
      <alignment wrapText="1"/>
    </xf>
    <xf numFmtId="10" fontId="16" fillId="0" borderId="2" xfId="0" applyNumberFormat="1" applyFont="1" applyBorder="1" applyAlignment="1">
      <alignment wrapText="1"/>
    </xf>
    <xf numFmtId="0" fontId="16" fillId="0" borderId="2" xfId="0" applyFont="1" applyBorder="1" applyAlignment="1">
      <alignment horizontal="left" wrapText="1"/>
    </xf>
    <xf numFmtId="10" fontId="10" fillId="0" borderId="2" xfId="0" quotePrefix="1" applyNumberFormat="1" applyFont="1" applyBorder="1" applyAlignment="1">
      <alignment horizontal="right" wrapText="1"/>
    </xf>
    <xf numFmtId="10" fontId="16" fillId="0" borderId="2" xfId="0" quotePrefix="1" applyNumberFormat="1" applyFont="1" applyBorder="1" applyAlignment="1">
      <alignment horizontal="right" wrapText="1"/>
    </xf>
    <xf numFmtId="14" fontId="15" fillId="0" borderId="3" xfId="0" applyNumberFormat="1" applyFont="1" applyBorder="1" applyAlignment="1">
      <alignment horizontal="center"/>
    </xf>
    <xf numFmtId="181" fontId="27" fillId="12" borderId="6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2" fontId="5" fillId="0" borderId="4" xfId="1" applyNumberFormat="1" applyFont="1" applyBorder="1" applyAlignment="1">
      <alignment horizontal="left"/>
    </xf>
    <xf numFmtId="3" fontId="8" fillId="0" borderId="2" xfId="0" applyNumberFormat="1" applyFont="1" applyBorder="1" applyAlignment="1">
      <alignment horizontal="center"/>
    </xf>
    <xf numFmtId="0" fontId="10" fillId="0" borderId="2" xfId="0" applyFont="1" applyBorder="1"/>
    <xf numFmtId="3" fontId="10" fillId="0" borderId="2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4" fontId="15" fillId="0" borderId="2" xfId="0" applyNumberFormat="1" applyFont="1" applyBorder="1" applyAlignment="1">
      <alignment horizontal="center"/>
    </xf>
    <xf numFmtId="181" fontId="27" fillId="12" borderId="8" xfId="0" applyNumberFormat="1" applyFont="1" applyFill="1" applyBorder="1" applyAlignment="1">
      <alignment horizontal="center"/>
    </xf>
    <xf numFmtId="189" fontId="15" fillId="0" borderId="2" xfId="0" applyNumberFormat="1" applyFont="1" applyBorder="1"/>
  </cellXfs>
  <cellStyles count="3">
    <cellStyle name="千位分隔" xfId="1" builtinId="3"/>
    <cellStyle name="常规" xfId="0" builtinId="0"/>
    <cellStyle name="超链接" xfId="2" builtinId="8"/>
  </cellStyles>
  <dxfs count="15"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>
          <bgColor rgb="FFFFC7CE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0000"/>
      <color rgb="FF0000FF"/>
      <color rgb="FF003871"/>
      <color rgb="FF005078"/>
      <color rgb="FF002850"/>
      <color rgb="FF00283C"/>
      <color rgb="FF999999"/>
      <color rgb="FF0087CC"/>
      <color rgb="FFADB9C5"/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ages.stern.nyu.edu/~adamodar/New_Home_Page/datafile/countrytaxrates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ftp.chinamoney.com.cn/chinese/scsjzqxx/" TargetMode="External"/><Relationship Id="rId2" Type="http://schemas.openxmlformats.org/officeDocument/2006/relationships/hyperlink" Target="https://yield.chinabond.com.cn/cbweb-mn/yield_main?locale=en_US" TargetMode="External"/><Relationship Id="rId1" Type="http://schemas.openxmlformats.org/officeDocument/2006/relationships/hyperlink" Target="https://fred.stlouisfed.org/series/BAMLC0A4CBBBEY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fred.stlouisfed.org/series/DGS10" TargetMode="External"/><Relationship Id="rId4" Type="http://schemas.openxmlformats.org/officeDocument/2006/relationships/hyperlink" Target="https://tradingeconomics.com/china/government-bond-yiel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pages.stern.nyu.edu/~adamodar/New_Home_Page/datafile/wc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CB28-CABF-4F73-9474-1674E7E6FB22}">
  <sheetPr>
    <pageSetUpPr fitToPage="1"/>
  </sheetPr>
  <dimension ref="A1:I142"/>
  <sheetViews>
    <sheetView showGridLines="0" workbookViewId="0">
      <selection activeCell="D22" sqref="D22"/>
    </sheetView>
  </sheetViews>
  <sheetFormatPr defaultRowHeight="11.65" x14ac:dyDescent="0.35"/>
  <cols>
    <col min="1" max="1" width="2.59765625" style="1" customWidth="1"/>
    <col min="2" max="2" width="23.1328125" style="1" customWidth="1"/>
    <col min="3" max="3" width="15.59765625" style="1" customWidth="1"/>
    <col min="4" max="5" width="25.59765625" style="1" customWidth="1"/>
    <col min="6" max="16384" width="9.06640625" style="1"/>
  </cols>
  <sheetData>
    <row r="1" spans="1:9" x14ac:dyDescent="0.35">
      <c r="B1" s="260" t="s">
        <v>340</v>
      </c>
      <c r="C1" s="266" t="str">
        <f>Inputs!C95</f>
        <v>六福珠宝</v>
      </c>
      <c r="D1" s="267" t="str">
        <f>Inputs!C94</f>
        <v>0590.HK</v>
      </c>
    </row>
    <row r="2" spans="1:9" x14ac:dyDescent="0.35">
      <c r="B2" s="5" t="s">
        <v>244</v>
      </c>
      <c r="C2" s="256">
        <v>45643</v>
      </c>
      <c r="D2" s="270"/>
    </row>
    <row r="3" spans="1:9" ht="13.9" x14ac:dyDescent="0.45">
      <c r="A3" s="230" t="s">
        <v>384</v>
      </c>
      <c r="B3" s="230"/>
      <c r="C3" s="230"/>
      <c r="D3" s="230"/>
      <c r="E3" s="230"/>
      <c r="F3" s="138"/>
      <c r="G3" s="138"/>
      <c r="H3" s="138"/>
      <c r="I3" s="138"/>
    </row>
    <row r="4" spans="1:9" x14ac:dyDescent="0.35">
      <c r="B4" s="258" t="s">
        <v>380</v>
      </c>
      <c r="C4" s="259"/>
    </row>
    <row r="5" spans="1:9" x14ac:dyDescent="0.35">
      <c r="B5" s="2" t="s">
        <v>382</v>
      </c>
      <c r="C5" s="206" t="s">
        <v>259</v>
      </c>
      <c r="D5" s="10"/>
    </row>
    <row r="6" spans="1:9" x14ac:dyDescent="0.35">
      <c r="B6" s="2" t="s">
        <v>383</v>
      </c>
      <c r="C6" s="266" t="str">
        <f>Inputs!C99</f>
        <v>C0003</v>
      </c>
      <c r="D6" s="2"/>
    </row>
    <row r="7" spans="1:9" x14ac:dyDescent="0.35">
      <c r="B7" s="2" t="s">
        <v>299</v>
      </c>
      <c r="C7" s="257">
        <v>8</v>
      </c>
      <c r="D7" s="2"/>
    </row>
    <row r="8" spans="1:9" x14ac:dyDescent="0.35">
      <c r="B8" s="1" t="s">
        <v>300</v>
      </c>
      <c r="C8" s="227">
        <f>EOMONTH(EDATE(Fin_Analysis!D9,Thesis!C7),0)</f>
        <v>45626</v>
      </c>
    </row>
    <row r="10" spans="1:9" x14ac:dyDescent="0.35">
      <c r="B10" s="258" t="str">
        <f>D1&amp;" Stock Information"</f>
        <v>0590.HK Stock Information</v>
      </c>
      <c r="C10" s="259"/>
      <c r="D10" s="10"/>
    </row>
    <row r="11" spans="1:9" x14ac:dyDescent="0.35">
      <c r="B11" s="8" t="s">
        <v>381</v>
      </c>
      <c r="C11" s="268">
        <v>13.82</v>
      </c>
      <c r="D11" s="266" t="s">
        <v>238</v>
      </c>
    </row>
    <row r="12" spans="1:9" x14ac:dyDescent="0.35">
      <c r="B12" s="8" t="s">
        <v>2</v>
      </c>
      <c r="C12" s="269">
        <f>Inputs!C100</f>
        <v>587107850</v>
      </c>
      <c r="D12" s="228"/>
    </row>
    <row r="13" spans="1:9" x14ac:dyDescent="0.35">
      <c r="B13" s="8" t="s">
        <v>4</v>
      </c>
      <c r="C13" s="266" t="str">
        <f>Inputs!C101</f>
        <v>HKD</v>
      </c>
      <c r="D13" s="226"/>
    </row>
    <row r="14" spans="1:9" x14ac:dyDescent="0.35">
      <c r="B14" s="8" t="s">
        <v>5</v>
      </c>
      <c r="C14" s="268">
        <v>1</v>
      </c>
      <c r="D14" s="266" t="str">
        <f>IF(C13=Thesis!D11,Thesis!D11,C13&amp;"/"&amp;Thesis!D11)</f>
        <v>HKD</v>
      </c>
    </row>
    <row r="15" spans="1:9" x14ac:dyDescent="0.35">
      <c r="B15" s="8" t="s">
        <v>87</v>
      </c>
      <c r="C15" s="229">
        <f>Thesis!C11*Thesis!C12/1000000</f>
        <v>8113.8304870000002</v>
      </c>
      <c r="D15" s="266"/>
    </row>
    <row r="16" spans="1:9" x14ac:dyDescent="0.35">
      <c r="D16" s="10"/>
    </row>
    <row r="17" spans="1:5" ht="13.9" x14ac:dyDescent="0.45">
      <c r="A17" s="230" t="s">
        <v>385</v>
      </c>
      <c r="B17" s="230"/>
      <c r="C17" s="230"/>
      <c r="D17" s="230"/>
      <c r="E17" s="230"/>
    </row>
    <row r="19" spans="1:5" x14ac:dyDescent="0.35">
      <c r="A19" s="110" t="str">
        <f>"1."</f>
        <v>1.</v>
      </c>
      <c r="B19" s="260" t="s">
        <v>389</v>
      </c>
    </row>
    <row r="20" spans="1:5" x14ac:dyDescent="0.35">
      <c r="B20" s="260" t="s">
        <v>356</v>
      </c>
    </row>
    <row r="21" spans="1:5" x14ac:dyDescent="0.35">
      <c r="B21" s="1" t="s">
        <v>391</v>
      </c>
    </row>
    <row r="26" spans="1:5" x14ac:dyDescent="0.35">
      <c r="B26" s="1" t="s">
        <v>390</v>
      </c>
    </row>
    <row r="30" spans="1:5" x14ac:dyDescent="0.35">
      <c r="A30" s="110" t="str">
        <f>"1."</f>
        <v>1.</v>
      </c>
      <c r="B30" s="260" t="s">
        <v>341</v>
      </c>
    </row>
    <row r="31" spans="1:5" x14ac:dyDescent="0.35">
      <c r="B31" s="260" t="s">
        <v>356</v>
      </c>
    </row>
    <row r="32" spans="1:5" x14ac:dyDescent="0.35">
      <c r="B32" s="1" t="s">
        <v>322</v>
      </c>
    </row>
    <row r="34" spans="1:4" x14ac:dyDescent="0.35">
      <c r="B34" s="260" t="s">
        <v>388</v>
      </c>
    </row>
    <row r="35" spans="1:4" x14ac:dyDescent="0.35">
      <c r="B35" s="1" t="s">
        <v>387</v>
      </c>
    </row>
    <row r="38" spans="1:4" x14ac:dyDescent="0.35">
      <c r="B38" s="261" t="s">
        <v>323</v>
      </c>
    </row>
    <row r="39" spans="1:4" x14ac:dyDescent="0.35">
      <c r="B39" s="261" t="s">
        <v>324</v>
      </c>
    </row>
    <row r="40" spans="1:4" x14ac:dyDescent="0.35">
      <c r="B40" s="261" t="s">
        <v>325</v>
      </c>
    </row>
    <row r="41" spans="1:4" x14ac:dyDescent="0.35">
      <c r="B41" s="261" t="s">
        <v>326</v>
      </c>
    </row>
    <row r="43" spans="1:4" x14ac:dyDescent="0.35">
      <c r="A43" s="110" t="str">
        <f>"2."</f>
        <v>2.</v>
      </c>
      <c r="B43" s="260" t="s">
        <v>342</v>
      </c>
    </row>
    <row r="44" spans="1:4" x14ac:dyDescent="0.35">
      <c r="B44" s="260" t="s">
        <v>327</v>
      </c>
    </row>
    <row r="45" spans="1:4" x14ac:dyDescent="0.35">
      <c r="B45" s="1" t="s">
        <v>301</v>
      </c>
      <c r="C45" s="264" t="s">
        <v>153</v>
      </c>
      <c r="D45" s="263">
        <f>IF(C45="CN",Dashboard!C12,IF(C45="US",Dashboard!C7,IF(C45="HK",Dashboard!D7,Dashboard!D12)))</f>
        <v>7.5000000000000011E-2</v>
      </c>
    </row>
    <row r="46" spans="1:4" x14ac:dyDescent="0.35">
      <c r="B46" s="1" t="s">
        <v>328</v>
      </c>
      <c r="C46" s="265" t="s">
        <v>329</v>
      </c>
      <c r="D46" s="263">
        <f>IF(LEFT(C46,1)="S",4%,IF(LEFT(C46,1)="M",6%,8%))</f>
        <v>0.04</v>
      </c>
    </row>
    <row r="48" spans="1:4" x14ac:dyDescent="0.35">
      <c r="B48" s="260" t="s">
        <v>333</v>
      </c>
    </row>
    <row r="49" spans="1:2" x14ac:dyDescent="0.35">
      <c r="B49" s="1" t="s">
        <v>331</v>
      </c>
    </row>
    <row r="50" spans="1:2" x14ac:dyDescent="0.35">
      <c r="B50" s="1" t="s">
        <v>330</v>
      </c>
    </row>
    <row r="51" spans="1:2" x14ac:dyDescent="0.35">
      <c r="B51" s="1" t="s">
        <v>332</v>
      </c>
    </row>
    <row r="53" spans="1:2" x14ac:dyDescent="0.35">
      <c r="B53" s="260" t="s">
        <v>356</v>
      </c>
    </row>
    <row r="54" spans="1:2" x14ac:dyDescent="0.35">
      <c r="B54" s="1" t="s">
        <v>339</v>
      </c>
    </row>
    <row r="56" spans="1:2" x14ac:dyDescent="0.35">
      <c r="A56" s="110" t="str">
        <f>"3."</f>
        <v>3.</v>
      </c>
      <c r="B56" s="260" t="s">
        <v>343</v>
      </c>
    </row>
    <row r="57" spans="1:2" x14ac:dyDescent="0.35">
      <c r="B57" s="260" t="s">
        <v>321</v>
      </c>
    </row>
    <row r="58" spans="1:2" x14ac:dyDescent="0.35">
      <c r="B58" s="1" t="s">
        <v>334</v>
      </c>
    </row>
    <row r="59" spans="1:2" x14ac:dyDescent="0.35">
      <c r="B59" s="1" t="s">
        <v>335</v>
      </c>
    </row>
    <row r="61" spans="1:2" x14ac:dyDescent="0.35">
      <c r="B61" s="260" t="s">
        <v>336</v>
      </c>
    </row>
    <row r="62" spans="1:2" x14ac:dyDescent="0.35">
      <c r="B62" s="1" t="s">
        <v>337</v>
      </c>
    </row>
    <row r="64" spans="1:2" x14ac:dyDescent="0.35">
      <c r="A64" s="110" t="str">
        <f>"4."</f>
        <v>4.</v>
      </c>
      <c r="B64" s="260" t="s">
        <v>386</v>
      </c>
    </row>
    <row r="65" spans="1:2" x14ac:dyDescent="0.35">
      <c r="B65" s="260" t="s">
        <v>356</v>
      </c>
    </row>
    <row r="66" spans="1:2" x14ac:dyDescent="0.35">
      <c r="B66" s="1" t="s">
        <v>338</v>
      </c>
    </row>
    <row r="68" spans="1:2" x14ac:dyDescent="0.35">
      <c r="B68" s="260" t="s">
        <v>344</v>
      </c>
    </row>
    <row r="69" spans="1:2" x14ac:dyDescent="0.35">
      <c r="B69" s="1" t="s">
        <v>345</v>
      </c>
    </row>
    <row r="71" spans="1:2" x14ac:dyDescent="0.35">
      <c r="B71" s="260" t="s">
        <v>347</v>
      </c>
    </row>
    <row r="72" spans="1:2" x14ac:dyDescent="0.35">
      <c r="B72" s="1" t="s">
        <v>165</v>
      </c>
    </row>
    <row r="73" spans="1:2" x14ac:dyDescent="0.35">
      <c r="B73" s="1" t="s">
        <v>346</v>
      </c>
    </row>
    <row r="74" spans="1:2" x14ac:dyDescent="0.35">
      <c r="B74" s="1" t="s">
        <v>166</v>
      </c>
    </row>
    <row r="76" spans="1:2" x14ac:dyDescent="0.35">
      <c r="B76" s="260" t="s">
        <v>98</v>
      </c>
    </row>
    <row r="78" spans="1:2" x14ac:dyDescent="0.35">
      <c r="A78" s="110" t="str">
        <f>"5."</f>
        <v>5.</v>
      </c>
      <c r="B78" s="260" t="s">
        <v>348</v>
      </c>
    </row>
    <row r="79" spans="1:2" x14ac:dyDescent="0.35">
      <c r="B79" s="260" t="s">
        <v>352</v>
      </c>
    </row>
    <row r="80" spans="1:2" x14ac:dyDescent="0.35">
      <c r="B80" s="1" t="s">
        <v>349</v>
      </c>
    </row>
    <row r="81" spans="1:3" x14ac:dyDescent="0.35">
      <c r="B81" s="1" t="s">
        <v>350</v>
      </c>
    </row>
    <row r="82" spans="1:3" x14ac:dyDescent="0.35">
      <c r="B82" s="1" t="s">
        <v>351</v>
      </c>
    </row>
    <row r="84" spans="1:3" x14ac:dyDescent="0.35">
      <c r="B84" s="1" t="s">
        <v>369</v>
      </c>
      <c r="C84" s="1" t="s">
        <v>368</v>
      </c>
    </row>
    <row r="86" spans="1:3" x14ac:dyDescent="0.35">
      <c r="B86" s="260" t="s">
        <v>353</v>
      </c>
    </row>
    <row r="87" spans="1:3" x14ac:dyDescent="0.35">
      <c r="B87" s="1" t="s">
        <v>354</v>
      </c>
    </row>
    <row r="89" spans="1:3" x14ac:dyDescent="0.35">
      <c r="A89" s="110" t="str">
        <f>"6."</f>
        <v>6.</v>
      </c>
      <c r="B89" s="260" t="s">
        <v>355</v>
      </c>
    </row>
    <row r="90" spans="1:3" x14ac:dyDescent="0.35">
      <c r="B90" s="260" t="s">
        <v>356</v>
      </c>
    </row>
    <row r="91" spans="1:3" x14ac:dyDescent="0.35">
      <c r="B91" s="1" t="s">
        <v>358</v>
      </c>
    </row>
    <row r="93" spans="1:3" x14ac:dyDescent="0.35">
      <c r="B93" s="260" t="s">
        <v>357</v>
      </c>
    </row>
    <row r="94" spans="1:3" x14ac:dyDescent="0.35">
      <c r="B94" s="1" t="s">
        <v>359</v>
      </c>
    </row>
    <row r="95" spans="1:3" x14ac:dyDescent="0.35">
      <c r="B95" s="1" t="s">
        <v>360</v>
      </c>
    </row>
    <row r="97" spans="1:5" ht="13.9" x14ac:dyDescent="0.45">
      <c r="A97" s="230" t="s">
        <v>378</v>
      </c>
      <c r="B97" s="230"/>
      <c r="C97" s="230"/>
      <c r="D97" s="230"/>
      <c r="E97" s="230"/>
    </row>
    <row r="98" spans="1:5" x14ac:dyDescent="0.35">
      <c r="B98" s="260" t="s">
        <v>379</v>
      </c>
    </row>
    <row r="100" spans="1:5" x14ac:dyDescent="0.35">
      <c r="B100" s="260" t="s">
        <v>370</v>
      </c>
    </row>
    <row r="101" spans="1:5" x14ac:dyDescent="0.35">
      <c r="B101" s="1" t="s">
        <v>371</v>
      </c>
    </row>
    <row r="102" spans="1:5" x14ac:dyDescent="0.35">
      <c r="B102" s="1" t="s">
        <v>372</v>
      </c>
    </row>
    <row r="103" spans="1:5" x14ac:dyDescent="0.35">
      <c r="B103" s="1" t="s">
        <v>373</v>
      </c>
    </row>
    <row r="105" spans="1:5" x14ac:dyDescent="0.35">
      <c r="B105" s="260" t="s">
        <v>374</v>
      </c>
    </row>
    <row r="106" spans="1:5" x14ac:dyDescent="0.35">
      <c r="B106" s="1" t="s">
        <v>375</v>
      </c>
    </row>
    <row r="107" spans="1:5" x14ac:dyDescent="0.35">
      <c r="B107" s="1" t="s">
        <v>376</v>
      </c>
    </row>
    <row r="108" spans="1:5" x14ac:dyDescent="0.35">
      <c r="B108" s="1" t="s">
        <v>377</v>
      </c>
    </row>
    <row r="110" spans="1:5" ht="13.9" x14ac:dyDescent="0.45">
      <c r="A110" s="230" t="s">
        <v>361</v>
      </c>
      <c r="B110" s="230"/>
      <c r="C110" s="230"/>
      <c r="D110" s="230"/>
      <c r="E110" s="230"/>
    </row>
    <row r="111" spans="1:5" x14ac:dyDescent="0.35">
      <c r="B111" s="260" t="s">
        <v>362</v>
      </c>
    </row>
    <row r="112" spans="1:5" x14ac:dyDescent="0.35">
      <c r="B112" s="1" t="s">
        <v>363</v>
      </c>
    </row>
    <row r="114" spans="2:4" x14ac:dyDescent="0.35">
      <c r="B114" s="260" t="s">
        <v>364</v>
      </c>
    </row>
    <row r="115" spans="2:4" x14ac:dyDescent="0.35">
      <c r="B115" s="1" t="s">
        <v>365</v>
      </c>
    </row>
    <row r="117" spans="2:4" x14ac:dyDescent="0.35">
      <c r="B117" s="260" t="s">
        <v>366</v>
      </c>
    </row>
    <row r="118" spans="2:4" x14ac:dyDescent="0.35">
      <c r="B118" s="1" t="s">
        <v>367</v>
      </c>
    </row>
    <row r="123" spans="2:4" x14ac:dyDescent="0.35">
      <c r="B123" s="260" t="s">
        <v>276</v>
      </c>
      <c r="C123" s="260" t="s">
        <v>277</v>
      </c>
      <c r="D123" s="260" t="s">
        <v>278</v>
      </c>
    </row>
    <row r="124" spans="2:4" x14ac:dyDescent="0.35">
      <c r="B124" s="1" t="s">
        <v>108</v>
      </c>
      <c r="C124" s="1" t="s">
        <v>274</v>
      </c>
      <c r="D124" s="1" t="s">
        <v>275</v>
      </c>
    </row>
    <row r="125" spans="2:4" x14ac:dyDescent="0.35">
      <c r="B125" s="1" t="s">
        <v>270</v>
      </c>
      <c r="C125" s="1" t="s">
        <v>265</v>
      </c>
      <c r="D125" s="1" t="s">
        <v>287</v>
      </c>
    </row>
    <row r="126" spans="2:4" x14ac:dyDescent="0.35">
      <c r="C126" s="1" t="s">
        <v>285</v>
      </c>
    </row>
    <row r="127" spans="2:4" x14ac:dyDescent="0.35">
      <c r="C127" s="1" t="s">
        <v>286</v>
      </c>
    </row>
    <row r="128" spans="2:4" x14ac:dyDescent="0.35">
      <c r="B128" s="1" t="s">
        <v>289</v>
      </c>
      <c r="C128" s="1" t="s">
        <v>288</v>
      </c>
      <c r="D128" s="1" t="s">
        <v>272</v>
      </c>
    </row>
    <row r="129" spans="2:4" x14ac:dyDescent="0.35">
      <c r="B129" s="1" t="s">
        <v>269</v>
      </c>
      <c r="C129" s="1" t="s">
        <v>280</v>
      </c>
      <c r="D129" s="1" t="s">
        <v>281</v>
      </c>
    </row>
    <row r="130" spans="2:4" x14ac:dyDescent="0.35">
      <c r="C130" s="1" t="s">
        <v>290</v>
      </c>
    </row>
    <row r="131" spans="2:4" x14ac:dyDescent="0.35">
      <c r="C131" s="1" t="s">
        <v>223</v>
      </c>
    </row>
    <row r="132" spans="2:4" x14ac:dyDescent="0.35">
      <c r="B132" s="1" t="s">
        <v>273</v>
      </c>
      <c r="C132" s="1" t="s">
        <v>85</v>
      </c>
      <c r="D132" s="1" t="s">
        <v>282</v>
      </c>
    </row>
    <row r="133" spans="2:4" x14ac:dyDescent="0.35">
      <c r="B133" s="1" t="s">
        <v>284</v>
      </c>
      <c r="C133" s="1" t="s">
        <v>271</v>
      </c>
      <c r="D133" s="1" t="s">
        <v>283</v>
      </c>
    </row>
    <row r="134" spans="2:4" x14ac:dyDescent="0.35">
      <c r="C134" s="1" t="s">
        <v>279</v>
      </c>
    </row>
    <row r="135" spans="2:4" x14ac:dyDescent="0.35">
      <c r="C135" s="1" t="s">
        <v>95</v>
      </c>
    </row>
    <row r="137" spans="2:4" x14ac:dyDescent="0.35">
      <c r="B137" s="260" t="s">
        <v>291</v>
      </c>
      <c r="C137" s="260" t="s">
        <v>292</v>
      </c>
      <c r="D137" s="260" t="s">
        <v>293</v>
      </c>
    </row>
    <row r="138" spans="2:4" x14ac:dyDescent="0.35">
      <c r="B138" s="1" t="s">
        <v>294</v>
      </c>
      <c r="C138" s="262">
        <v>1000</v>
      </c>
      <c r="D138" s="263">
        <f>C138/$C$138</f>
        <v>1</v>
      </c>
    </row>
    <row r="139" spans="2:4" x14ac:dyDescent="0.35">
      <c r="B139" s="1" t="s">
        <v>270</v>
      </c>
      <c r="C139" s="262">
        <v>600</v>
      </c>
      <c r="D139" s="263">
        <f t="shared" ref="D139:D142" si="0">C139/$C$138</f>
        <v>0.6</v>
      </c>
    </row>
    <row r="140" spans="2:4" x14ac:dyDescent="0.35">
      <c r="B140" s="260" t="s">
        <v>295</v>
      </c>
      <c r="C140" s="262">
        <v>400</v>
      </c>
      <c r="D140" s="263">
        <f t="shared" si="0"/>
        <v>0.4</v>
      </c>
    </row>
    <row r="141" spans="2:4" x14ac:dyDescent="0.35">
      <c r="B141" s="1" t="s">
        <v>269</v>
      </c>
      <c r="C141" s="262">
        <v>300</v>
      </c>
      <c r="D141" s="263">
        <f t="shared" si="0"/>
        <v>0.3</v>
      </c>
    </row>
    <row r="142" spans="2:4" x14ac:dyDescent="0.35">
      <c r="B142" s="260" t="s">
        <v>296</v>
      </c>
      <c r="C142" s="262">
        <v>100</v>
      </c>
      <c r="D142" s="263">
        <f t="shared" si="0"/>
        <v>0.1</v>
      </c>
    </row>
  </sheetData>
  <phoneticPr fontId="3" type="noConversion"/>
  <dataValidations count="4">
    <dataValidation type="list" allowBlank="1" sqref="C13" xr:uid="{00000000-0002-0000-0000-000001000000}">
      <formula1>"HKD,USD,CNY,EUR"</formula1>
    </dataValidation>
    <dataValidation type="list" allowBlank="1" showInputMessage="1" showErrorMessage="1" sqref="C46" xr:uid="{99269CE1-34E6-46A3-9F64-03C1199FF634}">
      <formula1>"Stable Business, Moderate Risk, High Risk"</formula1>
    </dataValidation>
    <dataValidation type="list" allowBlank="1" showInputMessage="1" showErrorMessage="1" sqref="C45" xr:uid="{7A4D0D78-B7B0-41D6-9553-BB65BF9D0DE8}">
      <formula1>"US, CN, HK, Others"</formula1>
    </dataValidation>
    <dataValidation type="list" allowBlank="1" showInputMessage="1" showErrorMessage="1" sqref="C5" xr:uid="{1FCA7E74-2FC8-4D7E-9904-252731103596}">
      <formula1>"Tier 1, Superior Cycl. ,Tier 3, N"</formula1>
    </dataValidation>
  </dataValidations>
  <pageMargins left="0.25" right="0.25" top="0.75" bottom="0.75" header="0.3" footer="0.3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7348-D356-493F-B1FA-0B9102624322}">
  <dimension ref="B1:M107"/>
  <sheetViews>
    <sheetView showGridLines="0" zoomScaleNormal="10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C4" sqref="C4:M5"/>
    </sheetView>
  </sheetViews>
  <sheetFormatPr defaultColWidth="8.796875" defaultRowHeight="11.65" x14ac:dyDescent="0.35"/>
  <cols>
    <col min="1" max="1" width="3" style="1" customWidth="1"/>
    <col min="2" max="2" width="27.33203125" style="1" customWidth="1"/>
    <col min="3" max="13" width="20.59765625" style="1" customWidth="1"/>
    <col min="14" max="16384" width="8.796875" style="1"/>
  </cols>
  <sheetData>
    <row r="1" spans="2:13" ht="13.9" x14ac:dyDescent="0.45">
      <c r="B1" s="232"/>
      <c r="C1" s="233">
        <f>C102</f>
        <v>45382</v>
      </c>
      <c r="D1" s="233">
        <f>EOMONTH(EDATE(C1,-12),0)</f>
        <v>45016</v>
      </c>
      <c r="E1" s="233">
        <f t="shared" ref="E1:M1" si="0">EOMONTH(EDATE(D1,-12),0)</f>
        <v>44651</v>
      </c>
      <c r="F1" s="233">
        <f t="shared" si="0"/>
        <v>44286</v>
      </c>
      <c r="G1" s="233">
        <f t="shared" si="0"/>
        <v>43921</v>
      </c>
      <c r="H1" s="233">
        <f t="shared" si="0"/>
        <v>43555</v>
      </c>
      <c r="I1" s="233">
        <f t="shared" si="0"/>
        <v>43190</v>
      </c>
      <c r="J1" s="233">
        <f t="shared" si="0"/>
        <v>42825</v>
      </c>
      <c r="K1" s="233">
        <f t="shared" si="0"/>
        <v>42460</v>
      </c>
      <c r="L1" s="233">
        <f t="shared" si="0"/>
        <v>42094</v>
      </c>
      <c r="M1" s="233">
        <f t="shared" si="0"/>
        <v>41729</v>
      </c>
    </row>
    <row r="2" spans="2:13" ht="13.9" x14ac:dyDescent="0.45">
      <c r="B2" s="230" t="s">
        <v>310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</row>
    <row r="3" spans="2:13" x14ac:dyDescent="0.35">
      <c r="B3" s="107" t="s">
        <v>114</v>
      </c>
      <c r="C3" s="107"/>
    </row>
    <row r="4" spans="2:13" x14ac:dyDescent="0.35">
      <c r="B4" s="226" t="s">
        <v>11</v>
      </c>
      <c r="C4" s="97">
        <v>15325962</v>
      </c>
      <c r="D4" s="97">
        <v>11977844</v>
      </c>
      <c r="E4" s="97">
        <v>11737803</v>
      </c>
      <c r="F4" s="97">
        <v>8861335</v>
      </c>
      <c r="G4" s="97">
        <v>11233771</v>
      </c>
      <c r="H4" s="97">
        <v>15859990</v>
      </c>
      <c r="I4" s="97"/>
      <c r="J4" s="97"/>
      <c r="K4" s="97"/>
      <c r="L4" s="97"/>
      <c r="M4" s="97"/>
    </row>
    <row r="5" spans="2:13" x14ac:dyDescent="0.35">
      <c r="B5" s="248" t="s">
        <v>265</v>
      </c>
      <c r="C5" s="97">
        <v>-11151623</v>
      </c>
      <c r="D5" s="97">
        <v>-8747447</v>
      </c>
      <c r="E5" s="97">
        <v>-8503976</v>
      </c>
      <c r="F5" s="97">
        <v>-6229020</v>
      </c>
      <c r="G5" s="97">
        <v>-7910751</v>
      </c>
      <c r="H5" s="97">
        <v>-11826154</v>
      </c>
      <c r="I5" s="97">
        <v>0</v>
      </c>
      <c r="J5" s="97">
        <v>0</v>
      </c>
      <c r="K5" s="97">
        <v>0</v>
      </c>
      <c r="L5" s="97">
        <v>0</v>
      </c>
      <c r="M5" s="97">
        <v>0</v>
      </c>
    </row>
    <row r="6" spans="2:13" x14ac:dyDescent="0.35">
      <c r="B6" s="254" t="s">
        <v>313</v>
      </c>
      <c r="C6" s="247">
        <v>-2043459</v>
      </c>
      <c r="D6" s="247">
        <v>-1517989</v>
      </c>
      <c r="E6" s="247">
        <v>-1491293</v>
      </c>
      <c r="F6" s="247">
        <v>-1412494</v>
      </c>
      <c r="G6" s="247"/>
      <c r="H6" s="247"/>
      <c r="I6" s="247"/>
      <c r="J6" s="247"/>
      <c r="K6" s="247"/>
      <c r="L6" s="247"/>
      <c r="M6" s="247"/>
    </row>
    <row r="7" spans="2:13" x14ac:dyDescent="0.35">
      <c r="B7" s="254" t="s">
        <v>286</v>
      </c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</row>
    <row r="8" spans="2:13" x14ac:dyDescent="0.35">
      <c r="B8" s="248" t="s">
        <v>314</v>
      </c>
      <c r="C8" s="97">
        <v>-2297566</v>
      </c>
      <c r="D8" s="97">
        <v>-1867515</v>
      </c>
      <c r="E8" s="97">
        <v>-1815111</v>
      </c>
      <c r="F8" s="97">
        <v>-1694480</v>
      </c>
      <c r="G8" s="97">
        <v>-2118252</v>
      </c>
      <c r="H8" s="97">
        <v>-2416769</v>
      </c>
      <c r="I8" s="97">
        <v>0</v>
      </c>
      <c r="J8" s="97">
        <v>0</v>
      </c>
      <c r="K8" s="97">
        <v>0</v>
      </c>
      <c r="L8" s="97">
        <v>0</v>
      </c>
      <c r="M8" s="97">
        <v>0</v>
      </c>
    </row>
    <row r="9" spans="2:13" x14ac:dyDescent="0.35">
      <c r="B9" s="248" t="s">
        <v>304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</row>
    <row r="10" spans="2:13" x14ac:dyDescent="0.35">
      <c r="B10" s="248" t="s">
        <v>223</v>
      </c>
      <c r="C10" s="97">
        <v>-59596</v>
      </c>
      <c r="D10" s="97">
        <v>-20763</v>
      </c>
      <c r="E10" s="97">
        <v>-23097</v>
      </c>
      <c r="F10" s="97">
        <v>-28849</v>
      </c>
      <c r="G10" s="97">
        <v>-63075</v>
      </c>
      <c r="H10" s="97">
        <v>-34253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</row>
    <row r="11" spans="2:13" x14ac:dyDescent="0.35">
      <c r="B11" s="248" t="s">
        <v>305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</row>
    <row r="12" spans="2:13" x14ac:dyDescent="0.35">
      <c r="B12" s="255" t="s">
        <v>254</v>
      </c>
      <c r="C12" s="243">
        <v>1767305</v>
      </c>
      <c r="D12" s="243">
        <v>1284757</v>
      </c>
      <c r="E12" s="243">
        <v>1392364</v>
      </c>
      <c r="F12" s="243">
        <v>1017335</v>
      </c>
      <c r="G12" s="243">
        <v>866315</v>
      </c>
      <c r="H12" s="243"/>
      <c r="I12" s="243"/>
      <c r="J12" s="243"/>
      <c r="K12" s="243"/>
      <c r="L12" s="243"/>
      <c r="M12" s="243"/>
    </row>
    <row r="13" spans="2:13" x14ac:dyDescent="0.35">
      <c r="B13" s="211" t="s">
        <v>268</v>
      </c>
      <c r="C13" s="97">
        <v>9467</v>
      </c>
      <c r="D13" s="97">
        <v>30</v>
      </c>
      <c r="E13" s="97">
        <v>27</v>
      </c>
      <c r="F13" s="97">
        <v>-1799</v>
      </c>
      <c r="G13" s="97">
        <v>-1337</v>
      </c>
      <c r="H13" s="97">
        <v>-10908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</row>
    <row r="15" spans="2:13" x14ac:dyDescent="0.35">
      <c r="B15" s="107" t="s">
        <v>306</v>
      </c>
      <c r="C15" s="107"/>
    </row>
    <row r="16" spans="2:13" x14ac:dyDescent="0.35">
      <c r="B16" s="210" t="s">
        <v>271</v>
      </c>
      <c r="C16" s="97">
        <v>456554</v>
      </c>
      <c r="D16" s="97">
        <v>373191</v>
      </c>
      <c r="E16" s="97"/>
      <c r="F16" s="97"/>
      <c r="G16" s="97"/>
      <c r="H16" s="97"/>
      <c r="I16" s="97"/>
      <c r="J16" s="97"/>
      <c r="K16" s="97"/>
      <c r="L16" s="97"/>
      <c r="M16" s="97"/>
    </row>
    <row r="17" spans="2:13" x14ac:dyDescent="0.35">
      <c r="B17" s="210" t="s">
        <v>308</v>
      </c>
      <c r="C17" s="97">
        <v>676387</v>
      </c>
      <c r="D17" s="97">
        <v>107280</v>
      </c>
      <c r="E17" s="97">
        <v>455483</v>
      </c>
      <c r="F17" s="97">
        <v>138937</v>
      </c>
      <c r="G17" s="97"/>
      <c r="H17" s="97"/>
      <c r="I17" s="97"/>
      <c r="J17" s="97"/>
      <c r="K17" s="97"/>
      <c r="L17" s="97"/>
      <c r="M17" s="97"/>
    </row>
    <row r="18" spans="2:13" x14ac:dyDescent="0.35">
      <c r="B18" s="210" t="s">
        <v>307</v>
      </c>
      <c r="C18" s="97">
        <v>626583</v>
      </c>
      <c r="D18" s="97">
        <v>352099</v>
      </c>
      <c r="E18" s="97">
        <v>1045251</v>
      </c>
      <c r="F18" s="97">
        <v>-818677</v>
      </c>
      <c r="G18" s="97"/>
      <c r="H18" s="97"/>
      <c r="I18" s="97"/>
      <c r="J18" s="97"/>
      <c r="K18" s="97"/>
      <c r="L18" s="97"/>
      <c r="M18" s="97"/>
    </row>
    <row r="20" spans="2:13" x14ac:dyDescent="0.35">
      <c r="B20" s="107" t="s">
        <v>115</v>
      </c>
      <c r="C20" s="107"/>
    </row>
    <row r="21" spans="2:13" x14ac:dyDescent="0.35">
      <c r="B21" s="215" t="s">
        <v>227</v>
      </c>
      <c r="C21" s="243">
        <v>3990166</v>
      </c>
      <c r="D21" s="243">
        <v>2466431</v>
      </c>
      <c r="E21" s="243">
        <v>3908586</v>
      </c>
      <c r="F21" s="243">
        <v>2946772</v>
      </c>
      <c r="G21" s="243"/>
      <c r="H21" s="243"/>
      <c r="I21" s="243"/>
      <c r="J21" s="243"/>
      <c r="K21" s="243"/>
      <c r="L21" s="243"/>
      <c r="M21" s="243"/>
    </row>
    <row r="22" spans="2:13" x14ac:dyDescent="0.35">
      <c r="B22" s="215" t="s">
        <v>117</v>
      </c>
      <c r="C22" s="243">
        <v>12863898</v>
      </c>
      <c r="D22" s="243">
        <v>12220942</v>
      </c>
      <c r="E22" s="243">
        <v>12078528</v>
      </c>
      <c r="F22" s="243">
        <v>11324224</v>
      </c>
      <c r="G22" s="243"/>
      <c r="H22" s="243"/>
      <c r="I22" s="243"/>
      <c r="J22" s="243"/>
      <c r="K22" s="243"/>
      <c r="L22" s="243"/>
      <c r="M22" s="243"/>
    </row>
    <row r="23" spans="2:13" x14ac:dyDescent="0.35">
      <c r="B23" s="209" t="s">
        <v>99</v>
      </c>
      <c r="C23" s="100"/>
      <c r="D23" s="97">
        <v>213823</v>
      </c>
      <c r="E23" s="97">
        <v>187711</v>
      </c>
      <c r="F23" s="97">
        <v>277338</v>
      </c>
      <c r="G23" s="97"/>
      <c r="H23" s="97"/>
      <c r="I23" s="97"/>
      <c r="J23" s="97"/>
      <c r="K23" s="97"/>
      <c r="L23" s="97"/>
      <c r="M23" s="97"/>
    </row>
    <row r="24" spans="2:13" x14ac:dyDescent="0.35">
      <c r="B24" s="209" t="s">
        <v>126</v>
      </c>
      <c r="C24" s="100"/>
      <c r="D24" s="97">
        <v>8852611</v>
      </c>
      <c r="E24" s="97">
        <v>8769304</v>
      </c>
      <c r="F24" s="97">
        <v>7321614</v>
      </c>
      <c r="G24" s="97"/>
      <c r="H24" s="97"/>
      <c r="I24" s="97"/>
      <c r="J24" s="97"/>
      <c r="K24" s="97"/>
      <c r="L24" s="97"/>
      <c r="M24" s="97"/>
    </row>
    <row r="26" spans="2:13" x14ac:dyDescent="0.35">
      <c r="B26" s="107" t="s">
        <v>309</v>
      </c>
      <c r="C26" s="107"/>
    </row>
    <row r="27" spans="2:13" x14ac:dyDescent="0.35">
      <c r="B27" s="209" t="s">
        <v>230</v>
      </c>
      <c r="C27" s="97">
        <f>20356+1075000</f>
        <v>1095356</v>
      </c>
      <c r="D27" s="97">
        <f>24308+1075000</f>
        <v>1099308</v>
      </c>
      <c r="E27" s="97">
        <f>32736+1075000</f>
        <v>1107736</v>
      </c>
      <c r="F27" s="97">
        <f>47325+1075000</f>
        <v>1122325</v>
      </c>
      <c r="G27" s="97"/>
      <c r="H27" s="97"/>
      <c r="I27" s="97"/>
      <c r="J27" s="97"/>
      <c r="K27" s="97"/>
      <c r="L27" s="97"/>
      <c r="M27" s="97"/>
    </row>
    <row r="28" spans="2:13" x14ac:dyDescent="0.35">
      <c r="B28" s="147" t="s">
        <v>167</v>
      </c>
      <c r="C28" s="244">
        <f>0.72+0.64</f>
        <v>1.3599999999999999</v>
      </c>
      <c r="D28" s="244">
        <f>0.55+0.55</f>
        <v>1.1000000000000001</v>
      </c>
      <c r="E28" s="244">
        <f>0.55+0.55</f>
        <v>1.1000000000000001</v>
      </c>
      <c r="F28" s="244">
        <f>0.5+0.5</f>
        <v>1</v>
      </c>
      <c r="G28" s="244">
        <f>0.5+0.5</f>
        <v>1</v>
      </c>
      <c r="H28" s="244">
        <f>0.6+0.55</f>
        <v>1.1499999999999999</v>
      </c>
      <c r="I28" s="244"/>
      <c r="J28" s="244"/>
      <c r="K28" s="244"/>
      <c r="L28" s="244"/>
      <c r="M28" s="244"/>
    </row>
    <row r="29" spans="2:13" x14ac:dyDescent="0.35">
      <c r="B29" s="147" t="s">
        <v>204</v>
      </c>
      <c r="C29" s="53">
        <f>IF(C28="","",C28*Exchange_Rate/Thesis!$C$11)</f>
        <v>9.8408104196816198E-2</v>
      </c>
      <c r="D29" s="53">
        <f>IF(D28="","",D28*Exchange_Rate/Thesis!$C$11)</f>
        <v>7.9594790159189591E-2</v>
      </c>
      <c r="E29" s="53">
        <f>IF(E28="","",E28*Exchange_Rate/Thesis!$C$11)</f>
        <v>7.9594790159189591E-2</v>
      </c>
      <c r="F29" s="53">
        <f>IF(F28="","",F28*Exchange_Rate/Thesis!$C$11)</f>
        <v>7.2358900144717797E-2</v>
      </c>
      <c r="G29" s="53">
        <f>IF(G28="","",G28*Exchange_Rate/Thesis!$C$11)</f>
        <v>7.2358900144717797E-2</v>
      </c>
      <c r="H29" s="53">
        <f>IF(H28="","",H28*Exchange_Rate/Thesis!$C$11)</f>
        <v>8.3212735166425467E-2</v>
      </c>
      <c r="I29" s="53" t="str">
        <f>IF(I28="","",I28*Exchange_Rate/Thesis!$C$11)</f>
        <v/>
      </c>
      <c r="J29" s="53" t="str">
        <f>IF(J28="","",J28*Exchange_Rate/Thesis!$C$11)</f>
        <v/>
      </c>
      <c r="K29" s="53" t="str">
        <f>IF(K28="","",K28*Exchange_Rate/Thesis!$C$11)</f>
        <v/>
      </c>
      <c r="L29" s="53" t="str">
        <f>IF(L28="","",L28*Exchange_Rate/Thesis!$C$11)</f>
        <v/>
      </c>
      <c r="M29" s="53" t="str">
        <f>IF(M28="","",M28*Exchange_Rate/Thesis!$C$11)</f>
        <v/>
      </c>
    </row>
    <row r="31" spans="2:13" x14ac:dyDescent="0.35">
      <c r="B31" s="107" t="str">
        <f>"Last Balance Sheet"&amp;IF(SUM(C32:C56)=C21+C22,"","- Error")</f>
        <v>Last Balance Sheet</v>
      </c>
      <c r="C31" s="52" t="s">
        <v>24</v>
      </c>
      <c r="D31" s="52" t="s">
        <v>156</v>
      </c>
      <c r="E31" s="55" t="s">
        <v>26</v>
      </c>
    </row>
    <row r="32" spans="2:13" x14ac:dyDescent="0.35">
      <c r="B32" s="8" t="s">
        <v>27</v>
      </c>
      <c r="C32" s="56">
        <v>1998219</v>
      </c>
      <c r="D32" s="79">
        <v>0.9</v>
      </c>
      <c r="E32" s="206"/>
    </row>
    <row r="33" spans="2:5" x14ac:dyDescent="0.35">
      <c r="B33" s="1" t="s">
        <v>116</v>
      </c>
      <c r="C33" s="56"/>
      <c r="D33" s="79">
        <v>0.8</v>
      </c>
      <c r="E33" s="206"/>
    </row>
    <row r="34" spans="2:5" x14ac:dyDescent="0.35">
      <c r="B34" s="8" t="s">
        <v>99</v>
      </c>
      <c r="C34" s="56">
        <v>265773</v>
      </c>
      <c r="D34" s="79">
        <f>D35</f>
        <v>0.6</v>
      </c>
      <c r="E34" s="206"/>
    </row>
    <row r="35" spans="2:5" x14ac:dyDescent="0.35">
      <c r="B35" s="8" t="s">
        <v>31</v>
      </c>
      <c r="C35" s="56"/>
      <c r="D35" s="79">
        <v>0.6</v>
      </c>
      <c r="E35" s="206"/>
    </row>
    <row r="36" spans="2:5" x14ac:dyDescent="0.35">
      <c r="B36" s="8" t="s">
        <v>33</v>
      </c>
      <c r="C36" s="56"/>
      <c r="D36" s="79">
        <v>0.5</v>
      </c>
      <c r="E36" s="206"/>
    </row>
    <row r="37" spans="2:5" x14ac:dyDescent="0.35">
      <c r="B37" s="1" t="s">
        <v>132</v>
      </c>
      <c r="C37" s="56"/>
      <c r="D37" s="79">
        <f>D34</f>
        <v>0.6</v>
      </c>
      <c r="E37" s="206"/>
    </row>
    <row r="38" spans="2:5" x14ac:dyDescent="0.35">
      <c r="B38" s="8" t="s">
        <v>212</v>
      </c>
      <c r="C38" s="56">
        <v>366595</v>
      </c>
      <c r="D38" s="79">
        <v>0.1</v>
      </c>
      <c r="E38" s="206"/>
    </row>
    <row r="39" spans="2:5" x14ac:dyDescent="0.35">
      <c r="B39" s="8" t="s">
        <v>36</v>
      </c>
      <c r="C39" s="56">
        <v>9672256</v>
      </c>
      <c r="D39" s="79">
        <f>D36</f>
        <v>0.5</v>
      </c>
      <c r="E39" s="206"/>
    </row>
    <row r="40" spans="2:5" x14ac:dyDescent="0.35">
      <c r="B40" s="1" t="s">
        <v>37</v>
      </c>
      <c r="C40" s="56"/>
      <c r="D40" s="79">
        <f>D34</f>
        <v>0.6</v>
      </c>
      <c r="E40" s="207" t="s">
        <v>60</v>
      </c>
    </row>
    <row r="41" spans="2:5" x14ac:dyDescent="0.35">
      <c r="B41" s="8" t="s">
        <v>102</v>
      </c>
      <c r="C41" s="56"/>
      <c r="D41" s="79">
        <v>0.6</v>
      </c>
      <c r="E41" s="207" t="s">
        <v>35</v>
      </c>
    </row>
    <row r="42" spans="2:5" x14ac:dyDescent="0.35">
      <c r="B42" s="8" t="s">
        <v>39</v>
      </c>
      <c r="C42" s="56">
        <v>29465</v>
      </c>
      <c r="D42" s="79">
        <f>D32</f>
        <v>0.9</v>
      </c>
      <c r="E42" s="206"/>
    </row>
    <row r="43" spans="2:5" x14ac:dyDescent="0.35">
      <c r="B43" s="9" t="s">
        <v>40</v>
      </c>
      <c r="C43" s="58"/>
      <c r="D43" s="80">
        <f>D54</f>
        <v>0.05</v>
      </c>
      <c r="E43" s="206"/>
    </row>
    <row r="44" spans="2:5" x14ac:dyDescent="0.35">
      <c r="B44" s="8" t="s">
        <v>50</v>
      </c>
      <c r="C44" s="56"/>
      <c r="D44" s="79">
        <f>D33</f>
        <v>0.8</v>
      </c>
      <c r="E44" s="206"/>
    </row>
    <row r="45" spans="2:5" x14ac:dyDescent="0.35">
      <c r="B45" s="8" t="s">
        <v>52</v>
      </c>
      <c r="C45" s="56"/>
      <c r="D45" s="79">
        <f>D35</f>
        <v>0.6</v>
      </c>
      <c r="E45" s="206"/>
    </row>
    <row r="46" spans="2:5" x14ac:dyDescent="0.35">
      <c r="B46" s="8" t="s">
        <v>54</v>
      </c>
      <c r="C46" s="56"/>
      <c r="D46" s="79">
        <f>D36</f>
        <v>0.5</v>
      </c>
      <c r="E46" s="206"/>
    </row>
    <row r="47" spans="2:5" x14ac:dyDescent="0.35">
      <c r="B47" s="1" t="s">
        <v>133</v>
      </c>
      <c r="C47" s="56"/>
      <c r="D47" s="79">
        <f>D46</f>
        <v>0.5</v>
      </c>
      <c r="E47" s="206"/>
    </row>
    <row r="48" spans="2:5" x14ac:dyDescent="0.35">
      <c r="B48" s="8" t="s">
        <v>211</v>
      </c>
      <c r="C48" s="56">
        <v>103050</v>
      </c>
      <c r="D48" s="79">
        <v>0.4</v>
      </c>
      <c r="E48" s="206"/>
    </row>
    <row r="49" spans="2:5" x14ac:dyDescent="0.35">
      <c r="B49" s="8" t="s">
        <v>59</v>
      </c>
      <c r="C49" s="56"/>
      <c r="D49" s="79">
        <v>0.1</v>
      </c>
      <c r="E49" s="207" t="s">
        <v>60</v>
      </c>
    </row>
    <row r="50" spans="2:5" x14ac:dyDescent="0.35">
      <c r="B50" s="8" t="s">
        <v>61</v>
      </c>
      <c r="C50" s="56">
        <v>925726</v>
      </c>
      <c r="D50" s="79">
        <v>0.2</v>
      </c>
      <c r="E50" s="207" t="s">
        <v>60</v>
      </c>
    </row>
    <row r="51" spans="2:5" x14ac:dyDescent="0.35">
      <c r="B51" s="1" t="s">
        <v>38</v>
      </c>
      <c r="C51" s="56"/>
      <c r="D51" s="79">
        <f>D49</f>
        <v>0.1</v>
      </c>
      <c r="E51" s="207" t="s">
        <v>35</v>
      </c>
    </row>
    <row r="52" spans="2:5" x14ac:dyDescent="0.35">
      <c r="B52" s="8" t="s">
        <v>101</v>
      </c>
      <c r="C52" s="56">
        <v>2522337</v>
      </c>
      <c r="D52" s="79">
        <f>D49</f>
        <v>0.1</v>
      </c>
      <c r="E52" s="206"/>
    </row>
    <row r="53" spans="2:5" x14ac:dyDescent="0.35">
      <c r="B53" s="8" t="s">
        <v>62</v>
      </c>
      <c r="C53" s="56"/>
      <c r="D53" s="79">
        <f>D54</f>
        <v>0.05</v>
      </c>
      <c r="E53" s="206"/>
    </row>
    <row r="54" spans="2:5" x14ac:dyDescent="0.35">
      <c r="B54" s="8" t="s">
        <v>63</v>
      </c>
      <c r="C54" s="56">
        <v>538321</v>
      </c>
      <c r="D54" s="79">
        <v>0.05</v>
      </c>
      <c r="E54" s="206"/>
    </row>
    <row r="55" spans="2:5" x14ac:dyDescent="0.35">
      <c r="B55" s="8" t="s">
        <v>64</v>
      </c>
      <c r="C55" s="56">
        <v>154648</v>
      </c>
      <c r="D55" s="79">
        <f>D42</f>
        <v>0.9</v>
      </c>
      <c r="E55" s="206"/>
    </row>
    <row r="56" spans="2:5" ht="12" thickBot="1" x14ac:dyDescent="0.4">
      <c r="B56" s="59" t="s">
        <v>65</v>
      </c>
      <c r="C56" s="60">
        <v>277674</v>
      </c>
      <c r="D56" s="81">
        <v>0</v>
      </c>
      <c r="E56" s="208"/>
    </row>
    <row r="57" spans="2:5" x14ac:dyDescent="0.35">
      <c r="B57" s="8" t="s">
        <v>28</v>
      </c>
      <c r="C57" s="56">
        <v>1427805</v>
      </c>
    </row>
    <row r="58" spans="2:5" x14ac:dyDescent="0.35">
      <c r="B58" s="8" t="s">
        <v>29</v>
      </c>
      <c r="C58" s="56">
        <v>287697</v>
      </c>
    </row>
    <row r="59" spans="2:5" x14ac:dyDescent="0.35">
      <c r="B59" s="8" t="s">
        <v>30</v>
      </c>
      <c r="C59" s="56"/>
    </row>
    <row r="60" spans="2:5" x14ac:dyDescent="0.35">
      <c r="B60" s="7" t="s">
        <v>32</v>
      </c>
      <c r="C60" s="58"/>
    </row>
    <row r="61" spans="2:5" ht="12" thickBot="1" x14ac:dyDescent="0.4">
      <c r="B61" s="61" t="s">
        <v>15</v>
      </c>
      <c r="C61" s="62">
        <v>3516809</v>
      </c>
    </row>
    <row r="62" spans="2:5" ht="12" thickTop="1" x14ac:dyDescent="0.35">
      <c r="B62" s="8" t="s">
        <v>51</v>
      </c>
      <c r="C62" s="56"/>
    </row>
    <row r="63" spans="2:5" x14ac:dyDescent="0.35">
      <c r="B63" s="8" t="s">
        <v>53</v>
      </c>
      <c r="C63" s="56">
        <v>319420</v>
      </c>
    </row>
    <row r="64" spans="2:5" x14ac:dyDescent="0.35">
      <c r="B64" s="8" t="s">
        <v>55</v>
      </c>
      <c r="C64" s="56"/>
    </row>
    <row r="65" spans="2:8" x14ac:dyDescent="0.35">
      <c r="B65" s="7" t="s">
        <v>56</v>
      </c>
      <c r="C65" s="58"/>
    </row>
    <row r="66" spans="2:8" x14ac:dyDescent="0.35">
      <c r="B66" s="45" t="s">
        <v>79</v>
      </c>
      <c r="C66" s="56"/>
    </row>
    <row r="67" spans="2:8" x14ac:dyDescent="0.35">
      <c r="B67" s="45" t="s">
        <v>81</v>
      </c>
      <c r="C67" s="56"/>
    </row>
    <row r="68" spans="2:8" x14ac:dyDescent="0.35">
      <c r="B68" s="65" t="s">
        <v>203</v>
      </c>
      <c r="C68" s="77" t="s">
        <v>251</v>
      </c>
      <c r="D68" s="78">
        <v>0.02</v>
      </c>
    </row>
    <row r="70" spans="2:8" x14ac:dyDescent="0.35">
      <c r="B70" s="209" t="s">
        <v>118</v>
      </c>
      <c r="C70" s="97">
        <v>-26962</v>
      </c>
    </row>
    <row r="73" spans="2:8" x14ac:dyDescent="0.35">
      <c r="B73" s="64" t="s">
        <v>109</v>
      </c>
      <c r="C73" s="303">
        <f>C1</f>
        <v>45382</v>
      </c>
      <c r="D73" s="303"/>
      <c r="E73" s="38" t="s">
        <v>166</v>
      </c>
      <c r="F73" s="38" t="s">
        <v>165</v>
      </c>
      <c r="H73" s="65"/>
    </row>
    <row r="74" spans="2:8" x14ac:dyDescent="0.35">
      <c r="B74" s="66" t="str">
        <f>"(Numbers in "&amp;Data!E77&amp;Thesis!C13&amp;")"</f>
        <v>(Numbers in 1000HKD)</v>
      </c>
      <c r="C74" s="304" t="s">
        <v>88</v>
      </c>
      <c r="D74" s="304"/>
      <c r="E74" s="218" t="s">
        <v>89</v>
      </c>
      <c r="F74" s="219" t="s">
        <v>89</v>
      </c>
    </row>
    <row r="75" spans="2:8" x14ac:dyDescent="0.35">
      <c r="B75" s="8" t="s">
        <v>108</v>
      </c>
      <c r="C75" s="67">
        <f>C4</f>
        <v>15325962</v>
      </c>
      <c r="D75" s="68"/>
      <c r="E75" s="69">
        <f>C75*0.8</f>
        <v>12260769.600000001</v>
      </c>
      <c r="F75" s="69">
        <f>C75*0.9</f>
        <v>13793365.800000001</v>
      </c>
    </row>
    <row r="76" spans="2:8" x14ac:dyDescent="0.35">
      <c r="B76" s="70" t="s">
        <v>92</v>
      </c>
      <c r="C76" s="67">
        <f>C5</f>
        <v>-11151623</v>
      </c>
      <c r="D76" s="71">
        <f>C76/C75</f>
        <v>-0.72762956087193742</v>
      </c>
      <c r="E76" s="72">
        <f>E75*D76</f>
        <v>-8921298.4000000004</v>
      </c>
      <c r="F76" s="72">
        <f>F75*D76</f>
        <v>-10036460.700000001</v>
      </c>
    </row>
    <row r="77" spans="2:8" x14ac:dyDescent="0.35">
      <c r="B77" s="70" t="s">
        <v>202</v>
      </c>
      <c r="C77" s="67">
        <f>C8+C9</f>
        <v>-2297566</v>
      </c>
      <c r="D77" s="71">
        <f>C77/C75</f>
        <v>-0.14991333007350532</v>
      </c>
      <c r="E77" s="72">
        <f>E75*16.54%</f>
        <v>2027931.2918400001</v>
      </c>
      <c r="F77" s="72">
        <f>F75*16.54%</f>
        <v>2281422.7033199999</v>
      </c>
    </row>
    <row r="78" spans="2:8" x14ac:dyDescent="0.35">
      <c r="B78" s="70" t="s">
        <v>208</v>
      </c>
      <c r="C78" s="67">
        <f>C10</f>
        <v>-59596</v>
      </c>
      <c r="D78" s="71">
        <f>C78/C75</f>
        <v>-3.8885650375487034E-3</v>
      </c>
      <c r="E78" s="73"/>
      <c r="F78" s="72">
        <f>F75*D78</f>
        <v>-53636.4</v>
      </c>
    </row>
    <row r="79" spans="2:8" x14ac:dyDescent="0.35">
      <c r="B79" s="11" t="s">
        <v>201</v>
      </c>
      <c r="C79" s="67">
        <f>ABS(MAX(C17,0)-C16)</f>
        <v>219833</v>
      </c>
      <c r="D79" s="71">
        <f>C79/C75</f>
        <v>1.4343830423173436E-2</v>
      </c>
      <c r="E79" s="72">
        <f>E75*1%</f>
        <v>122607.69600000001</v>
      </c>
      <c r="F79" s="72">
        <f>F75*1%</f>
        <v>137933.658</v>
      </c>
    </row>
    <row r="80" spans="2:8" x14ac:dyDescent="0.35">
      <c r="B80" s="11" t="s">
        <v>303</v>
      </c>
      <c r="C80" s="67">
        <f>MAX(C18,0)</f>
        <v>626583</v>
      </c>
      <c r="D80" s="71">
        <f>C80/C75</f>
        <v>4.0883763120383568E-2</v>
      </c>
      <c r="E80" s="73"/>
      <c r="F80" s="72">
        <f>F75*2.5%</f>
        <v>344834.14500000002</v>
      </c>
    </row>
    <row r="81" spans="2:13" x14ac:dyDescent="0.35">
      <c r="B81" s="63" t="s">
        <v>140</v>
      </c>
      <c r="C81" s="67">
        <f>MAX(C13,0)/(1-C106)</f>
        <v>12622.666666666666</v>
      </c>
      <c r="D81" s="71">
        <f>C81/C75</f>
        <v>8.2361333446257185E-4</v>
      </c>
      <c r="E81" s="73"/>
      <c r="F81" s="72">
        <f>F75*D81</f>
        <v>11360.4</v>
      </c>
    </row>
    <row r="82" spans="2:13" x14ac:dyDescent="0.35">
      <c r="B82" s="7" t="s">
        <v>167</v>
      </c>
      <c r="C82" s="74">
        <f>C28</f>
        <v>1.3599999999999999</v>
      </c>
      <c r="D82" s="75"/>
      <c r="E82" s="76">
        <v>1</v>
      </c>
      <c r="F82" s="76">
        <f>0.55+0.55</f>
        <v>1.1000000000000001</v>
      </c>
    </row>
    <row r="85" spans="2:13" x14ac:dyDescent="0.35">
      <c r="B85" s="45" t="s">
        <v>183</v>
      </c>
      <c r="C85" s="88" t="s">
        <v>260</v>
      </c>
    </row>
    <row r="86" spans="2:13" x14ac:dyDescent="0.35">
      <c r="B86" s="45" t="s">
        <v>195</v>
      </c>
      <c r="C86" s="88" t="s">
        <v>200</v>
      </c>
    </row>
    <row r="87" spans="2:13" x14ac:dyDescent="0.35">
      <c r="B87" s="45" t="s">
        <v>196</v>
      </c>
      <c r="C87" s="88" t="s">
        <v>261</v>
      </c>
    </row>
    <row r="88" spans="2:13" x14ac:dyDescent="0.35">
      <c r="B88" s="46" t="s">
        <v>186</v>
      </c>
      <c r="C88" s="88" t="s">
        <v>261</v>
      </c>
    </row>
    <row r="89" spans="2:13" x14ac:dyDescent="0.35">
      <c r="B89" s="1" t="s">
        <v>189</v>
      </c>
      <c r="C89" s="88" t="s">
        <v>260</v>
      </c>
    </row>
    <row r="90" spans="2:13" ht="69.75" x14ac:dyDescent="0.35">
      <c r="B90" s="48" t="s">
        <v>188</v>
      </c>
      <c r="C90" s="89" t="s">
        <v>262</v>
      </c>
    </row>
    <row r="92" spans="2:13" ht="13.9" x14ac:dyDescent="0.45">
      <c r="B92" s="230" t="s">
        <v>174</v>
      </c>
      <c r="C92" s="231"/>
      <c r="D92" s="231"/>
      <c r="E92" s="231"/>
      <c r="F92" s="231"/>
      <c r="G92" s="231"/>
      <c r="H92" s="231"/>
      <c r="I92" s="231"/>
      <c r="J92" s="231"/>
      <c r="K92" s="231"/>
      <c r="L92" s="231"/>
      <c r="M92" s="231"/>
    </row>
    <row r="94" spans="2:13" x14ac:dyDescent="0.35">
      <c r="B94" s="35" t="s">
        <v>298</v>
      </c>
      <c r="C94" s="234" t="s">
        <v>253</v>
      </c>
    </row>
    <row r="95" spans="2:13" x14ac:dyDescent="0.35">
      <c r="B95" s="35" t="s">
        <v>155</v>
      </c>
      <c r="C95" s="235" t="s">
        <v>258</v>
      </c>
    </row>
    <row r="96" spans="2:13" x14ac:dyDescent="0.35">
      <c r="B96" s="35" t="s">
        <v>244</v>
      </c>
      <c r="C96" s="236">
        <v>45643</v>
      </c>
    </row>
    <row r="97" spans="2:5" x14ac:dyDescent="0.35">
      <c r="B97" s="28" t="s">
        <v>3</v>
      </c>
      <c r="C97" s="237">
        <v>8</v>
      </c>
    </row>
    <row r="98" spans="2:5" x14ac:dyDescent="0.35">
      <c r="B98" s="28" t="s">
        <v>175</v>
      </c>
      <c r="C98" s="238" t="s">
        <v>259</v>
      </c>
    </row>
    <row r="99" spans="2:5" x14ac:dyDescent="0.35">
      <c r="B99" s="28" t="s">
        <v>176</v>
      </c>
      <c r="C99" s="238" t="s">
        <v>250</v>
      </c>
    </row>
    <row r="100" spans="2:5" x14ac:dyDescent="0.35">
      <c r="B100" s="28" t="s">
        <v>177</v>
      </c>
      <c r="C100" s="239">
        <v>587107850</v>
      </c>
    </row>
    <row r="101" spans="2:5" x14ac:dyDescent="0.35">
      <c r="B101" s="28" t="s">
        <v>178</v>
      </c>
      <c r="C101" s="235" t="s">
        <v>1</v>
      </c>
    </row>
    <row r="102" spans="2:5" x14ac:dyDescent="0.35">
      <c r="B102" s="49" t="s">
        <v>9</v>
      </c>
      <c r="C102" s="240">
        <v>45382</v>
      </c>
    </row>
    <row r="103" spans="2:5" x14ac:dyDescent="0.35">
      <c r="B103" s="49" t="s">
        <v>10</v>
      </c>
      <c r="C103" s="241">
        <v>1000</v>
      </c>
    </row>
    <row r="104" spans="2:5" x14ac:dyDescent="0.35">
      <c r="B104" s="49" t="s">
        <v>179</v>
      </c>
      <c r="C104" s="240">
        <v>45382</v>
      </c>
    </row>
    <row r="105" spans="2:5" x14ac:dyDescent="0.35">
      <c r="B105" s="49" t="s">
        <v>207</v>
      </c>
      <c r="C105" s="86" t="s">
        <v>153</v>
      </c>
    </row>
    <row r="106" spans="2:5" x14ac:dyDescent="0.35">
      <c r="B106" s="50" t="s">
        <v>85</v>
      </c>
      <c r="C106" s="242">
        <v>0.25</v>
      </c>
      <c r="D106" s="51"/>
      <c r="E106" s="14" t="s">
        <v>233</v>
      </c>
    </row>
    <row r="107" spans="2:5" x14ac:dyDescent="0.35">
      <c r="B107" s="28" t="s">
        <v>302</v>
      </c>
      <c r="C107" s="234" t="s">
        <v>257</v>
      </c>
      <c r="D107" s="51"/>
    </row>
  </sheetData>
  <mergeCells count="2">
    <mergeCell ref="C73:D73"/>
    <mergeCell ref="C74:D74"/>
  </mergeCells>
  <phoneticPr fontId="3" type="noConversion"/>
  <conditionalFormatting sqref="C4:M13 C16:M18 C21:M24 C27:M28 C70">
    <cfRule type="expression" dxfId="13" priority="2">
      <formula>ISBLANK(C4)</formula>
    </cfRule>
  </conditionalFormatting>
  <dataValidations count="9">
    <dataValidation type="list" allowBlank="1" showInputMessage="1" showErrorMessage="1" sqref="C98" xr:uid="{4F1A5CDA-569A-4509-AA2D-9CF95C6DB1A5}">
      <formula1>"Tier 1, Superior Cycl. ,Tier 3, N"</formula1>
    </dataValidation>
    <dataValidation type="list" allowBlank="1" sqref="C101" xr:uid="{7C8576B4-3288-485C-91EB-6274925EDC41}">
      <formula1>"HKD,USD,CNY,EUR"</formula1>
    </dataValidation>
    <dataValidation allowBlank="1" showInputMessage="1" showErrorMessage="1" sqref="C102" xr:uid="{87139493-416E-4F03-A3A9-B1C3E5C019E4}"/>
    <dataValidation type="list" allowBlank="1" showInputMessage="1" showErrorMessage="1" sqref="C105" xr:uid="{C4480F83-D8C1-4589-BCF3-1A7870946539}">
      <formula1>"US, CN, HK, Others"</formula1>
    </dataValidation>
    <dataValidation type="list" allowBlank="1" showInputMessage="1" showErrorMessage="1" sqref="E40:E41 E49:E51" xr:uid="{2EA09CDC-767E-4F51-A87B-920BE059D711}">
      <formula1>"Y,N"</formula1>
    </dataValidation>
    <dataValidation type="list" allowBlank="1" showInputMessage="1" showErrorMessage="1" sqref="C68" xr:uid="{31963159-DFD7-4119-BCAA-A7E2F36213F8}">
      <formula1>"Profit, Dividend, Avg"</formula1>
    </dataValidation>
    <dataValidation type="list" allowBlank="1" sqref="C85:C89" xr:uid="{5CA156AA-BA7E-4691-BCB5-F85762B82595}">
      <formula1>"Strongly agree,agree,unclear,disagree,Strongly disagree"</formula1>
    </dataValidation>
    <dataValidation type="list" allowBlank="1" sqref="C90" xr:uid="{AC11383D-4B80-4250-901A-577B0CB0078C}">
      <formula1>"Consumer Monopoly,Unclear,Commodity-type Business"</formula1>
    </dataValidation>
    <dataValidation type="list" showInputMessage="1" showErrorMessage="1" sqref="C107" xr:uid="{EC47C593-A7DE-4ABB-B6D2-C8BF531E4639}">
      <formula1>"HOLD"</formula1>
    </dataValidation>
  </dataValidations>
  <hyperlinks>
    <hyperlink ref="E106" r:id="rId1" xr:uid="{F8B38130-6ADB-477B-BA33-0F2CE7EF4838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O943"/>
  <sheetViews>
    <sheetView showGridLines="0" tabSelected="1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E4" sqref="E4:O5"/>
    </sheetView>
  </sheetViews>
  <sheetFormatPr defaultColWidth="12.33203125" defaultRowHeight="15" customHeight="1" x14ac:dyDescent="0.35"/>
  <cols>
    <col min="1" max="1" width="1.33203125" style="2" customWidth="1"/>
    <col min="2" max="2" width="26.33203125" style="2" customWidth="1"/>
    <col min="3" max="3" width="20.59765625" style="2" customWidth="1"/>
    <col min="4" max="4" width="5.59765625" style="2" customWidth="1"/>
    <col min="5" max="15" width="20.59765625" style="2" customWidth="1"/>
    <col min="16" max="16384" width="12.33203125" style="2"/>
  </cols>
  <sheetData>
    <row r="1" spans="1:15" ht="15.75" customHeight="1" x14ac:dyDescent="0.35">
      <c r="A1" s="5"/>
      <c r="B1" s="253" t="str">
        <f>"("&amp;Inputs!C103&amp;" "&amp;Thesis!C13&amp;")"</f>
        <v>(1000 HKD)</v>
      </c>
      <c r="C1" s="272" t="s">
        <v>392</v>
      </c>
      <c r="D1" s="272"/>
      <c r="E1" s="233">
        <f>E76</f>
        <v>45382</v>
      </c>
      <c r="F1" s="233">
        <f>EOMONTH(EDATE(E1,-12),0)</f>
        <v>45016</v>
      </c>
      <c r="G1" s="233">
        <f t="shared" ref="G1:O1" si="0">EOMONTH(EDATE(F1,-12),0)</f>
        <v>44651</v>
      </c>
      <c r="H1" s="233">
        <f t="shared" si="0"/>
        <v>44286</v>
      </c>
      <c r="I1" s="233">
        <f t="shared" si="0"/>
        <v>43921</v>
      </c>
      <c r="J1" s="233">
        <f t="shared" si="0"/>
        <v>43555</v>
      </c>
      <c r="K1" s="233">
        <f t="shared" si="0"/>
        <v>43190</v>
      </c>
      <c r="L1" s="233">
        <f t="shared" si="0"/>
        <v>42825</v>
      </c>
      <c r="M1" s="233">
        <f t="shared" si="0"/>
        <v>42460</v>
      </c>
      <c r="N1" s="233">
        <f t="shared" si="0"/>
        <v>42094</v>
      </c>
      <c r="O1" s="233">
        <f t="shared" si="0"/>
        <v>41729</v>
      </c>
    </row>
    <row r="2" spans="1:15" ht="15.75" customHeight="1" x14ac:dyDescent="0.45">
      <c r="A2" s="5"/>
      <c r="B2" s="273" t="s">
        <v>318</v>
      </c>
      <c r="C2" s="273"/>
      <c r="D2" s="276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5" ht="15.75" customHeight="1" x14ac:dyDescent="0.35">
      <c r="A3" s="93"/>
      <c r="B3" s="107" t="s">
        <v>311</v>
      </c>
      <c r="C3" s="65"/>
      <c r="D3" s="65"/>
      <c r="E3" s="65"/>
    </row>
    <row r="4" spans="1:15" ht="15.75" customHeight="1" x14ac:dyDescent="0.35">
      <c r="A4" s="93"/>
      <c r="B4" s="209" t="s">
        <v>11</v>
      </c>
      <c r="C4" s="293">
        <f>AVERAGE(E4:H4)</f>
        <v>11975736</v>
      </c>
      <c r="D4" s="283"/>
      <c r="E4" s="284">
        <f>IF(Inputs!C4=""," ",Inputs!C4)</f>
        <v>15325962</v>
      </c>
      <c r="F4" s="284">
        <f>IF(Inputs!D4="","",Inputs!D4)</f>
        <v>11977844</v>
      </c>
      <c r="G4" s="284">
        <f>IF(Inputs!E4="","",Inputs!E4)</f>
        <v>11737803</v>
      </c>
      <c r="H4" s="284">
        <f>IF(Inputs!F4="","",Inputs!F4)</f>
        <v>8861335</v>
      </c>
      <c r="I4" s="284">
        <f>IF(Inputs!G4="","",Inputs!G4)</f>
        <v>11233771</v>
      </c>
      <c r="J4" s="284">
        <f>IF(Inputs!H4="","",Inputs!H4)</f>
        <v>15859990</v>
      </c>
      <c r="K4" s="284" t="str">
        <f>IF(Inputs!I4="","",Inputs!I4)</f>
        <v/>
      </c>
      <c r="L4" s="284" t="str">
        <f>IF(Inputs!J4="","",Inputs!J4)</f>
        <v/>
      </c>
      <c r="M4" s="284" t="str">
        <f>IF(Inputs!K4="","",Inputs!K4)</f>
        <v/>
      </c>
      <c r="N4" s="284" t="str">
        <f>IF(Inputs!L4="","",Inputs!L4)</f>
        <v/>
      </c>
      <c r="O4" s="284" t="str">
        <f>IF(Inputs!M4="","",Inputs!M4)</f>
        <v/>
      </c>
    </row>
    <row r="5" spans="1:15" ht="15.75" customHeight="1" x14ac:dyDescent="0.35">
      <c r="A5" s="93"/>
      <c r="B5" s="210" t="s">
        <v>265</v>
      </c>
      <c r="C5" s="293">
        <f>-C4*C19</f>
        <v>-8652915.6175702717</v>
      </c>
      <c r="D5" s="285"/>
      <c r="E5" s="284">
        <f>IF(Inputs!C5="","",Inputs!C5)</f>
        <v>-11151623</v>
      </c>
      <c r="F5" s="284">
        <f>IF(Inputs!D5="","",Inputs!D5)</f>
        <v>-8747447</v>
      </c>
      <c r="G5" s="284">
        <f>IF(Inputs!E5="","",Inputs!E5)</f>
        <v>-8503976</v>
      </c>
      <c r="H5" s="284">
        <f>IF(Inputs!F5="","",Inputs!F5)</f>
        <v>-6229020</v>
      </c>
      <c r="I5" s="284">
        <f>IF(Inputs!G5="","",Inputs!G5)</f>
        <v>-7910751</v>
      </c>
      <c r="J5" s="284">
        <f>IF(Inputs!H5="","",Inputs!H5)</f>
        <v>-11826154</v>
      </c>
      <c r="K5" s="284">
        <f>IF(Inputs!I5="","",Inputs!I5)</f>
        <v>0</v>
      </c>
      <c r="L5" s="284">
        <f>IF(Inputs!J5="","",Inputs!J5)</f>
        <v>0</v>
      </c>
      <c r="M5" s="284">
        <f>IF(Inputs!K5="","",Inputs!K5)</f>
        <v>0</v>
      </c>
      <c r="N5" s="284">
        <f>IF(Inputs!L5="","",Inputs!L5)</f>
        <v>0</v>
      </c>
      <c r="O5" s="284">
        <f>IF(Inputs!M5="","",Inputs!M5)</f>
        <v>0</v>
      </c>
    </row>
    <row r="6" spans="1:15" ht="15.75" customHeight="1" x14ac:dyDescent="0.35">
      <c r="A6" s="93"/>
      <c r="B6" s="215" t="s">
        <v>90</v>
      </c>
      <c r="C6" s="290">
        <f>C4+C5</f>
        <v>3322820.3824297283</v>
      </c>
      <c r="D6" s="286"/>
      <c r="E6" s="287">
        <f>IF(E4="","",E4+E5)</f>
        <v>4174339</v>
      </c>
      <c r="F6" s="287">
        <f>IF(F4="","",F4+F5)</f>
        <v>3230397</v>
      </c>
      <c r="G6" s="287">
        <f>IF(G4="","",G4+G5)</f>
        <v>3233827</v>
      </c>
      <c r="H6" s="287">
        <f>IF(H4="","",H4+H5)</f>
        <v>2632315</v>
      </c>
      <c r="I6" s="287">
        <f>IF(I4="","",I4+I5)</f>
        <v>3323020</v>
      </c>
      <c r="J6" s="287">
        <f>IF(J4="","",J4+J5)</f>
        <v>4033836</v>
      </c>
      <c r="K6" s="287" t="str">
        <f>IF(K4="","",K4+K5)</f>
        <v/>
      </c>
      <c r="L6" s="287" t="str">
        <f>IF(L4="","",L4+L5)</f>
        <v/>
      </c>
      <c r="M6" s="287" t="str">
        <f>IF(M4="","",M4+M5)</f>
        <v/>
      </c>
      <c r="N6" s="287" t="str">
        <f>IF(N4="","",N4+N5)</f>
        <v/>
      </c>
      <c r="O6" s="287" t="str">
        <f>IF(O4="","",O4+O5)</f>
        <v/>
      </c>
    </row>
    <row r="7" spans="1:15" ht="15.75" customHeight="1" x14ac:dyDescent="0.35">
      <c r="A7" s="93"/>
      <c r="B7" s="63" t="s">
        <v>313</v>
      </c>
      <c r="E7" s="284">
        <f>IF(Inputs!C6="","",Inputs!C6)</f>
        <v>-2043459</v>
      </c>
      <c r="F7" s="284">
        <f>IF(Inputs!D6="","",Inputs!D6)</f>
        <v>-1517989</v>
      </c>
      <c r="G7" s="284">
        <f>IF(Inputs!E6="","",Inputs!E6)</f>
        <v>-1491293</v>
      </c>
      <c r="H7" s="284">
        <f>IF(Inputs!F6="","",Inputs!F6)</f>
        <v>-1412494</v>
      </c>
      <c r="I7" s="284" t="str">
        <f>IF(Inputs!G6="","",Inputs!G6)</f>
        <v/>
      </c>
      <c r="J7" s="284" t="str">
        <f>IF(Inputs!H6="","",Inputs!H6)</f>
        <v/>
      </c>
      <c r="K7" s="284" t="str">
        <f>IF(Inputs!I6="","",Inputs!I6)</f>
        <v/>
      </c>
      <c r="L7" s="284" t="str">
        <f>IF(Inputs!J6="","",Inputs!J6)</f>
        <v/>
      </c>
      <c r="M7" s="284" t="str">
        <f>IF(Inputs!K6="","",Inputs!K6)</f>
        <v/>
      </c>
      <c r="N7" s="284" t="str">
        <f>IF(Inputs!L6="","",Inputs!L6)</f>
        <v/>
      </c>
      <c r="O7" s="284" t="str">
        <f>IF(Inputs!M6="","",Inputs!M6)</f>
        <v/>
      </c>
    </row>
    <row r="8" spans="1:15" ht="15.75" customHeight="1" x14ac:dyDescent="0.35">
      <c r="A8" s="93"/>
      <c r="B8" s="63" t="s">
        <v>286</v>
      </c>
      <c r="E8" s="284">
        <f>IF(Inputs!C7="",0,Inputs!C7)</f>
        <v>0</v>
      </c>
      <c r="F8" s="284">
        <f>IF(Inputs!D7="",0,Inputs!D7)</f>
        <v>0</v>
      </c>
      <c r="G8" s="284">
        <f>IF(Inputs!E7="",0,Inputs!E7)</f>
        <v>0</v>
      </c>
      <c r="H8" s="284">
        <f>IF(Inputs!F7="",0,Inputs!F7)</f>
        <v>0</v>
      </c>
      <c r="I8" s="284">
        <f>IF(Inputs!G7="",0,Inputs!G7)</f>
        <v>0</v>
      </c>
      <c r="J8" s="284">
        <f>IF(Inputs!H7="",0,Inputs!H7)</f>
        <v>0</v>
      </c>
      <c r="K8" s="284">
        <f>IF(Inputs!I7="",0,Inputs!I7)</f>
        <v>0</v>
      </c>
      <c r="L8" s="284">
        <f>IF(Inputs!J7="",0,Inputs!J7)</f>
        <v>0</v>
      </c>
      <c r="M8" s="284">
        <f>IF(Inputs!K7="",0,Inputs!K7)</f>
        <v>0</v>
      </c>
      <c r="N8" s="284">
        <f>IF(Inputs!L7="",0,Inputs!L7)</f>
        <v>0</v>
      </c>
      <c r="O8" s="284">
        <f>IF(Inputs!M7="",0,Inputs!M7)</f>
        <v>0</v>
      </c>
    </row>
    <row r="9" spans="1:15" ht="15.75" customHeight="1" x14ac:dyDescent="0.35">
      <c r="A9" s="93"/>
      <c r="B9" s="222" t="s">
        <v>289</v>
      </c>
      <c r="E9" s="314">
        <f>IF(E4="","",E6+E7+E8)</f>
        <v>2130880</v>
      </c>
      <c r="F9" s="314">
        <f>IF(F4="","",F6+F7+F8)</f>
        <v>1712408</v>
      </c>
      <c r="G9" s="314">
        <f>IF(G4="","",G6+G7+G8)</f>
        <v>1742534</v>
      </c>
      <c r="H9" s="314">
        <f>IF(H4="","",H6+H7+H8)</f>
        <v>1219821</v>
      </c>
      <c r="I9" s="314" t="e">
        <f>IF(I4="","",I6+I7+I8)</f>
        <v>#VALUE!</v>
      </c>
      <c r="J9" s="314" t="e">
        <f>IF(J4="","",J6+J7+J8)</f>
        <v>#VALUE!</v>
      </c>
    </row>
    <row r="10" spans="1:15" ht="15.75" customHeight="1" x14ac:dyDescent="0.35">
      <c r="A10" s="93"/>
      <c r="B10" s="210" t="s">
        <v>315</v>
      </c>
      <c r="C10" s="294"/>
      <c r="D10" s="285"/>
      <c r="E10" s="284">
        <f>IF(Inputs!C8="","",Inputs!C8-E7)</f>
        <v>-254107</v>
      </c>
      <c r="F10" s="284">
        <f>IF(Inputs!D8="","",Inputs!D8-F7)</f>
        <v>-349526</v>
      </c>
      <c r="G10" s="284">
        <f>IF(Inputs!E8="","",Inputs!E8-G7)</f>
        <v>-323818</v>
      </c>
      <c r="H10" s="284">
        <f>IF(Inputs!F8="","",Inputs!F8-H7)</f>
        <v>-281986</v>
      </c>
      <c r="I10" s="284" t="e">
        <f>IF(Inputs!G8="","",Inputs!G8-I7)</f>
        <v>#VALUE!</v>
      </c>
      <c r="J10" s="284" t="e">
        <f>IF(Inputs!H8="","",Inputs!H8-J7)</f>
        <v>#VALUE!</v>
      </c>
      <c r="K10" s="284">
        <f>IF(Inputs!I8="","",Inputs!I8)</f>
        <v>0</v>
      </c>
      <c r="L10" s="284">
        <f>IF(Inputs!J8="","",Inputs!J8)</f>
        <v>0</v>
      </c>
      <c r="M10" s="284">
        <f>IF(Inputs!K8="","",Inputs!K8)</f>
        <v>0</v>
      </c>
      <c r="N10" s="284">
        <f>IF(Inputs!L8="","",Inputs!L8)</f>
        <v>0</v>
      </c>
      <c r="O10" s="284">
        <f>IF(Inputs!M8="","",Inputs!M8)</f>
        <v>0</v>
      </c>
    </row>
    <row r="11" spans="1:15" ht="15.75" customHeight="1" x14ac:dyDescent="0.35">
      <c r="A11" s="93"/>
      <c r="B11" s="210" t="s">
        <v>93</v>
      </c>
      <c r="C11" s="294"/>
      <c r="D11" s="285"/>
      <c r="E11" s="284">
        <v>0</v>
      </c>
      <c r="F11" s="284" t="str">
        <f>IF(Inputs!D9="","",Inputs!D9)</f>
        <v/>
      </c>
      <c r="G11" s="284" t="str">
        <f>IF(Inputs!E9="","",Inputs!E9)</f>
        <v/>
      </c>
      <c r="H11" s="284" t="str">
        <f>IF(Inputs!F9="","",Inputs!F9)</f>
        <v/>
      </c>
      <c r="I11" s="284" t="str">
        <f>IF(Inputs!G9="","",Inputs!G9)</f>
        <v/>
      </c>
      <c r="J11" s="284" t="str">
        <f>IF(Inputs!H9="","",Inputs!H9)</f>
        <v/>
      </c>
      <c r="K11" s="284" t="str">
        <f>IF(Inputs!I9="","",Inputs!I9)</f>
        <v/>
      </c>
      <c r="L11" s="284" t="str">
        <f>IF(Inputs!J9="","",Inputs!J9)</f>
        <v/>
      </c>
      <c r="M11" s="284" t="str">
        <f>IF(Inputs!K9="","",Inputs!K9)</f>
        <v/>
      </c>
      <c r="N11" s="284" t="str">
        <f>IF(Inputs!L9="","",Inputs!L9)</f>
        <v/>
      </c>
      <c r="O11" s="284" t="str">
        <f>IF(Inputs!M9="","",Inputs!M9)</f>
        <v/>
      </c>
    </row>
    <row r="12" spans="1:15" ht="15.75" customHeight="1" x14ac:dyDescent="0.35">
      <c r="A12" s="93"/>
      <c r="B12" s="248" t="s">
        <v>197</v>
      </c>
      <c r="C12" s="295"/>
      <c r="D12" s="288"/>
      <c r="E12" s="284">
        <f>IF(Inputs!C13="","",MAX(Inputs!C13,0)/(1-Fin_Analysis!$I$84))</f>
        <v>12622.666666666666</v>
      </c>
      <c r="F12" s="284">
        <f>IF(Inputs!D13="","",MAX(Inputs!D13,0)/(1-Fin_Analysis!$I$84))</f>
        <v>40</v>
      </c>
      <c r="G12" s="284">
        <f>IF(Inputs!E13="","",MAX(Inputs!E13,0)/(1-Fin_Analysis!$I$84))</f>
        <v>36</v>
      </c>
      <c r="H12" s="284">
        <f>IF(Inputs!F13="","",MAX(Inputs!F13,0)/(1-Fin_Analysis!$I$84))</f>
        <v>0</v>
      </c>
      <c r="I12" s="284">
        <f>IF(Inputs!G13="","",MAX(Inputs!G13,0)/(1-Fin_Analysis!$I$84))</f>
        <v>0</v>
      </c>
      <c r="J12" s="284">
        <f>IF(Inputs!H13="","",MAX(Inputs!H13,0)/(1-Fin_Analysis!$I$84))</f>
        <v>0</v>
      </c>
      <c r="K12" s="284">
        <f>IF(Inputs!I13="","",MAX(Inputs!I13,0)/(1-Fin_Analysis!$I$84))</f>
        <v>0</v>
      </c>
      <c r="L12" s="284">
        <f>IF(Inputs!J13="","",MAX(Inputs!J13,0)/(1-Fin_Analysis!$I$84))</f>
        <v>0</v>
      </c>
      <c r="M12" s="284">
        <f>IF(Inputs!K13="","",MAX(Inputs!K13,0)/(1-Fin_Analysis!$I$84))</f>
        <v>0</v>
      </c>
      <c r="N12" s="284">
        <f>IF(Inputs!L13="","",MAX(Inputs!L13,0)/(1-Fin_Analysis!$I$84))</f>
        <v>0</v>
      </c>
      <c r="O12" s="284">
        <f>IF(Inputs!M13="","",MAX(Inputs!M13,0)/(1-Fin_Analysis!$I$84))</f>
        <v>0</v>
      </c>
    </row>
    <row r="13" spans="1:15" ht="15.75" customHeight="1" x14ac:dyDescent="0.35">
      <c r="A13" s="93"/>
      <c r="B13" s="215" t="s">
        <v>191</v>
      </c>
      <c r="C13" s="290"/>
      <c r="D13" s="286"/>
      <c r="E13" s="287">
        <f>E9+E10+E11+E12</f>
        <v>1889395.6666666667</v>
      </c>
      <c r="F13" s="287">
        <f>IF(F4="","",F6-F10-MAX(F11,0)-MAX(F12,0))</f>
        <v>3579883</v>
      </c>
      <c r="G13" s="287">
        <f>IF(G4="","",G6-G10-MAX(G11,0)-MAX(G12,0))</f>
        <v>3557609</v>
      </c>
      <c r="H13" s="287">
        <f>IF(H4="","",H6-H10-MAX(H11,0)-MAX(H12,0))</f>
        <v>2914301</v>
      </c>
      <c r="I13" s="287" t="e">
        <f>IF(I4="","",I6-I10-MAX(I11,0)-MAX(I12,0))</f>
        <v>#VALUE!</v>
      </c>
      <c r="J13" s="287" t="e">
        <f>IF(J4="","",J6-J10-MAX(J11,0)-MAX(J12,0))</f>
        <v>#VALUE!</v>
      </c>
      <c r="K13" s="287" t="str">
        <f>IF(K4="","",K6-K10-MAX(K11,0)-MAX(K12,0))</f>
        <v/>
      </c>
      <c r="L13" s="287" t="str">
        <f>IF(L4="","",L6-L10-MAX(L11,0)-MAX(L12,0))</f>
        <v/>
      </c>
      <c r="M13" s="287" t="str">
        <f>IF(M4="","",M6-M10-MAX(M11,0)-MAX(M12,0))</f>
        <v/>
      </c>
      <c r="N13" s="287" t="str">
        <f>IF(N4="","",N6-N10-MAX(N11,0)-MAX(N12,0))</f>
        <v/>
      </c>
      <c r="O13" s="287" t="str">
        <f>IF(O4="","",O6-O10-MAX(O11,0)-MAX(O12,0))</f>
        <v/>
      </c>
    </row>
    <row r="14" spans="1:15" ht="15.75" customHeight="1" x14ac:dyDescent="0.35">
      <c r="A14" s="93"/>
      <c r="B14" s="210" t="s">
        <v>320</v>
      </c>
      <c r="C14" s="294"/>
      <c r="D14" s="285"/>
      <c r="E14" s="284">
        <f t="shared" ref="E14:O14" si="1">IF(E15="","",E15-E13)</f>
        <v>-122090.66666666674</v>
      </c>
      <c r="F14" s="284">
        <f t="shared" si="1"/>
        <v>-2295126</v>
      </c>
      <c r="G14" s="284">
        <f t="shared" si="1"/>
        <v>-2165245</v>
      </c>
      <c r="H14" s="284">
        <f t="shared" si="1"/>
        <v>-1896966</v>
      </c>
      <c r="I14" s="284" t="e">
        <f t="shared" si="1"/>
        <v>#VALUE!</v>
      </c>
      <c r="J14" s="284" t="str">
        <f t="shared" si="1"/>
        <v/>
      </c>
      <c r="K14" s="284" t="str">
        <f t="shared" si="1"/>
        <v/>
      </c>
      <c r="L14" s="284" t="str">
        <f t="shared" si="1"/>
        <v/>
      </c>
      <c r="M14" s="284" t="str">
        <f t="shared" si="1"/>
        <v/>
      </c>
      <c r="N14" s="284" t="str">
        <f t="shared" si="1"/>
        <v/>
      </c>
      <c r="O14" s="284" t="str">
        <f t="shared" si="1"/>
        <v/>
      </c>
    </row>
    <row r="15" spans="1:15" ht="15.75" customHeight="1" x14ac:dyDescent="0.35">
      <c r="A15" s="93"/>
      <c r="B15" s="250" t="s">
        <v>254</v>
      </c>
      <c r="C15" s="296"/>
      <c r="D15" s="289"/>
      <c r="E15" s="287">
        <f>IF(Inputs!C12="","",Inputs!C12)</f>
        <v>1767305</v>
      </c>
      <c r="F15" s="287">
        <f>IF(Inputs!D12="","",Inputs!D12)</f>
        <v>1284757</v>
      </c>
      <c r="G15" s="287">
        <f>IF(Inputs!E12="","",Inputs!E12)</f>
        <v>1392364</v>
      </c>
      <c r="H15" s="287">
        <f>IF(Inputs!F12="","",Inputs!F12)</f>
        <v>1017335</v>
      </c>
      <c r="I15" s="287">
        <f>IF(Inputs!G12="","",Inputs!G12)</f>
        <v>866315</v>
      </c>
      <c r="J15" s="287" t="str">
        <f>IF(Inputs!H12="","",Inputs!H12)</f>
        <v/>
      </c>
      <c r="K15" s="287" t="str">
        <f>IF(Inputs!I12="","",Inputs!I12)</f>
        <v/>
      </c>
      <c r="L15" s="287" t="str">
        <f>IF(Inputs!J12="","",Inputs!J12)</f>
        <v/>
      </c>
      <c r="M15" s="287" t="str">
        <f>IF(Inputs!K12="","",Inputs!K12)</f>
        <v/>
      </c>
      <c r="N15" s="287" t="str">
        <f>IF(Inputs!L12="","",Inputs!L12)</f>
        <v/>
      </c>
      <c r="O15" s="287" t="str">
        <f>IF(Inputs!M12="","",Inputs!M12)</f>
        <v/>
      </c>
    </row>
    <row r="16" spans="1:15" ht="15.75" customHeight="1" x14ac:dyDescent="0.35">
      <c r="A16" s="93"/>
      <c r="B16" s="210" t="s">
        <v>96</v>
      </c>
      <c r="C16" s="294"/>
      <c r="D16" s="285"/>
      <c r="E16" s="284">
        <f>IF(Inputs!C18="","",Inputs!C18)</f>
        <v>626583</v>
      </c>
      <c r="F16" s="284">
        <f>IF(Inputs!D18="","",Inputs!D18)</f>
        <v>352099</v>
      </c>
      <c r="G16" s="284">
        <f>IF(Inputs!E18="","",Inputs!E18)</f>
        <v>1045251</v>
      </c>
      <c r="H16" s="284">
        <f>IF(Inputs!F18="","",Inputs!F18)</f>
        <v>-818677</v>
      </c>
      <c r="I16" s="284" t="str">
        <f>IF(Inputs!G18="","",Inputs!G18)</f>
        <v/>
      </c>
      <c r="J16" s="284" t="str">
        <f>IF(Inputs!H18="","",Inputs!H18)</f>
        <v/>
      </c>
      <c r="K16" s="284" t="str">
        <f>IF(Inputs!I18="","",Inputs!I18)</f>
        <v/>
      </c>
      <c r="L16" s="284" t="str">
        <f>IF(Inputs!J18="","",Inputs!J18)</f>
        <v/>
      </c>
      <c r="M16" s="284" t="str">
        <f>IF(Inputs!K18="","",Inputs!K18)</f>
        <v/>
      </c>
      <c r="N16" s="284" t="str">
        <f>IF(Inputs!L18="","",Inputs!L18)</f>
        <v/>
      </c>
      <c r="O16" s="284" t="str">
        <f>IF(Inputs!M18="","",Inputs!M18)</f>
        <v/>
      </c>
    </row>
    <row r="17" spans="1:15" ht="15.75" customHeight="1" x14ac:dyDescent="0.35">
      <c r="A17" s="93"/>
      <c r="B17" s="210"/>
      <c r="C17" s="297"/>
      <c r="D17" s="210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5" ht="15.75" customHeight="1" x14ac:dyDescent="0.35">
      <c r="A18" s="93"/>
      <c r="B18" s="291" t="s">
        <v>263</v>
      </c>
      <c r="C18" s="65"/>
      <c r="D18" s="65"/>
      <c r="E18" s="65"/>
      <c r="F18" s="97"/>
      <c r="G18" s="97"/>
      <c r="H18" s="97"/>
      <c r="I18" s="97"/>
      <c r="J18" s="97"/>
      <c r="K18" s="97"/>
      <c r="L18" s="97"/>
      <c r="M18" s="97"/>
      <c r="N18" s="97"/>
      <c r="O18" s="97"/>
    </row>
    <row r="19" spans="1:15" ht="15.75" customHeight="1" x14ac:dyDescent="0.35">
      <c r="A19" s="93"/>
      <c r="B19" s="209" t="s">
        <v>265</v>
      </c>
      <c r="C19" s="298">
        <f>AVERAGE(E19:J19)</f>
        <v>0.72253727182782512</v>
      </c>
      <c r="D19" s="209"/>
      <c r="E19" s="99">
        <f>IF(E4="","",-E5/E4)</f>
        <v>0.72762956087193742</v>
      </c>
      <c r="F19" s="99">
        <f>IF(F4="","",-F5/F4)</f>
        <v>0.7303022981431383</v>
      </c>
      <c r="G19" s="99">
        <f>IF(G4="","",-G5/G4)</f>
        <v>0.7244946946204498</v>
      </c>
      <c r="H19" s="99">
        <f>IF(H4="","",-H5/H4)</f>
        <v>0.70294374380383995</v>
      </c>
      <c r="I19" s="99">
        <f>IF(I4="","",-I5/I4)</f>
        <v>0.70419372087965826</v>
      </c>
      <c r="J19" s="99">
        <f>IF(J4="","",-J5/J4)</f>
        <v>0.74565961264792724</v>
      </c>
      <c r="K19" s="99" t="str">
        <f>IF(K4="","",-K5/K4)</f>
        <v/>
      </c>
      <c r="L19" s="99" t="str">
        <f>IF(L4="","",-L5/L4)</f>
        <v/>
      </c>
      <c r="M19" s="99" t="str">
        <f>IF(M4="","",-M5/M4)</f>
        <v/>
      </c>
      <c r="N19" s="99" t="str">
        <f>IF(N4="","",-N5/N4)</f>
        <v/>
      </c>
      <c r="O19" s="99" t="str">
        <f>IF(O4="","",-O5/O4)</f>
        <v/>
      </c>
    </row>
    <row r="20" spans="1:15" ht="15.75" customHeight="1" x14ac:dyDescent="0.35">
      <c r="A20" s="93"/>
      <c r="B20" s="215" t="s">
        <v>90</v>
      </c>
      <c r="C20" s="299">
        <f>C6/C4</f>
        <v>0.27746272817217482</v>
      </c>
      <c r="D20" s="300"/>
      <c r="E20" s="216">
        <f>IF(E4="","",E6/E4)</f>
        <v>0.27237043912806258</v>
      </c>
      <c r="F20" s="216">
        <f>IF(F4="","",F6/F4)</f>
        <v>0.2696977018568617</v>
      </c>
      <c r="G20" s="216">
        <f>IF(G4="","",G6/G4)</f>
        <v>0.27550530537955015</v>
      </c>
      <c r="H20" s="216">
        <f>IF(H4="","",H6/H4)</f>
        <v>0.29705625619616005</v>
      </c>
      <c r="I20" s="216">
        <f>IF(I4="","",I6/I4)</f>
        <v>0.29580627912034169</v>
      </c>
      <c r="J20" s="216">
        <f>IF(J4="","",J6/J4)</f>
        <v>0.25434038735207271</v>
      </c>
      <c r="K20" s="216" t="str">
        <f>IF(K4="","",K6/K4)</f>
        <v/>
      </c>
      <c r="L20" s="216" t="str">
        <f>IF(L4="","",L6/L4)</f>
        <v/>
      </c>
      <c r="M20" s="216" t="str">
        <f>IF(M4="","",M6/M4)</f>
        <v/>
      </c>
      <c r="N20" s="216" t="str">
        <f>IF(N4="","",N6/N4)</f>
        <v/>
      </c>
      <c r="O20" s="216" t="str">
        <f>IF(O4="","",O6/O4)</f>
        <v/>
      </c>
    </row>
    <row r="21" spans="1:15" ht="15.75" customHeight="1" x14ac:dyDescent="0.35">
      <c r="A21" s="93"/>
      <c r="B21" s="210" t="s">
        <v>313</v>
      </c>
      <c r="C21" s="301"/>
      <c r="D21" s="210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</row>
    <row r="22" spans="1:15" ht="15.75" customHeight="1" x14ac:dyDescent="0.35">
      <c r="A22" s="93"/>
      <c r="B22" s="210" t="s">
        <v>286</v>
      </c>
      <c r="C22" s="301"/>
      <c r="D22" s="210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</row>
    <row r="23" spans="1:15" ht="15.75" customHeight="1" x14ac:dyDescent="0.35">
      <c r="A23" s="93"/>
      <c r="B23" s="222" t="s">
        <v>289</v>
      </c>
      <c r="C23" s="302"/>
      <c r="D23" s="222"/>
      <c r="E23" s="53">
        <f>E9/E4</f>
        <v>0.13903727544150246</v>
      </c>
      <c r="F23" s="53">
        <f>F9/F4</f>
        <v>0.14296462702302684</v>
      </c>
      <c r="G23" s="53">
        <f>G9/G4</f>
        <v>0.14845486842810363</v>
      </c>
      <c r="H23" s="53">
        <f>H9/H4</f>
        <v>0.13765657206278739</v>
      </c>
      <c r="I23" s="53" t="e">
        <f>I9/I4</f>
        <v>#VALUE!</v>
      </c>
      <c r="J23" s="53" t="e">
        <f>J9/J4</f>
        <v>#VALUE!</v>
      </c>
      <c r="K23" s="97"/>
      <c r="L23" s="97"/>
      <c r="M23" s="97"/>
      <c r="N23" s="97"/>
      <c r="O23" s="97"/>
    </row>
    <row r="24" spans="1:15" ht="15.75" customHeight="1" x14ac:dyDescent="0.35">
      <c r="A24" s="93"/>
      <c r="B24" s="210" t="s">
        <v>315</v>
      </c>
      <c r="C24" s="301"/>
      <c r="D24" s="210"/>
      <c r="E24" s="99">
        <f>IF(E4="","",(-(E10-E21-E22)/E4))</f>
        <v>1.6580166386945237E-2</v>
      </c>
      <c r="F24" s="99">
        <f>IF(F4="","",(-(F10-F21-F22)/F4))</f>
        <v>2.9181044602016856E-2</v>
      </c>
      <c r="G24" s="99">
        <f>IF(G4="","",(-(G10-G21-G22)/G4))</f>
        <v>2.7587615842589962E-2</v>
      </c>
      <c r="H24" s="99">
        <f>IF(H4="","",(-(H10-H21-H22)/H4))</f>
        <v>3.1822067442433898E-2</v>
      </c>
      <c r="I24" s="99" t="e">
        <f>IF(I4="","",(-(I10-I21-I22)/I4))</f>
        <v>#VALUE!</v>
      </c>
      <c r="J24" s="99" t="e">
        <f>IF(J4="","",(-(J10-J21-J22)/J4))</f>
        <v>#VALUE!</v>
      </c>
      <c r="K24" s="99" t="str">
        <f>IF(K4="","",(-(K10-K21-K22)/K4))</f>
        <v/>
      </c>
      <c r="L24" s="99" t="str">
        <f>IF(L4="","",(-(L10-L21-L22)/L4))</f>
        <v/>
      </c>
      <c r="M24" s="99" t="str">
        <f>IF(M4="","",(-(M10-M21-M22)/M4))</f>
        <v/>
      </c>
      <c r="N24" s="99" t="str">
        <f>IF(N4="","",(-(N10-N21-N22)/N4))</f>
        <v/>
      </c>
      <c r="O24" s="99" t="str">
        <f>IF(O4="","",(-(O10-O21-O22)/O4))</f>
        <v/>
      </c>
    </row>
    <row r="25" spans="1:15" ht="15.75" customHeight="1" x14ac:dyDescent="0.35">
      <c r="A25" s="93"/>
      <c r="B25" s="210" t="s">
        <v>304</v>
      </c>
      <c r="C25" s="301"/>
      <c r="D25" s="210"/>
      <c r="E25" s="53">
        <f>IF(E4="","",MAX(E11,0)/E4)</f>
        <v>0</v>
      </c>
      <c r="F25" s="53">
        <f>IF(F4="","",MAX(F11,0)/F4)</f>
        <v>0</v>
      </c>
      <c r="G25" s="53">
        <f>IF(G4="","",MAX(G11,0)/G4)</f>
        <v>0</v>
      </c>
      <c r="H25" s="53">
        <f>IF(H4="","",MAX(H11,0)/H4)</f>
        <v>0</v>
      </c>
      <c r="I25" s="53">
        <f>IF(I4="","",MAX(I11,0)/I4)</f>
        <v>0</v>
      </c>
      <c r="J25" s="53">
        <f>IF(J4="","",MAX(J11,0)/J4)</f>
        <v>0</v>
      </c>
      <c r="K25" s="53" t="str">
        <f>IF(K4="","",MAX(K11,0)/K4)</f>
        <v/>
      </c>
      <c r="L25" s="53" t="str">
        <f>IF(L4="","",MAX(L11,0)/L4)</f>
        <v/>
      </c>
      <c r="M25" s="53" t="str">
        <f>IF(M4="","",MAX(M11,0)/M4)</f>
        <v/>
      </c>
      <c r="N25" s="53" t="str">
        <f>IF(N4="","",MAX(N11,0)/N4)</f>
        <v/>
      </c>
      <c r="O25" s="53" t="str">
        <f>IF(O4="","",MAX(O11,0)/O4)</f>
        <v/>
      </c>
    </row>
    <row r="26" spans="1:15" ht="15.75" customHeight="1" x14ac:dyDescent="0.35">
      <c r="A26" s="93"/>
      <c r="B26" s="222" t="s">
        <v>222</v>
      </c>
      <c r="C26" s="301"/>
      <c r="D26" s="210"/>
      <c r="E26" s="53">
        <f>E13/E4</f>
        <v>0.1232807223890198</v>
      </c>
      <c r="F26" s="53">
        <f>F13/F4</f>
        <v>0.29887540695971665</v>
      </c>
      <c r="G26" s="53">
        <f>G13/G4</f>
        <v>0.30308985420866241</v>
      </c>
      <c r="H26" s="53">
        <f>H13/H4</f>
        <v>0.32887832363859398</v>
      </c>
      <c r="I26" s="53" t="e">
        <f>I13/I4</f>
        <v>#VALUE!</v>
      </c>
      <c r="J26" s="53" t="e">
        <f>J13/J4</f>
        <v>#VALUE!</v>
      </c>
      <c r="K26" s="53"/>
      <c r="L26" s="53"/>
      <c r="M26" s="53"/>
      <c r="N26" s="53"/>
      <c r="O26" s="53"/>
    </row>
    <row r="27" spans="1:15" ht="15.75" customHeight="1" x14ac:dyDescent="0.35">
      <c r="A27" s="93"/>
      <c r="B27" s="209" t="s">
        <v>104</v>
      </c>
      <c r="C27" s="292"/>
      <c r="D27" s="209"/>
      <c r="E27" s="99">
        <f>IF(E4="","",MAX(E32,0)/E4)</f>
        <v>0</v>
      </c>
      <c r="F27" s="99">
        <f>IF(F4="","",MAX(F32,0)/F4)</f>
        <v>0</v>
      </c>
      <c r="G27" s="99">
        <f>IF(G4="","",MAX(G32,0)/G4)</f>
        <v>0</v>
      </c>
      <c r="H27" s="99">
        <f>IF(H4="","",MAX(H32,0)/H4)</f>
        <v>0</v>
      </c>
      <c r="I27" s="99">
        <f>IF(I4="","",MAX(I32,0)/I4)</f>
        <v>0</v>
      </c>
      <c r="J27" s="99">
        <f>IF(J4="","",MAX(J32,0)/J4)</f>
        <v>0</v>
      </c>
      <c r="K27" s="99" t="str">
        <f>IF(K4="","",MAX(K32,0)/K4)</f>
        <v/>
      </c>
      <c r="L27" s="99" t="str">
        <f>IF(L4="","",MAX(L32,0)/L4)</f>
        <v/>
      </c>
      <c r="M27" s="99" t="str">
        <f>IF(M4="","",MAX(M32,0)/M4)</f>
        <v/>
      </c>
      <c r="N27" s="99" t="str">
        <f>IF(N4="","",MAX(N32,0)/N4)</f>
        <v/>
      </c>
      <c r="O27" s="99" t="str">
        <f>IF(O4="","",MAX(O32,0)/O4)</f>
        <v/>
      </c>
    </row>
    <row r="28" spans="1:15" ht="15.75" customHeight="1" x14ac:dyDescent="0.35">
      <c r="A28" s="93"/>
      <c r="B28" s="222" t="s">
        <v>317</v>
      </c>
      <c r="C28" s="302"/>
      <c r="D28" s="222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</row>
    <row r="29" spans="1:15" ht="15.75" customHeight="1" x14ac:dyDescent="0.35">
      <c r="A29" s="93"/>
      <c r="B29" s="209" t="s">
        <v>307</v>
      </c>
      <c r="C29" s="292"/>
      <c r="D29" s="209"/>
      <c r="E29" s="99">
        <f>IF(E4="","",MAX(E16,0)/E4)</f>
        <v>4.0883763120383568E-2</v>
      </c>
      <c r="F29" s="99">
        <f>IF(F4="","",MAX(F16,0)/F4)</f>
        <v>2.9395857885609465E-2</v>
      </c>
      <c r="G29" s="99">
        <f>IF(G4="","",MAX(G16,0)/G4)</f>
        <v>8.9049969572670459E-2</v>
      </c>
      <c r="H29" s="99">
        <f>IF(H4="","",MAX(H16,0)/H4)</f>
        <v>0</v>
      </c>
      <c r="I29" s="99">
        <f>IF(I4="","",MAX(I16,0)/I4)</f>
        <v>0</v>
      </c>
      <c r="J29" s="99">
        <f>IF(J4="","",MAX(J16,0)/J4)</f>
        <v>0</v>
      </c>
      <c r="K29" s="99" t="str">
        <f>IF(K4="","",MAX(K16,0)/K4)</f>
        <v/>
      </c>
      <c r="L29" s="99" t="str">
        <f>IF(L4="","",MAX(L16,0)/L4)</f>
        <v/>
      </c>
      <c r="M29" s="99" t="str">
        <f>IF(M4="","",MAX(M16,0)/M4)</f>
        <v/>
      </c>
      <c r="N29" s="99" t="str">
        <f>IF(N4="","",MAX(N16,0)/N4)</f>
        <v/>
      </c>
      <c r="O29" s="99" t="str">
        <f>IF(O4="","",MAX(O16,0)/O4)</f>
        <v/>
      </c>
    </row>
    <row r="30" spans="1:15" ht="15.75" customHeight="1" x14ac:dyDescent="0.35">
      <c r="A30" s="93"/>
      <c r="B30" s="209" t="s">
        <v>193</v>
      </c>
      <c r="C30" s="292"/>
      <c r="D30" s="209"/>
      <c r="E30" s="99">
        <f>IF(E4="","",ABS(MAX(E34,0)-MAX(E33,0))/E4)</f>
        <v>1.1995462340308556E-2</v>
      </c>
      <c r="F30" s="99">
        <f>IF(F4="","",ABS(MAX(F34,0)-MAX(F33,0))/F4)</f>
        <v>2.4948813826595171E-2</v>
      </c>
      <c r="G30" s="99">
        <f>IF(G4="","",ABS(MAX(G34,0)-MAX(G33,0))/G4)</f>
        <v>7.9989415395709056E-4</v>
      </c>
      <c r="H30" s="99">
        <f>IF(H4="","",ABS(MAX(H34,0)-MAX(H33,0))/H4)</f>
        <v>4.5986637453611673E-2</v>
      </c>
      <c r="I30" s="99">
        <f>IF(I4="","",ABS(MAX(I34,0)-MAX(I33,0))/I4)</f>
        <v>5.4955455296355961E-2</v>
      </c>
      <c r="J30" s="99">
        <f>IF(J4="","",ABS(MAX(J34,0)-MAX(J33,0))/J4)</f>
        <v>0</v>
      </c>
      <c r="K30" s="99" t="str">
        <f>IF(K4="","",ABS(MAX(K34,0)-MAX(K33,0))/K4)</f>
        <v/>
      </c>
      <c r="L30" s="99" t="str">
        <f>IF(L4="","",ABS(MAX(L34,0)-MAX(L33,0))/L4)</f>
        <v/>
      </c>
      <c r="M30" s="99" t="str">
        <f>IF(M4="","",ABS(MAX(M34,0)-MAX(M33,0))/M4)</f>
        <v/>
      </c>
      <c r="N30" s="99" t="str">
        <f>IF(N4="","",ABS(MAX(N34,0)-MAX(N33,0))/N4)</f>
        <v/>
      </c>
      <c r="O30" s="99" t="str">
        <f>IF(O4="","",ABS(MAX(O34,0)-MAX(O33,0))/O4)</f>
        <v/>
      </c>
    </row>
    <row r="31" spans="1:15" ht="15.75" customHeight="1" x14ac:dyDescent="0.35">
      <c r="A31" s="93"/>
      <c r="B31" s="209" t="s">
        <v>316</v>
      </c>
      <c r="C31" s="292"/>
      <c r="D31" s="209"/>
      <c r="E31" s="99">
        <f>IF(E4="","",MAX(E12,0)/E4)</f>
        <v>8.2361333446257185E-4</v>
      </c>
      <c r="F31" s="99">
        <f>IF(F4="","",MAX(F12,0)/F4)</f>
        <v>3.3394991619526853E-6</v>
      </c>
      <c r="G31" s="99">
        <f>IF(G4="","",MAX(G12,0)/G4)</f>
        <v>3.0670134777351434E-6</v>
      </c>
      <c r="H31" s="99">
        <f>IF(H4="","",MAX(H12,0)/H4)</f>
        <v>0</v>
      </c>
      <c r="I31" s="99">
        <f>IF(I4="","",MAX(I12,0)/I4)</f>
        <v>0</v>
      </c>
      <c r="J31" s="99">
        <f>IF(J4="","",MAX(J12,0)/J4)</f>
        <v>0</v>
      </c>
      <c r="K31" s="99" t="str">
        <f>IF(K4="","",MAX(K12,0)/K4)</f>
        <v/>
      </c>
      <c r="L31" s="99" t="str">
        <f>IF(L4="","",MAX(L12,0)/L4)</f>
        <v/>
      </c>
      <c r="M31" s="99" t="str">
        <f>IF(M4="","",MAX(M12,0)/M4)</f>
        <v/>
      </c>
      <c r="N31" s="99" t="str">
        <f>IF(N4="","",MAX(N12,0)/N4)</f>
        <v/>
      </c>
      <c r="O31" s="99" t="str">
        <f>IF(O4="","",MAX(O12,0)/O4)</f>
        <v/>
      </c>
    </row>
    <row r="32" spans="1:15" ht="15.75" customHeight="1" x14ac:dyDescent="0.35">
      <c r="A32" s="93"/>
      <c r="B32" s="210" t="s">
        <v>208</v>
      </c>
      <c r="C32" s="301"/>
      <c r="D32" s="210"/>
      <c r="E32" s="97">
        <f>IF(Inputs!C10="","",Inputs!C10)</f>
        <v>-59596</v>
      </c>
      <c r="F32" s="97">
        <f>IF(Inputs!D10="","",Inputs!D10)</f>
        <v>-20763</v>
      </c>
      <c r="G32" s="97">
        <f>IF(Inputs!E10="","",Inputs!E10)</f>
        <v>-23097</v>
      </c>
      <c r="H32" s="97">
        <f>IF(Inputs!F10="","",Inputs!F10)</f>
        <v>-28849</v>
      </c>
      <c r="I32" s="97">
        <f>IF(Inputs!G10="","",Inputs!G10)</f>
        <v>-63075</v>
      </c>
      <c r="J32" s="97">
        <f>IF(Inputs!H10="","",Inputs!H10)</f>
        <v>-34253</v>
      </c>
      <c r="K32" s="97">
        <f>IF(Inputs!I10="","",Inputs!I10)</f>
        <v>0</v>
      </c>
      <c r="L32" s="97">
        <f>IF(Inputs!J10="","",Inputs!J10)</f>
        <v>0</v>
      </c>
      <c r="M32" s="97">
        <f>IF(Inputs!K10="","",Inputs!K10)</f>
        <v>0</v>
      </c>
      <c r="N32" s="97">
        <f>IF(Inputs!L10="","",Inputs!L10)</f>
        <v>0</v>
      </c>
      <c r="O32" s="97">
        <f>IF(Inputs!M10="","",Inputs!M10)</f>
        <v>0</v>
      </c>
    </row>
    <row r="33" spans="1:15" ht="15.75" customHeight="1" x14ac:dyDescent="0.35">
      <c r="A33" s="93"/>
      <c r="B33" s="210" t="s">
        <v>91</v>
      </c>
      <c r="C33" s="297"/>
      <c r="D33" s="210"/>
      <c r="E33" s="97">
        <v>492545</v>
      </c>
      <c r="F33" s="97">
        <v>406113</v>
      </c>
      <c r="G33" s="97">
        <v>464872</v>
      </c>
      <c r="H33" s="97">
        <v>546440</v>
      </c>
      <c r="I33" s="97">
        <v>617357</v>
      </c>
      <c r="J33" s="97"/>
      <c r="K33" s="97" t="str">
        <f>IF(Inputs!I16="","",Inputs!I16)</f>
        <v/>
      </c>
      <c r="L33" s="97" t="str">
        <f>IF(Inputs!J16="","",Inputs!J16)</f>
        <v/>
      </c>
      <c r="M33" s="97" t="str">
        <f>IF(Inputs!K16="","",Inputs!K16)</f>
        <v/>
      </c>
      <c r="N33" s="97" t="str">
        <f>IF(Inputs!L16="","",Inputs!L16)</f>
        <v/>
      </c>
      <c r="O33" s="97" t="str">
        <f>IF(Inputs!M16="","",Inputs!M16)</f>
        <v/>
      </c>
    </row>
    <row r="34" spans="1:15" ht="15.75" customHeight="1" x14ac:dyDescent="0.35">
      <c r="A34" s="93"/>
      <c r="B34" s="210" t="s">
        <v>94</v>
      </c>
      <c r="C34" s="297"/>
      <c r="D34" s="210"/>
      <c r="E34" s="97">
        <f>IF(Inputs!C17="","",Inputs!C17)</f>
        <v>676387</v>
      </c>
      <c r="F34" s="97">
        <f>IF(Inputs!D17="","",Inputs!D17)</f>
        <v>107280</v>
      </c>
      <c r="G34" s="97">
        <f>IF(Inputs!E17="","",Inputs!E17)</f>
        <v>455483</v>
      </c>
      <c r="H34" s="97">
        <f>IF(Inputs!F17="","",Inputs!F17)</f>
        <v>138937</v>
      </c>
      <c r="I34" s="97" t="str">
        <f>IF(Inputs!G17="","",Inputs!G17)</f>
        <v/>
      </c>
      <c r="J34" s="97" t="str">
        <f>IF(Inputs!H17="","",Inputs!H17)</f>
        <v/>
      </c>
      <c r="K34" s="97" t="str">
        <f>IF(Inputs!I17="","",Inputs!I17)</f>
        <v/>
      </c>
      <c r="L34" s="97" t="str">
        <f>IF(Inputs!J17="","",Inputs!J17)</f>
        <v/>
      </c>
      <c r="M34" s="97" t="str">
        <f>IF(Inputs!K17="","",Inputs!K17)</f>
        <v/>
      </c>
      <c r="N34" s="97" t="str">
        <f>IF(Inputs!L17="","",Inputs!L17)</f>
        <v/>
      </c>
      <c r="O34" s="97" t="str">
        <f>IF(Inputs!M17="","",Inputs!M17)</f>
        <v/>
      </c>
    </row>
    <row r="35" spans="1:15" ht="15.75" customHeight="1" x14ac:dyDescent="0.35">
      <c r="A35" s="93"/>
      <c r="B35" s="215" t="s">
        <v>255</v>
      </c>
      <c r="C35" s="215"/>
      <c r="D35" s="215"/>
      <c r="E35" s="212">
        <f>IF(E4="","",E13-MAX(E16,0)-MAX(E32,0)-ABS(MAX(E34,0)-MAX(E33,0)))</f>
        <v>1078970.6666666667</v>
      </c>
      <c r="F35" s="212">
        <f>IF(F4="","",F13-MAX(F16,0)-MAX(F32,0)-ABS(MAX(F34,0)-MAX(F33,0)))</f>
        <v>2928951</v>
      </c>
      <c r="G35" s="212">
        <f>IF(G4="","",G13-MAX(G16,0)-MAX(G32,0)-ABS(MAX(G34,0)-MAX(G33,0)))</f>
        <v>2502969</v>
      </c>
      <c r="H35" s="212">
        <f>IF(H4="","",H13-MAX(H16,0)-MAX(H32,0)-ABS(MAX(H34,0)-MAX(H33,0)))</f>
        <v>2506798</v>
      </c>
      <c r="I35" s="212" t="e">
        <f>IF(I4="","",I13-MAX(I16,0)-MAX(I32,0)-ABS(MAX(I34,0)-MAX(I33,0)))</f>
        <v>#VALUE!</v>
      </c>
      <c r="J35" s="212" t="e">
        <f>IF(J4="","",J13-MAX(J16,0)-MAX(J32,0)-ABS(MAX(J34,0)-MAX(J33,0)))</f>
        <v>#VALUE!</v>
      </c>
      <c r="K35" s="212" t="str">
        <f>IF(K4="","",K13-MAX(K16,0)-MAX(K32,0)-ABS(MAX(K34,0)-MAX(K33,0)))</f>
        <v/>
      </c>
      <c r="L35" s="212" t="str">
        <f>IF(L4="","",L13-MAX(L16,0)-MAX(L32,0)-ABS(MAX(L34,0)-MAX(L33,0)))</f>
        <v/>
      </c>
      <c r="M35" s="212" t="str">
        <f>IF(M4="","",M13-MAX(M16,0)-MAX(M32,0)-ABS(MAX(M34,0)-MAX(M33,0)))</f>
        <v/>
      </c>
      <c r="N35" s="212" t="str">
        <f>IF(N4="","",N13-MAX(N16,0)-MAX(N32,0)-ABS(MAX(N34,0)-MAX(N33,0)))</f>
        <v/>
      </c>
      <c r="O35" s="212" t="str">
        <f>IF(O4="","",O13-MAX(O16,0)-MAX(O32,0)-ABS(MAX(O34,0)-MAX(O33,0)))</f>
        <v/>
      </c>
    </row>
    <row r="36" spans="1:15" ht="15.75" customHeight="1" x14ac:dyDescent="0.35">
      <c r="A36" s="93"/>
      <c r="B36" s="274" t="s">
        <v>97</v>
      </c>
      <c r="C36" s="274"/>
      <c r="D36" s="274"/>
      <c r="E36" s="96">
        <f>IF(E4="","",E37/E4)</f>
        <v>5.2801122696245754E-2</v>
      </c>
      <c r="F36" s="96">
        <f>IF(F4="","",F37/F4)</f>
        <v>0.18339805143563398</v>
      </c>
      <c r="G36" s="96">
        <f>IF(G4="","",G37/G4)</f>
        <v>0.15992999286152612</v>
      </c>
      <c r="H36" s="96">
        <f>IF(H4="","",H37/H4)</f>
        <v>0.21216876463873671</v>
      </c>
      <c r="I36" s="96" t="e">
        <f>IF(I4="","",I37/I4)</f>
        <v>#VALUE!</v>
      </c>
      <c r="J36" s="96" t="e">
        <f>IF(J4="","",J37/J4)</f>
        <v>#VALUE!</v>
      </c>
      <c r="K36" s="96" t="str">
        <f>IF(K4="","",K37/K4)</f>
        <v/>
      </c>
      <c r="L36" s="96" t="str">
        <f>IF(L4="","",L37/L4)</f>
        <v/>
      </c>
      <c r="M36" s="96" t="str">
        <f>IF(M4="","",M37/M4)</f>
        <v/>
      </c>
      <c r="N36" s="96" t="str">
        <f>IF(N4="","",N37/N4)</f>
        <v/>
      </c>
      <c r="O36" s="96" t="str">
        <f>IF(O4="","",O37/O4)</f>
        <v/>
      </c>
    </row>
    <row r="37" spans="1:15" ht="15.75" customHeight="1" x14ac:dyDescent="0.35">
      <c r="A37" s="93"/>
      <c r="B37" s="250" t="s">
        <v>256</v>
      </c>
      <c r="C37" s="250"/>
      <c r="D37" s="250"/>
      <c r="E37" s="277">
        <f>IF(E4="","",E35*(1-Fin_Analysis!$I$84))</f>
        <v>809228</v>
      </c>
      <c r="F37" s="212">
        <f>IF(F4="","",F35*(1-Fin_Analysis!$I$84))</f>
        <v>2196713.25</v>
      </c>
      <c r="G37" s="212">
        <f>IF(G4="","",G35*(1-Fin_Analysis!$I$84))</f>
        <v>1877226.75</v>
      </c>
      <c r="H37" s="212">
        <f>IF(H4="","",H35*(1-Fin_Analysis!$I$84))</f>
        <v>1880098.5</v>
      </c>
      <c r="I37" s="212" t="e">
        <f>IF(I4="","",I35*(1-Fin_Analysis!$I$84))</f>
        <v>#VALUE!</v>
      </c>
      <c r="J37" s="212" t="e">
        <f>IF(J4="","",J35*(1-Fin_Analysis!$I$84))</f>
        <v>#VALUE!</v>
      </c>
      <c r="K37" s="212" t="str">
        <f>IF(K4="","",K35*(1-Fin_Analysis!$I$84))</f>
        <v/>
      </c>
      <c r="L37" s="212" t="str">
        <f>IF(L4="","",L35*(1-Fin_Analysis!$I$84))</f>
        <v/>
      </c>
      <c r="M37" s="212" t="str">
        <f>IF(M4="","",M35*(1-Fin_Analysis!$I$84))</f>
        <v/>
      </c>
      <c r="N37" s="212" t="str">
        <f>IF(N4="","",N35*(1-Fin_Analysis!$I$84))</f>
        <v/>
      </c>
      <c r="O37" s="212" t="str">
        <f>IF(O4="","",O35*(1-Fin_Analysis!$I$84))</f>
        <v/>
      </c>
    </row>
    <row r="38" spans="1:15" ht="15.75" customHeight="1" x14ac:dyDescent="0.35">
      <c r="A38" s="93"/>
      <c r="B38" s="213" t="s">
        <v>110</v>
      </c>
      <c r="C38" s="213"/>
      <c r="D38" s="213"/>
      <c r="E38" s="96">
        <f t="shared" ref="E38:N38" si="2">IF(F37="","",IF(ABS(E37+F37)=ABS(E37)+ABS(F37),IF(E37&lt;0,-1,1)*(E37-F37)/F37,"Turn"))</f>
        <v>-0.63161873767547949</v>
      </c>
      <c r="F38" s="96">
        <f t="shared" si="2"/>
        <v>0.17019068154659525</v>
      </c>
      <c r="G38" s="96">
        <f t="shared" si="2"/>
        <v>-1.5274465672942136E-3</v>
      </c>
      <c r="H38" s="96" t="e">
        <f t="shared" si="2"/>
        <v>#VALUE!</v>
      </c>
      <c r="I38" s="96" t="e">
        <f t="shared" si="2"/>
        <v>#VALUE!</v>
      </c>
      <c r="J38" s="96" t="str">
        <f t="shared" si="2"/>
        <v/>
      </c>
      <c r="K38" s="96" t="str">
        <f t="shared" si="2"/>
        <v/>
      </c>
      <c r="L38" s="96" t="str">
        <f t="shared" si="2"/>
        <v/>
      </c>
      <c r="M38" s="96" t="str">
        <f t="shared" si="2"/>
        <v/>
      </c>
      <c r="N38" s="96" t="str">
        <f t="shared" si="2"/>
        <v/>
      </c>
      <c r="O38" s="96" t="e">
        <f>IF(#REF!="","",IF(ABS(O37+#REF!)=ABS(O37)+ABS(#REF!),IF(O37&lt;0,-1,1)*(O37-#REF!)/#REF!,"Turn"))</f>
        <v>#REF!</v>
      </c>
    </row>
    <row r="39" spans="1:15" ht="15.75" customHeight="1" x14ac:dyDescent="0.35">
      <c r="A39" s="93"/>
      <c r="B39" s="210"/>
      <c r="C39" s="210"/>
      <c r="D39" s="210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</row>
    <row r="40" spans="1:15" ht="15.75" customHeight="1" x14ac:dyDescent="0.35">
      <c r="A40" s="93"/>
      <c r="B40" s="65" t="s">
        <v>263</v>
      </c>
      <c r="C40" s="65"/>
      <c r="D40" s="65"/>
      <c r="E40" s="65"/>
      <c r="F40" s="97"/>
      <c r="G40" s="97"/>
      <c r="H40" s="97"/>
      <c r="I40" s="97"/>
      <c r="J40" s="97"/>
      <c r="K40" s="97"/>
      <c r="L40" s="97"/>
      <c r="M40" s="97"/>
      <c r="N40" s="97"/>
      <c r="O40" s="97"/>
    </row>
    <row r="41" spans="1:15" ht="15.75" customHeight="1" x14ac:dyDescent="0.35">
      <c r="A41" s="93"/>
      <c r="B41" s="213" t="s">
        <v>198</v>
      </c>
      <c r="C41" s="213"/>
      <c r="D41" s="213"/>
      <c r="E41" s="173">
        <f>IF(E13="","",E13/E4)</f>
        <v>0.1232807223890198</v>
      </c>
      <c r="F41" s="173">
        <f>IF(F13="","",F13/F4)</f>
        <v>0.29887540695971665</v>
      </c>
      <c r="G41" s="173">
        <f>IF(G13="","",G13/G4)</f>
        <v>0.30308985420866241</v>
      </c>
      <c r="H41" s="173">
        <f>IF(H13="","",H13/H4)</f>
        <v>0.32887832363859398</v>
      </c>
      <c r="I41" s="173" t="e">
        <f>IF(I13="","",I13/I4)</f>
        <v>#VALUE!</v>
      </c>
      <c r="J41" s="173" t="e">
        <f>IF(J13="","",J13/J4)</f>
        <v>#VALUE!</v>
      </c>
      <c r="K41" s="173" t="str">
        <f>IF(K13="","",K13/K4)</f>
        <v/>
      </c>
      <c r="L41" s="173" t="str">
        <f>IF(L13="","",L13/L4)</f>
        <v/>
      </c>
      <c r="M41" s="173" t="str">
        <f>IF(M13="","",M13/M4)</f>
        <v/>
      </c>
      <c r="N41" s="173" t="str">
        <f>IF(N13="","",N13/N4)</f>
        <v/>
      </c>
      <c r="O41" s="173" t="str">
        <f>IF(O13="","",O13/O4)</f>
        <v/>
      </c>
    </row>
    <row r="42" spans="1:15" ht="15.75" customHeight="1" x14ac:dyDescent="0.35">
      <c r="A42" s="93"/>
      <c r="B42" s="213" t="s">
        <v>86</v>
      </c>
      <c r="C42" s="213"/>
      <c r="D42" s="213"/>
      <c r="E42" s="173">
        <f>IF(OR(E4="",E33=""),"",E33/E4)</f>
        <v>3.2137949970122592E-2</v>
      </c>
      <c r="F42" s="173">
        <f>IF(OR(F4="",F33=""),"",F33/F4)</f>
        <v>3.3905350578952269E-2</v>
      </c>
      <c r="G42" s="173">
        <f>IF(OR(G4="",G33=""),"",G33/G4)</f>
        <v>3.9604685817269211E-2</v>
      </c>
      <c r="H42" s="173">
        <f>IF(OR(H4="",H33=""),"",H33/H4)</f>
        <v>6.1665651958762419E-2</v>
      </c>
      <c r="I42" s="173">
        <f>IF(OR(I4="",I33=""),"",I33/I4)</f>
        <v>5.4955455296355961E-2</v>
      </c>
      <c r="J42" s="173" t="str">
        <f>IF(OR(J4="",J33=""),"",J33/J4)</f>
        <v/>
      </c>
      <c r="K42" s="173" t="str">
        <f>IF(OR(K4="",K33=""),"",K33/K4)</f>
        <v/>
      </c>
      <c r="L42" s="173" t="str">
        <f>IF(OR(L4="",L33=""),"",L33/L4)</f>
        <v/>
      </c>
      <c r="M42" s="173" t="str">
        <f>IF(OR(M4="",M33=""),"",M33/M4)</f>
        <v/>
      </c>
      <c r="N42" s="173" t="str">
        <f>IF(OR(N4="",N33=""),"",N33/N4)</f>
        <v/>
      </c>
      <c r="O42" s="173" t="str">
        <f>IF(OR(O4="",O33=""),"",O33/O4)</f>
        <v/>
      </c>
    </row>
    <row r="43" spans="1:15" ht="15.75" customHeight="1" x14ac:dyDescent="0.35">
      <c r="A43" s="93"/>
      <c r="B43" s="214" t="s">
        <v>192</v>
      </c>
      <c r="C43" s="214"/>
      <c r="D43" s="214"/>
      <c r="E43" s="173">
        <f>IF(E4="","",MAX(E34,0)/E4)</f>
        <v>4.413341231043115E-2</v>
      </c>
      <c r="F43" s="173">
        <f>IF(F4="","",MAX(F34,0)/F4)</f>
        <v>8.9565367523571013E-3</v>
      </c>
      <c r="G43" s="173">
        <f>IF(G4="","",MAX(G34,0)/G4)</f>
        <v>3.8804791663312119E-2</v>
      </c>
      <c r="H43" s="173">
        <f>IF(H4="","",MAX(H34,0)/H4)</f>
        <v>1.5679014505150749E-2</v>
      </c>
      <c r="I43" s="173">
        <f>IF(I4="","",MAX(I34,0)/I4)</f>
        <v>0</v>
      </c>
      <c r="J43" s="173">
        <f>IF(J4="","",MAX(J34,0)/J4)</f>
        <v>0</v>
      </c>
      <c r="K43" s="173" t="str">
        <f>IF(K4="","",MAX(K34,0)/K4)</f>
        <v/>
      </c>
      <c r="L43" s="173" t="str">
        <f>IF(L4="","",MAX(L34,0)/L4)</f>
        <v/>
      </c>
      <c r="M43" s="173" t="str">
        <f>IF(M4="","",MAX(M34,0)/M4)</f>
        <v/>
      </c>
      <c r="N43" s="173" t="str">
        <f>IF(N4="","",MAX(N34,0)/N4)</f>
        <v/>
      </c>
      <c r="O43" s="173" t="str">
        <f>IF(O4="","",MAX(O34,0)/O4)</f>
        <v/>
      </c>
    </row>
    <row r="44" spans="1:15" ht="15.75" customHeight="1" x14ac:dyDescent="0.35">
      <c r="A44" s="93"/>
      <c r="B44" s="215" t="s">
        <v>106</v>
      </c>
      <c r="C44" s="215"/>
      <c r="D44" s="215"/>
      <c r="E44" s="216">
        <f>IF(E4="","",E35/E4)</f>
        <v>7.0401496928327686E-2</v>
      </c>
      <c r="F44" s="216">
        <f>IF(F4="","",F35/F4)</f>
        <v>0.24453073524751198</v>
      </c>
      <c r="G44" s="216">
        <f>IF(G4="","",G35/G4)</f>
        <v>0.21323999048203485</v>
      </c>
      <c r="H44" s="216">
        <f>IF(H4="","",H35/H4)</f>
        <v>0.28289168618498228</v>
      </c>
      <c r="I44" s="216" t="e">
        <f>IF(I4="","",I35/I4)</f>
        <v>#VALUE!</v>
      </c>
      <c r="J44" s="216" t="e">
        <f>IF(J4="","",J35/J4)</f>
        <v>#VALUE!</v>
      </c>
      <c r="K44" s="216" t="str">
        <f>IF(K4="","",K35/K4)</f>
        <v/>
      </c>
      <c r="L44" s="216" t="str">
        <f>IF(L4="","",L35/L4)</f>
        <v/>
      </c>
      <c r="M44" s="216" t="str">
        <f>IF(M4="","",M35/M4)</f>
        <v/>
      </c>
      <c r="N44" s="216" t="str">
        <f>IF(N4="","",N35/N4)</f>
        <v/>
      </c>
      <c r="O44" s="216" t="str">
        <f>IF(O4="","",O35/O4)</f>
        <v/>
      </c>
    </row>
    <row r="45" spans="1:15" ht="15.75" customHeight="1" x14ac:dyDescent="0.35">
      <c r="A45" s="93"/>
      <c r="B45" s="210"/>
      <c r="C45" s="210"/>
      <c r="D45" s="210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 spans="1:15" ht="15.75" customHeight="1" x14ac:dyDescent="0.35">
      <c r="A46" s="93"/>
      <c r="B46" s="65" t="s">
        <v>312</v>
      </c>
      <c r="C46" s="65"/>
      <c r="D46" s="65"/>
      <c r="E46" s="65"/>
      <c r="F46" s="97"/>
      <c r="G46" s="97"/>
      <c r="H46" s="97"/>
      <c r="I46" s="97"/>
      <c r="J46" s="97"/>
      <c r="K46" s="97"/>
      <c r="L46" s="97"/>
      <c r="M46" s="97"/>
      <c r="N46" s="97"/>
      <c r="O46" s="97"/>
    </row>
    <row r="47" spans="1:15" ht="15.75" customHeight="1" x14ac:dyDescent="0.35">
      <c r="A47" s="93"/>
      <c r="B47" s="213" t="s">
        <v>12</v>
      </c>
      <c r="C47" s="213"/>
      <c r="D47" s="213"/>
      <c r="E47" s="96">
        <f>IF(F4="","",E4/F4-1)</f>
        <v>0.27952593137796744</v>
      </c>
      <c r="F47" s="96">
        <f>IF(G4="","",F4/G4-1)</f>
        <v>2.0450249505806095E-2</v>
      </c>
      <c r="G47" s="96">
        <f>IF(H4="","",G4/H4-1)</f>
        <v>0.32460887665346139</v>
      </c>
      <c r="H47" s="96">
        <f>IF(I4="","",H4/I4-1)</f>
        <v>-0.21118785490642455</v>
      </c>
      <c r="I47" s="96">
        <f>IF(J4="","",I4/J4-1)</f>
        <v>-0.29169116752280422</v>
      </c>
      <c r="J47" s="96" t="str">
        <f>IF(K4="","",J4/K4-1)</f>
        <v/>
      </c>
      <c r="K47" s="96" t="str">
        <f>IF(L4="","",K4/L4-1)</f>
        <v/>
      </c>
      <c r="L47" s="96" t="str">
        <f>IF(M4="","",L4/M4-1)</f>
        <v/>
      </c>
      <c r="M47" s="96" t="str">
        <f>IF(N4="","",M4/N4-1)</f>
        <v/>
      </c>
      <c r="N47" s="96" t="str">
        <f>IF(O4="","",N4/O4-1)</f>
        <v/>
      </c>
      <c r="O47" s="96" t="str">
        <f>IF(P3="","",O4/P3-1)</f>
        <v/>
      </c>
    </row>
    <row r="48" spans="1:15" ht="15.75" customHeight="1" x14ac:dyDescent="0.35">
      <c r="A48" s="93"/>
      <c r="B48" s="249" t="s">
        <v>199</v>
      </c>
      <c r="C48" s="249"/>
      <c r="D48" s="249"/>
      <c r="E48" s="96">
        <f t="shared" ref="E48:O48" si="3">IF(F13="","",IF(ABS(E13+F13)=ABS(E13)+ABS(F13),IF(E13&lt;0,-1,1)*(E13-F13)/F13,"Turn"))</f>
        <v>-0.47221859857803544</v>
      </c>
      <c r="F48" s="96">
        <f t="shared" si="3"/>
        <v>6.2609466076794839E-3</v>
      </c>
      <c r="G48" s="96">
        <f t="shared" si="3"/>
        <v>0.22074178336417549</v>
      </c>
      <c r="H48" s="96" t="e">
        <f t="shared" si="3"/>
        <v>#VALUE!</v>
      </c>
      <c r="I48" s="96" t="e">
        <f t="shared" si="3"/>
        <v>#VALUE!</v>
      </c>
      <c r="J48" s="96" t="str">
        <f t="shared" si="3"/>
        <v/>
      </c>
      <c r="K48" s="96" t="str">
        <f t="shared" si="3"/>
        <v/>
      </c>
      <c r="L48" s="96" t="str">
        <f t="shared" si="3"/>
        <v/>
      </c>
      <c r="M48" s="96" t="str">
        <f t="shared" si="3"/>
        <v/>
      </c>
      <c r="N48" s="96" t="str">
        <f t="shared" si="3"/>
        <v/>
      </c>
      <c r="O48" s="96" t="str">
        <f t="shared" si="3"/>
        <v/>
      </c>
    </row>
    <row r="49" spans="1:15" ht="15.75" customHeight="1" x14ac:dyDescent="0.35">
      <c r="A49" s="93"/>
    </row>
    <row r="50" spans="1:15" ht="15.75" customHeight="1" x14ac:dyDescent="0.45">
      <c r="A50" s="5"/>
      <c r="B50" s="273" t="s">
        <v>115</v>
      </c>
      <c r="C50" s="273"/>
      <c r="D50" s="276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</row>
    <row r="51" spans="1:15" ht="15.75" customHeight="1" x14ac:dyDescent="0.35">
      <c r="A51" s="93"/>
      <c r="B51" s="209" t="s">
        <v>13</v>
      </c>
      <c r="C51" s="209"/>
      <c r="D51" s="209"/>
      <c r="E51" s="100">
        <f t="shared" ref="E51:O51" si="4">IF(E55="","",E55+E54)</f>
        <v>16854064</v>
      </c>
      <c r="F51" s="100">
        <f t="shared" si="4"/>
        <v>14687373</v>
      </c>
      <c r="G51" s="100">
        <f t="shared" si="4"/>
        <v>15987114</v>
      </c>
      <c r="H51" s="100">
        <f t="shared" si="4"/>
        <v>14270996</v>
      </c>
      <c r="I51" s="100" t="str">
        <f t="shared" si="4"/>
        <v/>
      </c>
      <c r="J51" s="100" t="str">
        <f t="shared" si="4"/>
        <v/>
      </c>
      <c r="K51" s="100" t="str">
        <f t="shared" si="4"/>
        <v/>
      </c>
      <c r="L51" s="100" t="str">
        <f t="shared" si="4"/>
        <v/>
      </c>
      <c r="M51" s="100" t="str">
        <f t="shared" si="4"/>
        <v/>
      </c>
      <c r="N51" s="100" t="str">
        <f t="shared" si="4"/>
        <v/>
      </c>
      <c r="O51" s="100" t="str">
        <f t="shared" si="4"/>
        <v/>
      </c>
    </row>
    <row r="52" spans="1:15" ht="15.75" customHeight="1" x14ac:dyDescent="0.35">
      <c r="A52" s="93"/>
      <c r="B52" s="209" t="s">
        <v>99</v>
      </c>
      <c r="C52" s="209"/>
      <c r="D52" s="209"/>
      <c r="E52" s="100">
        <f>Fin_Analysis!C13</f>
        <v>265773</v>
      </c>
      <c r="F52" s="97">
        <f>IF(Inputs!D23="","",Inputs!D23)</f>
        <v>213823</v>
      </c>
      <c r="G52" s="97">
        <f>IF(Inputs!E23="","",Inputs!E23)</f>
        <v>187711</v>
      </c>
      <c r="H52" s="97">
        <f>IF(Inputs!F23="","",Inputs!F23)</f>
        <v>277338</v>
      </c>
      <c r="I52" s="97" t="str">
        <f>IF(Inputs!G23="","",Inputs!G23)</f>
        <v/>
      </c>
      <c r="J52" s="97" t="str">
        <f>IF(Inputs!H23="","",Inputs!H23)</f>
        <v/>
      </c>
      <c r="K52" s="97" t="str">
        <f>IF(Inputs!I23="","",Inputs!I23)</f>
        <v/>
      </c>
      <c r="L52" s="97" t="str">
        <f>IF(Inputs!J23="","",Inputs!J23)</f>
        <v/>
      </c>
      <c r="M52" s="97" t="str">
        <f>IF(Inputs!K23="","",Inputs!K23)</f>
        <v/>
      </c>
      <c r="N52" s="97" t="str">
        <f>IF(Inputs!L23="","",Inputs!L23)</f>
        <v/>
      </c>
      <c r="O52" s="97" t="str">
        <f>IF(Inputs!M23="","",Inputs!M23)</f>
        <v/>
      </c>
    </row>
    <row r="53" spans="1:15" ht="15.75" customHeight="1" x14ac:dyDescent="0.35">
      <c r="A53" s="93"/>
      <c r="B53" s="209" t="s">
        <v>126</v>
      </c>
      <c r="C53" s="209"/>
      <c r="D53" s="209"/>
      <c r="E53" s="100">
        <f>Fin_Analysis!C18</f>
        <v>9672256</v>
      </c>
      <c r="F53" s="97">
        <f>IF(Inputs!D24="","",Inputs!D24)</f>
        <v>8852611</v>
      </c>
      <c r="G53" s="97">
        <f>IF(Inputs!E24="","",Inputs!E24)</f>
        <v>8769304</v>
      </c>
      <c r="H53" s="97">
        <f>IF(Inputs!F24="","",Inputs!F24)</f>
        <v>7321614</v>
      </c>
      <c r="I53" s="97" t="str">
        <f>IF(Inputs!G24="","",Inputs!G24)</f>
        <v/>
      </c>
      <c r="J53" s="97" t="str">
        <f>IF(Inputs!H24="","",Inputs!H24)</f>
        <v/>
      </c>
      <c r="K53" s="97" t="str">
        <f>IF(Inputs!I24="","",Inputs!I24)</f>
        <v/>
      </c>
      <c r="L53" s="97" t="str">
        <f>IF(Inputs!J24="","",Inputs!J24)</f>
        <v/>
      </c>
      <c r="M53" s="97" t="str">
        <f>IF(Inputs!K24="","",Inputs!K24)</f>
        <v/>
      </c>
      <c r="N53" s="97" t="str">
        <f>IF(Inputs!L24="","",Inputs!L24)</f>
        <v/>
      </c>
      <c r="O53" s="97" t="str">
        <f>IF(Inputs!M24="","",Inputs!M24)</f>
        <v/>
      </c>
    </row>
    <row r="54" spans="1:15" ht="15.75" customHeight="1" x14ac:dyDescent="0.35">
      <c r="A54" s="93"/>
      <c r="B54" s="209" t="s">
        <v>227</v>
      </c>
      <c r="C54" s="209"/>
      <c r="D54" s="209"/>
      <c r="E54" s="100">
        <f>Inputs!C21</f>
        <v>3990166</v>
      </c>
      <c r="F54" s="97">
        <f>IF(Inputs!D21="","",Inputs!D21)</f>
        <v>2466431</v>
      </c>
      <c r="G54" s="97">
        <f>IF(Inputs!E21="","",Inputs!E21)</f>
        <v>3908586</v>
      </c>
      <c r="H54" s="97">
        <f>IF(Inputs!F21="","",Inputs!F21)</f>
        <v>2946772</v>
      </c>
      <c r="I54" s="97" t="str">
        <f>IF(Inputs!G21="","",Inputs!G21)</f>
        <v/>
      </c>
      <c r="J54" s="97" t="str">
        <f>IF(Inputs!H21="","",Inputs!H21)</f>
        <v/>
      </c>
      <c r="K54" s="97" t="str">
        <f>IF(Inputs!I21="","",Inputs!I21)</f>
        <v/>
      </c>
      <c r="L54" s="97" t="str">
        <f>IF(Inputs!J21="","",Inputs!J21)</f>
        <v/>
      </c>
      <c r="M54" s="97" t="str">
        <f>IF(Inputs!K21="","",Inputs!K21)</f>
        <v/>
      </c>
      <c r="N54" s="97" t="str">
        <f>IF(Inputs!L21="","",Inputs!L21)</f>
        <v/>
      </c>
      <c r="O54" s="97" t="str">
        <f>IF(Inputs!M21="","",Inputs!M21)</f>
        <v/>
      </c>
    </row>
    <row r="55" spans="1:15" ht="15.75" customHeight="1" x14ac:dyDescent="0.35">
      <c r="A55" s="93"/>
      <c r="B55" s="209" t="s">
        <v>117</v>
      </c>
      <c r="C55" s="209"/>
      <c r="D55" s="209"/>
      <c r="E55" s="100">
        <f>Inputs!C22</f>
        <v>12863898</v>
      </c>
      <c r="F55" s="97">
        <f>IF(Inputs!D22="","",Inputs!D22)</f>
        <v>12220942</v>
      </c>
      <c r="G55" s="97">
        <f>IF(Inputs!E22="","",Inputs!E22)</f>
        <v>12078528</v>
      </c>
      <c r="H55" s="97">
        <f>IF(Inputs!F22="","",Inputs!F22)</f>
        <v>11324224</v>
      </c>
      <c r="I55" s="97" t="str">
        <f>IF(Inputs!G22="","",Inputs!G22)</f>
        <v/>
      </c>
      <c r="J55" s="97" t="str">
        <f>IF(Inputs!H22="","",Inputs!H22)</f>
        <v/>
      </c>
      <c r="K55" s="97" t="str">
        <f>IF(Inputs!I22="","",Inputs!I22)</f>
        <v/>
      </c>
      <c r="L55" s="97" t="str">
        <f>IF(Inputs!J22="","",Inputs!J22)</f>
        <v/>
      </c>
      <c r="M55" s="97" t="str">
        <f>IF(Inputs!K22="","",Inputs!K22)</f>
        <v/>
      </c>
      <c r="N55" s="97" t="str">
        <f>IF(Inputs!L22="","",Inputs!L22)</f>
        <v/>
      </c>
      <c r="O55" s="97" t="str">
        <f>IF(Inputs!M22="","",Inputs!M22)</f>
        <v/>
      </c>
    </row>
    <row r="56" spans="1:15" ht="15.75" customHeight="1" x14ac:dyDescent="0.35">
      <c r="A56" s="93"/>
    </row>
    <row r="57" spans="1:15" ht="15.75" customHeight="1" x14ac:dyDescent="0.35">
      <c r="A57" s="93"/>
      <c r="B57" s="65" t="s">
        <v>263</v>
      </c>
      <c r="C57" s="65"/>
      <c r="D57" s="65"/>
      <c r="E57" s="278" t="s">
        <v>229</v>
      </c>
    </row>
    <row r="58" spans="1:15" ht="15.75" customHeight="1" x14ac:dyDescent="0.35">
      <c r="A58" s="93"/>
      <c r="B58" s="209" t="s">
        <v>220</v>
      </c>
      <c r="C58" s="209"/>
      <c r="D58" s="209"/>
      <c r="E58" s="99">
        <f>IF(E52="","",E52/E4)</f>
        <v>1.7341358408692387E-2</v>
      </c>
      <c r="F58" s="99">
        <f>IF(F52="","",F52/F4)</f>
        <v>1.7851543232655226E-2</v>
      </c>
      <c r="G58" s="99">
        <f>IF(G52="","",G52/G4)</f>
        <v>1.5992004636642819E-2</v>
      </c>
      <c r="H58" s="99">
        <f>IF(H52="","",H52/H4)</f>
        <v>3.1297541510393184E-2</v>
      </c>
      <c r="I58" s="99" t="str">
        <f>IF(I52="","",I52/I4)</f>
        <v/>
      </c>
      <c r="J58" s="99" t="str">
        <f>IF(J52="","",J52/J4)</f>
        <v/>
      </c>
      <c r="K58" s="99" t="str">
        <f>IF(K52="","",K52/K4)</f>
        <v/>
      </c>
      <c r="L58" s="99" t="str">
        <f>IF(L52="","",L52/L4)</f>
        <v/>
      </c>
      <c r="M58" s="99" t="str">
        <f>IF(M52="","",M52/M4)</f>
        <v/>
      </c>
      <c r="N58" s="99" t="str">
        <f>IF(N52="","",N52/N4)</f>
        <v/>
      </c>
      <c r="O58" s="99" t="str">
        <f>IF(O52="","",O52/O4)</f>
        <v/>
      </c>
    </row>
    <row r="59" spans="1:15" ht="15.75" customHeight="1" x14ac:dyDescent="0.35">
      <c r="A59" s="93"/>
      <c r="B59" s="209" t="s">
        <v>221</v>
      </c>
      <c r="C59" s="209"/>
      <c r="D59" s="209"/>
      <c r="E59" s="99">
        <f>IF(E53="","",E53/E4)</f>
        <v>0.63110270011109249</v>
      </c>
      <c r="F59" s="99">
        <f>IF(F53="","",F53/F4)</f>
        <v>0.73908217538982812</v>
      </c>
      <c r="G59" s="99">
        <f>IF(G53="","",G53/G4)</f>
        <v>0.74709926550990846</v>
      </c>
      <c r="H59" s="99">
        <f>IF(H53="","",H53/H4)</f>
        <v>0.82624277267477186</v>
      </c>
      <c r="I59" s="99" t="str">
        <f>IF(I53="","",I53/I4)</f>
        <v/>
      </c>
      <c r="J59" s="99" t="str">
        <f>IF(J53="","",J53/J4)</f>
        <v/>
      </c>
      <c r="K59" s="99" t="str">
        <f>IF(K53="","",K53/K4)</f>
        <v/>
      </c>
      <c r="L59" s="99" t="str">
        <f>IF(L53="","",L53/L4)</f>
        <v/>
      </c>
      <c r="M59" s="99" t="str">
        <f>IF(M53="","",M53/M4)</f>
        <v/>
      </c>
      <c r="N59" s="99" t="str">
        <f>IF(N53="","",N53/N4)</f>
        <v/>
      </c>
      <c r="O59" s="99" t="str">
        <f>IF(O53="","",O53/O4)</f>
        <v/>
      </c>
    </row>
    <row r="60" spans="1:15" ht="15.75" customHeight="1" x14ac:dyDescent="0.35">
      <c r="A60" s="93"/>
      <c r="B60" s="209" t="s">
        <v>213</v>
      </c>
      <c r="C60" s="209"/>
      <c r="D60" s="209"/>
      <c r="E60" s="99">
        <f>IF(F4="","",E16/(E4-F4))</f>
        <v>0.18714483778648183</v>
      </c>
      <c r="F60" s="99">
        <f>IF(G4="","",F16/(F4-G4))</f>
        <v>1.4668285834503272</v>
      </c>
      <c r="G60" s="99">
        <f>IF(H4="","",G16/(G4-H4))</f>
        <v>0.3633800202192411</v>
      </c>
      <c r="H60" s="99">
        <f>IF(I4="","",H16/(H4-I4))</f>
        <v>0.34507864490338203</v>
      </c>
      <c r="I60" s="99" t="e">
        <f>IF(J4="","",I16/(I4-J4))</f>
        <v>#VALUE!</v>
      </c>
      <c r="J60" s="99" t="str">
        <f>IF(K4="","",J16/(J4-K4))</f>
        <v/>
      </c>
      <c r="K60" s="99" t="str">
        <f>IF(L4="","",K16/(K4-L4))</f>
        <v/>
      </c>
      <c r="L60" s="99" t="str">
        <f>IF(M4="","",L16/(L4-M4))</f>
        <v/>
      </c>
      <c r="M60" s="99" t="str">
        <f>IF(N4="","",M16/(M4-N4))</f>
        <v/>
      </c>
      <c r="N60" s="99" t="str">
        <f>IF(O4="","",N16/(N4-O4))</f>
        <v/>
      </c>
      <c r="O60" s="99" t="str">
        <f>IF(P3="","",O16/(O4-P3))</f>
        <v/>
      </c>
    </row>
    <row r="61" spans="1:15" ht="15.75" customHeight="1" x14ac:dyDescent="0.35">
      <c r="A61" s="93"/>
    </row>
    <row r="62" spans="1:15" ht="15.75" customHeight="1" x14ac:dyDescent="0.35">
      <c r="A62" s="93"/>
      <c r="B62" s="65" t="s">
        <v>319</v>
      </c>
      <c r="C62" s="65"/>
      <c r="D62" s="65"/>
      <c r="E62" s="65"/>
    </row>
    <row r="63" spans="1:15" ht="15.75" customHeight="1" x14ac:dyDescent="0.35">
      <c r="A63" s="93"/>
      <c r="B63" s="57" t="s">
        <v>219</v>
      </c>
      <c r="C63" s="57"/>
      <c r="D63" s="57"/>
      <c r="E63" s="252">
        <f>IF(E4="","",E4/E51)</f>
        <v>0.90933332162498015</v>
      </c>
      <c r="F63" s="252">
        <f>IF(F4="","",F4/F51)</f>
        <v>0.81551983462257005</v>
      </c>
      <c r="G63" s="252">
        <f>IF(G4="","",G4/G51)</f>
        <v>0.73420399704411943</v>
      </c>
      <c r="H63" s="252">
        <f>IF(H4="","",H4/H51)</f>
        <v>0.62093318504188499</v>
      </c>
      <c r="I63" s="252" t="e">
        <f>IF(I4="","",I4/I51)</f>
        <v>#VALUE!</v>
      </c>
      <c r="J63" s="252" t="e">
        <f>IF(J4="","",J4/J51)</f>
        <v>#VALUE!</v>
      </c>
      <c r="K63" s="252" t="str">
        <f>IF(K4="","",K4/K51)</f>
        <v/>
      </c>
      <c r="L63" s="252" t="str">
        <f>IF(L4="","",L4/L51)</f>
        <v/>
      </c>
      <c r="M63" s="252" t="str">
        <f>IF(M4="","",M4/M51)</f>
        <v/>
      </c>
      <c r="N63" s="252" t="str">
        <f>IF(N4="","",N4/N51)</f>
        <v/>
      </c>
      <c r="O63" s="252" t="str">
        <f>IF(O4="","",O4/O51)</f>
        <v/>
      </c>
    </row>
    <row r="64" spans="1:15" ht="15.75" customHeight="1" x14ac:dyDescent="0.35">
      <c r="A64" s="93"/>
      <c r="B64" s="209" t="s">
        <v>215</v>
      </c>
      <c r="C64" s="209"/>
      <c r="D64" s="209"/>
      <c r="E64" s="99">
        <f>IF(E55="","",E55/E51)</f>
        <v>0.76325199666976462</v>
      </c>
      <c r="F64" s="99">
        <f t="shared" ref="F64:O64" si="5">IF(F55="","",F55/F51)</f>
        <v>0.83207133093167851</v>
      </c>
      <c r="G64" s="99">
        <f t="shared" si="5"/>
        <v>0.75551647408031242</v>
      </c>
      <c r="H64" s="99">
        <f t="shared" si="5"/>
        <v>0.79351322080112696</v>
      </c>
      <c r="I64" s="99" t="str">
        <f t="shared" si="5"/>
        <v/>
      </c>
      <c r="J64" s="99" t="str">
        <f t="shared" si="5"/>
        <v/>
      </c>
      <c r="K64" s="99" t="str">
        <f t="shared" si="5"/>
        <v/>
      </c>
      <c r="L64" s="99" t="str">
        <f t="shared" si="5"/>
        <v/>
      </c>
      <c r="M64" s="99" t="str">
        <f t="shared" si="5"/>
        <v/>
      </c>
      <c r="N64" s="99" t="str">
        <f t="shared" si="5"/>
        <v/>
      </c>
      <c r="O64" s="99" t="str">
        <f t="shared" si="5"/>
        <v/>
      </c>
    </row>
    <row r="65" spans="1:15" ht="15.75" customHeight="1" x14ac:dyDescent="0.35">
      <c r="A65" s="93"/>
      <c r="B65" s="209" t="s">
        <v>231</v>
      </c>
      <c r="C65" s="209"/>
      <c r="D65" s="209"/>
      <c r="E65" s="99">
        <f>IF(E55="","",IF(Inputs!C27=0,0,Inputs!C27/E51))</f>
        <v>6.499061591317086E-2</v>
      </c>
      <c r="F65" s="99">
        <f>IF(F55="","",IF(Inputs!D27=0,0,Inputs!D27/F51))</f>
        <v>7.4847149316627282E-2</v>
      </c>
      <c r="G65" s="99">
        <f>IF(G55="","",IF(Inputs!E27=0,0,Inputs!E27/G51))</f>
        <v>6.9289303873106806E-2</v>
      </c>
      <c r="H65" s="99">
        <f>IF(H55="","",IF(Inputs!F27=0,0,Inputs!F27/H51))</f>
        <v>7.8643775108618905E-2</v>
      </c>
      <c r="I65" s="99" t="str">
        <f>IF(I55="","",IF(Inputs!G27=0,0,Inputs!G27/I51))</f>
        <v/>
      </c>
      <c r="J65" s="99" t="str">
        <f>IF(J55="","",IF(Inputs!H27=0,0,Inputs!H27/J51))</f>
        <v/>
      </c>
      <c r="K65" s="99" t="str">
        <f>IF(K55="","",IF(Inputs!I27=0,0,Inputs!I27/K51))</f>
        <v/>
      </c>
      <c r="L65" s="99" t="str">
        <f>IF(L55="","",IF(Inputs!J27=0,0,Inputs!J27/L51))</f>
        <v/>
      </c>
      <c r="M65" s="99" t="str">
        <f>IF(M55="","",IF(Inputs!K27=0,0,Inputs!K27/M51))</f>
        <v/>
      </c>
      <c r="N65" s="99" t="str">
        <f>IF(N55="","",IF(Inputs!L27=0,0,Inputs!L27/N51))</f>
        <v/>
      </c>
      <c r="O65" s="99" t="str">
        <f>IF(O55="","",IF(Inputs!M27=0,0,Inputs!M27/O51))</f>
        <v/>
      </c>
    </row>
    <row r="66" spans="1:15" ht="15.75" customHeight="1" x14ac:dyDescent="0.35">
      <c r="A66" s="93"/>
    </row>
    <row r="67" spans="1:15" ht="15.75" customHeight="1" x14ac:dyDescent="0.35">
      <c r="A67" s="90"/>
      <c r="B67" s="275" t="s">
        <v>214</v>
      </c>
      <c r="C67" s="275"/>
      <c r="D67" s="275"/>
    </row>
    <row r="68" spans="1:15" ht="15.75" customHeight="1" x14ac:dyDescent="0.35">
      <c r="A68" s="93"/>
      <c r="B68" s="209" t="s">
        <v>103</v>
      </c>
      <c r="C68" s="209"/>
      <c r="D68" s="209"/>
      <c r="E68" s="102" t="e">
        <f>IF(OR(E35="",#REF!=""),"",IF(#REF!&lt;=0,"-",E35/#REF!))</f>
        <v>#REF!</v>
      </c>
      <c r="F68" s="102" t="e">
        <f>IF(OR(F35="",#REF!=""),"",IF(#REF!&lt;=0,"-",F35/#REF!))</f>
        <v>#REF!</v>
      </c>
      <c r="G68" s="102" t="e">
        <f>IF(OR(G35="",#REF!=""),"",IF(#REF!&lt;=0,"-",G35/#REF!))</f>
        <v>#REF!</v>
      </c>
      <c r="H68" s="102" t="e">
        <f>IF(OR(H35="",#REF!=""),"",IF(#REF!&lt;=0,"-",H35/#REF!))</f>
        <v>#REF!</v>
      </c>
      <c r="I68" s="102" t="e">
        <f>IF(OR(I35="",#REF!=""),"",IF(#REF!&lt;=0,"-",I35/#REF!))</f>
        <v>#VALUE!</v>
      </c>
      <c r="J68" s="102" t="e">
        <f>IF(OR(J35="",#REF!=""),"",IF(#REF!&lt;=0,"-",J35/#REF!))</f>
        <v>#VALUE!</v>
      </c>
      <c r="K68" s="102" t="e">
        <f>IF(OR(K35="",#REF!=""),"",IF(#REF!&lt;=0,"-",K35/#REF!))</f>
        <v>#REF!</v>
      </c>
      <c r="L68" s="102" t="e">
        <f>IF(OR(L35="",#REF!=""),"",IF(#REF!&lt;=0,"-",L35/#REF!))</f>
        <v>#REF!</v>
      </c>
      <c r="M68" s="102" t="e">
        <f>IF(OR(M35="",#REF!=""),"",IF(#REF!&lt;=0,"-",M35/#REF!))</f>
        <v>#REF!</v>
      </c>
      <c r="N68" s="102" t="e">
        <f>IF(OR(N35="",#REF!=""),"",IF(#REF!&lt;=0,"-",N35/#REF!))</f>
        <v>#REF!</v>
      </c>
      <c r="O68" s="102" t="e">
        <f>IF(OR(O35="",#REF!=""),"",IF(#REF!&lt;=0,"-",O35/#REF!))</f>
        <v>#REF!</v>
      </c>
    </row>
    <row r="69" spans="1:15" ht="15.75" customHeight="1" x14ac:dyDescent="0.35">
      <c r="A69" s="93"/>
      <c r="B69" s="209" t="s">
        <v>105</v>
      </c>
      <c r="C69" s="209"/>
      <c r="D69" s="209"/>
      <c r="E69" s="99" t="str">
        <f t="shared" ref="E69:O69" si="6">IF(E35="","",IF(MAX(E32,0)&lt;=0,"-",E32/E35))</f>
        <v>-</v>
      </c>
      <c r="F69" s="99" t="str">
        <f t="shared" si="6"/>
        <v>-</v>
      </c>
      <c r="G69" s="99" t="str">
        <f t="shared" si="6"/>
        <v>-</v>
      </c>
      <c r="H69" s="99" t="str">
        <f t="shared" si="6"/>
        <v>-</v>
      </c>
      <c r="I69" s="99" t="e">
        <f t="shared" si="6"/>
        <v>#VALUE!</v>
      </c>
      <c r="J69" s="99" t="e">
        <f t="shared" si="6"/>
        <v>#VALUE!</v>
      </c>
      <c r="K69" s="99" t="str">
        <f t="shared" si="6"/>
        <v/>
      </c>
      <c r="L69" s="99" t="str">
        <f t="shared" si="6"/>
        <v/>
      </c>
      <c r="M69" s="99" t="str">
        <f t="shared" si="6"/>
        <v/>
      </c>
      <c r="N69" s="99" t="str">
        <f t="shared" si="6"/>
        <v/>
      </c>
      <c r="O69" s="99" t="str">
        <f t="shared" si="6"/>
        <v/>
      </c>
    </row>
    <row r="70" spans="1:15" ht="15.75" customHeight="1" x14ac:dyDescent="0.35">
      <c r="A70" s="93"/>
    </row>
    <row r="71" spans="1:15" ht="15.75" customHeight="1" x14ac:dyDescent="0.35">
      <c r="A71" s="90"/>
      <c r="B71" s="275" t="s">
        <v>216</v>
      </c>
      <c r="C71" s="275"/>
      <c r="D71" s="275"/>
      <c r="E71" s="139" t="str">
        <f t="shared" ref="E71:O71" si="7">IFERROR(IF(E41*E63*(1/E64)=E72,"","Error"),"")</f>
        <v/>
      </c>
      <c r="F71" s="139" t="str">
        <f t="shared" si="7"/>
        <v/>
      </c>
      <c r="G71" s="139" t="str">
        <f t="shared" si="7"/>
        <v/>
      </c>
      <c r="H71" s="139" t="str">
        <f t="shared" si="7"/>
        <v/>
      </c>
      <c r="I71" s="139" t="str">
        <f t="shared" si="7"/>
        <v/>
      </c>
      <c r="J71" s="139" t="str">
        <f t="shared" si="7"/>
        <v/>
      </c>
      <c r="K71" s="139" t="str">
        <f t="shared" si="7"/>
        <v/>
      </c>
      <c r="L71" s="139" t="str">
        <f t="shared" si="7"/>
        <v/>
      </c>
      <c r="M71" s="139" t="str">
        <f t="shared" si="7"/>
        <v/>
      </c>
      <c r="N71" s="139" t="str">
        <f t="shared" si="7"/>
        <v/>
      </c>
      <c r="O71" s="139" t="str">
        <f t="shared" si="7"/>
        <v/>
      </c>
    </row>
    <row r="72" spans="1:15" ht="15.75" customHeight="1" x14ac:dyDescent="0.35">
      <c r="A72" s="93"/>
      <c r="B72" s="57" t="s">
        <v>217</v>
      </c>
      <c r="C72" s="57"/>
      <c r="D72" s="57"/>
      <c r="E72" s="279" t="e">
        <f>IF(E13="","",E13/(E55-#REF!))</f>
        <v>#REF!</v>
      </c>
      <c r="F72" s="279" t="e">
        <f>IF(F13="","",F13/(F55-#REF!))</f>
        <v>#REF!</v>
      </c>
      <c r="G72" s="279" t="e">
        <f>IF(G13="","",G13/(G55-#REF!))</f>
        <v>#REF!</v>
      </c>
      <c r="H72" s="279" t="e">
        <f>IF(H13="","",H13/(H55-#REF!))</f>
        <v>#REF!</v>
      </c>
      <c r="I72" s="279" t="e">
        <f>IF(I13="","",I13/(I55-#REF!))</f>
        <v>#VALUE!</v>
      </c>
      <c r="J72" s="279" t="e">
        <f>IF(J13="","",J13/(J55-#REF!))</f>
        <v>#VALUE!</v>
      </c>
      <c r="K72" s="279" t="str">
        <f>IF(K13="","",K13/(K55-#REF!))</f>
        <v/>
      </c>
      <c r="L72" s="279" t="str">
        <f>IF(L13="","",L13/(L55-#REF!))</f>
        <v/>
      </c>
      <c r="M72" s="279" t="str">
        <f>IF(M13="","",M13/(M55-#REF!))</f>
        <v/>
      </c>
      <c r="N72" s="279" t="str">
        <f>IF(N13="","",N13/(N55-#REF!))</f>
        <v/>
      </c>
      <c r="O72" s="279" t="str">
        <f>IF(O13="","",O13/(O55-#REF!))</f>
        <v/>
      </c>
    </row>
    <row r="73" spans="1:15" ht="15.75" customHeight="1" x14ac:dyDescent="0.35">
      <c r="A73" s="93"/>
      <c r="B73" s="57" t="s">
        <v>218</v>
      </c>
      <c r="C73" s="57"/>
      <c r="D73" s="57"/>
      <c r="E73" s="279" t="e">
        <f>IF(E35="","",E35/(E55-#REF!))</f>
        <v>#REF!</v>
      </c>
      <c r="F73" s="279" t="e">
        <f>IF(F35="","",F35/(F55-#REF!))</f>
        <v>#REF!</v>
      </c>
      <c r="G73" s="279" t="e">
        <f>IF(G35="","",G35/(G55-#REF!))</f>
        <v>#REF!</v>
      </c>
      <c r="H73" s="279" t="e">
        <f>IF(H35="","",H35/(H55-#REF!))</f>
        <v>#REF!</v>
      </c>
      <c r="I73" s="279" t="e">
        <f>IF(I35="","",I35/(I55-#REF!))</f>
        <v>#VALUE!</v>
      </c>
      <c r="J73" s="279" t="e">
        <f>IF(J35="","",J35/(J55-#REF!))</f>
        <v>#VALUE!</v>
      </c>
      <c r="K73" s="279" t="str">
        <f>IF(K35="","",K35/(K55-#REF!))</f>
        <v/>
      </c>
      <c r="L73" s="279" t="str">
        <f>IF(L35="","",L35/(L55-#REF!))</f>
        <v/>
      </c>
      <c r="M73" s="279" t="str">
        <f>IF(M35="","",M35/(M55-#REF!))</f>
        <v/>
      </c>
      <c r="N73" s="279" t="str">
        <f>IF(N35="","",N35/(N55-#REF!))</f>
        <v/>
      </c>
      <c r="O73" s="279" t="str">
        <f>IF(O35="","",O35/(O55-#REF!))</f>
        <v/>
      </c>
    </row>
    <row r="74" spans="1:15" ht="15.75" customHeight="1" x14ac:dyDescent="0.35">
      <c r="A74" s="93"/>
    </row>
    <row r="75" spans="1:15" ht="15.75" customHeight="1" x14ac:dyDescent="0.35">
      <c r="A75" s="90"/>
      <c r="B75" s="271" t="s">
        <v>8</v>
      </c>
      <c r="C75" s="271"/>
      <c r="D75" s="271"/>
      <c r="E75" s="91"/>
      <c r="F75" s="91"/>
      <c r="G75" s="280" t="s">
        <v>159</v>
      </c>
      <c r="H75" s="280" t="s">
        <v>162</v>
      </c>
      <c r="I75" s="280" t="s">
        <v>163</v>
      </c>
      <c r="J75" s="281" t="s">
        <v>164</v>
      </c>
    </row>
    <row r="76" spans="1:15" ht="15.75" customHeight="1" x14ac:dyDescent="0.35">
      <c r="A76" s="93"/>
      <c r="B76" s="94" t="s">
        <v>9</v>
      </c>
      <c r="C76" s="94"/>
      <c r="D76" s="94"/>
      <c r="E76" s="282">
        <f>Inputs!C102</f>
        <v>45382</v>
      </c>
      <c r="G76" s="245" t="s">
        <v>160</v>
      </c>
      <c r="H76" s="95" t="e">
        <f>J13</f>
        <v>#VALUE!</v>
      </c>
      <c r="I76" s="95">
        <f>E13</f>
        <v>1889395.6666666667</v>
      </c>
      <c r="J76" s="95">
        <v>6</v>
      </c>
    </row>
    <row r="77" spans="1:15" ht="15.75" customHeight="1" x14ac:dyDescent="0.35">
      <c r="A77" s="93"/>
      <c r="B77" s="94" t="s">
        <v>10</v>
      </c>
      <c r="C77" s="94"/>
      <c r="D77" s="94"/>
      <c r="E77" s="145">
        <f>Inputs!C103</f>
        <v>1000</v>
      </c>
      <c r="F77" s="2" t="str">
        <f>Thesis!C13</f>
        <v>HKD</v>
      </c>
      <c r="G77" s="245" t="s">
        <v>161</v>
      </c>
      <c r="H77" s="246" t="e">
        <f>(I76/H76)^(1/J76)-1</f>
        <v>#VALUE!</v>
      </c>
    </row>
    <row r="78" spans="1:15" ht="15.75" customHeight="1" x14ac:dyDescent="0.35">
      <c r="A78" s="93"/>
    </row>
    <row r="79" spans="1:15" ht="15.75" customHeight="1" x14ac:dyDescent="0.35">
      <c r="A79" s="93"/>
    </row>
    <row r="80" spans="1:15" ht="15.75" customHeight="1" x14ac:dyDescent="0.35">
      <c r="A80" s="93"/>
    </row>
    <row r="81" spans="1:1" ht="15.75" customHeight="1" x14ac:dyDescent="0.35">
      <c r="A81" s="93"/>
    </row>
    <row r="82" spans="1:1" ht="15.75" customHeight="1" x14ac:dyDescent="0.35">
      <c r="A82" s="93"/>
    </row>
    <row r="83" spans="1:1" ht="15.75" customHeight="1" x14ac:dyDescent="0.35">
      <c r="A83" s="93"/>
    </row>
    <row r="84" spans="1:1" ht="15.75" customHeight="1" x14ac:dyDescent="0.35">
      <c r="A84" s="93"/>
    </row>
    <row r="85" spans="1:1" ht="15.75" customHeight="1" x14ac:dyDescent="0.35">
      <c r="A85" s="93"/>
    </row>
    <row r="86" spans="1:1" ht="15.75" customHeight="1" x14ac:dyDescent="0.35">
      <c r="A86" s="93"/>
    </row>
    <row r="87" spans="1:1" ht="15.75" customHeight="1" x14ac:dyDescent="0.35">
      <c r="A87" s="93"/>
    </row>
    <row r="88" spans="1:1" ht="15.75" customHeight="1" x14ac:dyDescent="0.35">
      <c r="A88" s="93"/>
    </row>
    <row r="89" spans="1:1" ht="15.75" customHeight="1" x14ac:dyDescent="0.35">
      <c r="A89" s="93"/>
    </row>
    <row r="90" spans="1:1" ht="15.75" customHeight="1" x14ac:dyDescent="0.35">
      <c r="A90" s="93"/>
    </row>
    <row r="91" spans="1:1" ht="15.75" customHeight="1" x14ac:dyDescent="0.35">
      <c r="A91" s="93"/>
    </row>
    <row r="92" spans="1:1" ht="15.75" customHeight="1" x14ac:dyDescent="0.35">
      <c r="A92" s="93"/>
    </row>
    <row r="93" spans="1:1" ht="15.75" customHeight="1" x14ac:dyDescent="0.35">
      <c r="A93" s="93"/>
    </row>
    <row r="94" spans="1:1" ht="15.75" customHeight="1" x14ac:dyDescent="0.35">
      <c r="A94" s="93"/>
    </row>
    <row r="95" spans="1:1" ht="15.75" customHeight="1" x14ac:dyDescent="0.35">
      <c r="A95" s="93"/>
    </row>
    <row r="96" spans="1:1" ht="15.75" customHeight="1" x14ac:dyDescent="0.35">
      <c r="A96" s="93"/>
    </row>
    <row r="97" spans="1:1" ht="15.75" customHeight="1" x14ac:dyDescent="0.35">
      <c r="A97" s="93"/>
    </row>
    <row r="98" spans="1:1" ht="15.75" customHeight="1" x14ac:dyDescent="0.35">
      <c r="A98" s="93"/>
    </row>
    <row r="99" spans="1:1" ht="15.75" customHeight="1" x14ac:dyDescent="0.35">
      <c r="A99" s="93"/>
    </row>
    <row r="100" spans="1:1" ht="15.75" customHeight="1" x14ac:dyDescent="0.35">
      <c r="A100" s="93"/>
    </row>
    <row r="101" spans="1:1" ht="15.75" customHeight="1" x14ac:dyDescent="0.35">
      <c r="A101" s="93"/>
    </row>
    <row r="102" spans="1:1" ht="15.75" customHeight="1" x14ac:dyDescent="0.35">
      <c r="A102" s="93"/>
    </row>
    <row r="103" spans="1:1" ht="15.75" customHeight="1" x14ac:dyDescent="0.35">
      <c r="A103" s="93"/>
    </row>
    <row r="104" spans="1:1" ht="15.75" customHeight="1" x14ac:dyDescent="0.35">
      <c r="A104" s="93"/>
    </row>
    <row r="105" spans="1:1" ht="15.75" customHeight="1" x14ac:dyDescent="0.35">
      <c r="A105" s="93"/>
    </row>
    <row r="106" spans="1:1" ht="15.75" customHeight="1" x14ac:dyDescent="0.35">
      <c r="A106" s="93"/>
    </row>
    <row r="107" spans="1:1" ht="15.75" customHeight="1" x14ac:dyDescent="0.35">
      <c r="A107" s="93"/>
    </row>
    <row r="108" spans="1:1" ht="15.75" customHeight="1" x14ac:dyDescent="0.35">
      <c r="A108" s="93"/>
    </row>
    <row r="109" spans="1:1" ht="15.75" customHeight="1" x14ac:dyDescent="0.35">
      <c r="A109" s="93"/>
    </row>
    <row r="110" spans="1:1" ht="15.75" customHeight="1" x14ac:dyDescent="0.35">
      <c r="A110" s="93"/>
    </row>
    <row r="111" spans="1:1" ht="15.75" customHeight="1" x14ac:dyDescent="0.35">
      <c r="A111" s="93"/>
    </row>
    <row r="112" spans="1:1" ht="15.75" customHeight="1" x14ac:dyDescent="0.35">
      <c r="A112" s="93"/>
    </row>
    <row r="113" spans="1:1" ht="15.75" customHeight="1" x14ac:dyDescent="0.35">
      <c r="A113" s="93"/>
    </row>
    <row r="114" spans="1:1" ht="15.75" customHeight="1" x14ac:dyDescent="0.35">
      <c r="A114" s="93"/>
    </row>
    <row r="115" spans="1:1" ht="15.75" customHeight="1" x14ac:dyDescent="0.35">
      <c r="A115" s="93"/>
    </row>
    <row r="116" spans="1:1" ht="15.75" customHeight="1" x14ac:dyDescent="0.35">
      <c r="A116" s="93"/>
    </row>
    <row r="117" spans="1:1" ht="15.75" customHeight="1" x14ac:dyDescent="0.35">
      <c r="A117" s="93"/>
    </row>
    <row r="118" spans="1:1" ht="15.75" customHeight="1" x14ac:dyDescent="0.35">
      <c r="A118" s="93"/>
    </row>
    <row r="119" spans="1:1" ht="15.75" customHeight="1" x14ac:dyDescent="0.35">
      <c r="A119" s="93"/>
    </row>
    <row r="120" spans="1:1" ht="15.75" customHeight="1" x14ac:dyDescent="0.35">
      <c r="A120" s="93"/>
    </row>
    <row r="121" spans="1:1" ht="15.75" customHeight="1" x14ac:dyDescent="0.35">
      <c r="A121" s="93"/>
    </row>
    <row r="122" spans="1:1" ht="15.75" customHeight="1" x14ac:dyDescent="0.35">
      <c r="A122" s="93"/>
    </row>
    <row r="123" spans="1:1" ht="15.75" customHeight="1" x14ac:dyDescent="0.35">
      <c r="A123" s="93"/>
    </row>
    <row r="124" spans="1:1" ht="15.75" customHeight="1" x14ac:dyDescent="0.35">
      <c r="A124" s="93"/>
    </row>
    <row r="125" spans="1:1" ht="15.75" customHeight="1" x14ac:dyDescent="0.35">
      <c r="A125" s="93"/>
    </row>
    <row r="126" spans="1:1" ht="15.75" customHeight="1" x14ac:dyDescent="0.35">
      <c r="A126" s="93"/>
    </row>
    <row r="127" spans="1:1" ht="15.75" customHeight="1" x14ac:dyDescent="0.35">
      <c r="A127" s="93"/>
    </row>
    <row r="128" spans="1:1" ht="15.75" customHeight="1" x14ac:dyDescent="0.35">
      <c r="A128" s="93"/>
    </row>
    <row r="129" spans="1:1" ht="15.75" customHeight="1" x14ac:dyDescent="0.35">
      <c r="A129" s="93"/>
    </row>
    <row r="130" spans="1:1" ht="15.75" customHeight="1" x14ac:dyDescent="0.35">
      <c r="A130" s="93"/>
    </row>
    <row r="131" spans="1:1" ht="15.75" customHeight="1" x14ac:dyDescent="0.35">
      <c r="A131" s="93"/>
    </row>
    <row r="132" spans="1:1" ht="15.75" customHeight="1" x14ac:dyDescent="0.35">
      <c r="A132" s="93"/>
    </row>
    <row r="133" spans="1:1" ht="15.75" customHeight="1" x14ac:dyDescent="0.35">
      <c r="A133" s="93"/>
    </row>
    <row r="134" spans="1:1" ht="15.75" customHeight="1" x14ac:dyDescent="0.35">
      <c r="A134" s="93"/>
    </row>
    <row r="135" spans="1:1" ht="15.75" customHeight="1" x14ac:dyDescent="0.35">
      <c r="A135" s="93"/>
    </row>
    <row r="136" spans="1:1" ht="15.75" customHeight="1" x14ac:dyDescent="0.35">
      <c r="A136" s="93"/>
    </row>
    <row r="137" spans="1:1" ht="15.75" customHeight="1" x14ac:dyDescent="0.35">
      <c r="A137" s="93"/>
    </row>
    <row r="138" spans="1:1" ht="15.75" customHeight="1" x14ac:dyDescent="0.35">
      <c r="A138" s="93"/>
    </row>
    <row r="139" spans="1:1" ht="15.75" customHeight="1" x14ac:dyDescent="0.35">
      <c r="A139" s="93"/>
    </row>
    <row r="140" spans="1:1" ht="15.75" customHeight="1" x14ac:dyDescent="0.35">
      <c r="A140" s="93"/>
    </row>
    <row r="141" spans="1:1" ht="15.75" customHeight="1" x14ac:dyDescent="0.35">
      <c r="A141" s="93"/>
    </row>
    <row r="142" spans="1:1" ht="15.75" customHeight="1" x14ac:dyDescent="0.35">
      <c r="A142" s="93"/>
    </row>
    <row r="143" spans="1:1" ht="15.75" customHeight="1" x14ac:dyDescent="0.35">
      <c r="A143" s="93"/>
    </row>
    <row r="144" spans="1:1" ht="15.75" customHeight="1" x14ac:dyDescent="0.35">
      <c r="A144" s="93"/>
    </row>
    <row r="145" spans="1:1" ht="15.75" customHeight="1" x14ac:dyDescent="0.35">
      <c r="A145" s="93"/>
    </row>
    <row r="146" spans="1:1" ht="15.75" customHeight="1" x14ac:dyDescent="0.35">
      <c r="A146" s="93"/>
    </row>
    <row r="147" spans="1:1" ht="15.75" customHeight="1" x14ac:dyDescent="0.35">
      <c r="A147" s="93"/>
    </row>
    <row r="148" spans="1:1" ht="15.75" customHeight="1" x14ac:dyDescent="0.35">
      <c r="A148" s="93"/>
    </row>
    <row r="149" spans="1:1" ht="15.75" customHeight="1" x14ac:dyDescent="0.35">
      <c r="A149" s="93"/>
    </row>
    <row r="150" spans="1:1" ht="15.75" customHeight="1" x14ac:dyDescent="0.35">
      <c r="A150" s="93"/>
    </row>
    <row r="151" spans="1:1" ht="15.75" customHeight="1" x14ac:dyDescent="0.35">
      <c r="A151" s="93"/>
    </row>
    <row r="152" spans="1:1" ht="15.75" customHeight="1" x14ac:dyDescent="0.35">
      <c r="A152" s="93"/>
    </row>
    <row r="153" spans="1:1" ht="15.75" customHeight="1" x14ac:dyDescent="0.35">
      <c r="A153" s="93"/>
    </row>
    <row r="154" spans="1:1" ht="15.75" customHeight="1" x14ac:dyDescent="0.35">
      <c r="A154" s="93"/>
    </row>
    <row r="155" spans="1:1" ht="15.75" customHeight="1" x14ac:dyDescent="0.35">
      <c r="A155" s="93"/>
    </row>
    <row r="156" spans="1:1" ht="15.75" customHeight="1" x14ac:dyDescent="0.35">
      <c r="A156" s="93"/>
    </row>
    <row r="157" spans="1:1" ht="15.75" customHeight="1" x14ac:dyDescent="0.35">
      <c r="A157" s="93"/>
    </row>
    <row r="158" spans="1:1" ht="15.75" customHeight="1" x14ac:dyDescent="0.35">
      <c r="A158" s="93"/>
    </row>
    <row r="159" spans="1:1" ht="15.75" customHeight="1" x14ac:dyDescent="0.35">
      <c r="A159" s="93"/>
    </row>
    <row r="160" spans="1:1" ht="15.75" customHeight="1" x14ac:dyDescent="0.35">
      <c r="A160" s="93"/>
    </row>
    <row r="161" spans="1:1" ht="15.75" customHeight="1" x14ac:dyDescent="0.35">
      <c r="A161" s="93"/>
    </row>
    <row r="162" spans="1:1" ht="15.75" customHeight="1" x14ac:dyDescent="0.35">
      <c r="A162" s="93"/>
    </row>
    <row r="163" spans="1:1" ht="15.75" customHeight="1" x14ac:dyDescent="0.35">
      <c r="A163" s="93"/>
    </row>
    <row r="164" spans="1:1" ht="15.75" customHeight="1" x14ac:dyDescent="0.35">
      <c r="A164" s="93"/>
    </row>
    <row r="165" spans="1:1" ht="15.75" customHeight="1" x14ac:dyDescent="0.35">
      <c r="A165" s="93"/>
    </row>
    <row r="166" spans="1:1" ht="15.75" customHeight="1" x14ac:dyDescent="0.35">
      <c r="A166" s="93"/>
    </row>
    <row r="167" spans="1:1" ht="15.75" customHeight="1" x14ac:dyDescent="0.35">
      <c r="A167" s="93"/>
    </row>
    <row r="168" spans="1:1" ht="15.75" customHeight="1" x14ac:dyDescent="0.35">
      <c r="A168" s="93"/>
    </row>
    <row r="169" spans="1:1" ht="15.75" customHeight="1" x14ac:dyDescent="0.35">
      <c r="A169" s="93"/>
    </row>
    <row r="170" spans="1:1" ht="15.75" customHeight="1" x14ac:dyDescent="0.35">
      <c r="A170" s="93"/>
    </row>
    <row r="171" spans="1:1" ht="15.75" customHeight="1" x14ac:dyDescent="0.35">
      <c r="A171" s="93"/>
    </row>
    <row r="172" spans="1:1" ht="15.75" customHeight="1" x14ac:dyDescent="0.35">
      <c r="A172" s="93"/>
    </row>
    <row r="173" spans="1:1" ht="15.75" customHeight="1" x14ac:dyDescent="0.35">
      <c r="A173" s="93"/>
    </row>
    <row r="174" spans="1:1" ht="15.75" customHeight="1" x14ac:dyDescent="0.35">
      <c r="A174" s="93"/>
    </row>
    <row r="175" spans="1:1" ht="15.75" customHeight="1" x14ac:dyDescent="0.35">
      <c r="A175" s="93"/>
    </row>
    <row r="176" spans="1:1" ht="15.75" customHeight="1" x14ac:dyDescent="0.35">
      <c r="A176" s="93"/>
    </row>
    <row r="177" spans="1:1" ht="15.75" customHeight="1" x14ac:dyDescent="0.35">
      <c r="A177" s="93"/>
    </row>
    <row r="178" spans="1:1" ht="15.75" customHeight="1" x14ac:dyDescent="0.35">
      <c r="A178" s="93"/>
    </row>
    <row r="179" spans="1:1" ht="15.75" customHeight="1" x14ac:dyDescent="0.35">
      <c r="A179" s="93"/>
    </row>
    <row r="180" spans="1:1" ht="15.75" customHeight="1" x14ac:dyDescent="0.35">
      <c r="A180" s="93"/>
    </row>
    <row r="181" spans="1:1" ht="15.75" customHeight="1" x14ac:dyDescent="0.35">
      <c r="A181" s="93"/>
    </row>
    <row r="182" spans="1:1" ht="15.75" customHeight="1" x14ac:dyDescent="0.35">
      <c r="A182" s="93"/>
    </row>
    <row r="183" spans="1:1" ht="15.75" customHeight="1" x14ac:dyDescent="0.35">
      <c r="A183" s="93"/>
    </row>
    <row r="184" spans="1:1" ht="15.75" customHeight="1" x14ac:dyDescent="0.35">
      <c r="A184" s="93"/>
    </row>
    <row r="185" spans="1:1" ht="15.75" customHeight="1" x14ac:dyDescent="0.35">
      <c r="A185" s="93"/>
    </row>
    <row r="186" spans="1:1" ht="15.75" customHeight="1" x14ac:dyDescent="0.35">
      <c r="A186" s="93"/>
    </row>
    <row r="187" spans="1:1" ht="15.75" customHeight="1" x14ac:dyDescent="0.35">
      <c r="A187" s="93"/>
    </row>
    <row r="188" spans="1:1" ht="15.75" customHeight="1" x14ac:dyDescent="0.35">
      <c r="A188" s="93"/>
    </row>
    <row r="189" spans="1:1" ht="15.75" customHeight="1" x14ac:dyDescent="0.35">
      <c r="A189" s="93"/>
    </row>
    <row r="190" spans="1:1" ht="15.75" customHeight="1" x14ac:dyDescent="0.35">
      <c r="A190" s="93"/>
    </row>
    <row r="191" spans="1:1" ht="15.75" customHeight="1" x14ac:dyDescent="0.35">
      <c r="A191" s="93"/>
    </row>
    <row r="192" spans="1:1" ht="15.75" customHeight="1" x14ac:dyDescent="0.35">
      <c r="A192" s="93"/>
    </row>
    <row r="193" spans="1:1" ht="15.75" customHeight="1" x14ac:dyDescent="0.35">
      <c r="A193" s="93"/>
    </row>
    <row r="194" spans="1:1" ht="15.75" customHeight="1" x14ac:dyDescent="0.35">
      <c r="A194" s="93"/>
    </row>
    <row r="195" spans="1:1" ht="15.75" customHeight="1" x14ac:dyDescent="0.35">
      <c r="A195" s="93"/>
    </row>
    <row r="196" spans="1:1" ht="15.75" customHeight="1" x14ac:dyDescent="0.35">
      <c r="A196" s="93"/>
    </row>
    <row r="197" spans="1:1" ht="15.75" customHeight="1" x14ac:dyDescent="0.35">
      <c r="A197" s="93"/>
    </row>
    <row r="198" spans="1:1" ht="15.75" customHeight="1" x14ac:dyDescent="0.35">
      <c r="A198" s="93"/>
    </row>
    <row r="199" spans="1:1" ht="15.75" customHeight="1" x14ac:dyDescent="0.35">
      <c r="A199" s="93"/>
    </row>
    <row r="200" spans="1:1" ht="15.75" customHeight="1" x14ac:dyDescent="0.35">
      <c r="A200" s="93"/>
    </row>
    <row r="201" spans="1:1" ht="15.75" customHeight="1" x14ac:dyDescent="0.35">
      <c r="A201" s="93"/>
    </row>
    <row r="202" spans="1:1" ht="15.75" customHeight="1" x14ac:dyDescent="0.35">
      <c r="A202" s="93"/>
    </row>
    <row r="203" spans="1:1" ht="15.75" customHeight="1" x14ac:dyDescent="0.35">
      <c r="A203" s="93"/>
    </row>
    <row r="204" spans="1:1" ht="15.75" customHeight="1" x14ac:dyDescent="0.35">
      <c r="A204" s="93"/>
    </row>
    <row r="205" spans="1:1" ht="15.75" customHeight="1" x14ac:dyDescent="0.35">
      <c r="A205" s="93"/>
    </row>
    <row r="206" spans="1:1" ht="15.75" customHeight="1" x14ac:dyDescent="0.35">
      <c r="A206" s="93"/>
    </row>
    <row r="207" spans="1:1" ht="15.75" customHeight="1" x14ac:dyDescent="0.35">
      <c r="A207" s="93"/>
    </row>
    <row r="208" spans="1:1" ht="15.75" customHeight="1" x14ac:dyDescent="0.35">
      <c r="A208" s="93"/>
    </row>
    <row r="209" spans="1:1" ht="15.75" customHeight="1" x14ac:dyDescent="0.35">
      <c r="A209" s="93"/>
    </row>
    <row r="210" spans="1:1" ht="15.75" customHeight="1" x14ac:dyDescent="0.35">
      <c r="A210" s="93"/>
    </row>
    <row r="211" spans="1:1" ht="15.75" customHeight="1" x14ac:dyDescent="0.35">
      <c r="A211" s="93"/>
    </row>
    <row r="212" spans="1:1" ht="15.75" customHeight="1" x14ac:dyDescent="0.35">
      <c r="A212" s="93"/>
    </row>
    <row r="213" spans="1:1" ht="15.75" customHeight="1" x14ac:dyDescent="0.35">
      <c r="A213" s="93"/>
    </row>
    <row r="214" spans="1:1" ht="15.75" customHeight="1" x14ac:dyDescent="0.35">
      <c r="A214" s="93"/>
    </row>
    <row r="215" spans="1:1" ht="15.75" customHeight="1" x14ac:dyDescent="0.35">
      <c r="A215" s="93"/>
    </row>
    <row r="216" spans="1:1" ht="15.75" customHeight="1" x14ac:dyDescent="0.35">
      <c r="A216" s="93"/>
    </row>
    <row r="217" spans="1:1" ht="15.75" customHeight="1" x14ac:dyDescent="0.35">
      <c r="A217" s="93"/>
    </row>
    <row r="218" spans="1:1" ht="15.75" customHeight="1" x14ac:dyDescent="0.35">
      <c r="A218" s="93"/>
    </row>
    <row r="219" spans="1:1" ht="15.75" customHeight="1" x14ac:dyDescent="0.35">
      <c r="A219" s="93"/>
    </row>
    <row r="220" spans="1:1" ht="15.75" customHeight="1" x14ac:dyDescent="0.35">
      <c r="A220" s="93"/>
    </row>
    <row r="221" spans="1:1" ht="15.75" customHeight="1" x14ac:dyDescent="0.35">
      <c r="A221" s="93"/>
    </row>
    <row r="222" spans="1:1" ht="15.75" customHeight="1" x14ac:dyDescent="0.35">
      <c r="A222" s="93"/>
    </row>
    <row r="223" spans="1:1" ht="15.75" customHeight="1" x14ac:dyDescent="0.35">
      <c r="A223" s="93"/>
    </row>
    <row r="224" spans="1:1" ht="15.75" customHeight="1" x14ac:dyDescent="0.35">
      <c r="A224" s="93"/>
    </row>
    <row r="225" spans="1:1" ht="15.75" customHeight="1" x14ac:dyDescent="0.35">
      <c r="A225" s="93"/>
    </row>
    <row r="226" spans="1:1" ht="15.75" customHeight="1" x14ac:dyDescent="0.35">
      <c r="A226" s="93"/>
    </row>
    <row r="227" spans="1:1" ht="15.75" customHeight="1" x14ac:dyDescent="0.35">
      <c r="A227" s="93"/>
    </row>
    <row r="228" spans="1:1" ht="15.75" customHeight="1" x14ac:dyDescent="0.35">
      <c r="A228" s="93"/>
    </row>
    <row r="229" spans="1:1" ht="15.75" customHeight="1" x14ac:dyDescent="0.35">
      <c r="A229" s="93"/>
    </row>
    <row r="230" spans="1:1" ht="15.75" customHeight="1" x14ac:dyDescent="0.35">
      <c r="A230" s="93"/>
    </row>
    <row r="231" spans="1:1" ht="15.75" customHeight="1" x14ac:dyDescent="0.35">
      <c r="A231" s="93"/>
    </row>
    <row r="232" spans="1:1" ht="15.75" customHeight="1" x14ac:dyDescent="0.35">
      <c r="A232" s="93"/>
    </row>
    <row r="233" spans="1:1" ht="15.75" customHeight="1" x14ac:dyDescent="0.35">
      <c r="A233" s="93"/>
    </row>
    <row r="234" spans="1:1" ht="15.75" customHeight="1" x14ac:dyDescent="0.35">
      <c r="A234" s="93"/>
    </row>
    <row r="235" spans="1:1" ht="15.75" customHeight="1" x14ac:dyDescent="0.35">
      <c r="A235" s="93"/>
    </row>
    <row r="236" spans="1:1" ht="15.75" customHeight="1" x14ac:dyDescent="0.35">
      <c r="A236" s="93"/>
    </row>
    <row r="237" spans="1:1" ht="15.75" customHeight="1" x14ac:dyDescent="0.35">
      <c r="A237" s="93"/>
    </row>
    <row r="238" spans="1:1" ht="15.75" customHeight="1" x14ac:dyDescent="0.35">
      <c r="A238" s="93"/>
    </row>
    <row r="239" spans="1:1" ht="15.75" customHeight="1" x14ac:dyDescent="0.35">
      <c r="A239" s="93"/>
    </row>
    <row r="240" spans="1:1" ht="15.75" customHeight="1" x14ac:dyDescent="0.35">
      <c r="A240" s="93"/>
    </row>
    <row r="241" spans="1:1" ht="15.75" customHeight="1" x14ac:dyDescent="0.35">
      <c r="A241" s="93"/>
    </row>
    <row r="242" spans="1:1" ht="15.75" customHeight="1" x14ac:dyDescent="0.35">
      <c r="A242" s="93"/>
    </row>
    <row r="243" spans="1:1" ht="15.75" customHeight="1" x14ac:dyDescent="0.35">
      <c r="A243" s="93"/>
    </row>
    <row r="244" spans="1:1" ht="15.75" customHeight="1" x14ac:dyDescent="0.35">
      <c r="A244" s="93"/>
    </row>
    <row r="245" spans="1:1" ht="15.75" customHeight="1" x14ac:dyDescent="0.35">
      <c r="A245" s="93"/>
    </row>
    <row r="246" spans="1:1" ht="15.75" customHeight="1" x14ac:dyDescent="0.35">
      <c r="A246" s="93"/>
    </row>
    <row r="247" spans="1:1" ht="15.75" customHeight="1" x14ac:dyDescent="0.35">
      <c r="A247" s="93"/>
    </row>
    <row r="248" spans="1:1" ht="15.75" customHeight="1" x14ac:dyDescent="0.35">
      <c r="A248" s="93"/>
    </row>
    <row r="249" spans="1:1" ht="15.75" customHeight="1" x14ac:dyDescent="0.35">
      <c r="A249" s="93"/>
    </row>
    <row r="250" spans="1:1" ht="15.75" customHeight="1" x14ac:dyDescent="0.35">
      <c r="A250" s="93"/>
    </row>
    <row r="251" spans="1:1" ht="15.75" customHeight="1" x14ac:dyDescent="0.35">
      <c r="A251" s="93"/>
    </row>
    <row r="252" spans="1:1" ht="15.75" customHeight="1" x14ac:dyDescent="0.35">
      <c r="A252" s="93"/>
    </row>
    <row r="253" spans="1:1" ht="15.75" customHeight="1" x14ac:dyDescent="0.35">
      <c r="A253" s="93"/>
    </row>
    <row r="254" spans="1:1" ht="15.75" customHeight="1" x14ac:dyDescent="0.35">
      <c r="A254" s="93"/>
    </row>
    <row r="255" spans="1:1" ht="15.75" customHeight="1" x14ac:dyDescent="0.35">
      <c r="A255" s="93"/>
    </row>
    <row r="256" spans="1:1" ht="15.75" customHeight="1" x14ac:dyDescent="0.35">
      <c r="A256" s="93"/>
    </row>
    <row r="257" spans="1:1" ht="15.75" customHeight="1" x14ac:dyDescent="0.35">
      <c r="A257" s="93"/>
    </row>
    <row r="258" spans="1:1" ht="15.75" customHeight="1" x14ac:dyDescent="0.35">
      <c r="A258" s="93"/>
    </row>
    <row r="259" spans="1:1" ht="15.75" customHeight="1" x14ac:dyDescent="0.35">
      <c r="A259" s="93"/>
    </row>
    <row r="260" spans="1:1" ht="15.75" customHeight="1" x14ac:dyDescent="0.35">
      <c r="A260" s="93"/>
    </row>
    <row r="261" spans="1:1" ht="15.75" customHeight="1" x14ac:dyDescent="0.35"/>
    <row r="262" spans="1:1" ht="15.75" customHeight="1" x14ac:dyDescent="0.35"/>
    <row r="263" spans="1:1" ht="15.75" customHeight="1" x14ac:dyDescent="0.35"/>
    <row r="264" spans="1:1" ht="15.75" customHeight="1" x14ac:dyDescent="0.35"/>
    <row r="265" spans="1:1" ht="15.75" customHeight="1" x14ac:dyDescent="0.35"/>
    <row r="266" spans="1:1" ht="15.75" customHeight="1" x14ac:dyDescent="0.35"/>
    <row r="267" spans="1:1" ht="15.75" customHeight="1" x14ac:dyDescent="0.35"/>
    <row r="268" spans="1:1" ht="15.75" customHeight="1" x14ac:dyDescent="0.35"/>
    <row r="269" spans="1:1" ht="15.75" customHeight="1" x14ac:dyDescent="0.35"/>
    <row r="270" spans="1:1" ht="15.75" customHeight="1" x14ac:dyDescent="0.35"/>
    <row r="271" spans="1:1" ht="15.75" customHeight="1" x14ac:dyDescent="0.35"/>
    <row r="272" spans="1:1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</sheetData>
  <phoneticPr fontId="3" type="noConversion"/>
  <dataValidations count="1">
    <dataValidation allowBlank="1" showInputMessage="1" showErrorMessage="1" sqref="E76" xr:uid="{00000000-0002-0000-0100-000001000000}"/>
  </dataValidation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0.59999389629810485"/>
    <outlinePr summaryBelow="0" summaryRight="0"/>
    <pageSetUpPr fitToPage="1"/>
  </sheetPr>
  <dimension ref="A1:H918"/>
  <sheetViews>
    <sheetView showGridLines="0" zoomScaleNormal="100" workbookViewId="0">
      <selection activeCell="D28" sqref="D28"/>
    </sheetView>
  </sheetViews>
  <sheetFormatPr defaultColWidth="12.33203125" defaultRowHeight="15" customHeight="1" x14ac:dyDescent="0.35"/>
  <cols>
    <col min="1" max="1" width="2.33203125" style="1" customWidth="1"/>
    <col min="2" max="2" width="30.6640625" style="1" customWidth="1"/>
    <col min="3" max="4" width="14.796875" style="1" customWidth="1"/>
    <col min="5" max="5" width="5.796875" style="1" customWidth="1"/>
    <col min="6" max="6" width="24.33203125" style="1" customWidth="1"/>
    <col min="7" max="8" width="14.796875" style="1" customWidth="1"/>
    <col min="9" max="9" width="14.33203125" style="1" bestFit="1" customWidth="1"/>
    <col min="10" max="16384" width="12.33203125" style="1"/>
  </cols>
  <sheetData>
    <row r="1" spans="1:8" ht="15" customHeight="1" x14ac:dyDescent="0.35">
      <c r="B1" s="2"/>
      <c r="C1" s="2"/>
      <c r="D1" s="2"/>
      <c r="E1" s="2"/>
      <c r="F1" s="2"/>
      <c r="G1" s="2"/>
      <c r="H1" s="2"/>
    </row>
    <row r="2" spans="1:8" ht="15.75" customHeight="1" x14ac:dyDescent="0.35">
      <c r="A2" s="3"/>
      <c r="B2" s="4" t="s">
        <v>0</v>
      </c>
      <c r="C2" s="5"/>
      <c r="D2" s="2"/>
      <c r="E2" s="6"/>
      <c r="F2" s="6"/>
      <c r="G2" s="305" t="str">
        <f>IF(Inputs!C107="","",Inputs!C107)</f>
        <v>HOLD</v>
      </c>
      <c r="H2" s="305"/>
    </row>
    <row r="3" spans="1:8" ht="15.75" customHeight="1" x14ac:dyDescent="0.35"/>
    <row r="4" spans="1:8" ht="15.75" customHeight="1" x14ac:dyDescent="0.35">
      <c r="B4" s="54" t="s">
        <v>239</v>
      </c>
      <c r="C4" s="217"/>
      <c r="D4" s="217"/>
      <c r="F4" s="12" t="s">
        <v>149</v>
      </c>
    </row>
    <row r="5" spans="1:8" ht="15.75" customHeight="1" x14ac:dyDescent="0.35">
      <c r="B5" s="1" t="s">
        <v>297</v>
      </c>
      <c r="C5" s="13">
        <v>4.2000000000000003E-2</v>
      </c>
      <c r="F5" s="14" t="s">
        <v>148</v>
      </c>
    </row>
    <row r="6" spans="1:8" ht="15.75" customHeight="1" thickBot="1" x14ac:dyDescent="0.4">
      <c r="B6" s="15" t="s">
        <v>145</v>
      </c>
      <c r="C6" s="16">
        <v>5.2299999999999999E-2</v>
      </c>
      <c r="D6" s="17" t="s">
        <v>153</v>
      </c>
      <c r="F6" s="14" t="s">
        <v>143</v>
      </c>
    </row>
    <row r="7" spans="1:8" ht="15.75" customHeight="1" thickTop="1" x14ac:dyDescent="0.35">
      <c r="B7" s="2" t="s">
        <v>205</v>
      </c>
      <c r="C7" s="85">
        <v>7.0000000000000007E-2</v>
      </c>
      <c r="D7" s="86">
        <v>7.5000000000000011E-2</v>
      </c>
      <c r="F7" s="14"/>
    </row>
    <row r="8" spans="1:8" ht="15.75" customHeight="1" x14ac:dyDescent="0.35"/>
    <row r="9" spans="1:8" ht="15.75" customHeight="1" x14ac:dyDescent="0.35">
      <c r="B9" s="1" t="s">
        <v>142</v>
      </c>
      <c r="C9" s="13">
        <v>1.8100000000000002E-2</v>
      </c>
      <c r="F9" s="14" t="s">
        <v>147</v>
      </c>
    </row>
    <row r="10" spans="1:8" ht="15.75" customHeight="1" x14ac:dyDescent="0.35">
      <c r="B10" s="1" t="s">
        <v>150</v>
      </c>
      <c r="C10" s="13">
        <v>6.5000000000000002E-2</v>
      </c>
      <c r="F10" s="14" t="s">
        <v>146</v>
      </c>
    </row>
    <row r="11" spans="1:8" ht="15.75" customHeight="1" thickBot="1" x14ac:dyDescent="0.4">
      <c r="B11" s="15" t="s">
        <v>151</v>
      </c>
      <c r="C11" s="16">
        <v>0.16</v>
      </c>
      <c r="D11" s="18" t="str">
        <f>Inputs!C105</f>
        <v>HK</v>
      </c>
      <c r="F11" s="14" t="s">
        <v>144</v>
      </c>
    </row>
    <row r="12" spans="1:8" ht="15.75" customHeight="1" thickTop="1" x14ac:dyDescent="0.35">
      <c r="B12" s="2" t="s">
        <v>206</v>
      </c>
      <c r="C12" s="84">
        <v>0.08</v>
      </c>
      <c r="D12" s="87"/>
    </row>
    <row r="13" spans="1:8" ht="15.75" customHeight="1" x14ac:dyDescent="0.35"/>
    <row r="14" spans="1:8" ht="15.75" customHeight="1" thickBot="1" x14ac:dyDescent="0.4">
      <c r="B14" s="54" t="s">
        <v>226</v>
      </c>
      <c r="C14" s="217"/>
      <c r="D14" s="217"/>
      <c r="E14" s="2"/>
      <c r="F14" s="54" t="s">
        <v>172</v>
      </c>
      <c r="G14" s="217"/>
      <c r="H14" s="217"/>
    </row>
    <row r="15" spans="1:8" ht="15.75" customHeight="1" thickBot="1" x14ac:dyDescent="0.4">
      <c r="B15" s="19" t="s">
        <v>217</v>
      </c>
      <c r="C15" s="20">
        <f>C16*C17*C18</f>
        <v>0.14687582773640356</v>
      </c>
      <c r="F15" s="2" t="s">
        <v>171</v>
      </c>
      <c r="G15" s="86">
        <v>0.15</v>
      </c>
      <c r="H15" s="221">
        <v>4</v>
      </c>
    </row>
    <row r="16" spans="1:8" ht="15.75" customHeight="1" thickTop="1" x14ac:dyDescent="0.35">
      <c r="B16" s="21" t="s">
        <v>222</v>
      </c>
      <c r="C16" s="22">
        <f>Data!E41</f>
        <v>0.1232807223890198</v>
      </c>
      <c r="F16" s="2"/>
      <c r="G16" s="23"/>
    </row>
    <row r="17" spans="1:8" ht="15.75" customHeight="1" x14ac:dyDescent="0.35">
      <c r="B17" s="24" t="s">
        <v>228</v>
      </c>
      <c r="C17" s="25">
        <f>Data!E63</f>
        <v>0.90933332162498015</v>
      </c>
      <c r="F17" s="54" t="s">
        <v>240</v>
      </c>
      <c r="G17" s="217"/>
      <c r="H17" s="217"/>
    </row>
    <row r="18" spans="1:8" ht="15.75" customHeight="1" thickBot="1" x14ac:dyDescent="0.4">
      <c r="B18" s="26" t="s">
        <v>232</v>
      </c>
      <c r="C18" s="27">
        <f>1/Data!E64</f>
        <v>1.3101832741522048</v>
      </c>
      <c r="F18" s="28" t="s">
        <v>152</v>
      </c>
      <c r="G18" s="29">
        <f>Thesis!C11/(Data!E55*Data!E77/Common_Shares*Exchange_Rate)</f>
        <v>0.63074431148319121</v>
      </c>
    </row>
    <row r="19" spans="1:8" ht="15.75" customHeight="1" x14ac:dyDescent="0.35">
      <c r="B19" s="30" t="s">
        <v>223</v>
      </c>
      <c r="C19" s="31">
        <f>Fin_Analysis!I81</f>
        <v>-3.8885650375487034E-3</v>
      </c>
      <c r="F19" s="28" t="s">
        <v>210</v>
      </c>
      <c r="G19" s="32">
        <f>Thesis!C11/(Fin_Analysis!H86*Thesis!C14)</f>
        <v>0.51253011915970292</v>
      </c>
    </row>
    <row r="20" spans="1:8" ht="15.75" customHeight="1" x14ac:dyDescent="0.35">
      <c r="B20" s="17" t="s">
        <v>224</v>
      </c>
      <c r="C20" s="33">
        <f>Fin_Analysis!I80</f>
        <v>2.5000000000000001E-2</v>
      </c>
      <c r="F20" s="28" t="s">
        <v>141</v>
      </c>
      <c r="G20" s="33">
        <f>Fin_Analysis!I88</f>
        <v>4.0794727284780993E-2</v>
      </c>
    </row>
    <row r="21" spans="1:8" ht="15.75" customHeight="1" x14ac:dyDescent="0.35">
      <c r="B21" s="34" t="s">
        <v>225</v>
      </c>
      <c r="C21" s="33">
        <f>Fin_Analysis!I80+Fin_Analysis!I82</f>
        <v>3.5000000000000003E-2</v>
      </c>
      <c r="F21" s="35" t="s">
        <v>154</v>
      </c>
      <c r="G21" s="36">
        <f>Fin_Analysis!H88*Exchange_Rate/Thesis!C11</f>
        <v>7.9594790159189591E-2</v>
      </c>
    </row>
    <row r="22" spans="1:8" ht="15.75" customHeight="1" x14ac:dyDescent="0.35"/>
    <row r="23" spans="1:8" ht="15.75" customHeight="1" x14ac:dyDescent="0.35">
      <c r="A23" s="3"/>
      <c r="B23" s="37" t="s">
        <v>6</v>
      </c>
      <c r="C23" s="38" t="s">
        <v>137</v>
      </c>
      <c r="D23" s="39" t="s">
        <v>138</v>
      </c>
      <c r="E23" s="40"/>
      <c r="F23" s="41" t="s">
        <v>194</v>
      </c>
      <c r="G23" s="306" t="s">
        <v>209</v>
      </c>
      <c r="H23" s="306"/>
    </row>
    <row r="24" spans="1:8" ht="15.75" customHeight="1" x14ac:dyDescent="0.35">
      <c r="B24" s="2" t="s">
        <v>139</v>
      </c>
      <c r="C24" s="42">
        <f>IF(Fin_Analysis!C117="Profit",Fin_Analysis!D109,IF(Fin_Analysis!C117="Dividend",Fin_Analysis!D112,Fin_Analysis!D115))</f>
        <v>13927.520146264053</v>
      </c>
      <c r="D24" s="43">
        <f>G24*(1+G15)</f>
        <v>32020.42838230895</v>
      </c>
      <c r="E24" s="2"/>
      <c r="F24" s="44">
        <f>IF(Fin_Analysis!C117="Profit",Fin_Analysis!F109,IF(Fin_Analysis!C117="Dividend",Fin_Analysis!F112,Fin_Analysis!F115))</f>
        <v>17593.958583237931</v>
      </c>
      <c r="G24" s="307">
        <f>IF(Fin_Analysis!C117="Profit",Fin_Analysis!I109,IF(Fin_Analysis!C117="Dividend",Fin_Analysis!I112,Fin_Analysis!I115))</f>
        <v>27843.850767225176</v>
      </c>
      <c r="H24" s="307"/>
    </row>
    <row r="25" spans="1:8" ht="15.75" customHeight="1" x14ac:dyDescent="0.35"/>
    <row r="26" spans="1:8" ht="15.75" customHeight="1" x14ac:dyDescent="0.35">
      <c r="A26" s="3"/>
      <c r="B26" s="4" t="s">
        <v>181</v>
      </c>
    </row>
    <row r="27" spans="1:8" ht="15.75" customHeight="1" x14ac:dyDescent="0.35">
      <c r="B27" s="54" t="s">
        <v>182</v>
      </c>
      <c r="C27" s="217"/>
      <c r="D27" s="217"/>
    </row>
    <row r="28" spans="1:8" ht="15.75" customHeight="1" x14ac:dyDescent="0.35">
      <c r="B28" s="45" t="s">
        <v>183</v>
      </c>
      <c r="C28" s="82" t="str">
        <f>Inputs!C85</f>
        <v>Strongly agree</v>
      </c>
    </row>
    <row r="29" spans="1:8" ht="15.75" customHeight="1" x14ac:dyDescent="0.35">
      <c r="B29" s="46" t="s">
        <v>184</v>
      </c>
      <c r="C29" s="47" t="e">
        <f>IF(AND(OR(Fin_Analysis!I26&lt;0.8,Fin_Analysis!I46&lt;0.6),Data!E68&lt;0.8),"Strongly disagree",
IF(AND(OR(Fin_Analysis!I26&lt;1,Fin_Analysis!I46&lt;0.8),Data!E68&lt;1),"unclear", IF(AND(OR(Fin_Analysis!I26&lt;1.4,Fin_Analysis!I46&lt;1.2),Data!E68&lt;1.4),"agree","Strongly agree")))</f>
        <v>#REF!</v>
      </c>
    </row>
    <row r="30" spans="1:8" ht="15.75" customHeight="1" x14ac:dyDescent="0.35">
      <c r="B30" s="54" t="s">
        <v>239</v>
      </c>
      <c r="C30" s="217"/>
      <c r="D30" s="217"/>
    </row>
    <row r="31" spans="1:8" ht="15.75" customHeight="1" x14ac:dyDescent="0.35">
      <c r="B31" s="45" t="s">
        <v>195</v>
      </c>
      <c r="C31" s="82" t="str">
        <f>Inputs!C86</f>
        <v>unclear</v>
      </c>
    </row>
    <row r="32" spans="1:8" ht="15.75" customHeight="1" x14ac:dyDescent="0.35">
      <c r="B32" s="45" t="s">
        <v>196</v>
      </c>
      <c r="C32" s="82" t="str">
        <f>Inputs!C87</f>
        <v>agree</v>
      </c>
    </row>
    <row r="33" spans="1:4" ht="15.75" customHeight="1" x14ac:dyDescent="0.35">
      <c r="B33" s="54" t="s">
        <v>185</v>
      </c>
      <c r="C33" s="217"/>
      <c r="D33" s="217"/>
    </row>
    <row r="34" spans="1:4" ht="15.75" customHeight="1" x14ac:dyDescent="0.35">
      <c r="B34" s="46" t="s">
        <v>186</v>
      </c>
      <c r="C34" s="82" t="str">
        <f>Inputs!C88</f>
        <v>agree</v>
      </c>
    </row>
    <row r="35" spans="1:4" ht="15.75" customHeight="1" x14ac:dyDescent="0.35">
      <c r="B35" s="1" t="s">
        <v>189</v>
      </c>
      <c r="C35" s="82" t="str">
        <f>Inputs!C89</f>
        <v>Strongly agree</v>
      </c>
    </row>
    <row r="36" spans="1:4" ht="15.75" customHeight="1" x14ac:dyDescent="0.35"/>
    <row r="37" spans="1:4" ht="15.75" customHeight="1" x14ac:dyDescent="0.35">
      <c r="A37" s="3"/>
      <c r="B37" s="4" t="s">
        <v>187</v>
      </c>
    </row>
    <row r="38" spans="1:4" ht="58.15" x14ac:dyDescent="0.35">
      <c r="B38" s="48" t="s">
        <v>188</v>
      </c>
      <c r="C38" s="83" t="str">
        <f>Inputs!C90</f>
        <v>Consumer Monopoly</v>
      </c>
    </row>
    <row r="39" spans="1:4" ht="15.75" customHeight="1" x14ac:dyDescent="0.35"/>
    <row r="40" spans="1:4" ht="15.75" customHeight="1" x14ac:dyDescent="0.35"/>
    <row r="41" spans="1:4" ht="15.75" customHeight="1" x14ac:dyDescent="0.35"/>
    <row r="42" spans="1:4" ht="15.75" customHeight="1" x14ac:dyDescent="0.35"/>
    <row r="43" spans="1:4" ht="15.75" customHeight="1" x14ac:dyDescent="0.35"/>
    <row r="44" spans="1:4" ht="15.75" customHeight="1" x14ac:dyDescent="0.35"/>
    <row r="45" spans="1:4" ht="15.75" customHeight="1" x14ac:dyDescent="0.35"/>
    <row r="46" spans="1:4" ht="15.75" customHeight="1" x14ac:dyDescent="0.35"/>
    <row r="47" spans="1:4" ht="15.75" customHeight="1" x14ac:dyDescent="0.35"/>
    <row r="48" spans="1:4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</sheetData>
  <mergeCells count="3">
    <mergeCell ref="G2:H2"/>
    <mergeCell ref="G23:H23"/>
    <mergeCell ref="G24:H24"/>
  </mergeCells>
  <phoneticPr fontId="3" type="noConversion"/>
  <conditionalFormatting sqref="C6:C7 C11:C12">
    <cfRule type="containsBlanks" dxfId="11" priority="5">
      <formula>LEN(TRIM(C6))=0</formula>
    </cfRule>
  </conditionalFormatting>
  <conditionalFormatting sqref="D7">
    <cfRule type="containsBlanks" dxfId="10" priority="3">
      <formula>LEN(TRIM(D7))=0</formula>
    </cfRule>
  </conditionalFormatting>
  <conditionalFormatting sqref="D12">
    <cfRule type="containsBlanks" dxfId="9" priority="2">
      <formula>LEN(TRIM(D12))=0</formula>
    </cfRule>
  </conditionalFormatting>
  <conditionalFormatting sqref="E23">
    <cfRule type="cellIs" dxfId="8" priority="41" operator="greaterThan">
      <formula>#REF!</formula>
    </cfRule>
  </conditionalFormatting>
  <conditionalFormatting sqref="G15">
    <cfRule type="containsBlanks" dxfId="7" priority="1">
      <formula>LEN(TRIM(G15))=0</formula>
    </cfRule>
  </conditionalFormatting>
  <dataValidations count="2">
    <dataValidation type="list" allowBlank="1" sqref="C28:C29 C31:C32 C34:C35" xr:uid="{AFC23D6B-591E-BA4C-B3BE-727ADB8DA907}">
      <formula1>"Strongly agree,agree,unclear,disagree,Strongly disagree"</formula1>
    </dataValidation>
    <dataValidation type="list" allowBlank="1" sqref="C38" xr:uid="{DD5E114B-2D0D-6542-B2CA-EDDAC8AA7C6A}">
      <formula1>"Consumer Monopoly,Unclear,Commodity-type Business"</formula1>
    </dataValidation>
  </dataValidations>
  <hyperlinks>
    <hyperlink ref="F6" r:id="rId1" xr:uid="{05CAC520-89BB-BD4F-AF6D-20DC462EED69}"/>
    <hyperlink ref="F11" r:id="rId2" xr:uid="{343D6FD2-A587-9B4B-AB6E-AD48FE6C7F74}"/>
    <hyperlink ref="F10" r:id="rId3" xr:uid="{7602F69F-AC62-FF4D-B951-375E09EC4A1D}"/>
    <hyperlink ref="F9" r:id="rId4" xr:uid="{0CF3F863-CD82-A442-82A0-DE8716640562}"/>
    <hyperlink ref="F5" r:id="rId5" xr:uid="{1CFA05E6-91A9-9E4A-BC43-C5E90BD0596B}"/>
  </hyperlinks>
  <pageMargins left="0.7" right="0.7" top="0.75" bottom="0.75" header="0" footer="0"/>
  <pageSetup scale="99" orientation="landscape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B6D7A8"/>
    <outlinePr summaryBelow="0" summaryRight="0"/>
    <pageSetUpPr fitToPage="1"/>
  </sheetPr>
  <dimension ref="A2:K117"/>
  <sheetViews>
    <sheetView showGridLines="0" topLeftCell="A4" zoomScaleNormal="100" workbookViewId="0">
      <selection activeCell="C109" sqref="C109"/>
    </sheetView>
  </sheetViews>
  <sheetFormatPr defaultColWidth="12.33203125" defaultRowHeight="15" customHeight="1" x14ac:dyDescent="0.35"/>
  <cols>
    <col min="1" max="1" width="2.33203125" style="1" customWidth="1"/>
    <col min="2" max="2" width="28.6640625" style="1" customWidth="1"/>
    <col min="3" max="6" width="18.6640625" style="1" customWidth="1"/>
    <col min="7" max="7" width="2" style="1" customWidth="1"/>
    <col min="8" max="9" width="18.6640625" style="1" customWidth="1"/>
    <col min="10" max="10" width="4.6640625" style="1" customWidth="1"/>
    <col min="11" max="11" width="38.796875" style="1" customWidth="1"/>
    <col min="12" max="16384" width="12.33203125" style="1"/>
  </cols>
  <sheetData>
    <row r="2" spans="1:11" ht="15" customHeight="1" x14ac:dyDescent="0.35">
      <c r="A2" s="104"/>
      <c r="B2" s="105" t="s">
        <v>243</v>
      </c>
      <c r="C2" s="105"/>
      <c r="D2" s="106"/>
      <c r="E2" s="2"/>
      <c r="F2" s="6"/>
      <c r="G2" s="6"/>
      <c r="H2" s="6"/>
      <c r="I2" s="2"/>
      <c r="K2" s="107" t="s">
        <v>7</v>
      </c>
    </row>
    <row r="3" spans="1:11" ht="15" customHeight="1" x14ac:dyDescent="0.35">
      <c r="B3" s="8" t="s">
        <v>16</v>
      </c>
      <c r="C3" s="2"/>
      <c r="D3" s="108">
        <f>Inputs!C22</f>
        <v>12863898</v>
      </c>
      <c r="E3" s="109" t="str">
        <f>IF((C49-I49)=D3,"", "Error!")</f>
        <v/>
      </c>
      <c r="F3" s="2"/>
      <c r="G3" s="2"/>
      <c r="H3" s="110" t="s">
        <v>17</v>
      </c>
      <c r="I3" s="111">
        <f>D3-D4</f>
        <v>12890860</v>
      </c>
      <c r="K3" s="51"/>
    </row>
    <row r="4" spans="1:11" ht="15" customHeight="1" x14ac:dyDescent="0.35">
      <c r="B4" s="8" t="s">
        <v>18</v>
      </c>
      <c r="C4" s="2"/>
      <c r="D4" s="97">
        <f>Inputs!C70</f>
        <v>-26962</v>
      </c>
      <c r="E4" s="112"/>
      <c r="F4" s="2"/>
      <c r="G4" s="2"/>
      <c r="H4" s="113"/>
      <c r="I4" s="101"/>
      <c r="K4" s="51"/>
    </row>
    <row r="5" spans="1:11" ht="15" customHeight="1" x14ac:dyDescent="0.35">
      <c r="C5" s="2"/>
      <c r="D5" s="2"/>
      <c r="E5" s="114" t="s">
        <v>19</v>
      </c>
      <c r="H5" s="1" t="s">
        <v>20</v>
      </c>
      <c r="I5" s="115">
        <f>C28/I28</f>
        <v>3.5066755118062995</v>
      </c>
      <c r="K5" s="51"/>
    </row>
    <row r="6" spans="1:11" ht="15" customHeight="1" thickBot="1" x14ac:dyDescent="0.4">
      <c r="B6" s="45" t="str">
        <f>"Adj. Net Asset in "&amp;Thesis!C13</f>
        <v>Adj. Net Asset in HKD</v>
      </c>
      <c r="C6" s="2"/>
      <c r="D6" s="116">
        <f>(E49-I49-E53)</f>
        <v>3511699.0500000007</v>
      </c>
      <c r="E6" s="117">
        <f>1-D6/D3</f>
        <v>0.72701127994018599</v>
      </c>
      <c r="F6" s="2"/>
      <c r="G6" s="2"/>
      <c r="H6" s="1" t="s">
        <v>21</v>
      </c>
      <c r="I6" s="115">
        <f>(C24+C25)/I28</f>
        <v>0.74800394334750619</v>
      </c>
      <c r="J6" s="2"/>
      <c r="K6" s="51"/>
    </row>
    <row r="7" spans="1:11" ht="15" customHeight="1" thickTop="1" x14ac:dyDescent="0.35">
      <c r="B7" s="46" t="str">
        <f>"Adj. Net Asset per Shares in "&amp;Thesis!D11</f>
        <v>Adj. Net Asset per Shares in HKD</v>
      </c>
      <c r="C7" s="2"/>
      <c r="D7" s="118">
        <f>MAX((D6*Exchange_Rate*Data!E77)/Common_Shares, 0)</f>
        <v>5.9813525743183318</v>
      </c>
      <c r="E7" s="114" t="str">
        <f>Thesis!D11</f>
        <v>HKD</v>
      </c>
      <c r="H7" s="1" t="s">
        <v>22</v>
      </c>
      <c r="I7" s="115">
        <f>C24/I28</f>
        <v>0.64376313868623514</v>
      </c>
      <c r="J7" s="2"/>
      <c r="K7" s="119"/>
    </row>
    <row r="8" spans="1:11" ht="15" customHeight="1" x14ac:dyDescent="0.35">
      <c r="C8" s="2"/>
      <c r="D8" s="2"/>
      <c r="E8" s="2"/>
      <c r="K8" s="51"/>
    </row>
    <row r="9" spans="1:11" ht="15" customHeight="1" x14ac:dyDescent="0.35">
      <c r="A9" s="104"/>
      <c r="B9" s="120" t="s">
        <v>23</v>
      </c>
      <c r="C9" s="7"/>
      <c r="D9" s="251">
        <f>Inputs!C104</f>
        <v>45382</v>
      </c>
      <c r="E9" s="92" t="str">
        <f>IF(MONTH(D9)=MONTH(Data!E76),"FY","Quarter")</f>
        <v>FY</v>
      </c>
      <c r="F9" s="7"/>
      <c r="G9" s="7"/>
      <c r="H9" s="7"/>
      <c r="I9" s="7"/>
      <c r="K9" s="51"/>
    </row>
    <row r="10" spans="1:11" ht="15" customHeight="1" x14ac:dyDescent="0.35">
      <c r="B10" s="54" t="s">
        <v>242</v>
      </c>
      <c r="C10" s="52" t="s">
        <v>24</v>
      </c>
      <c r="D10" s="52" t="s">
        <v>156</v>
      </c>
      <c r="E10" s="52" t="s">
        <v>25</v>
      </c>
      <c r="F10" s="55" t="s">
        <v>26</v>
      </c>
      <c r="G10" s="2"/>
      <c r="H10" s="54" t="s">
        <v>249</v>
      </c>
      <c r="I10" s="52" t="s">
        <v>24</v>
      </c>
      <c r="K10" s="51"/>
    </row>
    <row r="11" spans="1:11" ht="15" customHeight="1" x14ac:dyDescent="0.35">
      <c r="B11" s="8" t="s">
        <v>27</v>
      </c>
      <c r="C11" s="128">
        <f>Inputs!C32</f>
        <v>1998219</v>
      </c>
      <c r="D11" s="204">
        <f>Inputs!D32</f>
        <v>0.9</v>
      </c>
      <c r="E11" s="122">
        <f t="shared" ref="E11:E22" si="0">C11*D11</f>
        <v>1798397.1</v>
      </c>
      <c r="F11" s="206"/>
      <c r="G11" s="2"/>
      <c r="H11" s="8" t="s">
        <v>28</v>
      </c>
      <c r="I11" s="121">
        <f>Inputs!C57</f>
        <v>1427805</v>
      </c>
      <c r="J11" s="2"/>
      <c r="K11" s="51"/>
    </row>
    <row r="12" spans="1:11" ht="11.65" x14ac:dyDescent="0.35">
      <c r="B12" s="1" t="s">
        <v>116</v>
      </c>
      <c r="C12" s="128">
        <f>Inputs!C33</f>
        <v>0</v>
      </c>
      <c r="D12" s="204">
        <f>Inputs!D33</f>
        <v>0.8</v>
      </c>
      <c r="E12" s="122">
        <f t="shared" si="0"/>
        <v>0</v>
      </c>
      <c r="F12" s="206"/>
      <c r="G12" s="2"/>
      <c r="H12" s="8" t="s">
        <v>29</v>
      </c>
      <c r="I12" s="121">
        <f>Inputs!C58</f>
        <v>287697</v>
      </c>
      <c r="J12" s="2"/>
      <c r="K12" s="51"/>
    </row>
    <row r="13" spans="1:11" ht="11.65" x14ac:dyDescent="0.35">
      <c r="B13" s="8" t="s">
        <v>99</v>
      </c>
      <c r="C13" s="128">
        <f>Inputs!C34</f>
        <v>265773</v>
      </c>
      <c r="D13" s="204">
        <f>Inputs!D34</f>
        <v>0.6</v>
      </c>
      <c r="E13" s="122">
        <f t="shared" si="0"/>
        <v>159463.79999999999</v>
      </c>
      <c r="F13" s="206"/>
      <c r="G13" s="2"/>
      <c r="H13" s="8" t="s">
        <v>30</v>
      </c>
      <c r="I13" s="121">
        <f>Inputs!C59</f>
        <v>0</v>
      </c>
      <c r="J13" s="2"/>
      <c r="K13" s="123"/>
    </row>
    <row r="14" spans="1:11" ht="11.65" x14ac:dyDescent="0.35">
      <c r="B14" s="8" t="s">
        <v>31</v>
      </c>
      <c r="C14" s="128">
        <f>Inputs!C35</f>
        <v>0</v>
      </c>
      <c r="D14" s="204">
        <f>Inputs!D35</f>
        <v>0.6</v>
      </c>
      <c r="E14" s="122">
        <f t="shared" si="0"/>
        <v>0</v>
      </c>
      <c r="F14" s="206"/>
      <c r="G14" s="2"/>
      <c r="H14" s="7" t="s">
        <v>32</v>
      </c>
      <c r="I14" s="124">
        <f>Inputs!C60</f>
        <v>0</v>
      </c>
      <c r="J14" s="2"/>
      <c r="K14" s="125"/>
    </row>
    <row r="15" spans="1:11" ht="11.65" x14ac:dyDescent="0.35">
      <c r="B15" s="8" t="s">
        <v>33</v>
      </c>
      <c r="C15" s="128">
        <f>Inputs!C36</f>
        <v>0</v>
      </c>
      <c r="D15" s="204">
        <f>Inputs!D36</f>
        <v>0.5</v>
      </c>
      <c r="E15" s="122">
        <f t="shared" si="0"/>
        <v>0</v>
      </c>
      <c r="F15" s="206"/>
      <c r="G15" s="2"/>
      <c r="H15" s="1" t="s">
        <v>43</v>
      </c>
      <c r="I15" s="126">
        <f>SUM(I11:I14)</f>
        <v>1715502</v>
      </c>
      <c r="J15" s="2"/>
    </row>
    <row r="16" spans="1:11" ht="11.65" x14ac:dyDescent="0.35">
      <c r="B16" s="1" t="s">
        <v>132</v>
      </c>
      <c r="C16" s="128">
        <f>Inputs!C37</f>
        <v>0</v>
      </c>
      <c r="D16" s="204">
        <f>Inputs!D37</f>
        <v>0.6</v>
      </c>
      <c r="E16" s="122">
        <f t="shared" si="0"/>
        <v>0</v>
      </c>
      <c r="F16" s="206"/>
      <c r="G16" s="127"/>
      <c r="H16" s="8"/>
      <c r="I16" s="121"/>
      <c r="J16" s="2"/>
    </row>
    <row r="17" spans="2:10" ht="11.65" x14ac:dyDescent="0.35">
      <c r="B17" s="8" t="s">
        <v>100</v>
      </c>
      <c r="C17" s="128">
        <f>Inputs!C38</f>
        <v>366595</v>
      </c>
      <c r="D17" s="204">
        <f>Inputs!D38</f>
        <v>0.1</v>
      </c>
      <c r="E17" s="122">
        <f t="shared" si="0"/>
        <v>36659.5</v>
      </c>
      <c r="F17" s="206"/>
      <c r="G17" s="2"/>
      <c r="H17" s="8"/>
      <c r="I17" s="121"/>
      <c r="J17" s="2"/>
    </row>
    <row r="18" spans="2:10" ht="11.65" x14ac:dyDescent="0.35">
      <c r="B18" s="8" t="s">
        <v>36</v>
      </c>
      <c r="C18" s="128">
        <f>Inputs!C39</f>
        <v>9672256</v>
      </c>
      <c r="D18" s="204">
        <f>Inputs!D39</f>
        <v>0.5</v>
      </c>
      <c r="E18" s="122">
        <f t="shared" si="0"/>
        <v>4836128</v>
      </c>
      <c r="F18" s="206"/>
      <c r="G18" s="2"/>
      <c r="H18" s="2"/>
      <c r="I18" s="2"/>
    </row>
    <row r="19" spans="2:10" ht="11.65" x14ac:dyDescent="0.35">
      <c r="B19" s="1" t="s">
        <v>37</v>
      </c>
      <c r="C19" s="128">
        <f>Inputs!C40</f>
        <v>0</v>
      </c>
      <c r="D19" s="204">
        <f>Inputs!D40</f>
        <v>0.6</v>
      </c>
      <c r="E19" s="122">
        <f t="shared" si="0"/>
        <v>0</v>
      </c>
      <c r="F19" s="206" t="str">
        <f>Inputs!E40</f>
        <v>N</v>
      </c>
      <c r="G19" s="127">
        <f>IF(F19="Y",0,1)</f>
        <v>1</v>
      </c>
    </row>
    <row r="20" spans="2:10" ht="11.65" x14ac:dyDescent="0.35">
      <c r="B20" s="8" t="s">
        <v>102</v>
      </c>
      <c r="C20" s="128">
        <f>Inputs!C41</f>
        <v>0</v>
      </c>
      <c r="D20" s="204">
        <f>Inputs!D41</f>
        <v>0.6</v>
      </c>
      <c r="E20" s="122">
        <f t="shared" si="0"/>
        <v>0</v>
      </c>
      <c r="F20" s="206" t="str">
        <f>Inputs!E41</f>
        <v>Y</v>
      </c>
      <c r="G20" s="127">
        <f>IF(F20="Y",0,1)</f>
        <v>0</v>
      </c>
      <c r="H20" s="8"/>
      <c r="I20" s="121"/>
    </row>
    <row r="21" spans="2:10" ht="11.65" x14ac:dyDescent="0.35">
      <c r="B21" s="8" t="s">
        <v>39</v>
      </c>
      <c r="C21" s="128">
        <f>Inputs!C42</f>
        <v>29465</v>
      </c>
      <c r="D21" s="204">
        <f>Inputs!D42</f>
        <v>0.9</v>
      </c>
      <c r="E21" s="122">
        <f t="shared" si="0"/>
        <v>26518.5</v>
      </c>
      <c r="F21" s="206"/>
      <c r="G21" s="2"/>
      <c r="H21" s="8"/>
      <c r="I21" s="121"/>
    </row>
    <row r="22" spans="2:10" ht="15" customHeight="1" x14ac:dyDescent="0.35">
      <c r="B22" s="8" t="s">
        <v>40</v>
      </c>
      <c r="C22" s="128">
        <f>Inputs!C43</f>
        <v>0</v>
      </c>
      <c r="D22" s="204">
        <f>Inputs!D43</f>
        <v>0.05</v>
      </c>
      <c r="E22" s="122">
        <f t="shared" si="0"/>
        <v>0</v>
      </c>
      <c r="F22" s="206"/>
      <c r="G22" s="2"/>
      <c r="H22" s="8" t="s">
        <v>34</v>
      </c>
      <c r="I22" s="128">
        <f>I28-SUM(I11:I14)</f>
        <v>1801307</v>
      </c>
    </row>
    <row r="23" spans="2:10" ht="15" customHeight="1" x14ac:dyDescent="0.35">
      <c r="C23" s="2"/>
      <c r="D23" s="2"/>
      <c r="E23" s="2"/>
      <c r="F23" s="55" t="s">
        <v>41</v>
      </c>
      <c r="G23" s="2"/>
    </row>
    <row r="24" spans="2:10" ht="15" customHeight="1" x14ac:dyDescent="0.35">
      <c r="B24" s="129" t="s">
        <v>42</v>
      </c>
      <c r="C24" s="130">
        <f>SUM(C11:C14)</f>
        <v>2263992</v>
      </c>
      <c r="D24" s="131">
        <f>IF(E24=0,0,E24/C24)</f>
        <v>0.86478260523888784</v>
      </c>
      <c r="E24" s="122">
        <f>SUM(E11:E14)</f>
        <v>1957860.9000000001</v>
      </c>
      <c r="F24" s="132">
        <f>E24/$E$28</f>
        <v>0.28552038014416714</v>
      </c>
      <c r="G24" s="2"/>
    </row>
    <row r="25" spans="2:10" ht="15" customHeight="1" x14ac:dyDescent="0.35">
      <c r="B25" s="129" t="s">
        <v>44</v>
      </c>
      <c r="C25" s="130">
        <f>SUM(C15:C17)</f>
        <v>366595</v>
      </c>
      <c r="D25" s="131">
        <f>IF(E25=0,0,E25/C25)</f>
        <v>0.1</v>
      </c>
      <c r="E25" s="122">
        <f>SUM(E15:E17)</f>
        <v>36659.5</v>
      </c>
      <c r="F25" s="132">
        <f>E25/$E$28</f>
        <v>5.3461583383656594E-3</v>
      </c>
      <c r="G25" s="2"/>
      <c r="H25" s="129" t="s">
        <v>45</v>
      </c>
      <c r="I25" s="115">
        <f>E28/I28</f>
        <v>1.9498263624780305</v>
      </c>
    </row>
    <row r="26" spans="2:10" ht="15" customHeight="1" x14ac:dyDescent="0.35">
      <c r="B26" s="129" t="s">
        <v>46</v>
      </c>
      <c r="C26" s="130">
        <f>C18+C19+C20</f>
        <v>9672256</v>
      </c>
      <c r="D26" s="131">
        <f>IF(E26=0,0,E26/C26)</f>
        <v>0.5</v>
      </c>
      <c r="E26" s="122">
        <f>E18+E19+E20</f>
        <v>4836128</v>
      </c>
      <c r="F26" s="132">
        <f>E26/$E$28</f>
        <v>0.70526619382707456</v>
      </c>
      <c r="G26" s="2"/>
      <c r="H26" s="129" t="s">
        <v>47</v>
      </c>
      <c r="I26" s="115">
        <f>E24/($I$28-I22)</f>
        <v>1.1412757898271177</v>
      </c>
      <c r="J26" s="133" t="str">
        <f>IF(I26&lt;1,"Liquidity Problem!","")</f>
        <v/>
      </c>
    </row>
    <row r="27" spans="2:10" ht="15" customHeight="1" x14ac:dyDescent="0.35">
      <c r="B27" s="129" t="s">
        <v>48</v>
      </c>
      <c r="C27" s="67">
        <f>C21+C22</f>
        <v>29465</v>
      </c>
      <c r="D27" s="131">
        <f>IF(E27=0,0,E27/C27)</f>
        <v>0.9</v>
      </c>
      <c r="E27" s="122">
        <f>E21+E22</f>
        <v>26518.5</v>
      </c>
      <c r="F27" s="132">
        <f>E27/$E$28</f>
        <v>3.8672676903926603E-3</v>
      </c>
      <c r="G27" s="2"/>
      <c r="H27" s="129" t="s">
        <v>49</v>
      </c>
      <c r="I27" s="115">
        <f>(E25+E24)/$I$28</f>
        <v>0.56713924469597299</v>
      </c>
      <c r="J27" s="133" t="str">
        <f>IF(OR(I27&lt;0.75,C28&lt;I28),"Liquidity Issue!","")</f>
        <v>Liquidity Issue!</v>
      </c>
    </row>
    <row r="28" spans="2:10" ht="15" customHeight="1" x14ac:dyDescent="0.35">
      <c r="B28" s="134" t="s">
        <v>14</v>
      </c>
      <c r="C28" s="135">
        <f>SUM(C11:C22)</f>
        <v>12332308</v>
      </c>
      <c r="D28" s="136">
        <f>E28/C28</f>
        <v>0.55603273126165842</v>
      </c>
      <c r="E28" s="137">
        <f>SUM(E24:E27)</f>
        <v>6857166.9000000004</v>
      </c>
      <c r="F28" s="57"/>
      <c r="G28" s="2"/>
      <c r="H28" s="134" t="s">
        <v>15</v>
      </c>
      <c r="I28" s="108">
        <f>Inputs!C61</f>
        <v>3516809</v>
      </c>
      <c r="J28" s="138">
        <f>IF(J26="",1,0)+IF(J27="",1,0)+IF(J46="",1,0)+IF(J47="",1,0)</f>
        <v>2</v>
      </c>
    </row>
    <row r="29" spans="2:10" ht="15" customHeight="1" x14ac:dyDescent="0.35">
      <c r="C29" s="2"/>
      <c r="D29" s="2"/>
      <c r="E29" s="2"/>
      <c r="F29" s="57" t="s">
        <v>26</v>
      </c>
      <c r="G29" s="2"/>
      <c r="H29" s="2"/>
      <c r="I29" s="2"/>
      <c r="J29" s="2"/>
    </row>
    <row r="30" spans="2:10" ht="15" customHeight="1" x14ac:dyDescent="0.35">
      <c r="B30" s="8" t="s">
        <v>50</v>
      </c>
      <c r="C30" s="128">
        <f>Inputs!C44</f>
        <v>0</v>
      </c>
      <c r="D30" s="204">
        <f>Inputs!D44</f>
        <v>0.8</v>
      </c>
      <c r="E30" s="122">
        <v>0</v>
      </c>
      <c r="F30" s="206"/>
      <c r="G30" s="2"/>
      <c r="H30" s="8" t="s">
        <v>51</v>
      </c>
      <c r="I30" s="121">
        <f>Inputs!C62</f>
        <v>0</v>
      </c>
      <c r="J30" s="2"/>
    </row>
    <row r="31" spans="2:10" ht="15" customHeight="1" x14ac:dyDescent="0.35">
      <c r="B31" s="8" t="s">
        <v>52</v>
      </c>
      <c r="C31" s="128">
        <f>Inputs!C45</f>
        <v>0</v>
      </c>
      <c r="D31" s="204">
        <f>Inputs!D45</f>
        <v>0.6</v>
      </c>
      <c r="E31" s="122">
        <f t="shared" ref="E31:E42" si="1">C31*D31</f>
        <v>0</v>
      </c>
      <c r="F31" s="206"/>
      <c r="G31" s="2"/>
      <c r="H31" s="8" t="s">
        <v>53</v>
      </c>
      <c r="I31" s="121">
        <f>Inputs!C63</f>
        <v>319420</v>
      </c>
      <c r="J31" s="2"/>
    </row>
    <row r="32" spans="2:10" ht="15" customHeight="1" x14ac:dyDescent="0.35">
      <c r="B32" s="8" t="s">
        <v>54</v>
      </c>
      <c r="C32" s="128">
        <f>Inputs!C46</f>
        <v>0</v>
      </c>
      <c r="D32" s="204">
        <f>Inputs!D46</f>
        <v>0.5</v>
      </c>
      <c r="E32" s="122">
        <f t="shared" si="1"/>
        <v>0</v>
      </c>
      <c r="F32" s="206"/>
      <c r="G32" s="2"/>
      <c r="H32" s="8" t="s">
        <v>55</v>
      </c>
      <c r="I32" s="121">
        <f>Inputs!C64</f>
        <v>0</v>
      </c>
      <c r="J32" s="2"/>
    </row>
    <row r="33" spans="2:10" ht="11.65" x14ac:dyDescent="0.35">
      <c r="B33" s="1" t="s">
        <v>133</v>
      </c>
      <c r="C33" s="128">
        <f>Inputs!C47</f>
        <v>0</v>
      </c>
      <c r="D33" s="204">
        <f>Inputs!D47</f>
        <v>0.5</v>
      </c>
      <c r="E33" s="122">
        <f t="shared" si="1"/>
        <v>0</v>
      </c>
      <c r="F33" s="206"/>
      <c r="G33" s="127">
        <f>IF(F33="Y",0,1)</f>
        <v>1</v>
      </c>
      <c r="H33" s="7" t="s">
        <v>56</v>
      </c>
      <c r="I33" s="124">
        <f>Inputs!C65</f>
        <v>0</v>
      </c>
      <c r="J33" s="2"/>
    </row>
    <row r="34" spans="2:10" ht="11.65" x14ac:dyDescent="0.35">
      <c r="B34" s="8" t="s">
        <v>57</v>
      </c>
      <c r="C34" s="128">
        <f>Inputs!C48</f>
        <v>103050</v>
      </c>
      <c r="D34" s="204">
        <f>Inputs!D48</f>
        <v>0.4</v>
      </c>
      <c r="E34" s="122">
        <f t="shared" si="1"/>
        <v>41220</v>
      </c>
      <c r="F34" s="206"/>
      <c r="G34" s="2"/>
      <c r="H34" s="1" t="s">
        <v>67</v>
      </c>
      <c r="I34" s="126">
        <f>SUM(I30:I33)</f>
        <v>319420</v>
      </c>
      <c r="J34" s="2"/>
    </row>
    <row r="35" spans="2:10" ht="11.65" x14ac:dyDescent="0.35">
      <c r="B35" s="8" t="s">
        <v>59</v>
      </c>
      <c r="C35" s="128">
        <f>Inputs!C49</f>
        <v>0</v>
      </c>
      <c r="D35" s="204">
        <f>Inputs!D49</f>
        <v>0.1</v>
      </c>
      <c r="E35" s="122">
        <f t="shared" si="1"/>
        <v>0</v>
      </c>
      <c r="F35" s="206" t="str">
        <f>Inputs!E49</f>
        <v>N</v>
      </c>
      <c r="G35" s="127">
        <f>IF(F35="Y",0,1)</f>
        <v>1</v>
      </c>
      <c r="J35" s="2"/>
    </row>
    <row r="36" spans="2:10" ht="11.65" x14ac:dyDescent="0.35">
      <c r="B36" s="8" t="s">
        <v>61</v>
      </c>
      <c r="C36" s="128">
        <f>Inputs!C50</f>
        <v>925726</v>
      </c>
      <c r="D36" s="204">
        <f>Inputs!D50</f>
        <v>0.2</v>
      </c>
      <c r="E36" s="122">
        <f t="shared" si="1"/>
        <v>185145.2</v>
      </c>
      <c r="F36" s="206" t="str">
        <f>Inputs!E50</f>
        <v>N</v>
      </c>
      <c r="G36" s="127">
        <f>IF(F36="Y",0,1)</f>
        <v>1</v>
      </c>
      <c r="H36" s="2"/>
      <c r="I36" s="2"/>
    </row>
    <row r="37" spans="2:10" ht="11.65" x14ac:dyDescent="0.35">
      <c r="B37" s="1" t="s">
        <v>38</v>
      </c>
      <c r="C37" s="128">
        <f>Inputs!C51</f>
        <v>0</v>
      </c>
      <c r="D37" s="204">
        <f>Inputs!D51</f>
        <v>0.1</v>
      </c>
      <c r="E37" s="122">
        <f t="shared" si="1"/>
        <v>0</v>
      </c>
      <c r="F37" s="206" t="str">
        <f>Inputs!E51</f>
        <v>Y</v>
      </c>
      <c r="G37" s="127">
        <f>IF(F37="Y",0,1)</f>
        <v>0</v>
      </c>
      <c r="H37" s="2"/>
      <c r="I37" s="2"/>
    </row>
    <row r="38" spans="2:10" ht="15" customHeight="1" x14ac:dyDescent="0.35">
      <c r="B38" s="8" t="s">
        <v>101</v>
      </c>
      <c r="C38" s="128">
        <f>Inputs!C52</f>
        <v>2522337</v>
      </c>
      <c r="D38" s="204">
        <f>Inputs!D52</f>
        <v>0.1</v>
      </c>
      <c r="E38" s="122">
        <f t="shared" si="1"/>
        <v>252233.7</v>
      </c>
      <c r="F38" s="206"/>
      <c r="G38" s="2"/>
      <c r="H38" s="2"/>
      <c r="I38" s="2"/>
    </row>
    <row r="39" spans="2:10" ht="11.65" x14ac:dyDescent="0.35">
      <c r="B39" s="8" t="s">
        <v>62</v>
      </c>
      <c r="C39" s="128">
        <f>Inputs!C53</f>
        <v>0</v>
      </c>
      <c r="D39" s="204">
        <f>Inputs!D53</f>
        <v>0.05</v>
      </c>
      <c r="E39" s="122">
        <f t="shared" si="1"/>
        <v>0</v>
      </c>
      <c r="F39" s="206"/>
      <c r="G39" s="2"/>
      <c r="H39" s="2"/>
      <c r="I39" s="2"/>
    </row>
    <row r="40" spans="2:10" ht="15" customHeight="1" x14ac:dyDescent="0.35">
      <c r="B40" s="8" t="s">
        <v>63</v>
      </c>
      <c r="C40" s="128">
        <f>Inputs!C54</f>
        <v>538321</v>
      </c>
      <c r="D40" s="204">
        <f>Inputs!D54</f>
        <v>0.05</v>
      </c>
      <c r="E40" s="122">
        <f t="shared" si="1"/>
        <v>26916.050000000003</v>
      </c>
      <c r="F40" s="206"/>
      <c r="G40" s="2"/>
      <c r="H40" s="2"/>
      <c r="I40" s="2"/>
    </row>
    <row r="41" spans="2:10" ht="15" customHeight="1" x14ac:dyDescent="0.35">
      <c r="B41" s="8" t="s">
        <v>64</v>
      </c>
      <c r="C41" s="128">
        <f>Inputs!C55</f>
        <v>154648</v>
      </c>
      <c r="D41" s="204">
        <f>Inputs!D55</f>
        <v>0.9</v>
      </c>
      <c r="E41" s="122">
        <f t="shared" si="1"/>
        <v>139183.20000000001</v>
      </c>
      <c r="F41" s="206"/>
      <c r="G41" s="2"/>
      <c r="H41" s="2"/>
      <c r="I41" s="2"/>
    </row>
    <row r="42" spans="2:10" ht="15" customHeight="1" x14ac:dyDescent="0.35">
      <c r="B42" s="8" t="s">
        <v>65</v>
      </c>
      <c r="C42" s="128">
        <f>Inputs!C56</f>
        <v>277674</v>
      </c>
      <c r="D42" s="204">
        <f>Inputs!D56</f>
        <v>0</v>
      </c>
      <c r="E42" s="122">
        <f t="shared" si="1"/>
        <v>0</v>
      </c>
      <c r="F42" s="206"/>
      <c r="G42" s="2"/>
      <c r="H42" s="8" t="s">
        <v>58</v>
      </c>
      <c r="I42" s="128">
        <f>I48-SUM(I30:I33)</f>
        <v>153937</v>
      </c>
    </row>
    <row r="43" spans="2:10" ht="15" customHeight="1" x14ac:dyDescent="0.35">
      <c r="C43" s="2"/>
      <c r="D43" s="2"/>
      <c r="E43" s="2"/>
      <c r="F43" s="2"/>
      <c r="G43" s="2"/>
      <c r="H43" s="2"/>
      <c r="I43" s="2"/>
    </row>
    <row r="44" spans="2:10" ht="15" customHeight="1" x14ac:dyDescent="0.35">
      <c r="B44" s="129" t="s">
        <v>66</v>
      </c>
      <c r="C44" s="130">
        <f>SUM(C30:C31)</f>
        <v>0</v>
      </c>
      <c r="D44" s="131">
        <f>IF(E44=0,0,E44/C44)</f>
        <v>0</v>
      </c>
      <c r="E44" s="122">
        <f>SUM(E30:E31)</f>
        <v>0</v>
      </c>
      <c r="F44" s="139"/>
      <c r="G44" s="2"/>
    </row>
    <row r="45" spans="2:10" ht="15" customHeight="1" x14ac:dyDescent="0.35">
      <c r="B45" s="129" t="s">
        <v>68</v>
      </c>
      <c r="C45" s="130">
        <f>SUM(C32:C35)</f>
        <v>103050</v>
      </c>
      <c r="D45" s="131">
        <f>IF(E45=0,0,E45/C45)</f>
        <v>0.4</v>
      </c>
      <c r="E45" s="122">
        <f>SUM(E32:E35)</f>
        <v>41220</v>
      </c>
      <c r="F45" s="139"/>
      <c r="G45" s="2"/>
    </row>
    <row r="46" spans="2:10" ht="15" customHeight="1" x14ac:dyDescent="0.35">
      <c r="B46" s="129" t="s">
        <v>69</v>
      </c>
      <c r="C46" s="130">
        <f>C36+C37+C38+C39</f>
        <v>3448063</v>
      </c>
      <c r="D46" s="131">
        <f>IF(E46=0,0,E46/C46)</f>
        <v>0.12684771130921912</v>
      </c>
      <c r="E46" s="122">
        <f>E36+E37+E38+E39</f>
        <v>437378.9</v>
      </c>
      <c r="F46" s="2"/>
      <c r="G46" s="2"/>
      <c r="H46" s="129" t="s">
        <v>70</v>
      </c>
      <c r="I46" s="115">
        <f>(E44+E24)/E64</f>
        <v>0.96213068609017949</v>
      </c>
      <c r="J46" s="133" t="str">
        <f>IF(I46&lt;1,"Liquidity Problem!","")</f>
        <v>Liquidity Problem!</v>
      </c>
    </row>
    <row r="47" spans="2:10" ht="15" customHeight="1" x14ac:dyDescent="0.35">
      <c r="B47" s="129" t="s">
        <v>71</v>
      </c>
      <c r="C47" s="130">
        <f>C40+C41+C42</f>
        <v>970643</v>
      </c>
      <c r="D47" s="131">
        <f>IF(E47=0,0,E47/C47)</f>
        <v>0.17112290512577744</v>
      </c>
      <c r="E47" s="122">
        <f>E40+E41+E42</f>
        <v>166099.25</v>
      </c>
      <c r="F47" s="2"/>
      <c r="G47" s="2"/>
      <c r="H47" s="129" t="s">
        <v>72</v>
      </c>
      <c r="I47" s="115">
        <f>(E44+E45+E24+E25)/$I$49</f>
        <v>0.51018940064147711</v>
      </c>
      <c r="J47" s="133" t="str">
        <f>IF(OR(I47&lt;0.5,C49&lt;I49),"Liquidity Issue!","")</f>
        <v/>
      </c>
    </row>
    <row r="48" spans="2:10" ht="15" customHeight="1" thickBot="1" x14ac:dyDescent="0.4">
      <c r="B48" s="61" t="s">
        <v>73</v>
      </c>
      <c r="C48" s="140">
        <f>SUM(C30:C42)</f>
        <v>4521756</v>
      </c>
      <c r="D48" s="141">
        <f>E48/C48</f>
        <v>0.1425769435590952</v>
      </c>
      <c r="E48" s="142">
        <f>SUM(E30:E42)</f>
        <v>644698.15</v>
      </c>
      <c r="F48" s="2"/>
      <c r="G48" s="2"/>
      <c r="H48" s="61" t="s">
        <v>74</v>
      </c>
      <c r="I48" s="143">
        <f>I49-I28</f>
        <v>473357</v>
      </c>
      <c r="J48" s="133"/>
    </row>
    <row r="49" spans="2:11" ht="15" customHeight="1" thickTop="1" x14ac:dyDescent="0.35">
      <c r="B49" s="8" t="s">
        <v>13</v>
      </c>
      <c r="C49" s="130">
        <f>Inputs!C22+Inputs!C21</f>
        <v>16854064</v>
      </c>
      <c r="D49" s="117">
        <f>E49/C49</f>
        <v>0.44510718898421181</v>
      </c>
      <c r="E49" s="122">
        <f>E28+E48</f>
        <v>7501865.0500000007</v>
      </c>
      <c r="F49" s="2"/>
      <c r="G49" s="2"/>
      <c r="H49" s="8" t="s">
        <v>75</v>
      </c>
      <c r="I49" s="121">
        <f>Inputs!C21</f>
        <v>3990166</v>
      </c>
      <c r="J49" s="2"/>
    </row>
    <row r="50" spans="2:11" ht="15" customHeight="1" x14ac:dyDescent="0.35">
      <c r="C50" s="2"/>
      <c r="D50" s="2"/>
      <c r="E50" s="2"/>
      <c r="I50" s="2"/>
    </row>
    <row r="51" spans="2:11" ht="11.65" x14ac:dyDescent="0.35">
      <c r="B51" s="54" t="s">
        <v>241</v>
      </c>
      <c r="C51" s="217"/>
      <c r="D51" s="217"/>
    </row>
    <row r="52" spans="2:11" ht="11.65" x14ac:dyDescent="0.35">
      <c r="B52" s="144" t="s">
        <v>76</v>
      </c>
      <c r="C52" s="2"/>
      <c r="D52" s="52" t="str">
        <f>IF(E53=D4,"BV of the MI","P/B Approach")</f>
        <v>P/B Approach</v>
      </c>
      <c r="E52" s="2"/>
      <c r="F52" s="2"/>
      <c r="G52" s="2"/>
      <c r="I52" s="2"/>
      <c r="K52" s="107" t="s">
        <v>7</v>
      </c>
    </row>
    <row r="53" spans="2:11" ht="11.65" x14ac:dyDescent="0.35">
      <c r="B53" s="8" t="s">
        <v>77</v>
      </c>
      <c r="C53" s="122">
        <f>MAX(D4,0)</f>
        <v>0</v>
      </c>
      <c r="D53" s="23">
        <f>IF(E53=0, 0,E53/C53)</f>
        <v>0</v>
      </c>
      <c r="E53" s="122">
        <f>IF(C53=0,0,MAX(C53,C53*Dashboard!G18))</f>
        <v>0</v>
      </c>
      <c r="F53" s="2"/>
      <c r="G53" s="2"/>
      <c r="I53" s="145"/>
      <c r="K53" s="119"/>
    </row>
    <row r="54" spans="2:11" ht="15" customHeight="1" x14ac:dyDescent="0.35">
      <c r="C54" s="2"/>
      <c r="D54" s="2"/>
      <c r="E54" s="2"/>
      <c r="F54" s="2"/>
      <c r="G54" s="2"/>
      <c r="I54" s="2"/>
      <c r="K54" s="119"/>
    </row>
    <row r="55" spans="2:11" ht="11.65" x14ac:dyDescent="0.35">
      <c r="B55" s="5" t="s">
        <v>127</v>
      </c>
      <c r="C55" s="8"/>
      <c r="E55" s="10"/>
      <c r="F55" s="8"/>
      <c r="G55" s="8"/>
      <c r="I55" s="2"/>
      <c r="K55" s="119"/>
    </row>
    <row r="56" spans="2:11" ht="11.65" x14ac:dyDescent="0.35">
      <c r="B56" s="45" t="s">
        <v>78</v>
      </c>
      <c r="C56" s="2"/>
      <c r="D56" s="308">
        <f>I15+I34</f>
        <v>2034922</v>
      </c>
      <c r="E56" s="309"/>
      <c r="F56" s="8"/>
      <c r="G56" s="8"/>
      <c r="I56" s="117"/>
      <c r="K56" s="119"/>
    </row>
    <row r="57" spans="2:11" ht="11.65" x14ac:dyDescent="0.35">
      <c r="B57" s="45" t="s">
        <v>79</v>
      </c>
      <c r="C57" s="2"/>
      <c r="D57" s="310">
        <f>Inputs!C66</f>
        <v>0</v>
      </c>
      <c r="E57" s="309"/>
      <c r="G57" s="2"/>
      <c r="I57" s="2"/>
      <c r="K57" s="119" t="s">
        <v>80</v>
      </c>
    </row>
    <row r="58" spans="2:11" ht="12.75" customHeight="1" x14ac:dyDescent="0.35">
      <c r="B58" s="45" t="s">
        <v>81</v>
      </c>
      <c r="C58" s="2"/>
      <c r="D58" s="310">
        <f>Inputs!C67</f>
        <v>0</v>
      </c>
      <c r="E58" s="309"/>
      <c r="F58" s="8"/>
      <c r="G58" s="8"/>
      <c r="I58" s="2"/>
      <c r="K58" s="119"/>
    </row>
    <row r="59" spans="2:11" ht="15" customHeight="1" x14ac:dyDescent="0.35">
      <c r="C59" s="2"/>
      <c r="D59" s="2"/>
      <c r="E59" s="2"/>
      <c r="F59" s="2"/>
      <c r="G59" s="2"/>
      <c r="I59" s="2"/>
      <c r="K59" s="119"/>
    </row>
    <row r="60" spans="2:11" ht="11.65" x14ac:dyDescent="0.35">
      <c r="B60" s="5" t="s">
        <v>130</v>
      </c>
      <c r="C60" s="8"/>
      <c r="D60" s="146" t="s">
        <v>82</v>
      </c>
      <c r="E60" s="2"/>
      <c r="F60" s="147"/>
      <c r="G60" s="147"/>
      <c r="H60" s="54" t="s">
        <v>234</v>
      </c>
      <c r="I60" s="54"/>
      <c r="K60" s="119"/>
    </row>
    <row r="61" spans="2:11" ht="15" customHeight="1" x14ac:dyDescent="0.35">
      <c r="B61" s="46" t="s">
        <v>83</v>
      </c>
      <c r="C61" s="148">
        <f>C14+C15+(C19*G19)+(C20*G20)+C31+C32+(C35*G35)+(C36*G36)+(C37*G37)</f>
        <v>925726</v>
      </c>
      <c r="D61" s="117">
        <f t="shared" ref="D61:D70" si="2">IF(E61=0,0,E61/C61)</f>
        <v>0.2</v>
      </c>
      <c r="E61" s="128">
        <f>E14+E15+(E19*G19)+(E20*G20)+E31+E32+(E35*G35)+(E36*G36)+(E37*G37)</f>
        <v>185145.2</v>
      </c>
      <c r="F61" s="2"/>
      <c r="G61" s="2"/>
      <c r="H61" s="1" t="s">
        <v>235</v>
      </c>
      <c r="I61" s="149">
        <f>C108*Data!$E$77/Common_Shares</f>
        <v>-8.7513222655769218E-2</v>
      </c>
      <c r="K61" s="119"/>
    </row>
    <row r="62" spans="2:11" ht="11.65" x14ac:dyDescent="0.35">
      <c r="B62" s="9" t="s">
        <v>119</v>
      </c>
      <c r="C62" s="150">
        <f>C11+C30</f>
        <v>1998219</v>
      </c>
      <c r="D62" s="151">
        <f t="shared" si="2"/>
        <v>0.9</v>
      </c>
      <c r="E62" s="152">
        <f>E11+E30</f>
        <v>1798397.1</v>
      </c>
      <c r="F62" s="2"/>
      <c r="G62" s="2"/>
      <c r="H62" s="1" t="s">
        <v>252</v>
      </c>
      <c r="I62" s="220">
        <f>IF(OR(C101="CN",C101="HK"),Dashboard!C9,Dashboard!C5)</f>
        <v>1.8100000000000002E-2</v>
      </c>
      <c r="K62" s="119"/>
    </row>
    <row r="63" spans="2:11" ht="11.65" x14ac:dyDescent="0.35">
      <c r="B63" s="46" t="s">
        <v>121</v>
      </c>
      <c r="C63" s="148">
        <f>C61+C62</f>
        <v>2923945</v>
      </c>
      <c r="D63" s="23">
        <f t="shared" si="2"/>
        <v>0.67837879987482663</v>
      </c>
      <c r="E63" s="130">
        <f>E61+E62</f>
        <v>1983542.3</v>
      </c>
      <c r="F63" s="2"/>
      <c r="G63" s="2"/>
      <c r="H63" s="1" t="s">
        <v>236</v>
      </c>
      <c r="I63" s="153">
        <f>IF(I61&gt;0,FV(I62,D102,0,-I61),I61)</f>
        <v>-8.7513222655769218E-2</v>
      </c>
      <c r="K63" s="119"/>
    </row>
    <row r="64" spans="2:11" ht="12" thickBot="1" x14ac:dyDescent="0.4">
      <c r="B64" s="154" t="s">
        <v>128</v>
      </c>
      <c r="C64" s="155"/>
      <c r="D64" s="155"/>
      <c r="E64" s="116">
        <f>D56+D57+D58</f>
        <v>2034922</v>
      </c>
      <c r="F64" s="2"/>
      <c r="G64" s="2"/>
      <c r="H64" s="1" t="s">
        <v>237</v>
      </c>
      <c r="I64" s="153">
        <f>IF(I61&gt;0,PV(C103,D102,0,-I63),I61)</f>
        <v>-8.7513222655769218E-2</v>
      </c>
      <c r="K64" s="119"/>
    </row>
    <row r="65" spans="1:11" ht="12" thickTop="1" x14ac:dyDescent="0.35">
      <c r="B65" s="8" t="s">
        <v>122</v>
      </c>
      <c r="C65" s="148">
        <f>C63-E64</f>
        <v>889023</v>
      </c>
      <c r="D65" s="23">
        <f t="shared" si="2"/>
        <v>-5.7793442914300254E-2</v>
      </c>
      <c r="E65" s="130">
        <f>E63-E64</f>
        <v>-51379.699999999953</v>
      </c>
      <c r="F65" s="2"/>
      <c r="G65" s="2"/>
      <c r="I65" s="2"/>
      <c r="K65" s="119"/>
    </row>
    <row r="66" spans="1:11" ht="11.65" x14ac:dyDescent="0.35">
      <c r="B66" s="8"/>
      <c r="C66" s="148"/>
      <c r="D66" s="23"/>
      <c r="E66" s="130"/>
      <c r="F66" s="2"/>
      <c r="G66" s="2"/>
      <c r="I66" s="2"/>
      <c r="K66" s="119"/>
    </row>
    <row r="67" spans="1:11" ht="11.65" x14ac:dyDescent="0.35">
      <c r="B67" s="5" t="s">
        <v>131</v>
      </c>
      <c r="C67" s="8"/>
      <c r="D67" s="146" t="s">
        <v>82</v>
      </c>
      <c r="E67" s="130"/>
      <c r="F67" s="2"/>
      <c r="G67" s="2"/>
      <c r="I67" s="2"/>
      <c r="K67" s="119"/>
    </row>
    <row r="68" spans="1:11" ht="11.65" x14ac:dyDescent="0.35">
      <c r="B68" s="46" t="s">
        <v>120</v>
      </c>
      <c r="C68" s="148">
        <f>C49-C63</f>
        <v>13930119</v>
      </c>
      <c r="D68" s="23">
        <f t="shared" si="2"/>
        <v>0.39614325979555531</v>
      </c>
      <c r="E68" s="148">
        <f>E49-E63</f>
        <v>5518322.7500000009</v>
      </c>
      <c r="F68" s="2"/>
      <c r="G68" s="2"/>
      <c r="I68" s="2"/>
      <c r="K68" s="119"/>
    </row>
    <row r="69" spans="1:11" ht="12" thickBot="1" x14ac:dyDescent="0.4">
      <c r="B69" s="154" t="s">
        <v>129</v>
      </c>
      <c r="C69" s="155"/>
      <c r="D69" s="155"/>
      <c r="E69" s="156">
        <f>I49-E64</f>
        <v>1955244</v>
      </c>
      <c r="F69" s="2"/>
      <c r="G69" s="2"/>
      <c r="I69" s="2"/>
      <c r="K69" s="119"/>
    </row>
    <row r="70" spans="1:11" ht="12" thickTop="1" x14ac:dyDescent="0.35">
      <c r="B70" s="46" t="s">
        <v>123</v>
      </c>
      <c r="C70" s="148">
        <f>C68-E69</f>
        <v>11974875</v>
      </c>
      <c r="D70" s="23">
        <f t="shared" si="2"/>
        <v>0.29754621655758418</v>
      </c>
      <c r="E70" s="148">
        <f>E68-E69</f>
        <v>3563078.7500000009</v>
      </c>
      <c r="F70" s="2"/>
      <c r="G70" s="2"/>
      <c r="I70" s="2"/>
      <c r="K70" s="119"/>
    </row>
    <row r="72" spans="1:11" ht="15" customHeight="1" x14ac:dyDescent="0.35">
      <c r="A72" s="3"/>
      <c r="B72" s="64" t="s">
        <v>109</v>
      </c>
      <c r="C72" s="312">
        <f>Data!E1</f>
        <v>45382</v>
      </c>
      <c r="D72" s="312"/>
      <c r="E72" s="311" t="s">
        <v>166</v>
      </c>
      <c r="F72" s="311"/>
      <c r="H72" s="311" t="s">
        <v>165</v>
      </c>
      <c r="I72" s="311"/>
      <c r="K72" s="107" t="s">
        <v>7</v>
      </c>
    </row>
    <row r="73" spans="1:11" ht="15" customHeight="1" x14ac:dyDescent="0.35">
      <c r="B73" s="66" t="str">
        <f>"(Numbers in "&amp;Data!E77&amp;Thesis!C13&amp;")"</f>
        <v>(Numbers in 1000HKD)</v>
      </c>
      <c r="C73" s="304" t="s">
        <v>88</v>
      </c>
      <c r="D73" s="304"/>
      <c r="E73" s="313" t="s">
        <v>89</v>
      </c>
      <c r="F73" s="304"/>
      <c r="H73" s="313" t="s">
        <v>89</v>
      </c>
      <c r="I73" s="304"/>
      <c r="K73" s="51"/>
    </row>
    <row r="74" spans="1:11" ht="15" customHeight="1" x14ac:dyDescent="0.35">
      <c r="B74" s="8" t="s">
        <v>108</v>
      </c>
      <c r="C74" s="67">
        <f>Data!E4</f>
        <v>15325962</v>
      </c>
      <c r="D74" s="68"/>
      <c r="E74" s="202">
        <f>Inputs!E75</f>
        <v>12260769.600000001</v>
      </c>
      <c r="F74" s="68"/>
      <c r="H74" s="202">
        <f>Inputs!F75</f>
        <v>13793365.800000001</v>
      </c>
      <c r="I74" s="68"/>
      <c r="K74" s="51"/>
    </row>
    <row r="75" spans="1:11" ht="15" customHeight="1" x14ac:dyDescent="0.35">
      <c r="B75" s="70" t="s">
        <v>92</v>
      </c>
      <c r="C75" s="67">
        <f>Data!E5</f>
        <v>-11151623</v>
      </c>
      <c r="D75" s="71">
        <f>C75/$C$74</f>
        <v>-0.72762956087193742</v>
      </c>
      <c r="E75" s="202">
        <f>Inputs!E76</f>
        <v>-8921298.4000000004</v>
      </c>
      <c r="F75" s="157">
        <f>E75/E74</f>
        <v>-0.72762956087193742</v>
      </c>
      <c r="H75" s="202">
        <f>Inputs!F76</f>
        <v>-10036460.700000001</v>
      </c>
      <c r="I75" s="157">
        <f>H75/$H$74</f>
        <v>-0.72762956087193753</v>
      </c>
      <c r="K75" s="51"/>
    </row>
    <row r="76" spans="1:11" ht="15" customHeight="1" x14ac:dyDescent="0.35">
      <c r="B76" s="9" t="s">
        <v>84</v>
      </c>
      <c r="C76" s="98">
        <f>C74-C75</f>
        <v>26477585</v>
      </c>
      <c r="D76" s="158"/>
      <c r="E76" s="159">
        <f>E74-E75</f>
        <v>21182068</v>
      </c>
      <c r="F76" s="158"/>
      <c r="H76" s="159">
        <f>H74-H75</f>
        <v>23829826.5</v>
      </c>
      <c r="I76" s="158"/>
      <c r="K76" s="51"/>
    </row>
    <row r="77" spans="1:11" ht="15" customHeight="1" x14ac:dyDescent="0.35">
      <c r="B77" s="70" t="s">
        <v>202</v>
      </c>
      <c r="C77" s="67">
        <f>Data!E10+MAX(Data!E11,0)</f>
        <v>-254107</v>
      </c>
      <c r="E77" s="202">
        <f>Inputs!E77</f>
        <v>2027931.2918400001</v>
      </c>
      <c r="F77" s="157">
        <f>E77/E74</f>
        <v>0.16539999999999999</v>
      </c>
      <c r="H77" s="202">
        <f>Inputs!F77</f>
        <v>2281422.7033199999</v>
      </c>
      <c r="I77" s="157">
        <f>H77/$H$74</f>
        <v>0.16539999999999999</v>
      </c>
      <c r="K77" s="51"/>
    </row>
    <row r="78" spans="1:11" ht="15" customHeight="1" x14ac:dyDescent="0.35">
      <c r="B78" s="63" t="s">
        <v>140</v>
      </c>
      <c r="C78" s="67">
        <f>MAX(Data!E12,0)</f>
        <v>12622.666666666666</v>
      </c>
      <c r="D78" s="71">
        <f>C78/$C$74</f>
        <v>8.2361333446257185E-4</v>
      </c>
      <c r="E78" s="160">
        <f>E74*F78</f>
        <v>10098.133333333333</v>
      </c>
      <c r="F78" s="157">
        <f>I78</f>
        <v>8.2361333446257174E-4</v>
      </c>
      <c r="H78" s="202">
        <f>Inputs!F81</f>
        <v>11360.4</v>
      </c>
      <c r="I78" s="157">
        <f>H78/$H$74</f>
        <v>8.2361333446257174E-4</v>
      </c>
      <c r="K78" s="51"/>
    </row>
    <row r="79" spans="1:11" ht="15" customHeight="1" x14ac:dyDescent="0.35">
      <c r="B79" s="161" t="s">
        <v>190</v>
      </c>
      <c r="C79" s="162">
        <f>C76-C77-C78</f>
        <v>26719069.333333332</v>
      </c>
      <c r="D79" s="163">
        <f>C79/C74</f>
        <v>1.74338611392442</v>
      </c>
      <c r="E79" s="164">
        <f>E76-E77-E78</f>
        <v>19144038.574826665</v>
      </c>
      <c r="F79" s="163">
        <f>E79/E74</f>
        <v>1.5614059475374746</v>
      </c>
      <c r="G79" s="165"/>
      <c r="H79" s="164">
        <f>H76-H77-H78</f>
        <v>21537043.396680001</v>
      </c>
      <c r="I79" s="163">
        <f>H79/H74</f>
        <v>1.5614059475374749</v>
      </c>
      <c r="K79" s="51"/>
    </row>
    <row r="80" spans="1:11" ht="15" customHeight="1" x14ac:dyDescent="0.35">
      <c r="B80" s="11" t="s">
        <v>96</v>
      </c>
      <c r="C80" s="67">
        <f>MAX(Data!E16,0)</f>
        <v>626583</v>
      </c>
      <c r="D80" s="71">
        <f>C80/$C$74</f>
        <v>4.0883763120383568E-2</v>
      </c>
      <c r="E80" s="160">
        <f>E74*F80</f>
        <v>306519.24000000005</v>
      </c>
      <c r="F80" s="157">
        <f>I80</f>
        <v>2.5000000000000001E-2</v>
      </c>
      <c r="H80" s="202">
        <f>Inputs!F80</f>
        <v>344834.14500000002</v>
      </c>
      <c r="I80" s="157">
        <f>H80/$H$74</f>
        <v>2.5000000000000001E-2</v>
      </c>
      <c r="K80" s="166" t="s">
        <v>112</v>
      </c>
    </row>
    <row r="81" spans="2:11" ht="15" customHeight="1" x14ac:dyDescent="0.35">
      <c r="B81" s="70" t="s">
        <v>208</v>
      </c>
      <c r="C81" s="67">
        <f>MAX(Data!E32,0)</f>
        <v>0</v>
      </c>
      <c r="D81" s="71">
        <f>C81/$C$74</f>
        <v>0</v>
      </c>
      <c r="E81" s="160">
        <f>E74*F81</f>
        <v>-47676.80000000001</v>
      </c>
      <c r="F81" s="157">
        <f>I81</f>
        <v>-3.8885650375487034E-3</v>
      </c>
      <c r="H81" s="202">
        <f>Inputs!F78</f>
        <v>-53636.4</v>
      </c>
      <c r="I81" s="157">
        <f>H81/$H$74</f>
        <v>-3.8885650375487034E-3</v>
      </c>
      <c r="K81" s="51"/>
    </row>
    <row r="82" spans="2:11" ht="15" customHeight="1" x14ac:dyDescent="0.35">
      <c r="B82" s="11" t="s">
        <v>201</v>
      </c>
      <c r="C82" s="67">
        <f>ABS(MAX(Data!E34,0)-MAX(Data!E33,0))</f>
        <v>183842</v>
      </c>
      <c r="D82" s="71">
        <f>C82/$C$74</f>
        <v>1.1995462340308556E-2</v>
      </c>
      <c r="E82" s="202">
        <f>Inputs!E79</f>
        <v>122607.69600000001</v>
      </c>
      <c r="F82" s="157">
        <f>E82/E74</f>
        <v>0.01</v>
      </c>
      <c r="H82" s="202">
        <f>Inputs!F79</f>
        <v>137933.658</v>
      </c>
      <c r="I82" s="157">
        <f>H82/$H$74</f>
        <v>9.9999999999999985E-3</v>
      </c>
      <c r="K82" s="51"/>
    </row>
    <row r="83" spans="2:11" ht="15" customHeight="1" thickBot="1" x14ac:dyDescent="0.4">
      <c r="B83" s="167" t="s">
        <v>107</v>
      </c>
      <c r="C83" s="168">
        <f>C79-C81-C82-C80</f>
        <v>25908644.333333332</v>
      </c>
      <c r="D83" s="169">
        <f>C83/$C$74</f>
        <v>1.690506888463728</v>
      </c>
      <c r="E83" s="170">
        <f>E79-E81-E82-E80</f>
        <v>18762588.438826669</v>
      </c>
      <c r="F83" s="169">
        <f>E83/E74</f>
        <v>1.5302945125750236</v>
      </c>
      <c r="H83" s="170">
        <f>H79-H81-H82-H80</f>
        <v>21107911.99368</v>
      </c>
      <c r="I83" s="169">
        <f>H83/$H$74</f>
        <v>1.5302945125750236</v>
      </c>
      <c r="K83" s="51"/>
    </row>
    <row r="84" spans="2:11" ht="15" customHeight="1" thickTop="1" x14ac:dyDescent="0.35">
      <c r="B84" s="11" t="s">
        <v>85</v>
      </c>
      <c r="C84" s="171"/>
      <c r="D84" s="71">
        <f>I84</f>
        <v>0.25</v>
      </c>
      <c r="E84" s="172"/>
      <c r="F84" s="173">
        <f t="shared" ref="F84" si="3">I84</f>
        <v>0.25</v>
      </c>
      <c r="H84" s="172"/>
      <c r="I84" s="203">
        <f>Inputs!C106</f>
        <v>0.25</v>
      </c>
      <c r="K84" s="51"/>
    </row>
    <row r="85" spans="2:11" ht="15" customHeight="1" x14ac:dyDescent="0.35">
      <c r="B85" s="174" t="s">
        <v>136</v>
      </c>
      <c r="C85" s="162">
        <f>C83*(1-I84)</f>
        <v>19431483.25</v>
      </c>
      <c r="D85" s="163">
        <f>C85/$C$74</f>
        <v>1.2678801663477959</v>
      </c>
      <c r="E85" s="175">
        <f>E83*(1-F84)</f>
        <v>14071941.329120003</v>
      </c>
      <c r="F85" s="163">
        <f>E85/E74</f>
        <v>1.1477208844312679</v>
      </c>
      <c r="G85" s="165"/>
      <c r="H85" s="175">
        <f>H83*(1-I84)</f>
        <v>15830933.99526</v>
      </c>
      <c r="I85" s="163">
        <f>H85/$H$74</f>
        <v>1.1477208844312676</v>
      </c>
      <c r="K85" s="51"/>
    </row>
    <row r="86" spans="2:11" ht="15" customHeight="1" x14ac:dyDescent="0.35">
      <c r="B86" s="2" t="s">
        <v>134</v>
      </c>
      <c r="C86" s="176">
        <f>C85*Data!E77/Common_Shares</f>
        <v>33.096956973067215</v>
      </c>
      <c r="D86" s="68"/>
      <c r="E86" s="177">
        <f>E85*Data!E77/Common_Shares</f>
        <v>23.968239104825464</v>
      </c>
      <c r="F86" s="68"/>
      <c r="H86" s="177">
        <f>H85*Data!E77/Common_Shares</f>
        <v>26.964268992928641</v>
      </c>
      <c r="I86" s="68"/>
      <c r="K86" s="51"/>
    </row>
    <row r="87" spans="2:11" ht="15" customHeight="1" x14ac:dyDescent="0.35">
      <c r="B87" s="2" t="s">
        <v>168</v>
      </c>
      <c r="C87" s="178">
        <f>C86*Exchange_Rate/Thesis!C11</f>
        <v>2.3948594047081921</v>
      </c>
      <c r="D87" s="68"/>
      <c r="E87" s="179">
        <f>E86*Exchange_Rate/Thesis!C11</f>
        <v>1.7343154200307862</v>
      </c>
      <c r="F87" s="68"/>
      <c r="H87" s="179">
        <f>H86*Exchange_Rate/Thesis!C11</f>
        <v>1.951104847534634</v>
      </c>
      <c r="I87" s="68"/>
      <c r="K87" s="51"/>
    </row>
    <row r="88" spans="2:11" ht="15" customHeight="1" x14ac:dyDescent="0.35">
      <c r="B88" s="7" t="s">
        <v>167</v>
      </c>
      <c r="C88" s="180">
        <f>Inputs!C28</f>
        <v>1.3599999999999999</v>
      </c>
      <c r="D88" s="181">
        <f>C88/C86</f>
        <v>4.1091391003309018E-2</v>
      </c>
      <c r="E88" s="201">
        <f>Inputs!E82</f>
        <v>1</v>
      </c>
      <c r="F88" s="181">
        <f>E88/E86</f>
        <v>4.172188017761691E-2</v>
      </c>
      <c r="H88" s="201">
        <f>Inputs!F82</f>
        <v>1.1000000000000001</v>
      </c>
      <c r="I88" s="181">
        <f>H88/H86</f>
        <v>4.0794727284780993E-2</v>
      </c>
      <c r="K88" s="51"/>
    </row>
    <row r="89" spans="2:11" ht="15" customHeight="1" x14ac:dyDescent="0.35">
      <c r="B89" s="2" t="s">
        <v>180</v>
      </c>
      <c r="C89" s="178">
        <f>C88*Exchange_Rate/Thesis!C11</f>
        <v>9.8408104196816198E-2</v>
      </c>
      <c r="D89" s="68"/>
      <c r="E89" s="178">
        <f>E88*Exchange_Rate/Thesis!C11</f>
        <v>7.2358900144717797E-2</v>
      </c>
      <c r="F89" s="68"/>
      <c r="H89" s="178">
        <f>H88*Exchange_Rate/Thesis!C11</f>
        <v>7.9594790159189591E-2</v>
      </c>
      <c r="I89" s="68"/>
      <c r="K89" s="51"/>
    </row>
    <row r="90" spans="2:11" ht="15" customHeight="1" x14ac:dyDescent="0.35">
      <c r="B90" s="11"/>
      <c r="C90" s="122"/>
    </row>
    <row r="91" spans="2:11" ht="15" customHeight="1" x14ac:dyDescent="0.35">
      <c r="B91" s="223" t="s">
        <v>264</v>
      </c>
      <c r="C91" s="224"/>
    </row>
    <row r="92" spans="2:11" ht="15" customHeight="1" x14ac:dyDescent="0.35">
      <c r="B92" s="11" t="s">
        <v>265</v>
      </c>
      <c r="C92" s="99">
        <f>C75/C74</f>
        <v>-0.72762956087193742</v>
      </c>
    </row>
    <row r="93" spans="2:11" ht="15" customHeight="1" x14ac:dyDescent="0.35">
      <c r="B93" s="225" t="s">
        <v>266</v>
      </c>
      <c r="C93" s="216">
        <f>C76/C74</f>
        <v>1.7276295608719374</v>
      </c>
    </row>
    <row r="94" spans="2:11" ht="15" customHeight="1" x14ac:dyDescent="0.35">
      <c r="B94" s="11" t="s">
        <v>267</v>
      </c>
      <c r="C94" s="103">
        <f>C77/$C$74</f>
        <v>-1.6580166386945237E-2</v>
      </c>
    </row>
    <row r="95" spans="2:11" ht="15" customHeight="1" x14ac:dyDescent="0.35">
      <c r="B95" s="11" t="s">
        <v>268</v>
      </c>
      <c r="C95" s="122"/>
    </row>
    <row r="96" spans="2:11" ht="15" customHeight="1" x14ac:dyDescent="0.35">
      <c r="B96" s="11"/>
      <c r="C96" s="122"/>
    </row>
    <row r="97" spans="1:11" ht="15" customHeight="1" x14ac:dyDescent="0.35">
      <c r="B97" s="11"/>
      <c r="C97" s="122"/>
    </row>
    <row r="98" spans="1:11" ht="15" customHeight="1" x14ac:dyDescent="0.35">
      <c r="B98" s="11"/>
      <c r="C98" s="122"/>
    </row>
    <row r="99" spans="1:11" ht="15" customHeight="1" x14ac:dyDescent="0.35">
      <c r="B99" s="11"/>
      <c r="C99" s="122"/>
    </row>
    <row r="100" spans="1:11" ht="15" customHeight="1" x14ac:dyDescent="0.35">
      <c r="A100" s="3"/>
      <c r="B100" s="64" t="str">
        <f xml:space="preserve"> "Valuation Drivers in "&amp;Thesis!D11</f>
        <v>Valuation Drivers in HKD</v>
      </c>
      <c r="C100" s="113"/>
      <c r="K100" s="107" t="s">
        <v>113</v>
      </c>
    </row>
    <row r="101" spans="1:11" ht="15" customHeight="1" x14ac:dyDescent="0.35">
      <c r="B101" s="54" t="s">
        <v>245</v>
      </c>
      <c r="C101" s="204" t="str">
        <f>Inputs!C105</f>
        <v>HK</v>
      </c>
      <c r="D101" s="54" t="s">
        <v>246</v>
      </c>
      <c r="E101" s="311" t="s">
        <v>166</v>
      </c>
      <c r="F101" s="311"/>
      <c r="G101" s="2"/>
      <c r="H101" s="311" t="s">
        <v>165</v>
      </c>
      <c r="I101" s="311"/>
      <c r="K101" s="51"/>
    </row>
    <row r="102" spans="1:11" ht="15" customHeight="1" x14ac:dyDescent="0.35">
      <c r="B102" s="1" t="str">
        <f>C101&amp;" Discount Rate"</f>
        <v>HK Discount Rate</v>
      </c>
      <c r="C102" s="182">
        <f>IF(C101="CN",Dashboard!C12,IF(C101="US",Dashboard!C7,IF(C101="HK",Dashboard!D7,Dashboard!D12)))</f>
        <v>7.5000000000000011E-2</v>
      </c>
      <c r="D102" s="199">
        <f>Dashboard!H15</f>
        <v>4</v>
      </c>
      <c r="E102" s="2" t="s">
        <v>169</v>
      </c>
      <c r="F102" s="183">
        <f>FV(E87,D102,0,-(E86/(C102-D103)))*Exchange_Rate</f>
        <v>24359.472843990116</v>
      </c>
      <c r="H102" s="2" t="s">
        <v>169</v>
      </c>
      <c r="I102" s="183">
        <f>FV(H87,D102,0,-(H86/(C102-D103)))*Exchange_Rate</f>
        <v>37184.720327005205</v>
      </c>
      <c r="K102" s="51"/>
    </row>
    <row r="103" spans="1:11" ht="15" customHeight="1" x14ac:dyDescent="0.35">
      <c r="B103" s="1" t="s">
        <v>171</v>
      </c>
      <c r="C103" s="184">
        <f>Dashboard!G15</f>
        <v>0.15</v>
      </c>
      <c r="D103" s="200">
        <f>Inputs!D68</f>
        <v>0.02</v>
      </c>
      <c r="E103" s="2" t="s">
        <v>170</v>
      </c>
      <c r="F103" s="183">
        <f>FV(E89,D102,0,-(E88/(C102-D103)))*Exchange_Rate</f>
        <v>24.043514669218538</v>
      </c>
      <c r="H103" s="2" t="s">
        <v>170</v>
      </c>
      <c r="I103" s="183">
        <f>FV(H89,D102,0,-(H88/(C102-D103)))*Exchange_Rate</f>
        <v>27.168966360380963</v>
      </c>
      <c r="K103" s="51"/>
    </row>
    <row r="104" spans="1:11" ht="15" customHeight="1" x14ac:dyDescent="0.35">
      <c r="E104" s="51"/>
      <c r="K104" s="51"/>
    </row>
    <row r="105" spans="1:11" ht="15" customHeight="1" x14ac:dyDescent="0.35">
      <c r="A105" s="3"/>
      <c r="B105" s="64" t="str">
        <f xml:space="preserve"> "Valuation in "&amp;Thesis!D11</f>
        <v>Valuation in HKD</v>
      </c>
      <c r="C105" s="185" t="str">
        <f>Thesis!D11</f>
        <v>HKD</v>
      </c>
      <c r="D105" s="186" t="s">
        <v>173</v>
      </c>
      <c r="E105" s="187" t="str">
        <f>E72</f>
        <v>Pessimistic Case</v>
      </c>
      <c r="F105" s="188" t="s">
        <v>194</v>
      </c>
      <c r="H105" s="187" t="str">
        <f>H72</f>
        <v>Base Case</v>
      </c>
      <c r="I105" s="186" t="s">
        <v>98</v>
      </c>
      <c r="K105" s="51"/>
    </row>
    <row r="106" spans="1:11" ht="15" customHeight="1" x14ac:dyDescent="0.35">
      <c r="B106" s="1" t="s">
        <v>111</v>
      </c>
      <c r="C106" s="189">
        <f>H106*Common_Shares/Data!E77</f>
        <v>12482197364.382963</v>
      </c>
      <c r="D106" s="190"/>
      <c r="E106" s="191">
        <f>PV(C103,D102,0,-F102)</f>
        <v>13927.607659486708</v>
      </c>
      <c r="F106" s="190"/>
      <c r="H106" s="191">
        <f>PV(C103,D102,0,-I102)</f>
        <v>21260.484533434468</v>
      </c>
      <c r="I106" s="191">
        <f>PV(C102,D102,0,-I102)</f>
        <v>27843.938280447834</v>
      </c>
      <c r="K106" s="51"/>
    </row>
    <row r="107" spans="1:11" ht="15" customHeight="1" x14ac:dyDescent="0.35">
      <c r="B107" s="11" t="s">
        <v>124</v>
      </c>
      <c r="C107" s="189">
        <f>-E53*Exchange_Rate</f>
        <v>0</v>
      </c>
      <c r="D107" s="190"/>
      <c r="E107" s="190"/>
      <c r="F107" s="190"/>
      <c r="H107" s="191">
        <f>C107*Data!$E$77/Common_Shares</f>
        <v>0</v>
      </c>
      <c r="I107" s="192"/>
      <c r="K107" s="51"/>
    </row>
    <row r="108" spans="1:11" ht="15" customHeight="1" thickBot="1" x14ac:dyDescent="0.4">
      <c r="B108" s="167" t="s">
        <v>125</v>
      </c>
      <c r="C108" s="193">
        <f>(E65+IF(E70&lt;0,E70,0))*Exchange_Rate</f>
        <v>-51379.699999999953</v>
      </c>
      <c r="D108" s="194"/>
      <c r="E108" s="195">
        <f>IF(H108&gt;0,I64,H108)</f>
        <v>-8.7513222655769218E-2</v>
      </c>
      <c r="F108" s="194"/>
      <c r="H108" s="195">
        <f>I64</f>
        <v>-8.7513222655769218E-2</v>
      </c>
      <c r="I108" s="196"/>
      <c r="K108" s="51"/>
    </row>
    <row r="109" spans="1:11" ht="15" customHeight="1" thickTop="1" x14ac:dyDescent="0.35">
      <c r="B109" s="1" t="s">
        <v>98</v>
      </c>
      <c r="C109" s="189"/>
      <c r="D109" s="197">
        <f>MIN(F109*(1-C103),E109)</f>
        <v>13927.520146264053</v>
      </c>
      <c r="E109" s="197">
        <f>MAX(E106+H107+E108,0)</f>
        <v>13927.520146264053</v>
      </c>
      <c r="F109" s="197">
        <f>(E109+H109)/2</f>
        <v>17593.958583237931</v>
      </c>
      <c r="H109" s="197">
        <f>MAX(H106+H107+H108,0)</f>
        <v>21260.397020211811</v>
      </c>
      <c r="I109" s="197">
        <f>MAX(I106+H107+H108,0)</f>
        <v>27843.850767225176</v>
      </c>
      <c r="K109" s="51"/>
    </row>
    <row r="110" spans="1:11" ht="15" customHeight="1" x14ac:dyDescent="0.35">
      <c r="E110" s="51"/>
      <c r="K110" s="51"/>
    </row>
    <row r="111" spans="1:11" ht="15" customHeight="1" x14ac:dyDescent="0.35">
      <c r="B111" s="54" t="s">
        <v>247</v>
      </c>
      <c r="C111" s="185"/>
      <c r="D111" s="186" t="s">
        <v>173</v>
      </c>
      <c r="E111" s="187" t="str">
        <f>E105</f>
        <v>Pessimistic Case</v>
      </c>
      <c r="F111" s="188" t="s">
        <v>194</v>
      </c>
      <c r="H111" s="187" t="str">
        <f>H105</f>
        <v>Base Case</v>
      </c>
      <c r="I111" s="186" t="s">
        <v>98</v>
      </c>
      <c r="K111" s="51"/>
    </row>
    <row r="112" spans="1:11" ht="15" customHeight="1" x14ac:dyDescent="0.35">
      <c r="B112" s="1" t="s">
        <v>135</v>
      </c>
      <c r="C112" s="189"/>
      <c r="D112" s="197">
        <f>MIN(F112*(1-C103),E112)</f>
        <v>12.444383453506694</v>
      </c>
      <c r="E112" s="191">
        <f>PV(C103,D102,0,-F103)</f>
        <v>13.746957547589407</v>
      </c>
      <c r="F112" s="197">
        <f>(E112+H112)/2</f>
        <v>14.640451121772582</v>
      </c>
      <c r="H112" s="191">
        <f>PV(C103,D102,0,-I103)</f>
        <v>15.533944695955759</v>
      </c>
      <c r="I112" s="197">
        <f>PV(C102,D102,0,-I103)</f>
        <v>20.344136404129774</v>
      </c>
      <c r="K112" s="51"/>
    </row>
    <row r="113" spans="2:11" ht="15" customHeight="1" x14ac:dyDescent="0.35">
      <c r="E113" s="51"/>
      <c r="K113" s="51"/>
    </row>
    <row r="114" spans="2:11" ht="15" customHeight="1" x14ac:dyDescent="0.35">
      <c r="B114" s="54" t="s">
        <v>157</v>
      </c>
      <c r="C114" s="185"/>
      <c r="D114" s="186" t="s">
        <v>173</v>
      </c>
      <c r="E114" s="198" t="str">
        <f>E105</f>
        <v>Pessimistic Case</v>
      </c>
      <c r="F114" s="188" t="s">
        <v>194</v>
      </c>
      <c r="H114" s="198" t="str">
        <f>H105</f>
        <v>Base Case</v>
      </c>
      <c r="I114" s="186" t="s">
        <v>98</v>
      </c>
      <c r="K114" s="51"/>
    </row>
    <row r="115" spans="2:11" ht="15" customHeight="1" x14ac:dyDescent="0.35">
      <c r="B115" s="1" t="s">
        <v>158</v>
      </c>
      <c r="C115" s="189"/>
      <c r="D115" s="197">
        <f>(D109+D112)/2</f>
        <v>6969.9822648587797</v>
      </c>
      <c r="E115" s="191">
        <f>(E109+E112)/2</f>
        <v>6970.6335519058212</v>
      </c>
      <c r="F115" s="197">
        <f>(F109+F112)/2</f>
        <v>8804.299517179852</v>
      </c>
      <c r="H115" s="191">
        <f>(H109+H112)/2</f>
        <v>10637.965482453883</v>
      </c>
      <c r="I115" s="191">
        <f>(I109+I112)/2</f>
        <v>13932.097451814652</v>
      </c>
      <c r="K115" s="51"/>
    </row>
    <row r="116" spans="2:11" ht="15" customHeight="1" x14ac:dyDescent="0.35">
      <c r="K116" s="51"/>
    </row>
    <row r="117" spans="2:11" ht="15" customHeight="1" x14ac:dyDescent="0.35">
      <c r="B117" s="54" t="s">
        <v>248</v>
      </c>
      <c r="C117" s="205" t="str">
        <f>Inputs!C68</f>
        <v>Profit</v>
      </c>
      <c r="K117" s="51"/>
    </row>
  </sheetData>
  <mergeCells count="11">
    <mergeCell ref="D56:E56"/>
    <mergeCell ref="D57:E57"/>
    <mergeCell ref="D58:E58"/>
    <mergeCell ref="H101:I101"/>
    <mergeCell ref="E101:F101"/>
    <mergeCell ref="C73:D73"/>
    <mergeCell ref="C72:D72"/>
    <mergeCell ref="H73:I73"/>
    <mergeCell ref="E73:F73"/>
    <mergeCell ref="H72:I72"/>
    <mergeCell ref="E72:F72"/>
  </mergeCells>
  <phoneticPr fontId="3" type="noConversion"/>
  <conditionalFormatting sqref="C117">
    <cfRule type="containsBlanks" dxfId="6" priority="8">
      <formula>LEN(TRIM(C117))=0</formula>
    </cfRule>
  </conditionalFormatting>
  <conditionalFormatting sqref="E74:E82 H74:H82 C86 C88">
    <cfRule type="containsBlanks" dxfId="5" priority="11">
      <formula>LEN(TRIM(C74))=0</formula>
    </cfRule>
  </conditionalFormatting>
  <conditionalFormatting sqref="E88">
    <cfRule type="containsBlanks" dxfId="4" priority="5">
      <formula>LEN(TRIM(E88))=0</formula>
    </cfRule>
  </conditionalFormatting>
  <conditionalFormatting sqref="F84">
    <cfRule type="containsBlanks" dxfId="3" priority="6">
      <formula>LEN(TRIM(F84))=0</formula>
    </cfRule>
  </conditionalFormatting>
  <conditionalFormatting sqref="H88">
    <cfRule type="containsBlanks" dxfId="1" priority="10">
      <formula>LEN(TRIM(H88))=0</formula>
    </cfRule>
  </conditionalFormatting>
  <conditionalFormatting sqref="I84">
    <cfRule type="containsBlanks" dxfId="0" priority="15">
      <formula>LEN(TRIM(I84))=0</formula>
    </cfRule>
  </conditionalFormatting>
  <dataValidations count="4">
    <dataValidation allowBlank="1" sqref="D52" xr:uid="{00000000-0002-0000-0200-000000000000}"/>
    <dataValidation type="list" allowBlank="1" showInputMessage="1" showErrorMessage="1" sqref="F19:F20 F35:F37" xr:uid="{DBDA56F9-BDA2-428A-9035-F60711F90E5E}">
      <formula1>"Y,N"</formula1>
    </dataValidation>
    <dataValidation type="list" allowBlank="1" showInputMessage="1" showErrorMessage="1" sqref="C117" xr:uid="{E383D7BB-5EEE-044F-801D-1E55C0035917}">
      <formula1>"Profit, Dividend, Avg"</formula1>
    </dataValidation>
    <dataValidation type="list" allowBlank="1" showInputMessage="1" showErrorMessage="1" sqref="C101" xr:uid="{CA293681-B01E-459F-8C40-5799F5EB5C26}">
      <formula1>"US, CN, HK, Others"</formula1>
    </dataValidation>
  </dataValidations>
  <hyperlinks>
    <hyperlink ref="K80" r:id="rId1" xr:uid="{B6C51259-995A-4E8A-8C0F-B82AE723DC52}"/>
  </hyperlinks>
  <pageMargins left="0.25" right="0.25" top="0.75" bottom="0.75" header="0.3" footer="0.3"/>
  <pageSetup scale="71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2" operator="lessThan" id="{34615D1A-B59F-4C68-8CE2-B1DA800DFD66}">
            <xm:f>Thesis!$C$11</xm:f>
            <x14:dxf>
              <fill>
                <patternFill>
                  <bgColor rgb="FFFFC7CE"/>
                </patternFill>
              </fill>
            </x14:dxf>
          </x14:cfRule>
          <xm:sqref>F102:F103 I102:I103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Thesis</vt:lpstr>
      <vt:lpstr>Inputs</vt:lpstr>
      <vt:lpstr>Data</vt:lpstr>
      <vt:lpstr>Dashboard</vt:lpstr>
      <vt:lpstr>Fin_Analysis</vt:lpstr>
      <vt:lpstr>Common_Shares</vt:lpstr>
      <vt:lpstr>Exchange_Rate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Jerry.chen</dc:creator>
  <cp:keywords/>
  <dc:description/>
  <cp:lastModifiedBy>Jerry Chen</cp:lastModifiedBy>
  <cp:revision/>
  <cp:lastPrinted>2025-02-19T09:28:17Z</cp:lastPrinted>
  <dcterms:created xsi:type="dcterms:W3CDTF">2022-08-10T03:52:42Z</dcterms:created>
  <dcterms:modified xsi:type="dcterms:W3CDTF">2025-02-19T09:40:14Z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FADEDC77-E3A9-4048-B49A-C72418E163E6</vt:lpwstr>
  </property>
</Properties>
</file>