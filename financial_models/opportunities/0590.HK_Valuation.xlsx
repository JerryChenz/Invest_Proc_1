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F1FF372-5779-41DE-B56F-ABFE936956B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F69" i="4"/>
  <c r="N126" i="2"/>
  <c r="N91" i="2"/>
  <c r="N48" i="2"/>
  <c r="N92" i="2"/>
  <c r="O126" i="2"/>
  <c r="O91" i="2"/>
  <c r="O48" i="2"/>
  <c r="O92" i="2"/>
  <c r="Q126" i="2"/>
  <c r="Q48" i="2"/>
  <c r="Q92" i="2"/>
  <c r="Q91" i="2"/>
  <c r="D69" i="4"/>
  <c r="P126" i="2"/>
  <c r="P92" i="2"/>
  <c r="P91" i="2"/>
  <c r="P48" i="2"/>
  <c r="K126" i="2"/>
  <c r="K91" i="2"/>
  <c r="I91" i="2"/>
  <c r="J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<sst xmlns="http://schemas.openxmlformats.org/spreadsheetml/2006/main" count="616" uniqueCount="432">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</sst>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425</v>
      </c>
      <c r="D5" s="49" t="s">
        <v>426</v>
      </c>
    </row>
    <row r="6" spans="1:10">
      <c r="B6" s="4" t="s">
        <v>95</v>
      </c>
      <c r="C6" s="50">
        <v>17.36</v>
      </c>
      <c r="D6" s="48" t="s">
        <v>404</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10192.192276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404</v>
      </c>
      <c r="D16" s="32"/>
      <c r="E16" s="5"/>
    </row>
    <row r="17" spans="1:6">
      <c r="B17" s="4" t="s">
        <v>1</v>
      </c>
      <c r="C17" s="50">
        <v>1</v>
      </c>
      <c r="D17" s="32" t="str">
        <f>IF(C16=D6,D6,C16&amp;"/"&amp;D6)</f>
        <v>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11.804906901225705</v>
      </c>
      <c r="D20" s="1" t="s">
        <v>315</v>
      </c>
      <c r="E20" s="330">
        <v>3</v>
      </c>
    </row>
    <row r="21" spans="1:6">
      <c r="B21" s="1" t="s">
        <v>407</v>
      </c>
      <c r="C21" s="280">
        <f ca="1">Scenarios!C87</f>
        <v>0.13150710314103176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1398534.6033278927</v>
      </c>
      <c r="D30" s="1" t="str">
        <f>Reporting_currency</f>
        <v>HKD</v>
      </c>
    </row>
    <row r="31" spans="1:6">
      <c r="B31" s="47"/>
      <c r="C31" s="76"/>
    </row>
    <row r="32" spans="1:6" ht="24.4" customHeight="1">
      <c r="B32" s="341" t="s">
        <v>234</v>
      </c>
      <c r="C32" s="341"/>
      <c r="D32" s="341"/>
      <c r="E32" s="341"/>
      <c r="F32" s="341"/>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1" t="s">
        <v>237</v>
      </c>
      <c r="C36" s="341"/>
      <c r="D36" s="341"/>
      <c r="E36" s="341"/>
      <c r="F36" s="341"/>
    </row>
    <row r="37" spans="2:6">
      <c r="B37" s="47" t="s">
        <v>238</v>
      </c>
      <c r="C37" s="188">
        <f>Normalized_FCF!C11</f>
        <v>0</v>
      </c>
      <c r="D37" s="1" t="str">
        <f>Reporting_currency</f>
        <v>HKD</v>
      </c>
    </row>
    <row r="39" spans="2:6">
      <c r="B39" s="341" t="s">
        <v>241</v>
      </c>
      <c r="C39" s="341"/>
      <c r="D39" s="341"/>
      <c r="E39" s="341"/>
      <c r="F39" s="341"/>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1" t="s">
        <v>242</v>
      </c>
      <c r="C47" s="341"/>
      <c r="D47" s="341"/>
      <c r="E47" s="341"/>
      <c r="F47" s="341"/>
    </row>
    <row r="48" spans="2:6">
      <c r="B48" s="47" t="s">
        <v>240</v>
      </c>
      <c r="C48" s="188">
        <f>Normalized_FCF!C14</f>
        <v>-338171.38555405382</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9.9538365171061599E-2</v>
      </c>
    </row>
    <row r="59" spans="1:6">
      <c r="B59" s="254" t="s">
        <v>316</v>
      </c>
      <c r="C59" s="92">
        <f>Normalized_FCF!C93</f>
        <v>7.83410138248848E-2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6" t="s">
        <v>412</v>
      </c>
      <c r="C88" s="337">
        <f>BS!G30/BS!G27</f>
        <v>0.31018327415220487</v>
      </c>
    </row>
    <row r="89" spans="2:6">
      <c r="B89" s="336" t="s">
        <v>413</v>
      </c>
      <c r="C89" s="337">
        <f>BS!G31/BS!G27</f>
        <v>0.15818859882129041</v>
      </c>
    </row>
    <row r="90" spans="2:6">
      <c r="B90" s="336" t="s">
        <v>415</v>
      </c>
      <c r="C90" s="338">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0" t="s">
        <v>374</v>
      </c>
      <c r="C101" s="340"/>
      <c r="D101" s="340"/>
      <c r="E101" s="340"/>
      <c r="F101" s="340"/>
    </row>
    <row r="103" spans="1:6">
      <c r="B103" s="47" t="s">
        <v>283</v>
      </c>
      <c r="C103" s="248">
        <f>Valuation_Model!C12</f>
        <v>20.080338252823015</v>
      </c>
      <c r="D103" s="1" t="str">
        <f>Market_currency</f>
        <v>HKD</v>
      </c>
    </row>
    <row r="104" spans="1:6">
      <c r="B104" s="336" t="s">
        <v>414</v>
      </c>
      <c r="C104" s="248">
        <f>BS!D47</f>
        <v>5.8696003638854428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1.36</v>
      </c>
      <c r="D128" s="236" t="str">
        <f>Market_currency</f>
        <v>HKD</v>
      </c>
    </row>
    <row r="130" spans="2:4">
      <c r="B130" s="234" t="s">
        <v>418</v>
      </c>
      <c r="C130" s="337">
        <f>C19</f>
        <v>0.3</v>
      </c>
      <c r="D130" s="1" t="s">
        <v>416</v>
      </c>
    </row>
    <row r="131" spans="2:4">
      <c r="B131" s="236" t="str">
        <f>"PV("&amp;C126&amp;" yrs of Dividends)"</f>
        <v>PV(3 yrs of Dividends)</v>
      </c>
      <c r="C131" s="240">
        <f>Scenarios!C81</f>
        <v>2.4699135184342293</v>
      </c>
    </row>
    <row r="132" spans="2:4">
      <c r="B132" s="236" t="str">
        <f>"+ PV(Equity Value realized at year "&amp;C126&amp;")"</f>
        <v>+ PV(Equity Value realized at year 3)</v>
      </c>
      <c r="C132" s="240">
        <f>Scenarios!C82</f>
        <v>9.3349933827914757</v>
      </c>
    </row>
    <row r="133" spans="2:4">
      <c r="B133" s="80" t="s">
        <v>261</v>
      </c>
      <c r="C133" s="239">
        <f>Scenarios!C83</f>
        <v>11.804906901225705</v>
      </c>
      <c r="D133" s="47" t="str">
        <f>Reporting_currency</f>
        <v>HKD</v>
      </c>
    </row>
    <row r="134" spans="2:4">
      <c r="B134" s="238" t="s">
        <v>263</v>
      </c>
      <c r="C134" s="92">
        <f>Scenarios!F83</f>
        <v>0.42440303538723001</v>
      </c>
    </row>
    <row r="136" spans="2:4">
      <c r="B136" s="234" t="s">
        <v>421</v>
      </c>
      <c r="C136" s="337">
        <f>Scenarios!C90</f>
        <v>0.2</v>
      </c>
      <c r="D136" s="1" t="s">
        <v>420</v>
      </c>
    </row>
    <row r="137" spans="2:4">
      <c r="B137" s="236" t="str">
        <f>"PV("&amp;C126&amp;" yrs of Dividends)"</f>
        <v>PV(3 yrs of Dividends)</v>
      </c>
      <c r="C137" s="240">
        <f>Scenarios!C91</f>
        <v>2.8648148148148147</v>
      </c>
    </row>
    <row r="138" spans="2:4">
      <c r="B138" s="236" t="str">
        <f>"+ PV(Equity Value realized at year "&amp;C126&amp;")"</f>
        <v>+ PV(Equity Value realized at year 3)</v>
      </c>
      <c r="C138" s="240">
        <f>Scenarios!C92</f>
        <v>11.868622952542175</v>
      </c>
    </row>
    <row r="139" spans="2:4">
      <c r="B139" s="80" t="s">
        <v>261</v>
      </c>
      <c r="C139" s="239">
        <f>Scenarios!C93</f>
        <v>14.733437767356989</v>
      </c>
      <c r="D139" s="47" t="str">
        <f>Reporting_currency</f>
        <v>HKD</v>
      </c>
    </row>
    <row r="140" spans="2:4">
      <c r="B140" s="238" t="s">
        <v>263</v>
      </c>
      <c r="C140" s="92">
        <f>Scenarios!F93</f>
        <v>0.28161042453275964</v>
      </c>
    </row>
    <row r="142" spans="2:4">
      <c r="B142" s="234" t="s">
        <v>408</v>
      </c>
      <c r="C142" s="92">
        <f>Scenarios!C96</f>
        <v>0.08</v>
      </c>
      <c r="D142" s="1" t="s">
        <v>419</v>
      </c>
    </row>
    <row r="143" spans="2:4">
      <c r="B143" s="236" t="str">
        <f>"PV("&amp;C126&amp;" yrs of Dividends)"</f>
        <v>PV(3 yrs of Dividends)</v>
      </c>
      <c r="C143" s="240">
        <f>Scenarios!C97</f>
        <v>3.5048519026571174</v>
      </c>
    </row>
    <row r="144" spans="2:4">
      <c r="B144" s="236" t="str">
        <f>"+ PV(Equity Value realized at year "&amp;C126&amp;")"</f>
        <v>+ PV(Equity Value realized at year 3)</v>
      </c>
      <c r="C144" s="240">
        <f>Scenarios!C98</f>
        <v>16.280689921182677</v>
      </c>
    </row>
    <row r="145" spans="1:6">
      <c r="B145" s="80" t="s">
        <v>409</v>
      </c>
      <c r="C145" s="239">
        <f>Scenarios!C99</f>
        <v>19.785541823839793</v>
      </c>
      <c r="D145" s="101" t="str">
        <f>Reporting_currency</f>
        <v>HKD</v>
      </c>
    </row>
    <row r="146" spans="1:6">
      <c r="B146" s="238" t="s">
        <v>263</v>
      </c>
      <c r="C146" s="92">
        <f>Scenarios!F99</f>
        <v>3.5274237034539913E-2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429</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7.83410138248848E-2</v>
      </c>
      <c r="E93" s="302"/>
      <c r="G93" s="23">
        <f t="shared" ref="G93:Q93" si="39">IF(G$4="","",G90/Market_Price)</f>
        <v>7.83410138248848E-2</v>
      </c>
      <c r="H93" s="23">
        <f t="shared" si="39"/>
        <v>6.3364055299539174E-2</v>
      </c>
      <c r="I93" s="23">
        <f t="shared" si="39"/>
        <v>6.3364055299539174E-2</v>
      </c>
      <c r="J93" s="23">
        <f t="shared" si="39"/>
        <v>5.7603686635944701E-2</v>
      </c>
      <c r="K93" s="23">
        <f t="shared" si="39"/>
        <v>5.7603686635944701E-2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9.9538365171061599E-2</v>
      </c>
      <c r="D125" s="27"/>
      <c r="E125" s="299"/>
      <c r="F125" s="27"/>
      <c r="G125" s="77">
        <f t="shared" ref="G125" si="50">IF(G$4="","",G124/Market_Price)</f>
        <v>0.12670816090560991</v>
      </c>
      <c r="H125" s="77">
        <f t="shared" ref="H125" si="51">IF(H$4="","",H124/Market_Price)</f>
        <v>0.13172247437377224</v>
      </c>
      <c r="I125" s="77">
        <f t="shared" ref="I125" si="52">IF(I$4="","",I124/Market_Price)</f>
        <v>0.11047169411047296</v>
      </c>
      <c r="J125" s="77">
        <f t="shared" ref="J125" si="53">IF(J$4="","",J124/Market_Price)</f>
        <v>0.10624912963146339</v>
      </c>
      <c r="K125" s="77">
        <f t="shared" ref="K125" si="54">IF(K$4="","",K124/Market_Price)</f>
        <v>9.2081158483422451E-2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0.17339792579870675</v>
      </c>
      <c r="H126" s="23">
        <f>IF(H$4="","",(Data!D47*$C$3)/(Market_Price*Common_Shares))</f>
        <v>0.12605305759637928</v>
      </c>
      <c r="I126" s="23">
        <f>IF(I$4="","",(Data!E47*$C$3)/(Market_Price*Common_Shares))</f>
        <v>0.13661084507585874</v>
      </c>
      <c r="J126" s="23">
        <f>IF(J$4="","",(Data!F47*$C$3)/(Market_Price*Common_Shares))</f>
        <v>9.9815130292975646E-2</v>
      </c>
      <c r="K126" s="23">
        <f>IF(K$4="","",(Data!G47*$C$3)/(Market_Price*Common_Shares))</f>
        <v>8.4997905900965953E-2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-17.36</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17.36</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17.36</v>
      </c>
      <c r="D86" t="str">
        <f>Market_currency</f>
        <v>HKD</v>
      </c>
    </row>
    <row r="87" spans="2:8" ht="13.15">
      <c r="B87" s="100" t="s">
        <v>305</v>
      </c>
      <c r="C87" s="265">
        <f ca="1">IRR(OFFSET($I$3, 0, 0, $C$76 + 1, 1))</f>
        <v>0.13150710314103176</v>
      </c>
    </row>
    <row r="88" spans="2:8">
      <c r="B88" s="100"/>
    </row>
    <row r="89" spans="2:8" ht="13.15">
      <c r="B89" s="109" t="s">
        <v>422</v>
      </c>
    </row>
    <row r="90" spans="2:8">
      <c r="B90" s="149" t="s">
        <v>423</v>
      </c>
      <c r="C90" s="168">
        <f>Thesis!E19</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Thesis!C67</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