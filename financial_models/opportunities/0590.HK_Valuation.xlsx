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1BFE899-2DF4-414C-BD0E-2AB889722FE9}"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62" i="4"/>
  <c r="E62" i="4"/>
  <c r="F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D68" i="8"/>
  <c r="F70" i="8"/>
  <c r="E67" i="8"/>
  <c r="B70" i="8"/>
  <c r="C66" i="8"/>
  <c r="E70" i="8"/>
  <c r="F71" i="8"/>
  <c r="E69" i="8"/>
  <c r="C69" i="8"/>
  <c r="B68" i="8"/>
  <c r="B67" i="8"/>
  <c r="D66" i="8"/>
  <c r="B66" i="8"/>
  <c r="G54" i="2"/>
  <c r="E66" i="8" l="1"/>
  <c r="F69" i="8"/>
  <c r="C70" i="8"/>
  <c r="C71" i="8"/>
  <c r="C68"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<sst xmlns="http://schemas.openxmlformats.org/spreadsheetml/2006/main" count="626" uniqueCount="439">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</sst>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17.64</v>
      </c>
      <c r="D12" s="50"/>
      <c r="E12" s="48"/>
    </row>
    <row r="13" spans="1:10">
      <c r="B13" s="1" t="s">
        <v>425</v>
      </c>
      <c r="C13" s="48" t="s">
        <v>404</v>
      </c>
      <c r="D13" s="48"/>
      <c r="E13" s="5"/>
    </row>
    <row r="14" spans="1:10">
      <c r="B14" s="4" t="s">
        <v>429</v>
      </c>
      <c r="C14" s="35">
        <f>Thesis!C12*Common_Shares/1000000</f>
        <v>10356.582474000001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9.6350511887729162</v>
      </c>
      <c r="D25" s="1" t="s">
        <v>315</v>
      </c>
      <c r="E25" s="330">
        <v>3</v>
      </c>
    </row>
    <row r="26" spans="1:6">
      <c r="B26" s="1" t="s">
        <v>407</v>
      </c>
      <c r="C26" s="280">
        <f ca="1">Scenarios!C87</f>
        <v>0.12506237700703315</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1398534.6033278927</v>
      </c>
      <c r="D35" s="1" t="str">
        <f>Reporting_currency</f>
        <v>HKD</v>
      </c>
    </row>
    <row r="36" spans="2:6">
      <c r="B36" s="47"/>
      <c r="C36" s="76"/>
    </row>
    <row r="37" spans="2:6" ht="24.4" customHeight="1">
      <c r="B37" s="346" t="s">
        <v>234</v>
      </c>
      <c r="C37" s="346"/>
      <c r="D37" s="346"/>
      <c r="E37" s="346"/>
      <c r="F37" s="346"/>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-338171.38555405382</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9.7958391120727295E-2</v>
      </c>
    </row>
    <row r="64" spans="2:6">
      <c r="B64" s="254" t="s">
        <v>316</v>
      </c>
      <c r="C64" s="92">
        <f>Normalized_FCF!C93</f>
        <v>7.7097505668934238E-2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5" t="s">
        <v>374</v>
      </c>
      <c r="C106" s="345"/>
      <c r="D106" s="345"/>
      <c r="E106" s="345"/>
      <c r="F106" s="345"/>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0.4</v>
      </c>
    </row>
    <row r="137" spans="2:6">
      <c r="B137" s="236" t="str">
        <f>"PV("&amp;C131&amp;" yrs of Dividends)"</f>
        <v>PV(3 yrs of Dividends)</v>
      </c>
      <c r="C137" s="240">
        <f>Scenarios!C81</f>
        <v>2.1609329446064134</v>
      </c>
    </row>
    <row r="138" spans="2:6">
      <c r="B138" s="236" t="str">
        <f>"+ PV(Equity Value realized at year "&amp;C131&amp;")"</f>
        <v>+ PV(Equity Value realized at year 3)</v>
      </c>
      <c r="C138" s="240">
        <f>Scenarios!C82</f>
        <v>7.4741182441665019</v>
      </c>
    </row>
    <row r="139" spans="2:6">
      <c r="B139" s="80" t="s">
        <v>261</v>
      </c>
      <c r="C139" s="239">
        <f>Scenarios!C83</f>
        <v>9.6350511887729162</v>
      </c>
      <c r="D139" s="342" t="str">
        <f>IF($D$11="","",C139*$E$22)</f>
        <v/>
      </c>
    </row>
    <row r="140" spans="2:6">
      <c r="B140" s="290" t="s">
        <v>425</v>
      </c>
      <c r="C140" s="340" t="str">
        <f>Market_currency</f>
        <v>HKD</v>
      </c>
      <c r="D140" s="340" t="str">
        <f>IF($D$11="","",D$13)</f>
        <v/>
      </c>
    </row>
    <row r="141" spans="2:6">
      <c r="B141" s="238" t="s">
        <v>263</v>
      </c>
      <c r="C141" s="92">
        <f>Scenarios!F83</f>
        <v>0.53020330744238908</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7.7097505668934238E-2</v>
      </c>
      <c r="E93" s="302"/>
      <c r="G93" s="23">
        <f t="shared" ref="G93:Q93" si="39">IF(G$4="","",G90/Market_Price)</f>
        <v>7.7097505668934238E-2</v>
      </c>
      <c r="H93" s="23">
        <f t="shared" si="39"/>
        <v>6.2358276643990934E-2</v>
      </c>
      <c r="I93" s="23">
        <f t="shared" si="39"/>
        <v>6.2358276643990934E-2</v>
      </c>
      <c r="J93" s="23">
        <f t="shared" si="39"/>
        <v>5.6689342403628114E-2</v>
      </c>
      <c r="K93" s="23">
        <f t="shared" si="39"/>
        <v>5.6689342403628114E-2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9.7958391120727295E-2</v>
      </c>
      <c r="D125" s="27"/>
      <c r="E125" s="299"/>
      <c r="F125" s="27"/>
      <c r="G125" s="77">
        <f t="shared" ref="G125" si="50">IF(G$4="","",G124/Market_Price)</f>
        <v>0.12469692025631451</v>
      </c>
      <c r="H125" s="77">
        <f t="shared" ref="H125" si="51">IF(H$4="","",H124/Market_Price)</f>
        <v>0.1296316414472044</v>
      </c>
      <c r="I125" s="77">
        <f t="shared" ref="I125" si="52">IF(I$4="","",I124/Market_Price)</f>
        <v>0.10871817515633846</v>
      </c>
      <c r="J125" s="77">
        <f t="shared" ref="J125" si="53">IF(J$4="","",J124/Market_Price)</f>
        <v>0.10456263551032904</v>
      </c>
      <c r="K125" s="77">
        <f t="shared" ref="K125" si="54">IF(K$4="","",K124/Market_Price)</f>
        <v>9.0619552793209393E-2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0.17064557777015585</v>
      </c>
      <c r="H126" s="23">
        <f>IF(H$4="","",(Data!D47*$C$3)/(Market_Price*Common_Shares))</f>
        <v>0.12405221541230976</v>
      </c>
      <c r="I126" s="23">
        <f>IF(I$4="","",(Data!E47*$C$3)/(Market_Price*Common_Shares))</f>
        <v>0.1344424189635435</v>
      </c>
      <c r="J126" s="23">
        <f>IF(J$4="","",(Data!F47*$C$3)/(Market_Price*Common_Shares))</f>
        <v>9.8230763145468095E-2</v>
      </c>
      <c r="K126" s="23">
        <f>IF(K$4="","",(Data!G47*$C$3)/(Market_Price*Common_Shares))</f>
        <v>8.3648732791426816E-2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-17.64</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17.64</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9">
        <f>(1-C83/C60)</f>
        <v>0.53020330744238908</v>
      </c>
    </row>
    <row r="84" spans="2:8">
      <c r="E84" s="121"/>
    </row>
    <row r="85" spans="2:8" ht="13.15">
      <c r="B85" s="109" t="s">
        <v>309</v>
      </c>
    </row>
    <row r="86" spans="2:8">
      <c r="B86" s="149" t="s">
        <v>307</v>
      </c>
      <c r="C86" s="266">
        <f>Market_Price</f>
        <v>17.64</v>
      </c>
      <c r="D86" t="str">
        <f>Market_currency</f>
        <v>HKD</v>
      </c>
    </row>
    <row r="87" spans="2:8" ht="13.15">
      <c r="B87" s="100" t="s">
        <v>305</v>
      </c>
      <c r="C87" s="265">
        <f ca="1">IRR(OFFSET($I$3, 0, 0, $C$76 + 1, 1))</f>
        <v>0.12506237700703315</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