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BBC34D5-3D8B-4476-8899-4D6F10AE5173}"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N43" i="2"/>
  <c r="N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3" i="2" l="1"/>
  <c r="C24" i="2"/>
  <c r="G30" i="2"/>
  <c r="C73" i="3"/>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C82" i="9" l="1"/>
  <c r="C122" i="6" s="1"/>
  <c r="C116" i="6"/>
  <c r="B122" i="6" s="1"/>
  <c r="I8" i="9"/>
  <c r="I4" i="9"/>
  <c r="I5" i="9"/>
  <c r="I11" i="9"/>
  <c r="I6" i="9"/>
  <c r="I12" i="9"/>
  <c r="I7" i="9"/>
  <c r="I13" i="9"/>
  <c r="I9" i="9"/>
  <c r="C81" i="9"/>
  <c r="C121" i="6" s="1"/>
  <c r="F60" i="9"/>
  <c r="C76" i="9"/>
  <c r="I10" i="9" s="1"/>
  <c r="C87" i="9"/>
  <c r="C21" i="6" s="1"/>
  <c r="C83" i="9" l="1"/>
  <c r="B121" i="6"/>
  <c r="F83" i="9" l="1"/>
  <c r="C124" i="6" s="1"/>
  <c r="C123" i="6"/>
  <c r="C20" i="6" s="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<sst xmlns="http://schemas.openxmlformats.org/spreadsheetml/2006/main" count="556" uniqueCount="386">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</sst>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D24" sqref="D24"/>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353</v>
      </c>
      <c r="C5" s="48" t="s">
        <v>376</v>
      </c>
      <c r="D5" s="49" t="s">
        <v>377</v>
      </c>
    </row>
    <row r="6" spans="1:10" x14ac:dyDescent="0.35">
      <c r="B6" s="4" t="s">
        <v>99</v>
      </c>
      <c r="C6" s="50">
        <v>15.1</v>
      </c>
      <c r="D6" s="48" t="s">
        <v>43</v>
      </c>
      <c r="E6" s="48"/>
    </row>
    <row r="7" spans="1:10" x14ac:dyDescent="0.35">
      <c r="B7" s="4" t="s">
        <v>0</v>
      </c>
      <c r="C7" s="51">
        <v>587107850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8865.3285350000006</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13.538366385360966</v>
      </c>
      <c r="D20" s="1" t="s">
        <v>344</v>
      </c>
      <c r="E20" s="323">
        <v>3</v>
      </c>
    </row>
    <row r="21" spans="1:6" x14ac:dyDescent="0.35">
      <c r="B21" s="1" t="s">
        <v>343</v>
      </c>
      <c r="C21" s="288">
        <f ca="1">Scenarios!C87</f>
        <v>0.15361989461854253</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v>
      </c>
    </row>
    <row r="29" spans="1:6" ht="24.4" customHeight="1" x14ac:dyDescent="0.35">
      <c r="B29" s="332" t="s">
        <v>238</v>
      </c>
      <c r="C29" s="332"/>
      <c r="D29" s="332"/>
      <c r="E29" s="332"/>
      <c r="F29" s="332"/>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32" t="s">
        <v>243</v>
      </c>
      <c r="C36" s="332"/>
      <c r="D36" s="332"/>
      <c r="E36" s="332"/>
      <c r="F36" s="332"/>
    </row>
    <row r="37" spans="2:6" x14ac:dyDescent="0.35">
      <c r="B37" s="47" t="s">
        <v>244</v>
      </c>
      <c r="C37" s="192">
        <f>Normalized_FCF!C11</f>
        <v>0</v>
      </c>
      <c r="D37" s="1" t="str">
        <f>Reporting_currency</f>
        <v>HKD</v>
      </c>
    </row>
    <row r="39" spans="2:6" x14ac:dyDescent="0.35">
      <c r="B39" s="332" t="s">
        <v>247</v>
      </c>
      <c r="C39" s="332"/>
      <c r="D39" s="332"/>
      <c r="E39" s="332"/>
      <c r="F39" s="332"/>
    </row>
    <row r="40" spans="2:6" x14ac:dyDescent="0.35">
      <c r="B40" s="47" t="s">
        <v>245</v>
      </c>
      <c r="C40" s="192">
        <f>Normalized_FCF!C12</f>
        <v>-30619</v>
      </c>
      <c r="D40" s="1" t="str">
        <f>Reporting_currency</f>
        <v>HKD</v>
      </c>
    </row>
    <row r="42" spans="2:6" x14ac:dyDescent="0.35">
      <c r="B42" s="1" t="s">
        <v>255</v>
      </c>
    </row>
    <row r="43" spans="2:6" x14ac:dyDescent="0.35">
      <c r="B43" s="47" t="s">
        <v>283</v>
      </c>
      <c r="C43" s="192">
        <f>Normalized_FCF!C15</f>
        <v>0</v>
      </c>
      <c r="D43" s="1" t="str">
        <f>Reporting_currency</f>
        <v>HKD</v>
      </c>
    </row>
    <row r="45" spans="2:6" x14ac:dyDescent="0.35">
      <c r="B45" s="332" t="s">
        <v>248</v>
      </c>
      <c r="C45" s="332"/>
      <c r="D45" s="332"/>
      <c r="E45" s="332"/>
      <c r="F45" s="332"/>
    </row>
    <row r="46" spans="2:6" x14ac:dyDescent="0.35">
      <c r="B46" s="47" t="s">
        <v>246</v>
      </c>
      <c r="C46" s="192">
        <f>Normalized_FCF!C14</f>
        <v>-341978.90083197318</v>
      </c>
      <c r="D46" s="1" t="str">
        <f>Reporting_currency</f>
        <v>HKD</v>
      </c>
    </row>
    <row r="48" spans="2:6" ht="24.4" customHeight="1" x14ac:dyDescent="0.35">
      <c r="B48" s="332" t="s">
        <v>251</v>
      </c>
      <c r="C48" s="336"/>
      <c r="D48" s="336"/>
      <c r="E48" s="336"/>
      <c r="F48" s="336"/>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3" t="s">
        <v>272</v>
      </c>
      <c r="C52" s="333"/>
      <c r="D52" s="333"/>
      <c r="E52" s="333"/>
      <c r="F52" s="333"/>
    </row>
    <row r="53" spans="1:6" x14ac:dyDescent="0.35">
      <c r="B53" s="47" t="s">
        <v>289</v>
      </c>
      <c r="C53" s="192">
        <f>Normalized_FCF!G19</f>
        <v>1306664</v>
      </c>
      <c r="D53" s="1" t="str">
        <f>Reporting_currency</f>
        <v>HKD</v>
      </c>
    </row>
    <row r="54" spans="1:6" x14ac:dyDescent="0.35">
      <c r="B54" s="47" t="s">
        <v>258</v>
      </c>
      <c r="C54" s="192">
        <f>Normalized_FCF!C19</f>
        <v>1025936.7024959195</v>
      </c>
      <c r="D54" s="1" t="str">
        <f>Reporting_currency</f>
        <v>HKD</v>
      </c>
    </row>
    <row r="55" spans="1:6" x14ac:dyDescent="0.35">
      <c r="B55" s="261" t="s">
        <v>288</v>
      </c>
      <c r="C55" s="94">
        <f>Normalized_FCF!C120</f>
        <v>0.11572461172144474</v>
      </c>
    </row>
    <row r="56" spans="1:6" x14ac:dyDescent="0.35">
      <c r="B56" s="261" t="s">
        <v>345</v>
      </c>
      <c r="C56" s="94">
        <f>Normalized_FCF!C92</f>
        <v>9.0066225165562924E-2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19.416018188820175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2034922</v>
      </c>
      <c r="D81" s="1" t="str">
        <f>Reporting_currency</f>
        <v>HKD</v>
      </c>
    </row>
    <row r="82" spans="2:6" x14ac:dyDescent="0.35">
      <c r="B82" s="47" t="s">
        <v>308</v>
      </c>
      <c r="C82" s="255">
        <f>C81*C28*Exchange_Rate/Common_Shares</f>
        <v>3.4660105464438944</v>
      </c>
      <c r="D82" s="1" t="str">
        <f>Market_currency</f>
        <v>HKD</v>
      </c>
    </row>
    <row r="84" spans="2:6" x14ac:dyDescent="0.35">
      <c r="B84" s="1" t="s">
        <v>267</v>
      </c>
    </row>
    <row r="85" spans="2:6" x14ac:dyDescent="0.35">
      <c r="B85" s="47" t="s">
        <v>282</v>
      </c>
      <c r="C85" s="192">
        <f>BS!C66</f>
        <v>1998219</v>
      </c>
      <c r="D85" s="1" t="str">
        <f>Reporting_currency</f>
        <v>HKD</v>
      </c>
    </row>
    <row r="86" spans="2:6" x14ac:dyDescent="0.35">
      <c r="B86" s="47" t="s">
        <v>284</v>
      </c>
      <c r="C86" s="192">
        <f>Valuation_Model!C8</f>
        <v>1116785.5502773244</v>
      </c>
      <c r="D86" s="1" t="str">
        <f>Reporting_currency</f>
        <v>HKD</v>
      </c>
    </row>
    <row r="87" spans="2:6" x14ac:dyDescent="0.35">
      <c r="B87" s="47" t="s">
        <v>309</v>
      </c>
      <c r="C87" s="255">
        <f>C86*C28*Exchange_Rate/Common_Shares</f>
        <v>1.9021812606956703</v>
      </c>
      <c r="D87" s="1" t="str">
        <f>Market_currency</f>
        <v>HKD</v>
      </c>
    </row>
    <row r="89" spans="2:6" x14ac:dyDescent="0.35">
      <c r="B89" s="1" t="s">
        <v>269</v>
      </c>
    </row>
    <row r="90" spans="2:6" x14ac:dyDescent="0.35">
      <c r="B90" s="47" t="s">
        <v>270</v>
      </c>
      <c r="C90" s="192">
        <f>Valuation_Model!C9</f>
        <v>92572.6</v>
      </c>
      <c r="D90" s="1" t="str">
        <f>Reporting_currency</f>
        <v>HKD</v>
      </c>
    </row>
    <row r="91" spans="2:6" x14ac:dyDescent="0.35">
      <c r="B91" s="47" t="s">
        <v>310</v>
      </c>
      <c r="C91" s="255">
        <f>C90*C28*Exchange_Rate/Common_Shares</f>
        <v>0.15767562978420405</v>
      </c>
      <c r="D91" s="1" t="str">
        <f>Market_currency</f>
        <v>HKD</v>
      </c>
    </row>
    <row r="93" spans="2:6" ht="24.4" customHeight="1" x14ac:dyDescent="0.35">
      <c r="B93" s="333" t="s">
        <v>271</v>
      </c>
      <c r="C93" s="333"/>
      <c r="D93" s="333"/>
      <c r="E93" s="333"/>
      <c r="F93" s="333"/>
    </row>
    <row r="95" spans="2:6" x14ac:dyDescent="0.35">
      <c r="B95" s="47" t="s">
        <v>304</v>
      </c>
      <c r="C95" s="255">
        <f>Valuation_Model!C12</f>
        <v>18.009864532856156</v>
      </c>
      <c r="D95" s="1" t="str">
        <f>Market_currency</f>
        <v>HKD</v>
      </c>
    </row>
    <row r="97" spans="1:6" ht="13.9" x14ac:dyDescent="0.45">
      <c r="A97" s="254" t="s">
        <v>281</v>
      </c>
      <c r="B97" s="36"/>
      <c r="C97" s="36"/>
      <c r="D97" s="36"/>
      <c r="E97" s="36"/>
      <c r="F97" s="36"/>
    </row>
    <row r="99" spans="1:6" ht="24.4" customHeight="1" x14ac:dyDescent="0.35">
      <c r="B99" s="332" t="s">
        <v>374</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0.08</v>
      </c>
      <c r="D102" s="264">
        <f>Valuation_Model!D74</f>
        <v>10</v>
      </c>
      <c r="E102" s="265" t="str">
        <f>ROUND(Valuation_Model!E74,2)&amp;" "&amp;Market_currency</f>
        <v>24.07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19.66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18.66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16.48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13.86 HKD</v>
      </c>
      <c r="F106" s="253">
        <f>Valuation_Model!F78</f>
        <v>0.02</v>
      </c>
    </row>
    <row r="108" spans="1:6" x14ac:dyDescent="0.35">
      <c r="B108" s="242" t="s">
        <v>273</v>
      </c>
      <c r="C108" s="248">
        <f>Scenarios!C60</f>
        <v>18.443897113903752</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1.36</v>
      </c>
      <c r="D118" s="243" t="str">
        <f>Market_currency</f>
        <v>HKD</v>
      </c>
    </row>
    <row r="120" spans="2:6" x14ac:dyDescent="0.35">
      <c r="B120" s="241" t="s">
        <v>278</v>
      </c>
    </row>
    <row r="121" spans="2:6" x14ac:dyDescent="0.35">
      <c r="B121" s="243" t="str">
        <f>"PV("&amp;C116&amp;" yrs of Dividends)"</f>
        <v>PV(3 yrs of Dividends)</v>
      </c>
      <c r="C121" s="247">
        <f>Scenarios!C81</f>
        <v>2.8648148148148147</v>
      </c>
    </row>
    <row r="122" spans="2:6" x14ac:dyDescent="0.35">
      <c r="B122" s="243" t="str">
        <f>"+ PV(Equity Value realized at year "&amp;C116&amp;")"</f>
        <v>+ PV(Equity Value realized at year 3)</v>
      </c>
      <c r="C122" s="247">
        <f>Scenarios!C82</f>
        <v>10.673551570546152</v>
      </c>
    </row>
    <row r="123" spans="2:6" x14ac:dyDescent="0.35">
      <c r="B123" s="82" t="s">
        <v>275</v>
      </c>
      <c r="C123" s="246">
        <f>Scenarios!C83</f>
        <v>13.538366385360966</v>
      </c>
      <c r="D123" s="47" t="str">
        <f>Reporting_currency</f>
        <v>HKD</v>
      </c>
    </row>
    <row r="124" spans="2:6" x14ac:dyDescent="0.35">
      <c r="B124" s="245" t="s">
        <v>277</v>
      </c>
      <c r="C124" s="158">
        <f>Scenarios!F83</f>
        <v>-0.26597040193012134</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4">
        <v>0.6</v>
      </c>
      <c r="E4" s="25"/>
      <c r="F4" s="4" t="s">
        <v>82</v>
      </c>
      <c r="G4" s="19">
        <v>1998219</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9672256</v>
      </c>
      <c r="D6" s="304">
        <v>0.5</v>
      </c>
      <c r="E6" s="25"/>
      <c r="F6" s="4" t="s">
        <v>182</v>
      </c>
      <c r="G6" s="19">
        <v>0</v>
      </c>
      <c r="H6" s="304">
        <v>0.6</v>
      </c>
    </row>
    <row r="7" spans="2:8" ht="15" customHeight="1" x14ac:dyDescent="0.35">
      <c r="B7" s="1" t="s">
        <v>73</v>
      </c>
      <c r="C7" s="19">
        <v>0</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366595</v>
      </c>
      <c r="D9" s="304">
        <v>0.1</v>
      </c>
      <c r="E9" s="25"/>
      <c r="F9" s="4" t="s">
        <v>185</v>
      </c>
      <c r="G9" s="19">
        <v>0</v>
      </c>
      <c r="H9" s="304">
        <v>0.6</v>
      </c>
    </row>
    <row r="10" spans="2:8" ht="15" customHeight="1" x14ac:dyDescent="0.35">
      <c r="B10" s="4" t="s">
        <v>12</v>
      </c>
      <c r="C10" s="19">
        <v>29465</v>
      </c>
      <c r="D10" s="304">
        <v>0.9</v>
      </c>
      <c r="H10" s="305"/>
    </row>
    <row r="11" spans="2:8" ht="15" customHeight="1" x14ac:dyDescent="0.35">
      <c r="B11" s="4" t="s">
        <v>13</v>
      </c>
      <c r="C11" s="19">
        <v>0</v>
      </c>
      <c r="D11" s="304">
        <v>0.05</v>
      </c>
      <c r="H11" s="305"/>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4">
        <v>0.4</v>
      </c>
      <c r="F15" s="4" t="s">
        <v>83</v>
      </c>
      <c r="G15" s="19">
        <v>0</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0</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2522337</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538321</v>
      </c>
      <c r="D21" s="304">
        <v>0.05</v>
      </c>
      <c r="F21" s="1" t="s">
        <v>185</v>
      </c>
      <c r="G21" s="19">
        <v>925726</v>
      </c>
      <c r="H21" s="304">
        <v>0.1</v>
      </c>
    </row>
    <row r="22" spans="2:8" ht="15" customHeight="1" x14ac:dyDescent="0.35">
      <c r="B22" s="4" t="s">
        <v>21</v>
      </c>
      <c r="C22" s="19">
        <v>154648</v>
      </c>
      <c r="D22" s="304">
        <v>0.9</v>
      </c>
      <c r="H22" s="305"/>
    </row>
    <row r="23" spans="2:8" ht="15" customHeight="1" x14ac:dyDescent="0.35">
      <c r="B23" s="4" t="s">
        <v>22</v>
      </c>
      <c r="C23" s="19">
        <v>277674</v>
      </c>
      <c r="D23" s="304">
        <v>0</v>
      </c>
      <c r="H23" s="305"/>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253</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12890860</v>
      </c>
      <c r="D46" s="192">
        <f>H29</f>
        <v>3446088.45</v>
      </c>
      <c r="F46" s="291"/>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1.4550387206421544</v>
      </c>
      <c r="D50" s="98">
        <f>G31/Normalized_FCF!G8</f>
        <v>1.0842664509772892</v>
      </c>
      <c r="F50" s="291"/>
    </row>
    <row r="51" spans="2:8" ht="15" customHeight="1" x14ac:dyDescent="0.35">
      <c r="B51" s="1" t="s">
        <v>181</v>
      </c>
      <c r="C51" s="209"/>
      <c r="D51" s="94">
        <f>G29/G32</f>
        <v>0.76485172952944758</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0.10039645772788393</v>
      </c>
      <c r="D54" s="94">
        <f>Normalized_FCF!G8/G35</f>
        <v>0.13472770763839131</v>
      </c>
      <c r="F54" s="291"/>
    </row>
    <row r="55" spans="2:8" ht="15" customHeight="1" x14ac:dyDescent="0.35">
      <c r="B55" s="1" t="s">
        <v>146</v>
      </c>
      <c r="C55" s="94">
        <f>Normalized_FCF!C11/G40</f>
        <v>0</v>
      </c>
      <c r="D55" s="94">
        <f>Normalized_FCF!G11/G40</f>
        <v>2.1854036242131779E-4</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0</v>
      </c>
      <c r="D62" s="94">
        <f>G28/G29</f>
        <v>-2.0915594459950692E-3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1998219</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-1120765.75</v>
      </c>
      <c r="D73" s="192">
        <f>(Normalized_FCF!C25+Normalized_FCF!C35)/12</f>
        <v>-881433.44972267561</v>
      </c>
    </row>
    <row r="74" spans="2:6" ht="15" customHeight="1" x14ac:dyDescent="0.35">
      <c r="B74" s="297" t="s">
        <v>364</v>
      </c>
      <c r="C74" s="298">
        <f>-$C$66/C73</f>
        <v>1.7829051253573729</v>
      </c>
      <c r="D74" s="298">
        <f>-$C$66/D73</f>
        <v>2.2670106298197523</v>
      </c>
      <c r="F74" s="291" t="s">
        <v>360</v>
      </c>
    </row>
    <row r="75" spans="2:6" ht="15" customHeight="1" x14ac:dyDescent="0.35">
      <c r="B75" s="82" t="s">
        <v>361</v>
      </c>
      <c r="C75" s="303"/>
      <c r="D75" s="302">
        <f>MIN(D73*D76,-G5)</f>
        <v>-881433.44972267561</v>
      </c>
      <c r="F75" s="291" t="s">
        <v>363</v>
      </c>
    </row>
    <row r="76" spans="2:6" ht="15" customHeight="1" x14ac:dyDescent="0.35">
      <c r="B76" s="299" t="s">
        <v>365</v>
      </c>
      <c r="C76" s="300"/>
      <c r="D76" s="301">
        <f>IF(D74&lt;=3,1,IF(D74&gt;10,5,2))</f>
        <v>1</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0</v>
      </c>
      <c r="D79" s="192">
        <f>G7*H7+G17*H17</f>
        <v>0</v>
      </c>
      <c r="F79" s="291"/>
    </row>
    <row r="80" spans="2:6" ht="15" customHeight="1" x14ac:dyDescent="0.35">
      <c r="B80" s="108" t="s">
        <v>187</v>
      </c>
      <c r="C80" s="20">
        <f>G19</f>
        <v>0</v>
      </c>
      <c r="D80" s="192">
        <f>G19*H19</f>
        <v>0</v>
      </c>
      <c r="F80" s="291"/>
    </row>
    <row r="81" spans="2:8" ht="15" customHeight="1" x14ac:dyDescent="0.35">
      <c r="B81" s="108" t="s">
        <v>185</v>
      </c>
      <c r="C81" s="20">
        <f>G9+G21</f>
        <v>925726</v>
      </c>
      <c r="D81" s="192">
        <f>G9*H9+G21*H21</f>
        <v>92572.6</v>
      </c>
      <c r="F81" s="291"/>
    </row>
    <row r="82" spans="2:8" ht="15" customHeight="1" x14ac:dyDescent="0.35">
      <c r="B82" s="82" t="s">
        <v>194</v>
      </c>
      <c r="C82" s="83">
        <f>SUM(C79:C81)</f>
        <v>925726</v>
      </c>
      <c r="D82" s="83">
        <f>SUM(D79:D81)</f>
        <v>92572.6</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-2034922</v>
      </c>
      <c r="D86" s="255">
        <f>C86*$H$1/Common_Shares</f>
        <v>-3.4660105464438944</v>
      </c>
      <c r="E86" s="277" t="str">
        <f>Market_currency</f>
        <v>HKD</v>
      </c>
    </row>
    <row r="87" spans="2:8" ht="15" customHeight="1" x14ac:dyDescent="0.35">
      <c r="B87" s="275" t="s">
        <v>320</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324</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AVERAGE(G4:J4)</f>
        <v>11975736</v>
      </c>
      <c r="D4" s="57"/>
      <c r="E4" s="310"/>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2"/>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2"/>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2"/>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8"/>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2"/>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-463424.00000000006</v>
      </c>
      <c r="E10" s="312"/>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-30619</v>
      </c>
      <c r="E12" s="312"/>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1367915.6033278927</v>
      </c>
      <c r="E13" s="312"/>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-341978.90083197318</v>
      </c>
      <c r="E14" s="312"/>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0</v>
      </c>
      <c r="D15" s="61"/>
      <c r="E15" s="319"/>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1025936.7024959195</v>
      </c>
      <c r="D16" s="62"/>
      <c r="E16" s="320"/>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1025936.7024959195</v>
      </c>
      <c r="D19" s="27"/>
      <c r="E19" s="309"/>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1"/>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09"/>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7"/>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AVERAGE(G28:J28)</f>
        <v>0.72134257435984139</v>
      </c>
      <c r="D28" s="26"/>
      <c r="E28" s="310" t="s">
        <v>380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0" t="s">
        <v>380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AVERAGE(G33:J33)</f>
        <v>-302359.25</v>
      </c>
      <c r="E33" s="310" t="s">
        <v>380</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1"/>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2.5247654924924864E-2</v>
      </c>
      <c r="D38" s="27"/>
      <c r="E38" s="30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381</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-59596</v>
      </c>
      <c r="E47" s="312"/>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28977</v>
      </c>
      <c r="E48" s="312"/>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-30619</v>
      </c>
      <c r="E49" s="312"/>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1.4501413508729523E-2</v>
      </c>
      <c r="E52" s="309" t="s">
        <v>382</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92</v>
      </c>
      <c r="C53" s="84">
        <f>Normalized_FCF!G53</f>
        <v>2.9286626219579916E-2</v>
      </c>
      <c r="E53" s="309" t="s">
        <v>383</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95</v>
      </c>
      <c r="C54" s="42">
        <f>-C8/C47</f>
        <v>23.466920654538772</v>
      </c>
      <c r="E54" s="312"/>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0.85797166426114502</v>
      </c>
      <c r="D72" s="27"/>
      <c r="E72" s="309"/>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0.14202833573885504</v>
      </c>
      <c r="D73" s="27"/>
      <c r="E73" s="309"/>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2.5247654924924864E-2</v>
      </c>
      <c r="D74" s="27"/>
      <c r="E74" s="309"/>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0.11678068081393016</v>
      </c>
      <c r="D75" s="27"/>
      <c r="E75" s="309"/>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3.8696911822371505E-2</v>
      </c>
      <c r="D76" s="27"/>
      <c r="E76" s="309"/>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3.8696911822371505E-2</v>
      </c>
      <c r="D77" s="27"/>
      <c r="E77" s="310" t="s">
        <v>385</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2.5567530880774257E-3</v>
      </c>
      <c r="D79" s="27"/>
      <c r="E79" s="309"/>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0.11422392772585273</v>
      </c>
      <c r="D80" s="27"/>
      <c r="E80" s="309"/>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2.8555981931463182E-2</v>
      </c>
      <c r="D81" s="27"/>
      <c r="E81" s="309"/>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0</v>
      </c>
      <c r="D82" s="27"/>
      <c r="E82" s="309"/>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8.5667945794389549E-2</v>
      </c>
      <c r="D83" s="27"/>
      <c r="E83" s="309"/>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8.5667945794389549E-2</v>
      </c>
      <c r="D86" s="77"/>
      <c r="E86" s="309"/>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1.36</v>
      </c>
      <c r="E89" s="312"/>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2"/>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0.77828064251671092</v>
      </c>
      <c r="E91" s="312"/>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9.0066225165562924E-2</v>
      </c>
      <c r="E92" s="312"/>
      <c r="G92" s="23">
        <f t="shared" ref="G92:Q92" si="38">IF(G$4="","",G89/Market_Price)</f>
        <v>9.0066225165562924E-2</v>
      </c>
      <c r="H92" s="23">
        <f t="shared" si="38"/>
        <v>7.2847682119205309E-2</v>
      </c>
      <c r="I92" s="23">
        <f t="shared" si="38"/>
        <v>7.2847682119205309E-2</v>
      </c>
      <c r="J92" s="23">
        <f t="shared" si="38"/>
        <v>6.6225165562913912E-2</v>
      </c>
      <c r="K92" s="23">
        <f t="shared" si="38"/>
        <v>6.6225165562913912E-2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-0.2185980886550547</v>
      </c>
      <c r="D95" s="27"/>
      <c r="E95" s="309"/>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-0.16275524177674994</v>
      </c>
      <c r="D96" s="27"/>
      <c r="E96" s="309"/>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16854064</v>
      </c>
      <c r="D100" s="26"/>
      <c r="E100" s="313"/>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265773</v>
      </c>
      <c r="D101" s="91"/>
      <c r="E101" s="314"/>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9672256</v>
      </c>
      <c r="D102" s="91"/>
      <c r="E102" s="314"/>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3990166</v>
      </c>
      <c r="D103" s="26"/>
      <c r="E103" s="313"/>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12863898</v>
      </c>
      <c r="D104" s="26"/>
      <c r="E104" s="313"/>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2.2192623484686036E-2</v>
      </c>
      <c r="D107" s="26"/>
      <c r="E107" s="313"/>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0.80765441055146836</v>
      </c>
      <c r="D108" s="26"/>
      <c r="E108" s="313"/>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0.11422392772585273</v>
      </c>
      <c r="E112" s="312"/>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0.71055479556740742</v>
      </c>
      <c r="E113" s="312"/>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1.3101832741522048</v>
      </c>
      <c r="D114" s="11"/>
      <c r="E114" s="316"/>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0.10871779326358874</v>
      </c>
      <c r="D115" s="106"/>
      <c r="E115" s="315"/>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09"/>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0.11572461172144474</v>
      </c>
      <c r="D120" s="27"/>
      <c r="E120" s="309"/>
      <c r="F120" s="27"/>
      <c r="G120" s="79">
        <f t="shared" ref="G120" si="49">IF(G$4="","",G119/Market_Price)</f>
        <v>0.14739036402783465</v>
      </c>
      <c r="H120" s="79">
        <f t="shared" ref="H120" si="50">IF(H$4="","",H119/Market_Price)</f>
        <v>0.15340108317824458</v>
      </c>
      <c r="I120" s="79">
        <f t="shared" ref="I120" si="51">IF(I$4="","",I119/Market_Price)</f>
        <v>0.13218415937701061</v>
      </c>
      <c r="J120" s="79">
        <f t="shared" ref="J120" si="52">IF(J$4="","",J119/Market_Price)</f>
        <v>0.12590994181356641</v>
      </c>
      <c r="K120" s="79">
        <f t="shared" ref="K120" si="53">IF(K$4="","",K119/Market_Price)</f>
        <v>0.10855739820588613</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1025936.7024959195</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11399296.694399107</v>
      </c>
      <c r="D6" t="str">
        <f>Reporting_currency</f>
        <v>HKD</v>
      </c>
      <c r="E6" s="338" t="s">
        <v>259</v>
      </c>
      <c r="F6" s="338"/>
      <c r="H6" s="124"/>
    </row>
    <row r="7" spans="2:8" x14ac:dyDescent="0.35">
      <c r="B7" s="152" t="s">
        <v>229</v>
      </c>
      <c r="C7" s="233">
        <f>BS!G31</f>
        <v>2034922</v>
      </c>
      <c r="D7" t="str">
        <f>Reporting_currency</f>
        <v>HKD</v>
      </c>
      <c r="E7" s="338"/>
      <c r="F7" s="338"/>
      <c r="H7" s="124"/>
    </row>
    <row r="8" spans="2:8" x14ac:dyDescent="0.35">
      <c r="B8" s="152" t="s">
        <v>230</v>
      </c>
      <c r="C8" s="208">
        <f>BS!D66</f>
        <v>1116785.5502773244</v>
      </c>
      <c r="D8" t="str">
        <f>Reporting_currency</f>
        <v>HKD</v>
      </c>
      <c r="E8" s="338"/>
      <c r="F8" s="338"/>
      <c r="H8" s="124"/>
    </row>
    <row r="9" spans="2:8" x14ac:dyDescent="0.35">
      <c r="B9" s="234" t="s">
        <v>195</v>
      </c>
      <c r="C9" s="236">
        <f>BS!H42</f>
        <v>92572.6</v>
      </c>
      <c r="D9" t="str">
        <f>Reporting_currency</f>
        <v>HKD</v>
      </c>
      <c r="E9" s="338"/>
      <c r="F9" s="338"/>
      <c r="H9" s="124"/>
    </row>
    <row r="10" spans="2:8" ht="13.15" x14ac:dyDescent="0.4">
      <c r="B10" s="153" t="s">
        <v>232</v>
      </c>
      <c r="C10" s="239">
        <f>C6-C7+C8+C9</f>
        <v>10573732.844676431</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18.009864532856156</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6.9371044268871302E-3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18.44716195227182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1033053.73253651</v>
      </c>
      <c r="D21" s="142">
        <f>IF($C$17&lt;B21,0,Valuation_Model!$C$16)</f>
        <v>6.9371044268871302E-3</v>
      </c>
      <c r="E21" s="128">
        <f t="shared" ref="E21:E50" si="0">IF($C$17&lt;B21,0,1/(1+Equity_Cost)^B21)</f>
        <v>0.9174311926605504</v>
      </c>
      <c r="F21" s="129">
        <f t="shared" ref="F21:F51" si="1">C21*E21</f>
        <v>947755.7179234036</v>
      </c>
      <c r="H21" s="124"/>
    </row>
    <row r="22" spans="2:8" x14ac:dyDescent="0.35">
      <c r="B22" s="126">
        <v>2</v>
      </c>
      <c r="C22" s="127">
        <f t="shared" ref="C22:C50" si="2">IF(ROW()-ROW($C$21)&lt;$C$17, $C$21*(1+D22)^(ROW()-ROW($C$21)), 0)</f>
        <v>1040220.1341577013</v>
      </c>
      <c r="D22" s="142">
        <f>IF($C$17&lt;B22,0,Valuation_Model!$C$16)</f>
        <v>6.9371044268871302E-3</v>
      </c>
      <c r="E22" s="128">
        <f t="shared" si="0"/>
        <v>0.84167999326655996</v>
      </c>
      <c r="F22" s="129">
        <f t="shared" si="1"/>
        <v>875532.47551359411</v>
      </c>
      <c r="H22" s="124"/>
    </row>
    <row r="23" spans="2:8" x14ac:dyDescent="0.35">
      <c r="B23" s="126">
        <v>3</v>
      </c>
      <c r="C23" s="127">
        <f t="shared" si="2"/>
        <v>1047436.2498553038</v>
      </c>
      <c r="D23" s="142">
        <f>IF($C$17&lt;B23,0,Valuation_Model!$C$16)</f>
        <v>6.9371044268871302E-3</v>
      </c>
      <c r="E23" s="128">
        <f t="shared" si="0"/>
        <v>0.77218348006106419</v>
      </c>
      <c r="F23" s="129">
        <f t="shared" si="1"/>
        <v>808812.96855537884</v>
      </c>
      <c r="H23" s="124"/>
    </row>
    <row r="24" spans="2:8" x14ac:dyDescent="0.35">
      <c r="B24" s="126">
        <v>4</v>
      </c>
      <c r="C24" s="127">
        <f t="shared" si="2"/>
        <v>1054702.424501057</v>
      </c>
      <c r="D24" s="142">
        <f>IF($C$17&lt;B24,0,Valuation_Model!$C$16)</f>
        <v>6.9371044268871302E-3</v>
      </c>
      <c r="E24" s="128">
        <f t="shared" si="0"/>
        <v>0.7084252110651964</v>
      </c>
      <c r="F24" s="129">
        <f t="shared" si="1"/>
        <v>747177.78768813564</v>
      </c>
      <c r="H24" s="124"/>
    </row>
    <row r="25" spans="2:8" x14ac:dyDescent="0.35">
      <c r="B25" s="126">
        <v>5</v>
      </c>
      <c r="C25" s="127">
        <f t="shared" si="2"/>
        <v>1062019.0053591118</v>
      </c>
      <c r="D25" s="142">
        <f>IF($C$17&lt;B25,0,Valuation_Model!$C$16)</f>
        <v>6.9371044268871302E-3</v>
      </c>
      <c r="E25" s="128">
        <f t="shared" si="0"/>
        <v>0.64993138629834524</v>
      </c>
      <c r="F25" s="129">
        <f t="shared" si="1"/>
        <v>690239.48442823731</v>
      </c>
      <c r="H25" s="124"/>
    </row>
    <row r="26" spans="2:8" x14ac:dyDescent="0.35">
      <c r="B26" s="126">
        <v>6</v>
      </c>
      <c r="C26" s="127">
        <f t="shared" si="2"/>
        <v>1069386.3421026268</v>
      </c>
      <c r="D26" s="142">
        <f>IF($C$17&lt;B26,0,Valuation_Model!$C$16)</f>
        <v>6.9371044268871302E-3</v>
      </c>
      <c r="E26" s="128">
        <f t="shared" si="0"/>
        <v>0.5962673268792158</v>
      </c>
      <c r="F26" s="129">
        <f t="shared" si="1"/>
        <v>637640.13560667587</v>
      </c>
      <c r="H26" s="124"/>
    </row>
    <row r="27" spans="2:8" x14ac:dyDescent="0.35">
      <c r="B27" s="126">
        <v>7</v>
      </c>
      <c r="C27" s="127">
        <f t="shared" si="2"/>
        <v>1076804.7868304797</v>
      </c>
      <c r="D27" s="142">
        <f>IF($C$17&lt;B27,0,Valuation_Model!$C$16)</f>
        <v>6.9371044268871302E-3</v>
      </c>
      <c r="E27" s="128">
        <f t="shared" si="0"/>
        <v>0.54703424484331731</v>
      </c>
      <c r="F27" s="129">
        <f t="shared" si="1"/>
        <v>589049.09340748074</v>
      </c>
      <c r="H27" s="124"/>
    </row>
    <row r="28" spans="2:8" x14ac:dyDescent="0.35">
      <c r="B28" s="126">
        <v>8</v>
      </c>
      <c r="C28" s="127">
        <f t="shared" si="2"/>
        <v>1084274.6940840944</v>
      </c>
      <c r="D28" s="142">
        <f>IF($C$17&lt;B28,0,Valuation_Model!$C$16)</f>
        <v>6.9371044268871302E-3</v>
      </c>
      <c r="E28" s="128">
        <f t="shared" si="0"/>
        <v>0.50186627967276809</v>
      </c>
      <c r="F28" s="129">
        <f t="shared" si="1"/>
        <v>544160.90686331317</v>
      </c>
      <c r="H28" s="124"/>
    </row>
    <row r="29" spans="2:8" x14ac:dyDescent="0.35">
      <c r="B29" s="126">
        <v>9</v>
      </c>
      <c r="C29" s="127">
        <f t="shared" si="2"/>
        <v>1091796.4208643869</v>
      </c>
      <c r="D29" s="142">
        <f>IF($C$17&lt;B29,0,Valuation_Model!$C$16)</f>
        <v>6.9371044268871302E-3</v>
      </c>
      <c r="E29" s="128">
        <f t="shared" si="0"/>
        <v>0.46042777951630098</v>
      </c>
      <c r="F29" s="129">
        <f t="shared" si="1"/>
        <v>502693.40174243454</v>
      </c>
      <c r="H29" s="124"/>
    </row>
    <row r="30" spans="2:8" x14ac:dyDescent="0.35">
      <c r="B30" s="126">
        <v>10</v>
      </c>
      <c r="C30" s="127">
        <f t="shared" si="2"/>
        <v>1099370.3266488248</v>
      </c>
      <c r="D30" s="142">
        <f>IF($C$17&lt;B30,0,Valuation_Model!$C$16)</f>
        <v>6.9371044268871302E-3</v>
      </c>
      <c r="E30" s="128">
        <f t="shared" si="0"/>
        <v>0.42241080689568894</v>
      </c>
      <c r="F30" s="129">
        <f t="shared" si="1"/>
        <v>464385.90675690724</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11478374.805961223</v>
      </c>
      <c r="D51" s="143">
        <f>Terminal_Growth</f>
        <v>0</v>
      </c>
      <c r="E51" s="128">
        <f>1/(1+Equity_Cost)^C17</f>
        <v>0.42241080689568894</v>
      </c>
      <c r="F51" s="129">
        <f t="shared" si="1"/>
        <v>4848589.5636372278</v>
      </c>
      <c r="H51" s="124"/>
    </row>
    <row r="52" spans="1:8" x14ac:dyDescent="0.35">
      <c r="C52" s="118"/>
      <c r="E52" s="131" t="s">
        <v>105</v>
      </c>
      <c r="F52" s="141">
        <f>SUM(F21:F51)</f>
        <v>11656037.442122787</v>
      </c>
      <c r="H52" s="124"/>
    </row>
    <row r="53" spans="1:8" x14ac:dyDescent="0.35">
      <c r="C53" s="118"/>
      <c r="H53" s="124"/>
    </row>
    <row r="54" spans="1:8" ht="13.15" x14ac:dyDescent="0.35">
      <c r="B54" s="123" t="s">
        <v>134</v>
      </c>
      <c r="C54" s="140"/>
      <c r="D54" s="140"/>
      <c r="E54" s="121"/>
      <c r="F54" s="121"/>
      <c r="H54" s="124"/>
    </row>
    <row r="55" spans="1:8" ht="13.15" x14ac:dyDescent="0.4">
      <c r="A55" s="137">
        <f>F52</f>
        <v>11656037.442122787</v>
      </c>
      <c r="B55" s="135">
        <f>C78</f>
        <v>-0.08</v>
      </c>
      <c r="C55" s="135">
        <f>C77</f>
        <v>-0.05</v>
      </c>
      <c r="D55" s="135">
        <f>C76</f>
        <v>0.02</v>
      </c>
      <c r="E55" s="135">
        <f>C75</f>
        <v>0.05</v>
      </c>
      <c r="F55" s="135">
        <f>C74</f>
        <v>0.08</v>
      </c>
      <c r="H55" s="124"/>
    </row>
    <row r="56" spans="1:8" ht="13.15" x14ac:dyDescent="0.4">
      <c r="A56" s="147">
        <v>5</v>
      </c>
      <c r="B56" s="127">
        <f t="dataTable" ref="B56:F61" dt2D="1" dtr="1" r1="C16" r2="C17"/>
        <v>9989890.7102685813</v>
      </c>
      <c r="C56" s="127">
        <v>10498958.919899363</v>
      </c>
      <c r="D56" s="127">
        <v>11778983.45420114</v>
      </c>
      <c r="E56" s="127">
        <v>12371029.356669225</v>
      </c>
      <c r="F56" s="127">
        <v>12991676.303449536</v>
      </c>
      <c r="H56" s="124"/>
    </row>
    <row r="57" spans="1:8" ht="13.15" x14ac:dyDescent="0.4">
      <c r="A57" s="147">
        <v>10</v>
      </c>
      <c r="B57" s="127">
        <v>8963337.1933901533</v>
      </c>
      <c r="C57" s="127">
        <v>9775432.6646782458</v>
      </c>
      <c r="D57" s="127">
        <v>12163180.595290394</v>
      </c>
      <c r="E57" s="127">
        <v>13456678.621474545</v>
      </c>
      <c r="F57" s="127">
        <v>14956083.364954349</v>
      </c>
      <c r="H57" s="124"/>
    </row>
    <row r="58" spans="1:8" ht="13.15" x14ac:dyDescent="0.4">
      <c r="A58" s="147">
        <v>15</v>
      </c>
      <c r="B58" s="127">
        <v>7994910.7307772804</v>
      </c>
      <c r="C58" s="127">
        <v>9049309.1489928197</v>
      </c>
      <c r="D58" s="127">
        <v>12617823.744950479</v>
      </c>
      <c r="E58" s="127">
        <v>14846218.161021832</v>
      </c>
      <c r="F58" s="127">
        <v>17686428.749219801</v>
      </c>
      <c r="H58" s="124"/>
    </row>
    <row r="59" spans="1:8" ht="13.15" x14ac:dyDescent="0.4">
      <c r="A59" s="148">
        <v>20</v>
      </c>
      <c r="B59" s="127">
        <v>7236462.72033168</v>
      </c>
      <c r="C59" s="127">
        <v>8448694.9279275406</v>
      </c>
      <c r="D59" s="127">
        <v>13060371.762574079</v>
      </c>
      <c r="E59" s="127">
        <v>16316650.300574701</v>
      </c>
      <c r="F59" s="127">
        <v>20849114.181642551</v>
      </c>
      <c r="H59" s="124"/>
    </row>
    <row r="60" spans="1:8" ht="13.15" x14ac:dyDescent="0.4">
      <c r="A60" s="148">
        <v>25</v>
      </c>
      <c r="B60" s="127">
        <v>6688249.4420321546</v>
      </c>
      <c r="C60" s="127">
        <v>7993621.2514400966</v>
      </c>
      <c r="D60" s="127">
        <v>13453525.284572506</v>
      </c>
      <c r="E60" s="127">
        <v>17742925.279702403</v>
      </c>
      <c r="F60" s="127">
        <v>24230272.161345363</v>
      </c>
      <c r="H60" s="124"/>
    </row>
    <row r="61" spans="1:8" ht="13.15" x14ac:dyDescent="0.4">
      <c r="A61" s="148">
        <v>30</v>
      </c>
      <c r="B61" s="127">
        <v>6308271.3310739864</v>
      </c>
      <c r="C61" s="127">
        <v>7665308.796721085</v>
      </c>
      <c r="D61" s="127">
        <v>13784772.306297071</v>
      </c>
      <c r="E61" s="127">
        <v>19060262.54675873</v>
      </c>
      <c r="F61" s="127">
        <v>27693719.182468999</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18.009864532856156</v>
      </c>
      <c r="C65" s="128">
        <f>C12</f>
        <v>18.009864532856156</v>
      </c>
      <c r="D65" s="128">
        <f>C12</f>
        <v>18.009864532856156</v>
      </c>
      <c r="E65" s="145">
        <f>C12</f>
        <v>18.009864532856156</v>
      </c>
      <c r="F65" s="128">
        <f>C12</f>
        <v>18.009864532856156</v>
      </c>
      <c r="H65" s="124"/>
    </row>
    <row r="66" spans="1:8" ht="13.15" x14ac:dyDescent="0.4">
      <c r="A66" s="147">
        <f t="shared" ref="A66:A71" si="3">A56</f>
        <v>5</v>
      </c>
      <c r="B66" s="128">
        <f t="shared" ref="B66:F71" si="4">(B56-$C$7+$C$8+$C$9)/Common_Shares*$C$3*Exchange_Rate</f>
        <v>15.609273254557753</v>
      </c>
      <c r="C66" s="128">
        <f t="shared" si="4"/>
        <v>16.476351100017972</v>
      </c>
      <c r="D66" s="128">
        <f t="shared" si="4"/>
        <v>18.656571538735964</v>
      </c>
      <c r="E66" s="128">
        <f t="shared" si="4"/>
        <v>19.664982348552396</v>
      </c>
      <c r="F66" s="128">
        <f t="shared" si="4"/>
        <v>20.722108303826733</v>
      </c>
      <c r="H66" s="124"/>
    </row>
    <row r="67" spans="1:8" ht="13.15" x14ac:dyDescent="0.4">
      <c r="A67" s="147">
        <f t="shared" si="3"/>
        <v>10</v>
      </c>
      <c r="B67" s="128">
        <f t="shared" si="4"/>
        <v>13.860781019479603</v>
      </c>
      <c r="C67" s="128">
        <f t="shared" si="4"/>
        <v>15.243994463633163</v>
      </c>
      <c r="D67" s="128">
        <f t="shared" si="4"/>
        <v>19.310960917261998</v>
      </c>
      <c r="E67" s="128">
        <f t="shared" si="4"/>
        <v>21.514130277344904</v>
      </c>
      <c r="F67" s="128">
        <f t="shared" si="4"/>
        <v>24.068013253836877</v>
      </c>
      <c r="H67" s="124"/>
    </row>
    <row r="68" spans="1:8" ht="13.15" x14ac:dyDescent="0.4">
      <c r="A68" s="147">
        <f t="shared" si="3"/>
        <v>15</v>
      </c>
      <c r="B68" s="128">
        <f t="shared" si="4"/>
        <v>12.211294536522727</v>
      </c>
      <c r="C68" s="128">
        <f t="shared" si="4"/>
        <v>14.007214005518993</v>
      </c>
      <c r="D68" s="128">
        <f t="shared" si="4"/>
        <v>20.085338486323771</v>
      </c>
      <c r="E68" s="128">
        <f t="shared" si="4"/>
        <v>23.880883744441768</v>
      </c>
      <c r="F68" s="128">
        <f t="shared" si="4"/>
        <v>28.718513812235905</v>
      </c>
      <c r="H68" s="124"/>
    </row>
    <row r="69" spans="1:8" ht="13.15" x14ac:dyDescent="0.4">
      <c r="A69" s="148">
        <f t="shared" si="3"/>
        <v>20</v>
      </c>
      <c r="B69" s="128">
        <f t="shared" si="4"/>
        <v>10.919456911722445</v>
      </c>
      <c r="C69" s="128">
        <f t="shared" si="4"/>
        <v>12.984209082206728</v>
      </c>
      <c r="D69" s="128">
        <f t="shared" si="4"/>
        <v>20.839114845511606</v>
      </c>
      <c r="E69" s="128">
        <f t="shared" si="4"/>
        <v>26.385418711148258</v>
      </c>
      <c r="F69" s="128">
        <f t="shared" si="4"/>
        <v>34.105403857093513</v>
      </c>
      <c r="H69" s="124"/>
    </row>
    <row r="70" spans="1:8" ht="13.15" x14ac:dyDescent="0.4">
      <c r="A70" s="148">
        <f t="shared" si="3"/>
        <v>25</v>
      </c>
      <c r="B70" s="128">
        <f t="shared" si="4"/>
        <v>9.9857046576867923</v>
      </c>
      <c r="C70" s="128">
        <f t="shared" si="4"/>
        <v>12.209098212053238</v>
      </c>
      <c r="D70" s="128">
        <f t="shared" si="4"/>
        <v>21.508759310320631</v>
      </c>
      <c r="E70" s="128">
        <f t="shared" si="4"/>
        <v>28.814742350966224</v>
      </c>
      <c r="F70" s="128">
        <f t="shared" si="4"/>
        <v>39.864410451372244</v>
      </c>
    </row>
    <row r="71" spans="1:8" ht="13.15" x14ac:dyDescent="0.4">
      <c r="A71" s="148">
        <f t="shared" si="3"/>
        <v>30</v>
      </c>
      <c r="B71" s="128">
        <f t="shared" si="4"/>
        <v>9.3385014037051466</v>
      </c>
      <c r="C71" s="128">
        <f t="shared" si="4"/>
        <v>11.649895239858246</v>
      </c>
      <c r="D71" s="128">
        <f t="shared" si="4"/>
        <v>22.072960626526108</v>
      </c>
      <c r="E71" s="128">
        <f t="shared" si="4"/>
        <v>31.058516245415653</v>
      </c>
      <c r="F71" s="128">
        <f t="shared" si="4"/>
        <v>45.763577054448049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10</v>
      </c>
      <c r="E74" s="139">
        <f>INDEX(B$65:F$71, MATCH(D74, A$65:A$71, 0), MATCH(C74, B$64:F$64, 0))</f>
        <v>24.068013253836877</v>
      </c>
      <c r="F74" s="146">
        <f>Scenarios!C58</f>
        <v>0.02</v>
      </c>
    </row>
    <row r="75" spans="1:8" x14ac:dyDescent="0.35">
      <c r="B75" s="131" t="str">
        <f>Scenarios!B36</f>
        <v>Optimistic</v>
      </c>
      <c r="C75" s="146">
        <f>Scenarios!C38</f>
        <v>0.05</v>
      </c>
      <c r="D75" s="149">
        <f>Scenarios!C37</f>
        <v>5</v>
      </c>
      <c r="E75" s="139">
        <f>INDEX(B$65:F$71, MATCH(D75, A$65:A$71, 0), MATCH(C75, B$64:F$64, 0))</f>
        <v>19.664982348552396</v>
      </c>
      <c r="F75" s="146">
        <f>Scenarios!C40*(1-F$74-F$78)</f>
        <v>0.192</v>
      </c>
      <c r="H75" s="124"/>
    </row>
    <row r="76" spans="1:8" x14ac:dyDescent="0.35">
      <c r="B76" s="131" t="str">
        <f>Scenarios!B24</f>
        <v>Base</v>
      </c>
      <c r="C76" s="146">
        <f>Scenarios!C26</f>
        <v>0.02</v>
      </c>
      <c r="D76" s="149">
        <f>Scenarios!C25</f>
        <v>5</v>
      </c>
      <c r="E76" s="139">
        <f>INDEX(B$65:F$71, MATCH(D76, A$65:A$71, 0), MATCH(C76, B$64:F$64, 0))</f>
        <v>18.656571538735964</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16.476351100017972</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13.860781019479603</v>
      </c>
      <c r="F78" s="146">
        <f>Scenarios!C52</f>
        <v>0.02</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9" zoomScale="75" zoomScaleNormal="100" workbookViewId="0">
      <selection activeCell="F60" sqref="F6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-15.1</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302</v>
      </c>
      <c r="F6" s="103"/>
      <c r="H6" s="284">
        <v>3</v>
      </c>
      <c r="I6" s="272">
        <f t="shared" si="0"/>
        <v>19.803897113903751</v>
      </c>
    </row>
    <row r="7" spans="2:9" ht="12.75" customHeight="1" x14ac:dyDescent="0.35">
      <c r="B7" s="103" t="s">
        <v>296</v>
      </c>
      <c r="C7" s="118">
        <f>Normalized_FCF!G8</f>
        <v>1876773</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0"/>
      <c r="H7" s="284">
        <v>4</v>
      </c>
      <c r="I7" s="272" t="str">
        <f t="shared" si="0"/>
        <v/>
      </c>
    </row>
    <row r="8" spans="2:9" x14ac:dyDescent="0.35">
      <c r="B8" s="103" t="s">
        <v>70</v>
      </c>
      <c r="C8" s="118">
        <f>Normalized_FCF!G19</f>
        <v>1306664</v>
      </c>
      <c r="D8" t="str">
        <f>Reporting_currency</f>
        <v>HKD</v>
      </c>
      <c r="E8" s="340"/>
      <c r="F8" s="340"/>
      <c r="H8" s="284">
        <v>5</v>
      </c>
      <c r="I8" s="272" t="str">
        <f t="shared" si="0"/>
        <v/>
      </c>
    </row>
    <row r="9" spans="2:9" x14ac:dyDescent="0.35">
      <c r="B9" s="103" t="s">
        <v>61</v>
      </c>
      <c r="C9" s="208">
        <f>Normalized_FCF!C19</f>
        <v>1025936.7024959195</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0.20035451325595277</v>
      </c>
      <c r="D12" s="163"/>
      <c r="E12" s="340"/>
      <c r="F12" s="340"/>
      <c r="H12" s="284">
        <v>9</v>
      </c>
      <c r="I12" s="272" t="str">
        <f t="shared" si="0"/>
        <v/>
      </c>
    </row>
    <row r="13" spans="2:9" x14ac:dyDescent="0.35">
      <c r="B13" s="152" t="s">
        <v>157</v>
      </c>
      <c r="C13" s="163">
        <f ca="1">(Normalized_FCF!G8/OFFSET(Normalized_FCF!G8, 0, $C$4))^(1/$C$4) - 1</f>
        <v>0.26016796976901468</v>
      </c>
      <c r="E13" s="340"/>
      <c r="F13" s="340"/>
      <c r="H13" s="284">
        <v>10</v>
      </c>
      <c r="I13" s="272" t="str">
        <f t="shared" si="0"/>
        <v/>
      </c>
    </row>
    <row r="14" spans="2:9" x14ac:dyDescent="0.35">
      <c r="B14" s="103" t="s">
        <v>70</v>
      </c>
      <c r="C14" s="163">
        <f ca="1">(Normalized_FCF!G19/OFFSET(Normalized_FCF!G19, 0, $C$4))^(1/$C$4) - 1</f>
        <v>5.3908780398304268E-2</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5</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15.1</v>
      </c>
      <c r="D21" t="str">
        <f>Market_currency</f>
        <v>HKD</v>
      </c>
      <c r="E21" s="341"/>
      <c r="F21" s="341"/>
    </row>
    <row r="22" spans="2:6" x14ac:dyDescent="0.35">
      <c r="B22" s="103" t="s">
        <v>301</v>
      </c>
      <c r="C22" s="165">
        <f>Valuation_Model!C12</f>
        <v>18.009864532856156</v>
      </c>
      <c r="D22" t="str">
        <f>Market_currency</f>
        <v>HKD</v>
      </c>
      <c r="E22" s="341"/>
      <c r="F22" s="341"/>
    </row>
    <row r="24" spans="2:6" ht="13.15" x14ac:dyDescent="0.4">
      <c r="B24" s="164" t="s">
        <v>120</v>
      </c>
      <c r="E24" s="164" t="s">
        <v>154</v>
      </c>
      <c r="F24" s="164"/>
    </row>
    <row r="25" spans="2:6" x14ac:dyDescent="0.35">
      <c r="B25" s="156" t="s">
        <v>138</v>
      </c>
      <c r="C25" s="171">
        <f>C18</f>
        <v>5</v>
      </c>
      <c r="D25" s="168"/>
      <c r="E25" s="339"/>
      <c r="F25" s="339"/>
    </row>
    <row r="26" spans="2:6" x14ac:dyDescent="0.35">
      <c r="B26" s="122" t="s">
        <v>139</v>
      </c>
      <c r="C26" s="169">
        <v>0.02</v>
      </c>
      <c r="D26" s="169"/>
      <c r="E26" s="339"/>
      <c r="F26" s="339"/>
    </row>
    <row r="27" spans="2:6" x14ac:dyDescent="0.35">
      <c r="B27" s="103" t="s">
        <v>118</v>
      </c>
      <c r="C27" s="165">
        <f>Valuation_Model!E76</f>
        <v>18.656571538735964</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5</v>
      </c>
      <c r="D31" s="168"/>
      <c r="E31" s="339"/>
      <c r="F31" s="339"/>
    </row>
    <row r="32" spans="2:6" x14ac:dyDescent="0.35">
      <c r="B32" s="122" t="s">
        <v>139</v>
      </c>
      <c r="C32" s="169">
        <v>-0.05</v>
      </c>
      <c r="D32" s="169"/>
      <c r="E32" s="339"/>
      <c r="F32" s="339"/>
    </row>
    <row r="33" spans="2:6" x14ac:dyDescent="0.35">
      <c r="B33" s="103" t="s">
        <v>118</v>
      </c>
      <c r="C33" s="165">
        <f>Valuation_Model!E77</f>
        <v>16.476351100017972</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5</v>
      </c>
      <c r="D37" s="168"/>
      <c r="E37" s="339"/>
      <c r="F37" s="339"/>
    </row>
    <row r="38" spans="2:6" x14ac:dyDescent="0.35">
      <c r="B38" s="122" t="s">
        <v>139</v>
      </c>
      <c r="C38" s="169">
        <v>0.05</v>
      </c>
      <c r="D38" s="169"/>
      <c r="E38" s="339"/>
      <c r="F38" s="339"/>
    </row>
    <row r="39" spans="2:6" x14ac:dyDescent="0.35">
      <c r="B39" s="103" t="s">
        <v>118</v>
      </c>
      <c r="C39" s="165">
        <f>Valuation_Model!E75</f>
        <v>19.664982348552396</v>
      </c>
      <c r="D39" t="str">
        <f>Market_currency</f>
        <v>HKD</v>
      </c>
      <c r="E39" s="339"/>
      <c r="F39" s="339"/>
    </row>
    <row r="40" spans="2:6" x14ac:dyDescent="0.35">
      <c r="B40" s="103" t="s">
        <v>152</v>
      </c>
      <c r="C40" s="172">
        <f>1-C28-C34</f>
        <v>0.2</v>
      </c>
      <c r="D40" s="170"/>
      <c r="E40" s="339"/>
      <c r="F40" s="339"/>
    </row>
    <row r="42" spans="2:6" ht="13.15" x14ac:dyDescent="0.4">
      <c r="B42" s="103" t="s">
        <v>125</v>
      </c>
      <c r="C42" s="159">
        <f>C27*C28+C33*C34+C39*C40</f>
        <v>18.422209612955651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39"/>
      <c r="F49" s="339"/>
    </row>
    <row r="50" spans="2:6" x14ac:dyDescent="0.35">
      <c r="B50" s="122" t="s">
        <v>139</v>
      </c>
      <c r="C50" s="169">
        <v>-0.08</v>
      </c>
      <c r="D50" s="169"/>
      <c r="E50" s="339"/>
      <c r="F50" s="339"/>
    </row>
    <row r="51" spans="2:6" x14ac:dyDescent="0.35">
      <c r="B51" s="103" t="s">
        <v>118</v>
      </c>
      <c r="C51" s="165">
        <f>Valuation_Model!E78</f>
        <v>13.860781019479603</v>
      </c>
      <c r="D51" t="str">
        <f>Market_currency</f>
        <v>HKD</v>
      </c>
      <c r="E51" s="339"/>
      <c r="F51" s="339"/>
    </row>
    <row r="52" spans="2:6" x14ac:dyDescent="0.35">
      <c r="B52" s="103" t="s">
        <v>152</v>
      </c>
      <c r="C52" s="170">
        <v>0.02</v>
      </c>
      <c r="D52" s="170"/>
      <c r="E52" s="339"/>
      <c r="F52" s="339"/>
    </row>
    <row r="54" spans="2:6" ht="13.15" x14ac:dyDescent="0.4">
      <c r="B54" s="164" t="s">
        <v>355</v>
      </c>
      <c r="E54" s="164" t="s">
        <v>154</v>
      </c>
      <c r="F54" s="164"/>
    </row>
    <row r="55" spans="2:6" x14ac:dyDescent="0.35">
      <c r="B55" s="156" t="s">
        <v>138</v>
      </c>
      <c r="C55" s="171">
        <f>C46</f>
        <v>10</v>
      </c>
      <c r="D55" s="168"/>
      <c r="E55" s="339"/>
      <c r="F55" s="339"/>
    </row>
    <row r="56" spans="2:6" x14ac:dyDescent="0.35">
      <c r="B56" s="122" t="s">
        <v>139</v>
      </c>
      <c r="C56" s="169">
        <v>0.08</v>
      </c>
      <c r="D56" s="169"/>
      <c r="E56" s="339"/>
      <c r="F56" s="339"/>
    </row>
    <row r="57" spans="2:6" x14ac:dyDescent="0.35">
      <c r="B57" s="103" t="s">
        <v>118</v>
      </c>
      <c r="C57" s="165">
        <f>Valuation_Model!E74</f>
        <v>24.068013253836877</v>
      </c>
      <c r="D57" t="str">
        <f>Market_currency</f>
        <v>HKD</v>
      </c>
      <c r="E57" s="339"/>
      <c r="F57" s="339"/>
    </row>
    <row r="58" spans="2:6" x14ac:dyDescent="0.35">
      <c r="B58" s="103" t="s">
        <v>152</v>
      </c>
      <c r="C58" s="170">
        <v>0.02</v>
      </c>
      <c r="D58" s="170"/>
      <c r="E58" s="339"/>
      <c r="F58" s="339"/>
    </row>
    <row r="60" spans="2:6" ht="13.15" x14ac:dyDescent="0.4">
      <c r="B60" s="103" t="s">
        <v>125</v>
      </c>
      <c r="C60" s="159">
        <f>C51*C52+C57*C58+C42*(1-C52-C58)</f>
        <v>18.443897113903752</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6.9371044268871302E-3</v>
      </c>
      <c r="D65" s="155"/>
      <c r="E65" s="289" t="s">
        <v>350</v>
      </c>
    </row>
    <row r="66" spans="2:6" x14ac:dyDescent="0.35">
      <c r="B66" s="103" t="s">
        <v>107</v>
      </c>
      <c r="C66" s="165">
        <f>Valuation_Model!C18</f>
        <v>18.44716195227182</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1.36</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2.8648148148148147</v>
      </c>
      <c r="D81" s="120"/>
      <c r="E81" s="103"/>
      <c r="F81" s="103"/>
    </row>
    <row r="82" spans="2:8" x14ac:dyDescent="0.35">
      <c r="B82" s="103" t="s">
        <v>127</v>
      </c>
      <c r="C82" s="120">
        <f>C60/(1+C80)^C76</f>
        <v>10.673551570546152</v>
      </c>
      <c r="D82" s="120"/>
    </row>
    <row r="83" spans="2:8" ht="13.15" x14ac:dyDescent="0.4">
      <c r="B83" s="114" t="s">
        <v>106</v>
      </c>
      <c r="C83" s="115">
        <f>C81+C82</f>
        <v>13.538366385360966</v>
      </c>
      <c r="D83" t="str">
        <f>Market_currency</f>
        <v>HKD</v>
      </c>
      <c r="E83" s="150" t="s">
        <v>131</v>
      </c>
      <c r="F83" s="270">
        <f>(C83/C60-1)</f>
        <v>-0.26597040193012134</v>
      </c>
    </row>
    <row r="84" spans="2:8" x14ac:dyDescent="0.35">
      <c r="E84" s="124"/>
    </row>
    <row r="85" spans="2:8" ht="13.15" x14ac:dyDescent="0.4">
      <c r="B85" s="112" t="s">
        <v>336</v>
      </c>
    </row>
    <row r="86" spans="2:8" x14ac:dyDescent="0.35">
      <c r="B86" s="152" t="s">
        <v>334</v>
      </c>
      <c r="C86" s="274">
        <f>Market_Price</f>
        <v>15.1</v>
      </c>
      <c r="D86" t="str">
        <f>Market_currency</f>
        <v>HKD</v>
      </c>
    </row>
    <row r="87" spans="2:8" ht="13.15" x14ac:dyDescent="0.4">
      <c r="B87" s="103" t="s">
        <v>332</v>
      </c>
      <c r="C87" s="273">
        <f ca="1">IRR(OFFSET($I$3, 0, 0, $C$76 + 1, 1))</f>
        <v>0.15361989461854253</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2025-03-21T08:32:51Z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