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opportunities\"/>
    </mc:Choice>
  </mc:AlternateContent>
  <xr:revisionPtr revIDLastSave="0" documentId="13_ncr:1_{0F8C471E-87E8-4BCC-8CA4-94CD81CC95A5}" xr6:coauthVersionLast="47" xr6:coauthVersionMax="47" xr10:uidLastSave="{00000000-0000-0000-0000-000000000000}"/>
  <bookViews>
    <workbookView xWindow="33720" yWindow="-120" windowWidth="29040" windowHeight="15720" xr2:uid="{00000000-000D-0000-FFFF-FFFF00000000}"/>
  </bookViews>
  <sheets>
    <sheet name="Thesis" sheetId="6" r:id="rId1"/>
    <sheet name="Data" sheetId="4" r:id="rId2"/>
    <sheet name="BS" sheetId="3" r:id="rId3"/>
    <sheet name="Normalized_FCF" sheetId="2" r:id="rId4"/>
    <sheet name="Valuation_Model" sheetId="8" r:id="rId5"/>
    <sheet name="Scenarios" sheetId="9" r:id="rId6"/>
  </sheets>
  <definedNames>
    <definedName name="_xlnm._FilterDatabase" localSheetId="4" hidden="1">Valuation_Model!$B$73:$H$73</definedName>
    <definedName name="Common_Shares">Thesis!$C$7</definedName>
    <definedName name="Equity_Cost">Valuation_Model!$C$5</definedName>
    <definedName name="Exchange_Rate">Thesis!$C$9</definedName>
    <definedName name="Market_currency">Thesis!$D$6</definedName>
    <definedName name="Market_Price">Thesis!$C$6</definedName>
    <definedName name="Reporting_currency">Thesis!$C$8</definedName>
    <definedName name="Terminal_Growth">Valuation_Model!$F$4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C74" i="3" l="1"/>
  <c r="D74" i="3"/>
  <c r="D66" i="3" s="1"/>
  <c r="C73" i="3"/>
  <c r="D73" i="3"/>
  <c r="C34" i="2" l="1"/>
  <c r="C33" i="2"/>
  <c r="C29" i="2"/>
  <c r="C28" i="2"/>
  <c r="C4" i="2"/>
  <c r="C3" i="2" l="1"/>
  <c r="L92" i="2"/>
  <c r="M92" i="2"/>
  <c r="N92" i="2"/>
  <c r="O92" i="2"/>
  <c r="P92" i="2"/>
  <c r="Q92" i="2"/>
  <c r="B90" i="2"/>
  <c r="B89" i="2"/>
  <c r="C11" i="6"/>
  <c r="C71" i="9"/>
  <c r="D66" i="9"/>
  <c r="D18" i="8"/>
  <c r="D22" i="9"/>
  <c r="D21" i="9"/>
  <c r="D9" i="9"/>
  <c r="D86" i="9"/>
  <c r="C86" i="9"/>
  <c r="C76" i="9"/>
  <c r="E20" i="6" s="1"/>
  <c r="E85" i="3"/>
  <c r="E86" i="3"/>
  <c r="E87" i="3"/>
  <c r="E84" i="3"/>
  <c r="I3" i="9"/>
  <c r="C66" i="6" l="1"/>
  <c r="C65" i="6"/>
  <c r="C67" i="6" l="1"/>
  <c r="D91" i="6"/>
  <c r="D87" i="6"/>
  <c r="D82" i="6"/>
  <c r="D73" i="6"/>
  <c r="E7" i="9"/>
  <c r="D8" i="9"/>
  <c r="D7" i="9"/>
  <c r="C21" i="9"/>
  <c r="D53" i="6"/>
  <c r="B119" i="2"/>
  <c r="D21" i="6"/>
  <c r="C114" i="6"/>
  <c r="C115" i="6"/>
  <c r="C80" i="9" s="1"/>
  <c r="D12" i="6"/>
  <c r="D85" i="6"/>
  <c r="D95" i="6"/>
  <c r="D116" i="6"/>
  <c r="D108" i="6"/>
  <c r="F78" i="8"/>
  <c r="F74" i="8"/>
  <c r="F102" i="6" s="1"/>
  <c r="D90" i="6"/>
  <c r="D86" i="6"/>
  <c r="D81" i="6"/>
  <c r="F4" i="8"/>
  <c r="D54" i="6"/>
  <c r="D43" i="6"/>
  <c r="B82" i="2"/>
  <c r="D50" i="6"/>
  <c r="D49" i="6"/>
  <c r="D46" i="6"/>
  <c r="D40" i="6"/>
  <c r="D37" i="6"/>
  <c r="D34" i="6"/>
  <c r="D33" i="6"/>
  <c r="D30" i="6"/>
  <c r="B119" i="6" l="1"/>
  <c r="B120" i="6"/>
  <c r="F76" i="8"/>
  <c r="F104" i="6" s="1"/>
  <c r="F77" i="8"/>
  <c r="F105" i="6" s="1"/>
  <c r="F106" i="6"/>
  <c r="I13" i="9" l="1"/>
  <c r="I11" i="9"/>
  <c r="I7" i="9"/>
  <c r="I10" i="9"/>
  <c r="I12" i="9"/>
  <c r="I8" i="9"/>
  <c r="I9" i="9"/>
  <c r="D7" i="8"/>
  <c r="D8" i="8"/>
  <c r="D9" i="8"/>
  <c r="D6" i="8"/>
  <c r="C8" i="8" l="1"/>
  <c r="C86" i="6" l="1"/>
  <c r="C85" i="3"/>
  <c r="Q96" i="2"/>
  <c r="O103" i="2"/>
  <c r="P103" i="2"/>
  <c r="Q103" i="2"/>
  <c r="O104" i="2"/>
  <c r="P104" i="2"/>
  <c r="Q104" i="2"/>
  <c r="E85" i="2"/>
  <c r="E84" i="2"/>
  <c r="G38" i="3"/>
  <c r="G37" i="3"/>
  <c r="D79" i="3"/>
  <c r="D78" i="3"/>
  <c r="C79" i="3"/>
  <c r="C78" i="3"/>
  <c r="C69" i="3"/>
  <c r="H24" i="3" l="1"/>
  <c r="C37" i="9"/>
  <c r="C67" i="3"/>
  <c r="D57" i="4"/>
  <c r="H59" i="2" s="1"/>
  <c r="E57" i="4"/>
  <c r="I59" i="2" s="1"/>
  <c r="F57" i="4"/>
  <c r="J59" i="2" s="1"/>
  <c r="G57" i="4"/>
  <c r="K59" i="2" s="1"/>
  <c r="H57" i="4"/>
  <c r="L59" i="2" s="1"/>
  <c r="I57" i="4"/>
  <c r="M59" i="2" s="1"/>
  <c r="J57" i="4"/>
  <c r="N59" i="2" s="1"/>
  <c r="K57" i="4"/>
  <c r="O59" i="2" s="1"/>
  <c r="L57" i="4"/>
  <c r="P59" i="2" s="1"/>
  <c r="M57" i="4"/>
  <c r="Q59" i="2" s="1"/>
  <c r="C57" i="4"/>
  <c r="G59" i="2" s="1"/>
  <c r="K58" i="4"/>
  <c r="O61" i="2" s="1"/>
  <c r="L58" i="4"/>
  <c r="P61" i="2" s="1"/>
  <c r="M58" i="4"/>
  <c r="Q61" i="2" s="1"/>
  <c r="D56" i="4"/>
  <c r="H57" i="2" s="1"/>
  <c r="E56" i="4"/>
  <c r="I57" i="2" s="1"/>
  <c r="F56" i="4"/>
  <c r="J57" i="2" s="1"/>
  <c r="G56" i="4"/>
  <c r="K57" i="2" s="1"/>
  <c r="H56" i="4"/>
  <c r="L57" i="2" s="1"/>
  <c r="I56" i="4"/>
  <c r="M57" i="2" s="1"/>
  <c r="J56" i="4"/>
  <c r="N57" i="2" s="1"/>
  <c r="K56" i="4"/>
  <c r="O57" i="2" s="1"/>
  <c r="L56" i="4"/>
  <c r="P57" i="2" s="1"/>
  <c r="M56" i="4"/>
  <c r="Q57" i="2" s="1"/>
  <c r="C56" i="4"/>
  <c r="G57" i="2" s="1"/>
  <c r="K44" i="4"/>
  <c r="L44" i="4"/>
  <c r="M44" i="4"/>
  <c r="B22" i="4"/>
  <c r="G39" i="3" l="1"/>
  <c r="H39" i="3"/>
  <c r="D24" i="3"/>
  <c r="G36" i="3"/>
  <c r="D12" i="3"/>
  <c r="G65" i="2"/>
  <c r="D77" i="3"/>
  <c r="D80" i="3" s="1"/>
  <c r="H42" i="3" s="1"/>
  <c r="C9" i="8" s="1"/>
  <c r="C86" i="3" s="1"/>
  <c r="C77" i="3"/>
  <c r="C80" i="3" s="1"/>
  <c r="G42" i="3" s="1"/>
  <c r="B47" i="3"/>
  <c r="D83" i="9"/>
  <c r="D77" i="9"/>
  <c r="D60" i="9"/>
  <c r="D57" i="9"/>
  <c r="D51" i="9"/>
  <c r="D42" i="9"/>
  <c r="D39" i="9"/>
  <c r="D27" i="9"/>
  <c r="D33" i="9"/>
  <c r="D12" i="8"/>
  <c r="C11" i="8"/>
  <c r="D10" i="8"/>
  <c r="H1" i="3"/>
  <c r="B78" i="8"/>
  <c r="B106" i="6" s="1"/>
  <c r="B77" i="8"/>
  <c r="B105" i="6" s="1"/>
  <c r="B76" i="8"/>
  <c r="B104" i="6" s="1"/>
  <c r="B75" i="8"/>
  <c r="B103" i="6" s="1"/>
  <c r="B74" i="8"/>
  <c r="B102" i="6" s="1"/>
  <c r="C74" i="8"/>
  <c r="C55" i="9"/>
  <c r="D74" i="8" s="1"/>
  <c r="D102" i="6" s="1"/>
  <c r="C49" i="9"/>
  <c r="C40" i="9"/>
  <c r="F75" i="8" s="1"/>
  <c r="F103" i="6" s="1"/>
  <c r="E55" i="4"/>
  <c r="I58" i="2" s="1"/>
  <c r="F55" i="4"/>
  <c r="J58" i="2" s="1"/>
  <c r="G55" i="4"/>
  <c r="K58" i="2" s="1"/>
  <c r="H55" i="4"/>
  <c r="L58" i="2" s="1"/>
  <c r="I55" i="4"/>
  <c r="M58" i="2" s="1"/>
  <c r="J55" i="4"/>
  <c r="N58" i="2" s="1"/>
  <c r="K55" i="4"/>
  <c r="O58" i="2" s="1"/>
  <c r="L55" i="4"/>
  <c r="P58" i="2" s="1"/>
  <c r="M55" i="4"/>
  <c r="Q58" i="2" s="1"/>
  <c r="D55" i="4"/>
  <c r="H58" i="2" s="1"/>
  <c r="C55" i="4"/>
  <c r="G58" i="2" s="1"/>
  <c r="G30" i="3"/>
  <c r="H12" i="3"/>
  <c r="C68" i="3"/>
  <c r="G67" i="2"/>
  <c r="D85" i="3" l="1"/>
  <c r="D86" i="3"/>
  <c r="F55" i="8"/>
  <c r="F64" i="8" s="1"/>
  <c r="C102" i="6"/>
  <c r="C90" i="6"/>
  <c r="G66" i="2"/>
  <c r="C66" i="2" s="1"/>
  <c r="C58" i="2" s="1"/>
  <c r="C67" i="2"/>
  <c r="C59" i="2" s="1"/>
  <c r="C65" i="2" l="1"/>
  <c r="C57" i="2" s="1"/>
  <c r="C60" i="2" s="1"/>
  <c r="C77" i="8"/>
  <c r="C31" i="9"/>
  <c r="D77" i="8" s="1"/>
  <c r="D105" i="6" s="1"/>
  <c r="D78" i="8"/>
  <c r="D106" i="6" s="1"/>
  <c r="C25" i="9"/>
  <c r="D76" i="8" s="1"/>
  <c r="D104" i="6" s="1"/>
  <c r="C76" i="8"/>
  <c r="C5" i="8"/>
  <c r="C78" i="8"/>
  <c r="D75" i="8"/>
  <c r="D103" i="6" s="1"/>
  <c r="C75" i="8"/>
  <c r="C17" i="8"/>
  <c r="C16" i="8"/>
  <c r="Q95" i="2"/>
  <c r="D51" i="8"/>
  <c r="D121" i="6"/>
  <c r="A71" i="8"/>
  <c r="A70" i="8"/>
  <c r="D55" i="8" l="1"/>
  <c r="C104" i="6"/>
  <c r="B55" i="8"/>
  <c r="B64" i="8" s="1"/>
  <c r="C106" i="6"/>
  <c r="C55" i="8"/>
  <c r="C105" i="6"/>
  <c r="E55" i="8"/>
  <c r="C103" i="6"/>
  <c r="C62" i="2"/>
  <c r="H35" i="3"/>
  <c r="H40" i="3"/>
  <c r="H41" i="3" s="1"/>
  <c r="E51" i="8"/>
  <c r="E22" i="8"/>
  <c r="E28" i="8"/>
  <c r="E27" i="8"/>
  <c r="D48" i="8"/>
  <c r="E39" i="8"/>
  <c r="D47" i="8"/>
  <c r="E38" i="8"/>
  <c r="E21" i="8"/>
  <c r="E43" i="8"/>
  <c r="E29" i="8"/>
  <c r="E47" i="8"/>
  <c r="E37" i="8"/>
  <c r="D46" i="8"/>
  <c r="D45" i="8"/>
  <c r="E46" i="8"/>
  <c r="E35" i="8"/>
  <c r="D44" i="8"/>
  <c r="E45" i="8"/>
  <c r="E31" i="8"/>
  <c r="E36" i="8"/>
  <c r="E44" i="8"/>
  <c r="E30" i="8"/>
  <c r="D43" i="8"/>
  <c r="E50" i="8"/>
  <c r="E42" i="8"/>
  <c r="E34" i="8"/>
  <c r="E26" i="8"/>
  <c r="D50" i="8"/>
  <c r="D42" i="8"/>
  <c r="E49" i="8"/>
  <c r="E41" i="8"/>
  <c r="E33" i="8"/>
  <c r="E25" i="8"/>
  <c r="D49" i="8"/>
  <c r="D41" i="8"/>
  <c r="E48" i="8"/>
  <c r="E40" i="8"/>
  <c r="E32" i="8"/>
  <c r="E24" i="8"/>
  <c r="E23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21" i="8"/>
  <c r="C11" i="2" l="1"/>
  <c r="C37" i="6" s="1"/>
  <c r="H32" i="3"/>
  <c r="H27" i="3" s="1"/>
  <c r="H29" i="3" s="1"/>
  <c r="D46" i="3" s="1"/>
  <c r="D47" i="3" s="1"/>
  <c r="D64" i="8"/>
  <c r="E64" i="8"/>
  <c r="A67" i="8"/>
  <c r="A68" i="8"/>
  <c r="A69" i="8"/>
  <c r="A66" i="8"/>
  <c r="D4" i="8"/>
  <c r="I64" i="4" l="1"/>
  <c r="M89" i="2" s="1"/>
  <c r="J64" i="4"/>
  <c r="N89" i="2" s="1"/>
  <c r="K64" i="4"/>
  <c r="O89" i="2" s="1"/>
  <c r="L64" i="4"/>
  <c r="P89" i="2" s="1"/>
  <c r="M64" i="4"/>
  <c r="Q89" i="2" s="1"/>
  <c r="C28" i="6" l="1"/>
  <c r="C101" i="2"/>
  <c r="C102" i="2"/>
  <c r="K75" i="4"/>
  <c r="L75" i="4"/>
  <c r="M75" i="4"/>
  <c r="E78" i="4"/>
  <c r="I103" i="2" s="1"/>
  <c r="F78" i="4"/>
  <c r="J103" i="2" s="1"/>
  <c r="G78" i="4"/>
  <c r="K103" i="2" s="1"/>
  <c r="H78" i="4"/>
  <c r="L103" i="2" s="1"/>
  <c r="I78" i="4"/>
  <c r="M103" i="2" s="1"/>
  <c r="J78" i="4"/>
  <c r="N103" i="2" s="1"/>
  <c r="K78" i="4"/>
  <c r="L78" i="4"/>
  <c r="M78" i="4"/>
  <c r="E79" i="4"/>
  <c r="I104" i="2" s="1"/>
  <c r="F79" i="4"/>
  <c r="J104" i="2" s="1"/>
  <c r="G79" i="4"/>
  <c r="K104" i="2" s="1"/>
  <c r="H79" i="4"/>
  <c r="L104" i="2" s="1"/>
  <c r="I79" i="4"/>
  <c r="M104" i="2" s="1"/>
  <c r="J79" i="4"/>
  <c r="N104" i="2" s="1"/>
  <c r="K79" i="4"/>
  <c r="L79" i="4"/>
  <c r="M79" i="4"/>
  <c r="C78" i="4"/>
  <c r="D78" i="4"/>
  <c r="H103" i="2" s="1"/>
  <c r="C76" i="4"/>
  <c r="C77" i="4"/>
  <c r="M71" i="4"/>
  <c r="B71" i="4"/>
  <c r="M67" i="4"/>
  <c r="M68" i="4"/>
  <c r="M69" i="4"/>
  <c r="M70" i="4"/>
  <c r="B70" i="4"/>
  <c r="B69" i="4"/>
  <c r="B68" i="4"/>
  <c r="B67" i="4"/>
  <c r="D9" i="6"/>
  <c r="D11" i="8" s="1"/>
  <c r="D1" i="4"/>
  <c r="C87" i="6" l="1"/>
  <c r="C91" i="6"/>
  <c r="J75" i="4"/>
  <c r="I75" i="4"/>
  <c r="H75" i="4"/>
  <c r="F75" i="4"/>
  <c r="E75" i="4"/>
  <c r="G75" i="4"/>
  <c r="C46" i="4" l="1"/>
  <c r="G14" i="2" s="1"/>
  <c r="C47" i="4"/>
  <c r="C48" i="4"/>
  <c r="G15" i="2" s="1"/>
  <c r="C66" i="3"/>
  <c r="C24" i="3"/>
  <c r="G24" i="3"/>
  <c r="G12" i="3"/>
  <c r="C12" i="3"/>
  <c r="K45" i="4"/>
  <c r="L45" i="4"/>
  <c r="M45" i="4"/>
  <c r="D46" i="4"/>
  <c r="H14" i="2" s="1"/>
  <c r="E46" i="4"/>
  <c r="I14" i="2" s="1"/>
  <c r="F46" i="4"/>
  <c r="J14" i="2" s="1"/>
  <c r="G46" i="4"/>
  <c r="K14" i="2" s="1"/>
  <c r="H46" i="4"/>
  <c r="L14" i="2" s="1"/>
  <c r="I46" i="4"/>
  <c r="M14" i="2" s="1"/>
  <c r="J46" i="4"/>
  <c r="N14" i="2" s="1"/>
  <c r="K46" i="4"/>
  <c r="O14" i="2" s="1"/>
  <c r="L46" i="4"/>
  <c r="P14" i="2" s="1"/>
  <c r="M46" i="4"/>
  <c r="Q14" i="2" s="1"/>
  <c r="D51" i="4"/>
  <c r="H47" i="2" s="1"/>
  <c r="E51" i="4"/>
  <c r="I47" i="2" s="1"/>
  <c r="F51" i="4"/>
  <c r="J47" i="2" s="1"/>
  <c r="G51" i="4"/>
  <c r="K47" i="2" s="1"/>
  <c r="H51" i="4"/>
  <c r="L47" i="2" s="1"/>
  <c r="I51" i="4"/>
  <c r="M47" i="2" s="1"/>
  <c r="J51" i="4"/>
  <c r="N47" i="2" s="1"/>
  <c r="K51" i="4"/>
  <c r="O47" i="2" s="1"/>
  <c r="L51" i="4"/>
  <c r="P47" i="2" s="1"/>
  <c r="M51" i="4"/>
  <c r="Q47" i="2" s="1"/>
  <c r="D52" i="4"/>
  <c r="H48" i="2" s="1"/>
  <c r="E52" i="4"/>
  <c r="I48" i="2" s="1"/>
  <c r="F52" i="4"/>
  <c r="J48" i="2" s="1"/>
  <c r="G52" i="4"/>
  <c r="K48" i="2" s="1"/>
  <c r="H52" i="4"/>
  <c r="L48" i="2" s="1"/>
  <c r="I52" i="4"/>
  <c r="M48" i="2" s="1"/>
  <c r="J52" i="4"/>
  <c r="N48" i="2" s="1"/>
  <c r="K52" i="4"/>
  <c r="O48" i="2" s="1"/>
  <c r="L52" i="4"/>
  <c r="P48" i="2" s="1"/>
  <c r="M52" i="4"/>
  <c r="Q48" i="2" s="1"/>
  <c r="C51" i="4"/>
  <c r="G47" i="2" s="1"/>
  <c r="C52" i="4"/>
  <c r="G48" i="2" s="1"/>
  <c r="D62" i="4"/>
  <c r="H10" i="2" s="1"/>
  <c r="E62" i="4"/>
  <c r="I10" i="2" s="1"/>
  <c r="F62" i="4"/>
  <c r="J10" i="2" s="1"/>
  <c r="G62" i="4"/>
  <c r="K10" i="2" s="1"/>
  <c r="H62" i="4"/>
  <c r="L10" i="2" s="1"/>
  <c r="I62" i="4"/>
  <c r="M10" i="2" s="1"/>
  <c r="J62" i="4"/>
  <c r="N10" i="2" s="1"/>
  <c r="K62" i="4"/>
  <c r="O10" i="2" s="1"/>
  <c r="L62" i="4"/>
  <c r="P10" i="2" s="1"/>
  <c r="M62" i="4"/>
  <c r="Q10" i="2" s="1"/>
  <c r="D63" i="4"/>
  <c r="E63" i="4"/>
  <c r="F63" i="4"/>
  <c r="G63" i="4"/>
  <c r="H63" i="4"/>
  <c r="I63" i="4"/>
  <c r="J63" i="4"/>
  <c r="K63" i="4"/>
  <c r="L63" i="4"/>
  <c r="M63" i="4"/>
  <c r="C63" i="4"/>
  <c r="C62" i="4"/>
  <c r="G10" i="2" s="1"/>
  <c r="D61" i="4"/>
  <c r="H9" i="2" s="1"/>
  <c r="E61" i="4"/>
  <c r="I9" i="2" s="1"/>
  <c r="F61" i="4"/>
  <c r="J9" i="2" s="1"/>
  <c r="G61" i="4"/>
  <c r="K9" i="2" s="1"/>
  <c r="H61" i="4"/>
  <c r="L9" i="2" s="1"/>
  <c r="I61" i="4"/>
  <c r="M9" i="2" s="1"/>
  <c r="J61" i="4"/>
  <c r="N9" i="2" s="1"/>
  <c r="K61" i="4"/>
  <c r="O9" i="2" s="1"/>
  <c r="L61" i="4"/>
  <c r="P9" i="2" s="1"/>
  <c r="M61" i="4"/>
  <c r="Q9" i="2" s="1"/>
  <c r="C61" i="4"/>
  <c r="G9" i="2" s="1"/>
  <c r="D47" i="4"/>
  <c r="E47" i="4"/>
  <c r="F47" i="4"/>
  <c r="G47" i="4"/>
  <c r="H47" i="4"/>
  <c r="I47" i="4"/>
  <c r="J47" i="4"/>
  <c r="K47" i="4"/>
  <c r="L47" i="4"/>
  <c r="M47" i="4"/>
  <c r="D48" i="4"/>
  <c r="H15" i="2" s="1"/>
  <c r="E48" i="4"/>
  <c r="I15" i="2" s="1"/>
  <c r="F48" i="4"/>
  <c r="J15" i="2" s="1"/>
  <c r="G48" i="4"/>
  <c r="K15" i="2" s="1"/>
  <c r="H48" i="4"/>
  <c r="L15" i="2" s="1"/>
  <c r="I48" i="4"/>
  <c r="M15" i="2" s="1"/>
  <c r="J48" i="4"/>
  <c r="N15" i="2" s="1"/>
  <c r="K48" i="4"/>
  <c r="O15" i="2" s="1"/>
  <c r="L48" i="4"/>
  <c r="P15" i="2" s="1"/>
  <c r="M48" i="4"/>
  <c r="Q15" i="2" s="1"/>
  <c r="D42" i="4"/>
  <c r="H34" i="2" s="1"/>
  <c r="E42" i="4"/>
  <c r="I34" i="2" s="1"/>
  <c r="F42" i="4"/>
  <c r="J34" i="2" s="1"/>
  <c r="G42" i="4"/>
  <c r="K34" i="2" s="1"/>
  <c r="H42" i="4"/>
  <c r="L34" i="2" s="1"/>
  <c r="I42" i="4"/>
  <c r="M34" i="2" s="1"/>
  <c r="J42" i="4"/>
  <c r="N34" i="2" s="1"/>
  <c r="K42" i="4"/>
  <c r="O34" i="2" s="1"/>
  <c r="L42" i="4"/>
  <c r="P34" i="2" s="1"/>
  <c r="M42" i="4"/>
  <c r="Q34" i="2" s="1"/>
  <c r="C42" i="4"/>
  <c r="G34" i="2" s="1"/>
  <c r="D40" i="4"/>
  <c r="H24" i="2" s="1"/>
  <c r="E40" i="4"/>
  <c r="I24" i="2" s="1"/>
  <c r="F40" i="4"/>
  <c r="J24" i="2" s="1"/>
  <c r="G40" i="4"/>
  <c r="K24" i="2" s="1"/>
  <c r="H40" i="4"/>
  <c r="L24" i="2" s="1"/>
  <c r="I40" i="4"/>
  <c r="M24" i="2" s="1"/>
  <c r="J40" i="4"/>
  <c r="N24" i="2" s="1"/>
  <c r="K40" i="4"/>
  <c r="O24" i="2" s="1"/>
  <c r="L40" i="4"/>
  <c r="P24" i="2" s="1"/>
  <c r="M40" i="4"/>
  <c r="Q24" i="2" s="1"/>
  <c r="C40" i="4"/>
  <c r="G24" i="2" s="1"/>
  <c r="D39" i="4"/>
  <c r="E39" i="4"/>
  <c r="F39" i="4"/>
  <c r="G39" i="4"/>
  <c r="H39" i="4"/>
  <c r="I39" i="4"/>
  <c r="J39" i="4"/>
  <c r="K39" i="4"/>
  <c r="L39" i="4"/>
  <c r="M39" i="4"/>
  <c r="C39" i="4"/>
  <c r="D37" i="4"/>
  <c r="H23" i="2" s="1"/>
  <c r="E37" i="4"/>
  <c r="I23" i="2" s="1"/>
  <c r="F37" i="4"/>
  <c r="J23" i="2" s="1"/>
  <c r="G37" i="4"/>
  <c r="K23" i="2" s="1"/>
  <c r="H37" i="4"/>
  <c r="L23" i="2" s="1"/>
  <c r="I37" i="4"/>
  <c r="M23" i="2" s="1"/>
  <c r="J37" i="4"/>
  <c r="N23" i="2" s="1"/>
  <c r="K37" i="4"/>
  <c r="O23" i="2" s="1"/>
  <c r="L37" i="4"/>
  <c r="P23" i="2" s="1"/>
  <c r="M37" i="4"/>
  <c r="Q23" i="2" s="1"/>
  <c r="C37" i="4"/>
  <c r="G23" i="2" s="1"/>
  <c r="K43" i="4"/>
  <c r="L43" i="4"/>
  <c r="M43" i="4"/>
  <c r="D64" i="4"/>
  <c r="H89" i="2" s="1"/>
  <c r="E64" i="4"/>
  <c r="I89" i="2" s="1"/>
  <c r="F64" i="4"/>
  <c r="J89" i="2" s="1"/>
  <c r="G64" i="4"/>
  <c r="K89" i="2" s="1"/>
  <c r="H64" i="4"/>
  <c r="L89" i="2" s="1"/>
  <c r="C64" i="4"/>
  <c r="G89" i="2" s="1"/>
  <c r="C89" i="2" s="1"/>
  <c r="G103" i="2"/>
  <c r="C79" i="4"/>
  <c r="E76" i="4"/>
  <c r="F76" i="4"/>
  <c r="G76" i="4"/>
  <c r="H76" i="4"/>
  <c r="E77" i="4"/>
  <c r="F77" i="4"/>
  <c r="G77" i="4"/>
  <c r="H77" i="4"/>
  <c r="D77" i="4"/>
  <c r="D79" i="4"/>
  <c r="H104" i="2" s="1"/>
  <c r="D76" i="4"/>
  <c r="C77" i="9" l="1"/>
  <c r="C92" i="2"/>
  <c r="C56" i="6" s="1"/>
  <c r="I4" i="9"/>
  <c r="I5" i="9"/>
  <c r="C70" i="3"/>
  <c r="C68" i="2" s="1"/>
  <c r="C85" i="6"/>
  <c r="C81" i="9"/>
  <c r="C119" i="6" s="1"/>
  <c r="C116" i="6"/>
  <c r="J45" i="4"/>
  <c r="I45" i="4"/>
  <c r="G35" i="3"/>
  <c r="G40" i="3"/>
  <c r="D58" i="3"/>
  <c r="G104" i="2"/>
  <c r="C75" i="4"/>
  <c r="D75" i="4"/>
  <c r="C45" i="4"/>
  <c r="F45" i="4"/>
  <c r="D45" i="4"/>
  <c r="G45" i="4"/>
  <c r="E45" i="4"/>
  <c r="H45" i="4"/>
  <c r="I41" i="4"/>
  <c r="M33" i="2" s="1"/>
  <c r="J41" i="4"/>
  <c r="N33" i="2" s="1"/>
  <c r="K41" i="4"/>
  <c r="O33" i="2" s="1"/>
  <c r="L41" i="4"/>
  <c r="P33" i="2" s="1"/>
  <c r="M41" i="4"/>
  <c r="Q33" i="2" s="1"/>
  <c r="D41" i="4"/>
  <c r="H33" i="2" s="1"/>
  <c r="D36" i="4"/>
  <c r="C71" i="4" s="1"/>
  <c r="E36" i="4"/>
  <c r="D71" i="4" s="1"/>
  <c r="F36" i="4"/>
  <c r="E71" i="4" s="1"/>
  <c r="G36" i="4"/>
  <c r="F71" i="4" s="1"/>
  <c r="H36" i="4"/>
  <c r="G71" i="4" s="1"/>
  <c r="I36" i="4"/>
  <c r="H71" i="4" s="1"/>
  <c r="J36" i="4"/>
  <c r="I71" i="4" s="1"/>
  <c r="K36" i="4"/>
  <c r="J71" i="4" s="1"/>
  <c r="L36" i="4"/>
  <c r="K71" i="4" s="1"/>
  <c r="M36" i="4"/>
  <c r="L71" i="4" s="1"/>
  <c r="C36" i="4"/>
  <c r="B39" i="2"/>
  <c r="B38" i="2"/>
  <c r="B29" i="2"/>
  <c r="C9" i="2" l="1"/>
  <c r="C33" i="6" s="1"/>
  <c r="G41" i="3"/>
  <c r="G32" i="3"/>
  <c r="G27" i="3" s="1"/>
  <c r="L69" i="4"/>
  <c r="L67" i="4"/>
  <c r="L68" i="4"/>
  <c r="L70" i="4"/>
  <c r="D67" i="4"/>
  <c r="D68" i="4"/>
  <c r="D70" i="4"/>
  <c r="K69" i="4"/>
  <c r="K68" i="4"/>
  <c r="K70" i="4"/>
  <c r="K67" i="4"/>
  <c r="C67" i="4"/>
  <c r="C68" i="4"/>
  <c r="C70" i="4"/>
  <c r="J68" i="4"/>
  <c r="J70" i="4"/>
  <c r="J69" i="4"/>
  <c r="J67" i="4"/>
  <c r="I70" i="4"/>
  <c r="I67" i="4"/>
  <c r="I68" i="4"/>
  <c r="E68" i="4"/>
  <c r="E67" i="4"/>
  <c r="E70" i="4"/>
  <c r="H67" i="4"/>
  <c r="H70" i="4"/>
  <c r="H68" i="4"/>
  <c r="G67" i="4"/>
  <c r="G68" i="4"/>
  <c r="G70" i="4"/>
  <c r="F68" i="4"/>
  <c r="F70" i="4"/>
  <c r="F67" i="4"/>
  <c r="J4" i="2"/>
  <c r="J92" i="2" s="1"/>
  <c r="Q4" i="2"/>
  <c r="P4" i="2"/>
  <c r="I4" i="2"/>
  <c r="I92" i="2" s="1"/>
  <c r="G4" i="2"/>
  <c r="H4" i="2"/>
  <c r="H92" i="2" s="1"/>
  <c r="L4" i="2"/>
  <c r="L43" i="2" s="1"/>
  <c r="K4" i="2"/>
  <c r="K92" i="2" s="1"/>
  <c r="K38" i="4"/>
  <c r="O4" i="2"/>
  <c r="J38" i="4"/>
  <c r="J43" i="4" s="1"/>
  <c r="J44" i="4" s="1"/>
  <c r="J58" i="4" s="1"/>
  <c r="N61" i="2" s="1"/>
  <c r="N4" i="2"/>
  <c r="N43" i="2" s="1"/>
  <c r="I38" i="4"/>
  <c r="I43" i="4" s="1"/>
  <c r="I44" i="4" s="1"/>
  <c r="I58" i="4" s="1"/>
  <c r="M61" i="2" s="1"/>
  <c r="M4" i="2"/>
  <c r="M43" i="2" s="1"/>
  <c r="H41" i="4"/>
  <c r="L33" i="2" s="1"/>
  <c r="G38" i="4"/>
  <c r="G43" i="4" s="1"/>
  <c r="G44" i="4" s="1"/>
  <c r="E41" i="4"/>
  <c r="I33" i="2" s="1"/>
  <c r="G41" i="4"/>
  <c r="K33" i="2" s="1"/>
  <c r="H38" i="4"/>
  <c r="H43" i="4" s="1"/>
  <c r="C41" i="4"/>
  <c r="G33" i="2" s="1"/>
  <c r="F41" i="4"/>
  <c r="J33" i="2" s="1"/>
  <c r="C38" i="4"/>
  <c r="C43" i="4" s="1"/>
  <c r="D38" i="4"/>
  <c r="D43" i="4" s="1"/>
  <c r="D44" i="4" s="1"/>
  <c r="F38" i="4"/>
  <c r="F43" i="4" s="1"/>
  <c r="F44" i="4" s="1"/>
  <c r="L38" i="4"/>
  <c r="E38" i="4"/>
  <c r="E43" i="4" s="1"/>
  <c r="M38" i="4"/>
  <c r="C12" i="6"/>
  <c r="B4" i="6"/>
  <c r="G92" i="2" l="1"/>
  <c r="P80" i="2"/>
  <c r="P112" i="2" s="1"/>
  <c r="P43" i="2"/>
  <c r="O80" i="2"/>
  <c r="O112" i="2" s="1"/>
  <c r="O43" i="2"/>
  <c r="C109" i="2"/>
  <c r="Q80" i="2"/>
  <c r="Q112" i="2" s="1"/>
  <c r="Q43" i="2"/>
  <c r="C12" i="9"/>
  <c r="H100" i="2"/>
  <c r="P54" i="2"/>
  <c r="P119" i="2"/>
  <c r="P120" i="2"/>
  <c r="P100" i="2"/>
  <c r="M100" i="2"/>
  <c r="N100" i="2"/>
  <c r="Q54" i="2"/>
  <c r="Q119" i="2"/>
  <c r="Q120" i="2"/>
  <c r="Q100" i="2"/>
  <c r="K100" i="2"/>
  <c r="I100" i="2"/>
  <c r="O54" i="2"/>
  <c r="O119" i="2"/>
  <c r="O120" i="2"/>
  <c r="O100" i="2"/>
  <c r="J100" i="2"/>
  <c r="L100" i="2"/>
  <c r="G109" i="2"/>
  <c r="N102" i="2"/>
  <c r="N108" i="2" s="1"/>
  <c r="N101" i="2"/>
  <c r="N107" i="2" s="1"/>
  <c r="O8" i="2"/>
  <c r="O102" i="2"/>
  <c r="O101" i="2"/>
  <c r="J101" i="2"/>
  <c r="J107" i="2" s="1"/>
  <c r="J102" i="2"/>
  <c r="J108" i="2" s="1"/>
  <c r="M102" i="2"/>
  <c r="M108" i="2" s="1"/>
  <c r="M101" i="2"/>
  <c r="M107" i="2" s="1"/>
  <c r="H101" i="2"/>
  <c r="H107" i="2" s="1"/>
  <c r="H102" i="2"/>
  <c r="H108" i="2" s="1"/>
  <c r="I101" i="2"/>
  <c r="I107" i="2" s="1"/>
  <c r="I102" i="2"/>
  <c r="I108" i="2" s="1"/>
  <c r="P8" i="2"/>
  <c r="P101" i="2"/>
  <c r="P102" i="2"/>
  <c r="Q8" i="2"/>
  <c r="Q101" i="2"/>
  <c r="Q102" i="2"/>
  <c r="K102" i="2"/>
  <c r="K108" i="2" s="1"/>
  <c r="K101" i="2"/>
  <c r="K107" i="2" s="1"/>
  <c r="L101" i="2"/>
  <c r="L107" i="2" s="1"/>
  <c r="L102" i="2"/>
  <c r="L108" i="2" s="1"/>
  <c r="H60" i="2"/>
  <c r="H11" i="2" s="1"/>
  <c r="G60" i="2"/>
  <c r="I60" i="2"/>
  <c r="I11" i="2" s="1"/>
  <c r="Q60" i="2"/>
  <c r="Q11" i="2" s="1"/>
  <c r="Q62" i="2"/>
  <c r="M60" i="2"/>
  <c r="P60" i="2"/>
  <c r="P11" i="2" s="1"/>
  <c r="P62" i="2"/>
  <c r="J60" i="2"/>
  <c r="J11" i="2" s="1"/>
  <c r="N60" i="2"/>
  <c r="K60" i="2"/>
  <c r="K11" i="2" s="1"/>
  <c r="O62" i="2"/>
  <c r="O60" i="2"/>
  <c r="O11" i="2" s="1"/>
  <c r="L60" i="2"/>
  <c r="L11" i="2" s="1"/>
  <c r="H69" i="4"/>
  <c r="I69" i="4"/>
  <c r="F58" i="4"/>
  <c r="J61" i="2" s="1"/>
  <c r="D58" i="4"/>
  <c r="H61" i="2" s="1"/>
  <c r="G58" i="4"/>
  <c r="H44" i="4"/>
  <c r="H58" i="4" s="1"/>
  <c r="E44" i="4"/>
  <c r="E58" i="4" s="1"/>
  <c r="C44" i="4"/>
  <c r="C58" i="4" s="1"/>
  <c r="Q13" i="2"/>
  <c r="Q16" i="2"/>
  <c r="P16" i="2"/>
  <c r="P13" i="2"/>
  <c r="O13" i="2"/>
  <c r="O16" i="2"/>
  <c r="C104" i="2"/>
  <c r="G52" i="2"/>
  <c r="C52" i="2" s="1"/>
  <c r="P19" i="2"/>
  <c r="P91" i="2"/>
  <c r="Q19" i="2"/>
  <c r="Q91" i="2"/>
  <c r="O19" i="2"/>
  <c r="O91" i="2"/>
  <c r="M95" i="2"/>
  <c r="O95" i="2"/>
  <c r="P95" i="2"/>
  <c r="N95" i="2"/>
  <c r="L95" i="2"/>
  <c r="G95" i="2"/>
  <c r="I95" i="2"/>
  <c r="C100" i="2"/>
  <c r="D59" i="3"/>
  <c r="K95" i="2"/>
  <c r="H95" i="2"/>
  <c r="J95" i="2"/>
  <c r="O90" i="2"/>
  <c r="Q90" i="2"/>
  <c r="P90" i="2"/>
  <c r="P114" i="2"/>
  <c r="P115" i="2"/>
  <c r="Q114" i="2"/>
  <c r="Q115" i="2"/>
  <c r="O115" i="2"/>
  <c r="O114" i="2"/>
  <c r="O108" i="2"/>
  <c r="O107" i="2"/>
  <c r="Q107" i="2"/>
  <c r="Q108" i="2"/>
  <c r="P107" i="2"/>
  <c r="P108" i="2"/>
  <c r="K81" i="2"/>
  <c r="Q78" i="2"/>
  <c r="J29" i="2"/>
  <c r="P82" i="2"/>
  <c r="G77" i="2"/>
  <c r="G101" i="2"/>
  <c r="G107" i="2" s="1"/>
  <c r="G102" i="2"/>
  <c r="G108" i="2" s="1"/>
  <c r="G100" i="2"/>
  <c r="L82" i="2"/>
  <c r="J76" i="2"/>
  <c r="P76" i="2"/>
  <c r="I25" i="2"/>
  <c r="I30" i="2" s="1"/>
  <c r="E69" i="4"/>
  <c r="Q35" i="2"/>
  <c r="Q7" i="2" s="1"/>
  <c r="Q76" i="2"/>
  <c r="H29" i="2"/>
  <c r="Q6" i="2"/>
  <c r="Q49" i="2"/>
  <c r="Q12" i="2" s="1"/>
  <c r="Q82" i="2"/>
  <c r="Q38" i="2"/>
  <c r="Q74" i="2"/>
  <c r="Q86" i="2"/>
  <c r="K25" i="2"/>
  <c r="K30" i="2" s="1"/>
  <c r="I81" i="2"/>
  <c r="K49" i="2"/>
  <c r="K12" i="2" s="1"/>
  <c r="K79" i="2" s="1"/>
  <c r="Q83" i="2"/>
  <c r="Q79" i="2"/>
  <c r="Q81" i="2"/>
  <c r="Q72" i="2"/>
  <c r="Q25" i="2"/>
  <c r="Q5" i="2" s="1"/>
  <c r="P96" i="2" s="1"/>
  <c r="Q29" i="2"/>
  <c r="K38" i="2"/>
  <c r="Q75" i="2"/>
  <c r="Q40" i="2"/>
  <c r="Q39" i="2"/>
  <c r="Q30" i="2"/>
  <c r="Q28" i="2"/>
  <c r="Q73" i="2"/>
  <c r="Q77" i="2"/>
  <c r="F69" i="4"/>
  <c r="J35" i="2"/>
  <c r="J40" i="2" s="1"/>
  <c r="H49" i="2"/>
  <c r="H12" i="2" s="1"/>
  <c r="H79" i="2" s="1"/>
  <c r="I29" i="2"/>
  <c r="H39" i="2"/>
  <c r="H81" i="2"/>
  <c r="C69" i="4"/>
  <c r="I39" i="2"/>
  <c r="H82" i="2"/>
  <c r="D69" i="4"/>
  <c r="H76" i="2"/>
  <c r="I49" i="2"/>
  <c r="I12" i="2" s="1"/>
  <c r="I79" i="2" s="1"/>
  <c r="H77" i="2"/>
  <c r="I38" i="2"/>
  <c r="I77" i="2"/>
  <c r="H28" i="2"/>
  <c r="H35" i="2"/>
  <c r="H40" i="2" s="1"/>
  <c r="I76" i="2"/>
  <c r="I28" i="2"/>
  <c r="H38" i="2"/>
  <c r="G69" i="4"/>
  <c r="H25" i="2"/>
  <c r="H30" i="2" s="1"/>
  <c r="I82" i="2"/>
  <c r="L49" i="2"/>
  <c r="L12" i="2" s="1"/>
  <c r="L79" i="2" s="1"/>
  <c r="J49" i="2"/>
  <c r="J12" i="2" s="1"/>
  <c r="J79" i="2" s="1"/>
  <c r="J39" i="2"/>
  <c r="L77" i="2"/>
  <c r="J82" i="2"/>
  <c r="J77" i="2"/>
  <c r="J25" i="2"/>
  <c r="J30" i="2" s="1"/>
  <c r="J28" i="2"/>
  <c r="L28" i="2"/>
  <c r="L25" i="2"/>
  <c r="L30" i="2" s="1"/>
  <c r="L35" i="2"/>
  <c r="L40" i="2" s="1"/>
  <c r="J81" i="2"/>
  <c r="L81" i="2"/>
  <c r="L76" i="2"/>
  <c r="L29" i="2"/>
  <c r="G35" i="2"/>
  <c r="G40" i="2" s="1"/>
  <c r="L39" i="2"/>
  <c r="G82" i="2"/>
  <c r="G76" i="2"/>
  <c r="G39" i="2"/>
  <c r="G81" i="2"/>
  <c r="P40" i="2"/>
  <c r="P38" i="2"/>
  <c r="P83" i="2"/>
  <c r="K28" i="2"/>
  <c r="K29" i="2"/>
  <c r="P49" i="2"/>
  <c r="P12" i="2" s="1"/>
  <c r="K76" i="2"/>
  <c r="P75" i="2"/>
  <c r="P30" i="2"/>
  <c r="P79" i="2"/>
  <c r="P73" i="2"/>
  <c r="P86" i="2"/>
  <c r="G29" i="2"/>
  <c r="C24" i="2" s="1"/>
  <c r="P74" i="2"/>
  <c r="P39" i="2"/>
  <c r="P25" i="2"/>
  <c r="P5" i="2" s="1"/>
  <c r="O96" i="2" s="1"/>
  <c r="P81" i="2"/>
  <c r="P29" i="2"/>
  <c r="P35" i="2"/>
  <c r="P7" i="2" s="1"/>
  <c r="P72" i="2"/>
  <c r="G25" i="2"/>
  <c r="G30" i="2" s="1"/>
  <c r="P6" i="2"/>
  <c r="G49" i="2"/>
  <c r="G12" i="2" s="1"/>
  <c r="G79" i="2" s="1"/>
  <c r="G28" i="2"/>
  <c r="P28" i="2"/>
  <c r="K39" i="2"/>
  <c r="K82" i="2"/>
  <c r="P77" i="2"/>
  <c r="K77" i="2"/>
  <c r="P78" i="2"/>
  <c r="B1" i="4"/>
  <c r="G38" i="2"/>
  <c r="L38" i="2"/>
  <c r="J38" i="2"/>
  <c r="O78" i="2"/>
  <c r="O77" i="2"/>
  <c r="O76" i="2"/>
  <c r="O82" i="2"/>
  <c r="M77" i="2"/>
  <c r="M82" i="2"/>
  <c r="M76" i="2"/>
  <c r="N77" i="2"/>
  <c r="N82" i="2"/>
  <c r="N76" i="2"/>
  <c r="O79" i="2"/>
  <c r="O49" i="2"/>
  <c r="O12" i="2" s="1"/>
  <c r="M49" i="2"/>
  <c r="M12" i="2" s="1"/>
  <c r="M79" i="2" s="1"/>
  <c r="N49" i="2"/>
  <c r="N12" i="2" s="1"/>
  <c r="N79" i="2" s="1"/>
  <c r="K35" i="2"/>
  <c r="I35" i="2"/>
  <c r="I40" i="2" s="1"/>
  <c r="M81" i="2"/>
  <c r="M39" i="2"/>
  <c r="M35" i="2"/>
  <c r="M7" i="2" s="1"/>
  <c r="M74" i="2" s="1"/>
  <c r="M28" i="2"/>
  <c r="M29" i="2"/>
  <c r="M25" i="2"/>
  <c r="M5" i="2" s="1"/>
  <c r="M38" i="2"/>
  <c r="N28" i="2"/>
  <c r="N81" i="2"/>
  <c r="N35" i="2"/>
  <c r="N7" i="2" s="1"/>
  <c r="N74" i="2" s="1"/>
  <c r="N38" i="2"/>
  <c r="N39" i="2"/>
  <c r="N25" i="2"/>
  <c r="N5" i="2" s="1"/>
  <c r="N29" i="2"/>
  <c r="O86" i="2"/>
  <c r="O83" i="2"/>
  <c r="O38" i="2"/>
  <c r="O39" i="2"/>
  <c r="O30" i="2"/>
  <c r="O29" i="2"/>
  <c r="O25" i="2"/>
  <c r="O5" i="2" s="1"/>
  <c r="N96" i="2" s="1"/>
  <c r="O35" i="2"/>
  <c r="O7" i="2" s="1"/>
  <c r="O6" i="2"/>
  <c r="O81" i="2"/>
  <c r="O75" i="2"/>
  <c r="O72" i="2"/>
  <c r="O73" i="2"/>
  <c r="O40" i="2"/>
  <c r="O28" i="2"/>
  <c r="O74" i="2"/>
  <c r="C23" i="2" l="1"/>
  <c r="C25" i="2" s="1"/>
  <c r="C17" i="2"/>
  <c r="C18" i="2"/>
  <c r="M62" i="2"/>
  <c r="M78" i="2" s="1"/>
  <c r="M11" i="2"/>
  <c r="N62" i="2"/>
  <c r="N78" i="2" s="1"/>
  <c r="N11" i="2"/>
  <c r="C48" i="2"/>
  <c r="G68" i="2"/>
  <c r="G11" i="2"/>
  <c r="N72" i="2"/>
  <c r="M6" i="2"/>
  <c r="M8" i="2"/>
  <c r="M54" i="2" s="1"/>
  <c r="C95" i="2"/>
  <c r="C50" i="6"/>
  <c r="J62" i="2"/>
  <c r="J78" i="2" s="1"/>
  <c r="H62" i="2"/>
  <c r="H78" i="2" s="1"/>
  <c r="N40" i="2"/>
  <c r="N114" i="2"/>
  <c r="M114" i="2"/>
  <c r="M73" i="2"/>
  <c r="M40" i="2"/>
  <c r="N6" i="2"/>
  <c r="N8" i="2" s="1"/>
  <c r="N54" i="2" s="1"/>
  <c r="M30" i="2"/>
  <c r="M72" i="2"/>
  <c r="N30" i="2"/>
  <c r="K61" i="2"/>
  <c r="L61" i="2"/>
  <c r="G61" i="2"/>
  <c r="G62" i="2" s="1"/>
  <c r="I61" i="2"/>
  <c r="C114" i="2"/>
  <c r="C55" i="3"/>
  <c r="L114" i="2"/>
  <c r="J114" i="2"/>
  <c r="G114" i="2"/>
  <c r="H114" i="2"/>
  <c r="K114" i="2"/>
  <c r="I114" i="2"/>
  <c r="C113" i="2"/>
  <c r="H5" i="2"/>
  <c r="I5" i="2"/>
  <c r="C107" i="2"/>
  <c r="C108" i="2"/>
  <c r="K5" i="2"/>
  <c r="J7" i="2"/>
  <c r="J74" i="2" s="1"/>
  <c r="C76" i="2"/>
  <c r="C77" i="2" s="1"/>
  <c r="L5" i="2"/>
  <c r="G7" i="2"/>
  <c r="G74" i="2" s="1"/>
  <c r="J5" i="2"/>
  <c r="C38" i="2"/>
  <c r="C39" i="2"/>
  <c r="C49" i="6"/>
  <c r="L7" i="2"/>
  <c r="L74" i="2" s="1"/>
  <c r="H7" i="2"/>
  <c r="H74" i="2" s="1"/>
  <c r="G5" i="2"/>
  <c r="G72" i="2" s="1"/>
  <c r="K7" i="2"/>
  <c r="K74" i="2" s="1"/>
  <c r="K40" i="2"/>
  <c r="I7" i="2"/>
  <c r="I74" i="2" s="1"/>
  <c r="C35" i="2"/>
  <c r="C7" i="2" s="1"/>
  <c r="C5" i="2" l="1"/>
  <c r="C6" i="2" s="1"/>
  <c r="C8" i="2" s="1"/>
  <c r="C30" i="2"/>
  <c r="C10" i="2"/>
  <c r="K72" i="2"/>
  <c r="I72" i="2"/>
  <c r="H72" i="2"/>
  <c r="J72" i="2"/>
  <c r="L72" i="2"/>
  <c r="L62" i="2"/>
  <c r="L78" i="2" s="1"/>
  <c r="K62" i="2"/>
  <c r="K78" i="2" s="1"/>
  <c r="I62" i="2"/>
  <c r="I78" i="2" s="1"/>
  <c r="N73" i="2"/>
  <c r="C78" i="2"/>
  <c r="H6" i="2"/>
  <c r="H8" i="2" s="1"/>
  <c r="K6" i="2"/>
  <c r="K8" i="2" s="1"/>
  <c r="K43" i="2" s="1"/>
  <c r="G6" i="2"/>
  <c r="G8" i="2" s="1"/>
  <c r="G43" i="2" s="1"/>
  <c r="I6" i="2"/>
  <c r="I8" i="2" s="1"/>
  <c r="L6" i="2"/>
  <c r="L8" i="2" s="1"/>
  <c r="L54" i="2" s="1"/>
  <c r="J6" i="2"/>
  <c r="J8" i="2" s="1"/>
  <c r="C74" i="2"/>
  <c r="C40" i="2"/>
  <c r="C34" i="6" l="1"/>
  <c r="I54" i="2"/>
  <c r="I43" i="2"/>
  <c r="H54" i="2"/>
  <c r="H43" i="2"/>
  <c r="J54" i="2"/>
  <c r="J43" i="2"/>
  <c r="G54" i="2"/>
  <c r="C7" i="9"/>
  <c r="K54" i="2"/>
  <c r="C13" i="9"/>
  <c r="G78" i="2"/>
  <c r="L73" i="2"/>
  <c r="I73" i="2"/>
  <c r="H73" i="2"/>
  <c r="G73" i="2"/>
  <c r="K73" i="2"/>
  <c r="J73" i="2"/>
  <c r="C103" i="2"/>
  <c r="D55" i="3" l="1"/>
  <c r="G29" i="3"/>
  <c r="D62" i="3" s="1"/>
  <c r="D51" i="3" l="1"/>
  <c r="C46" i="3"/>
  <c r="C47" i="3" s="1"/>
  <c r="C62" i="3"/>
  <c r="C82" i="2" s="1"/>
  <c r="C15" i="2" l="1"/>
  <c r="G1" i="2"/>
  <c r="C43" i="6" l="1"/>
  <c r="N90" i="2"/>
  <c r="M90" i="2"/>
  <c r="C3" i="8"/>
  <c r="C90" i="2"/>
  <c r="J90" i="2"/>
  <c r="I90" i="2"/>
  <c r="K90" i="2"/>
  <c r="L90" i="2"/>
  <c r="H90" i="2"/>
  <c r="G90" i="2"/>
  <c r="F1" i="3"/>
  <c r="H1" i="2"/>
  <c r="P113" i="2"/>
  <c r="M113" i="2"/>
  <c r="L113" i="2"/>
  <c r="J113" i="2"/>
  <c r="K113" i="2"/>
  <c r="N113" i="2"/>
  <c r="I113" i="2"/>
  <c r="O113" i="2"/>
  <c r="H113" i="2"/>
  <c r="Q113" i="2"/>
  <c r="E1" i="4"/>
  <c r="F1" i="4" s="1"/>
  <c r="G1" i="4" s="1"/>
  <c r="H1" i="4" s="1"/>
  <c r="I1" i="4" s="1"/>
  <c r="J1" i="4" s="1"/>
  <c r="K1" i="4" s="1"/>
  <c r="L1" i="4" s="1"/>
  <c r="M1" i="4" s="1"/>
  <c r="C6" i="9" l="1"/>
  <c r="Q111" i="2" l="1"/>
  <c r="O111" i="2"/>
  <c r="P111" i="2"/>
  <c r="C72" i="2" l="1"/>
  <c r="C41" i="3"/>
  <c r="C31" i="3" l="1"/>
  <c r="C30" i="6" l="1"/>
  <c r="C73" i="2"/>
  <c r="C32" i="3"/>
  <c r="G31" i="3"/>
  <c r="C7" i="8" s="1"/>
  <c r="C84" i="3" s="1"/>
  <c r="B1" i="2"/>
  <c r="C87" i="3" l="1"/>
  <c r="D84" i="3"/>
  <c r="D87" i="3" s="1"/>
  <c r="C81" i="6"/>
  <c r="C82" i="6" s="1"/>
  <c r="B71" i="8"/>
  <c r="E71" i="8"/>
  <c r="C71" i="8"/>
  <c r="F69" i="8"/>
  <c r="B69" i="8"/>
  <c r="E68" i="8"/>
  <c r="D69" i="8"/>
  <c r="F66" i="8"/>
  <c r="F68" i="8"/>
  <c r="D67" i="8"/>
  <c r="F67" i="8"/>
  <c r="C67" i="8"/>
  <c r="C70" i="8"/>
  <c r="E66" i="8"/>
  <c r="D71" i="8"/>
  <c r="D70" i="8"/>
  <c r="D68" i="8"/>
  <c r="C68" i="8"/>
  <c r="F70" i="8"/>
  <c r="E67" i="8"/>
  <c r="B70" i="8"/>
  <c r="C66" i="8"/>
  <c r="E70" i="8"/>
  <c r="F71" i="8"/>
  <c r="E69" i="8"/>
  <c r="C69" i="8"/>
  <c r="B68" i="8"/>
  <c r="B67" i="8"/>
  <c r="D66" i="8"/>
  <c r="B66" i="8"/>
  <c r="G53" i="2"/>
  <c r="C53" i="2" l="1"/>
  <c r="C47" i="2" s="1"/>
  <c r="C54" i="2" s="1"/>
  <c r="E78" i="8" l="1"/>
  <c r="E106" i="6" s="1"/>
  <c r="C49" i="2"/>
  <c r="C12" i="2" s="1"/>
  <c r="I1" i="2"/>
  <c r="C13" i="2" l="1"/>
  <c r="C14" i="2"/>
  <c r="C46" i="6" s="1"/>
  <c r="C40" i="6"/>
  <c r="C51" i="9"/>
  <c r="C79" i="2"/>
  <c r="J1" i="2"/>
  <c r="K1" i="2" s="1"/>
  <c r="L1" i="2" s="1"/>
  <c r="M1" i="2" s="1"/>
  <c r="N1" i="2" s="1"/>
  <c r="O1" i="2" s="1"/>
  <c r="P1" i="2" s="1"/>
  <c r="Q1" i="2" s="1"/>
  <c r="C16" i="2" l="1"/>
  <c r="C19" i="2" s="1"/>
  <c r="G113" i="2"/>
  <c r="C43" i="8" l="1"/>
  <c r="F43" i="8" s="1"/>
  <c r="C44" i="8"/>
  <c r="F44" i="8" s="1"/>
  <c r="C45" i="8"/>
  <c r="F45" i="8" s="1"/>
  <c r="C41" i="8"/>
  <c r="F41" i="8" s="1"/>
  <c r="C42" i="8"/>
  <c r="F42" i="8" s="1"/>
  <c r="C46" i="8"/>
  <c r="F46" i="8" s="1"/>
  <c r="C49" i="8"/>
  <c r="F49" i="8" s="1"/>
  <c r="C50" i="8"/>
  <c r="F50" i="8" s="1"/>
  <c r="C47" i="8"/>
  <c r="F47" i="8" s="1"/>
  <c r="C48" i="8"/>
  <c r="F48" i="8" s="1"/>
  <c r="C39" i="8"/>
  <c r="C40" i="8"/>
  <c r="C36" i="8"/>
  <c r="C38" i="8"/>
  <c r="C37" i="8"/>
  <c r="F38" i="8" l="1"/>
  <c r="F37" i="8"/>
  <c r="F39" i="8"/>
  <c r="F40" i="8"/>
  <c r="F36" i="8"/>
  <c r="C64" i="8" l="1"/>
  <c r="E74" i="8" l="1"/>
  <c r="E102" i="6" s="1"/>
  <c r="E75" i="8"/>
  <c r="E103" i="6" s="1"/>
  <c r="E77" i="8"/>
  <c r="E105" i="6" s="1"/>
  <c r="E76" i="8"/>
  <c r="E104" i="6" s="1"/>
  <c r="C27" i="9" l="1"/>
  <c r="C57" i="9"/>
  <c r="C33" i="9"/>
  <c r="C39" i="9"/>
  <c r="C42" i="9" l="1"/>
  <c r="C60" i="9" s="1"/>
  <c r="I6" i="9" s="1"/>
  <c r="E72" i="9" l="1"/>
  <c r="C72" i="9" s="1"/>
  <c r="C82" i="9"/>
  <c r="C108" i="6"/>
  <c r="C87" i="9" l="1"/>
  <c r="C21" i="6" s="1"/>
  <c r="C83" i="9"/>
  <c r="C120" i="6"/>
  <c r="H75" i="2"/>
  <c r="H115" i="2"/>
  <c r="H111" i="2" s="1"/>
  <c r="H13" i="2"/>
  <c r="F83" i="9" l="1"/>
  <c r="C122" i="6" s="1"/>
  <c r="C121" i="6"/>
  <c r="C20" i="6" s="1"/>
  <c r="H16" i="2"/>
  <c r="H119" i="2" s="1"/>
  <c r="H120" i="2" s="1"/>
  <c r="H80" i="2"/>
  <c r="H112" i="2" s="1"/>
  <c r="H83" i="2" l="1"/>
  <c r="H19" i="2"/>
  <c r="H91" i="2" s="1"/>
  <c r="G115" i="2"/>
  <c r="G111" i="2" s="1"/>
  <c r="G75" i="2"/>
  <c r="D54" i="3"/>
  <c r="D50" i="3"/>
  <c r="G13" i="2"/>
  <c r="G96" i="2" s="1"/>
  <c r="H86" i="2" l="1"/>
  <c r="G16" i="2"/>
  <c r="G119" i="2" s="1"/>
  <c r="G80" i="2"/>
  <c r="G112" i="2" s="1"/>
  <c r="G19" i="2" l="1"/>
  <c r="G83" i="2"/>
  <c r="G120" i="2"/>
  <c r="N115" i="2"/>
  <c r="N111" i="2" s="1"/>
  <c r="J75" i="2"/>
  <c r="I75" i="2"/>
  <c r="N75" i="2"/>
  <c r="L75" i="2"/>
  <c r="L115" i="2"/>
  <c r="L111" i="2" s="1"/>
  <c r="M115" i="2"/>
  <c r="M111" i="2" s="1"/>
  <c r="I115" i="2"/>
  <c r="I111" i="2" s="1"/>
  <c r="J115" i="2"/>
  <c r="J111" i="2" s="1"/>
  <c r="K115" i="2"/>
  <c r="K111" i="2" s="1"/>
  <c r="J13" i="2"/>
  <c r="M75" i="2"/>
  <c r="L13" i="2"/>
  <c r="K13" i="2"/>
  <c r="K16" i="2" s="1"/>
  <c r="N13" i="2"/>
  <c r="M13" i="2"/>
  <c r="I13" i="2"/>
  <c r="K75" i="2"/>
  <c r="G91" i="2" l="1"/>
  <c r="C8" i="9"/>
  <c r="C53" i="6"/>
  <c r="G86" i="2"/>
  <c r="K80" i="2"/>
  <c r="K112" i="2" s="1"/>
  <c r="K96" i="2"/>
  <c r="L96" i="2"/>
  <c r="M96" i="2"/>
  <c r="I96" i="2"/>
  <c r="H96" i="2"/>
  <c r="J96" i="2"/>
  <c r="I16" i="2"/>
  <c r="I119" i="2" s="1"/>
  <c r="I120" i="2" s="1"/>
  <c r="I80" i="2"/>
  <c r="I112" i="2" s="1"/>
  <c r="N16" i="2"/>
  <c r="N19" i="2" s="1"/>
  <c r="N80" i="2"/>
  <c r="N112" i="2" s="1"/>
  <c r="L16" i="2"/>
  <c r="L119" i="2" s="1"/>
  <c r="L120" i="2" s="1"/>
  <c r="L80" i="2"/>
  <c r="L112" i="2" s="1"/>
  <c r="J16" i="2"/>
  <c r="J83" i="2" s="1"/>
  <c r="J80" i="2"/>
  <c r="J112" i="2" s="1"/>
  <c r="M16" i="2"/>
  <c r="M119" i="2" s="1"/>
  <c r="M120" i="2" s="1"/>
  <c r="M80" i="2"/>
  <c r="M112" i="2" s="1"/>
  <c r="K19" i="2"/>
  <c r="K119" i="2"/>
  <c r="K120" i="2" s="1"/>
  <c r="K83" i="2"/>
  <c r="N83" i="2"/>
  <c r="K91" i="2" l="1"/>
  <c r="N119" i="2"/>
  <c r="N120" i="2" s="1"/>
  <c r="M83" i="2"/>
  <c r="I19" i="2"/>
  <c r="I86" i="2" s="1"/>
  <c r="M19" i="2"/>
  <c r="M91" i="2" s="1"/>
  <c r="I83" i="2"/>
  <c r="J19" i="2"/>
  <c r="J91" i="2" s="1"/>
  <c r="J119" i="2"/>
  <c r="J120" i="2" s="1"/>
  <c r="L19" i="2"/>
  <c r="L86" i="2" s="1"/>
  <c r="K86" i="2"/>
  <c r="L83" i="2"/>
  <c r="N86" i="2"/>
  <c r="N91" i="2"/>
  <c r="C75" i="2"/>
  <c r="C50" i="3"/>
  <c r="C54" i="3"/>
  <c r="C115" i="2"/>
  <c r="I91" i="2" l="1"/>
  <c r="C14" i="9"/>
  <c r="M86" i="2"/>
  <c r="C80" i="2"/>
  <c r="C112" i="2" s="1"/>
  <c r="C96" i="2"/>
  <c r="J86" i="2"/>
  <c r="L91" i="2"/>
  <c r="C81" i="2"/>
  <c r="C119" i="2" l="1"/>
  <c r="C83" i="2" l="1"/>
  <c r="C9" i="9"/>
  <c r="C54" i="6" l="1"/>
  <c r="C120" i="2"/>
  <c r="C55" i="6" s="1"/>
  <c r="C4" i="8"/>
  <c r="C91" i="2"/>
  <c r="C86" i="2"/>
  <c r="C6" i="8" l="1"/>
  <c r="C73" i="6" s="1"/>
  <c r="C21" i="8"/>
  <c r="C10" i="8" l="1"/>
  <c r="C12" i="8" s="1"/>
  <c r="C24" i="8"/>
  <c r="F24" i="8" s="1"/>
  <c r="C30" i="8"/>
  <c r="F30" i="8" s="1"/>
  <c r="C35" i="8"/>
  <c r="F35" i="8" s="1"/>
  <c r="C51" i="8"/>
  <c r="F51" i="8" s="1"/>
  <c r="C28" i="8"/>
  <c r="F28" i="8" s="1"/>
  <c r="C31" i="8"/>
  <c r="F31" i="8" s="1"/>
  <c r="C29" i="8"/>
  <c r="F29" i="8" s="1"/>
  <c r="F21" i="8"/>
  <c r="C23" i="8"/>
  <c r="F23" i="8" s="1"/>
  <c r="C32" i="8"/>
  <c r="F32" i="8" s="1"/>
  <c r="C34" i="8"/>
  <c r="F34" i="8" s="1"/>
  <c r="C25" i="8"/>
  <c r="F25" i="8" s="1"/>
  <c r="C26" i="8"/>
  <c r="F26" i="8" s="1"/>
  <c r="C27" i="8"/>
  <c r="F27" i="8" s="1"/>
  <c r="C33" i="8"/>
  <c r="F33" i="8" s="1"/>
  <c r="C22" i="8"/>
  <c r="F22" i="8" s="1"/>
  <c r="C95" i="6" l="1"/>
  <c r="C22" i="9"/>
  <c r="C69" i="9" s="1"/>
  <c r="E65" i="8"/>
  <c r="F65" i="8"/>
  <c r="C65" i="8"/>
  <c r="B65" i="8"/>
  <c r="D65" i="8"/>
  <c r="F52" i="8"/>
  <c r="C70" i="9" l="1"/>
  <c r="C17" i="6" s="1"/>
  <c r="C18" i="8"/>
  <c r="A55" i="8"/>
  <c r="C66" i="9" l="1"/>
</calcChain>
</file>

<file path=xl/sharedStrings.xml><?xml version="1.0" encoding="utf-8"?>
<sst xmlns="http://schemas.openxmlformats.org/spreadsheetml/2006/main" count="545" uniqueCount="377">
  <si>
    <t>Number of Shares:</t>
  </si>
  <si>
    <t>Reporting Currency:</t>
  </si>
  <si>
    <t>Exchange Rate:</t>
  </si>
  <si>
    <t>Sales</t>
  </si>
  <si>
    <t>Total Assets</t>
  </si>
  <si>
    <t>Current Liabilities</t>
  </si>
  <si>
    <t>ST Borrowing</t>
  </si>
  <si>
    <t>ST Lease liabilities</t>
  </si>
  <si>
    <t>ST SH Loan</t>
  </si>
  <si>
    <t>ST Financial Liabilities</t>
  </si>
  <si>
    <t>Other ST liabilities</t>
  </si>
  <si>
    <t>Inventory</t>
  </si>
  <si>
    <t>ST DTA</t>
  </si>
  <si>
    <t>Other ST Assets</t>
  </si>
  <si>
    <t>LT Borrowing</t>
  </si>
  <si>
    <t>LT Lease liabilities</t>
  </si>
  <si>
    <t>LT SH Loan</t>
  </si>
  <si>
    <t>LT Financial Liabilities</t>
  </si>
  <si>
    <t>Other LT liabilities</t>
  </si>
  <si>
    <t>Biological assets</t>
  </si>
  <si>
    <t>Intangible assets</t>
  </si>
  <si>
    <t>LT DTA</t>
  </si>
  <si>
    <t>Other assets &amp; Goodwill</t>
  </si>
  <si>
    <t>Noncurrent Liabilities</t>
  </si>
  <si>
    <t>Total Liabilities</t>
  </si>
  <si>
    <t>Capitalization: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</si>
  <si>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</si>
  <si>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</si>
  <si>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</si>
  <si>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</si>
  <si>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</si>
  <si>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</si>
  <si>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</si>
  <si>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</si>
  <si>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</si>
  <si>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</si>
  <si>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</si>
  <si>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Valued @</t>
    <phoneticPr fontId="2" type="noConversion"/>
  </si>
  <si>
    <t>Dividend per share</t>
    <phoneticPr fontId="2" type="noConversion"/>
  </si>
  <si>
    <t>Most Recent Quarter</t>
    <phoneticPr fontId="2" type="noConversion"/>
  </si>
  <si>
    <t>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</si>
  <si>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</si>
  <si>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</si>
  <si>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</si>
  <si>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</si>
  <si>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Model last updated:</t>
    <phoneticPr fontId="2" type="noConversion"/>
  </si>
  <si>
    <t>Reported Net Income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</si>
  <si>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</si>
  <si>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</si>
  <si>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</si>
  <si>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</si>
  <si>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</si>
  <si>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</si>
  <si>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</si>
  <si>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</si>
  <si>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</si>
  <si>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</si>
  <si>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</si>
  <si>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</si>
  <si>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OPEX</t>
    <phoneticPr fontId="2" type="noConversion"/>
  </si>
  <si>
    <t>No-Growth DCF Valuation</t>
    <phoneticPr fontId="2" type="noConversion"/>
  </si>
  <si>
    <t>Comp_Sector: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</si>
  <si>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</si>
  <si>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</si>
  <si>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</si>
  <si>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</si>
  <si>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</si>
  <si>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</si>
  <si>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Income Tax</t>
    <phoneticPr fontId="2" type="noConversion"/>
  </si>
  <si>
    <t>Incl. Other Opex</t>
    <phoneticPr fontId="2" type="noConversion"/>
  </si>
  <si>
    <t>Add Back D&amp;A</t>
    <phoneticPr fontId="2" type="noConversion"/>
  </si>
  <si>
    <t>FCFE</t>
    <phoneticPr fontId="2" type="noConversion"/>
  </si>
  <si>
    <t>Interest Income</t>
    <phoneticPr fontId="2" type="noConversion"/>
  </si>
  <si>
    <t>Net Interest Income</t>
    <phoneticPr fontId="2" type="noConversion"/>
  </si>
  <si>
    <t>Properties held for sale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</si>
  <si>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</si>
  <si>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</si>
  <si>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</si>
  <si>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</si>
  <si>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LT Assets</t>
    <phoneticPr fontId="2" type="noConversion"/>
  </si>
  <si>
    <t>Total Assets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</si>
  <si>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</si>
  <si>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</si>
  <si>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</si>
  <si>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</si>
  <si>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</si>
  <si>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</si>
  <si>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</si>
  <si>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incl. Fixed Assets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</si>
  <si>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</si>
  <si>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</si>
  <si>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</si>
  <si>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</si>
  <si>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</si>
  <si>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</si>
  <si>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</si>
  <si>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</si>
  <si>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</si>
  <si>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</si>
  <si>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</si>
  <si>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</si>
  <si>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Pre-tax Profit/Interest Expense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</si>
  <si>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</si>
  <si>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</si>
  <si>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</si>
  <si>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</si>
  <si>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</si>
  <si>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Balance Sheet Analysis</t>
    <phoneticPr fontId="2" type="noConversion"/>
  </si>
  <si>
    <t>Data (Dirty)</t>
    <phoneticPr fontId="2" type="noConversion"/>
  </si>
  <si>
    <t>Net borrowing is excluded</t>
    <phoneticPr fontId="2" type="noConversion"/>
  </si>
  <si>
    <t>Net Borrowing</t>
    <phoneticPr fontId="2" type="noConversion"/>
  </si>
  <si>
    <t>FCFE Analysis</t>
    <phoneticPr fontId="2" type="noConversion"/>
  </si>
  <si>
    <t>Total PV</t>
    <phoneticPr fontId="2" type="noConversion"/>
  </si>
  <si>
    <t>Buy Below</t>
    <phoneticPr fontId="2" type="noConversion"/>
  </si>
  <si>
    <t>Equity Value per share</t>
    <phoneticPr fontId="2" type="noConversion"/>
  </si>
  <si>
    <t>INDEX(C66:E69, ...) retrieves the value from the specified range.</t>
    <phoneticPr fontId="2" type="noConversion"/>
  </si>
  <si>
    <t>MATCH(5, B66:B69, 0) finds the row number for HGP = 5.</t>
    <phoneticPr fontId="2" type="noConversion"/>
  </si>
  <si>
    <t>MATCH(1%, C65:E65, 0) finds the column number for HGR = 1%.</t>
    <phoneticPr fontId="2" type="noConversion"/>
  </si>
  <si>
    <t>Value Per Share</t>
    <phoneticPr fontId="2" type="noConversion"/>
  </si>
  <si>
    <t>Year</t>
    <phoneticPr fontId="28" type="noConversion"/>
  </si>
  <si>
    <t>FCFE</t>
    <phoneticPr fontId="28" type="noConversion"/>
  </si>
  <si>
    <t>Discount Factor</t>
    <phoneticPr fontId="28" type="noConversion"/>
  </si>
  <si>
    <t>PV of FCFE</t>
    <phoneticPr fontId="28" type="noConversion"/>
  </si>
  <si>
    <t>Annual Dividend per share</t>
    <phoneticPr fontId="2" type="noConversion"/>
  </si>
  <si>
    <t>HGP</t>
    <phoneticPr fontId="2" type="noConversion"/>
  </si>
  <si>
    <t>Value per share</t>
    <phoneticPr fontId="2" type="noConversion"/>
  </si>
  <si>
    <t>Optimistic</t>
    <phoneticPr fontId="2" type="noConversion"/>
  </si>
  <si>
    <t>Base</t>
    <phoneticPr fontId="2" type="noConversion"/>
  </si>
  <si>
    <t>Pessimistic</t>
    <phoneticPr fontId="2" type="noConversion"/>
  </si>
  <si>
    <t>Scenarios</t>
    <phoneticPr fontId="28" type="noConversion"/>
  </si>
  <si>
    <t>Growth Rates</t>
    <phoneticPr fontId="28" type="noConversion"/>
  </si>
  <si>
    <t>Probabilities</t>
    <phoneticPr fontId="28" type="noConversion"/>
  </si>
  <si>
    <t>Expected Value =</t>
    <phoneticPr fontId="28" type="noConversion"/>
  </si>
  <si>
    <t>PV(Dividends)</t>
    <phoneticPr fontId="2" type="noConversion"/>
  </si>
  <si>
    <t>PV(Equity Value)</t>
    <phoneticPr fontId="2" type="noConversion"/>
  </si>
  <si>
    <t>/Equity Cost of Capital</t>
    <phoneticPr fontId="2" type="noConversion"/>
  </si>
  <si>
    <t>Special Assumption</t>
    <phoneticPr fontId="28" type="noConversion"/>
  </si>
  <si>
    <t>Inputs</t>
    <phoneticPr fontId="28" type="noConversion"/>
  </si>
  <si>
    <t>at a MOS of</t>
    <phoneticPr fontId="28" type="noConversion"/>
  </si>
  <si>
    <t>Margin of Safety (MOS)</t>
    <phoneticPr fontId="2" type="noConversion"/>
  </si>
  <si>
    <t>Adjusted FCFE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</si>
  <si>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</si>
  <si>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</si>
  <si>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Terminal Year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</si>
  <si>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</si>
  <si>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</si>
  <si>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</si>
  <si>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FCFE Projection</t>
    <phoneticPr fontId="2" type="noConversion"/>
  </si>
  <si>
    <t>Book</t>
    <phoneticPr fontId="2" type="noConversion"/>
  </si>
  <si>
    <t>Estimate</t>
    <phoneticPr fontId="2" type="noConversion"/>
  </si>
  <si>
    <t>Non-operating Assets</t>
    <phoneticPr fontId="2" type="noConversion"/>
  </si>
  <si>
    <t>Operating Asset Yield</t>
    <phoneticPr fontId="2" type="noConversion"/>
  </si>
  <si>
    <t>Total FCFE</t>
    <phoneticPr fontId="2" type="noConversion"/>
  </si>
  <si>
    <t>Non-Operating Asset Yield</t>
    <phoneticPr fontId="2" type="noConversion"/>
  </si>
  <si>
    <t>Profibility %</t>
    <phoneticPr fontId="2" type="noConversion"/>
  </si>
  <si>
    <t>Leverage %</t>
    <phoneticPr fontId="2" type="noConversion"/>
  </si>
  <si>
    <t>Sales</t>
    <phoneticPr fontId="2" type="noConversion"/>
  </si>
  <si>
    <t>Current Situation</t>
    <phoneticPr fontId="2" type="noConversion"/>
  </si>
  <si>
    <t>Past Years Selected</t>
    <phoneticPr fontId="2" type="noConversion"/>
  </si>
  <si>
    <t>Probabilities</t>
    <phoneticPr fontId="2" type="noConversion"/>
  </si>
  <si>
    <t>Selection</t>
    <phoneticPr fontId="2" type="noConversion"/>
  </si>
  <si>
    <t>Business Story</t>
    <phoneticPr fontId="2" type="noConversion"/>
  </si>
  <si>
    <t>Tie the business story into the three levers of value: FCFE, growth and risk.</t>
    <phoneticPr fontId="2" type="noConversion"/>
  </si>
  <si>
    <t>Assumption</t>
    <phoneticPr fontId="2" type="noConversion"/>
  </si>
  <si>
    <t>Operating EBIT</t>
    <phoneticPr fontId="2" type="noConversion"/>
  </si>
  <si>
    <t>Non-Operating EBIT</t>
    <phoneticPr fontId="2" type="noConversion"/>
  </si>
  <si>
    <t>After-tax Profit</t>
    <phoneticPr fontId="2" type="noConversion"/>
  </si>
  <si>
    <t>% Interest</t>
    <phoneticPr fontId="2" type="noConversion"/>
  </si>
  <si>
    <t>Lastest Balance Sheet</t>
    <phoneticPr fontId="2" type="noConversion"/>
  </si>
  <si>
    <t>JV or associate</t>
    <phoneticPr fontId="2" type="noConversion"/>
  </si>
  <si>
    <t>Investment property</t>
    <phoneticPr fontId="2" type="noConversion"/>
  </si>
  <si>
    <t>Share of JV or associate Results</t>
    <phoneticPr fontId="2" type="noConversion"/>
  </si>
  <si>
    <t>Other Non-operating Income</t>
    <phoneticPr fontId="2" type="noConversion"/>
  </si>
  <si>
    <t>Extreme Scenarios</t>
    <phoneticPr fontId="2" type="noConversion"/>
  </si>
  <si>
    <t>General Scenarios</t>
    <phoneticPr fontId="2" type="noConversion"/>
  </si>
  <si>
    <t>No-Growth DCF</t>
    <phoneticPr fontId="2" type="noConversion"/>
  </si>
  <si>
    <t>Pre-tax Profit</t>
    <phoneticPr fontId="2" type="noConversion"/>
  </si>
  <si>
    <t>Devil's advocate</t>
    <phoneticPr fontId="2" type="noConversion"/>
  </si>
  <si>
    <t>* Exchange rate</t>
    <phoneticPr fontId="2" type="noConversion"/>
  </si>
  <si>
    <t>Dividend or Interests from FA</t>
    <phoneticPr fontId="2" type="noConversion"/>
  </si>
  <si>
    <t>Non-operating EBIT</t>
    <phoneticPr fontId="2" type="noConversion"/>
  </si>
  <si>
    <t>Non-operating Asset Yield %</t>
    <phoneticPr fontId="2" type="noConversion"/>
  </si>
  <si>
    <t>Per Share Indicators</t>
    <phoneticPr fontId="2" type="noConversion"/>
  </si>
  <si>
    <t>Income Tax Rate</t>
    <phoneticPr fontId="2" type="noConversion"/>
  </si>
  <si>
    <t>Non-common Interest</t>
    <phoneticPr fontId="2" type="noConversion"/>
  </si>
  <si>
    <t>Properties held for income</t>
    <phoneticPr fontId="2" type="noConversion"/>
  </si>
  <si>
    <t>G&amp;A and other Opex</t>
    <phoneticPr fontId="2" type="noConversion"/>
  </si>
  <si>
    <t>Reinvestment %</t>
    <phoneticPr fontId="2" type="noConversion"/>
  </si>
  <si>
    <t>Common Equity/Total Asset</t>
    <phoneticPr fontId="2" type="noConversion"/>
  </si>
  <si>
    <t>Securities with stable income</t>
    <phoneticPr fontId="2" type="noConversion"/>
  </si>
  <si>
    <t>Other Securities</t>
    <phoneticPr fontId="2" type="noConversion"/>
  </si>
  <si>
    <t>Properties with stable income</t>
    <phoneticPr fontId="2" type="noConversion"/>
  </si>
  <si>
    <t>Other Properties</t>
    <phoneticPr fontId="2" type="noConversion"/>
  </si>
  <si>
    <t>JV or associate with stable income</t>
    <phoneticPr fontId="2" type="noConversion"/>
  </si>
  <si>
    <t>Other JV or associate</t>
    <phoneticPr fontId="2" type="noConversion"/>
  </si>
  <si>
    <t>LT Operating Assets</t>
    <phoneticPr fontId="2" type="noConversion"/>
  </si>
  <si>
    <t>ST Operating Assets</t>
    <phoneticPr fontId="2" type="noConversion"/>
  </si>
  <si>
    <t>ST Non-Operating Assets</t>
    <phoneticPr fontId="2" type="noConversion"/>
  </si>
  <si>
    <t>LT Non-Operating Assets</t>
    <phoneticPr fontId="2" type="noConversion"/>
  </si>
  <si>
    <t>Cash</t>
    <phoneticPr fontId="2" type="noConversion"/>
  </si>
  <si>
    <t>Non-operating Assets with stable income</t>
    <phoneticPr fontId="2" type="noConversion"/>
  </si>
  <si>
    <t>Other Non-operating Assets</t>
    <phoneticPr fontId="2" type="noConversion"/>
  </si>
  <si>
    <t>+ Other Non-operating Assets</t>
    <phoneticPr fontId="2" type="noConversion"/>
  </si>
  <si>
    <t>incl. Assets with stable income</t>
    <phoneticPr fontId="2" type="noConversion"/>
  </si>
  <si>
    <t>incl. Other Assets</t>
    <phoneticPr fontId="2" type="noConversion"/>
  </si>
  <si>
    <t>Non-operating Assets Analysis</t>
    <phoneticPr fontId="2" type="noConversion"/>
  </si>
  <si>
    <t>Stable Non-Operating EBIT</t>
    <phoneticPr fontId="2" type="noConversion"/>
  </si>
  <si>
    <t>Assume 0</t>
    <phoneticPr fontId="2" type="noConversion"/>
  </si>
  <si>
    <t>Total Non-Operating EBIT</t>
    <phoneticPr fontId="2" type="noConversion"/>
  </si>
  <si>
    <t>BS Summary</t>
    <phoneticPr fontId="2" type="noConversion"/>
  </si>
  <si>
    <t>incl. AR</t>
    <phoneticPr fontId="2" type="noConversion"/>
  </si>
  <si>
    <t>incl. inventory</t>
    <phoneticPr fontId="2" type="noConversion"/>
  </si>
  <si>
    <t>incl. Properties held for sale</t>
    <phoneticPr fontId="2" type="noConversion"/>
  </si>
  <si>
    <t>ST Liabilities</t>
    <phoneticPr fontId="2" type="noConversion"/>
  </si>
  <si>
    <t>LT Liabilities</t>
    <phoneticPr fontId="2" type="noConversion"/>
  </si>
  <si>
    <t>Assets Summary</t>
    <phoneticPr fontId="2" type="noConversion"/>
  </si>
  <si>
    <t>ST Interest-bearing Debt</t>
    <phoneticPr fontId="2" type="noConversion"/>
  </si>
  <si>
    <t>LT Interest-bearing Debt</t>
    <phoneticPr fontId="2" type="noConversion"/>
  </si>
  <si>
    <t>Operating Cost Structure</t>
    <phoneticPr fontId="2" type="noConversion"/>
  </si>
  <si>
    <t>Variable Costs % of Sales</t>
    <phoneticPr fontId="2" type="noConversion"/>
  </si>
  <si>
    <t>Fixed Costs % of Sales</t>
    <phoneticPr fontId="2" type="noConversion"/>
  </si>
  <si>
    <t>Tax % of  Pre-tax Profit</t>
    <phoneticPr fontId="2" type="noConversion"/>
  </si>
  <si>
    <t>Non-operating Income</t>
    <phoneticPr fontId="2" type="noConversion"/>
  </si>
  <si>
    <t>Incl. AR</t>
    <phoneticPr fontId="2" type="noConversion"/>
  </si>
  <si>
    <t>Incl. Inventory</t>
    <phoneticPr fontId="2" type="noConversion"/>
  </si>
  <si>
    <t>P&amp;L &amp; Dividend Analysis</t>
    <phoneticPr fontId="2" type="noConversion"/>
  </si>
  <si>
    <t>Payout Ratio</t>
    <phoneticPr fontId="2" type="noConversion"/>
  </si>
  <si>
    <t>Dividends</t>
    <phoneticPr fontId="2" type="noConversion"/>
  </si>
  <si>
    <t>Operating Efficiency Analysis</t>
    <phoneticPr fontId="2" type="noConversion"/>
  </si>
  <si>
    <t>P&amp;L % Sales</t>
    <phoneticPr fontId="2" type="noConversion"/>
  </si>
  <si>
    <t>AR</t>
    <phoneticPr fontId="2" type="noConversion"/>
  </si>
  <si>
    <t>Inventory</t>
    <phoneticPr fontId="2" type="noConversion"/>
  </si>
  <si>
    <t>Latest Asset Value</t>
    <phoneticPr fontId="2" type="noConversion"/>
  </si>
  <si>
    <t>Operating Asset % of Sales</t>
    <phoneticPr fontId="2" type="noConversion"/>
  </si>
  <si>
    <t>Pre-tax Profit/Sales</t>
    <phoneticPr fontId="2" type="noConversion"/>
  </si>
  <si>
    <t>Pre-tax Profit ROE</t>
    <phoneticPr fontId="2" type="noConversion"/>
  </si>
  <si>
    <t>Market Price Attractiveness</t>
    <phoneticPr fontId="2" type="noConversion"/>
  </si>
  <si>
    <t>- Interest-bearing Debt</t>
    <phoneticPr fontId="2" type="noConversion"/>
  </si>
  <si>
    <t>+ Non-operating Cash</t>
    <phoneticPr fontId="2" type="noConversion"/>
  </si>
  <si>
    <t>Non-Operating Cash is the Excess cash not required for operations</t>
    <phoneticPr fontId="2" type="noConversion"/>
  </si>
  <si>
    <t>Equity Value</t>
    <phoneticPr fontId="28" type="noConversion"/>
  </si>
  <si>
    <t>Stable Income Value</t>
    <phoneticPr fontId="28" type="noConversion"/>
  </si>
  <si>
    <t>Implied Growth Scenario Analysis</t>
    <phoneticPr fontId="2" type="noConversion"/>
  </si>
  <si>
    <t>Step 1: Calculate FCFE</t>
    <phoneticPr fontId="2" type="noConversion"/>
  </si>
  <si>
    <t>FCFE represents the cash available to equity holders after accounting for operating expenses, reinvestments, taxes, and interest obligations.</t>
    <phoneticPr fontId="2" type="noConversion"/>
  </si>
  <si>
    <t>Key Components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</si>
  <si>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Normalized Operating EBIT</t>
    </r>
    <r>
      <rPr>
        <sz val="9"/>
        <color rgb="FF000000"/>
        <rFont val="Arial"/>
        <family val="2"/>
        <scheme val="major"/>
      </rPr>
      <t>: Earnings before interest and taxes from core business operations, adjusted to remove one-time or irregular items for a sustainable earnings base.</t>
    </r>
    <phoneticPr fontId="2" type="noConversion"/>
  </si>
  <si>
    <t xml:space="preserve">Normalized Operating EBIT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</si>
  <si>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Depreciation &amp; Amortization (D&amp;A):</t>
    </r>
    <r>
      <rPr>
        <sz val="9"/>
        <color rgb="FF000000"/>
        <rFont val="Arial"/>
        <family val="2"/>
        <scheme val="major"/>
      </rPr>
      <t xml:space="preserve"> Non-cash expenses added back to reflect cash generated from operations.
• </t>
    </r>
    <r>
      <rPr>
        <b/>
        <sz val="9"/>
        <color rgb="FF000000"/>
        <rFont val="Arial"/>
        <family val="2"/>
        <scheme val="major"/>
      </rPr>
      <t>Capital Expenditures (Capex)</t>
    </r>
    <r>
      <rPr>
        <sz val="9"/>
        <color rgb="FF000000"/>
        <rFont val="Arial"/>
        <family val="2"/>
        <scheme val="major"/>
      </rPr>
      <t>: Cash outflows required to maintain or expand operational assets</t>
    </r>
    <phoneticPr fontId="2" type="noConversion"/>
  </si>
  <si>
    <t xml:space="preserve">D&amp;A = </t>
    <phoneticPr fontId="2" type="noConversion"/>
  </si>
  <si>
    <t xml:space="preserve">Capex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</si>
  <si>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 xml:space="preserve">Stable Non-Operating EBIT: </t>
    </r>
    <r>
      <rPr>
        <sz val="9"/>
        <color rgb="FF000000"/>
        <rFont val="Arial"/>
        <family val="2"/>
        <scheme val="major"/>
      </rPr>
      <t>Consistent earnings from non-core assets, such as fixed-income investments, dividend-paying stocks, or rental properties.</t>
    </r>
    <phoneticPr fontId="2" type="noConversion"/>
  </si>
  <si>
    <t xml:space="preserve">Stable Non-Operating EBIT = </t>
    <phoneticPr fontId="2" type="noConversion"/>
  </si>
  <si>
    <t xml:space="preserve">Net Interest Income = </t>
    <phoneticPr fontId="2" type="noConversion"/>
  </si>
  <si>
    <t xml:space="preserve">Taxes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</si>
  <si>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Net Interest Income:</t>
    </r>
    <r>
      <rPr>
        <sz val="9"/>
        <color rgb="FF000000"/>
        <rFont val="Arial"/>
        <family val="2"/>
        <scheme val="major"/>
      </rPr>
      <t xml:space="preserve"> Interest income minus interest expense</t>
    </r>
    <phoneticPr fontId="2" type="noConversion"/>
  </si>
  <si>
    <r>
      <t>•</t>
    </r>
    <r>
      <rPr>
        <sz val="9"/>
        <color rgb="FF000000"/>
        <rFont val="DengXian"/>
        <family val="2"/>
        <charset val="134"/>
      </rPr>
      <t xml:space="preserve"> </t>
    </r>
    <r>
      <rPr>
        <b/>
        <sz val="9"/>
        <color rgb="FF000000"/>
        <rFont val="Arial"/>
        <family val="2"/>
        <scheme val="major"/>
      </rPr>
      <t>Taxes</t>
    </r>
    <r>
      <rPr>
        <sz val="9"/>
        <color rgb="FF000000"/>
        <rFont val="Arial"/>
        <family val="2"/>
        <scheme val="major"/>
      </rPr>
      <t>: Tax = (Normalized Operating EBIT + Stable Non-Operating EBIT + Interest Income – Interest Expense) × Tax Rate</t>
    </r>
    <phoneticPr fontId="2" type="noConversion"/>
  </si>
  <si>
    <t xml:space="preserve">WCInv = </t>
    <phoneticPr fontId="2" type="noConversion"/>
  </si>
  <si>
    <t xml:space="preserve">Net Borrowing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</si>
  <si>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Working Capital Investment (WCInv):</t>
    </r>
    <r>
      <rPr>
        <sz val="9"/>
        <color rgb="FF000000"/>
        <rFont val="Arial"/>
        <family val="2"/>
        <scheme val="major"/>
      </rPr>
      <t xml:space="preserve"> WCInv is only included if it materially distorts FCFE.
• </t>
    </r>
    <r>
      <rPr>
        <b/>
        <sz val="9"/>
        <color rgb="FF000000"/>
        <rFont val="Arial"/>
        <family val="2"/>
        <scheme val="major"/>
      </rPr>
      <t>Net Borrowing:</t>
    </r>
    <r>
      <rPr>
        <sz val="9"/>
        <color rgb="FF000000"/>
        <rFont val="Arial"/>
        <family val="2"/>
        <scheme val="major"/>
      </rPr>
      <t xml:space="preserve"> Assumed to be zero in this model to focus solely on existing cash flows.</t>
    </r>
    <phoneticPr fontId="2" type="noConversion"/>
  </si>
  <si>
    <t>WCInv is by default excluded</t>
    <phoneticPr fontId="2" type="noConversion"/>
  </si>
  <si>
    <t>NCI’s Share of Profits</t>
    <phoneticPr fontId="2" type="noConversion"/>
  </si>
  <si>
    <t>Incl. Minority Interest (NCI)</t>
    <phoneticPr fontId="2" type="noConversion"/>
  </si>
  <si>
    <t>Est. of NCI Ownership Percentage</t>
    <phoneticPr fontId="2" type="noConversion"/>
  </si>
  <si>
    <r>
      <rPr>
        <b/>
        <sz val="9"/>
        <color rgb="FF000000"/>
        <rFont val="Arial"/>
        <family val="2"/>
        <scheme val="major"/>
      </rPr>
      <t>• NCI’s Share of Profits:</t>
    </r>
    <r>
      <rPr>
        <sz val="9"/>
        <color rgb="FF000000"/>
        <rFont val="Arial"/>
        <family val="2"/>
        <scheme val="major"/>
      </rPr>
      <t xml:space="preserve"> NCI represents the portion of a subsidiary’s equity not owned by the parent company.</t>
    </r>
    <phoneticPr fontId="2" type="noConversion"/>
  </si>
  <si>
    <r>
      <t>FCFE</t>
    </r>
    <r>
      <rPr>
        <sz val="9"/>
        <color rgb="FF000000"/>
        <rFont val="Arial"/>
        <family val="2"/>
        <scheme val="major"/>
      </rPr>
      <t xml:space="preserve"> = (Normalized Operating EBIT + Depreciation &amp; Amortization – Capital Expenditures) + Stable Non-Operating EBIT + Net Interest Income – Taxes – NCI’s Share of Profits – Working Capital Investment + Net Borrowing</t>
    </r>
    <phoneticPr fontId="2" type="noConversion"/>
  </si>
  <si>
    <t>Cost of Equity =</t>
    <phoneticPr fontId="2" type="noConversion"/>
  </si>
  <si>
    <t xml:space="preserve">Normalized FCFE = </t>
    <phoneticPr fontId="2" type="noConversion"/>
  </si>
  <si>
    <r>
      <rPr>
        <b/>
        <sz val="10"/>
        <color rgb="FF000000"/>
        <rFont val="Arial"/>
        <family val="2"/>
        <scheme val="minor"/>
      </rPr>
      <t>Conservative Valuation:</t>
    </r>
    <r>
      <rPr>
        <sz val="10"/>
        <color rgb="FF000000"/>
        <rFont val="Arial"/>
        <family val="2"/>
        <scheme val="minor"/>
      </rPr>
      <t xml:space="preserve"> Setting g=0 can be a conservative assumption to avoid overestimating the stock’s value, especially if future growth is uncertain or unreliable.</t>
    </r>
    <phoneticPr fontId="2" type="noConversion"/>
  </si>
  <si>
    <t>Terminal Growth Rate (g):</t>
    <phoneticPr fontId="28" type="noConversion"/>
  </si>
  <si>
    <t>Terminal Growth Rate (g) =</t>
    <phoneticPr fontId="2" type="noConversion"/>
  </si>
  <si>
    <r>
      <rPr>
        <b/>
        <i/>
        <sz val="9"/>
        <color rgb="FF000000"/>
        <rFont val="Arial"/>
        <family val="2"/>
        <scheme val="major"/>
      </rPr>
      <t>Conservative Valuation Note:</t>
    </r>
    <r>
      <rPr>
        <i/>
        <sz val="9"/>
        <color rgb="FF000000"/>
        <rFont val="Arial"/>
        <family val="2"/>
        <scheme val="major"/>
      </rPr>
      <t xml:space="preserve"> Setting g=0 can be a conservative assumption to avoid overestimating the stock’s value, especially if future growth is uncertain or unreliable.</t>
    </r>
    <phoneticPr fontId="2" type="noConversion"/>
  </si>
  <si>
    <r>
      <t>Stable Income Value</t>
    </r>
    <r>
      <rPr>
        <sz val="9"/>
        <color rgb="FF000000"/>
        <rFont val="Arial"/>
        <family val="2"/>
        <scheme val="major"/>
      </rPr>
      <t xml:space="preserve"> = Normalized FCFE / (Cost of Equity – Terminal Growth Rate)</t>
    </r>
    <phoneticPr fontId="2" type="noConversion"/>
  </si>
  <si>
    <t>Step 3: Calculate Equity Value</t>
    <phoneticPr fontId="2" type="noConversion"/>
  </si>
  <si>
    <t>The Equity Value adjusts the stable income value for debt and incorporates non-operating resources available to equity holders. The formula is:</t>
    <phoneticPr fontId="2" type="noConversion"/>
  </si>
  <si>
    <r>
      <rPr>
        <b/>
        <sz val="9"/>
        <color rgb="FF000000"/>
        <rFont val="Arial"/>
        <family val="2"/>
        <scheme val="major"/>
      </rPr>
      <t xml:space="preserve">Equity Value = </t>
    </r>
    <r>
      <rPr>
        <sz val="9"/>
        <color rgb="FF000000"/>
        <rFont val="Arial"/>
        <family val="2"/>
        <scheme val="major"/>
      </rPr>
      <t>Stable Income Value – Total Interest-Bearing Debt + Non-Operating Cash + Other Non-Operating Assets</t>
    </r>
    <phoneticPr fontId="2" type="noConversion"/>
  </si>
  <si>
    <t>• Non-Operating Cash: Excess cash not required for operations</t>
    <phoneticPr fontId="2" type="noConversion"/>
  </si>
  <si>
    <t>Total Interest-Bearing Debt =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</si>
  <si>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Other Non-Operating Assets:</t>
    </r>
    <r>
      <rPr>
        <sz val="9"/>
        <color rgb="FF000000"/>
        <rFont val="Arial"/>
        <family val="2"/>
        <scheme val="major"/>
      </rPr>
      <t xml:space="preserve"> Assets not contributing to FCFE (e.g., non-income-generating investments or properties)</t>
    </r>
    <phoneticPr fontId="2" type="noConversion"/>
  </si>
  <si>
    <t>Other Non-Operating Assets =</t>
    <phoneticPr fontId="2" type="noConversion"/>
  </si>
  <si>
    <r>
      <rPr>
        <b/>
        <i/>
        <sz val="9"/>
        <color rgb="FF000000"/>
        <rFont val="Arial"/>
        <family val="2"/>
        <scheme val="major"/>
      </rPr>
      <t>Purpose:</t>
    </r>
    <r>
      <rPr>
        <i/>
        <sz val="9"/>
        <color rgb="FF000000"/>
        <rFont val="Arial"/>
        <family val="2"/>
        <scheme val="major"/>
      </rPr>
      <t xml:space="preserve"> This step ensures the equity value reflects all resources available to shareholders by deducting debt and adding excess cash and non-operating assets, avoiding double-counting of income-generating assets.</t>
    </r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</si>
  <si>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Purpose: </t>
    </r>
    <r>
      <rPr>
        <i/>
        <sz val="9"/>
        <color rgb="FF000000"/>
        <rFont val="Arial"/>
        <family val="2"/>
        <scheme val="major"/>
      </rPr>
      <t>This step ensures a comprehensive measure of cash flow by incorporating both operating and stable non-operating sources while accounting for taxes and reinvestment needs.</t>
    </r>
    <phoneticPr fontId="2" type="noConversion"/>
  </si>
  <si>
    <t>Expected Equity Value =</t>
    <phoneticPr fontId="28" type="noConversion"/>
  </si>
  <si>
    <t>EV per share</t>
    <phoneticPr fontId="2" type="noConversion"/>
  </si>
  <si>
    <t>Buy Below:</t>
    <phoneticPr fontId="2" type="noConversion"/>
  </si>
  <si>
    <t xml:space="preserve">Annual Dividend per share = </t>
    <phoneticPr fontId="2" type="noConversion"/>
  </si>
  <si>
    <t>@ a Margin of Safety of</t>
    <phoneticPr fontId="2" type="noConversion"/>
  </si>
  <si>
    <t>Result</t>
    <phoneticPr fontId="2" type="noConversion"/>
  </si>
  <si>
    <t>Assume the Equity Value will be realized over the holding period.</t>
    <phoneticPr fontId="2" type="noConversion"/>
  </si>
  <si>
    <t xml:space="preserve">Expected Holding period = </t>
    <phoneticPr fontId="28" type="noConversion"/>
  </si>
  <si>
    <t>Step 4: Scenario Analysis</t>
    <phoneticPr fontId="2" type="noConversion"/>
  </si>
  <si>
    <t>Total Cash =</t>
    <phoneticPr fontId="2" type="noConversion"/>
  </si>
  <si>
    <t>Est. NCI’s Share of Profits =</t>
    <phoneticPr fontId="2" type="noConversion"/>
  </si>
  <si>
    <t>Est. Non-Operating Cash =</t>
    <phoneticPr fontId="2" type="noConversion"/>
  </si>
  <si>
    <t>Executive Summary</t>
    <phoneticPr fontId="2" type="noConversion"/>
  </si>
  <si>
    <t>Update Required After:</t>
    <phoneticPr fontId="2" type="noConversion"/>
  </si>
  <si>
    <t>Target Buy Price:</t>
    <phoneticPr fontId="2" type="noConversion"/>
  </si>
  <si>
    <t>FCFE/Market Cap</t>
    <phoneticPr fontId="2" type="noConversion"/>
  </si>
  <si>
    <t>FCFE/Market Cap =</t>
    <phoneticPr fontId="2" type="noConversion"/>
  </si>
  <si>
    <t>Latest FCFE =</t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</si>
  <si>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Guidance Note: </t>
    </r>
    <r>
      <rPr>
        <i/>
        <sz val="9"/>
        <color rgb="FF000000"/>
        <rFont val="Arial"/>
        <family val="2"/>
        <scheme val="major"/>
      </rPr>
      <t>This valuation method estimates the equity value of a company through a five-step process. Each step is designed to systematically derive cash flows available to equity holders, discount them appropriately, and adjust for debt and non-operating assets.</t>
    </r>
    <phoneticPr fontId="2" type="noConversion"/>
  </si>
  <si>
    <t>Asset Value Stress Test</t>
    <phoneticPr fontId="2" type="noConversion"/>
  </si>
  <si>
    <t>Stress Test</t>
    <phoneticPr fontId="2" type="noConversion"/>
  </si>
  <si>
    <t>Rough Estimate only</t>
    <phoneticPr fontId="2" type="noConversion"/>
  </si>
  <si>
    <t>Equity</t>
    <phoneticPr fontId="2" type="noConversion"/>
  </si>
  <si>
    <t>NCI %</t>
    <phoneticPr fontId="2" type="noConversion"/>
  </si>
  <si>
    <t>Based on the fundamental research, the following scenarios have been developed, considering the driving factors of high growth periods (HGP) and high growth rates (HGR), along with their associated probabilities.</t>
    <phoneticPr fontId="2" type="noConversion"/>
  </si>
  <si>
    <t>EBIT</t>
    <phoneticPr fontId="2" type="noConversion"/>
  </si>
  <si>
    <t>Target Annual Return:</t>
    <phoneticPr fontId="2" type="noConversion"/>
  </si>
  <si>
    <t>Target Annual Return =</t>
    <phoneticPr fontId="2" type="noConversion"/>
  </si>
  <si>
    <t>CAGR</t>
    <phoneticPr fontId="2" type="noConversion"/>
  </si>
  <si>
    <t>Market Price</t>
    <phoneticPr fontId="2" type="noConversion"/>
  </si>
  <si>
    <t>No Growth Value per share</t>
    <phoneticPr fontId="2" type="noConversion"/>
  </si>
  <si>
    <t>Prompt for fundamental Analysis</t>
    <phoneticPr fontId="2" type="noConversion"/>
  </si>
  <si>
    <t>Step 5: Calculate Target Buy Price</t>
    <phoneticPr fontId="2" type="noConversion"/>
  </si>
  <si>
    <t>No Growth Equity Value per share =</t>
    <phoneticPr fontId="2" type="noConversion"/>
  </si>
  <si>
    <t>No Growth SIV Per Share =</t>
    <phoneticPr fontId="2" type="noConversion"/>
  </si>
  <si>
    <t>Step 2: Calculate Stable Income Value (SIV) Using FCFE</t>
    <phoneticPr fontId="2" type="noConversion"/>
  </si>
  <si>
    <t>The Stable Income Value (SIV) represents the present value of FCFE, assuming it grows at a constant rate indefinitely. This is calculated using the Gordon Growth Model:</t>
    <phoneticPr fontId="2" type="noConversion"/>
  </si>
  <si>
    <t>Total Interest-Bearing Debt per share =</t>
    <phoneticPr fontId="2" type="noConversion"/>
  </si>
  <si>
    <t>Est. Non-Operating Cash per share =</t>
    <phoneticPr fontId="2" type="noConversion"/>
  </si>
  <si>
    <t>Other Non-Operating Assets per share =</t>
    <phoneticPr fontId="2" type="noConversion"/>
  </si>
  <si>
    <t>Y</t>
    <phoneticPr fontId="2" type="noConversion"/>
  </si>
  <si>
    <t>Base Cost of Equity</t>
    <phoneticPr fontId="2" type="noConversion"/>
  </si>
  <si>
    <t>Management Risk Premium</t>
    <phoneticPr fontId="2" type="noConversion"/>
  </si>
  <si>
    <t>Business Model Risk Premium</t>
    <phoneticPr fontId="2" type="noConversion"/>
  </si>
  <si>
    <r>
      <rPr>
        <b/>
        <i/>
        <sz val="9"/>
        <color rgb="FF000000"/>
        <rFont val="Arial"/>
        <family val="2"/>
        <scheme val="major"/>
      </rPr>
      <t>Risk Premium Note:</t>
    </r>
    <r>
      <rPr>
        <i/>
        <sz val="9"/>
        <color rgb="FF000000"/>
        <rFont val="Arial"/>
        <family val="2"/>
        <scheme val="major"/>
      </rPr>
      <t xml:space="preserve"> Businesses lacking moats (e.g., commoditized industries, cyclical firms, Substitution Threat) face higher uncertainty. At the same time, companies with untested, very small or historically poor management are more risky.</t>
    </r>
    <phoneticPr fontId="2" type="noConversion"/>
  </si>
  <si>
    <t>Categorize the investment</t>
    <phoneticPr fontId="2" type="noConversion"/>
  </si>
  <si>
    <t>Asset Play</t>
    <phoneticPr fontId="2" type="noConversion"/>
  </si>
  <si>
    <t>Non-Operating</t>
    <phoneticPr fontId="2" type="noConversion"/>
  </si>
  <si>
    <t>Interest-bearing Debt</t>
    <phoneticPr fontId="2" type="noConversion"/>
  </si>
  <si>
    <t>Non-operating Cash</t>
    <phoneticPr fontId="2" type="noConversion"/>
  </si>
  <si>
    <t>Non-FCF Value of the Equity Value</t>
    <phoneticPr fontId="2" type="noConversion"/>
  </si>
  <si>
    <t>Non-FCF Value</t>
    <phoneticPr fontId="2" type="noConversion"/>
  </si>
  <si>
    <t>Per-Share</t>
    <phoneticPr fontId="2" type="noConversion"/>
  </si>
  <si>
    <t>Total Non-FCF Value</t>
    <phoneticPr fontId="2" type="noConversion"/>
  </si>
  <si>
    <t>Type of Investment</t>
    <phoneticPr fontId="2" type="noConversion"/>
  </si>
  <si>
    <t>High Growth</t>
    <phoneticPr fontId="2" type="noConversion"/>
  </si>
  <si>
    <t>Low Growth</t>
    <phoneticPr fontId="2" type="noConversion"/>
  </si>
  <si>
    <t>&gt;8% is Categorized as High Growth</t>
    <phoneticPr fontId="2" type="noConversion"/>
  </si>
  <si>
    <t>Warning: Do Not Remove this logic</t>
    <phoneticPr fontId="2" type="noConversion"/>
  </si>
  <si>
    <t xml:space="preserve">is assumed to be materialized in </t>
    <phoneticPr fontId="2" type="noConversion"/>
  </si>
  <si>
    <t>Expected Holding Period</t>
    <phoneticPr fontId="2" type="noConversion"/>
  </si>
  <si>
    <t>Annual Return</t>
    <phoneticPr fontId="2" type="noConversion"/>
  </si>
  <si>
    <t>@Target Annual Return</t>
    <phoneticPr fontId="28" type="noConversion"/>
  </si>
  <si>
    <t>@Market Price</t>
    <phoneticPr fontId="2" type="noConversion"/>
  </si>
  <si>
    <t>Target Price Output</t>
    <phoneticPr fontId="2" type="noConversion"/>
  </si>
  <si>
    <t>Current Return Output</t>
    <phoneticPr fontId="2" type="noConversion"/>
  </si>
  <si>
    <t>Reference</t>
    <phoneticPr fontId="2" type="noConversion"/>
  </si>
  <si>
    <t>Equity Value Driving Factors</t>
    <phoneticPr fontId="2" type="noConversion"/>
  </si>
  <si>
    <t>Negative Growth</t>
    <phoneticPr fontId="2" type="noConversion"/>
  </si>
  <si>
    <t>Investment Type:</t>
    <phoneticPr fontId="2" type="noConversion"/>
  </si>
  <si>
    <t>Valuation Overview</t>
    <phoneticPr fontId="2" type="noConversion"/>
  </si>
  <si>
    <t>Report Interval:</t>
    <phoneticPr fontId="2" type="noConversion"/>
  </si>
  <si>
    <t>Market Annual Return:</t>
    <phoneticPr fontId="2" type="noConversion"/>
  </si>
  <si>
    <t>assuming a holding period of</t>
    <phoneticPr fontId="2" type="noConversion"/>
  </si>
  <si>
    <t>Dividend/Market Cap =</t>
    <phoneticPr fontId="2" type="noConversion"/>
  </si>
  <si>
    <t>Dividend Yield</t>
    <phoneticPr fontId="2" type="noConversion"/>
  </si>
  <si>
    <t>Note of the formulas:</t>
    <phoneticPr fontId="2" type="noConversion"/>
  </si>
  <si>
    <t>Note on Manual Adjustments</t>
    <phoneticPr fontId="2" type="noConversion"/>
  </si>
  <si>
    <t>Always use 10yrs to identify the HGR</t>
    <phoneticPr fontId="2" type="noConversion"/>
  </si>
  <si>
    <t>Use Excel Goal Seek to find the HGR</t>
    <phoneticPr fontId="2" type="noConversion"/>
  </si>
  <si>
    <t>Set to Expected Equity Value</t>
    <phoneticPr fontId="2" type="noConversion"/>
  </si>
  <si>
    <t>Note on the logic</t>
    <phoneticPr fontId="2" type="noConversion"/>
  </si>
  <si>
    <t>Company Name</t>
    <phoneticPr fontId="2" type="noConversion"/>
  </si>
  <si>
    <t>Status in Portfolio:</t>
    <phoneticPr fontId="2" type="noConversion"/>
  </si>
  <si>
    <t>Snowball Scenario</t>
    <phoneticPr fontId="2" type="noConversion"/>
  </si>
  <si>
    <t>Held</t>
    <phoneticPr fontId="2" type="noConversion"/>
  </si>
  <si>
    <t>六福珠宝</t>
  </si>
  <si>
    <t>0590.HK</t>
  </si>
  <si>
    <t>C0003</t>
    <phoneticPr fontId="2" type="noConversion"/>
  </si>
  <si>
    <t>Monthly Operating Expenses</t>
    <phoneticPr fontId="2" type="noConversion"/>
  </si>
  <si>
    <t>Cash Management Analysis</t>
    <phoneticPr fontId="2" type="noConversion"/>
  </si>
  <si>
    <t>Companies typically need cash to cover 1 to 2 months of operating expenses</t>
    <phoneticPr fontId="2" type="noConversion"/>
  </si>
  <si>
    <t>Operating Cash Requirement</t>
    <phoneticPr fontId="2" type="noConversion"/>
  </si>
  <si>
    <t>N</t>
    <phoneticPr fontId="2" type="noConversion"/>
  </si>
  <si>
    <t>1x for stable businesses, 2x for for volatile ones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</si>
</sst>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#,##0.0000"/>
    <numFmt numFmtId="182" formatCode="#,##0_ "/>
    <numFmt numFmtId="183" formatCode="#,##0.0000_);\(#,##0.0000\)"/>
    <numFmt numFmtId="184" formatCode="#,##0.0000_ "/>
    <numFmt numFmtId="185" formatCode="&quot;in &quot;#,##0&quot;s&quot;"/>
    <numFmt numFmtId="186" formatCode="#,##0.00_ "/>
    <numFmt numFmtId="187" formatCode="0&quot; yrs&quot;"/>
    <numFmt numFmtId="188" formatCode="0.000_ "/>
    <numFmt numFmtId="189" formatCode="#,##0_);\(#,##0\)"/>
    <numFmt numFmtId="190" formatCode="#,##0.00_);\(#,##0.00\)"/>
    <numFmt numFmtId="191" formatCode="&quot;every&quot;\ 0\ &quot;Months&quot;"/>
  </numFmts>
  <fonts count="47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u/>
      <sz val="9"/>
      <color rgb="FF000000"/>
      <name val="Arial"/>
      <family val="2"/>
      <scheme val="major"/>
    </font>
    <font>
      <b/>
      <i/>
      <u/>
      <sz val="9"/>
      <name val="Arial"/>
      <family val="2"/>
      <scheme val="major"/>
    </font>
    <font>
      <b/>
      <u/>
      <sz val="10"/>
      <color rgb="FF000000"/>
      <name val="Arial"/>
      <family val="2"/>
      <scheme val="minor"/>
    </font>
    <font>
      <b/>
      <i/>
      <sz val="9"/>
      <name val="Arial"/>
      <family val="2"/>
      <scheme val="major"/>
    </font>
    <font>
      <i/>
      <u/>
      <sz val="9"/>
      <color rgb="FF000000"/>
      <name val="Arial"/>
      <family val="2"/>
      <scheme val="major"/>
    </font>
    <font>
      <i/>
      <u/>
      <sz val="9"/>
      <color theme="1"/>
      <name val="Arial"/>
      <family val="2"/>
      <scheme val="major"/>
    </font>
    <font>
      <b/>
      <i/>
      <sz val="9"/>
      <color rgb="FF000000"/>
      <name val="Arial"/>
      <family val="2"/>
      <scheme val="major"/>
    </font>
    <font>
      <sz val="9"/>
      <color rgb="FF000000"/>
      <name val="DengXian"/>
      <family val="2"/>
      <charset val="134"/>
    </font>
    <font>
      <b/>
      <sz val="9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sz val="9"/>
      <name val="Arial"/>
      <family val="2"/>
      <scheme val="minor"/>
    </font>
    <font>
      <sz val="10"/>
      <color theme="0"/>
      <name val="Arial"/>
      <family val="2"/>
      <scheme val="major"/>
    </font>
    <font>
      <sz val="9"/>
      <color rgb="FF0000FF"/>
      <name val="Arial"/>
      <family val="2"/>
      <scheme val="minor"/>
    </font>
    <font>
      <i/>
      <u/>
      <sz val="10"/>
      <color rgb="FF00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7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8" fillId="0" borderId="1" xfId="0" applyFont="1" applyBorder="1"/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6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1" fontId="7" fillId="0" borderId="1" xfId="0" applyNumberFormat="1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6" fillId="3" borderId="1" xfId="0" applyFont="1" applyFill="1" applyBorder="1"/>
    <xf numFmtId="0" fontId="11" fillId="0" borderId="1" xfId="0" applyFont="1" applyBorder="1" applyAlignment="1">
      <alignment horizontal="left"/>
    </xf>
    <xf numFmtId="0" fontId="16" fillId="0" borderId="1" xfId="0" applyFont="1" applyBorder="1"/>
    <xf numFmtId="37" fontId="8" fillId="0" borderId="1" xfId="0" applyNumberFormat="1" applyFont="1" applyBorder="1" applyAlignment="1">
      <alignment horizontal="left" wrapText="1"/>
    </xf>
    <xf numFmtId="37" fontId="8" fillId="0" borderId="1" xfId="0" applyNumberFormat="1" applyFont="1" applyBorder="1" applyAlignment="1">
      <alignment horizontal="right"/>
    </xf>
    <xf numFmtId="37" fontId="8" fillId="0" borderId="1" xfId="0" quotePrefix="1" applyNumberFormat="1" applyFont="1" applyBorder="1" applyAlignment="1">
      <alignment horizontal="left" wrapText="1"/>
    </xf>
    <xf numFmtId="37" fontId="11" fillId="0" borderId="1" xfId="0" applyNumberFormat="1" applyFont="1" applyBorder="1" applyAlignment="1">
      <alignment horizontal="left" wrapText="1" indent="1"/>
    </xf>
    <xf numFmtId="37" fontId="8" fillId="0" borderId="1" xfId="0" quotePrefix="1" applyNumberFormat="1" applyFont="1" applyBorder="1" applyAlignment="1">
      <alignment horizontal="left"/>
    </xf>
    <xf numFmtId="37" fontId="11" fillId="0" borderId="1" xfId="0" applyNumberFormat="1" applyFont="1" applyBorder="1" applyAlignment="1">
      <alignment horizontal="left" indent="1"/>
    </xf>
    <xf numFmtId="0" fontId="8" fillId="0" borderId="1" xfId="0" quotePrefix="1" applyFont="1" applyBorder="1" applyAlignment="1">
      <alignment wrapText="1"/>
    </xf>
    <xf numFmtId="10" fontId="13" fillId="0" borderId="1" xfId="0" applyNumberFormat="1" applyFont="1" applyBorder="1" applyAlignment="1">
      <alignment wrapText="1"/>
    </xf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0" fontId="20" fillId="0" borderId="1" xfId="0" applyFont="1" applyBorder="1"/>
    <xf numFmtId="0" fontId="15" fillId="0" borderId="1" xfId="0" applyFont="1" applyBorder="1"/>
    <xf numFmtId="37" fontId="7" fillId="0" borderId="1" xfId="0" applyNumberFormat="1" applyFont="1" applyBorder="1" applyAlignment="1">
      <alignment horizontal="left" wrapText="1"/>
    </xf>
    <xf numFmtId="37" fontId="7" fillId="0" borderId="1" xfId="0" quotePrefix="1" applyNumberFormat="1" applyFont="1" applyBorder="1" applyAlignment="1">
      <alignment horizontal="left"/>
    </xf>
    <xf numFmtId="37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19" fillId="0" borderId="1" xfId="0" quotePrefix="1" applyFont="1" applyBorder="1" applyAlignment="1">
      <alignment wrapText="1"/>
    </xf>
    <xf numFmtId="0" fontId="14" fillId="0" borderId="1" xfId="0" quotePrefix="1" applyFont="1" applyBorder="1" applyAlignment="1">
      <alignment horizontal="left" indent="1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8" fillId="0" borderId="1" xfId="0" quotePrefix="1" applyFont="1" applyBorder="1"/>
    <xf numFmtId="37" fontId="14" fillId="0" borderId="1" xfId="0" applyNumberFormat="1" applyFont="1" applyBorder="1" applyAlignment="1">
      <alignment horizontal="right"/>
    </xf>
    <xf numFmtId="183" fontId="8" fillId="0" borderId="1" xfId="0" applyNumberFormat="1" applyFont="1" applyBorder="1" applyAlignment="1">
      <alignment horizontal="right"/>
    </xf>
    <xf numFmtId="182" fontId="3" fillId="0" borderId="1" xfId="0" applyNumberFormat="1" applyFont="1" applyBorder="1"/>
    <xf numFmtId="0" fontId="11" fillId="0" borderId="1" xfId="0" quotePrefix="1" applyFont="1" applyBorder="1" applyAlignment="1">
      <alignment horizontal="left" wrapText="1"/>
    </xf>
    <xf numFmtId="37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37" fontId="7" fillId="0" borderId="1" xfId="0" applyNumberFormat="1" applyFont="1" applyBorder="1" applyAlignment="1">
      <alignment horizontal="left" wrapText="1" indent="1"/>
    </xf>
    <xf numFmtId="37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3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 indent="1"/>
    </xf>
    <xf numFmtId="3" fontId="15" fillId="0" borderId="1" xfId="0" applyNumberFormat="1" applyFont="1" applyBorder="1"/>
    <xf numFmtId="3" fontId="11" fillId="0" borderId="1" xfId="0" applyNumberFormat="1" applyFont="1" applyBorder="1"/>
    <xf numFmtId="0" fontId="8" fillId="0" borderId="2" xfId="0" applyFont="1" applyBorder="1" applyAlignment="1">
      <alignment horizontal="left"/>
    </xf>
    <xf numFmtId="10" fontId="13" fillId="0" borderId="1" xfId="0" quotePrefix="1" applyNumberFormat="1" applyFont="1" applyBorder="1" applyAlignment="1">
      <alignment horizontal="right" wrapText="1"/>
    </xf>
    <xf numFmtId="10" fontId="13" fillId="0" borderId="1" xfId="0" quotePrefix="1" applyNumberFormat="1" applyFont="1" applyBorder="1" applyAlignment="1">
      <alignment wrapText="1"/>
    </xf>
    <xf numFmtId="0" fontId="14" fillId="0" borderId="1" xfId="0" applyFont="1" applyBorder="1" applyAlignment="1">
      <alignment horizontal="left" wrapText="1"/>
    </xf>
    <xf numFmtId="0" fontId="12" fillId="0" borderId="2" xfId="0" applyFont="1" applyBorder="1" applyAlignment="1">
      <alignment horizontal="left"/>
    </xf>
    <xf numFmtId="0" fontId="18" fillId="0" borderId="1" xfId="0" applyFont="1" applyBorder="1"/>
    <xf numFmtId="10" fontId="3" fillId="0" borderId="0" xfId="0" applyNumberFormat="1" applyFont="1"/>
    <xf numFmtId="0" fontId="14" fillId="0" borderId="1" xfId="0" applyFont="1" applyBorder="1" applyAlignment="1">
      <alignment horizontal="left" wrapText="1" indent="1"/>
    </xf>
    <xf numFmtId="37" fontId="12" fillId="0" borderId="0" xfId="0" applyNumberFormat="1" applyFont="1"/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1" fillId="0" borderId="1" xfId="0" quotePrefix="1" applyFont="1" applyBorder="1" applyAlignment="1">
      <alignment horizontal="left" wrapText="1"/>
    </xf>
    <xf numFmtId="0" fontId="22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5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185" fontId="17" fillId="0" borderId="2" xfId="0" applyNumberFormat="1" applyFont="1" applyBorder="1" applyAlignment="1">
      <alignment horizontal="right"/>
    </xf>
    <xf numFmtId="185" fontId="14" fillId="0" borderId="2" xfId="0" applyNumberFormat="1" applyFont="1" applyBorder="1" applyAlignment="1">
      <alignment horizontal="right"/>
    </xf>
    <xf numFmtId="185" fontId="23" fillId="0" borderId="1" xfId="0" applyNumberFormat="1" applyFont="1" applyBorder="1" applyAlignment="1">
      <alignment horizontal="right"/>
    </xf>
    <xf numFmtId="0" fontId="24" fillId="0" borderId="2" xfId="0" applyFont="1" applyBorder="1"/>
    <xf numFmtId="182" fontId="0" fillId="0" borderId="0" xfId="0" applyNumberFormat="1"/>
    <xf numFmtId="0" fontId="24" fillId="0" borderId="0" xfId="0" applyFont="1" applyAlignment="1">
      <alignment horizontal="left" indent="1"/>
    </xf>
    <xf numFmtId="39" fontId="24" fillId="0" borderId="0" xfId="0" applyNumberFormat="1" applyFont="1"/>
    <xf numFmtId="184" fontId="3" fillId="0" borderId="1" xfId="0" applyNumberFormat="1" applyFont="1" applyBorder="1"/>
    <xf numFmtId="184" fontId="13" fillId="0" borderId="1" xfId="0" applyNumberFormat="1" applyFont="1" applyBorder="1"/>
    <xf numFmtId="37" fontId="0" fillId="0" borderId="0" xfId="0" applyNumberFormat="1"/>
    <xf numFmtId="38" fontId="0" fillId="0" borderId="0" xfId="0" applyNumberFormat="1"/>
    <xf numFmtId="39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4" fillId="0" borderId="2" xfId="0" applyFont="1" applyBorder="1" applyAlignment="1">
      <alignment vertical="center"/>
    </xf>
    <xf numFmtId="0" fontId="26" fillId="0" borderId="0" xfId="0" applyFont="1"/>
    <xf numFmtId="10" fontId="7" fillId="0" borderId="0" xfId="0" applyNumberFormat="1" applyFont="1"/>
    <xf numFmtId="0" fontId="0" fillId="0" borderId="3" xfId="0" applyBorder="1"/>
    <xf numFmtId="37" fontId="0" fillId="0" borderId="3" xfId="0" applyNumberFormat="1" applyBorder="1"/>
    <xf numFmtId="39" fontId="0" fillId="0" borderId="3" xfId="0" applyNumberFormat="1" applyBorder="1"/>
    <xf numFmtId="182" fontId="0" fillId="0" borderId="3" xfId="0" applyNumberFormat="1" applyBorder="1"/>
    <xf numFmtId="0" fontId="1" fillId="0" borderId="3" xfId="0" applyFont="1" applyBorder="1" applyAlignment="1">
      <alignment horizontal="right"/>
    </xf>
    <xf numFmtId="0" fontId="1" fillId="0" borderId="3" xfId="0" applyFont="1" applyBorder="1"/>
    <xf numFmtId="0" fontId="27" fillId="6" borderId="3" xfId="0" applyFont="1" applyFill="1" applyBorder="1" applyAlignment="1">
      <alignment horizontal="center"/>
    </xf>
    <xf numFmtId="0" fontId="27" fillId="6" borderId="0" xfId="0" applyFont="1" applyFill="1" applyAlignment="1">
      <alignment horizontal="center"/>
    </xf>
    <xf numFmtId="0" fontId="24" fillId="0" borderId="0" xfId="0" applyFont="1"/>
    <xf numFmtId="9" fontId="30" fillId="0" borderId="0" xfId="0" applyNumberFormat="1" applyFont="1"/>
    <xf numFmtId="9" fontId="24" fillId="0" borderId="0" xfId="0" applyNumberFormat="1" applyFont="1"/>
    <xf numFmtId="182" fontId="31" fillId="0" borderId="0" xfId="0" applyNumberFormat="1" applyFont="1"/>
    <xf numFmtId="10" fontId="25" fillId="0" borderId="0" xfId="0" applyNumberFormat="1" applyFont="1"/>
    <xf numFmtId="39" fontId="0" fillId="0" borderId="3" xfId="0" applyNumberFormat="1" applyBorder="1" applyAlignment="1">
      <alignment horizontal="center"/>
    </xf>
    <xf numFmtId="9" fontId="1" fillId="0" borderId="0" xfId="0" applyNumberFormat="1" applyFont="1"/>
    <xf numFmtId="182" fontId="0" fillId="0" borderId="3" xfId="0" applyNumberFormat="1" applyBorder="1" applyAlignment="1">
      <alignment horizontal="right"/>
    </xf>
    <xf numFmtId="9" fontId="0" fillId="0" borderId="3" xfId="0" applyNumberFormat="1" applyBorder="1"/>
    <xf numFmtId="9" fontId="25" fillId="0" borderId="3" xfId="0" applyNumberFormat="1" applyFont="1" applyBorder="1"/>
    <xf numFmtId="186" fontId="24" fillId="0" borderId="1" xfId="0" applyNumberFormat="1" applyFont="1" applyBorder="1" applyAlignment="1">
      <alignment horizontal="right"/>
    </xf>
    <xf numFmtId="39" fontId="0" fillId="7" borderId="3" xfId="0" applyNumberFormat="1" applyFill="1" applyBorder="1"/>
    <xf numFmtId="10" fontId="25" fillId="0" borderId="3" xfId="0" applyNumberFormat="1" applyFont="1" applyBorder="1" applyAlignment="1">
      <alignment horizontal="center"/>
    </xf>
    <xf numFmtId="187" fontId="30" fillId="0" borderId="0" xfId="0" applyNumberFormat="1" applyFont="1"/>
    <xf numFmtId="187" fontId="24" fillId="0" borderId="0" xfId="0" applyNumberFormat="1" applyFont="1"/>
    <xf numFmtId="187" fontId="25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86" fontId="3" fillId="0" borderId="0" xfId="0" applyNumberFormat="1" applyFont="1"/>
    <xf numFmtId="0" fontId="1" fillId="0" borderId="0" xfId="0" quotePrefix="1" applyFont="1"/>
    <xf numFmtId="0" fontId="24" fillId="0" borderId="0" xfId="0" quotePrefix="1" applyFont="1" applyAlignment="1">
      <alignment horizontal="left" indent="1"/>
    </xf>
    <xf numFmtId="187" fontId="26" fillId="0" borderId="0" xfId="0" applyNumberFormat="1" applyFont="1"/>
    <xf numFmtId="10" fontId="26" fillId="0" borderId="0" xfId="0" applyNumberFormat="1" applyFont="1"/>
    <xf numFmtId="0" fontId="1" fillId="0" borderId="0" xfId="0" applyFont="1" applyAlignment="1">
      <alignment vertical="center"/>
    </xf>
    <xf numFmtId="0" fontId="24" fillId="0" borderId="1" xfId="0" applyFont="1" applyBorder="1" applyAlignment="1">
      <alignment horizontal="left" indent="1"/>
    </xf>
    <xf numFmtId="9" fontId="3" fillId="0" borderId="0" xfId="0" applyNumberFormat="1" applyFont="1"/>
    <xf numFmtId="40" fontId="24" fillId="0" borderId="0" xfId="0" applyNumberFormat="1" applyFont="1" applyAlignment="1">
      <alignment horizontal="right"/>
    </xf>
    <xf numFmtId="0" fontId="32" fillId="0" borderId="0" xfId="0" applyFont="1"/>
    <xf numFmtId="10" fontId="32" fillId="0" borderId="0" xfId="0" applyNumberFormat="1" applyFont="1" applyAlignment="1">
      <alignment horizontal="center"/>
    </xf>
    <xf numFmtId="0" fontId="34" fillId="0" borderId="1" xfId="0" quotePrefix="1" applyFont="1" applyBorder="1" applyAlignment="1">
      <alignment horizontal="left" wrapText="1"/>
    </xf>
    <xf numFmtId="10" fontId="0" fillId="0" borderId="0" xfId="0" applyNumberFormat="1"/>
    <xf numFmtId="0" fontId="35" fillId="0" borderId="0" xfId="0" applyFont="1"/>
    <xf numFmtId="186" fontId="0" fillId="0" borderId="0" xfId="0" applyNumberFormat="1"/>
    <xf numFmtId="10" fontId="25" fillId="0" borderId="0" xfId="0" applyNumberFormat="1" applyFont="1" applyAlignment="1">
      <alignment vertical="center"/>
    </xf>
    <xf numFmtId="187" fontId="25" fillId="0" borderId="0" xfId="0" applyNumberFormat="1" applyFont="1" applyAlignment="1">
      <alignment vertical="center"/>
    </xf>
    <xf numFmtId="187" fontId="29" fillId="0" borderId="0" xfId="0" applyNumberFormat="1" applyFont="1"/>
    <xf numFmtId="10" fontId="29" fillId="0" borderId="0" xfId="0" applyNumberFormat="1" applyFont="1"/>
    <xf numFmtId="9" fontId="29" fillId="0" borderId="0" xfId="0" applyNumberFormat="1" applyFont="1"/>
    <xf numFmtId="187" fontId="25" fillId="0" borderId="0" xfId="0" applyNumberFormat="1" applyFont="1"/>
    <xf numFmtId="9" fontId="25" fillId="0" borderId="0" xfId="0" applyNumberFormat="1" applyFont="1"/>
    <xf numFmtId="37" fontId="11" fillId="0" borderId="1" xfId="0" quotePrefix="1" applyNumberFormat="1" applyFont="1" applyBorder="1" applyAlignment="1">
      <alignment horizontal="left" wrapText="1"/>
    </xf>
    <xf numFmtId="0" fontId="3" fillId="8" borderId="1" xfId="0" applyFont="1" applyFill="1" applyBorder="1"/>
    <xf numFmtId="10" fontId="3" fillId="0" borderId="1" xfId="0" applyNumberFormat="1" applyFont="1" applyBorder="1" applyAlignment="1">
      <alignment horizontal="right"/>
    </xf>
    <xf numFmtId="0" fontId="27" fillId="6" borderId="4" xfId="0" applyFont="1" applyFill="1" applyBorder="1" applyAlignment="1">
      <alignment horizontal="center"/>
    </xf>
    <xf numFmtId="0" fontId="27" fillId="6" borderId="1" xfId="0" applyFont="1" applyFill="1" applyBorder="1" applyAlignment="1">
      <alignment horizontal="center"/>
    </xf>
    <xf numFmtId="188" fontId="0" fillId="0" borderId="0" xfId="0" applyNumberFormat="1"/>
    <xf numFmtId="0" fontId="10" fillId="0" borderId="2" xfId="0" quotePrefix="1" applyFont="1" applyBorder="1"/>
    <xf numFmtId="10" fontId="3" fillId="8" borderId="1" xfId="0" applyNumberFormat="1" applyFont="1" applyFill="1" applyBorder="1"/>
    <xf numFmtId="10" fontId="13" fillId="0" borderId="1" xfId="0" applyNumberFormat="1" applyFont="1" applyBorder="1"/>
    <xf numFmtId="186" fontId="8" fillId="0" borderId="1" xfId="0" quotePrefix="1" applyNumberFormat="1" applyFont="1" applyBorder="1" applyAlignment="1">
      <alignment wrapText="1"/>
    </xf>
    <xf numFmtId="0" fontId="36" fillId="0" borderId="2" xfId="0" quotePrefix="1" applyFont="1" applyBorder="1" applyAlignment="1">
      <alignment horizontal="left" wrapText="1"/>
    </xf>
    <xf numFmtId="0" fontId="8" fillId="0" borderId="1" xfId="0" quotePrefix="1" applyFont="1" applyBorder="1" applyAlignment="1">
      <alignment horizontal="right" wrapText="1"/>
    </xf>
    <xf numFmtId="189" fontId="7" fillId="0" borderId="1" xfId="0" applyNumberFormat="1" applyFont="1" applyBorder="1" applyAlignment="1">
      <alignment horizontal="right"/>
    </xf>
    <xf numFmtId="189" fontId="15" fillId="0" borderId="1" xfId="0" applyNumberFormat="1" applyFont="1" applyBorder="1" applyAlignment="1">
      <alignment horizontal="right"/>
    </xf>
    <xf numFmtId="189" fontId="8" fillId="0" borderId="1" xfId="0" applyNumberFormat="1" applyFont="1" applyBorder="1" applyAlignment="1">
      <alignment horizontal="right"/>
    </xf>
    <xf numFmtId="189" fontId="10" fillId="0" borderId="1" xfId="0" applyNumberFormat="1" applyFont="1" applyBorder="1"/>
    <xf numFmtId="189" fontId="14" fillId="0" borderId="1" xfId="0" applyNumberFormat="1" applyFont="1" applyBorder="1" applyAlignment="1">
      <alignment horizontal="right"/>
    </xf>
    <xf numFmtId="189" fontId="11" fillId="0" borderId="1" xfId="0" applyNumberFormat="1" applyFont="1" applyBorder="1" applyAlignment="1">
      <alignment horizontal="right"/>
    </xf>
    <xf numFmtId="189" fontId="10" fillId="0" borderId="0" xfId="0" applyNumberFormat="1" applyFont="1"/>
    <xf numFmtId="189" fontId="3" fillId="0" borderId="0" xfId="0" applyNumberFormat="1" applyFont="1"/>
    <xf numFmtId="189" fontId="17" fillId="0" borderId="1" xfId="0" applyNumberFormat="1" applyFont="1" applyBorder="1" applyAlignment="1">
      <alignment horizontal="right"/>
    </xf>
    <xf numFmtId="182" fontId="7" fillId="0" borderId="1" xfId="0" applyNumberFormat="1" applyFont="1" applyBorder="1" applyAlignment="1">
      <alignment horizontal="right"/>
    </xf>
    <xf numFmtId="182" fontId="17" fillId="0" borderId="1" xfId="0" applyNumberFormat="1" applyFont="1" applyBorder="1" applyAlignment="1">
      <alignment horizontal="right"/>
    </xf>
    <xf numFmtId="182" fontId="15" fillId="0" borderId="1" xfId="0" applyNumberFormat="1" applyFont="1" applyBorder="1" applyAlignment="1">
      <alignment horizontal="right"/>
    </xf>
    <xf numFmtId="189" fontId="13" fillId="0" borderId="1" xfId="0" applyNumberFormat="1" applyFont="1" applyBorder="1" applyAlignment="1">
      <alignment wrapText="1"/>
    </xf>
    <xf numFmtId="189" fontId="3" fillId="0" borderId="1" xfId="0" applyNumberFormat="1" applyFont="1" applyBorder="1"/>
    <xf numFmtId="189" fontId="11" fillId="0" borderId="1" xfId="0" applyNumberFormat="1" applyFont="1" applyBorder="1" applyAlignment="1">
      <alignment wrapText="1"/>
    </xf>
    <xf numFmtId="189" fontId="11" fillId="0" borderId="1" xfId="0" quotePrefix="1" applyNumberFormat="1" applyFont="1" applyBorder="1" applyAlignment="1">
      <alignment wrapText="1"/>
    </xf>
    <xf numFmtId="189" fontId="11" fillId="0" borderId="1" xfId="0" applyNumberFormat="1" applyFont="1" applyBorder="1"/>
    <xf numFmtId="189" fontId="3" fillId="8" borderId="1" xfId="0" applyNumberFormat="1" applyFont="1" applyFill="1" applyBorder="1"/>
    <xf numFmtId="189" fontId="3" fillId="5" borderId="1" xfId="0" applyNumberFormat="1" applyFont="1" applyFill="1" applyBorder="1"/>
    <xf numFmtId="189" fontId="8" fillId="0" borderId="1" xfId="0" applyNumberFormat="1" applyFont="1" applyBorder="1" applyAlignment="1">
      <alignment wrapText="1"/>
    </xf>
    <xf numFmtId="189" fontId="13" fillId="0" borderId="1" xfId="0" applyNumberFormat="1" applyFont="1" applyBorder="1"/>
    <xf numFmtId="189" fontId="8" fillId="0" borderId="1" xfId="0" applyNumberFormat="1" applyFont="1" applyBorder="1" applyAlignment="1">
      <alignment horizontal="right" wrapText="1"/>
    </xf>
    <xf numFmtId="189" fontId="14" fillId="0" borderId="1" xfId="0" applyNumberFormat="1" applyFont="1" applyBorder="1" applyAlignment="1">
      <alignment horizontal="right" wrapText="1"/>
    </xf>
    <xf numFmtId="189" fontId="0" fillId="0" borderId="0" xfId="0" applyNumberFormat="1"/>
    <xf numFmtId="0" fontId="3" fillId="8" borderId="0" xfId="0" applyFont="1" applyFill="1"/>
    <xf numFmtId="0" fontId="37" fillId="0" borderId="0" xfId="0" applyFont="1" applyAlignment="1">
      <alignment horizontal="right"/>
    </xf>
    <xf numFmtId="0" fontId="38" fillId="0" borderId="1" xfId="0" applyFont="1" applyBorder="1" applyAlignment="1">
      <alignment horizontal="right"/>
    </xf>
    <xf numFmtId="0" fontId="18" fillId="0" borderId="5" xfId="0" applyFont="1" applyBorder="1"/>
    <xf numFmtId="0" fontId="37" fillId="0" borderId="6" xfId="0" applyFont="1" applyBorder="1" applyAlignment="1">
      <alignment horizontal="right"/>
    </xf>
    <xf numFmtId="0" fontId="38" fillId="0" borderId="7" xfId="0" applyFont="1" applyBorder="1" applyAlignment="1">
      <alignment horizontal="right"/>
    </xf>
    <xf numFmtId="0" fontId="5" fillId="0" borderId="8" xfId="0" applyFont="1" applyBorder="1"/>
    <xf numFmtId="189" fontId="3" fillId="0" borderId="9" xfId="0" applyNumberFormat="1" applyFont="1" applyBorder="1"/>
    <xf numFmtId="0" fontId="6" fillId="0" borderId="8" xfId="0" applyFont="1" applyBorder="1" applyAlignment="1">
      <alignment horizontal="left" indent="1"/>
    </xf>
    <xf numFmtId="0" fontId="3" fillId="0" borderId="8" xfId="0" applyFont="1" applyBorder="1" applyAlignment="1">
      <alignment horizontal="left" indent="1"/>
    </xf>
    <xf numFmtId="3" fontId="3" fillId="0" borderId="1" xfId="0" applyNumberFormat="1" applyFont="1" applyBorder="1"/>
    <xf numFmtId="0" fontId="10" fillId="0" borderId="8" xfId="0" applyFont="1" applyBorder="1" applyAlignment="1">
      <alignment horizontal="left"/>
    </xf>
    <xf numFmtId="3" fontId="10" fillId="0" borderId="1" xfId="0" applyNumberFormat="1" applyFont="1" applyBorder="1"/>
    <xf numFmtId="0" fontId="3" fillId="0" borderId="8" xfId="0" applyFont="1" applyBorder="1"/>
    <xf numFmtId="0" fontId="3" fillId="0" borderId="9" xfId="0" applyFont="1" applyBorder="1"/>
    <xf numFmtId="0" fontId="18" fillId="0" borderId="8" xfId="0" applyFont="1" applyBorder="1"/>
    <xf numFmtId="0" fontId="37" fillId="0" borderId="1" xfId="0" applyFont="1" applyBorder="1" applyAlignment="1">
      <alignment horizontal="right"/>
    </xf>
    <xf numFmtId="0" fontId="38" fillId="0" borderId="9" xfId="0" applyFont="1" applyBorder="1" applyAlignment="1">
      <alignment horizontal="right"/>
    </xf>
    <xf numFmtId="0" fontId="10" fillId="0" borderId="8" xfId="0" applyFont="1" applyBorder="1"/>
    <xf numFmtId="3" fontId="3" fillId="0" borderId="9" xfId="0" applyNumberFormat="1" applyFont="1" applyBorder="1"/>
    <xf numFmtId="0" fontId="3" fillId="0" borderId="10" xfId="0" applyFont="1" applyBorder="1" applyAlignment="1">
      <alignment horizontal="left" indent="1"/>
    </xf>
    <xf numFmtId="3" fontId="3" fillId="0" borderId="2" xfId="0" applyNumberFormat="1" applyFont="1" applyBorder="1"/>
    <xf numFmtId="3" fontId="3" fillId="0" borderId="11" xfId="0" applyNumberFormat="1" applyFont="1" applyBorder="1"/>
    <xf numFmtId="10" fontId="8" fillId="8" borderId="1" xfId="0" applyNumberFormat="1" applyFont="1" applyFill="1" applyBorder="1" applyAlignment="1">
      <alignment horizontal="right" wrapText="1"/>
    </xf>
    <xf numFmtId="3" fontId="0" fillId="0" borderId="0" xfId="0" applyNumberFormat="1"/>
    <xf numFmtId="0" fontId="1" fillId="0" borderId="2" xfId="0" quotePrefix="1" applyFont="1" applyBorder="1"/>
    <xf numFmtId="10" fontId="25" fillId="0" borderId="2" xfId="0" applyNumberFormat="1" applyFont="1" applyBorder="1"/>
    <xf numFmtId="189" fontId="0" fillId="0" borderId="2" xfId="0" applyNumberFormat="1" applyBorder="1"/>
    <xf numFmtId="0" fontId="1" fillId="0" borderId="12" xfId="0" quotePrefix="1" applyFont="1" applyBorder="1" applyAlignment="1">
      <alignment horizontal="left"/>
    </xf>
    <xf numFmtId="186" fontId="1" fillId="0" borderId="12" xfId="0" applyNumberFormat="1" applyFont="1" applyBorder="1"/>
    <xf numFmtId="189" fontId="24" fillId="0" borderId="0" xfId="0" applyNumberFormat="1" applyFont="1"/>
    <xf numFmtId="0" fontId="3" fillId="0" borderId="0" xfId="0" applyFont="1" applyAlignment="1">
      <alignment horizontal="center"/>
    </xf>
    <xf numFmtId="0" fontId="33" fillId="0" borderId="0" xfId="0" applyFont="1"/>
    <xf numFmtId="10" fontId="7" fillId="0" borderId="1" xfId="0" quotePrefix="1" applyNumberFormat="1" applyFont="1" applyBorder="1" applyAlignment="1">
      <alignment wrapText="1"/>
    </xf>
    <xf numFmtId="0" fontId="41" fillId="0" borderId="0" xfId="0" applyFont="1"/>
    <xf numFmtId="0" fontId="42" fillId="0" borderId="0" xfId="0" applyFont="1"/>
    <xf numFmtId="188" fontId="42" fillId="0" borderId="0" xfId="0" applyNumberFormat="1" applyFont="1"/>
    <xf numFmtId="0" fontId="3" fillId="0" borderId="0" xfId="0" quotePrefix="1" applyFont="1"/>
    <xf numFmtId="186" fontId="10" fillId="0" borderId="0" xfId="0" applyNumberFormat="1" applyFont="1"/>
    <xf numFmtId="39" fontId="42" fillId="0" borderId="0" xfId="0" applyNumberFormat="1" applyFont="1"/>
    <xf numFmtId="40" fontId="41" fillId="0" borderId="0" xfId="0" applyNumberFormat="1" applyFont="1" applyAlignment="1">
      <alignment horizontal="right"/>
    </xf>
    <xf numFmtId="0" fontId="42" fillId="0" borderId="3" xfId="0" applyFont="1" applyBorder="1"/>
    <xf numFmtId="10" fontId="43" fillId="0" borderId="3" xfId="0" applyNumberFormat="1" applyFont="1" applyBorder="1" applyAlignment="1">
      <alignment horizontal="center"/>
    </xf>
    <xf numFmtId="187" fontId="43" fillId="0" borderId="3" xfId="0" applyNumberFormat="1" applyFont="1" applyBorder="1" applyAlignment="1">
      <alignment horizontal="center"/>
    </xf>
    <xf numFmtId="39" fontId="42" fillId="0" borderId="3" xfId="0" applyNumberFormat="1" applyFont="1" applyBorder="1" applyAlignment="1">
      <alignment horizontal="center"/>
    </xf>
    <xf numFmtId="10" fontId="42" fillId="0" borderId="3" xfId="0" applyNumberFormat="1" applyFont="1" applyBorder="1" applyAlignment="1">
      <alignment horizontal="center"/>
    </xf>
    <xf numFmtId="0" fontId="44" fillId="3" borderId="0" xfId="0" applyFont="1" applyFill="1"/>
    <xf numFmtId="190" fontId="3" fillId="0" borderId="0" xfId="0" applyNumberFormat="1" applyFont="1"/>
    <xf numFmtId="9" fontId="13" fillId="0" borderId="1" xfId="0" applyNumberFormat="1" applyFont="1" applyBorder="1" applyAlignment="1">
      <alignment horizontal="left"/>
    </xf>
    <xf numFmtId="9" fontId="8" fillId="0" borderId="0" xfId="0" applyNumberFormat="1" applyFont="1"/>
    <xf numFmtId="187" fontId="8" fillId="0" borderId="0" xfId="0" applyNumberFormat="1" applyFont="1"/>
    <xf numFmtId="186" fontId="8" fillId="0" borderId="1" xfId="0" applyNumberFormat="1" applyFont="1" applyBorder="1" applyAlignment="1">
      <alignment horizontal="left"/>
    </xf>
    <xf numFmtId="0" fontId="24" fillId="0" borderId="1" xfId="0" applyFont="1" applyBorder="1"/>
    <xf numFmtId="10" fontId="8" fillId="8" borderId="1" xfId="0" applyNumberFormat="1" applyFont="1" applyFill="1" applyBorder="1" applyAlignment="1">
      <alignment horizontal="right"/>
    </xf>
    <xf numFmtId="0" fontId="10" fillId="0" borderId="0" xfId="0" quotePrefix="1" applyFont="1"/>
    <xf numFmtId="10" fontId="13" fillId="0" borderId="0" xfId="0" applyNumberFormat="1" applyFont="1"/>
    <xf numFmtId="0" fontId="42" fillId="0" borderId="13" xfId="0" applyFont="1" applyBorder="1"/>
    <xf numFmtId="10" fontId="43" fillId="0" borderId="13" xfId="0" applyNumberFormat="1" applyFont="1" applyBorder="1" applyAlignment="1">
      <alignment horizontal="center"/>
    </xf>
    <xf numFmtId="187" fontId="43" fillId="0" borderId="13" xfId="0" applyNumberFormat="1" applyFont="1" applyBorder="1" applyAlignment="1">
      <alignment horizontal="center"/>
    </xf>
    <xf numFmtId="39" fontId="42" fillId="0" borderId="13" xfId="0" applyNumberFormat="1" applyFont="1" applyBorder="1" applyAlignment="1">
      <alignment horizontal="center"/>
    </xf>
    <xf numFmtId="10" fontId="42" fillId="0" borderId="13" xfId="0" applyNumberFormat="1" applyFont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18" fillId="0" borderId="0" xfId="0" applyFont="1" applyAlignment="1">
      <alignment horizontal="right"/>
    </xf>
    <xf numFmtId="0" fontId="18" fillId="0" borderId="1" xfId="0" applyFont="1" applyBorder="1" applyAlignment="1">
      <alignment horizontal="right"/>
    </xf>
    <xf numFmtId="9" fontId="0" fillId="0" borderId="0" xfId="0" applyNumberFormat="1" applyAlignment="1">
      <alignment horizontal="left"/>
    </xf>
    <xf numFmtId="10" fontId="8" fillId="0" borderId="0" xfId="0" applyNumberFormat="1" applyFont="1"/>
    <xf numFmtId="190" fontId="0" fillId="0" borderId="3" xfId="0" applyNumberFormat="1" applyBorder="1"/>
    <xf numFmtId="10" fontId="24" fillId="0" borderId="0" xfId="0" applyNumberFormat="1" applyFont="1"/>
    <xf numFmtId="190" fontId="0" fillId="0" borderId="0" xfId="0" applyNumberFormat="1"/>
    <xf numFmtId="0" fontId="42" fillId="0" borderId="0" xfId="0" quotePrefix="1" applyFont="1"/>
    <xf numFmtId="0" fontId="42" fillId="0" borderId="1" xfId="0" quotePrefix="1" applyFont="1" applyBorder="1"/>
    <xf numFmtId="0" fontId="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190" fontId="10" fillId="0" borderId="0" xfId="0" applyNumberFormat="1" applyFont="1"/>
    <xf numFmtId="19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87" fontId="29" fillId="0" borderId="0" xfId="0" applyNumberFormat="1" applyFont="1" applyAlignment="1">
      <alignment horizontal="left"/>
    </xf>
    <xf numFmtId="187" fontId="25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187" fontId="0" fillId="0" borderId="3" xfId="0" applyNumberFormat="1" applyBorder="1"/>
    <xf numFmtId="0" fontId="1" fillId="9" borderId="3" xfId="0" applyFont="1" applyFill="1" applyBorder="1"/>
    <xf numFmtId="0" fontId="0" fillId="9" borderId="3" xfId="0" applyFill="1" applyBorder="1"/>
    <xf numFmtId="191" fontId="7" fillId="0" borderId="1" xfId="0" applyNumberFormat="1" applyFont="1" applyBorder="1" applyAlignment="1">
      <alignment horizontal="left"/>
    </xf>
    <xf numFmtId="10" fontId="3" fillId="0" borderId="0" xfId="0" applyNumberFormat="1" applyFont="1" applyAlignment="1">
      <alignment horizontal="left"/>
    </xf>
    <xf numFmtId="187" fontId="11" fillId="0" borderId="1" xfId="0" applyNumberFormat="1" applyFont="1" applyBorder="1" applyAlignment="1">
      <alignment horizontal="right"/>
    </xf>
    <xf numFmtId="0" fontId="25" fillId="0" borderId="0" xfId="0" applyFont="1"/>
    <xf numFmtId="0" fontId="46" fillId="0" borderId="0" xfId="0" applyFont="1"/>
    <xf numFmtId="0" fontId="8" fillId="0" borderId="0" xfId="0" applyFont="1"/>
    <xf numFmtId="0" fontId="8" fillId="0" borderId="1" xfId="0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0" fontId="18" fillId="0" borderId="0" xfId="0" applyFont="1"/>
    <xf numFmtId="0" fontId="13" fillId="0" borderId="0" xfId="0" applyFont="1"/>
    <xf numFmtId="0" fontId="12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left" wrapText="1"/>
    </xf>
    <xf numFmtId="0" fontId="1" fillId="0" borderId="0" xfId="0" quotePrefix="1" applyFont="1" applyAlignment="1">
      <alignment horizontal="left" wrapText="1"/>
    </xf>
    <xf numFmtId="0" fontId="45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37" fillId="0" borderId="1" xfId="0" applyFont="1" applyBorder="1"/>
  </cellXfs>
  <cellStyles count="1">
    <cellStyle name="常规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FF0000"/>
      <color rgb="FF0000FF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J122"/>
  <sheetViews>
    <sheetView showGridLines="0" tabSelected="1" zoomScale="86" zoomScaleNormal="100" workbookViewId="0">
      <selection activeCell="C20" sqref="C20"/>
    </sheetView>
  </sheetViews>
  <sheetFormatPr defaultColWidth="9" defaultRowHeight="11.65" x14ac:dyDescent="0.35"/>
  <cols>
    <col min="1" max="1" width="2.6640625" style="1" customWidth="1"/>
    <col min="2" max="2" width="32.59765625" style="1" customWidth="1"/>
    <col min="3" max="3" width="25.59765625" style="1" customWidth="1"/>
    <col min="4" max="4" width="21.59765625" style="1" customWidth="1"/>
    <col min="5" max="6" width="15.59765625" style="1" customWidth="1"/>
    <col min="7" max="16384" width="9" style="1"/>
  </cols>
  <sheetData>
    <row r="1" spans="1:10" x14ac:dyDescent="0.35">
      <c r="B1" s="3" t="s">
        <v>45</v>
      </c>
      <c r="C1" s="45">
        <v>45730</v>
      </c>
      <c r="D1" s="53"/>
      <c r="E1" s="304" t="s">
        <v>365</v>
      </c>
      <c r="F1" s="305" t="s">
        <v>367</v>
      </c>
    </row>
    <row r="2" spans="1:10" ht="13.9" x14ac:dyDescent="0.45">
      <c r="A2" s="262" t="s">
        <v>294</v>
      </c>
      <c r="B2" s="37"/>
      <c r="C2" s="37"/>
      <c r="D2" s="37"/>
      <c r="E2" s="37"/>
      <c r="F2" s="37"/>
      <c r="G2" s="23"/>
      <c r="H2" s="23"/>
      <c r="I2" s="23"/>
      <c r="J2" s="23"/>
    </row>
    <row r="4" spans="1:10" x14ac:dyDescent="0.35">
      <c r="B4" s="46" t="str">
        <f>D5&amp;" Stock Information"</f>
        <v>0590.HK Stock Information</v>
      </c>
      <c r="C4" s="47"/>
      <c r="D4" s="5"/>
      <c r="E4" s="2"/>
      <c r="F4" s="2"/>
    </row>
    <row r="5" spans="1:10" x14ac:dyDescent="0.35">
      <c r="B5" s="4" t="s">
        <v>364</v>
      </c>
      <c r="C5" s="49" t="s">
        <v>368</v>
      </c>
      <c r="D5" s="50" t="s">
        <v>369</v>
      </c>
    </row>
    <row r="6" spans="1:10" x14ac:dyDescent="0.35">
      <c r="B6" s="4" t="s">
        <v>105</v>
      </c>
      <c r="C6" s="51">
        <v>15.38</v>
      </c>
      <c r="D6" s="49" t="s">
        <v>44</v>
      </c>
      <c r="E6" s="49"/>
    </row>
    <row r="7" spans="1:10" x14ac:dyDescent="0.35">
      <c r="B7" s="4" t="s">
        <v>0</v>
      </c>
      <c r="C7" s="52">
        <v>587107850</v>
      </c>
      <c r="D7" s="35"/>
      <c r="E7" s="35"/>
    </row>
    <row r="8" spans="1:10" x14ac:dyDescent="0.35">
      <c r="B8" s="4" t="s">
        <v>1</v>
      </c>
      <c r="C8" s="49" t="s">
        <v>44</v>
      </c>
      <c r="D8" s="33"/>
      <c r="E8" s="33"/>
    </row>
    <row r="9" spans="1:10" x14ac:dyDescent="0.35">
      <c r="B9" s="4" t="s">
        <v>2</v>
      </c>
      <c r="C9" s="51">
        <v>1</v>
      </c>
      <c r="D9" s="49" t="str">
        <f>IF(C8=D6,D6,C8&amp;"/"&amp;D6)</f>
        <v>HKD</v>
      </c>
      <c r="E9" s="49"/>
    </row>
    <row r="10" spans="1:10" x14ac:dyDescent="0.35">
      <c r="B10" s="2" t="s">
        <v>353</v>
      </c>
      <c r="C10" s="298">
        <v>6</v>
      </c>
      <c r="D10" s="5"/>
      <c r="E10" s="49"/>
    </row>
    <row r="11" spans="1:10" x14ac:dyDescent="0.35">
      <c r="B11" s="1" t="s">
        <v>295</v>
      </c>
      <c r="C11" s="34">
        <f>EOMONTH(EDATE(BS!C1,C10+2),0)</f>
        <v>45716</v>
      </c>
      <c r="D11" s="5"/>
      <c r="E11" s="5"/>
    </row>
    <row r="12" spans="1:10" x14ac:dyDescent="0.35">
      <c r="B12" s="4" t="s">
        <v>25</v>
      </c>
      <c r="C12" s="36">
        <f>Thesis!C6*Thesis!C7/1000000</f>
        <v>9029.7187329999997</v>
      </c>
      <c r="D12" s="33" t="str">
        <f>Market_currency</f>
        <v>HKD</v>
      </c>
      <c r="E12" s="5"/>
    </row>
    <row r="13" spans="1:10" x14ac:dyDescent="0.35">
      <c r="D13" s="5"/>
      <c r="E13" s="5"/>
    </row>
    <row r="14" spans="1:10" ht="24.4" customHeight="1" x14ac:dyDescent="0.35">
      <c r="B14" s="308" t="s">
        <v>300</v>
      </c>
      <c r="C14" s="308"/>
      <c r="D14" s="308"/>
      <c r="E14" s="308"/>
      <c r="F14" s="308"/>
    </row>
    <row r="16" spans="1:10" x14ac:dyDescent="0.35">
      <c r="B16" s="46" t="s">
        <v>352</v>
      </c>
      <c r="C16" s="47"/>
      <c r="D16" s="5"/>
    </row>
    <row r="17" spans="1:6" x14ac:dyDescent="0.35">
      <c r="B17" s="2" t="s">
        <v>351</v>
      </c>
      <c r="C17" s="33" t="str">
        <f>IF(Scenarios!C69="Y",Scenarios!B69,"")&amp;IF(Scenarios!C70="Y",Scenarios!B70,"")&amp;IF(Scenarios!C71="Y",Scenarios!B71,"")&amp;" "&amp;IF(Scenarios!C72="Y",Scenarios!B72,"")</f>
        <v>Low Growth Asset Play</v>
      </c>
      <c r="E17" s="5"/>
    </row>
    <row r="18" spans="1:6" x14ac:dyDescent="0.35">
      <c r="B18" s="2" t="s">
        <v>61</v>
      </c>
      <c r="C18" s="49" t="s">
        <v>370</v>
      </c>
      <c r="E18" s="5"/>
    </row>
    <row r="19" spans="1:6" x14ac:dyDescent="0.35">
      <c r="B19" s="2" t="s">
        <v>308</v>
      </c>
      <c r="C19" s="264">
        <v>0.2</v>
      </c>
      <c r="E19" s="5"/>
    </row>
    <row r="20" spans="1:6" x14ac:dyDescent="0.35">
      <c r="B20" s="2" t="s">
        <v>296</v>
      </c>
      <c r="C20" s="267">
        <f>C121</f>
        <v>13.853214052679736</v>
      </c>
      <c r="D20" s="1" t="s">
        <v>355</v>
      </c>
      <c r="E20" s="300">
        <f>Scenarios!C76</f>
        <v>3</v>
      </c>
    </row>
    <row r="21" spans="1:6" x14ac:dyDescent="0.35">
      <c r="B21" s="1" t="s">
        <v>354</v>
      </c>
      <c r="C21" s="299">
        <f ca="1">Scenarios!C87</f>
        <v>0.15562262672344218</v>
      </c>
      <c r="D21" s="5" t="str">
        <f>Market_currency</f>
        <v>HKD</v>
      </c>
      <c r="E21" s="5"/>
    </row>
    <row r="22" spans="1:6" x14ac:dyDescent="0.35">
      <c r="D22" s="5"/>
      <c r="E22" s="5"/>
    </row>
    <row r="23" spans="1:6" ht="13.9" x14ac:dyDescent="0.45">
      <c r="A23" s="262" t="s">
        <v>243</v>
      </c>
      <c r="B23" s="37"/>
      <c r="C23" s="37"/>
      <c r="D23" s="37"/>
      <c r="E23" s="37"/>
      <c r="F23" s="37"/>
    </row>
    <row r="25" spans="1:6" x14ac:dyDescent="0.35">
      <c r="B25" s="308" t="s">
        <v>244</v>
      </c>
      <c r="C25" s="308"/>
      <c r="D25" s="308"/>
      <c r="E25" s="308"/>
      <c r="F25" s="308"/>
    </row>
    <row r="26" spans="1:6" ht="24.4" customHeight="1" x14ac:dyDescent="0.35">
      <c r="B26" s="312" t="s">
        <v>265</v>
      </c>
      <c r="C26" s="312"/>
      <c r="D26" s="312"/>
      <c r="E26" s="312"/>
      <c r="F26" s="312"/>
    </row>
    <row r="28" spans="1:6" x14ac:dyDescent="0.35">
      <c r="B28" s="248" t="s">
        <v>245</v>
      </c>
      <c r="C28" s="118">
        <f>Data!C3</f>
        <v>1000</v>
      </c>
    </row>
    <row r="29" spans="1:6" ht="24.4" customHeight="1" x14ac:dyDescent="0.35">
      <c r="B29" s="310" t="s">
        <v>246</v>
      </c>
      <c r="C29" s="310"/>
      <c r="D29" s="310"/>
      <c r="E29" s="310"/>
      <c r="F29" s="310"/>
    </row>
    <row r="30" spans="1:6" x14ac:dyDescent="0.35">
      <c r="B30" s="48" t="s">
        <v>247</v>
      </c>
      <c r="C30" s="199">
        <f>Normalized_FCF!C8</f>
        <v>1398534.6033278927</v>
      </c>
      <c r="D30" s="1" t="str">
        <f>Reporting_currency</f>
        <v>HKD</v>
      </c>
    </row>
    <row r="31" spans="1:6" x14ac:dyDescent="0.35">
      <c r="B31" s="48"/>
      <c r="C31" s="83"/>
    </row>
    <row r="32" spans="1:6" ht="24.4" customHeight="1" x14ac:dyDescent="0.35">
      <c r="B32" s="310" t="s">
        <v>248</v>
      </c>
      <c r="C32" s="310"/>
      <c r="D32" s="310"/>
      <c r="E32" s="310"/>
      <c r="F32" s="310"/>
    </row>
    <row r="33" spans="2:6" x14ac:dyDescent="0.35">
      <c r="B33" s="48" t="s">
        <v>249</v>
      </c>
      <c r="C33" s="199">
        <f>Normalized_FCF!C9</f>
        <v>463424</v>
      </c>
      <c r="D33" s="1" t="str">
        <f>Reporting_currency</f>
        <v>HKD</v>
      </c>
    </row>
    <row r="34" spans="2:6" x14ac:dyDescent="0.35">
      <c r="B34" s="53" t="s">
        <v>250</v>
      </c>
      <c r="C34" s="199">
        <f>Normalized_FCF!C10</f>
        <v>-463424.00000000006</v>
      </c>
      <c r="D34" s="1" t="str">
        <f>Reporting_currency</f>
        <v>HKD</v>
      </c>
    </row>
    <row r="36" spans="2:6" x14ac:dyDescent="0.35">
      <c r="B36" s="310" t="s">
        <v>251</v>
      </c>
      <c r="C36" s="310"/>
      <c r="D36" s="310"/>
      <c r="E36" s="310"/>
      <c r="F36" s="310"/>
    </row>
    <row r="37" spans="2:6" x14ac:dyDescent="0.35">
      <c r="B37" s="48" t="s">
        <v>252</v>
      </c>
      <c r="C37" s="199">
        <f>Normalized_FCF!C11</f>
        <v>0</v>
      </c>
      <c r="D37" s="1" t="str">
        <f>Reporting_currency</f>
        <v>HKD</v>
      </c>
    </row>
    <row r="39" spans="2:6" x14ac:dyDescent="0.35">
      <c r="B39" s="310" t="s">
        <v>255</v>
      </c>
      <c r="C39" s="310"/>
      <c r="D39" s="310"/>
      <c r="E39" s="310"/>
      <c r="F39" s="310"/>
    </row>
    <row r="40" spans="2:6" x14ac:dyDescent="0.35">
      <c r="B40" s="48" t="s">
        <v>253</v>
      </c>
      <c r="C40" s="199">
        <f>Normalized_FCF!C12</f>
        <v>-30619.000000000007</v>
      </c>
      <c r="D40" s="1" t="str">
        <f>Reporting_currency</f>
        <v>HKD</v>
      </c>
    </row>
    <row r="42" spans="2:6" x14ac:dyDescent="0.35">
      <c r="B42" s="1" t="s">
        <v>264</v>
      </c>
    </row>
    <row r="43" spans="2:6" x14ac:dyDescent="0.35">
      <c r="B43" s="48" t="s">
        <v>292</v>
      </c>
      <c r="C43" s="199">
        <f>Normalized_FCF!C15</f>
        <v>0</v>
      </c>
      <c r="D43" s="1" t="str">
        <f>Reporting_currency</f>
        <v>HKD</v>
      </c>
    </row>
    <row r="45" spans="2:6" x14ac:dyDescent="0.35">
      <c r="B45" s="310" t="s">
        <v>256</v>
      </c>
      <c r="C45" s="310"/>
      <c r="D45" s="310"/>
      <c r="E45" s="310"/>
      <c r="F45" s="310"/>
    </row>
    <row r="46" spans="2:6" x14ac:dyDescent="0.35">
      <c r="B46" s="48" t="s">
        <v>254</v>
      </c>
      <c r="C46" s="199">
        <f>Normalized_FCF!C14</f>
        <v>-341978.90083197318</v>
      </c>
      <c r="D46" s="1" t="str">
        <f>Reporting_currency</f>
        <v>HKD</v>
      </c>
    </row>
    <row r="48" spans="2:6" ht="24.4" customHeight="1" x14ac:dyDescent="0.35">
      <c r="B48" s="310" t="s">
        <v>259</v>
      </c>
      <c r="C48" s="311"/>
      <c r="D48" s="311"/>
      <c r="E48" s="311"/>
      <c r="F48" s="311"/>
    </row>
    <row r="49" spans="1:6" x14ac:dyDescent="0.35">
      <c r="B49" s="48" t="s">
        <v>257</v>
      </c>
      <c r="C49" s="1">
        <f>Normalized_FCF!C17</f>
        <v>0</v>
      </c>
      <c r="D49" s="1" t="str">
        <f>Reporting_currency</f>
        <v>HKD</v>
      </c>
    </row>
    <row r="50" spans="1:6" x14ac:dyDescent="0.35">
      <c r="B50" s="48" t="s">
        <v>258</v>
      </c>
      <c r="C50" s="1">
        <f>Normalized_FCF!C18</f>
        <v>0</v>
      </c>
      <c r="D50" s="1" t="str">
        <f>Reporting_currency</f>
        <v>HKD</v>
      </c>
    </row>
    <row r="52" spans="1:6" ht="24.4" customHeight="1" x14ac:dyDescent="0.35">
      <c r="B52" s="308" t="s">
        <v>281</v>
      </c>
      <c r="C52" s="308"/>
      <c r="D52" s="308"/>
      <c r="E52" s="308"/>
      <c r="F52" s="308"/>
    </row>
    <row r="53" spans="1:6" x14ac:dyDescent="0.35">
      <c r="B53" s="48" t="s">
        <v>299</v>
      </c>
      <c r="C53" s="199">
        <f>Normalized_FCF!G19</f>
        <v>1306664</v>
      </c>
      <c r="D53" s="1" t="str">
        <f>Reporting_currency</f>
        <v>HKD</v>
      </c>
    </row>
    <row r="54" spans="1:6" x14ac:dyDescent="0.35">
      <c r="B54" s="48" t="s">
        <v>267</v>
      </c>
      <c r="C54" s="199">
        <f>Normalized_FCF!C19</f>
        <v>1025936.7024959195</v>
      </c>
      <c r="D54" s="1" t="str">
        <f>Reporting_currency</f>
        <v>HKD</v>
      </c>
    </row>
    <row r="55" spans="1:6" x14ac:dyDescent="0.35">
      <c r="B55" s="270" t="s">
        <v>298</v>
      </c>
      <c r="C55" s="101">
        <f>Normalized_FCF!C120</f>
        <v>0.11361779174212065</v>
      </c>
    </row>
    <row r="56" spans="1:6" x14ac:dyDescent="0.35">
      <c r="B56" s="270" t="s">
        <v>356</v>
      </c>
      <c r="C56" s="101">
        <f>Normalized_FCF!C92</f>
        <v>8.8426527958387499E-2</v>
      </c>
    </row>
    <row r="58" spans="1:6" ht="13.9" x14ac:dyDescent="0.45">
      <c r="A58" s="262" t="s">
        <v>317</v>
      </c>
      <c r="B58" s="37"/>
      <c r="C58" s="37"/>
      <c r="D58" s="37"/>
      <c r="E58" s="37"/>
      <c r="F58" s="37"/>
    </row>
    <row r="59" spans="1:6" x14ac:dyDescent="0.35">
      <c r="A59" s="247"/>
    </row>
    <row r="60" spans="1:6" ht="24.4" customHeight="1" x14ac:dyDescent="0.35">
      <c r="A60" s="17"/>
      <c r="B60" s="310" t="s">
        <v>318</v>
      </c>
      <c r="C60" s="310"/>
      <c r="D60" s="310"/>
      <c r="E60" s="310"/>
      <c r="F60" s="310"/>
    </row>
    <row r="61" spans="1:6" x14ac:dyDescent="0.35">
      <c r="B61" s="312" t="s">
        <v>272</v>
      </c>
      <c r="C61" s="312"/>
      <c r="D61" s="312"/>
      <c r="E61" s="312"/>
      <c r="F61" s="312"/>
    </row>
    <row r="63" spans="1:6" x14ac:dyDescent="0.35">
      <c r="B63" s="248" t="s">
        <v>245</v>
      </c>
    </row>
    <row r="64" spans="1:6" x14ac:dyDescent="0.35">
      <c r="B64" s="1" t="s">
        <v>323</v>
      </c>
      <c r="C64" s="281">
        <v>0.08</v>
      </c>
    </row>
    <row r="65" spans="1:6" x14ac:dyDescent="0.35">
      <c r="B65" s="1" t="s">
        <v>325</v>
      </c>
      <c r="C65" s="281">
        <f>IF(D65="Y",1%,0)</f>
        <v>0.01</v>
      </c>
      <c r="D65" s="307" t="s">
        <v>322</v>
      </c>
    </row>
    <row r="66" spans="1:6" x14ac:dyDescent="0.35">
      <c r="B66" s="1" t="s">
        <v>324</v>
      </c>
      <c r="C66" s="281">
        <f>IF(D66="Y",1%,0)</f>
        <v>0</v>
      </c>
      <c r="D66" s="307" t="s">
        <v>375</v>
      </c>
    </row>
    <row r="67" spans="1:6" x14ac:dyDescent="0.35">
      <c r="B67" s="89" t="s">
        <v>266</v>
      </c>
      <c r="C67" s="271">
        <f>SUM(C64:C66)</f>
        <v>0.09</v>
      </c>
    </row>
    <row r="68" spans="1:6" x14ac:dyDescent="0.35">
      <c r="C68" s="132"/>
    </row>
    <row r="69" spans="1:6" ht="24.4" customHeight="1" x14ac:dyDescent="0.35">
      <c r="B69" s="308" t="s">
        <v>326</v>
      </c>
      <c r="C69" s="308"/>
      <c r="D69" s="308"/>
      <c r="E69" s="308"/>
      <c r="F69" s="308"/>
    </row>
    <row r="70" spans="1:6" ht="24.4" customHeight="1" x14ac:dyDescent="0.35">
      <c r="B70" s="308" t="s">
        <v>271</v>
      </c>
      <c r="C70" s="308"/>
      <c r="D70" s="308"/>
      <c r="E70" s="308"/>
      <c r="F70" s="308"/>
    </row>
    <row r="71" spans="1:6" x14ac:dyDescent="0.35">
      <c r="B71" s="48" t="s">
        <v>270</v>
      </c>
      <c r="C71" s="281">
        <v>0</v>
      </c>
    </row>
    <row r="73" spans="1:6" x14ac:dyDescent="0.35">
      <c r="B73" s="48" t="s">
        <v>316</v>
      </c>
      <c r="C73" s="263">
        <f>Valuation_Model!C6*C28*Exchange_Rate/Common_Shares</f>
        <v>19.416018188820175</v>
      </c>
      <c r="D73" s="1" t="str">
        <f>Market_currency</f>
        <v>HKD</v>
      </c>
    </row>
    <row r="75" spans="1:6" ht="13.9" x14ac:dyDescent="0.45">
      <c r="A75" s="262" t="s">
        <v>273</v>
      </c>
      <c r="B75" s="37"/>
      <c r="C75" s="37"/>
      <c r="D75" s="37"/>
      <c r="E75" s="37"/>
      <c r="F75" s="37"/>
    </row>
    <row r="76" spans="1:6" x14ac:dyDescent="0.35">
      <c r="A76" s="247"/>
    </row>
    <row r="77" spans="1:6" ht="24.4" customHeight="1" x14ac:dyDescent="0.35">
      <c r="B77" s="308" t="s">
        <v>274</v>
      </c>
      <c r="C77" s="308"/>
      <c r="D77" s="308"/>
      <c r="E77" s="308"/>
      <c r="F77" s="308"/>
    </row>
    <row r="78" spans="1:6" x14ac:dyDescent="0.35">
      <c r="B78" s="1" t="s">
        <v>275</v>
      </c>
    </row>
    <row r="80" spans="1:6" x14ac:dyDescent="0.35">
      <c r="B80" s="248" t="s">
        <v>245</v>
      </c>
    </row>
    <row r="81" spans="2:6" x14ac:dyDescent="0.35">
      <c r="B81" s="48" t="s">
        <v>277</v>
      </c>
      <c r="C81" s="199">
        <f>Valuation_Model!C7</f>
        <v>1715502</v>
      </c>
      <c r="D81" s="1" t="str">
        <f>Reporting_currency</f>
        <v>HKD</v>
      </c>
    </row>
    <row r="82" spans="2:6" x14ac:dyDescent="0.35">
      <c r="B82" s="48" t="s">
        <v>319</v>
      </c>
      <c r="C82" s="263">
        <f>C81*C28*Exchange_Rate/Common_Shares</f>
        <v>2.9219537773170638</v>
      </c>
      <c r="D82" s="1" t="str">
        <f>Market_currency</f>
        <v>HKD</v>
      </c>
    </row>
    <row r="84" spans="2:6" x14ac:dyDescent="0.35">
      <c r="B84" s="1" t="s">
        <v>276</v>
      </c>
    </row>
    <row r="85" spans="2:6" x14ac:dyDescent="0.35">
      <c r="B85" s="48" t="s">
        <v>291</v>
      </c>
      <c r="C85" s="199">
        <f>BS!C66</f>
        <v>1998219</v>
      </c>
      <c r="D85" s="1" t="str">
        <f>Reporting_currency</f>
        <v>HKD</v>
      </c>
    </row>
    <row r="86" spans="2:6" x14ac:dyDescent="0.35">
      <c r="B86" s="48" t="s">
        <v>293</v>
      </c>
      <c r="C86" s="199">
        <f>Valuation_Model!C8</f>
        <v>1116785.5502773244</v>
      </c>
      <c r="D86" s="1" t="str">
        <f>Reporting_currency</f>
        <v>HKD</v>
      </c>
    </row>
    <row r="87" spans="2:6" x14ac:dyDescent="0.35">
      <c r="B87" s="48" t="s">
        <v>320</v>
      </c>
      <c r="C87" s="263">
        <f>C86*C28*Exchange_Rate/Common_Shares</f>
        <v>1.9021812606956703</v>
      </c>
      <c r="D87" s="1" t="str">
        <f>Market_currency</f>
        <v>HKD</v>
      </c>
    </row>
    <row r="89" spans="2:6" x14ac:dyDescent="0.35">
      <c r="B89" s="1" t="s">
        <v>278</v>
      </c>
    </row>
    <row r="90" spans="2:6" x14ac:dyDescent="0.35">
      <c r="B90" s="48" t="s">
        <v>279</v>
      </c>
      <c r="C90" s="199">
        <f>Valuation_Model!C9</f>
        <v>92572.6</v>
      </c>
      <c r="D90" s="1" t="str">
        <f>Reporting_currency</f>
        <v>HKD</v>
      </c>
    </row>
    <row r="91" spans="2:6" x14ac:dyDescent="0.35">
      <c r="B91" s="48" t="s">
        <v>321</v>
      </c>
      <c r="C91" s="263">
        <f>C90*C28*Exchange_Rate/Common_Shares</f>
        <v>0.15767562978420405</v>
      </c>
      <c r="D91" s="1" t="str">
        <f>Market_currency</f>
        <v>HKD</v>
      </c>
    </row>
    <row r="93" spans="2:6" ht="24.4" customHeight="1" x14ac:dyDescent="0.35">
      <c r="B93" s="308" t="s">
        <v>280</v>
      </c>
      <c r="C93" s="308"/>
      <c r="D93" s="308"/>
      <c r="E93" s="308"/>
      <c r="F93" s="308"/>
    </row>
    <row r="95" spans="2:6" x14ac:dyDescent="0.35">
      <c r="B95" s="48" t="s">
        <v>315</v>
      </c>
      <c r="C95" s="263">
        <f>Valuation_Model!C12</f>
        <v>18.553921301982985</v>
      </c>
      <c r="D95" s="1" t="str">
        <f>Market_currency</f>
        <v>HKD</v>
      </c>
    </row>
    <row r="97" spans="1:6" ht="13.9" x14ac:dyDescent="0.45">
      <c r="A97" s="262" t="s">
        <v>290</v>
      </c>
      <c r="B97" s="37"/>
      <c r="C97" s="37"/>
      <c r="D97" s="37"/>
      <c r="E97" s="37"/>
      <c r="F97" s="37"/>
    </row>
    <row r="99" spans="1:6" ht="24.4" customHeight="1" x14ac:dyDescent="0.35">
      <c r="B99" s="308" t="s">
        <v>306</v>
      </c>
      <c r="C99" s="308"/>
      <c r="D99" s="308"/>
      <c r="E99" s="308"/>
      <c r="F99" s="308"/>
    </row>
    <row r="101" spans="1:6" ht="12.4" x14ac:dyDescent="0.4">
      <c r="B101" s="277" t="s">
        <v>129</v>
      </c>
      <c r="C101" s="277" t="s">
        <v>144</v>
      </c>
      <c r="D101" s="277" t="s">
        <v>124</v>
      </c>
      <c r="E101" s="277" t="s">
        <v>283</v>
      </c>
      <c r="F101" s="277" t="s">
        <v>159</v>
      </c>
    </row>
    <row r="102" spans="1:6" x14ac:dyDescent="0.35">
      <c r="B102" s="272" t="str">
        <f>Valuation_Model!B74</f>
        <v>Snowball Scenario</v>
      </c>
      <c r="C102" s="273">
        <f>Valuation_Model!C74</f>
        <v>0.08</v>
      </c>
      <c r="D102" s="274">
        <f>Valuation_Model!D74</f>
        <v>10</v>
      </c>
      <c r="E102" s="275" t="str">
        <f>ROUND(Valuation_Model!E74,2)&amp;" "&amp;Market_currency</f>
        <v>24.61 HKD</v>
      </c>
      <c r="F102" s="276">
        <f>Valuation_Model!F74</f>
        <v>0.02</v>
      </c>
    </row>
    <row r="103" spans="1:6" x14ac:dyDescent="0.35">
      <c r="B103" s="257" t="str">
        <f>Valuation_Model!B75</f>
        <v>Optimistic</v>
      </c>
      <c r="C103" s="258">
        <f>Valuation_Model!C75</f>
        <v>0.05</v>
      </c>
      <c r="D103" s="259">
        <f>Valuation_Model!D75</f>
        <v>5</v>
      </c>
      <c r="E103" s="260" t="str">
        <f>ROUND(Valuation_Model!E75,2)&amp;" "&amp;Market_currency</f>
        <v>20.21 HKD</v>
      </c>
      <c r="F103" s="261">
        <f>Valuation_Model!F75</f>
        <v>0.192</v>
      </c>
    </row>
    <row r="104" spans="1:6" x14ac:dyDescent="0.35">
      <c r="B104" s="257" t="str">
        <f>Valuation_Model!B76</f>
        <v>Base</v>
      </c>
      <c r="C104" s="258">
        <f>Valuation_Model!C76</f>
        <v>0.02</v>
      </c>
      <c r="D104" s="259">
        <f>Valuation_Model!D76</f>
        <v>5</v>
      </c>
      <c r="E104" s="260" t="str">
        <f>ROUND(Valuation_Model!E76,2)&amp;" "&amp;Market_currency</f>
        <v>19.2 HKD</v>
      </c>
      <c r="F104" s="261">
        <f>Valuation_Model!F76</f>
        <v>0.57599999999999996</v>
      </c>
    </row>
    <row r="105" spans="1:6" x14ac:dyDescent="0.35">
      <c r="B105" s="257" t="str">
        <f>Valuation_Model!B77</f>
        <v>Pessimistic</v>
      </c>
      <c r="C105" s="258">
        <f>Valuation_Model!C77</f>
        <v>-0.05</v>
      </c>
      <c r="D105" s="259">
        <f>Valuation_Model!D77</f>
        <v>5</v>
      </c>
      <c r="E105" s="260" t="str">
        <f>ROUND(Valuation_Model!E77,2)&amp;" "&amp;Market_currency</f>
        <v>17.02 HKD</v>
      </c>
      <c r="F105" s="261">
        <f>Valuation_Model!F77</f>
        <v>0.192</v>
      </c>
    </row>
    <row r="106" spans="1:6" x14ac:dyDescent="0.35">
      <c r="B106" s="257" t="str">
        <f>Valuation_Model!B78</f>
        <v>Devil's advocate</v>
      </c>
      <c r="C106" s="258">
        <f>Valuation_Model!C78</f>
        <v>-0.08</v>
      </c>
      <c r="D106" s="259">
        <f>Valuation_Model!D78</f>
        <v>10</v>
      </c>
      <c r="E106" s="260" t="str">
        <f>ROUND(Valuation_Model!E78,2)&amp;" "&amp;Market_currency</f>
        <v>14.4 HKD</v>
      </c>
      <c r="F106" s="261">
        <f>Valuation_Model!F78</f>
        <v>0.02</v>
      </c>
    </row>
    <row r="108" spans="1:6" x14ac:dyDescent="0.35">
      <c r="B108" s="250" t="s">
        <v>282</v>
      </c>
      <c r="C108" s="256">
        <f>Scenarios!C60</f>
        <v>18.987953883030585</v>
      </c>
      <c r="D108" s="251" t="str">
        <f>Market_currency</f>
        <v>HKD</v>
      </c>
    </row>
    <row r="110" spans="1:6" ht="13.9" x14ac:dyDescent="0.45">
      <c r="A110" s="262" t="s">
        <v>314</v>
      </c>
      <c r="B110" s="37"/>
      <c r="C110" s="37"/>
      <c r="D110" s="37"/>
      <c r="E110" s="37"/>
      <c r="F110" s="37"/>
    </row>
    <row r="112" spans="1:6" x14ac:dyDescent="0.35">
      <c r="B112" s="309" t="s">
        <v>288</v>
      </c>
      <c r="C112" s="309"/>
      <c r="D112" s="309"/>
      <c r="E112" s="309"/>
      <c r="F112" s="309"/>
    </row>
    <row r="113" spans="2:4" x14ac:dyDescent="0.35">
      <c r="B113" s="248" t="s">
        <v>245</v>
      </c>
    </row>
    <row r="114" spans="2:4" x14ac:dyDescent="0.35">
      <c r="B114" s="1" t="s">
        <v>289</v>
      </c>
      <c r="C114" s="266">
        <f>E20</f>
        <v>3</v>
      </c>
    </row>
    <row r="115" spans="2:4" x14ac:dyDescent="0.35">
      <c r="B115" s="1" t="s">
        <v>309</v>
      </c>
      <c r="C115" s="265">
        <f>C19</f>
        <v>0.2</v>
      </c>
    </row>
    <row r="116" spans="2:4" x14ac:dyDescent="0.35">
      <c r="B116" s="251" t="s">
        <v>285</v>
      </c>
      <c r="C116" s="252">
        <f>Scenarios!C77</f>
        <v>1.3599999999999999</v>
      </c>
      <c r="D116" s="251" t="str">
        <f>Market_currency</f>
        <v>HKD</v>
      </c>
    </row>
    <row r="118" spans="2:4" x14ac:dyDescent="0.35">
      <c r="B118" s="248" t="s">
        <v>287</v>
      </c>
    </row>
    <row r="119" spans="2:4" x14ac:dyDescent="0.35">
      <c r="B119" s="251" t="str">
        <f>"PV("&amp;C114&amp;" yrs of Dividends)"</f>
        <v>PV(3 yrs of Dividends)</v>
      </c>
      <c r="C119" s="255">
        <f>Scenarios!C81</f>
        <v>2.8648148148148143</v>
      </c>
    </row>
    <row r="120" spans="2:4" x14ac:dyDescent="0.35">
      <c r="B120" s="251" t="str">
        <f>"+ PV(Equity Value realized at year "&amp;C114&amp;")"</f>
        <v>+ PV(Equity Value realized at year 3)</v>
      </c>
      <c r="C120" s="255">
        <f>Scenarios!C82</f>
        <v>10.988399237864922</v>
      </c>
    </row>
    <row r="121" spans="2:4" x14ac:dyDescent="0.35">
      <c r="B121" s="89" t="s">
        <v>284</v>
      </c>
      <c r="C121" s="254">
        <f>Scenarios!C83</f>
        <v>13.853214052679736</v>
      </c>
      <c r="D121" s="48" t="str">
        <f>Reporting_currency</f>
        <v>HKD</v>
      </c>
    </row>
    <row r="122" spans="2:4" x14ac:dyDescent="0.35">
      <c r="B122" s="253" t="s">
        <v>286</v>
      </c>
      <c r="C122" s="165">
        <f>Scenarios!F83</f>
        <v>-0.27042091327911499</v>
      </c>
    </row>
  </sheetData>
  <mergeCells count="18">
    <mergeCell ref="B36:F36"/>
    <mergeCell ref="B14:F14"/>
    <mergeCell ref="B25:F25"/>
    <mergeCell ref="B26:F26"/>
    <mergeCell ref="B29:F29"/>
    <mergeCell ref="B32:F32"/>
    <mergeCell ref="B70:F70"/>
    <mergeCell ref="B77:F77"/>
    <mergeCell ref="B93:F93"/>
    <mergeCell ref="B112:F112"/>
    <mergeCell ref="B39:F39"/>
    <mergeCell ref="B45:F45"/>
    <mergeCell ref="B48:F48"/>
    <mergeCell ref="B52:F52"/>
    <mergeCell ref="B60:F60"/>
    <mergeCell ref="B61:F61"/>
    <mergeCell ref="B99:F99"/>
    <mergeCell ref="B69:F69"/>
  </mergeCells>
  <phoneticPr fontId="2" type="noConversion"/>
  <dataValidations count="3">
    <dataValidation type="list" allowBlank="1" sqref="C8" xr:uid="{00000000-0002-0000-0000-000001000000}">
      <formula1>"HKD,USD,CNY,EUR"</formula1>
    </dataValidation>
    <dataValidation type="list" allowBlank="1" showInputMessage="1" showErrorMessage="1" sqref="F1" xr:uid="{45F807FD-9E0F-415A-9BBD-D5FB6470B56D}">
      <formula1>"Not Held, Held"</formula1>
    </dataValidation>
    <dataValidation type="list" allowBlank="1" showInputMessage="1" showErrorMessage="1" sqref="D65:D66" xr:uid="{342D2C68-3352-49DC-9D77-964DC8D8A160}">
      <formula1>"Y,N"</formula1>
    </dataValidation>
  </dataValidations>
  <pageMargins left="0.25" right="0.25" top="0.75" bottom="0.75" header="0.3" footer="0.3"/>
  <pageSetup paperSize="9" scale="88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9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32" sqref="C32:F32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6640625" style="1" customWidth="1"/>
    <col min="14" max="16384" width="8.796875" style="1"/>
  </cols>
  <sheetData>
    <row r="1" spans="2:13" x14ac:dyDescent="0.35">
      <c r="B1" s="99" t="str">
        <f>Thesis!C8</f>
        <v>HKD</v>
      </c>
      <c r="C1" s="114">
        <v>45382</v>
      </c>
      <c r="D1" s="39">
        <f>EOMONTH(EDATE(C1,-12),0)</f>
        <v>45016</v>
      </c>
      <c r="E1" s="39">
        <f t="shared" ref="E1:M1" si="0">EOMONTH(EDATE(D1,-12),0)</f>
        <v>44651</v>
      </c>
      <c r="F1" s="39">
        <f t="shared" si="0"/>
        <v>44286</v>
      </c>
      <c r="G1" s="39">
        <f t="shared" si="0"/>
        <v>43921</v>
      </c>
      <c r="H1" s="39">
        <f t="shared" si="0"/>
        <v>43555</v>
      </c>
      <c r="I1" s="39">
        <f t="shared" si="0"/>
        <v>43190</v>
      </c>
      <c r="J1" s="39">
        <f t="shared" si="0"/>
        <v>42825</v>
      </c>
      <c r="K1" s="39">
        <f t="shared" si="0"/>
        <v>42460</v>
      </c>
      <c r="L1" s="39">
        <f t="shared" si="0"/>
        <v>42094</v>
      </c>
      <c r="M1" s="39">
        <f t="shared" si="0"/>
        <v>41729</v>
      </c>
    </row>
    <row r="2" spans="2:13" ht="13.9" x14ac:dyDescent="0.45">
      <c r="B2" s="37" t="s">
        <v>108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2:13" x14ac:dyDescent="0.35">
      <c r="B3" s="16" t="s">
        <v>29</v>
      </c>
      <c r="C3" s="116">
        <v>1000</v>
      </c>
    </row>
    <row r="4" spans="2:13" x14ac:dyDescent="0.35">
      <c r="B4" s="33" t="s">
        <v>3</v>
      </c>
      <c r="C4" s="201">
        <v>15325962</v>
      </c>
      <c r="D4" s="192">
        <v>11977844</v>
      </c>
      <c r="E4" s="192">
        <v>11737803</v>
      </c>
      <c r="F4" s="192">
        <v>8861335</v>
      </c>
      <c r="G4" s="192">
        <v>11233771</v>
      </c>
      <c r="H4" s="192"/>
      <c r="I4" s="192"/>
      <c r="J4" s="192"/>
      <c r="K4" s="192"/>
      <c r="L4" s="192"/>
      <c r="M4" s="192"/>
    </row>
    <row r="5" spans="2:13" x14ac:dyDescent="0.35">
      <c r="B5" s="41" t="s">
        <v>47</v>
      </c>
      <c r="C5" s="201">
        <v>11151623</v>
      </c>
      <c r="D5" s="192">
        <v>8747447</v>
      </c>
      <c r="E5" s="192">
        <v>8503976</v>
      </c>
      <c r="F5" s="192">
        <v>6229020</v>
      </c>
      <c r="G5" s="192">
        <v>7910751</v>
      </c>
      <c r="H5" s="192"/>
      <c r="I5" s="192"/>
      <c r="J5" s="192"/>
      <c r="K5" s="192"/>
      <c r="L5" s="192"/>
      <c r="M5" s="192"/>
    </row>
    <row r="6" spans="2:13" x14ac:dyDescent="0.35">
      <c r="B6" s="41" t="s">
        <v>59</v>
      </c>
      <c r="C6" s="201">
        <v>2297566</v>
      </c>
      <c r="D6" s="192">
        <v>1867515</v>
      </c>
      <c r="E6" s="192">
        <v>1815111</v>
      </c>
      <c r="F6" s="192">
        <v>1694480</v>
      </c>
      <c r="G6" s="192">
        <v>2118252</v>
      </c>
      <c r="H6" s="192"/>
      <c r="I6" s="192"/>
      <c r="J6" s="192"/>
      <c r="K6" s="192"/>
      <c r="L6" s="192"/>
      <c r="M6" s="192"/>
    </row>
    <row r="7" spans="2:13" x14ac:dyDescent="0.35">
      <c r="B7" s="75" t="s">
        <v>66</v>
      </c>
      <c r="C7" s="202">
        <v>2043459</v>
      </c>
      <c r="D7" s="200">
        <v>1517989</v>
      </c>
      <c r="E7" s="200">
        <v>1491293</v>
      </c>
      <c r="F7" s="200">
        <v>1412494</v>
      </c>
      <c r="G7" s="200">
        <v>1945100</v>
      </c>
      <c r="H7" s="200"/>
      <c r="I7" s="200"/>
      <c r="J7" s="200"/>
      <c r="K7" s="200"/>
      <c r="L7" s="200"/>
      <c r="M7" s="200"/>
    </row>
    <row r="8" spans="2:13" x14ac:dyDescent="0.35">
      <c r="B8" s="41" t="s">
        <v>53</v>
      </c>
      <c r="C8" s="201"/>
      <c r="D8" s="192"/>
      <c r="E8" s="192"/>
      <c r="F8" s="192"/>
      <c r="G8" s="192"/>
      <c r="H8" s="192"/>
      <c r="I8" s="192"/>
      <c r="J8" s="192"/>
      <c r="K8" s="192"/>
      <c r="L8" s="192"/>
      <c r="M8" s="192"/>
    </row>
    <row r="9" spans="2:13" x14ac:dyDescent="0.35">
      <c r="B9" s="41" t="s">
        <v>171</v>
      </c>
      <c r="C9" s="201">
        <v>639</v>
      </c>
      <c r="D9" s="192">
        <v>927</v>
      </c>
      <c r="E9" s="192"/>
      <c r="F9" s="192"/>
      <c r="G9" s="192"/>
      <c r="H9" s="192"/>
      <c r="I9" s="192"/>
      <c r="J9" s="192"/>
      <c r="K9" s="192"/>
      <c r="L9" s="192"/>
      <c r="M9" s="192"/>
    </row>
    <row r="10" spans="2:13" x14ac:dyDescent="0.35">
      <c r="B10" s="41" t="s">
        <v>179</v>
      </c>
      <c r="C10" s="201"/>
      <c r="D10" s="192"/>
      <c r="E10" s="192"/>
      <c r="F10" s="192"/>
      <c r="G10" s="192"/>
      <c r="H10" s="192"/>
      <c r="I10" s="192"/>
      <c r="J10" s="192"/>
      <c r="K10" s="192"/>
      <c r="L10" s="192"/>
      <c r="M10" s="192"/>
    </row>
    <row r="11" spans="2:13" x14ac:dyDescent="0.35">
      <c r="B11" s="41" t="s">
        <v>170</v>
      </c>
      <c r="C11" s="201"/>
      <c r="D11" s="192"/>
      <c r="E11" s="192"/>
      <c r="F11" s="192"/>
      <c r="G11" s="192"/>
      <c r="H11" s="192"/>
      <c r="I11" s="192"/>
      <c r="J11" s="192"/>
      <c r="K11" s="192"/>
      <c r="L11" s="192"/>
      <c r="M11" s="192"/>
    </row>
    <row r="12" spans="2:13" x14ac:dyDescent="0.35">
      <c r="B12" s="41" t="s">
        <v>41</v>
      </c>
      <c r="C12" s="201">
        <v>59596</v>
      </c>
      <c r="D12" s="192">
        <v>20763</v>
      </c>
      <c r="E12" s="192">
        <v>23097</v>
      </c>
      <c r="F12" s="192">
        <v>28849</v>
      </c>
      <c r="G12" s="192">
        <v>63075</v>
      </c>
      <c r="H12" s="192"/>
      <c r="I12" s="192"/>
      <c r="J12" s="192"/>
      <c r="K12" s="192"/>
      <c r="L12" s="192"/>
      <c r="M12" s="192"/>
    </row>
    <row r="13" spans="2:13" x14ac:dyDescent="0.35">
      <c r="B13" s="41" t="s">
        <v>72</v>
      </c>
      <c r="C13" s="201">
        <v>28977</v>
      </c>
      <c r="D13" s="192">
        <v>33125</v>
      </c>
      <c r="E13" s="192">
        <v>87344</v>
      </c>
      <c r="F13" s="192">
        <v>63398</v>
      </c>
      <c r="G13" s="192">
        <v>45450</v>
      </c>
      <c r="H13" s="192"/>
      <c r="I13" s="192"/>
      <c r="J13" s="192"/>
      <c r="K13" s="192"/>
      <c r="L13" s="192"/>
      <c r="M13" s="192"/>
    </row>
    <row r="14" spans="2:13" x14ac:dyDescent="0.35">
      <c r="B14" s="41" t="s">
        <v>54</v>
      </c>
      <c r="C14" s="201">
        <v>327166</v>
      </c>
      <c r="D14" s="192">
        <v>280664</v>
      </c>
      <c r="E14" s="192">
        <v>291296</v>
      </c>
      <c r="F14" s="192">
        <v>236303</v>
      </c>
      <c r="G14" s="192">
        <v>223409</v>
      </c>
      <c r="H14" s="192"/>
      <c r="I14" s="192"/>
      <c r="J14" s="192"/>
      <c r="K14" s="192"/>
      <c r="L14" s="192"/>
      <c r="M14" s="192"/>
    </row>
    <row r="15" spans="2:13" x14ac:dyDescent="0.35">
      <c r="B15" s="44" t="s">
        <v>46</v>
      </c>
      <c r="C15" s="203">
        <v>1767305</v>
      </c>
      <c r="D15" s="193">
        <v>1284757</v>
      </c>
      <c r="E15" s="193">
        <v>1392364</v>
      </c>
      <c r="F15" s="193">
        <v>1017335</v>
      </c>
      <c r="G15" s="193">
        <v>866315</v>
      </c>
      <c r="H15" s="193"/>
      <c r="I15" s="193"/>
      <c r="J15" s="193"/>
      <c r="K15" s="193"/>
      <c r="L15" s="193"/>
      <c r="M15" s="193"/>
    </row>
    <row r="16" spans="2:13" x14ac:dyDescent="0.35">
      <c r="B16" s="29" t="s">
        <v>48</v>
      </c>
      <c r="C16" s="201">
        <v>-9467</v>
      </c>
      <c r="D16" s="192">
        <v>-30</v>
      </c>
      <c r="E16" s="192">
        <v>-27</v>
      </c>
      <c r="F16" s="192">
        <v>1799</v>
      </c>
      <c r="G16" s="192">
        <v>1337</v>
      </c>
      <c r="H16" s="192"/>
      <c r="I16" s="192"/>
      <c r="J16" s="192"/>
      <c r="K16" s="192"/>
      <c r="L16" s="192"/>
      <c r="M16" s="192"/>
    </row>
    <row r="18" spans="2:13" x14ac:dyDescent="0.35">
      <c r="B18" s="16" t="s">
        <v>55</v>
      </c>
      <c r="C18" s="9"/>
    </row>
    <row r="19" spans="2:13" x14ac:dyDescent="0.35">
      <c r="B19" s="28" t="s">
        <v>51</v>
      </c>
      <c r="C19" s="192">
        <v>463424</v>
      </c>
      <c r="D19" s="192">
        <v>371724</v>
      </c>
      <c r="E19" s="192">
        <v>435672</v>
      </c>
      <c r="F19" s="192">
        <v>520888</v>
      </c>
      <c r="G19" s="192"/>
      <c r="H19" s="192"/>
      <c r="I19" s="192"/>
      <c r="J19" s="192"/>
      <c r="K19" s="192"/>
      <c r="L19" s="192"/>
      <c r="M19" s="192"/>
    </row>
    <row r="20" spans="2:13" x14ac:dyDescent="0.35">
      <c r="B20" s="28" t="s">
        <v>57</v>
      </c>
      <c r="C20" s="192">
        <v>676387</v>
      </c>
      <c r="D20" s="192">
        <v>107280</v>
      </c>
      <c r="E20" s="192">
        <v>455483</v>
      </c>
      <c r="F20" s="192">
        <v>138937</v>
      </c>
      <c r="G20" s="192"/>
      <c r="H20" s="192"/>
      <c r="I20" s="192"/>
      <c r="J20" s="192"/>
      <c r="K20" s="192"/>
      <c r="L20" s="192"/>
      <c r="M20" s="192"/>
    </row>
    <row r="21" spans="2:13" x14ac:dyDescent="0.35">
      <c r="B21" s="28" t="s">
        <v>56</v>
      </c>
      <c r="C21" s="192">
        <v>626583</v>
      </c>
      <c r="D21" s="192">
        <v>352099</v>
      </c>
      <c r="E21" s="192">
        <v>1045251</v>
      </c>
      <c r="F21" s="192">
        <v>-818677</v>
      </c>
      <c r="G21" s="192"/>
      <c r="H21" s="192"/>
      <c r="I21" s="192"/>
      <c r="J21" s="192"/>
      <c r="K21" s="192"/>
      <c r="L21" s="192"/>
      <c r="M21" s="192"/>
    </row>
    <row r="22" spans="2:13" x14ac:dyDescent="0.35">
      <c r="B22" s="25" t="str">
        <f>"Dividend per share ("&amp;Market_currency&amp;")"</f>
        <v>Dividend per share (HKD)</v>
      </c>
      <c r="C22" s="40">
        <v>1.3599999999999999</v>
      </c>
      <c r="D22" s="40">
        <v>1.1000000000000001</v>
      </c>
      <c r="E22" s="40">
        <v>1.1000000000000001</v>
      </c>
      <c r="F22" s="40">
        <v>1</v>
      </c>
      <c r="G22" s="40">
        <v>1</v>
      </c>
      <c r="H22" s="40">
        <v>1.1499999999999999</v>
      </c>
      <c r="I22" s="40"/>
      <c r="J22" s="40"/>
      <c r="K22" s="40"/>
      <c r="L22" s="40"/>
      <c r="M22" s="40"/>
    </row>
    <row r="24" spans="2:13" x14ac:dyDescent="0.35">
      <c r="B24" s="16" t="s">
        <v>30</v>
      </c>
      <c r="C24" s="9"/>
    </row>
    <row r="25" spans="2:13" x14ac:dyDescent="0.35">
      <c r="B25" s="27" t="s">
        <v>26</v>
      </c>
      <c r="C25" s="194"/>
      <c r="D25" s="192">
        <v>213823</v>
      </c>
      <c r="E25" s="192">
        <v>187711</v>
      </c>
      <c r="F25" s="192">
        <v>277338</v>
      </c>
      <c r="G25" s="192"/>
      <c r="H25" s="192"/>
      <c r="I25" s="192"/>
      <c r="J25" s="192"/>
      <c r="K25" s="192"/>
      <c r="L25" s="192"/>
      <c r="M25" s="192"/>
    </row>
    <row r="26" spans="2:13" x14ac:dyDescent="0.35">
      <c r="B26" s="27" t="s">
        <v>34</v>
      </c>
      <c r="C26" s="194"/>
      <c r="D26" s="192">
        <v>8852611</v>
      </c>
      <c r="E26" s="192">
        <v>8769304</v>
      </c>
      <c r="F26" s="192">
        <v>7321614</v>
      </c>
      <c r="G26" s="192"/>
      <c r="H26" s="192"/>
      <c r="I26" s="192"/>
      <c r="J26" s="192"/>
      <c r="K26" s="192"/>
      <c r="L26" s="192"/>
      <c r="M26" s="192"/>
    </row>
    <row r="27" spans="2:13" x14ac:dyDescent="0.35">
      <c r="B27" s="30" t="s">
        <v>42</v>
      </c>
      <c r="C27" s="193">
        <v>3990166</v>
      </c>
      <c r="D27" s="193">
        <v>2466431</v>
      </c>
      <c r="E27" s="193">
        <v>3908586</v>
      </c>
      <c r="F27" s="193">
        <v>2946772</v>
      </c>
      <c r="G27" s="193"/>
      <c r="H27" s="193"/>
      <c r="I27" s="193"/>
      <c r="J27" s="193"/>
      <c r="K27" s="193"/>
      <c r="L27" s="193"/>
      <c r="M27" s="193"/>
    </row>
    <row r="28" spans="2:13" x14ac:dyDescent="0.35">
      <c r="B28" s="30" t="s">
        <v>32</v>
      </c>
      <c r="C28" s="193">
        <v>12863898</v>
      </c>
      <c r="D28" s="193">
        <v>12220942</v>
      </c>
      <c r="E28" s="193">
        <v>12078528</v>
      </c>
      <c r="F28" s="193">
        <v>11324224</v>
      </c>
      <c r="G28" s="193"/>
      <c r="H28" s="193"/>
      <c r="I28" s="193"/>
      <c r="J28" s="193"/>
      <c r="K28" s="193"/>
      <c r="L28" s="193"/>
      <c r="M28" s="193"/>
    </row>
    <row r="29" spans="2:13" x14ac:dyDescent="0.35">
      <c r="B29" s="27" t="s">
        <v>184</v>
      </c>
      <c r="C29" s="192"/>
      <c r="D29" s="192"/>
      <c r="E29" s="192"/>
      <c r="F29" s="192"/>
      <c r="G29" s="193"/>
      <c r="H29" s="193"/>
      <c r="I29" s="193"/>
      <c r="J29" s="193"/>
      <c r="K29" s="193"/>
      <c r="L29" s="193"/>
      <c r="M29" s="193"/>
    </row>
    <row r="31" spans="2:13" x14ac:dyDescent="0.35">
      <c r="B31" s="16" t="s">
        <v>58</v>
      </c>
      <c r="C31" s="9"/>
    </row>
    <row r="32" spans="2:13" x14ac:dyDescent="0.35">
      <c r="B32" s="27" t="s">
        <v>43</v>
      </c>
      <c r="C32" s="192">
        <v>1095356</v>
      </c>
      <c r="D32" s="192">
        <v>1099308</v>
      </c>
      <c r="E32" s="192">
        <v>1107736</v>
      </c>
      <c r="F32" s="192">
        <v>1122325</v>
      </c>
      <c r="G32" s="192"/>
      <c r="H32" s="192"/>
      <c r="I32" s="192"/>
      <c r="J32" s="192"/>
      <c r="K32" s="192"/>
      <c r="L32" s="192"/>
      <c r="M32" s="192"/>
    </row>
    <row r="34" spans="2:13" ht="13.9" x14ac:dyDescent="0.45">
      <c r="B34" s="37" t="s">
        <v>92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</row>
    <row r="35" spans="2:13" x14ac:dyDescent="0.35">
      <c r="B35" s="16" t="s">
        <v>29</v>
      </c>
    </row>
    <row r="36" spans="2:13" x14ac:dyDescent="0.35">
      <c r="B36" s="33" t="s">
        <v>3</v>
      </c>
      <c r="C36" s="194">
        <f t="shared" ref="C36:M36" si="1">IF(C$4="","",C4)</f>
        <v>15325962</v>
      </c>
      <c r="D36" s="194">
        <f t="shared" si="1"/>
        <v>11977844</v>
      </c>
      <c r="E36" s="194">
        <f t="shared" si="1"/>
        <v>11737803</v>
      </c>
      <c r="F36" s="194">
        <f t="shared" si="1"/>
        <v>8861335</v>
      </c>
      <c r="G36" s="194">
        <f t="shared" si="1"/>
        <v>11233771</v>
      </c>
      <c r="H36" s="194" t="str">
        <f t="shared" si="1"/>
        <v/>
      </c>
      <c r="I36" s="194" t="str">
        <f t="shared" si="1"/>
        <v/>
      </c>
      <c r="J36" s="194" t="str">
        <f t="shared" si="1"/>
        <v/>
      </c>
      <c r="K36" s="194" t="str">
        <f t="shared" si="1"/>
        <v/>
      </c>
      <c r="L36" s="194" t="str">
        <f t="shared" si="1"/>
        <v/>
      </c>
      <c r="M36" s="194" t="str">
        <f t="shared" si="1"/>
        <v/>
      </c>
    </row>
    <row r="37" spans="2:13" x14ac:dyDescent="0.35">
      <c r="B37" s="41" t="s">
        <v>47</v>
      </c>
      <c r="C37" s="194">
        <f t="shared" ref="C37:M37" si="2">IF(C$4="","",-C5)</f>
        <v>-11151623</v>
      </c>
      <c r="D37" s="194">
        <f t="shared" si="2"/>
        <v>-8747447</v>
      </c>
      <c r="E37" s="194">
        <f t="shared" si="2"/>
        <v>-8503976</v>
      </c>
      <c r="F37" s="194">
        <f t="shared" si="2"/>
        <v>-6229020</v>
      </c>
      <c r="G37" s="194">
        <f t="shared" si="2"/>
        <v>-7910751</v>
      </c>
      <c r="H37" s="194" t="str">
        <f t="shared" si="2"/>
        <v/>
      </c>
      <c r="I37" s="194" t="str">
        <f t="shared" si="2"/>
        <v/>
      </c>
      <c r="J37" s="194" t="str">
        <f t="shared" si="2"/>
        <v/>
      </c>
      <c r="K37" s="194" t="str">
        <f t="shared" si="2"/>
        <v/>
      </c>
      <c r="L37" s="194" t="str">
        <f t="shared" si="2"/>
        <v/>
      </c>
      <c r="M37" s="194" t="str">
        <f t="shared" si="2"/>
        <v/>
      </c>
    </row>
    <row r="38" spans="2:13" x14ac:dyDescent="0.35">
      <c r="B38" s="32" t="s">
        <v>63</v>
      </c>
      <c r="C38" s="195">
        <f>IF(C36="","",C36+C37)</f>
        <v>4174339</v>
      </c>
      <c r="D38" s="195">
        <f t="shared" ref="D38" si="3">IF(D36="","",D36+D37)</f>
        <v>3230397</v>
      </c>
      <c r="E38" s="195">
        <f t="shared" ref="E38" si="4">IF(E36="","",E36+E37)</f>
        <v>3233827</v>
      </c>
      <c r="F38" s="195">
        <f t="shared" ref="F38" si="5">IF(F36="","",F36+F37)</f>
        <v>2632315</v>
      </c>
      <c r="G38" s="195">
        <f t="shared" ref="G38" si="6">IF(G36="","",G36+G37)</f>
        <v>3323020</v>
      </c>
      <c r="H38" s="195" t="str">
        <f t="shared" ref="H38" si="7">IF(H36="","",H36+H37)</f>
        <v/>
      </c>
      <c r="I38" s="195" t="str">
        <f t="shared" ref="I38" si="8">IF(I36="","",I36+I37)</f>
        <v/>
      </c>
      <c r="J38" s="195" t="str">
        <f t="shared" ref="J38" si="9">IF(J36="","",J36+J37)</f>
        <v/>
      </c>
      <c r="K38" s="195" t="str">
        <f t="shared" ref="K38" si="10">IF(K36="","",K36+K37)</f>
        <v/>
      </c>
      <c r="L38" s="195" t="str">
        <f t="shared" ref="L38" si="11">IF(L36="","",L36+L37)</f>
        <v/>
      </c>
      <c r="M38" s="195" t="str">
        <f t="shared" ref="M38" si="12">IF(M36="","",M36+M37)</f>
        <v/>
      </c>
    </row>
    <row r="39" spans="2:13" x14ac:dyDescent="0.35">
      <c r="B39" s="41" t="s">
        <v>59</v>
      </c>
      <c r="C39" s="194">
        <f t="shared" ref="C39:M39" si="13">IF(C$4="","",-C6)</f>
        <v>-2297566</v>
      </c>
      <c r="D39" s="194">
        <f t="shared" si="13"/>
        <v>-1867515</v>
      </c>
      <c r="E39" s="194">
        <f t="shared" si="13"/>
        <v>-1815111</v>
      </c>
      <c r="F39" s="194">
        <f t="shared" si="13"/>
        <v>-1694480</v>
      </c>
      <c r="G39" s="194">
        <f t="shared" si="13"/>
        <v>-2118252</v>
      </c>
      <c r="H39" s="194" t="str">
        <f t="shared" si="13"/>
        <v/>
      </c>
      <c r="I39" s="194" t="str">
        <f t="shared" si="13"/>
        <v/>
      </c>
      <c r="J39" s="194" t="str">
        <f t="shared" si="13"/>
        <v/>
      </c>
      <c r="K39" s="194" t="str">
        <f t="shared" si="13"/>
        <v/>
      </c>
      <c r="L39" s="194" t="str">
        <f t="shared" si="13"/>
        <v/>
      </c>
      <c r="M39" s="194" t="str">
        <f t="shared" si="13"/>
        <v/>
      </c>
    </row>
    <row r="40" spans="2:13" x14ac:dyDescent="0.35">
      <c r="B40" s="75" t="s">
        <v>66</v>
      </c>
      <c r="C40" s="196">
        <f t="shared" ref="C40:M40" si="14">IF(C$4="","",-C7)</f>
        <v>-2043459</v>
      </c>
      <c r="D40" s="196">
        <f t="shared" si="14"/>
        <v>-1517989</v>
      </c>
      <c r="E40" s="196">
        <f t="shared" si="14"/>
        <v>-1491293</v>
      </c>
      <c r="F40" s="196">
        <f t="shared" si="14"/>
        <v>-1412494</v>
      </c>
      <c r="G40" s="196">
        <f t="shared" si="14"/>
        <v>-1945100</v>
      </c>
      <c r="H40" s="196" t="str">
        <f t="shared" si="14"/>
        <v/>
      </c>
      <c r="I40" s="196" t="str">
        <f t="shared" si="14"/>
        <v/>
      </c>
      <c r="J40" s="196" t="str">
        <f t="shared" si="14"/>
        <v/>
      </c>
      <c r="K40" s="196" t="str">
        <f t="shared" si="14"/>
        <v/>
      </c>
      <c r="L40" s="196" t="str">
        <f t="shared" si="14"/>
        <v/>
      </c>
      <c r="M40" s="196" t="str">
        <f t="shared" si="14"/>
        <v/>
      </c>
    </row>
    <row r="41" spans="2:13" x14ac:dyDescent="0.35">
      <c r="B41" s="75" t="s">
        <v>69</v>
      </c>
      <c r="C41" s="196">
        <f>IF(C$4="","",C39-C40)</f>
        <v>-254107</v>
      </c>
      <c r="D41" s="196">
        <f t="shared" ref="D41:M41" si="15">IF(D$4="","",D39-D40)</f>
        <v>-349526</v>
      </c>
      <c r="E41" s="196">
        <f t="shared" si="15"/>
        <v>-323818</v>
      </c>
      <c r="F41" s="196">
        <f t="shared" si="15"/>
        <v>-281986</v>
      </c>
      <c r="G41" s="196">
        <f t="shared" si="15"/>
        <v>-173152</v>
      </c>
      <c r="H41" s="196" t="str">
        <f t="shared" si="15"/>
        <v/>
      </c>
      <c r="I41" s="196" t="str">
        <f t="shared" si="15"/>
        <v/>
      </c>
      <c r="J41" s="196" t="str">
        <f t="shared" si="15"/>
        <v/>
      </c>
      <c r="K41" s="196" t="str">
        <f t="shared" si="15"/>
        <v/>
      </c>
      <c r="L41" s="196" t="str">
        <f t="shared" si="15"/>
        <v/>
      </c>
      <c r="M41" s="196" t="str">
        <f t="shared" si="15"/>
        <v/>
      </c>
    </row>
    <row r="42" spans="2:13" x14ac:dyDescent="0.35">
      <c r="B42" s="41" t="s">
        <v>53</v>
      </c>
      <c r="C42" s="194">
        <f t="shared" ref="C42:M42" si="16">IF(C$4="","",-C8)</f>
        <v>0</v>
      </c>
      <c r="D42" s="194">
        <f t="shared" si="16"/>
        <v>0</v>
      </c>
      <c r="E42" s="194">
        <f t="shared" si="16"/>
        <v>0</v>
      </c>
      <c r="F42" s="194">
        <f t="shared" si="16"/>
        <v>0</v>
      </c>
      <c r="G42" s="194">
        <f t="shared" si="16"/>
        <v>0</v>
      </c>
      <c r="H42" s="194" t="str">
        <f t="shared" si="16"/>
        <v/>
      </c>
      <c r="I42" s="194" t="str">
        <f t="shared" si="16"/>
        <v/>
      </c>
      <c r="J42" s="194" t="str">
        <f t="shared" si="16"/>
        <v/>
      </c>
      <c r="K42" s="194" t="str">
        <f t="shared" si="16"/>
        <v/>
      </c>
      <c r="L42" s="194" t="str">
        <f t="shared" si="16"/>
        <v/>
      </c>
      <c r="M42" s="194" t="str">
        <f t="shared" si="16"/>
        <v/>
      </c>
    </row>
    <row r="43" spans="2:13" x14ac:dyDescent="0.35">
      <c r="B43" s="44" t="s">
        <v>164</v>
      </c>
      <c r="C43" s="197">
        <f>IF(C$4="","",C38+C39+C42)</f>
        <v>1876773</v>
      </c>
      <c r="D43" s="197">
        <f t="shared" ref="D43:M43" si="17">IF(D$4="","",D38+D39+D42)</f>
        <v>1362882</v>
      </c>
      <c r="E43" s="197">
        <f t="shared" si="17"/>
        <v>1418716</v>
      </c>
      <c r="F43" s="197">
        <f t="shared" si="17"/>
        <v>937835</v>
      </c>
      <c r="G43" s="197">
        <f t="shared" si="17"/>
        <v>1204768</v>
      </c>
      <c r="H43" s="197" t="str">
        <f t="shared" si="17"/>
        <v/>
      </c>
      <c r="I43" s="197" t="str">
        <f t="shared" si="17"/>
        <v/>
      </c>
      <c r="J43" s="197" t="str">
        <f t="shared" si="17"/>
        <v/>
      </c>
      <c r="K43" s="197" t="str">
        <f t="shared" si="17"/>
        <v/>
      </c>
      <c r="L43" s="197" t="str">
        <f t="shared" si="17"/>
        <v/>
      </c>
      <c r="M43" s="197" t="str">
        <f t="shared" si="17"/>
        <v/>
      </c>
    </row>
    <row r="44" spans="2:13" x14ac:dyDescent="0.35">
      <c r="B44" s="44" t="s">
        <v>180</v>
      </c>
      <c r="C44" s="198">
        <f t="shared" ref="C44:M44" si="18">IF(C$4="","",C47-C46-C45-C43)</f>
        <v>248317</v>
      </c>
      <c r="D44" s="198">
        <f t="shared" si="18"/>
        <v>190177</v>
      </c>
      <c r="E44" s="198">
        <f t="shared" si="18"/>
        <v>200697</v>
      </c>
      <c r="F44" s="198">
        <f t="shared" si="18"/>
        <v>281254</v>
      </c>
      <c r="G44" s="198">
        <f t="shared" si="18"/>
        <v>-97419</v>
      </c>
      <c r="H44" s="198" t="str">
        <f t="shared" si="18"/>
        <v/>
      </c>
      <c r="I44" s="198" t="str">
        <f t="shared" si="18"/>
        <v/>
      </c>
      <c r="J44" s="198" t="str">
        <f t="shared" si="18"/>
        <v/>
      </c>
      <c r="K44" s="198" t="str">
        <f t="shared" si="18"/>
        <v/>
      </c>
      <c r="L44" s="198" t="str">
        <f t="shared" si="18"/>
        <v/>
      </c>
      <c r="M44" s="198" t="str">
        <f t="shared" si="18"/>
        <v/>
      </c>
    </row>
    <row r="45" spans="2:13" x14ac:dyDescent="0.35">
      <c r="B45" s="41" t="s">
        <v>73</v>
      </c>
      <c r="C45" s="199">
        <f t="shared" ref="C45:M45" si="19">IF(C$4="","",C51+C52)</f>
        <v>-30619</v>
      </c>
      <c r="D45" s="199">
        <f t="shared" si="19"/>
        <v>12362</v>
      </c>
      <c r="E45" s="199">
        <f t="shared" si="19"/>
        <v>64247</v>
      </c>
      <c r="F45" s="199">
        <f t="shared" si="19"/>
        <v>34549</v>
      </c>
      <c r="G45" s="199">
        <f t="shared" si="19"/>
        <v>-17625</v>
      </c>
      <c r="H45" s="199" t="str">
        <f t="shared" si="19"/>
        <v/>
      </c>
      <c r="I45" s="199" t="str">
        <f t="shared" si="19"/>
        <v/>
      </c>
      <c r="J45" s="199" t="str">
        <f t="shared" si="19"/>
        <v/>
      </c>
      <c r="K45" s="199" t="str">
        <f t="shared" si="19"/>
        <v/>
      </c>
      <c r="L45" s="199" t="str">
        <f t="shared" si="19"/>
        <v/>
      </c>
      <c r="M45" s="199" t="str">
        <f t="shared" si="19"/>
        <v/>
      </c>
    </row>
    <row r="46" spans="2:13" x14ac:dyDescent="0.35">
      <c r="B46" s="41" t="s">
        <v>54</v>
      </c>
      <c r="C46" s="194">
        <f t="shared" ref="C46:M46" si="20">IF(C$4="","",-C14)</f>
        <v>-327166</v>
      </c>
      <c r="D46" s="194">
        <f t="shared" si="20"/>
        <v>-280664</v>
      </c>
      <c r="E46" s="194">
        <f t="shared" si="20"/>
        <v>-291296</v>
      </c>
      <c r="F46" s="194">
        <f t="shared" si="20"/>
        <v>-236303</v>
      </c>
      <c r="G46" s="194">
        <f t="shared" si="20"/>
        <v>-223409</v>
      </c>
      <c r="H46" s="194" t="str">
        <f t="shared" si="20"/>
        <v/>
      </c>
      <c r="I46" s="194" t="str">
        <f t="shared" si="20"/>
        <v/>
      </c>
      <c r="J46" s="194" t="str">
        <f t="shared" si="20"/>
        <v/>
      </c>
      <c r="K46" s="194" t="str">
        <f t="shared" si="20"/>
        <v/>
      </c>
      <c r="L46" s="194" t="str">
        <f t="shared" si="20"/>
        <v/>
      </c>
      <c r="M46" s="194" t="str">
        <f t="shared" si="20"/>
        <v/>
      </c>
    </row>
    <row r="47" spans="2:13" x14ac:dyDescent="0.35">
      <c r="B47" s="44" t="s">
        <v>46</v>
      </c>
      <c r="C47" s="197">
        <f t="shared" ref="C47:M47" si="21">IF(C$4="","",C15)</f>
        <v>1767305</v>
      </c>
      <c r="D47" s="197">
        <f t="shared" si="21"/>
        <v>1284757</v>
      </c>
      <c r="E47" s="197">
        <f t="shared" si="21"/>
        <v>1392364</v>
      </c>
      <c r="F47" s="197">
        <f t="shared" si="21"/>
        <v>1017335</v>
      </c>
      <c r="G47" s="197">
        <f t="shared" si="21"/>
        <v>866315</v>
      </c>
      <c r="H47" s="197" t="str">
        <f t="shared" si="21"/>
        <v/>
      </c>
      <c r="I47" s="197" t="str">
        <f t="shared" si="21"/>
        <v/>
      </c>
      <c r="J47" s="197" t="str">
        <f t="shared" si="21"/>
        <v/>
      </c>
      <c r="K47" s="197" t="str">
        <f t="shared" si="21"/>
        <v/>
      </c>
      <c r="L47" s="197" t="str">
        <f t="shared" si="21"/>
        <v/>
      </c>
      <c r="M47" s="197" t="str">
        <f t="shared" si="21"/>
        <v/>
      </c>
    </row>
    <row r="48" spans="2:13" x14ac:dyDescent="0.35">
      <c r="B48" s="29" t="s">
        <v>48</v>
      </c>
      <c r="C48" s="194">
        <f t="shared" ref="C48:M48" si="22">IF(C$4="","",MIN(-C16,0))</f>
        <v>0</v>
      </c>
      <c r="D48" s="194">
        <f t="shared" si="22"/>
        <v>0</v>
      </c>
      <c r="E48" s="194">
        <f t="shared" si="22"/>
        <v>0</v>
      </c>
      <c r="F48" s="194">
        <f t="shared" si="22"/>
        <v>-1799</v>
      </c>
      <c r="G48" s="194">
        <f t="shared" si="22"/>
        <v>-1337</v>
      </c>
      <c r="H48" s="194" t="str">
        <f t="shared" si="22"/>
        <v/>
      </c>
      <c r="I48" s="194" t="str">
        <f t="shared" si="22"/>
        <v/>
      </c>
      <c r="J48" s="194" t="str">
        <f t="shared" si="22"/>
        <v/>
      </c>
      <c r="K48" s="194" t="str">
        <f t="shared" si="22"/>
        <v/>
      </c>
      <c r="L48" s="194" t="str">
        <f t="shared" si="22"/>
        <v/>
      </c>
      <c r="M48" s="194" t="str">
        <f t="shared" si="22"/>
        <v/>
      </c>
    </row>
    <row r="50" spans="2:13" x14ac:dyDescent="0.35">
      <c r="B50" s="16" t="s">
        <v>73</v>
      </c>
    </row>
    <row r="51" spans="2:13" x14ac:dyDescent="0.35">
      <c r="B51" s="41" t="s">
        <v>41</v>
      </c>
      <c r="C51" s="194">
        <f t="shared" ref="C51:M51" si="23">IF(C$4="","",-C12)</f>
        <v>-59596</v>
      </c>
      <c r="D51" s="194">
        <f t="shared" si="23"/>
        <v>-20763</v>
      </c>
      <c r="E51" s="194">
        <f t="shared" si="23"/>
        <v>-23097</v>
      </c>
      <c r="F51" s="194">
        <f t="shared" si="23"/>
        <v>-28849</v>
      </c>
      <c r="G51" s="194">
        <f t="shared" si="23"/>
        <v>-63075</v>
      </c>
      <c r="H51" s="194" t="str">
        <f t="shared" si="23"/>
        <v/>
      </c>
      <c r="I51" s="194" t="str">
        <f t="shared" si="23"/>
        <v/>
      </c>
      <c r="J51" s="194" t="str">
        <f t="shared" si="23"/>
        <v/>
      </c>
      <c r="K51" s="194" t="str">
        <f t="shared" si="23"/>
        <v/>
      </c>
      <c r="L51" s="194" t="str">
        <f t="shared" si="23"/>
        <v/>
      </c>
      <c r="M51" s="194" t="str">
        <f t="shared" si="23"/>
        <v/>
      </c>
    </row>
    <row r="52" spans="2:13" x14ac:dyDescent="0.35">
      <c r="B52" s="41" t="s">
        <v>72</v>
      </c>
      <c r="C52" s="194">
        <f t="shared" ref="C52:M52" si="24">IF(C$4="","",C13)</f>
        <v>28977</v>
      </c>
      <c r="D52" s="194">
        <f t="shared" si="24"/>
        <v>33125</v>
      </c>
      <c r="E52" s="194">
        <f t="shared" si="24"/>
        <v>87344</v>
      </c>
      <c r="F52" s="194">
        <f t="shared" si="24"/>
        <v>63398</v>
      </c>
      <c r="G52" s="194">
        <f t="shared" si="24"/>
        <v>45450</v>
      </c>
      <c r="H52" s="194" t="str">
        <f t="shared" si="24"/>
        <v/>
      </c>
      <c r="I52" s="194" t="str">
        <f t="shared" si="24"/>
        <v/>
      </c>
      <c r="J52" s="194" t="str">
        <f t="shared" si="24"/>
        <v/>
      </c>
      <c r="K52" s="194" t="str">
        <f t="shared" si="24"/>
        <v/>
      </c>
      <c r="L52" s="194" t="str">
        <f t="shared" si="24"/>
        <v/>
      </c>
      <c r="M52" s="194" t="str">
        <f t="shared" si="24"/>
        <v/>
      </c>
    </row>
    <row r="54" spans="2:13" x14ac:dyDescent="0.35">
      <c r="B54" s="186" t="s">
        <v>180</v>
      </c>
    </row>
    <row r="55" spans="2:13" x14ac:dyDescent="0.35">
      <c r="B55" s="41" t="s">
        <v>171</v>
      </c>
      <c r="C55" s="199">
        <f t="shared" ref="C55:M55" si="25">IF(C$4="","",C9)</f>
        <v>639</v>
      </c>
      <c r="D55" s="199">
        <f t="shared" si="25"/>
        <v>927</v>
      </c>
      <c r="E55" s="199">
        <f t="shared" si="25"/>
        <v>0</v>
      </c>
      <c r="F55" s="199">
        <f t="shared" si="25"/>
        <v>0</v>
      </c>
      <c r="G55" s="199">
        <f t="shared" si="25"/>
        <v>0</v>
      </c>
      <c r="H55" s="199" t="str">
        <f t="shared" si="25"/>
        <v/>
      </c>
      <c r="I55" s="199" t="str">
        <f t="shared" si="25"/>
        <v/>
      </c>
      <c r="J55" s="199" t="str">
        <f t="shared" si="25"/>
        <v/>
      </c>
      <c r="K55" s="199" t="str">
        <f t="shared" si="25"/>
        <v/>
      </c>
      <c r="L55" s="199" t="str">
        <f t="shared" si="25"/>
        <v/>
      </c>
      <c r="M55" s="199" t="str">
        <f t="shared" si="25"/>
        <v/>
      </c>
    </row>
    <row r="56" spans="2:13" x14ac:dyDescent="0.35">
      <c r="B56" s="41" t="s">
        <v>179</v>
      </c>
      <c r="C56" s="199">
        <f t="shared" ref="C56:M56" si="26">IF(C$4="","",C10)</f>
        <v>0</v>
      </c>
      <c r="D56" s="199">
        <f t="shared" si="26"/>
        <v>0</v>
      </c>
      <c r="E56" s="199">
        <f t="shared" si="26"/>
        <v>0</v>
      </c>
      <c r="F56" s="199">
        <f t="shared" si="26"/>
        <v>0</v>
      </c>
      <c r="G56" s="199">
        <f t="shared" si="26"/>
        <v>0</v>
      </c>
      <c r="H56" s="199" t="str">
        <f t="shared" si="26"/>
        <v/>
      </c>
      <c r="I56" s="199" t="str">
        <f t="shared" si="26"/>
        <v/>
      </c>
      <c r="J56" s="199" t="str">
        <f t="shared" si="26"/>
        <v/>
      </c>
      <c r="K56" s="199" t="str">
        <f t="shared" si="26"/>
        <v/>
      </c>
      <c r="L56" s="199" t="str">
        <f t="shared" si="26"/>
        <v/>
      </c>
      <c r="M56" s="199" t="str">
        <f t="shared" si="26"/>
        <v/>
      </c>
    </row>
    <row r="57" spans="2:13" x14ac:dyDescent="0.35">
      <c r="B57" s="41" t="s">
        <v>170</v>
      </c>
      <c r="C57" s="199">
        <f>IF(C$4="","",C11)</f>
        <v>0</v>
      </c>
      <c r="D57" s="199">
        <f t="shared" ref="D57:M57" si="27">IF(D$4="","",D11)</f>
        <v>0</v>
      </c>
      <c r="E57" s="199">
        <f t="shared" si="27"/>
        <v>0</v>
      </c>
      <c r="F57" s="199">
        <f t="shared" si="27"/>
        <v>0</v>
      </c>
      <c r="G57" s="199">
        <f t="shared" si="27"/>
        <v>0</v>
      </c>
      <c r="H57" s="199" t="str">
        <f t="shared" si="27"/>
        <v/>
      </c>
      <c r="I57" s="199" t="str">
        <f t="shared" si="27"/>
        <v/>
      </c>
      <c r="J57" s="199" t="str">
        <f t="shared" si="27"/>
        <v/>
      </c>
      <c r="K57" s="199" t="str">
        <f t="shared" si="27"/>
        <v/>
      </c>
      <c r="L57" s="199" t="str">
        <f t="shared" si="27"/>
        <v/>
      </c>
      <c r="M57" s="199" t="str">
        <f t="shared" si="27"/>
        <v/>
      </c>
    </row>
    <row r="58" spans="2:13" x14ac:dyDescent="0.35">
      <c r="B58" s="41" t="s">
        <v>172</v>
      </c>
      <c r="C58" s="199">
        <f>IF(C$4="","",C44-C55-C56-C57)</f>
        <v>247678</v>
      </c>
      <c r="D58" s="199">
        <f t="shared" ref="D58:M58" si="28">IF(D$4="","",D44-D55-D56-D57)</f>
        <v>189250</v>
      </c>
      <c r="E58" s="199">
        <f t="shared" si="28"/>
        <v>200697</v>
      </c>
      <c r="F58" s="199">
        <f t="shared" si="28"/>
        <v>281254</v>
      </c>
      <c r="G58" s="199">
        <f t="shared" si="28"/>
        <v>-97419</v>
      </c>
      <c r="H58" s="199" t="str">
        <f t="shared" si="28"/>
        <v/>
      </c>
      <c r="I58" s="199" t="str">
        <f t="shared" si="28"/>
        <v/>
      </c>
      <c r="J58" s="199" t="str">
        <f t="shared" si="28"/>
        <v/>
      </c>
      <c r="K58" s="199" t="str">
        <f t="shared" si="28"/>
        <v/>
      </c>
      <c r="L58" s="199" t="str">
        <f t="shared" si="28"/>
        <v/>
      </c>
      <c r="M58" s="199" t="str">
        <f t="shared" si="28"/>
        <v/>
      </c>
    </row>
    <row r="60" spans="2:13" x14ac:dyDescent="0.35">
      <c r="B60" s="16" t="s">
        <v>55</v>
      </c>
      <c r="C60" s="9"/>
    </row>
    <row r="61" spans="2:13" x14ac:dyDescent="0.35">
      <c r="B61" s="28" t="s">
        <v>51</v>
      </c>
      <c r="C61" s="194">
        <f t="shared" ref="C61:M61" si="29">IF(C$4="","",-C19)</f>
        <v>-463424</v>
      </c>
      <c r="D61" s="194">
        <f t="shared" si="29"/>
        <v>-371724</v>
      </c>
      <c r="E61" s="194">
        <f t="shared" si="29"/>
        <v>-435672</v>
      </c>
      <c r="F61" s="194">
        <f t="shared" si="29"/>
        <v>-520888</v>
      </c>
      <c r="G61" s="194">
        <f t="shared" si="29"/>
        <v>0</v>
      </c>
      <c r="H61" s="194" t="str">
        <f t="shared" si="29"/>
        <v/>
      </c>
      <c r="I61" s="194" t="str">
        <f t="shared" si="29"/>
        <v/>
      </c>
      <c r="J61" s="194" t="str">
        <f t="shared" si="29"/>
        <v/>
      </c>
      <c r="K61" s="194" t="str">
        <f t="shared" si="29"/>
        <v/>
      </c>
      <c r="L61" s="194" t="str">
        <f t="shared" si="29"/>
        <v/>
      </c>
      <c r="M61" s="194" t="str">
        <f t="shared" si="29"/>
        <v/>
      </c>
    </row>
    <row r="62" spans="2:13" x14ac:dyDescent="0.35">
      <c r="B62" s="28" t="s">
        <v>57</v>
      </c>
      <c r="C62" s="194">
        <f t="shared" ref="C62:M62" si="30">IF(C$4="","",-C20)</f>
        <v>-676387</v>
      </c>
      <c r="D62" s="194">
        <f t="shared" si="30"/>
        <v>-107280</v>
      </c>
      <c r="E62" s="194">
        <f t="shared" si="30"/>
        <v>-455483</v>
      </c>
      <c r="F62" s="194">
        <f t="shared" si="30"/>
        <v>-138937</v>
      </c>
      <c r="G62" s="194">
        <f t="shared" si="30"/>
        <v>0</v>
      </c>
      <c r="H62" s="194" t="str">
        <f t="shared" si="30"/>
        <v/>
      </c>
      <c r="I62" s="194" t="str">
        <f t="shared" si="30"/>
        <v/>
      </c>
      <c r="J62" s="194" t="str">
        <f t="shared" si="30"/>
        <v/>
      </c>
      <c r="K62" s="194" t="str">
        <f t="shared" si="30"/>
        <v/>
      </c>
      <c r="L62" s="194" t="str">
        <f t="shared" si="30"/>
        <v/>
      </c>
      <c r="M62" s="194" t="str">
        <f t="shared" si="30"/>
        <v/>
      </c>
    </row>
    <row r="63" spans="2:13" x14ac:dyDescent="0.35">
      <c r="B63" s="28" t="s">
        <v>56</v>
      </c>
      <c r="C63" s="194">
        <f t="shared" ref="C63:M63" si="31">IF(C$4="","",-C21)</f>
        <v>-626583</v>
      </c>
      <c r="D63" s="194">
        <f t="shared" si="31"/>
        <v>-352099</v>
      </c>
      <c r="E63" s="194">
        <f t="shared" si="31"/>
        <v>-1045251</v>
      </c>
      <c r="F63" s="194">
        <f t="shared" si="31"/>
        <v>818677</v>
      </c>
      <c r="G63" s="194">
        <f t="shared" si="31"/>
        <v>0</v>
      </c>
      <c r="H63" s="194" t="str">
        <f t="shared" si="31"/>
        <v/>
      </c>
      <c r="I63" s="194" t="str">
        <f t="shared" si="31"/>
        <v/>
      </c>
      <c r="J63" s="194" t="str">
        <f t="shared" si="31"/>
        <v/>
      </c>
      <c r="K63" s="194" t="str">
        <f t="shared" si="31"/>
        <v/>
      </c>
      <c r="L63" s="194" t="str">
        <f t="shared" si="31"/>
        <v/>
      </c>
      <c r="M63" s="194" t="str">
        <f t="shared" si="31"/>
        <v/>
      </c>
    </row>
    <row r="64" spans="2:13" x14ac:dyDescent="0.35">
      <c r="B64" s="25" t="s">
        <v>38</v>
      </c>
      <c r="C64" s="80">
        <f t="shared" ref="C64:M64" si="32">IF(C$4="","",C22)</f>
        <v>1.3599999999999999</v>
      </c>
      <c r="D64" s="80">
        <f t="shared" si="32"/>
        <v>1.1000000000000001</v>
      </c>
      <c r="E64" s="80">
        <f t="shared" si="32"/>
        <v>1.1000000000000001</v>
      </c>
      <c r="F64" s="80">
        <f t="shared" si="32"/>
        <v>1</v>
      </c>
      <c r="G64" s="80">
        <f t="shared" si="32"/>
        <v>1</v>
      </c>
      <c r="H64" s="80" t="str">
        <f t="shared" si="32"/>
        <v/>
      </c>
      <c r="I64" s="80" t="str">
        <f t="shared" si="32"/>
        <v/>
      </c>
      <c r="J64" s="80" t="str">
        <f t="shared" si="32"/>
        <v/>
      </c>
      <c r="K64" s="80" t="str">
        <f t="shared" si="32"/>
        <v/>
      </c>
      <c r="L64" s="80" t="str">
        <f t="shared" si="32"/>
        <v/>
      </c>
      <c r="M64" s="80" t="str">
        <f t="shared" si="32"/>
        <v/>
      </c>
    </row>
    <row r="66" spans="2:13" x14ac:dyDescent="0.35">
      <c r="B66" s="100" t="s">
        <v>95</v>
      </c>
    </row>
    <row r="67" spans="2:13" x14ac:dyDescent="0.35">
      <c r="B67" s="1" t="str">
        <f>B36</f>
        <v>Sales</v>
      </c>
      <c r="C67" s="101">
        <f t="shared" ref="C67:M67" si="33">IF(D$36="","",C36/D36-1)</f>
        <v>0.27952593137796744</v>
      </c>
      <c r="D67" s="101">
        <f t="shared" si="33"/>
        <v>2.0450249505806095E-2</v>
      </c>
      <c r="E67" s="101">
        <f t="shared" si="33"/>
        <v>0.32460887665346139</v>
      </c>
      <c r="F67" s="101">
        <f t="shared" si="33"/>
        <v>-0.21118785490642455</v>
      </c>
      <c r="G67" s="101" t="str">
        <f t="shared" si="33"/>
        <v/>
      </c>
      <c r="H67" s="101" t="str">
        <f t="shared" si="33"/>
        <v/>
      </c>
      <c r="I67" s="101" t="str">
        <f t="shared" si="33"/>
        <v/>
      </c>
      <c r="J67" s="101" t="str">
        <f t="shared" si="33"/>
        <v/>
      </c>
      <c r="K67" s="101" t="str">
        <f t="shared" si="33"/>
        <v/>
      </c>
      <c r="L67" s="101" t="str">
        <f t="shared" si="33"/>
        <v/>
      </c>
      <c r="M67" s="101" t="str">
        <f t="shared" si="33"/>
        <v/>
      </c>
    </row>
    <row r="68" spans="2:13" x14ac:dyDescent="0.35">
      <c r="B68" s="89" t="str">
        <f>B43</f>
        <v>Operating EBIT</v>
      </c>
      <c r="C68" s="111">
        <f t="shared" ref="C68:M68" si="34">IF(D$36="","",C37/D37-1)</f>
        <v>0.27484316281081789</v>
      </c>
      <c r="D68" s="111">
        <f t="shared" si="34"/>
        <v>2.8630254836090829E-2</v>
      </c>
      <c r="E68" s="111">
        <f t="shared" si="34"/>
        <v>0.36521892689379709</v>
      </c>
      <c r="F68" s="111">
        <f t="shared" si="34"/>
        <v>-0.21258803367720713</v>
      </c>
      <c r="G68" s="111" t="str">
        <f t="shared" si="34"/>
        <v/>
      </c>
      <c r="H68" s="111" t="str">
        <f t="shared" si="34"/>
        <v/>
      </c>
      <c r="I68" s="111" t="str">
        <f t="shared" si="34"/>
        <v/>
      </c>
      <c r="J68" s="111" t="str">
        <f t="shared" si="34"/>
        <v/>
      </c>
      <c r="K68" s="111" t="str">
        <f t="shared" si="34"/>
        <v/>
      </c>
      <c r="L68" s="111" t="str">
        <f t="shared" si="34"/>
        <v/>
      </c>
      <c r="M68" s="111" t="str">
        <f t="shared" si="34"/>
        <v/>
      </c>
    </row>
    <row r="69" spans="2:13" x14ac:dyDescent="0.35">
      <c r="B69" s="1" t="str">
        <f>B58</f>
        <v>Other Non-operating Income</v>
      </c>
      <c r="C69" s="101">
        <f t="shared" ref="C69:M69" si="35">IF(D$36="","",C38/D38-1)</f>
        <v>0.29220619013700166</v>
      </c>
      <c r="D69" s="101">
        <f t="shared" si="35"/>
        <v>-1.0606627998344109E-3</v>
      </c>
      <c r="E69" s="101">
        <f t="shared" si="35"/>
        <v>0.22851064557243328</v>
      </c>
      <c r="F69" s="101">
        <f t="shared" si="35"/>
        <v>-0.20785460213901807</v>
      </c>
      <c r="G69" s="101" t="str">
        <f t="shared" si="35"/>
        <v/>
      </c>
      <c r="H69" s="101" t="str">
        <f t="shared" si="35"/>
        <v/>
      </c>
      <c r="I69" s="101" t="str">
        <f t="shared" si="35"/>
        <v/>
      </c>
      <c r="J69" s="101" t="str">
        <f t="shared" si="35"/>
        <v/>
      </c>
      <c r="K69" s="101" t="str">
        <f t="shared" si="35"/>
        <v/>
      </c>
      <c r="L69" s="101" t="str">
        <f t="shared" si="35"/>
        <v/>
      </c>
      <c r="M69" s="101" t="str">
        <f t="shared" si="35"/>
        <v/>
      </c>
    </row>
    <row r="70" spans="2:13" x14ac:dyDescent="0.35">
      <c r="B70" s="89" t="str">
        <f>B47</f>
        <v>Reported Net Income</v>
      </c>
      <c r="C70" s="111">
        <f t="shared" ref="C70:M70" si="36">IF(D$36="","",C39/D39-1)</f>
        <v>0.23027981033619538</v>
      </c>
      <c r="D70" s="111">
        <f t="shared" si="36"/>
        <v>2.88709616106122E-2</v>
      </c>
      <c r="E70" s="111">
        <f t="shared" si="36"/>
        <v>7.1190571738822594E-2</v>
      </c>
      <c r="F70" s="111">
        <f t="shared" si="36"/>
        <v>-0.20005740582329201</v>
      </c>
      <c r="G70" s="111" t="str">
        <f t="shared" si="36"/>
        <v/>
      </c>
      <c r="H70" s="111" t="str">
        <f t="shared" si="36"/>
        <v/>
      </c>
      <c r="I70" s="111" t="str">
        <f t="shared" si="36"/>
        <v/>
      </c>
      <c r="J70" s="111" t="str">
        <f t="shared" si="36"/>
        <v/>
      </c>
      <c r="K70" s="111" t="str">
        <f t="shared" si="36"/>
        <v/>
      </c>
      <c r="L70" s="111" t="str">
        <f t="shared" si="36"/>
        <v/>
      </c>
      <c r="M70" s="111" t="str">
        <f t="shared" si="36"/>
        <v/>
      </c>
    </row>
    <row r="71" spans="2:13" x14ac:dyDescent="0.35">
      <c r="B71" s="1" t="str">
        <f>B48</f>
        <v>Non-controling Interests</v>
      </c>
      <c r="C71" s="101">
        <f>IF(D$36="","",C64/D64-1)</f>
        <v>0.23636363636363611</v>
      </c>
      <c r="D71" s="101">
        <f t="shared" ref="D71:M71" si="37">IF(E$36="","",D64/E64-1)</f>
        <v>0</v>
      </c>
      <c r="E71" s="101">
        <f t="shared" si="37"/>
        <v>0.10000000000000009</v>
      </c>
      <c r="F71" s="101">
        <f t="shared" si="37"/>
        <v>0</v>
      </c>
      <c r="G71" s="101" t="str">
        <f t="shared" si="37"/>
        <v/>
      </c>
      <c r="H71" s="101" t="str">
        <f t="shared" si="37"/>
        <v/>
      </c>
      <c r="I71" s="101" t="str">
        <f t="shared" si="37"/>
        <v/>
      </c>
      <c r="J71" s="101" t="str">
        <f t="shared" si="37"/>
        <v/>
      </c>
      <c r="K71" s="101" t="str">
        <f t="shared" si="37"/>
        <v/>
      </c>
      <c r="L71" s="101" t="str">
        <f t="shared" si="37"/>
        <v/>
      </c>
      <c r="M71" s="101" t="str">
        <f t="shared" si="37"/>
        <v/>
      </c>
    </row>
    <row r="73" spans="2:13" ht="13.9" x14ac:dyDescent="0.45">
      <c r="B73" s="37" t="s">
        <v>93</v>
      </c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</row>
    <row r="74" spans="2:13" x14ac:dyDescent="0.35">
      <c r="B74" s="16" t="s">
        <v>30</v>
      </c>
      <c r="C74" s="9"/>
    </row>
    <row r="75" spans="2:13" x14ac:dyDescent="0.35">
      <c r="B75" s="27" t="s">
        <v>4</v>
      </c>
      <c r="C75" s="83">
        <f>IF(C$4="","",C78+C79)</f>
        <v>16854064</v>
      </c>
      <c r="D75" s="83">
        <f t="shared" ref="D75:M75" si="38">IF(D$4="","",D78+D79)</f>
        <v>14687373</v>
      </c>
      <c r="E75" s="83">
        <f t="shared" si="38"/>
        <v>15987114</v>
      </c>
      <c r="F75" s="83">
        <f t="shared" si="38"/>
        <v>14270996</v>
      </c>
      <c r="G75" s="83">
        <f t="shared" si="38"/>
        <v>0</v>
      </c>
      <c r="H75" s="83" t="str">
        <f t="shared" si="38"/>
        <v/>
      </c>
      <c r="I75" s="83" t="str">
        <f t="shared" si="38"/>
        <v/>
      </c>
      <c r="J75" s="83" t="str">
        <f t="shared" si="38"/>
        <v/>
      </c>
      <c r="K75" s="83" t="str">
        <f t="shared" si="38"/>
        <v/>
      </c>
      <c r="L75" s="83" t="str">
        <f t="shared" si="38"/>
        <v/>
      </c>
      <c r="M75" s="83" t="str">
        <f t="shared" si="38"/>
        <v/>
      </c>
    </row>
    <row r="76" spans="2:13" x14ac:dyDescent="0.35">
      <c r="B76" s="102" t="s">
        <v>96</v>
      </c>
      <c r="C76" s="79">
        <f t="shared" ref="C76:H77" si="39">IF(C$4="","",C25)</f>
        <v>0</v>
      </c>
      <c r="D76" s="79">
        <f t="shared" si="39"/>
        <v>213823</v>
      </c>
      <c r="E76" s="79">
        <f t="shared" si="39"/>
        <v>187711</v>
      </c>
      <c r="F76" s="79">
        <f t="shared" si="39"/>
        <v>277338</v>
      </c>
      <c r="G76" s="79">
        <f t="shared" si="39"/>
        <v>0</v>
      </c>
      <c r="H76" s="79" t="str">
        <f t="shared" si="39"/>
        <v/>
      </c>
      <c r="I76" s="103"/>
      <c r="J76" s="103"/>
      <c r="K76" s="103"/>
      <c r="L76" s="103"/>
      <c r="M76" s="103"/>
    </row>
    <row r="77" spans="2:13" x14ac:dyDescent="0.35">
      <c r="B77" s="102" t="s">
        <v>97</v>
      </c>
      <c r="C77" s="79">
        <f t="shared" si="39"/>
        <v>0</v>
      </c>
      <c r="D77" s="79">
        <f t="shared" si="39"/>
        <v>8852611</v>
      </c>
      <c r="E77" s="79">
        <f t="shared" si="39"/>
        <v>8769304</v>
      </c>
      <c r="F77" s="79">
        <f t="shared" si="39"/>
        <v>7321614</v>
      </c>
      <c r="G77" s="79">
        <f t="shared" si="39"/>
        <v>0</v>
      </c>
      <c r="H77" s="79" t="str">
        <f t="shared" si="39"/>
        <v/>
      </c>
      <c r="I77" s="103"/>
      <c r="J77" s="103"/>
      <c r="K77" s="103"/>
      <c r="L77" s="103"/>
      <c r="M77" s="103"/>
    </row>
    <row r="78" spans="2:13" x14ac:dyDescent="0.35">
      <c r="B78" s="27" t="s">
        <v>42</v>
      </c>
      <c r="C78" s="59">
        <f t="shared" ref="C78:M78" si="40">IF(C$4="","",C27)</f>
        <v>3990166</v>
      </c>
      <c r="D78" s="59">
        <f t="shared" si="40"/>
        <v>2466431</v>
      </c>
      <c r="E78" s="59">
        <f t="shared" si="40"/>
        <v>3908586</v>
      </c>
      <c r="F78" s="59">
        <f t="shared" si="40"/>
        <v>2946772</v>
      </c>
      <c r="G78" s="59">
        <f t="shared" si="40"/>
        <v>0</v>
      </c>
      <c r="H78" s="59" t="str">
        <f t="shared" si="40"/>
        <v/>
      </c>
      <c r="I78" s="59" t="str">
        <f t="shared" si="40"/>
        <v/>
      </c>
      <c r="J78" s="59" t="str">
        <f t="shared" si="40"/>
        <v/>
      </c>
      <c r="K78" s="59" t="str">
        <f t="shared" si="40"/>
        <v/>
      </c>
      <c r="L78" s="59" t="str">
        <f t="shared" si="40"/>
        <v/>
      </c>
      <c r="M78" s="59" t="str">
        <f t="shared" si="40"/>
        <v/>
      </c>
    </row>
    <row r="79" spans="2:13" x14ac:dyDescent="0.35">
      <c r="B79" s="27" t="s">
        <v>32</v>
      </c>
      <c r="C79" s="59">
        <f t="shared" ref="C79:M79" si="41">IF(C$4="","",C28)</f>
        <v>12863898</v>
      </c>
      <c r="D79" s="59">
        <f t="shared" si="41"/>
        <v>12220942</v>
      </c>
      <c r="E79" s="59">
        <f t="shared" si="41"/>
        <v>12078528</v>
      </c>
      <c r="F79" s="59">
        <f t="shared" si="41"/>
        <v>11324224</v>
      </c>
      <c r="G79" s="59">
        <f t="shared" si="41"/>
        <v>0</v>
      </c>
      <c r="H79" s="59" t="str">
        <f t="shared" si="41"/>
        <v/>
      </c>
      <c r="I79" s="59" t="str">
        <f t="shared" si="41"/>
        <v/>
      </c>
      <c r="J79" s="59" t="str">
        <f t="shared" si="41"/>
        <v/>
      </c>
      <c r="K79" s="59" t="str">
        <f t="shared" si="41"/>
        <v/>
      </c>
      <c r="L79" s="59" t="str">
        <f t="shared" si="41"/>
        <v/>
      </c>
      <c r="M79" s="59" t="str">
        <f t="shared" si="41"/>
        <v/>
      </c>
    </row>
  </sheetData>
  <phoneticPr fontId="2" type="noConversion"/>
  <conditionalFormatting sqref="C4:M16 C19:M22 C32:M32 C39:M43 C45:M48 C51:M52 C55:M58 C76:H77 C78:M79">
    <cfRule type="expression" dxfId="5" priority="4">
      <formula>ISBLANK(C4)</formula>
    </cfRule>
  </conditionalFormatting>
  <conditionalFormatting sqref="C25:M29">
    <cfRule type="expression" dxfId="4" priority="1">
      <formula>ISBLANK(C25)</formula>
    </cfRule>
  </conditionalFormatting>
  <conditionalFormatting sqref="C36:M37 C61:M64">
    <cfRule type="expression" dxfId="3" priority="2">
      <formula>ISBLANK(C36)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87"/>
  <sheetViews>
    <sheetView showGridLines="0" topLeftCell="A52" zoomScaleNormal="100" workbookViewId="0">
      <selection activeCell="G74" sqref="G74"/>
    </sheetView>
  </sheetViews>
  <sheetFormatPr defaultColWidth="12.33203125" defaultRowHeight="15" customHeight="1" x14ac:dyDescent="0.35"/>
  <cols>
    <col min="1" max="1" width="2.33203125" style="1" customWidth="1"/>
    <col min="2" max="2" width="34" style="1" bestFit="1" customWidth="1"/>
    <col min="3" max="4" width="18.6640625" style="1" customWidth="1"/>
    <col min="5" max="5" width="5.6640625" style="1" customWidth="1"/>
    <col min="6" max="6" width="25.33203125" style="1" bestFit="1" customWidth="1"/>
    <col min="7" max="8" width="18.6640625" style="1" customWidth="1"/>
    <col min="9" max="16384" width="12.33203125" style="1"/>
  </cols>
  <sheetData>
    <row r="1" spans="2:8" ht="15" customHeight="1" x14ac:dyDescent="0.35">
      <c r="B1" s="19" t="s">
        <v>39</v>
      </c>
      <c r="C1" s="109">
        <v>45473</v>
      </c>
      <c r="F1" s="95" t="str">
        <f>IF(MONTH(C1)=MONTH(Normalized_FCF!G1),"FY","Quarter")&amp;" Report"</f>
        <v>Quarter Report</v>
      </c>
      <c r="H1" s="117">
        <f>Data!C3</f>
        <v>1000</v>
      </c>
    </row>
    <row r="2" spans="2:8" ht="15" customHeight="1" x14ac:dyDescent="0.35">
      <c r="B2" s="88" t="s">
        <v>168</v>
      </c>
      <c r="C2" s="38"/>
      <c r="D2" s="38"/>
      <c r="E2" s="38"/>
      <c r="F2" s="38"/>
      <c r="G2" s="38"/>
      <c r="H2" s="38"/>
    </row>
    <row r="3" spans="2:8" ht="15" customHeight="1" x14ac:dyDescent="0.35">
      <c r="B3" s="16" t="s">
        <v>196</v>
      </c>
      <c r="C3" s="217" t="s">
        <v>148</v>
      </c>
      <c r="D3" s="218" t="s">
        <v>37</v>
      </c>
      <c r="F3" s="16" t="s">
        <v>197</v>
      </c>
      <c r="G3" s="217" t="s">
        <v>148</v>
      </c>
      <c r="H3" s="218" t="s">
        <v>37</v>
      </c>
    </row>
    <row r="4" spans="2:8" ht="15" customHeight="1" x14ac:dyDescent="0.35">
      <c r="B4" s="4" t="s">
        <v>26</v>
      </c>
      <c r="C4" s="20">
        <v>265773</v>
      </c>
      <c r="D4" s="91">
        <v>0.6</v>
      </c>
      <c r="E4" s="26"/>
      <c r="F4" s="4" t="s">
        <v>84</v>
      </c>
      <c r="G4" s="20">
        <v>1998219</v>
      </c>
      <c r="H4" s="91">
        <v>0.9</v>
      </c>
    </row>
    <row r="5" spans="2:8" ht="15" customHeight="1" x14ac:dyDescent="0.35">
      <c r="B5" s="1" t="s">
        <v>35</v>
      </c>
      <c r="C5" s="20">
        <v>0</v>
      </c>
      <c r="D5" s="91">
        <v>0.6</v>
      </c>
      <c r="E5" s="26"/>
      <c r="F5" s="1" t="s">
        <v>31</v>
      </c>
      <c r="G5" s="20">
        <v>0</v>
      </c>
      <c r="H5" s="91">
        <v>0.7</v>
      </c>
    </row>
    <row r="6" spans="2:8" ht="15" customHeight="1" x14ac:dyDescent="0.35">
      <c r="B6" s="4" t="s">
        <v>11</v>
      </c>
      <c r="C6" s="20">
        <v>9672256</v>
      </c>
      <c r="D6" s="91">
        <v>0.5</v>
      </c>
      <c r="E6" s="26"/>
      <c r="F6" s="4" t="s">
        <v>189</v>
      </c>
      <c r="G6" s="20">
        <v>0</v>
      </c>
      <c r="H6" s="91">
        <v>0.6</v>
      </c>
    </row>
    <row r="7" spans="2:8" ht="15" customHeight="1" x14ac:dyDescent="0.35">
      <c r="B7" s="1" t="s">
        <v>74</v>
      </c>
      <c r="C7" s="20">
        <v>0</v>
      </c>
      <c r="D7" s="91">
        <v>0.6</v>
      </c>
      <c r="E7" s="26"/>
      <c r="F7" s="4" t="s">
        <v>190</v>
      </c>
      <c r="G7" s="20">
        <v>0</v>
      </c>
      <c r="H7" s="91">
        <v>0.6</v>
      </c>
    </row>
    <row r="8" spans="2:8" ht="15" customHeight="1" x14ac:dyDescent="0.35">
      <c r="B8" s="1" t="s">
        <v>185</v>
      </c>
      <c r="C8" s="20">
        <v>0</v>
      </c>
      <c r="D8" s="91">
        <v>0.6</v>
      </c>
      <c r="E8" s="26"/>
      <c r="F8" s="1" t="s">
        <v>191</v>
      </c>
      <c r="G8" s="20">
        <v>0</v>
      </c>
      <c r="H8" s="91">
        <v>0.6</v>
      </c>
    </row>
    <row r="9" spans="2:8" ht="15" customHeight="1" x14ac:dyDescent="0.35">
      <c r="B9" s="4" t="s">
        <v>27</v>
      </c>
      <c r="C9" s="20">
        <v>366595</v>
      </c>
      <c r="D9" s="91">
        <v>0.1</v>
      </c>
      <c r="E9" s="26"/>
      <c r="F9" s="4" t="s">
        <v>192</v>
      </c>
      <c r="G9" s="20">
        <v>0</v>
      </c>
      <c r="H9" s="91">
        <v>0.6</v>
      </c>
    </row>
    <row r="10" spans="2:8" ht="15" customHeight="1" x14ac:dyDescent="0.35">
      <c r="B10" s="4" t="s">
        <v>12</v>
      </c>
      <c r="C10" s="20">
        <v>29465</v>
      </c>
      <c r="D10" s="91">
        <v>0.9</v>
      </c>
    </row>
    <row r="11" spans="2:8" ht="15" customHeight="1" x14ac:dyDescent="0.35">
      <c r="B11" s="4" t="s">
        <v>13</v>
      </c>
      <c r="C11" s="20">
        <v>0</v>
      </c>
      <c r="D11" s="91">
        <v>0.05</v>
      </c>
    </row>
    <row r="12" spans="2:8" ht="15" customHeight="1" x14ac:dyDescent="0.35">
      <c r="B12" s="89" t="s">
        <v>77</v>
      </c>
      <c r="C12" s="90">
        <f>SUM(C4:C11)</f>
        <v>10334089</v>
      </c>
      <c r="D12" s="21">
        <f>C4*D4+C5*D5+C9*D9+C6*D6+C8*D8+C7*D7+C10*D10+C11*D11</f>
        <v>5058769.8</v>
      </c>
      <c r="F12" s="89" t="s">
        <v>75</v>
      </c>
      <c r="G12" s="90">
        <f>SUM(G4:G9)</f>
        <v>1998219</v>
      </c>
      <c r="H12" s="21">
        <f>G4*H4+G5*H5+G6*H6+G7*H7+G8*H8+G9*H9</f>
        <v>1798397.1</v>
      </c>
    </row>
    <row r="13" spans="2:8" ht="15" customHeight="1" x14ac:dyDescent="0.35">
      <c r="F13" s="89"/>
      <c r="G13" s="90"/>
      <c r="H13" s="21"/>
    </row>
    <row r="14" spans="2:8" ht="15" customHeight="1" x14ac:dyDescent="0.35">
      <c r="B14" s="16" t="s">
        <v>195</v>
      </c>
      <c r="C14" s="217" t="s">
        <v>148</v>
      </c>
      <c r="D14" s="218" t="s">
        <v>37</v>
      </c>
      <c r="F14" s="16" t="s">
        <v>198</v>
      </c>
      <c r="G14" s="217" t="s">
        <v>148</v>
      </c>
      <c r="H14" s="218" t="s">
        <v>37</v>
      </c>
    </row>
    <row r="15" spans="2:8" ht="15" customHeight="1" x14ac:dyDescent="0.35">
      <c r="B15" s="4" t="s">
        <v>78</v>
      </c>
      <c r="C15" s="20">
        <v>103050</v>
      </c>
      <c r="D15" s="91">
        <v>0.4</v>
      </c>
      <c r="F15" s="4" t="s">
        <v>85</v>
      </c>
      <c r="G15" s="20">
        <v>0</v>
      </c>
      <c r="H15" s="91">
        <v>0.8</v>
      </c>
    </row>
    <row r="16" spans="2:8" ht="15" customHeight="1" x14ac:dyDescent="0.35">
      <c r="B16" s="1" t="s">
        <v>36</v>
      </c>
      <c r="C16" s="20">
        <v>0</v>
      </c>
      <c r="D16" s="91">
        <v>0.5</v>
      </c>
      <c r="F16" s="4" t="s">
        <v>189</v>
      </c>
      <c r="G16" s="20">
        <v>0</v>
      </c>
      <c r="H16" s="91">
        <v>0.6</v>
      </c>
    </row>
    <row r="17" spans="2:8" ht="15" customHeight="1" x14ac:dyDescent="0.35">
      <c r="B17" s="1" t="s">
        <v>74</v>
      </c>
      <c r="C17" s="20">
        <v>0</v>
      </c>
      <c r="D17" s="91">
        <v>0.6</v>
      </c>
      <c r="F17" s="4" t="s">
        <v>190</v>
      </c>
      <c r="G17" s="20">
        <v>0</v>
      </c>
      <c r="H17" s="91">
        <v>0.6</v>
      </c>
    </row>
    <row r="18" spans="2:8" ht="15" customHeight="1" x14ac:dyDescent="0.35">
      <c r="B18" s="4" t="s">
        <v>185</v>
      </c>
      <c r="C18" s="20">
        <v>0</v>
      </c>
      <c r="D18" s="91">
        <v>0.6</v>
      </c>
      <c r="F18" s="4" t="s">
        <v>193</v>
      </c>
      <c r="G18" s="20">
        <v>0</v>
      </c>
      <c r="H18" s="91">
        <v>0.1</v>
      </c>
    </row>
    <row r="19" spans="2:8" ht="15" customHeight="1" x14ac:dyDescent="0.35">
      <c r="B19" s="4" t="s">
        <v>28</v>
      </c>
      <c r="C19" s="20">
        <v>2522337</v>
      </c>
      <c r="D19" s="91">
        <v>0.1</v>
      </c>
      <c r="F19" s="4" t="s">
        <v>194</v>
      </c>
      <c r="G19" s="20">
        <v>0</v>
      </c>
      <c r="H19" s="91">
        <v>0.1</v>
      </c>
    </row>
    <row r="20" spans="2:8" ht="15" customHeight="1" x14ac:dyDescent="0.35">
      <c r="B20" s="4" t="s">
        <v>19</v>
      </c>
      <c r="C20" s="20">
        <v>0</v>
      </c>
      <c r="D20" s="91">
        <v>0.05</v>
      </c>
      <c r="F20" s="4" t="s">
        <v>191</v>
      </c>
      <c r="G20" s="20">
        <v>0</v>
      </c>
      <c r="H20" s="91">
        <v>0.2</v>
      </c>
    </row>
    <row r="21" spans="2:8" ht="15" customHeight="1" x14ac:dyDescent="0.35">
      <c r="B21" s="4" t="s">
        <v>20</v>
      </c>
      <c r="C21" s="20">
        <v>538321</v>
      </c>
      <c r="D21" s="91">
        <v>0.05</v>
      </c>
      <c r="F21" s="1" t="s">
        <v>192</v>
      </c>
      <c r="G21" s="20">
        <v>925726</v>
      </c>
      <c r="H21" s="91">
        <v>0.1</v>
      </c>
    </row>
    <row r="22" spans="2:8" ht="15" customHeight="1" x14ac:dyDescent="0.35">
      <c r="B22" s="4" t="s">
        <v>21</v>
      </c>
      <c r="C22" s="20">
        <v>154648</v>
      </c>
      <c r="D22" s="91">
        <v>0.9</v>
      </c>
    </row>
    <row r="23" spans="2:8" ht="15" customHeight="1" x14ac:dyDescent="0.35">
      <c r="B23" s="4" t="s">
        <v>22</v>
      </c>
      <c r="C23" s="20">
        <v>277674</v>
      </c>
      <c r="D23" s="91">
        <v>0</v>
      </c>
    </row>
    <row r="24" spans="2:8" ht="15" customHeight="1" x14ac:dyDescent="0.35">
      <c r="B24" s="89" t="s">
        <v>79</v>
      </c>
      <c r="C24" s="90">
        <f>SUM(C15:C23)</f>
        <v>3596030</v>
      </c>
      <c r="D24" s="21">
        <f>C15*D15+C16*D16+C18*D18+C17*D17+C19*D19+C20*D20+C21*D21+C22*D22+C23*D23</f>
        <v>459552.95</v>
      </c>
      <c r="F24" s="89" t="s">
        <v>76</v>
      </c>
      <c r="G24" s="90">
        <f>SUM(G15:G21)</f>
        <v>925726</v>
      </c>
      <c r="H24" s="21">
        <f>G15*H15+G16*H16+G17*H17+G18*H18+G19*H19+G20*H20+G21*H21</f>
        <v>92572.6</v>
      </c>
    </row>
    <row r="26" spans="2:8" ht="15" customHeight="1" x14ac:dyDescent="0.35">
      <c r="B26" s="16" t="s">
        <v>213</v>
      </c>
      <c r="C26" s="217" t="s">
        <v>148</v>
      </c>
      <c r="F26" s="219" t="s">
        <v>209</v>
      </c>
      <c r="G26" s="220" t="s">
        <v>148</v>
      </c>
      <c r="H26" s="221" t="s">
        <v>37</v>
      </c>
    </row>
    <row r="27" spans="2:8" ht="15" customHeight="1" x14ac:dyDescent="0.35">
      <c r="B27" s="4" t="s">
        <v>6</v>
      </c>
      <c r="C27" s="20">
        <v>1427805</v>
      </c>
      <c r="F27" s="222" t="s">
        <v>32</v>
      </c>
      <c r="G27" s="94">
        <f>G32-G30</f>
        <v>12863898</v>
      </c>
      <c r="H27" s="223">
        <f>H32-G30</f>
        <v>3419126.45</v>
      </c>
    </row>
    <row r="28" spans="2:8" ht="15" customHeight="1" x14ac:dyDescent="0.35">
      <c r="B28" s="4" t="s">
        <v>7</v>
      </c>
      <c r="C28" s="20">
        <v>287697</v>
      </c>
      <c r="F28" s="224" t="s">
        <v>262</v>
      </c>
      <c r="G28" s="192">
        <v>-26962</v>
      </c>
      <c r="H28" s="223"/>
    </row>
    <row r="29" spans="2:8" ht="15" customHeight="1" x14ac:dyDescent="0.35">
      <c r="B29" s="4" t="s">
        <v>8</v>
      </c>
      <c r="C29" s="20">
        <v>0</v>
      </c>
      <c r="F29" s="225" t="s">
        <v>81</v>
      </c>
      <c r="G29" s="14">
        <f>G27-G28</f>
        <v>12890860</v>
      </c>
      <c r="H29" s="223">
        <f>H27-G28</f>
        <v>3446088.45</v>
      </c>
    </row>
    <row r="30" spans="2:8" ht="15" customHeight="1" x14ac:dyDescent="0.35">
      <c r="B30" s="2" t="s">
        <v>9</v>
      </c>
      <c r="C30" s="20">
        <v>0</v>
      </c>
      <c r="F30" s="222" t="s">
        <v>24</v>
      </c>
      <c r="G30" s="94">
        <f>C33+C42</f>
        <v>3990166</v>
      </c>
      <c r="H30" s="223"/>
    </row>
    <row r="31" spans="2:8" ht="15" customHeight="1" x14ac:dyDescent="0.35">
      <c r="B31" s="89" t="s">
        <v>216</v>
      </c>
      <c r="C31" s="90">
        <f>SUM(C27:C30)</f>
        <v>1715502</v>
      </c>
      <c r="F31" s="225" t="s">
        <v>82</v>
      </c>
      <c r="G31" s="226">
        <f>C31+C40</f>
        <v>1715502</v>
      </c>
      <c r="H31" s="223"/>
    </row>
    <row r="32" spans="2:8" ht="15" customHeight="1" x14ac:dyDescent="0.35">
      <c r="B32" s="4" t="s">
        <v>10</v>
      </c>
      <c r="C32" s="22">
        <f>C33-C31</f>
        <v>1801307</v>
      </c>
      <c r="F32" s="227" t="s">
        <v>80</v>
      </c>
      <c r="G32" s="228">
        <f>G35+G40</f>
        <v>16854064</v>
      </c>
      <c r="H32" s="223">
        <f>H35+H40</f>
        <v>7409292.4500000002</v>
      </c>
    </row>
    <row r="33" spans="2:8" ht="15" customHeight="1" x14ac:dyDescent="0.35">
      <c r="B33" s="92" t="s">
        <v>5</v>
      </c>
      <c r="C33" s="93">
        <v>3516809</v>
      </c>
      <c r="F33" s="229"/>
      <c r="G33" s="2"/>
      <c r="H33" s="230"/>
    </row>
    <row r="34" spans="2:8" ht="15" customHeight="1" x14ac:dyDescent="0.35">
      <c r="B34" s="92"/>
      <c r="C34" s="93"/>
      <c r="F34" s="231" t="s">
        <v>215</v>
      </c>
      <c r="G34" s="232" t="s">
        <v>148</v>
      </c>
      <c r="H34" s="233" t="s">
        <v>37</v>
      </c>
    </row>
    <row r="35" spans="2:8" ht="15" customHeight="1" x14ac:dyDescent="0.35">
      <c r="B35" s="16" t="s">
        <v>214</v>
      </c>
      <c r="C35" s="217" t="s">
        <v>148</v>
      </c>
      <c r="F35" s="234" t="s">
        <v>33</v>
      </c>
      <c r="G35" s="228">
        <f>C12+C24</f>
        <v>13930119</v>
      </c>
      <c r="H35" s="235">
        <f>D12+D24</f>
        <v>5518322.75</v>
      </c>
    </row>
    <row r="36" spans="2:8" ht="15" customHeight="1" x14ac:dyDescent="0.35">
      <c r="B36" s="4" t="s">
        <v>14</v>
      </c>
      <c r="C36" s="20">
        <v>0</v>
      </c>
      <c r="F36" s="225" t="s">
        <v>210</v>
      </c>
      <c r="G36" s="226">
        <f>C4+C15</f>
        <v>368823</v>
      </c>
      <c r="H36" s="230"/>
    </row>
    <row r="37" spans="2:8" ht="15" customHeight="1" x14ac:dyDescent="0.35">
      <c r="B37" s="4" t="s">
        <v>15</v>
      </c>
      <c r="C37" s="20">
        <v>0</v>
      </c>
      <c r="F37" s="225" t="s">
        <v>211</v>
      </c>
      <c r="G37" s="226">
        <f>C6</f>
        <v>9672256</v>
      </c>
      <c r="H37" s="230"/>
    </row>
    <row r="38" spans="2:8" ht="15" customHeight="1" x14ac:dyDescent="0.35">
      <c r="B38" s="4" t="s">
        <v>16</v>
      </c>
      <c r="C38" s="20">
        <v>319420</v>
      </c>
      <c r="F38" s="225" t="s">
        <v>212</v>
      </c>
      <c r="G38" s="226">
        <f>C7+C17</f>
        <v>0</v>
      </c>
      <c r="H38" s="230"/>
    </row>
    <row r="39" spans="2:8" ht="15" customHeight="1" x14ac:dyDescent="0.35">
      <c r="B39" s="2" t="s">
        <v>17</v>
      </c>
      <c r="C39" s="20">
        <v>0</v>
      </c>
      <c r="F39" s="225" t="s">
        <v>88</v>
      </c>
      <c r="G39" s="226">
        <f>C7+C17+C19+C20</f>
        <v>2522337</v>
      </c>
      <c r="H39" s="223">
        <f>C7*D7+C17*D17+C19*D19+C20*D20</f>
        <v>252233.7</v>
      </c>
    </row>
    <row r="40" spans="2:8" ht="15" customHeight="1" x14ac:dyDescent="0.35">
      <c r="B40" s="89" t="s">
        <v>217</v>
      </c>
      <c r="C40" s="90">
        <v>0</v>
      </c>
      <c r="F40" s="234" t="s">
        <v>150</v>
      </c>
      <c r="G40" s="228">
        <f>G12+G24</f>
        <v>2923945</v>
      </c>
      <c r="H40" s="235">
        <f>H12+H24</f>
        <v>1890969.7000000002</v>
      </c>
    </row>
    <row r="41" spans="2:8" ht="15" customHeight="1" x14ac:dyDescent="0.35">
      <c r="B41" s="4" t="s">
        <v>18</v>
      </c>
      <c r="C41" s="22">
        <f>C42-C40</f>
        <v>473357</v>
      </c>
      <c r="F41" s="225" t="s">
        <v>203</v>
      </c>
      <c r="G41" s="226">
        <f>C70</f>
        <v>1998219</v>
      </c>
      <c r="H41" s="235">
        <f>H40-H42</f>
        <v>1798397.1</v>
      </c>
    </row>
    <row r="42" spans="2:8" ht="15" customHeight="1" x14ac:dyDescent="0.35">
      <c r="B42" s="92" t="s">
        <v>23</v>
      </c>
      <c r="C42" s="93">
        <v>473357</v>
      </c>
      <c r="F42" s="236" t="s">
        <v>204</v>
      </c>
      <c r="G42" s="237">
        <f>C80</f>
        <v>925726</v>
      </c>
      <c r="H42" s="238">
        <f>D80</f>
        <v>92572.6</v>
      </c>
    </row>
    <row r="44" spans="2:8" ht="15" customHeight="1" x14ac:dyDescent="0.35">
      <c r="B44" s="88" t="s">
        <v>107</v>
      </c>
      <c r="C44" s="38"/>
      <c r="D44" s="38"/>
      <c r="E44" s="38"/>
      <c r="F44" s="38"/>
      <c r="G44" s="38"/>
      <c r="H44" s="38"/>
    </row>
    <row r="45" spans="2:8" ht="15" customHeight="1" x14ac:dyDescent="0.35">
      <c r="B45" s="16" t="s">
        <v>301</v>
      </c>
      <c r="C45" s="278" t="s">
        <v>148</v>
      </c>
      <c r="D45" s="217" t="s">
        <v>302</v>
      </c>
      <c r="F45" s="316" t="s">
        <v>64</v>
      </c>
    </row>
    <row r="46" spans="2:8" ht="15" customHeight="1" x14ac:dyDescent="0.35">
      <c r="B46" s="1" t="s">
        <v>304</v>
      </c>
      <c r="C46" s="199">
        <f>G29</f>
        <v>12890860</v>
      </c>
      <c r="D46" s="199">
        <f>H29</f>
        <v>3446088.45</v>
      </c>
      <c r="F46" s="303"/>
    </row>
    <row r="47" spans="2:8" ht="15" customHeight="1" x14ac:dyDescent="0.35">
      <c r="B47" s="1" t="str">
        <f>"Equity per share ("&amp;Market_currency&amp;")"</f>
        <v>Equity per share (HKD)</v>
      </c>
      <c r="C47" s="158">
        <f>C46*H1/Common_Shares*Exchange_Rate</f>
        <v>21.956545121990789</v>
      </c>
      <c r="D47" s="158">
        <f>D46*H1/Common_Shares*Exchange_Rate</f>
        <v>5.8696003638854428</v>
      </c>
      <c r="F47" s="303"/>
    </row>
    <row r="48" spans="2:8" ht="15" customHeight="1" x14ac:dyDescent="0.35">
      <c r="F48" s="303"/>
    </row>
    <row r="49" spans="2:8" ht="15" customHeight="1" x14ac:dyDescent="0.35">
      <c r="B49" s="169" t="s">
        <v>155</v>
      </c>
      <c r="C49" s="279" t="s">
        <v>62</v>
      </c>
      <c r="D49" s="232" t="s">
        <v>106</v>
      </c>
      <c r="E49" s="2"/>
      <c r="F49" s="303"/>
    </row>
    <row r="50" spans="2:8" ht="15" customHeight="1" x14ac:dyDescent="0.35">
      <c r="B50" s="8" t="s">
        <v>104</v>
      </c>
      <c r="C50" s="105">
        <f>G31/Normalized_FCF!C8</f>
        <v>1.2266425127543255</v>
      </c>
      <c r="D50" s="105">
        <f>G31/Normalized_FCF!G8</f>
        <v>0.91407005535565566</v>
      </c>
      <c r="F50" s="303"/>
    </row>
    <row r="51" spans="2:8" ht="15" customHeight="1" x14ac:dyDescent="0.35">
      <c r="B51" s="1" t="s">
        <v>188</v>
      </c>
      <c r="C51" s="216"/>
      <c r="D51" s="101">
        <f>G29/G32</f>
        <v>0.76485172952944758</v>
      </c>
      <c r="F51" s="303"/>
    </row>
    <row r="52" spans="2:8" ht="15" customHeight="1" x14ac:dyDescent="0.35">
      <c r="F52" s="303"/>
    </row>
    <row r="53" spans="2:8" ht="15" customHeight="1" x14ac:dyDescent="0.35">
      <c r="B53" s="169" t="s">
        <v>154</v>
      </c>
      <c r="C53" s="279" t="s">
        <v>62</v>
      </c>
      <c r="D53" s="232" t="s">
        <v>106</v>
      </c>
      <c r="F53" s="303"/>
    </row>
    <row r="54" spans="2:8" ht="15" customHeight="1" x14ac:dyDescent="0.35">
      <c r="B54" s="1" t="s">
        <v>151</v>
      </c>
      <c r="C54" s="101">
        <f>Normalized_FCF!C8/G35</f>
        <v>0.10039645772788393</v>
      </c>
      <c r="D54" s="101">
        <f>Normalized_FCF!G8/G35</f>
        <v>0.13472770763839131</v>
      </c>
      <c r="F54" s="303"/>
    </row>
    <row r="55" spans="2:8" ht="15" customHeight="1" x14ac:dyDescent="0.35">
      <c r="B55" s="1" t="s">
        <v>153</v>
      </c>
      <c r="C55" s="101">
        <f>Normalized_FCF!C11/G40</f>
        <v>0</v>
      </c>
      <c r="D55" s="101">
        <f>Normalized_FCF!G11/G40</f>
        <v>2.1854036242131779E-4</v>
      </c>
      <c r="F55" s="303"/>
    </row>
    <row r="56" spans="2:8" ht="15" customHeight="1" x14ac:dyDescent="0.35">
      <c r="F56" s="303"/>
    </row>
    <row r="57" spans="2:8" ht="15" customHeight="1" x14ac:dyDescent="0.35">
      <c r="B57" s="169" t="s">
        <v>187</v>
      </c>
      <c r="C57" s="279" t="s">
        <v>62</v>
      </c>
      <c r="D57" s="232" t="s">
        <v>106</v>
      </c>
      <c r="F57" s="303"/>
    </row>
    <row r="58" spans="2:8" ht="15" customHeight="1" x14ac:dyDescent="0.35">
      <c r="B58" s="2" t="s">
        <v>100</v>
      </c>
      <c r="C58" s="108"/>
      <c r="D58" s="24">
        <f>Normalized_FCF!G9/BS!$G$39</f>
        <v>0.1837280268259158</v>
      </c>
      <c r="F58" s="5"/>
    </row>
    <row r="59" spans="2:8" ht="15" customHeight="1" x14ac:dyDescent="0.35">
      <c r="B59" s="1" t="s">
        <v>103</v>
      </c>
      <c r="C59" s="108"/>
      <c r="D59" s="101">
        <f>G39/G32</f>
        <v>0.14965749507062509</v>
      </c>
      <c r="F59" s="303"/>
    </row>
    <row r="60" spans="2:8" ht="15" customHeight="1" x14ac:dyDescent="0.35">
      <c r="F60" s="303"/>
    </row>
    <row r="61" spans="2:8" ht="15" customHeight="1" x14ac:dyDescent="0.35">
      <c r="B61" s="169" t="s">
        <v>305</v>
      </c>
      <c r="C61" s="279" t="s">
        <v>149</v>
      </c>
      <c r="D61" s="232" t="s">
        <v>106</v>
      </c>
      <c r="F61" s="303"/>
    </row>
    <row r="62" spans="2:8" ht="15" customHeight="1" x14ac:dyDescent="0.35">
      <c r="B62" s="1" t="s">
        <v>263</v>
      </c>
      <c r="C62" s="101">
        <f>IF(G28&lt;=0,0,G28/G29)</f>
        <v>0</v>
      </c>
      <c r="D62" s="101">
        <f>G28/G29</f>
        <v>-2.0915594459950692E-3</v>
      </c>
      <c r="F62" s="303" t="s">
        <v>303</v>
      </c>
    </row>
    <row r="64" spans="2:8" ht="15" customHeight="1" x14ac:dyDescent="0.35">
      <c r="B64" s="88" t="s">
        <v>205</v>
      </c>
      <c r="C64" s="38"/>
      <c r="D64" s="38"/>
      <c r="E64" s="38"/>
      <c r="F64" s="38"/>
      <c r="G64" s="38"/>
      <c r="H64" s="38"/>
    </row>
    <row r="65" spans="2:6" ht="15" customHeight="1" x14ac:dyDescent="0.35">
      <c r="B65" s="16" t="s">
        <v>200</v>
      </c>
      <c r="C65" s="278" t="s">
        <v>148</v>
      </c>
      <c r="D65" s="218" t="s">
        <v>329</v>
      </c>
      <c r="F65" s="316" t="s">
        <v>64</v>
      </c>
    </row>
    <row r="66" spans="2:6" ht="15" customHeight="1" x14ac:dyDescent="0.35">
      <c r="B66" s="115" t="s">
        <v>199</v>
      </c>
      <c r="C66" s="21">
        <f>G4+G5+G15</f>
        <v>1998219</v>
      </c>
      <c r="D66" s="199">
        <f>C66+D74</f>
        <v>1116785.5502773244</v>
      </c>
      <c r="F66" s="5" t="s">
        <v>239</v>
      </c>
    </row>
    <row r="67" spans="2:6" ht="15" customHeight="1" x14ac:dyDescent="0.35">
      <c r="B67" s="115" t="s">
        <v>189</v>
      </c>
      <c r="C67" s="21">
        <f>G6+G16</f>
        <v>0</v>
      </c>
      <c r="F67" s="303"/>
    </row>
    <row r="68" spans="2:6" ht="15" customHeight="1" x14ac:dyDescent="0.35">
      <c r="B68" s="115" t="s">
        <v>193</v>
      </c>
      <c r="C68" s="21">
        <f>G18</f>
        <v>0</v>
      </c>
      <c r="F68" s="303"/>
    </row>
    <row r="69" spans="2:6" ht="15" customHeight="1" x14ac:dyDescent="0.35">
      <c r="B69" s="115" t="s">
        <v>191</v>
      </c>
      <c r="C69" s="21">
        <f>G8+G20</f>
        <v>0</v>
      </c>
      <c r="F69" s="303"/>
    </row>
    <row r="70" spans="2:6" ht="15" customHeight="1" x14ac:dyDescent="0.35">
      <c r="B70" s="89" t="s">
        <v>200</v>
      </c>
      <c r="C70" s="90">
        <f>SUM(C66:C69)</f>
        <v>1998219</v>
      </c>
      <c r="F70" s="303"/>
    </row>
    <row r="71" spans="2:6" ht="15" customHeight="1" x14ac:dyDescent="0.35">
      <c r="F71" s="303"/>
    </row>
    <row r="72" spans="2:6" ht="15" customHeight="1" x14ac:dyDescent="0.35">
      <c r="B72" s="306" t="s">
        <v>372</v>
      </c>
      <c r="C72" s="278" t="s">
        <v>106</v>
      </c>
      <c r="D72" s="217" t="s">
        <v>62</v>
      </c>
      <c r="F72" s="303"/>
    </row>
    <row r="73" spans="2:6" ht="15" customHeight="1" x14ac:dyDescent="0.35">
      <c r="B73" s="115" t="s">
        <v>371</v>
      </c>
      <c r="C73" s="199">
        <f>(Normalized_FCF!G25+Normalized_FCF!G35)/12</f>
        <v>-1120765.75</v>
      </c>
      <c r="D73" s="199">
        <f>(Normalized_FCF!C25+Normalized_FCF!C35)/12</f>
        <v>-881433.44972267561</v>
      </c>
      <c r="F73" s="303" t="s">
        <v>373</v>
      </c>
    </row>
    <row r="74" spans="2:6" ht="15" customHeight="1" x14ac:dyDescent="0.35">
      <c r="B74" s="89" t="s">
        <v>374</v>
      </c>
      <c r="C74" s="198">
        <f>C73*1</f>
        <v>-1120765.75</v>
      </c>
      <c r="D74" s="198">
        <f>D73*1</f>
        <v>-881433.44972267561</v>
      </c>
      <c r="F74" s="303" t="s">
        <v>376</v>
      </c>
    </row>
    <row r="75" spans="2:6" ht="15" customHeight="1" x14ac:dyDescent="0.35">
      <c r="F75" s="303"/>
    </row>
    <row r="76" spans="2:6" ht="15" customHeight="1" x14ac:dyDescent="0.35">
      <c r="B76" s="16" t="s">
        <v>201</v>
      </c>
      <c r="C76" s="278" t="s">
        <v>148</v>
      </c>
      <c r="D76" s="218" t="s">
        <v>37</v>
      </c>
      <c r="F76" s="303"/>
    </row>
    <row r="77" spans="2:6" ht="15" customHeight="1" x14ac:dyDescent="0.35">
      <c r="B77" s="115" t="s">
        <v>190</v>
      </c>
      <c r="C77" s="21">
        <f>G7+G17</f>
        <v>0</v>
      </c>
      <c r="D77" s="199">
        <f>G7*H7+G17*H17</f>
        <v>0</v>
      </c>
      <c r="F77" s="303"/>
    </row>
    <row r="78" spans="2:6" ht="15" customHeight="1" x14ac:dyDescent="0.35">
      <c r="B78" s="115" t="s">
        <v>194</v>
      </c>
      <c r="C78" s="21">
        <f>G19</f>
        <v>0</v>
      </c>
      <c r="D78" s="199">
        <f>G19*H19</f>
        <v>0</v>
      </c>
      <c r="F78" s="303"/>
    </row>
    <row r="79" spans="2:6" ht="15" customHeight="1" x14ac:dyDescent="0.35">
      <c r="B79" s="115" t="s">
        <v>192</v>
      </c>
      <c r="C79" s="21">
        <f>G9+G21</f>
        <v>925726</v>
      </c>
      <c r="D79" s="199">
        <f>G9*H9+G21*H21</f>
        <v>92572.6</v>
      </c>
      <c r="F79" s="303"/>
    </row>
    <row r="80" spans="2:6" ht="15" customHeight="1" x14ac:dyDescent="0.35">
      <c r="B80" s="89" t="s">
        <v>201</v>
      </c>
      <c r="C80" s="90">
        <f>SUM(C77:C79)</f>
        <v>925726</v>
      </c>
      <c r="D80" s="90">
        <f>SUM(D77:D79)</f>
        <v>92572.6</v>
      </c>
      <c r="F80" s="303"/>
    </row>
    <row r="82" spans="2:8" ht="15" customHeight="1" x14ac:dyDescent="0.35">
      <c r="B82" s="88" t="s">
        <v>332</v>
      </c>
      <c r="C82" s="38"/>
      <c r="D82" s="38"/>
      <c r="E82" s="38"/>
      <c r="F82" s="38"/>
      <c r="G82" s="38"/>
      <c r="H82" s="38"/>
    </row>
    <row r="83" spans="2:8" ht="15" customHeight="1" x14ac:dyDescent="0.35">
      <c r="B83" s="16" t="s">
        <v>333</v>
      </c>
      <c r="D83" s="288" t="s">
        <v>334</v>
      </c>
    </row>
    <row r="84" spans="2:8" ht="15" customHeight="1" x14ac:dyDescent="0.35">
      <c r="B84" s="285" t="s">
        <v>330</v>
      </c>
      <c r="C84" s="199">
        <f>-Valuation_Model!C7*Exchange_Rate</f>
        <v>-1715502</v>
      </c>
      <c r="D84" s="263">
        <f>C84*$H$1/Common_Shares</f>
        <v>-2.9219537773170638</v>
      </c>
      <c r="E84" s="287" t="str">
        <f>Market_currency</f>
        <v>HKD</v>
      </c>
    </row>
    <row r="85" spans="2:8" ht="15" customHeight="1" x14ac:dyDescent="0.35">
      <c r="B85" s="285" t="s">
        <v>331</v>
      </c>
      <c r="C85" s="199">
        <f>Valuation_Model!C8*Exchange_Rate</f>
        <v>1116785.5502773244</v>
      </c>
      <c r="D85" s="263">
        <f>C85*$H$1/Common_Shares</f>
        <v>1.9021812606956703</v>
      </c>
      <c r="E85" s="287" t="str">
        <f>Market_currency</f>
        <v>HKD</v>
      </c>
    </row>
    <row r="86" spans="2:8" ht="15" customHeight="1" x14ac:dyDescent="0.35">
      <c r="B86" s="286" t="s">
        <v>201</v>
      </c>
      <c r="C86" s="199">
        <f>Valuation_Model!C9*Exchange_Rate</f>
        <v>92572.6</v>
      </c>
      <c r="D86" s="263">
        <f>C86*$H$1/Common_Shares</f>
        <v>0.15767562978420405</v>
      </c>
      <c r="E86" s="287" t="str">
        <f>Market_currency</f>
        <v>HKD</v>
      </c>
    </row>
    <row r="87" spans="2:8" ht="15" customHeight="1" x14ac:dyDescent="0.35">
      <c r="B87" s="89" t="s">
        <v>335</v>
      </c>
      <c r="C87" s="198">
        <f>SUM(C84:C86)</f>
        <v>-506143.84972267563</v>
      </c>
      <c r="D87" s="289">
        <f>SUM(D84:D86)</f>
        <v>-0.86209688683718955</v>
      </c>
      <c r="E87" s="287" t="str">
        <f>Market_currency</f>
        <v>HKD</v>
      </c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803"/>
  <sheetViews>
    <sheetView showGridLines="0" zoomScale="90" zoomScaleNormal="90" workbookViewId="0">
      <pane xSplit="2" ySplit="1" topLeftCell="C11" activePane="bottomRight" state="frozen"/>
      <selection pane="topRight" activeCell="C1" sqref="C1"/>
      <selection pane="bottomLeft" activeCell="A2" sqref="A2"/>
      <selection pane="bottomRight" activeCell="G35" sqref="G35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6640625" style="2" customWidth="1"/>
    <col min="4" max="4" width="2.6640625" style="2" customWidth="1"/>
    <col min="5" max="5" width="25.1328125" style="2" customWidth="1"/>
    <col min="6" max="6" width="2.6640625" style="2" customWidth="1"/>
    <col min="7" max="17" width="20.6640625" style="2" customWidth="1"/>
    <col min="18" max="16384" width="12.33203125" style="2"/>
  </cols>
  <sheetData>
    <row r="1" spans="1:17" ht="15.75" customHeight="1" x14ac:dyDescent="0.35">
      <c r="A1" s="3"/>
      <c r="B1" s="99" t="str">
        <f>Thesis!C8</f>
        <v>HKD</v>
      </c>
      <c r="C1" s="54" t="s">
        <v>62</v>
      </c>
      <c r="D1" s="54"/>
      <c r="E1" s="54"/>
      <c r="F1" s="54"/>
      <c r="G1" s="39">
        <f>Data!C1</f>
        <v>45382</v>
      </c>
      <c r="H1" s="39">
        <f>EOMONTH(EDATE(G1,-12),0)</f>
        <v>45016</v>
      </c>
      <c r="I1" s="39">
        <f t="shared" ref="I1:Q1" si="0">EOMONTH(EDATE(H1,-12),0)</f>
        <v>44651</v>
      </c>
      <c r="J1" s="39">
        <f t="shared" si="0"/>
        <v>44286</v>
      </c>
      <c r="K1" s="39">
        <f t="shared" si="0"/>
        <v>43921</v>
      </c>
      <c r="L1" s="39">
        <f t="shared" si="0"/>
        <v>43555</v>
      </c>
      <c r="M1" s="39">
        <f t="shared" si="0"/>
        <v>43190</v>
      </c>
      <c r="N1" s="39">
        <f t="shared" si="0"/>
        <v>42825</v>
      </c>
      <c r="O1" s="39">
        <f t="shared" si="0"/>
        <v>42460</v>
      </c>
      <c r="P1" s="39">
        <f t="shared" si="0"/>
        <v>42094</v>
      </c>
      <c r="Q1" s="39">
        <f t="shared" si="0"/>
        <v>41729</v>
      </c>
    </row>
    <row r="2" spans="1:17" ht="15.75" customHeight="1" x14ac:dyDescent="0.5">
      <c r="A2" s="3"/>
      <c r="B2" s="55" t="s">
        <v>111</v>
      </c>
      <c r="C2" s="55"/>
      <c r="D2" s="57"/>
      <c r="E2" s="68" t="s">
        <v>64</v>
      </c>
      <c r="F2" s="57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3" spans="1:17" ht="15.75" customHeight="1" x14ac:dyDescent="0.35">
      <c r="A3" s="10"/>
      <c r="B3" s="16" t="s">
        <v>71</v>
      </c>
      <c r="C3" s="117">
        <f>Data!C3</f>
        <v>1000</v>
      </c>
      <c r="D3" s="9"/>
      <c r="F3" s="9"/>
      <c r="G3" s="9"/>
    </row>
    <row r="4" spans="1:17" ht="15.75" customHeight="1" x14ac:dyDescent="0.35">
      <c r="A4" s="10"/>
      <c r="B4" s="27" t="s">
        <v>3</v>
      </c>
      <c r="C4" s="204">
        <f>AVERAGE(G4:J4)</f>
        <v>11975736</v>
      </c>
      <c r="D4" s="58"/>
      <c r="E4" s="70"/>
      <c r="F4" s="58"/>
      <c r="G4" s="194">
        <f>Data!C36</f>
        <v>15325962</v>
      </c>
      <c r="H4" s="194">
        <f>Data!D36</f>
        <v>11977844</v>
      </c>
      <c r="I4" s="194">
        <f>Data!E36</f>
        <v>11737803</v>
      </c>
      <c r="J4" s="194">
        <f>Data!F36</f>
        <v>8861335</v>
      </c>
      <c r="K4" s="194">
        <f>Data!G36</f>
        <v>11233771</v>
      </c>
      <c r="L4" s="194" t="str">
        <f>Data!H36</f>
        <v/>
      </c>
      <c r="M4" s="194" t="str">
        <f>Data!I36</f>
        <v/>
      </c>
      <c r="N4" s="194" t="str">
        <f>Data!J36</f>
        <v/>
      </c>
      <c r="O4" s="194" t="str">
        <f>Data!K36</f>
        <v/>
      </c>
      <c r="P4" s="194" t="str">
        <f>Data!L36</f>
        <v/>
      </c>
      <c r="Q4" s="194" t="str">
        <f>Data!M36</f>
        <v/>
      </c>
    </row>
    <row r="5" spans="1:17" ht="15.75" customHeight="1" x14ac:dyDescent="0.35">
      <c r="A5" s="10"/>
      <c r="B5" s="2" t="s">
        <v>50</v>
      </c>
      <c r="C5" s="205">
        <f>C25</f>
        <v>-10274842.146672107</v>
      </c>
      <c r="E5" s="18"/>
      <c r="G5" s="194">
        <f t="shared" ref="G5:Q5" si="1">G25</f>
        <v>-13195082</v>
      </c>
      <c r="H5" s="194">
        <f t="shared" si="1"/>
        <v>-10265436</v>
      </c>
      <c r="I5" s="194">
        <f t="shared" si="1"/>
        <v>-9995269</v>
      </c>
      <c r="J5" s="194">
        <f t="shared" si="1"/>
        <v>-7641514</v>
      </c>
      <c r="K5" s="194">
        <f t="shared" si="1"/>
        <v>-9855851</v>
      </c>
      <c r="L5" s="194" t="str">
        <f t="shared" si="1"/>
        <v/>
      </c>
      <c r="M5" s="194" t="str">
        <f t="shared" si="1"/>
        <v/>
      </c>
      <c r="N5" s="194" t="str">
        <f t="shared" si="1"/>
        <v/>
      </c>
      <c r="O5" s="194" t="str">
        <f t="shared" si="1"/>
        <v/>
      </c>
      <c r="P5" s="194" t="str">
        <f t="shared" si="1"/>
        <v/>
      </c>
      <c r="Q5" s="194" t="str">
        <f t="shared" si="1"/>
        <v/>
      </c>
    </row>
    <row r="6" spans="1:17" ht="15.75" customHeight="1" x14ac:dyDescent="0.35">
      <c r="A6" s="10"/>
      <c r="B6" s="32" t="s">
        <v>52</v>
      </c>
      <c r="C6" s="195">
        <f>C4+C5</f>
        <v>1700893.8533278927</v>
      </c>
      <c r="E6" s="18"/>
      <c r="G6" s="195">
        <f>IF(G4="","",G4+G5)</f>
        <v>2130880</v>
      </c>
      <c r="H6" s="195">
        <f t="shared" ref="H6:Q6" si="2">IF(H4="","",H4+H5)</f>
        <v>1712408</v>
      </c>
      <c r="I6" s="195">
        <f t="shared" si="2"/>
        <v>1742534</v>
      </c>
      <c r="J6" s="195">
        <f t="shared" si="2"/>
        <v>1219821</v>
      </c>
      <c r="K6" s="195">
        <f t="shared" si="2"/>
        <v>1377920</v>
      </c>
      <c r="L6" s="195" t="str">
        <f t="shared" si="2"/>
        <v/>
      </c>
      <c r="M6" s="195" t="str">
        <f t="shared" si="2"/>
        <v/>
      </c>
      <c r="N6" s="195" t="str">
        <f t="shared" si="2"/>
        <v/>
      </c>
      <c r="O6" s="195" t="str">
        <f t="shared" si="2"/>
        <v/>
      </c>
      <c r="P6" s="195" t="str">
        <f t="shared" si="2"/>
        <v/>
      </c>
      <c r="Q6" s="195" t="str">
        <f t="shared" si="2"/>
        <v/>
      </c>
    </row>
    <row r="7" spans="1:17" ht="15.75" customHeight="1" x14ac:dyDescent="0.35">
      <c r="A7" s="10"/>
      <c r="B7" s="8" t="s">
        <v>49</v>
      </c>
      <c r="C7" s="205">
        <f>C35</f>
        <v>-302359.25</v>
      </c>
      <c r="E7" s="18"/>
      <c r="G7" s="205">
        <f t="shared" ref="G7:Q7" si="3">G35</f>
        <v>-254107</v>
      </c>
      <c r="H7" s="205">
        <f t="shared" si="3"/>
        <v>-349526</v>
      </c>
      <c r="I7" s="205">
        <f t="shared" si="3"/>
        <v>-323818</v>
      </c>
      <c r="J7" s="205">
        <f t="shared" si="3"/>
        <v>-281986</v>
      </c>
      <c r="K7" s="205">
        <f t="shared" si="3"/>
        <v>-173152</v>
      </c>
      <c r="L7" s="205" t="str">
        <f t="shared" si="3"/>
        <v/>
      </c>
      <c r="M7" s="205" t="str">
        <f t="shared" si="3"/>
        <v/>
      </c>
      <c r="N7" s="205" t="str">
        <f t="shared" si="3"/>
        <v/>
      </c>
      <c r="O7" s="205" t="str">
        <f t="shared" si="3"/>
        <v/>
      </c>
      <c r="P7" s="205" t="str">
        <f t="shared" si="3"/>
        <v/>
      </c>
      <c r="Q7" s="205" t="str">
        <f t="shared" si="3"/>
        <v/>
      </c>
    </row>
    <row r="8" spans="1:17" ht="15.75" customHeight="1" x14ac:dyDescent="0.35">
      <c r="A8" s="10"/>
      <c r="B8" s="30" t="s">
        <v>164</v>
      </c>
      <c r="C8" s="206">
        <f>C6+C7</f>
        <v>1398534.6033278927</v>
      </c>
      <c r="D8" s="61"/>
      <c r="E8" s="86"/>
      <c r="F8" s="61"/>
      <c r="G8" s="195">
        <f>IF(G$4="","",G6+G7)</f>
        <v>1876773</v>
      </c>
      <c r="H8" s="195">
        <f t="shared" ref="H8:Q8" si="4">IF(H$4="","",H6+H7)</f>
        <v>1362882</v>
      </c>
      <c r="I8" s="195">
        <f t="shared" si="4"/>
        <v>1418716</v>
      </c>
      <c r="J8" s="195">
        <f t="shared" si="4"/>
        <v>937835</v>
      </c>
      <c r="K8" s="195">
        <f t="shared" si="4"/>
        <v>1204768</v>
      </c>
      <c r="L8" s="195" t="str">
        <f t="shared" si="4"/>
        <v/>
      </c>
      <c r="M8" s="195" t="str">
        <f t="shared" si="4"/>
        <v/>
      </c>
      <c r="N8" s="195" t="str">
        <f t="shared" si="4"/>
        <v/>
      </c>
      <c r="O8" s="195" t="str">
        <f t="shared" si="4"/>
        <v/>
      </c>
      <c r="P8" s="195" t="str">
        <f t="shared" si="4"/>
        <v/>
      </c>
      <c r="Q8" s="195" t="str">
        <f t="shared" si="4"/>
        <v/>
      </c>
    </row>
    <row r="9" spans="1:17" ht="15.75" customHeight="1" x14ac:dyDescent="0.35">
      <c r="A9" s="10"/>
      <c r="B9" s="2" t="s">
        <v>70</v>
      </c>
      <c r="C9" s="205">
        <f>BS!$G$39*BS!D58</f>
        <v>463424</v>
      </c>
      <c r="E9" s="18"/>
      <c r="G9" s="205">
        <f>IF(Data!C61="","",-Data!C61)</f>
        <v>463424</v>
      </c>
      <c r="H9" s="205">
        <f>IF(Data!D61="","",-Data!D61)</f>
        <v>371724</v>
      </c>
      <c r="I9" s="205">
        <f>IF(Data!E61="","",-Data!E61)</f>
        <v>435672</v>
      </c>
      <c r="J9" s="205">
        <f>IF(Data!F61="","",-Data!F61)</f>
        <v>520888</v>
      </c>
      <c r="K9" s="205">
        <f>IF(Data!G61="","",-Data!G61)</f>
        <v>0</v>
      </c>
      <c r="L9" s="205" t="str">
        <f>IF(Data!H61="","",-Data!H61)</f>
        <v/>
      </c>
      <c r="M9" s="205" t="str">
        <f>IF(Data!I61="","",-Data!I61)</f>
        <v/>
      </c>
      <c r="N9" s="205" t="str">
        <f>IF(Data!J61="","",-Data!J61)</f>
        <v/>
      </c>
      <c r="O9" s="205" t="str">
        <f>IF(Data!K61="","",-Data!K61)</f>
        <v/>
      </c>
      <c r="P9" s="205" t="str">
        <f>IF(Data!L61="","",-Data!L61)</f>
        <v/>
      </c>
      <c r="Q9" s="205" t="str">
        <f>IF(Data!M61="","",-Data!M61)</f>
        <v/>
      </c>
    </row>
    <row r="10" spans="1:17" ht="15.75" customHeight="1" x14ac:dyDescent="0.35">
      <c r="A10" s="10"/>
      <c r="B10" s="2" t="s">
        <v>91</v>
      </c>
      <c r="C10" s="205">
        <f>-C4*C77</f>
        <v>-463424.00000000006</v>
      </c>
      <c r="E10" s="18"/>
      <c r="G10" s="205">
        <f>Data!C62</f>
        <v>-676387</v>
      </c>
      <c r="H10" s="205">
        <f>Data!D62</f>
        <v>-107280</v>
      </c>
      <c r="I10" s="205">
        <f>Data!E62</f>
        <v>-455483</v>
      </c>
      <c r="J10" s="205">
        <f>Data!F62</f>
        <v>-138937</v>
      </c>
      <c r="K10" s="205">
        <f>Data!G62</f>
        <v>0</v>
      </c>
      <c r="L10" s="205" t="str">
        <f>Data!H62</f>
        <v/>
      </c>
      <c r="M10" s="205" t="str">
        <f>Data!I62</f>
        <v/>
      </c>
      <c r="N10" s="205" t="str">
        <f>Data!J62</f>
        <v/>
      </c>
      <c r="O10" s="205" t="str">
        <f>Data!K62</f>
        <v/>
      </c>
      <c r="P10" s="205" t="str">
        <f>Data!L62</f>
        <v/>
      </c>
      <c r="Q10" s="205" t="str">
        <f>Data!M62</f>
        <v/>
      </c>
    </row>
    <row r="11" spans="1:17" ht="15.75" customHeight="1" x14ac:dyDescent="0.35">
      <c r="A11" s="10"/>
      <c r="B11" s="32" t="s">
        <v>206</v>
      </c>
      <c r="C11" s="207">
        <f>C62</f>
        <v>0</v>
      </c>
      <c r="D11" s="180"/>
      <c r="E11" s="72"/>
      <c r="F11" s="180"/>
      <c r="G11" s="197">
        <f>G60</f>
        <v>639</v>
      </c>
      <c r="H11" s="197">
        <f t="shared" ref="H11:Q11" si="5">H60</f>
        <v>927</v>
      </c>
      <c r="I11" s="197">
        <f t="shared" si="5"/>
        <v>0</v>
      </c>
      <c r="J11" s="197">
        <f t="shared" si="5"/>
        <v>0</v>
      </c>
      <c r="K11" s="197">
        <f t="shared" si="5"/>
        <v>0</v>
      </c>
      <c r="L11" s="197" t="str">
        <f t="shared" si="5"/>
        <v/>
      </c>
      <c r="M11" s="197" t="str">
        <f t="shared" si="5"/>
        <v/>
      </c>
      <c r="N11" s="197" t="str">
        <f t="shared" si="5"/>
        <v/>
      </c>
      <c r="O11" s="197" t="str">
        <f t="shared" si="5"/>
        <v/>
      </c>
      <c r="P11" s="197" t="str">
        <f t="shared" si="5"/>
        <v/>
      </c>
      <c r="Q11" s="197" t="str">
        <f t="shared" si="5"/>
        <v/>
      </c>
    </row>
    <row r="12" spans="1:17" ht="15.75" customHeight="1" x14ac:dyDescent="0.35">
      <c r="A12" s="10"/>
      <c r="B12" s="2" t="s">
        <v>73</v>
      </c>
      <c r="C12" s="205">
        <f>C49</f>
        <v>-30619.000000000007</v>
      </c>
      <c r="E12" s="18"/>
      <c r="G12" s="205">
        <f t="shared" ref="G12:Q12" si="6">G49</f>
        <v>-30619</v>
      </c>
      <c r="H12" s="205">
        <f t="shared" si="6"/>
        <v>12362</v>
      </c>
      <c r="I12" s="205">
        <f t="shared" si="6"/>
        <v>64247</v>
      </c>
      <c r="J12" s="205">
        <f t="shared" si="6"/>
        <v>34549</v>
      </c>
      <c r="K12" s="205">
        <f t="shared" si="6"/>
        <v>-17625</v>
      </c>
      <c r="L12" s="205" t="str">
        <f t="shared" si="6"/>
        <v/>
      </c>
      <c r="M12" s="205" t="str">
        <f t="shared" si="6"/>
        <v/>
      </c>
      <c r="N12" s="205" t="str">
        <f t="shared" si="6"/>
        <v/>
      </c>
      <c r="O12" s="205" t="str">
        <f t="shared" si="6"/>
        <v/>
      </c>
      <c r="P12" s="205" t="str">
        <f t="shared" si="6"/>
        <v/>
      </c>
      <c r="Q12" s="205" t="str">
        <f t="shared" si="6"/>
        <v/>
      </c>
    </row>
    <row r="13" spans="1:17" ht="15.75" customHeight="1" x14ac:dyDescent="0.35">
      <c r="A13" s="10"/>
      <c r="B13" s="76" t="s">
        <v>176</v>
      </c>
      <c r="C13" s="195">
        <f>SUM(C8:C12)</f>
        <v>1367915.6033278927</v>
      </c>
      <c r="E13" s="18"/>
      <c r="G13" s="195">
        <f>IF(G$4="","",SUM(G8:G12))</f>
        <v>1633830</v>
      </c>
      <c r="H13" s="195">
        <f t="shared" ref="H13:Q13" si="7">IF(H$4="","",SUM(H8:H12))</f>
        <v>1640615</v>
      </c>
      <c r="I13" s="195">
        <f t="shared" si="7"/>
        <v>1463152</v>
      </c>
      <c r="J13" s="195">
        <f t="shared" si="7"/>
        <v>1354335</v>
      </c>
      <c r="K13" s="195">
        <f t="shared" si="7"/>
        <v>1187143</v>
      </c>
      <c r="L13" s="195" t="str">
        <f t="shared" si="7"/>
        <v/>
      </c>
      <c r="M13" s="195" t="str">
        <f t="shared" si="7"/>
        <v/>
      </c>
      <c r="N13" s="195" t="str">
        <f t="shared" si="7"/>
        <v/>
      </c>
      <c r="O13" s="195" t="str">
        <f t="shared" si="7"/>
        <v/>
      </c>
      <c r="P13" s="195" t="str">
        <f t="shared" si="7"/>
        <v/>
      </c>
      <c r="Q13" s="195" t="str">
        <f t="shared" si="7"/>
        <v/>
      </c>
    </row>
    <row r="14" spans="1:17" ht="15.75" customHeight="1" x14ac:dyDescent="0.35">
      <c r="A14" s="10"/>
      <c r="B14" s="2" t="s">
        <v>68</v>
      </c>
      <c r="C14" s="205">
        <f>-SUM(C8+C11,C12)*C43</f>
        <v>-341978.90083197318</v>
      </c>
      <c r="E14" s="18"/>
      <c r="G14" s="205">
        <f>Data!C46</f>
        <v>-327166</v>
      </c>
      <c r="H14" s="205">
        <f>Data!D46</f>
        <v>-280664</v>
      </c>
      <c r="I14" s="205">
        <f>Data!E46</f>
        <v>-291296</v>
      </c>
      <c r="J14" s="205">
        <f>Data!F46</f>
        <v>-236303</v>
      </c>
      <c r="K14" s="205">
        <f>Data!G46</f>
        <v>-223409</v>
      </c>
      <c r="L14" s="205" t="str">
        <f>Data!H46</f>
        <v/>
      </c>
      <c r="M14" s="205" t="str">
        <f>Data!I46</f>
        <v/>
      </c>
      <c r="N14" s="205" t="str">
        <f>Data!J46</f>
        <v/>
      </c>
      <c r="O14" s="205" t="str">
        <f>Data!K46</f>
        <v/>
      </c>
      <c r="P14" s="205" t="str">
        <f>Data!L46</f>
        <v/>
      </c>
      <c r="Q14" s="205" t="str">
        <f>Data!M46</f>
        <v/>
      </c>
    </row>
    <row r="15" spans="1:17" ht="15.75" customHeight="1" x14ac:dyDescent="0.35">
      <c r="A15" s="10"/>
      <c r="B15" s="41" t="s">
        <v>261</v>
      </c>
      <c r="C15" s="205">
        <f>-C4*C82</f>
        <v>0</v>
      </c>
      <c r="D15" s="62"/>
      <c r="E15" s="71"/>
      <c r="F15" s="62"/>
      <c r="G15" s="194">
        <f>Data!C48</f>
        <v>0</v>
      </c>
      <c r="H15" s="194">
        <f>Data!D48</f>
        <v>0</v>
      </c>
      <c r="I15" s="194">
        <f>Data!E48</f>
        <v>0</v>
      </c>
      <c r="J15" s="194">
        <f>Data!F48</f>
        <v>-1799</v>
      </c>
      <c r="K15" s="194">
        <f>Data!G48</f>
        <v>-1337</v>
      </c>
      <c r="L15" s="194" t="str">
        <f>Data!H48</f>
        <v/>
      </c>
      <c r="M15" s="194" t="str">
        <f>Data!I48</f>
        <v/>
      </c>
      <c r="N15" s="194" t="str">
        <f>Data!J48</f>
        <v/>
      </c>
      <c r="O15" s="194" t="str">
        <f>Data!K48</f>
        <v/>
      </c>
      <c r="P15" s="194" t="str">
        <f>Data!L48</f>
        <v/>
      </c>
      <c r="Q15" s="194" t="str">
        <f>Data!M48</f>
        <v/>
      </c>
    </row>
    <row r="16" spans="1:17" ht="15.75" customHeight="1" x14ac:dyDescent="0.35">
      <c r="A16" s="10"/>
      <c r="B16" s="42" t="s">
        <v>166</v>
      </c>
      <c r="C16" s="208">
        <f>SUM(C13:C15)</f>
        <v>1025936.7024959195</v>
      </c>
      <c r="D16" s="63"/>
      <c r="E16" s="87"/>
      <c r="F16" s="63"/>
      <c r="G16" s="195">
        <f>IF(G$4="","",SUM(G13:G15))</f>
        <v>1306664</v>
      </c>
      <c r="H16" s="195">
        <f t="shared" ref="H16:Q16" si="8">IF(H$4="","",SUM(H13:H15))</f>
        <v>1359951</v>
      </c>
      <c r="I16" s="195">
        <f t="shared" si="8"/>
        <v>1171856</v>
      </c>
      <c r="J16" s="195">
        <f t="shared" si="8"/>
        <v>1116233</v>
      </c>
      <c r="K16" s="195">
        <f t="shared" si="8"/>
        <v>962397</v>
      </c>
      <c r="L16" s="195" t="str">
        <f t="shared" si="8"/>
        <v/>
      </c>
      <c r="M16" s="195" t="str">
        <f t="shared" si="8"/>
        <v/>
      </c>
      <c r="N16" s="195" t="str">
        <f t="shared" si="8"/>
        <v/>
      </c>
      <c r="O16" s="195" t="str">
        <f t="shared" si="8"/>
        <v/>
      </c>
      <c r="P16" s="195" t="str">
        <f t="shared" si="8"/>
        <v/>
      </c>
      <c r="Q16" s="195" t="str">
        <f t="shared" si="8"/>
        <v/>
      </c>
    </row>
    <row r="17" spans="1:17" ht="15.75" customHeight="1" x14ac:dyDescent="0.35">
      <c r="A17" s="10"/>
      <c r="B17" s="28" t="s">
        <v>56</v>
      </c>
      <c r="C17" s="205">
        <f>-C4*C84</f>
        <v>0</v>
      </c>
      <c r="D17" s="60"/>
      <c r="E17" s="72" t="s">
        <v>260</v>
      </c>
      <c r="F17" s="60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</row>
    <row r="18" spans="1:17" ht="15.75" customHeight="1" x14ac:dyDescent="0.35">
      <c r="A18" s="10"/>
      <c r="B18" s="28" t="s">
        <v>110</v>
      </c>
      <c r="C18" s="205">
        <f>-C4*C85</f>
        <v>0</v>
      </c>
      <c r="D18" s="60"/>
      <c r="E18" s="72" t="s">
        <v>109</v>
      </c>
      <c r="F18" s="60"/>
      <c r="G18" s="210"/>
      <c r="H18" s="210"/>
      <c r="I18" s="210"/>
      <c r="J18" s="210"/>
      <c r="K18" s="210"/>
      <c r="L18" s="210"/>
      <c r="M18" s="210"/>
      <c r="N18" s="210"/>
      <c r="O18" s="210"/>
      <c r="P18" s="210"/>
      <c r="Q18" s="210"/>
    </row>
    <row r="19" spans="1:17" ht="15.75" customHeight="1" x14ac:dyDescent="0.35">
      <c r="A19" s="10"/>
      <c r="B19" s="32" t="s">
        <v>71</v>
      </c>
      <c r="C19" s="195">
        <f>SUM(C16:C18)</f>
        <v>1025936.7024959195</v>
      </c>
      <c r="D19" s="28"/>
      <c r="E19" s="73"/>
      <c r="F19" s="28"/>
      <c r="G19" s="197">
        <f t="shared" ref="G19:Q19" si="9">IF(G$4="","",SUM(G16:G18))</f>
        <v>1306664</v>
      </c>
      <c r="H19" s="197">
        <f t="shared" si="9"/>
        <v>1359951</v>
      </c>
      <c r="I19" s="197">
        <f t="shared" si="9"/>
        <v>1171856</v>
      </c>
      <c r="J19" s="197">
        <f t="shared" si="9"/>
        <v>1116233</v>
      </c>
      <c r="K19" s="197">
        <f t="shared" si="9"/>
        <v>962397</v>
      </c>
      <c r="L19" s="197" t="str">
        <f t="shared" si="9"/>
        <v/>
      </c>
      <c r="M19" s="197" t="str">
        <f t="shared" si="9"/>
        <v/>
      </c>
      <c r="N19" s="197" t="str">
        <f t="shared" si="9"/>
        <v/>
      </c>
      <c r="O19" s="197" t="str">
        <f t="shared" si="9"/>
        <v/>
      </c>
      <c r="P19" s="197" t="str">
        <f t="shared" si="9"/>
        <v/>
      </c>
      <c r="Q19" s="197" t="str">
        <f t="shared" si="9"/>
        <v/>
      </c>
    </row>
    <row r="20" spans="1:17" ht="15.75" customHeight="1" x14ac:dyDescent="0.35">
      <c r="A20" s="10"/>
      <c r="B20" s="28"/>
      <c r="C20" s="64"/>
      <c r="D20" s="28"/>
      <c r="E20" s="73"/>
      <c r="F20" s="28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</row>
    <row r="21" spans="1:17" ht="15.75" customHeight="1" x14ac:dyDescent="0.5">
      <c r="A21" s="10"/>
      <c r="B21" s="55" t="s">
        <v>218</v>
      </c>
      <c r="C21" s="55"/>
      <c r="D21" s="57"/>
      <c r="E21" s="68" t="s">
        <v>64</v>
      </c>
      <c r="F21" s="57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</row>
    <row r="22" spans="1:17" ht="15.75" customHeight="1" x14ac:dyDescent="0.35">
      <c r="A22" s="10"/>
      <c r="B22" s="66" t="s">
        <v>50</v>
      </c>
      <c r="C22" s="64"/>
      <c r="D22" s="28"/>
      <c r="E22" s="73"/>
      <c r="F22" s="28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</row>
    <row r="23" spans="1:17" ht="15.75" customHeight="1" x14ac:dyDescent="0.35">
      <c r="A23" s="10"/>
      <c r="B23" s="28" t="s">
        <v>47</v>
      </c>
      <c r="C23" s="211">
        <f>-C4*C28</f>
        <v>-8638608.2360938303</v>
      </c>
      <c r="D23" s="60"/>
      <c r="E23" s="72"/>
      <c r="F23" s="60"/>
      <c r="G23" s="194">
        <f>Data!C37</f>
        <v>-11151623</v>
      </c>
      <c r="H23" s="194">
        <f>Data!D37</f>
        <v>-8747447</v>
      </c>
      <c r="I23" s="194">
        <f>Data!E37</f>
        <v>-8503976</v>
      </c>
      <c r="J23" s="194">
        <f>Data!F37</f>
        <v>-6229020</v>
      </c>
      <c r="K23" s="194">
        <f>Data!G37</f>
        <v>-7910751</v>
      </c>
      <c r="L23" s="194" t="str">
        <f>Data!H37</f>
        <v/>
      </c>
      <c r="M23" s="194" t="str">
        <f>Data!I37</f>
        <v/>
      </c>
      <c r="N23" s="194" t="str">
        <f>Data!J37</f>
        <v/>
      </c>
      <c r="O23" s="194" t="str">
        <f>Data!K37</f>
        <v/>
      </c>
      <c r="P23" s="194" t="str">
        <f>Data!L37</f>
        <v/>
      </c>
      <c r="Q23" s="194" t="str">
        <f>Data!M37</f>
        <v/>
      </c>
    </row>
    <row r="24" spans="1:17" ht="15.75" customHeight="1" x14ac:dyDescent="0.4">
      <c r="A24" s="10"/>
      <c r="B24" s="74" t="s">
        <v>67</v>
      </c>
      <c r="C24" s="205">
        <f>-C4*C29</f>
        <v>-1636233.9105782772</v>
      </c>
      <c r="D24" s="28"/>
      <c r="E24" s="73"/>
      <c r="F24" s="28"/>
      <c r="G24" s="194">
        <f>Data!C40</f>
        <v>-2043459</v>
      </c>
      <c r="H24" s="194">
        <f>Data!D40</f>
        <v>-1517989</v>
      </c>
      <c r="I24" s="194">
        <f>Data!E40</f>
        <v>-1491293</v>
      </c>
      <c r="J24" s="194">
        <f>Data!F40</f>
        <v>-1412494</v>
      </c>
      <c r="K24" s="194">
        <f>Data!G40</f>
        <v>-1945100</v>
      </c>
      <c r="L24" s="194" t="str">
        <f>Data!H40</f>
        <v/>
      </c>
      <c r="M24" s="194" t="str">
        <f>Data!I40</f>
        <v/>
      </c>
      <c r="N24" s="194" t="str">
        <f>Data!J40</f>
        <v/>
      </c>
      <c r="O24" s="194" t="str">
        <f>Data!K40</f>
        <v/>
      </c>
      <c r="P24" s="194" t="str">
        <f>Data!L40</f>
        <v/>
      </c>
      <c r="Q24" s="194" t="str">
        <f>Data!M40</f>
        <v/>
      </c>
    </row>
    <row r="25" spans="1:17" ht="15.75" customHeight="1" x14ac:dyDescent="0.35">
      <c r="A25" s="10"/>
      <c r="B25" s="76" t="s">
        <v>50</v>
      </c>
      <c r="C25" s="195">
        <f>C23+C24</f>
        <v>-10274842.146672107</v>
      </c>
      <c r="D25" s="9"/>
      <c r="E25" s="69"/>
      <c r="F25" s="9"/>
      <c r="G25" s="195">
        <f t="shared" ref="G25:Q25" si="10">IF(G$4="","",G23+G24)</f>
        <v>-13195082</v>
      </c>
      <c r="H25" s="195">
        <f t="shared" si="10"/>
        <v>-10265436</v>
      </c>
      <c r="I25" s="195">
        <f t="shared" si="10"/>
        <v>-9995269</v>
      </c>
      <c r="J25" s="195">
        <f t="shared" si="10"/>
        <v>-7641514</v>
      </c>
      <c r="K25" s="195">
        <f t="shared" si="10"/>
        <v>-9855851</v>
      </c>
      <c r="L25" s="195" t="str">
        <f t="shared" si="10"/>
        <v/>
      </c>
      <c r="M25" s="195" t="str">
        <f t="shared" si="10"/>
        <v/>
      </c>
      <c r="N25" s="195" t="str">
        <f t="shared" si="10"/>
        <v/>
      </c>
      <c r="O25" s="195" t="str">
        <f t="shared" si="10"/>
        <v/>
      </c>
      <c r="P25" s="195" t="str">
        <f t="shared" si="10"/>
        <v/>
      </c>
      <c r="Q25" s="195" t="str">
        <f t="shared" si="10"/>
        <v/>
      </c>
    </row>
    <row r="26" spans="1:17" ht="15.75" customHeight="1" x14ac:dyDescent="0.35">
      <c r="A26" s="10"/>
    </row>
    <row r="27" spans="1:17" ht="15.75" customHeight="1" x14ac:dyDescent="0.35">
      <c r="A27" s="10"/>
      <c r="B27" s="66" t="s">
        <v>219</v>
      </c>
    </row>
    <row r="28" spans="1:17" ht="15.75" customHeight="1" x14ac:dyDescent="0.35">
      <c r="A28" s="10"/>
      <c r="B28" s="27" t="s">
        <v>47</v>
      </c>
      <c r="C28" s="65">
        <f>AVERAGE(G28:J28)</f>
        <v>0.72134257435984139</v>
      </c>
      <c r="D28" s="27"/>
      <c r="E28" s="70" t="s">
        <v>90</v>
      </c>
      <c r="F28" s="27"/>
      <c r="G28" s="13">
        <f t="shared" ref="G28:Q28" si="11">IF(G$4="","",ABS(G23/G$4))</f>
        <v>0.72762956087193742</v>
      </c>
      <c r="H28" s="13">
        <f t="shared" si="11"/>
        <v>0.7303022981431383</v>
      </c>
      <c r="I28" s="13">
        <f t="shared" si="11"/>
        <v>0.7244946946204498</v>
      </c>
      <c r="J28" s="13">
        <f t="shared" si="11"/>
        <v>0.70294374380383995</v>
      </c>
      <c r="K28" s="13">
        <f t="shared" si="11"/>
        <v>0.70419372087965826</v>
      </c>
      <c r="L28" s="13" t="str">
        <f t="shared" si="11"/>
        <v/>
      </c>
      <c r="M28" s="13" t="str">
        <f t="shared" si="11"/>
        <v/>
      </c>
      <c r="N28" s="13" t="str">
        <f t="shared" si="11"/>
        <v/>
      </c>
      <c r="O28" s="13" t="str">
        <f t="shared" si="11"/>
        <v/>
      </c>
      <c r="P28" s="13" t="str">
        <f t="shared" si="11"/>
        <v/>
      </c>
      <c r="Q28" s="13" t="str">
        <f t="shared" si="11"/>
        <v/>
      </c>
    </row>
    <row r="29" spans="1:17" ht="15.75" customHeight="1" x14ac:dyDescent="0.4">
      <c r="A29" s="10"/>
      <c r="B29" s="74" t="str">
        <f>B24</f>
        <v>Selling Expenses</v>
      </c>
      <c r="C29" s="65">
        <f>AVERAGE(G29:J29)</f>
        <v>0.13662908990130354</v>
      </c>
      <c r="D29" s="27"/>
      <c r="E29" s="70" t="s">
        <v>90</v>
      </c>
      <c r="F29" s="27"/>
      <c r="G29" s="13">
        <f t="shared" ref="G29:Q29" si="12">IF(G$4="","",ABS(G24/G$4))</f>
        <v>0.13333316368656009</v>
      </c>
      <c r="H29" s="13">
        <f t="shared" si="12"/>
        <v>0.12673307483383486</v>
      </c>
      <c r="I29" s="13">
        <f t="shared" si="12"/>
        <v>0.12705043695144655</v>
      </c>
      <c r="J29" s="13">
        <f t="shared" si="12"/>
        <v>0.15939968413337269</v>
      </c>
      <c r="K29" s="13">
        <f t="shared" si="12"/>
        <v>0.17314755659519854</v>
      </c>
      <c r="L29" s="13" t="str">
        <f t="shared" si="12"/>
        <v/>
      </c>
      <c r="M29" s="13" t="str">
        <f t="shared" si="12"/>
        <v/>
      </c>
      <c r="N29" s="13" t="str">
        <f t="shared" si="12"/>
        <v/>
      </c>
      <c r="O29" s="13" t="str">
        <f t="shared" si="12"/>
        <v/>
      </c>
      <c r="P29" s="13" t="str">
        <f t="shared" si="12"/>
        <v/>
      </c>
      <c r="Q29" s="13" t="str">
        <f t="shared" si="12"/>
        <v/>
      </c>
    </row>
    <row r="30" spans="1:17" ht="15.75" customHeight="1" x14ac:dyDescent="0.35">
      <c r="A30" s="10"/>
      <c r="B30" s="76" t="s">
        <v>50</v>
      </c>
      <c r="C30" s="77">
        <f>ABS(C25/$C$4)</f>
        <v>0.85797166426114502</v>
      </c>
      <c r="G30" s="31">
        <f t="shared" ref="G30:Q30" si="13">IF(G$4="","",ABS(G25/G$4))</f>
        <v>0.86096272455849754</v>
      </c>
      <c r="H30" s="31">
        <f t="shared" si="13"/>
        <v>0.85703537297697319</v>
      </c>
      <c r="I30" s="31">
        <f t="shared" si="13"/>
        <v>0.85154513157189637</v>
      </c>
      <c r="J30" s="31">
        <f t="shared" si="13"/>
        <v>0.86234342793721264</v>
      </c>
      <c r="K30" s="31">
        <f t="shared" si="13"/>
        <v>0.8773412774748568</v>
      </c>
      <c r="L30" s="31" t="str">
        <f t="shared" si="13"/>
        <v/>
      </c>
      <c r="M30" s="31" t="str">
        <f t="shared" si="13"/>
        <v/>
      </c>
      <c r="N30" s="31" t="str">
        <f t="shared" si="13"/>
        <v/>
      </c>
      <c r="O30" s="31" t="str">
        <f t="shared" si="13"/>
        <v/>
      </c>
      <c r="P30" s="31" t="str">
        <f t="shared" si="13"/>
        <v/>
      </c>
      <c r="Q30" s="31" t="str">
        <f t="shared" si="13"/>
        <v/>
      </c>
    </row>
    <row r="31" spans="1:17" ht="15.75" customHeight="1" x14ac:dyDescent="0.35">
      <c r="A31" s="10"/>
    </row>
    <row r="32" spans="1:17" ht="15.75" customHeight="1" x14ac:dyDescent="0.35">
      <c r="A32" s="10"/>
      <c r="B32" s="66" t="s">
        <v>49</v>
      </c>
    </row>
    <row r="33" spans="1:17" ht="15.75" customHeight="1" x14ac:dyDescent="0.35">
      <c r="A33" s="10"/>
      <c r="B33" s="8" t="s">
        <v>186</v>
      </c>
      <c r="C33" s="212">
        <f>AVERAGE(G33:J33)</f>
        <v>-302359.25</v>
      </c>
      <c r="E33" s="70" t="s">
        <v>90</v>
      </c>
      <c r="G33" s="205">
        <f>Data!C41</f>
        <v>-254107</v>
      </c>
      <c r="H33" s="205">
        <f>Data!D41</f>
        <v>-349526</v>
      </c>
      <c r="I33" s="205">
        <f>Data!E41</f>
        <v>-323818</v>
      </c>
      <c r="J33" s="205">
        <f>Data!F41</f>
        <v>-281986</v>
      </c>
      <c r="K33" s="205">
        <f>Data!G41</f>
        <v>-173152</v>
      </c>
      <c r="L33" s="205" t="str">
        <f>Data!H41</f>
        <v/>
      </c>
      <c r="M33" s="205" t="str">
        <f>Data!I41</f>
        <v/>
      </c>
      <c r="N33" s="205" t="str">
        <f>Data!J41</f>
        <v/>
      </c>
      <c r="O33" s="205" t="str">
        <f>Data!K41</f>
        <v/>
      </c>
      <c r="P33" s="205" t="str">
        <f>Data!L41</f>
        <v/>
      </c>
      <c r="Q33" s="205" t="str">
        <f>Data!M41</f>
        <v/>
      </c>
    </row>
    <row r="34" spans="1:17" ht="15.75" customHeight="1" x14ac:dyDescent="0.35">
      <c r="A34" s="10"/>
      <c r="B34" s="28" t="s">
        <v>53</v>
      </c>
      <c r="C34" s="212">
        <f>AVERAGE(G34:J34)</f>
        <v>0</v>
      </c>
      <c r="D34" s="60"/>
      <c r="E34" s="70" t="s">
        <v>90</v>
      </c>
      <c r="F34" s="60"/>
      <c r="G34" s="194">
        <f>Data!C42</f>
        <v>0</v>
      </c>
      <c r="H34" s="194">
        <f>Data!D42</f>
        <v>0</v>
      </c>
      <c r="I34" s="194">
        <f>Data!E42</f>
        <v>0</v>
      </c>
      <c r="J34" s="194">
        <f>Data!F42</f>
        <v>0</v>
      </c>
      <c r="K34" s="194">
        <f>Data!G42</f>
        <v>0</v>
      </c>
      <c r="L34" s="194" t="str">
        <f>Data!H42</f>
        <v/>
      </c>
      <c r="M34" s="194" t="str">
        <f>Data!I42</f>
        <v/>
      </c>
      <c r="N34" s="194" t="str">
        <f>Data!J42</f>
        <v/>
      </c>
      <c r="O34" s="194" t="str">
        <f>Data!K42</f>
        <v/>
      </c>
      <c r="P34" s="194" t="str">
        <f>Data!L42</f>
        <v/>
      </c>
      <c r="Q34" s="194" t="str">
        <f>Data!M42</f>
        <v/>
      </c>
    </row>
    <row r="35" spans="1:17" ht="15.75" customHeight="1" x14ac:dyDescent="0.35">
      <c r="A35" s="10"/>
      <c r="B35" s="76" t="s">
        <v>49</v>
      </c>
      <c r="C35" s="195">
        <f>C33+C34</f>
        <v>-302359.25</v>
      </c>
      <c r="D35" s="60"/>
      <c r="E35" s="72"/>
      <c r="F35" s="60"/>
      <c r="G35" s="195">
        <f t="shared" ref="G35:Q35" si="14">IF(G4="","",G33+G34)</f>
        <v>-254107</v>
      </c>
      <c r="H35" s="195">
        <f t="shared" si="14"/>
        <v>-349526</v>
      </c>
      <c r="I35" s="195">
        <f t="shared" si="14"/>
        <v>-323818</v>
      </c>
      <c r="J35" s="195">
        <f t="shared" si="14"/>
        <v>-281986</v>
      </c>
      <c r="K35" s="195">
        <f t="shared" si="14"/>
        <v>-173152</v>
      </c>
      <c r="L35" s="195" t="str">
        <f t="shared" si="14"/>
        <v/>
      </c>
      <c r="M35" s="195" t="str">
        <f t="shared" si="14"/>
        <v/>
      </c>
      <c r="N35" s="195" t="str">
        <f t="shared" si="14"/>
        <v/>
      </c>
      <c r="O35" s="195" t="str">
        <f t="shared" si="14"/>
        <v/>
      </c>
      <c r="P35" s="195" t="str">
        <f t="shared" si="14"/>
        <v/>
      </c>
      <c r="Q35" s="195" t="str">
        <f t="shared" si="14"/>
        <v/>
      </c>
    </row>
    <row r="36" spans="1:17" ht="15.75" customHeight="1" x14ac:dyDescent="0.35">
      <c r="A36" s="10"/>
    </row>
    <row r="37" spans="1:17" ht="15.75" customHeight="1" x14ac:dyDescent="0.35">
      <c r="A37" s="10"/>
      <c r="B37" s="66" t="s">
        <v>220</v>
      </c>
    </row>
    <row r="38" spans="1:17" ht="15.75" customHeight="1" x14ac:dyDescent="0.35">
      <c r="A38" s="10"/>
      <c r="B38" s="2" t="str">
        <f>B33</f>
        <v>G&amp;A and other Opex</v>
      </c>
      <c r="C38" s="24">
        <f>ABS(C33/$C$4)</f>
        <v>2.5247654924924864E-2</v>
      </c>
      <c r="D38" s="28"/>
      <c r="E38" s="28"/>
      <c r="F38" s="28"/>
      <c r="G38" s="13">
        <f t="shared" ref="G38:Q38" si="15">IF(G$4="","",ABS(G33/G$4))</f>
        <v>1.6580166386945237E-2</v>
      </c>
      <c r="H38" s="13">
        <f t="shared" si="15"/>
        <v>2.9181044602016856E-2</v>
      </c>
      <c r="I38" s="13">
        <f t="shared" si="15"/>
        <v>2.7587615842589962E-2</v>
      </c>
      <c r="J38" s="13">
        <f t="shared" si="15"/>
        <v>3.1822067442433898E-2</v>
      </c>
      <c r="K38" s="13">
        <f t="shared" si="15"/>
        <v>1.5413524096227349E-2</v>
      </c>
      <c r="L38" s="13" t="str">
        <f t="shared" si="15"/>
        <v/>
      </c>
      <c r="M38" s="13" t="str">
        <f t="shared" si="15"/>
        <v/>
      </c>
      <c r="N38" s="13" t="str">
        <f t="shared" si="15"/>
        <v/>
      </c>
      <c r="O38" s="13" t="str">
        <f t="shared" si="15"/>
        <v/>
      </c>
      <c r="P38" s="13" t="str">
        <f t="shared" si="15"/>
        <v/>
      </c>
      <c r="Q38" s="13" t="str">
        <f t="shared" si="15"/>
        <v/>
      </c>
    </row>
    <row r="39" spans="1:17" ht="15.75" customHeight="1" x14ac:dyDescent="0.35">
      <c r="A39" s="10"/>
      <c r="B39" s="28" t="str">
        <f>B34</f>
        <v>R&amp;D</v>
      </c>
      <c r="C39" s="24">
        <f>ABS(C34/$C$4)</f>
        <v>0</v>
      </c>
      <c r="D39" s="28"/>
      <c r="E39" s="28"/>
      <c r="F39" s="28"/>
      <c r="G39" s="13">
        <f t="shared" ref="G39:Q39" si="16">IF(G$4="","",ABS(G34/G$4))</f>
        <v>0</v>
      </c>
      <c r="H39" s="13">
        <f t="shared" si="16"/>
        <v>0</v>
      </c>
      <c r="I39" s="13">
        <f t="shared" si="16"/>
        <v>0</v>
      </c>
      <c r="J39" s="13">
        <f t="shared" si="16"/>
        <v>0</v>
      </c>
      <c r="K39" s="13">
        <f t="shared" si="16"/>
        <v>0</v>
      </c>
      <c r="L39" s="13" t="str">
        <f t="shared" si="16"/>
        <v/>
      </c>
      <c r="M39" s="13" t="str">
        <f t="shared" si="16"/>
        <v/>
      </c>
      <c r="N39" s="13" t="str">
        <f t="shared" si="16"/>
        <v/>
      </c>
      <c r="O39" s="13" t="str">
        <f t="shared" si="16"/>
        <v/>
      </c>
      <c r="P39" s="13" t="str">
        <f t="shared" si="16"/>
        <v/>
      </c>
      <c r="Q39" s="13" t="str">
        <f t="shared" si="16"/>
        <v/>
      </c>
    </row>
    <row r="40" spans="1:17" ht="15.75" customHeight="1" x14ac:dyDescent="0.35">
      <c r="A40" s="10"/>
      <c r="B40" s="76" t="s">
        <v>49</v>
      </c>
      <c r="C40" s="77">
        <f>ABS(C35/$C$4)</f>
        <v>2.5247654924924864E-2</v>
      </c>
      <c r="G40" s="31">
        <f t="shared" ref="G40:Q40" si="17">IF(G$4="","",ABS(G35/G$4))</f>
        <v>1.6580166386945237E-2</v>
      </c>
      <c r="H40" s="31">
        <f t="shared" si="17"/>
        <v>2.9181044602016856E-2</v>
      </c>
      <c r="I40" s="31">
        <f t="shared" si="17"/>
        <v>2.7587615842589962E-2</v>
      </c>
      <c r="J40" s="31">
        <f t="shared" si="17"/>
        <v>3.1822067442433898E-2</v>
      </c>
      <c r="K40" s="31">
        <f t="shared" si="17"/>
        <v>1.5413524096227349E-2</v>
      </c>
      <c r="L40" s="31" t="str">
        <f t="shared" si="17"/>
        <v/>
      </c>
      <c r="M40" s="31" t="str">
        <f t="shared" si="17"/>
        <v/>
      </c>
      <c r="N40" s="31" t="str">
        <f t="shared" si="17"/>
        <v/>
      </c>
      <c r="O40" s="31" t="str">
        <f t="shared" si="17"/>
        <v/>
      </c>
      <c r="P40" s="31" t="str">
        <f t="shared" si="17"/>
        <v/>
      </c>
      <c r="Q40" s="31" t="str">
        <f t="shared" si="17"/>
        <v/>
      </c>
    </row>
    <row r="41" spans="1:17" ht="15.75" customHeight="1" x14ac:dyDescent="0.35">
      <c r="A41" s="10"/>
    </row>
    <row r="42" spans="1:17" ht="15.75" customHeight="1" x14ac:dyDescent="0.35">
      <c r="A42" s="10"/>
      <c r="B42" s="66" t="s">
        <v>221</v>
      </c>
    </row>
    <row r="43" spans="1:17" ht="15.75" customHeight="1" x14ac:dyDescent="0.35">
      <c r="A43" s="10"/>
      <c r="B43" s="28" t="s">
        <v>183</v>
      </c>
      <c r="C43" s="65">
        <v>0.25</v>
      </c>
      <c r="D43" s="28"/>
      <c r="E43" s="73" t="s">
        <v>83</v>
      </c>
      <c r="F43" s="28"/>
      <c r="G43" s="6">
        <f>IF(G$4="","",-G14/SUM(G8+G11,G12))</f>
        <v>0.17715358461939157</v>
      </c>
      <c r="H43" s="6">
        <f t="shared" ref="H43:Q43" si="18">IF(H$4="","",-H14/SUM(H8+H11,H12))</f>
        <v>0.20394558525067016</v>
      </c>
      <c r="I43" s="6">
        <f t="shared" si="18"/>
        <v>0.19642836672256828</v>
      </c>
      <c r="J43" s="6">
        <f t="shared" si="18"/>
        <v>0.24301407674334419</v>
      </c>
      <c r="K43" s="6">
        <f t="shared" si="18"/>
        <v>0.18819047073520206</v>
      </c>
      <c r="L43" s="6" t="str">
        <f t="shared" si="18"/>
        <v/>
      </c>
      <c r="M43" s="6" t="str">
        <f t="shared" si="18"/>
        <v/>
      </c>
      <c r="N43" s="6" t="str">
        <f t="shared" si="18"/>
        <v/>
      </c>
      <c r="O43" s="6" t="str">
        <f t="shared" si="18"/>
        <v/>
      </c>
      <c r="P43" s="6" t="str">
        <f t="shared" si="18"/>
        <v/>
      </c>
      <c r="Q43" s="6" t="str">
        <f t="shared" si="18"/>
        <v/>
      </c>
    </row>
    <row r="44" spans="1:17" ht="15.75" customHeight="1" x14ac:dyDescent="0.35">
      <c r="A44" s="10"/>
    </row>
    <row r="45" spans="1:17" ht="15.75" customHeight="1" x14ac:dyDescent="0.5">
      <c r="A45" s="10"/>
      <c r="B45" s="55" t="s">
        <v>222</v>
      </c>
      <c r="C45" s="55"/>
      <c r="D45" s="57"/>
      <c r="E45" s="68" t="s">
        <v>64</v>
      </c>
      <c r="F45" s="57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</row>
    <row r="46" spans="1:17" ht="15.75" customHeight="1" x14ac:dyDescent="0.35">
      <c r="A46" s="10"/>
      <c r="B46" s="66" t="s">
        <v>65</v>
      </c>
    </row>
    <row r="47" spans="1:17" ht="15.75" customHeight="1" x14ac:dyDescent="0.35">
      <c r="A47" s="10"/>
      <c r="B47" s="2" t="s">
        <v>41</v>
      </c>
      <c r="C47" s="205">
        <f>-BS!G31*Normalized_FCF!C53</f>
        <v>-59596.000000000007</v>
      </c>
      <c r="G47" s="205">
        <f>Data!C51</f>
        <v>-59596</v>
      </c>
      <c r="H47" s="205">
        <f>Data!D51</f>
        <v>-20763</v>
      </c>
      <c r="I47" s="205">
        <f>Data!E51</f>
        <v>-23097</v>
      </c>
      <c r="J47" s="205">
        <f>Data!F51</f>
        <v>-28849</v>
      </c>
      <c r="K47" s="205">
        <f>Data!G51</f>
        <v>-63075</v>
      </c>
      <c r="L47" s="205" t="str">
        <f>Data!H51</f>
        <v/>
      </c>
      <c r="M47" s="205" t="str">
        <f>Data!I51</f>
        <v/>
      </c>
      <c r="N47" s="205" t="str">
        <f>Data!J51</f>
        <v/>
      </c>
      <c r="O47" s="205" t="str">
        <f>Data!K51</f>
        <v/>
      </c>
      <c r="P47" s="205" t="str">
        <f>Data!L51</f>
        <v/>
      </c>
      <c r="Q47" s="205" t="str">
        <f>Data!M51</f>
        <v/>
      </c>
    </row>
    <row r="48" spans="1:17" ht="15.75" customHeight="1" x14ac:dyDescent="0.35">
      <c r="A48" s="10"/>
      <c r="B48" s="2" t="s">
        <v>72</v>
      </c>
      <c r="C48" s="205">
        <f>BS!$C$66*C52</f>
        <v>28977</v>
      </c>
      <c r="G48" s="205">
        <f>Data!C52</f>
        <v>28977</v>
      </c>
      <c r="H48" s="205">
        <f>Data!D52</f>
        <v>33125</v>
      </c>
      <c r="I48" s="205">
        <f>Data!E52</f>
        <v>87344</v>
      </c>
      <c r="J48" s="205">
        <f>Data!F52</f>
        <v>63398</v>
      </c>
      <c r="K48" s="205">
        <f>Data!G52</f>
        <v>45450</v>
      </c>
      <c r="L48" s="205" t="str">
        <f>Data!H52</f>
        <v/>
      </c>
      <c r="M48" s="205" t="str">
        <f>Data!I52</f>
        <v/>
      </c>
      <c r="N48" s="205" t="str">
        <f>Data!J52</f>
        <v/>
      </c>
      <c r="O48" s="205" t="str">
        <f>Data!K52</f>
        <v/>
      </c>
      <c r="P48" s="205" t="str">
        <f>Data!L52</f>
        <v/>
      </c>
      <c r="Q48" s="205" t="str">
        <f>Data!M52</f>
        <v/>
      </c>
    </row>
    <row r="49" spans="1:17" ht="15.75" customHeight="1" x14ac:dyDescent="0.35">
      <c r="A49" s="10"/>
      <c r="B49" s="76" t="s">
        <v>73</v>
      </c>
      <c r="C49" s="195">
        <f>C47+C48</f>
        <v>-30619.000000000007</v>
      </c>
      <c r="G49" s="195">
        <f t="shared" ref="G49:Q49" si="19">IF(G4="","",G47+G48)</f>
        <v>-30619</v>
      </c>
      <c r="H49" s="195">
        <f t="shared" si="19"/>
        <v>12362</v>
      </c>
      <c r="I49" s="195">
        <f t="shared" si="19"/>
        <v>64247</v>
      </c>
      <c r="J49" s="195">
        <f t="shared" si="19"/>
        <v>34549</v>
      </c>
      <c r="K49" s="195">
        <f t="shared" si="19"/>
        <v>-17625</v>
      </c>
      <c r="L49" s="195" t="str">
        <f t="shared" si="19"/>
        <v/>
      </c>
      <c r="M49" s="195" t="str">
        <f t="shared" si="19"/>
        <v/>
      </c>
      <c r="N49" s="195" t="str">
        <f t="shared" si="19"/>
        <v/>
      </c>
      <c r="O49" s="195" t="str">
        <f t="shared" si="19"/>
        <v/>
      </c>
      <c r="P49" s="195" t="str">
        <f t="shared" si="19"/>
        <v/>
      </c>
      <c r="Q49" s="195" t="str">
        <f t="shared" si="19"/>
        <v/>
      </c>
    </row>
    <row r="50" spans="1:17" ht="15.75" customHeight="1" x14ac:dyDescent="0.35">
      <c r="A50" s="10"/>
    </row>
    <row r="51" spans="1:17" ht="15.75" customHeight="1" x14ac:dyDescent="0.35">
      <c r="A51" s="10"/>
      <c r="B51" s="78" t="s">
        <v>167</v>
      </c>
      <c r="G51" s="107" t="s">
        <v>232</v>
      </c>
    </row>
    <row r="52" spans="1:17" ht="15.75" customHeight="1" x14ac:dyDescent="0.35">
      <c r="A52" s="10"/>
      <c r="B52" s="8" t="s">
        <v>99</v>
      </c>
      <c r="C52" s="96">
        <f>G52</f>
        <v>1.4501413508729523E-2</v>
      </c>
      <c r="E52" s="73" t="s">
        <v>87</v>
      </c>
      <c r="G52" s="6">
        <f>IF(Normalized_FCF!G4="","",Normalized_FCF!G48/BS!$C$66)</f>
        <v>1.4501413508729523E-2</v>
      </c>
      <c r="H52" s="181"/>
      <c r="I52" s="181"/>
      <c r="J52" s="181"/>
      <c r="K52" s="181"/>
      <c r="L52" s="181"/>
      <c r="M52" s="181"/>
      <c r="N52" s="181"/>
      <c r="O52" s="181"/>
      <c r="P52" s="181"/>
      <c r="Q52" s="181"/>
    </row>
    <row r="53" spans="1:17" ht="15.75" customHeight="1" x14ac:dyDescent="0.35">
      <c r="A53" s="10"/>
      <c r="B53" s="8" t="s">
        <v>98</v>
      </c>
      <c r="C53" s="91">
        <f>Normalized_FCF!G53</f>
        <v>3.4739685526452319E-2</v>
      </c>
      <c r="E53" s="73" t="s">
        <v>86</v>
      </c>
      <c r="G53" s="24">
        <f>IFERROR(ABS(Normalized_FCF!G47/BS!$G$31),0)</f>
        <v>3.4739685526452319E-2</v>
      </c>
      <c r="H53" s="181"/>
      <c r="I53" s="181"/>
      <c r="J53" s="181"/>
      <c r="K53" s="181"/>
      <c r="L53" s="181"/>
      <c r="M53" s="181"/>
      <c r="N53" s="181"/>
      <c r="O53" s="181"/>
      <c r="P53" s="181"/>
      <c r="Q53" s="181"/>
    </row>
    <row r="54" spans="1:17" ht="15.75" customHeight="1" x14ac:dyDescent="0.35">
      <c r="A54" s="10"/>
      <c r="B54" s="27" t="s">
        <v>101</v>
      </c>
      <c r="C54" s="43">
        <f>-C8/C47</f>
        <v>23.466920654538772</v>
      </c>
      <c r="G54" s="43">
        <f>IF(G4="","",-G8/G47)</f>
        <v>31.4915933955299</v>
      </c>
      <c r="H54" s="43">
        <f t="shared" ref="H54:Q54" si="20">IF(H4="","",-H8/H47)</f>
        <v>65.639936425372056</v>
      </c>
      <c r="I54" s="43">
        <f t="shared" si="20"/>
        <v>61.424254232151362</v>
      </c>
      <c r="J54" s="43">
        <f t="shared" si="20"/>
        <v>32.508405837290724</v>
      </c>
      <c r="K54" s="43">
        <f t="shared" si="20"/>
        <v>19.100562822037258</v>
      </c>
      <c r="L54" s="43" t="str">
        <f t="shared" si="20"/>
        <v/>
      </c>
      <c r="M54" s="43" t="str">
        <f t="shared" si="20"/>
        <v/>
      </c>
      <c r="N54" s="43" t="str">
        <f t="shared" si="20"/>
        <v/>
      </c>
      <c r="O54" s="43" t="str">
        <f t="shared" si="20"/>
        <v/>
      </c>
      <c r="P54" s="43" t="str">
        <f t="shared" si="20"/>
        <v/>
      </c>
      <c r="Q54" s="43" t="str">
        <f t="shared" si="20"/>
        <v/>
      </c>
    </row>
    <row r="55" spans="1:17" ht="15.75" customHeight="1" x14ac:dyDescent="0.35">
      <c r="A55" s="10"/>
    </row>
    <row r="56" spans="1:17" ht="15.75" customHeight="1" x14ac:dyDescent="0.35">
      <c r="A56" s="10"/>
      <c r="B56" s="66" t="s">
        <v>180</v>
      </c>
      <c r="G56" s="107" t="s">
        <v>232</v>
      </c>
    </row>
    <row r="57" spans="1:17" ht="15.75" customHeight="1" x14ac:dyDescent="0.35">
      <c r="A57" s="10"/>
      <c r="B57" s="41" t="s">
        <v>179</v>
      </c>
      <c r="C57" s="205">
        <f>BS!$C77*C65</f>
        <v>0</v>
      </c>
      <c r="G57" s="205">
        <f>Data!C56</f>
        <v>0</v>
      </c>
      <c r="H57" s="205">
        <f>Data!D56</f>
        <v>0</v>
      </c>
      <c r="I57" s="205">
        <f>Data!E56</f>
        <v>0</v>
      </c>
      <c r="J57" s="205">
        <f>Data!F56</f>
        <v>0</v>
      </c>
      <c r="K57" s="205">
        <f>Data!G56</f>
        <v>0</v>
      </c>
      <c r="L57" s="205" t="str">
        <f>Data!H56</f>
        <v/>
      </c>
      <c r="M57" s="205" t="str">
        <f>Data!I56</f>
        <v/>
      </c>
      <c r="N57" s="205" t="str">
        <f>Data!J56</f>
        <v/>
      </c>
      <c r="O57" s="205" t="str">
        <f>Data!K56</f>
        <v/>
      </c>
      <c r="P57" s="205" t="str">
        <f>Data!L56</f>
        <v/>
      </c>
      <c r="Q57" s="205" t="str">
        <f>Data!M56</f>
        <v/>
      </c>
    </row>
    <row r="58" spans="1:17" ht="15.75" customHeight="1" x14ac:dyDescent="0.35">
      <c r="A58" s="10"/>
      <c r="B58" s="41" t="s">
        <v>171</v>
      </c>
      <c r="C58" s="205">
        <f>BS!$C68*C66</f>
        <v>0</v>
      </c>
      <c r="G58" s="205">
        <f>Data!C55</f>
        <v>639</v>
      </c>
      <c r="H58" s="205">
        <f>Data!D55</f>
        <v>927</v>
      </c>
      <c r="I58" s="205">
        <f>Data!E55</f>
        <v>0</v>
      </c>
      <c r="J58" s="205">
        <f>Data!F55</f>
        <v>0</v>
      </c>
      <c r="K58" s="205">
        <f>Data!G55</f>
        <v>0</v>
      </c>
      <c r="L58" s="205" t="str">
        <f>Data!H55</f>
        <v/>
      </c>
      <c r="M58" s="205" t="str">
        <f>Data!I55</f>
        <v/>
      </c>
      <c r="N58" s="205" t="str">
        <f>Data!J55</f>
        <v/>
      </c>
      <c r="O58" s="205" t="str">
        <f>Data!K55</f>
        <v/>
      </c>
      <c r="P58" s="205" t="str">
        <f>Data!L55</f>
        <v/>
      </c>
      <c r="Q58" s="205" t="str">
        <f>Data!M55</f>
        <v/>
      </c>
    </row>
    <row r="59" spans="1:17" ht="15.75" customHeight="1" x14ac:dyDescent="0.35">
      <c r="A59" s="10"/>
      <c r="B59" s="41" t="s">
        <v>170</v>
      </c>
      <c r="C59" s="205">
        <f>BS!$C79*C67</f>
        <v>0</v>
      </c>
      <c r="G59" s="205">
        <f>Data!C57</f>
        <v>0</v>
      </c>
      <c r="H59" s="205">
        <f>Data!D57</f>
        <v>0</v>
      </c>
      <c r="I59" s="205">
        <f>Data!E57</f>
        <v>0</v>
      </c>
      <c r="J59" s="205">
        <f>Data!F57</f>
        <v>0</v>
      </c>
      <c r="K59" s="205">
        <f>Data!G57</f>
        <v>0</v>
      </c>
      <c r="L59" s="205" t="str">
        <f>Data!H57</f>
        <v/>
      </c>
      <c r="M59" s="205" t="str">
        <f>Data!I57</f>
        <v/>
      </c>
      <c r="N59" s="205" t="str">
        <f>Data!J57</f>
        <v/>
      </c>
      <c r="O59" s="205" t="str">
        <f>Data!K57</f>
        <v/>
      </c>
      <c r="P59" s="205" t="str">
        <f>Data!L57</f>
        <v/>
      </c>
      <c r="Q59" s="205" t="str">
        <f>Data!M57</f>
        <v/>
      </c>
    </row>
    <row r="60" spans="1:17" ht="15.75" customHeight="1" x14ac:dyDescent="0.35">
      <c r="A60" s="10"/>
      <c r="B60" s="32" t="s">
        <v>206</v>
      </c>
      <c r="C60" s="195">
        <f>SUM(C57:C59)</f>
        <v>0</v>
      </c>
      <c r="G60" s="195">
        <f t="shared" ref="G60:Q60" si="21">IF(G4="","",SUM(G57:G59))</f>
        <v>639</v>
      </c>
      <c r="H60" s="195">
        <f t="shared" si="21"/>
        <v>927</v>
      </c>
      <c r="I60" s="195">
        <f t="shared" si="21"/>
        <v>0</v>
      </c>
      <c r="J60" s="195">
        <f t="shared" si="21"/>
        <v>0</v>
      </c>
      <c r="K60" s="195">
        <f t="shared" si="21"/>
        <v>0</v>
      </c>
      <c r="L60" s="195" t="str">
        <f t="shared" si="21"/>
        <v/>
      </c>
      <c r="M60" s="195" t="str">
        <f t="shared" si="21"/>
        <v/>
      </c>
      <c r="N60" s="195" t="str">
        <f t="shared" si="21"/>
        <v/>
      </c>
      <c r="O60" s="195" t="str">
        <f t="shared" si="21"/>
        <v/>
      </c>
      <c r="P60" s="195" t="str">
        <f t="shared" si="21"/>
        <v/>
      </c>
      <c r="Q60" s="195" t="str">
        <f t="shared" si="21"/>
        <v/>
      </c>
    </row>
    <row r="61" spans="1:17" ht="15.75" customHeight="1" x14ac:dyDescent="0.35">
      <c r="A61" s="10"/>
      <c r="B61" s="41" t="s">
        <v>172</v>
      </c>
      <c r="C61" s="212">
        <v>0</v>
      </c>
      <c r="E61" s="70" t="s">
        <v>207</v>
      </c>
      <c r="G61" s="205">
        <f>Data!C58</f>
        <v>247678</v>
      </c>
      <c r="H61" s="205">
        <f>Data!D58</f>
        <v>189250</v>
      </c>
      <c r="I61" s="205">
        <f>Data!E58</f>
        <v>200697</v>
      </c>
      <c r="J61" s="205">
        <f>Data!F58</f>
        <v>281254</v>
      </c>
      <c r="K61" s="205">
        <f>Data!G58</f>
        <v>-97419</v>
      </c>
      <c r="L61" s="205" t="str">
        <f>Data!H58</f>
        <v/>
      </c>
      <c r="M61" s="205" t="str">
        <f>Data!I58</f>
        <v/>
      </c>
      <c r="N61" s="205" t="str">
        <f>Data!J58</f>
        <v/>
      </c>
      <c r="O61" s="205" t="str">
        <f>Data!K58</f>
        <v/>
      </c>
      <c r="P61" s="205" t="str">
        <f>Data!L58</f>
        <v/>
      </c>
      <c r="Q61" s="205" t="str">
        <f>Data!M58</f>
        <v/>
      </c>
    </row>
    <row r="62" spans="1:17" ht="15.75" customHeight="1" x14ac:dyDescent="0.35">
      <c r="A62" s="10"/>
      <c r="B62" s="32" t="s">
        <v>208</v>
      </c>
      <c r="C62" s="195">
        <f>C60+C61</f>
        <v>0</v>
      </c>
      <c r="G62" s="195">
        <f t="shared" ref="G62:Q62" si="22">IF(G4="","",G60+G61)</f>
        <v>248317</v>
      </c>
      <c r="H62" s="195">
        <f t="shared" si="22"/>
        <v>190177</v>
      </c>
      <c r="I62" s="195">
        <f t="shared" si="22"/>
        <v>200697</v>
      </c>
      <c r="J62" s="195">
        <f t="shared" si="22"/>
        <v>281254</v>
      </c>
      <c r="K62" s="195">
        <f t="shared" si="22"/>
        <v>-97419</v>
      </c>
      <c r="L62" s="195" t="str">
        <f t="shared" si="22"/>
        <v/>
      </c>
      <c r="M62" s="195" t="str">
        <f t="shared" si="22"/>
        <v/>
      </c>
      <c r="N62" s="195" t="str">
        <f t="shared" si="22"/>
        <v/>
      </c>
      <c r="O62" s="195" t="str">
        <f t="shared" si="22"/>
        <v/>
      </c>
      <c r="P62" s="195" t="str">
        <f t="shared" si="22"/>
        <v/>
      </c>
      <c r="Q62" s="195" t="str">
        <f t="shared" si="22"/>
        <v/>
      </c>
    </row>
    <row r="63" spans="1:17" ht="15.75" customHeight="1" x14ac:dyDescent="0.35">
      <c r="A63" s="10"/>
    </row>
    <row r="64" spans="1:17" ht="15.75" customHeight="1" x14ac:dyDescent="0.35">
      <c r="A64" s="10"/>
      <c r="B64" s="106" t="s">
        <v>181</v>
      </c>
      <c r="G64" s="107" t="s">
        <v>232</v>
      </c>
    </row>
    <row r="65" spans="1:17" ht="15.75" customHeight="1" x14ac:dyDescent="0.35">
      <c r="A65" s="10"/>
      <c r="B65" s="41" t="s">
        <v>179</v>
      </c>
      <c r="C65" s="188">
        <f>G65</f>
        <v>0</v>
      </c>
      <c r="G65" s="24">
        <f>IFERROR(G57/BS!$C$67,0)</f>
        <v>0</v>
      </c>
      <c r="H65" s="187"/>
      <c r="I65" s="187"/>
      <c r="J65" s="187"/>
      <c r="K65" s="187"/>
      <c r="L65" s="187"/>
      <c r="M65" s="187"/>
      <c r="N65" s="187"/>
      <c r="O65" s="187"/>
      <c r="P65" s="187"/>
      <c r="Q65" s="187"/>
    </row>
    <row r="66" spans="1:17" ht="15.75" customHeight="1" x14ac:dyDescent="0.35">
      <c r="A66" s="10"/>
      <c r="B66" s="115" t="s">
        <v>169</v>
      </c>
      <c r="C66" s="188">
        <f>G66</f>
        <v>0</v>
      </c>
      <c r="G66" s="24">
        <f>IFERROR(G58/BS!$C$68,0)</f>
        <v>0</v>
      </c>
      <c r="H66" s="187"/>
      <c r="I66" s="187"/>
      <c r="J66" s="187"/>
      <c r="K66" s="187"/>
      <c r="L66" s="187"/>
      <c r="M66" s="187"/>
      <c r="N66" s="187"/>
      <c r="O66" s="187"/>
      <c r="P66" s="187"/>
      <c r="Q66" s="187"/>
    </row>
    <row r="67" spans="1:17" ht="15.75" customHeight="1" x14ac:dyDescent="0.35">
      <c r="A67" s="10"/>
      <c r="B67" s="115" t="s">
        <v>170</v>
      </c>
      <c r="C67" s="188">
        <f>G67</f>
        <v>0</v>
      </c>
      <c r="G67" s="24">
        <f>IFERROR(G59/BS!$C$79,0)</f>
        <v>0</v>
      </c>
      <c r="H67" s="187"/>
      <c r="I67" s="187"/>
      <c r="J67" s="187"/>
      <c r="K67" s="187"/>
      <c r="L67" s="187"/>
      <c r="M67" s="187"/>
      <c r="N67" s="187"/>
      <c r="O67" s="187"/>
      <c r="P67" s="187"/>
      <c r="Q67" s="187"/>
    </row>
    <row r="68" spans="1:17" ht="15.75" customHeight="1" x14ac:dyDescent="0.35">
      <c r="A68" s="10"/>
      <c r="B68" s="32" t="s">
        <v>206</v>
      </c>
      <c r="C68" s="77">
        <f>C60/BS!C70</f>
        <v>0</v>
      </c>
      <c r="D68" s="9"/>
      <c r="E68" s="9"/>
      <c r="F68" s="9"/>
      <c r="G68" s="77">
        <f>G60/BS!C70</f>
        <v>3.197847683362034E-4</v>
      </c>
      <c r="H68" s="187"/>
      <c r="I68" s="187"/>
      <c r="J68" s="187"/>
      <c r="K68" s="187"/>
      <c r="L68" s="187"/>
      <c r="M68" s="187"/>
      <c r="N68" s="187"/>
      <c r="O68" s="187"/>
      <c r="P68" s="187"/>
      <c r="Q68" s="187"/>
    </row>
    <row r="69" spans="1:17" ht="15.75" customHeight="1" x14ac:dyDescent="0.35">
      <c r="A69" s="10"/>
    </row>
    <row r="70" spans="1:17" ht="15.75" customHeight="1" x14ac:dyDescent="0.5">
      <c r="A70" s="10"/>
      <c r="B70" s="55" t="s">
        <v>225</v>
      </c>
      <c r="C70" s="55"/>
      <c r="D70" s="57"/>
      <c r="E70" s="68" t="s">
        <v>64</v>
      </c>
      <c r="F70" s="57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</row>
    <row r="71" spans="1:17" ht="15.75" customHeight="1" x14ac:dyDescent="0.35">
      <c r="A71" s="10"/>
      <c r="B71" s="78" t="s">
        <v>229</v>
      </c>
      <c r="C71" s="64"/>
      <c r="D71" s="28"/>
      <c r="E71" s="73"/>
      <c r="F71" s="28"/>
      <c r="G71" s="107"/>
      <c r="H71" s="12"/>
      <c r="I71" s="12"/>
      <c r="J71" s="12"/>
      <c r="K71" s="12"/>
      <c r="L71" s="12"/>
      <c r="M71" s="12"/>
      <c r="N71" s="12"/>
      <c r="O71" s="12"/>
      <c r="P71" s="12"/>
      <c r="Q71" s="12"/>
    </row>
    <row r="72" spans="1:17" ht="15.75" customHeight="1" x14ac:dyDescent="0.35">
      <c r="A72" s="10"/>
      <c r="B72" s="2" t="s">
        <v>50</v>
      </c>
      <c r="C72" s="84">
        <f>ABS(C5/C$4)</f>
        <v>0.85797166426114502</v>
      </c>
      <c r="D72" s="28"/>
      <c r="E72" s="73"/>
      <c r="F72" s="28"/>
      <c r="G72" s="6">
        <f t="shared" ref="G72:Q72" si="23">IF(G$4="","",ABS(G5/G$4))</f>
        <v>0.86096272455849754</v>
      </c>
      <c r="H72" s="6">
        <f t="shared" si="23"/>
        <v>0.85703537297697319</v>
      </c>
      <c r="I72" s="6">
        <f t="shared" si="23"/>
        <v>0.85154513157189637</v>
      </c>
      <c r="J72" s="6">
        <f t="shared" si="23"/>
        <v>0.86234342793721264</v>
      </c>
      <c r="K72" s="6">
        <f t="shared" si="23"/>
        <v>0.8773412774748568</v>
      </c>
      <c r="L72" s="6" t="str">
        <f t="shared" si="23"/>
        <v/>
      </c>
      <c r="M72" s="6" t="str">
        <f t="shared" si="23"/>
        <v/>
      </c>
      <c r="N72" s="6" t="str">
        <f t="shared" si="23"/>
        <v/>
      </c>
      <c r="O72" s="6" t="str">
        <f t="shared" si="23"/>
        <v/>
      </c>
      <c r="P72" s="6" t="str">
        <f t="shared" si="23"/>
        <v/>
      </c>
      <c r="Q72" s="6" t="str">
        <f t="shared" si="23"/>
        <v/>
      </c>
    </row>
    <row r="73" spans="1:17" ht="15.75" customHeight="1" x14ac:dyDescent="0.35">
      <c r="A73" s="10"/>
      <c r="B73" s="32" t="s">
        <v>52</v>
      </c>
      <c r="C73" s="85">
        <f>ABS(C6/C$4)</f>
        <v>0.14202833573885504</v>
      </c>
      <c r="D73" s="28"/>
      <c r="E73" s="73"/>
      <c r="F73" s="28"/>
      <c r="G73" s="67">
        <f t="shared" ref="G73:Q73" si="24">IF(G$4="","",ABS(G6/G$4))</f>
        <v>0.13903727544150246</v>
      </c>
      <c r="H73" s="67">
        <f t="shared" si="24"/>
        <v>0.14296462702302684</v>
      </c>
      <c r="I73" s="67">
        <f t="shared" si="24"/>
        <v>0.14845486842810363</v>
      </c>
      <c r="J73" s="67">
        <f t="shared" si="24"/>
        <v>0.13765657206278739</v>
      </c>
      <c r="K73" s="67">
        <f t="shared" si="24"/>
        <v>0.12265872252514316</v>
      </c>
      <c r="L73" s="67" t="str">
        <f t="shared" si="24"/>
        <v/>
      </c>
      <c r="M73" s="67" t="str">
        <f t="shared" si="24"/>
        <v/>
      </c>
      <c r="N73" s="67" t="str">
        <f t="shared" si="24"/>
        <v/>
      </c>
      <c r="O73" s="67" t="str">
        <f t="shared" si="24"/>
        <v/>
      </c>
      <c r="P73" s="67" t="str">
        <f t="shared" si="24"/>
        <v/>
      </c>
      <c r="Q73" s="67" t="str">
        <f t="shared" si="24"/>
        <v/>
      </c>
    </row>
    <row r="74" spans="1:17" ht="15.75" customHeight="1" x14ac:dyDescent="0.35">
      <c r="A74" s="10"/>
      <c r="B74" s="8" t="s">
        <v>49</v>
      </c>
      <c r="C74" s="84">
        <f>ABS(C7/C$4)</f>
        <v>2.5247654924924864E-2</v>
      </c>
      <c r="D74" s="28"/>
      <c r="E74" s="73"/>
      <c r="F74" s="28"/>
      <c r="G74" s="6">
        <f t="shared" ref="G74:Q74" si="25">IF(G$4="","",ABS(G7/G$4))</f>
        <v>1.6580166386945237E-2</v>
      </c>
      <c r="H74" s="6">
        <f t="shared" si="25"/>
        <v>2.9181044602016856E-2</v>
      </c>
      <c r="I74" s="6">
        <f t="shared" si="25"/>
        <v>2.7587615842589962E-2</v>
      </c>
      <c r="J74" s="6">
        <f t="shared" si="25"/>
        <v>3.1822067442433898E-2</v>
      </c>
      <c r="K74" s="6">
        <f t="shared" si="25"/>
        <v>1.5413524096227349E-2</v>
      </c>
      <c r="L74" s="6" t="str">
        <f t="shared" si="25"/>
        <v/>
      </c>
      <c r="M74" s="6" t="str">
        <f t="shared" si="25"/>
        <v/>
      </c>
      <c r="N74" s="6" t="str">
        <f t="shared" si="25"/>
        <v/>
      </c>
      <c r="O74" s="6" t="str">
        <f t="shared" si="25"/>
        <v/>
      </c>
      <c r="P74" s="6" t="str">
        <f t="shared" si="25"/>
        <v/>
      </c>
      <c r="Q74" s="6" t="str">
        <f t="shared" si="25"/>
        <v/>
      </c>
    </row>
    <row r="75" spans="1:17" ht="15.75" customHeight="1" x14ac:dyDescent="0.35">
      <c r="A75" s="10"/>
      <c r="B75" s="30" t="s">
        <v>164</v>
      </c>
      <c r="C75" s="85">
        <f>ABS(C8/C$4)</f>
        <v>0.11678068081393016</v>
      </c>
      <c r="D75" s="28"/>
      <c r="E75" s="73"/>
      <c r="F75" s="28"/>
      <c r="G75" s="67">
        <f t="shared" ref="G75:Q75" si="26">IF(G$4="","",ABS(G8/G$4))</f>
        <v>0.12245710905455723</v>
      </c>
      <c r="H75" s="67">
        <f t="shared" si="26"/>
        <v>0.11378358242100998</v>
      </c>
      <c r="I75" s="67">
        <f t="shared" si="26"/>
        <v>0.12086725258551366</v>
      </c>
      <c r="J75" s="67">
        <f t="shared" si="26"/>
        <v>0.10583450462035347</v>
      </c>
      <c r="K75" s="67">
        <f t="shared" si="26"/>
        <v>0.10724519842891581</v>
      </c>
      <c r="L75" s="67" t="str">
        <f t="shared" si="26"/>
        <v/>
      </c>
      <c r="M75" s="67" t="str">
        <f t="shared" si="26"/>
        <v/>
      </c>
      <c r="N75" s="67" t="str">
        <f t="shared" si="26"/>
        <v/>
      </c>
      <c r="O75" s="67" t="str">
        <f t="shared" si="26"/>
        <v/>
      </c>
      <c r="P75" s="67" t="str">
        <f t="shared" si="26"/>
        <v/>
      </c>
      <c r="Q75" s="67" t="str">
        <f t="shared" si="26"/>
        <v/>
      </c>
    </row>
    <row r="76" spans="1:17" ht="15.75" customHeight="1" x14ac:dyDescent="0.35">
      <c r="A76" s="10"/>
      <c r="B76" s="2" t="s">
        <v>70</v>
      </c>
      <c r="C76" s="84">
        <f>ABS(C9/C$4)</f>
        <v>3.8696911822371505E-2</v>
      </c>
      <c r="D76" s="28"/>
      <c r="E76" s="73"/>
      <c r="F76" s="28"/>
      <c r="G76" s="6">
        <f t="shared" ref="G76:Q76" si="27">IF(G$4="","",G9/G$4)</f>
        <v>3.0237840861147901E-2</v>
      </c>
      <c r="H76" s="6">
        <f t="shared" si="27"/>
        <v>3.1034299661942499E-2</v>
      </c>
      <c r="I76" s="6">
        <f t="shared" si="27"/>
        <v>3.7116997107550703E-2</v>
      </c>
      <c r="J76" s="6">
        <f t="shared" si="27"/>
        <v>5.8782113530297636E-2</v>
      </c>
      <c r="K76" s="6">
        <f t="shared" si="27"/>
        <v>0</v>
      </c>
      <c r="L76" s="6" t="str">
        <f t="shared" si="27"/>
        <v/>
      </c>
      <c r="M76" s="6" t="str">
        <f t="shared" si="27"/>
        <v/>
      </c>
      <c r="N76" s="6" t="str">
        <f t="shared" si="27"/>
        <v/>
      </c>
      <c r="O76" s="6" t="str">
        <f t="shared" si="27"/>
        <v/>
      </c>
      <c r="P76" s="6" t="str">
        <f t="shared" si="27"/>
        <v/>
      </c>
      <c r="Q76" s="6" t="str">
        <f t="shared" si="27"/>
        <v/>
      </c>
    </row>
    <row r="77" spans="1:17" ht="15.75" customHeight="1" x14ac:dyDescent="0.35">
      <c r="A77" s="10"/>
      <c r="B77" s="2" t="s">
        <v>91</v>
      </c>
      <c r="C77" s="97">
        <f>MAX(AVERAGE(G77:J77),C76)</f>
        <v>3.8696911822371505E-2</v>
      </c>
      <c r="D77" s="28"/>
      <c r="E77" s="70" t="s">
        <v>89</v>
      </c>
      <c r="F77" s="28"/>
      <c r="G77" s="6">
        <f t="shared" ref="G77:Q77" si="28">IF(G$4="","",-G10/G$4)</f>
        <v>4.413341231043115E-2</v>
      </c>
      <c r="H77" s="6">
        <f t="shared" si="28"/>
        <v>8.9565367523571013E-3</v>
      </c>
      <c r="I77" s="6">
        <f t="shared" si="28"/>
        <v>3.8804791663312119E-2</v>
      </c>
      <c r="J77" s="6">
        <f t="shared" si="28"/>
        <v>1.5679014505150749E-2</v>
      </c>
      <c r="K77" s="6">
        <f t="shared" si="28"/>
        <v>0</v>
      </c>
      <c r="L77" s="6" t="str">
        <f t="shared" si="28"/>
        <v/>
      </c>
      <c r="M77" s="6" t="str">
        <f t="shared" si="28"/>
        <v/>
      </c>
      <c r="N77" s="6" t="str">
        <f t="shared" si="28"/>
        <v/>
      </c>
      <c r="O77" s="6" t="str">
        <f t="shared" si="28"/>
        <v/>
      </c>
      <c r="P77" s="6" t="str">
        <f t="shared" si="28"/>
        <v/>
      </c>
      <c r="Q77" s="6" t="str">
        <f t="shared" si="28"/>
        <v/>
      </c>
    </row>
    <row r="78" spans="1:17" ht="15.75" customHeight="1" x14ac:dyDescent="0.35">
      <c r="A78" s="10"/>
      <c r="B78" s="32" t="s">
        <v>165</v>
      </c>
      <c r="C78" s="85">
        <f>ABS(C11/C$4)</f>
        <v>0</v>
      </c>
      <c r="D78" s="28"/>
      <c r="E78" s="73"/>
      <c r="F78" s="28"/>
      <c r="G78" s="67">
        <f t="shared" ref="G78:Q78" si="29">IF(G$4="","",G11/G$4)</f>
        <v>4.1693956960091643E-5</v>
      </c>
      <c r="H78" s="67">
        <f t="shared" si="29"/>
        <v>7.7392893078253488E-5</v>
      </c>
      <c r="I78" s="67">
        <f t="shared" si="29"/>
        <v>0</v>
      </c>
      <c r="J78" s="67">
        <f t="shared" si="29"/>
        <v>0</v>
      </c>
      <c r="K78" s="67">
        <f t="shared" si="29"/>
        <v>0</v>
      </c>
      <c r="L78" s="67" t="str">
        <f t="shared" si="29"/>
        <v/>
      </c>
      <c r="M78" s="67" t="str">
        <f t="shared" si="29"/>
        <v/>
      </c>
      <c r="N78" s="67" t="str">
        <f t="shared" si="29"/>
        <v/>
      </c>
      <c r="O78" s="67" t="str">
        <f t="shared" si="29"/>
        <v/>
      </c>
      <c r="P78" s="67" t="str">
        <f t="shared" si="29"/>
        <v/>
      </c>
      <c r="Q78" s="67" t="str">
        <f t="shared" si="29"/>
        <v/>
      </c>
    </row>
    <row r="79" spans="1:17" ht="15.75" customHeight="1" x14ac:dyDescent="0.35">
      <c r="A79" s="10"/>
      <c r="B79" s="2" t="s">
        <v>73</v>
      </c>
      <c r="C79" s="84">
        <f>ABS(C12/C$4)</f>
        <v>2.5567530880774266E-3</v>
      </c>
      <c r="D79" s="28"/>
      <c r="E79" s="73"/>
      <c r="F79" s="28"/>
      <c r="G79" s="6">
        <f t="shared" ref="G79:Q79" si="30">IF(G$4="","",ABS(G12/G$4))</f>
        <v>1.9978517498607917E-3</v>
      </c>
      <c r="H79" s="6">
        <f t="shared" si="30"/>
        <v>1.0320722160014773E-3</v>
      </c>
      <c r="I79" s="6">
        <f t="shared" si="30"/>
        <v>5.4735115251124938E-3</v>
      </c>
      <c r="J79" s="6">
        <f t="shared" si="30"/>
        <v>3.8988481983809435E-3</v>
      </c>
      <c r="K79" s="6">
        <f t="shared" si="30"/>
        <v>1.5689299701765328E-3</v>
      </c>
      <c r="L79" s="6" t="str">
        <f t="shared" si="30"/>
        <v/>
      </c>
      <c r="M79" s="6" t="str">
        <f t="shared" si="30"/>
        <v/>
      </c>
      <c r="N79" s="6" t="str">
        <f t="shared" si="30"/>
        <v/>
      </c>
      <c r="O79" s="6" t="str">
        <f t="shared" si="30"/>
        <v/>
      </c>
      <c r="P79" s="6" t="str">
        <f t="shared" si="30"/>
        <v/>
      </c>
      <c r="Q79" s="6" t="str">
        <f t="shared" si="30"/>
        <v/>
      </c>
    </row>
    <row r="80" spans="1:17" ht="15.75" customHeight="1" x14ac:dyDescent="0.35">
      <c r="A80" s="10"/>
      <c r="B80" s="76" t="s">
        <v>176</v>
      </c>
      <c r="C80" s="85">
        <f>C13/C4</f>
        <v>0.11422392772585273</v>
      </c>
      <c r="D80" s="28"/>
      <c r="E80" s="73"/>
      <c r="F80" s="28"/>
      <c r="G80" s="67">
        <f>IF(G$4="","",G13/G$4)</f>
        <v>0.10660537981237328</v>
      </c>
      <c r="H80" s="67">
        <f t="shared" ref="H80:Q80" si="31">IF(H$4="","",H13/H$4)</f>
        <v>0.13697081043967513</v>
      </c>
      <c r="I80" s="67">
        <f t="shared" si="31"/>
        <v>0.12465296955486474</v>
      </c>
      <c r="J80" s="67">
        <f t="shared" si="31"/>
        <v>0.15283645184388131</v>
      </c>
      <c r="K80" s="67">
        <f t="shared" si="31"/>
        <v>0.10567626845873927</v>
      </c>
      <c r="L80" s="67" t="str">
        <f t="shared" si="31"/>
        <v/>
      </c>
      <c r="M80" s="67" t="str">
        <f t="shared" si="31"/>
        <v/>
      </c>
      <c r="N80" s="67" t="str">
        <f t="shared" si="31"/>
        <v/>
      </c>
      <c r="O80" s="67" t="str">
        <f t="shared" si="31"/>
        <v/>
      </c>
      <c r="P80" s="67" t="str">
        <f t="shared" si="31"/>
        <v/>
      </c>
      <c r="Q80" s="67" t="str">
        <f t="shared" si="31"/>
        <v/>
      </c>
    </row>
    <row r="81" spans="1:17" ht="15.75" customHeight="1" x14ac:dyDescent="0.35">
      <c r="A81" s="10"/>
      <c r="B81" s="2" t="s">
        <v>68</v>
      </c>
      <c r="C81" s="84">
        <f>ABS(C14/C$4)</f>
        <v>2.8555981931463182E-2</v>
      </c>
      <c r="D81" s="28"/>
      <c r="E81" s="73"/>
      <c r="F81" s="28"/>
      <c r="G81" s="6">
        <f t="shared" ref="G81:Q81" si="32">IF(G$4="","",ABS(G14/G$4))</f>
        <v>2.134717546604905E-2</v>
      </c>
      <c r="H81" s="6">
        <f t="shared" si="32"/>
        <v>2.3431929819757211E-2</v>
      </c>
      <c r="I81" s="6">
        <f t="shared" si="32"/>
        <v>2.4816909944731565E-2</v>
      </c>
      <c r="J81" s="6">
        <f t="shared" si="32"/>
        <v>2.6666749423196391E-2</v>
      </c>
      <c r="K81" s="6">
        <f t="shared" si="32"/>
        <v>1.9887266706789732E-2</v>
      </c>
      <c r="L81" s="6" t="str">
        <f t="shared" si="32"/>
        <v/>
      </c>
      <c r="M81" s="6" t="str">
        <f t="shared" si="32"/>
        <v/>
      </c>
      <c r="N81" s="6" t="str">
        <f t="shared" si="32"/>
        <v/>
      </c>
      <c r="O81" s="6" t="str">
        <f t="shared" si="32"/>
        <v/>
      </c>
      <c r="P81" s="6" t="str">
        <f t="shared" si="32"/>
        <v/>
      </c>
      <c r="Q81" s="6" t="str">
        <f t="shared" si="32"/>
        <v/>
      </c>
    </row>
    <row r="82" spans="1:17" ht="15.75" customHeight="1" x14ac:dyDescent="0.35">
      <c r="A82" s="10"/>
      <c r="B82" s="41" t="str">
        <f>B15</f>
        <v>NCI’s Share of Profits</v>
      </c>
      <c r="C82" s="97">
        <f>MIN(BS!C62,MAX(G82:K82))</f>
        <v>0</v>
      </c>
      <c r="D82" s="28"/>
      <c r="E82" s="73"/>
      <c r="F82" s="28"/>
      <c r="G82" s="6">
        <f t="shared" ref="G82:Q82" si="33">IF(G$4="","",-G15/G$4)</f>
        <v>0</v>
      </c>
      <c r="H82" s="6">
        <f t="shared" si="33"/>
        <v>0</v>
      </c>
      <c r="I82" s="6">
        <f t="shared" si="33"/>
        <v>0</v>
      </c>
      <c r="J82" s="6">
        <f t="shared" si="33"/>
        <v>2.0301681405792693E-4</v>
      </c>
      <c r="K82" s="6">
        <f t="shared" si="33"/>
        <v>1.1901613447523543E-4</v>
      </c>
      <c r="L82" s="6" t="str">
        <f t="shared" si="33"/>
        <v/>
      </c>
      <c r="M82" s="6" t="str">
        <f t="shared" si="33"/>
        <v/>
      </c>
      <c r="N82" s="6" t="str">
        <f t="shared" si="33"/>
        <v/>
      </c>
      <c r="O82" s="6" t="str">
        <f t="shared" si="33"/>
        <v/>
      </c>
      <c r="P82" s="6" t="str">
        <f t="shared" si="33"/>
        <v/>
      </c>
      <c r="Q82" s="6" t="str">
        <f t="shared" si="33"/>
        <v/>
      </c>
    </row>
    <row r="83" spans="1:17" ht="15.75" customHeight="1" x14ac:dyDescent="0.35">
      <c r="A83" s="10"/>
      <c r="B83" s="42" t="s">
        <v>166</v>
      </c>
      <c r="C83" s="85">
        <f>ABS(C16/C$4)</f>
        <v>8.5667945794389549E-2</v>
      </c>
      <c r="D83" s="28"/>
      <c r="E83" s="73"/>
      <c r="F83" s="28"/>
      <c r="G83" s="67">
        <f t="shared" ref="G83:Q83" si="34">IF(G$4="","",ABS(G16/G$4))</f>
        <v>8.5258204346324237E-2</v>
      </c>
      <c r="H83" s="67">
        <f t="shared" si="34"/>
        <v>0.1135388806199179</v>
      </c>
      <c r="I83" s="67">
        <f t="shared" si="34"/>
        <v>9.9836059610133171E-2</v>
      </c>
      <c r="J83" s="67">
        <f t="shared" si="34"/>
        <v>0.12596668560662699</v>
      </c>
      <c r="K83" s="67">
        <f t="shared" si="34"/>
        <v>8.5669985617474312E-2</v>
      </c>
      <c r="L83" s="67" t="str">
        <f t="shared" si="34"/>
        <v/>
      </c>
      <c r="M83" s="67" t="str">
        <f t="shared" si="34"/>
        <v/>
      </c>
      <c r="N83" s="67" t="str">
        <f t="shared" si="34"/>
        <v/>
      </c>
      <c r="O83" s="67" t="str">
        <f t="shared" si="34"/>
        <v/>
      </c>
      <c r="P83" s="67" t="str">
        <f t="shared" si="34"/>
        <v/>
      </c>
      <c r="Q83" s="67" t="str">
        <f t="shared" si="34"/>
        <v/>
      </c>
    </row>
    <row r="84" spans="1:17" ht="15.75" customHeight="1" x14ac:dyDescent="0.35">
      <c r="A84" s="10"/>
      <c r="B84" s="28" t="s">
        <v>56</v>
      </c>
      <c r="C84" s="249">
        <v>0</v>
      </c>
      <c r="D84" s="28"/>
      <c r="E84" s="72" t="str">
        <f>E17</f>
        <v>WCInv is by default excluded</v>
      </c>
      <c r="F84" s="28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</row>
    <row r="85" spans="1:17" ht="15.75" customHeight="1" x14ac:dyDescent="0.35">
      <c r="A85" s="10"/>
      <c r="B85" s="8" t="s">
        <v>110</v>
      </c>
      <c r="C85" s="249">
        <v>0</v>
      </c>
      <c r="E85" s="72" t="str">
        <f>E18</f>
        <v>Net borrowing is excluded</v>
      </c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</row>
    <row r="86" spans="1:17" ht="15.75" customHeight="1" x14ac:dyDescent="0.35">
      <c r="A86" s="10"/>
      <c r="B86" s="32" t="s">
        <v>152</v>
      </c>
      <c r="C86" s="85">
        <f>ABS(C19/C$4)</f>
        <v>8.5667945794389549E-2</v>
      </c>
      <c r="D86" s="82"/>
      <c r="E86" s="73"/>
      <c r="F86" s="82"/>
      <c r="G86" s="67">
        <f t="shared" ref="G86:Q86" si="35">IF(G$4="","",ABS(G19/G$4))</f>
        <v>8.5258204346324237E-2</v>
      </c>
      <c r="H86" s="67">
        <f t="shared" si="35"/>
        <v>0.1135388806199179</v>
      </c>
      <c r="I86" s="67">
        <f t="shared" si="35"/>
        <v>9.9836059610133171E-2</v>
      </c>
      <c r="J86" s="67">
        <f t="shared" si="35"/>
        <v>0.12596668560662699</v>
      </c>
      <c r="K86" s="67">
        <f t="shared" si="35"/>
        <v>8.5669985617474312E-2</v>
      </c>
      <c r="L86" s="67" t="str">
        <f t="shared" si="35"/>
        <v/>
      </c>
      <c r="M86" s="67" t="str">
        <f t="shared" si="35"/>
        <v/>
      </c>
      <c r="N86" s="67" t="str">
        <f t="shared" si="35"/>
        <v/>
      </c>
      <c r="O86" s="67" t="str">
        <f t="shared" si="35"/>
        <v/>
      </c>
      <c r="P86" s="67" t="str">
        <f t="shared" si="35"/>
        <v/>
      </c>
      <c r="Q86" s="67" t="str">
        <f t="shared" si="35"/>
        <v/>
      </c>
    </row>
    <row r="87" spans="1:17" ht="15.75" customHeight="1" x14ac:dyDescent="0.35">
      <c r="A87" s="10"/>
    </row>
    <row r="88" spans="1:17" ht="15.75" customHeight="1" x14ac:dyDescent="0.35">
      <c r="A88" s="10"/>
      <c r="B88" s="66" t="s">
        <v>227</v>
      </c>
    </row>
    <row r="89" spans="1:17" ht="15.75" customHeight="1" x14ac:dyDescent="0.35">
      <c r="A89" s="10"/>
      <c r="B89" s="2" t="str">
        <f>"Dividend per share ("&amp;Market_currency&amp;")"</f>
        <v>Dividend per share (HKD)</v>
      </c>
      <c r="C89" s="124">
        <f>G89</f>
        <v>1.3599999999999999</v>
      </c>
      <c r="G89" s="123">
        <f>Data!C64</f>
        <v>1.3599999999999999</v>
      </c>
      <c r="H89" s="123">
        <f>Data!D64</f>
        <v>1.1000000000000001</v>
      </c>
      <c r="I89" s="123">
        <f>Data!E64</f>
        <v>1.1000000000000001</v>
      </c>
      <c r="J89" s="123">
        <f>Data!F64</f>
        <v>1</v>
      </c>
      <c r="K89" s="123">
        <f>Data!G64</f>
        <v>1</v>
      </c>
      <c r="L89" s="123" t="str">
        <f>Data!H64</f>
        <v/>
      </c>
      <c r="M89" s="123" t="str">
        <f>Data!I64</f>
        <v/>
      </c>
      <c r="N89" s="123" t="str">
        <f>Data!J64</f>
        <v/>
      </c>
      <c r="O89" s="123" t="str">
        <f>Data!K64</f>
        <v/>
      </c>
      <c r="P89" s="123" t="str">
        <f>Data!L64</f>
        <v/>
      </c>
      <c r="Q89" s="123" t="str">
        <f>Data!M64</f>
        <v/>
      </c>
    </row>
    <row r="90" spans="1:17" ht="15.75" customHeight="1" x14ac:dyDescent="0.35">
      <c r="A90" s="10"/>
      <c r="B90" s="2" t="str">
        <f>"Dividend ("&amp;Market_currency&amp;")"</f>
        <v>Dividend (HKD)</v>
      </c>
      <c r="C90" s="81">
        <f>C89*Common_Shares/$C$3</f>
        <v>798466.67599999986</v>
      </c>
      <c r="G90" s="81">
        <f t="shared" ref="G90:Q90" si="36">IF(G$4="","",G89*Common_Shares/$C$3)</f>
        <v>798466.67599999986</v>
      </c>
      <c r="H90" s="81">
        <f t="shared" si="36"/>
        <v>645818.63500000001</v>
      </c>
      <c r="I90" s="81">
        <f t="shared" si="36"/>
        <v>645818.63500000001</v>
      </c>
      <c r="J90" s="81">
        <f t="shared" si="36"/>
        <v>587107.85</v>
      </c>
      <c r="K90" s="81">
        <f t="shared" si="36"/>
        <v>587107.85</v>
      </c>
      <c r="L90" s="81" t="str">
        <f t="shared" si="36"/>
        <v/>
      </c>
      <c r="M90" s="81" t="str">
        <f t="shared" si="36"/>
        <v/>
      </c>
      <c r="N90" s="81" t="str">
        <f t="shared" si="36"/>
        <v/>
      </c>
      <c r="O90" s="81" t="str">
        <f t="shared" si="36"/>
        <v/>
      </c>
      <c r="P90" s="81" t="str">
        <f t="shared" si="36"/>
        <v/>
      </c>
      <c r="Q90" s="81" t="str">
        <f t="shared" si="36"/>
        <v/>
      </c>
    </row>
    <row r="91" spans="1:17" ht="15.75" customHeight="1" x14ac:dyDescent="0.35">
      <c r="A91" s="10"/>
      <c r="B91" s="2" t="s">
        <v>226</v>
      </c>
      <c r="C91" s="24">
        <f>C89/(C19*$C$3/Common_Shares)</f>
        <v>0.77828064251671081</v>
      </c>
      <c r="G91" s="182">
        <f t="shared" ref="G91:Q91" si="37">IF(G$4="","",G89/(G19*$C$3/Common_Shares))</f>
        <v>0.61107268280139337</v>
      </c>
      <c r="H91" s="182">
        <f t="shared" si="37"/>
        <v>0.4748837531646361</v>
      </c>
      <c r="I91" s="182">
        <f t="shared" si="37"/>
        <v>0.55110750382299534</v>
      </c>
      <c r="J91" s="182">
        <f t="shared" si="37"/>
        <v>0.52597248961462351</v>
      </c>
      <c r="K91" s="182">
        <f t="shared" si="37"/>
        <v>0.61004746481961181</v>
      </c>
      <c r="L91" s="182" t="str">
        <f t="shared" si="37"/>
        <v/>
      </c>
      <c r="M91" s="182" t="str">
        <f t="shared" si="37"/>
        <v/>
      </c>
      <c r="N91" s="182" t="str">
        <f t="shared" si="37"/>
        <v/>
      </c>
      <c r="O91" s="182" t="str">
        <f t="shared" si="37"/>
        <v/>
      </c>
      <c r="P91" s="182" t="str">
        <f t="shared" si="37"/>
        <v/>
      </c>
      <c r="Q91" s="182" t="str">
        <f t="shared" si="37"/>
        <v/>
      </c>
    </row>
    <row r="92" spans="1:17" ht="15.75" customHeight="1" x14ac:dyDescent="0.35">
      <c r="A92" s="10"/>
      <c r="B92" s="2" t="s">
        <v>357</v>
      </c>
      <c r="C92" s="24">
        <f>C89/Market_Price</f>
        <v>8.8426527958387499E-2</v>
      </c>
      <c r="G92" s="24">
        <f t="shared" ref="G92:Q92" si="38">IF(G$4="","",G89/Market_Price)</f>
        <v>8.8426527958387499E-2</v>
      </c>
      <c r="H92" s="24">
        <f t="shared" si="38"/>
        <v>7.1521456436931086E-2</v>
      </c>
      <c r="I92" s="24">
        <f t="shared" si="38"/>
        <v>7.1521456436931086E-2</v>
      </c>
      <c r="J92" s="24">
        <f t="shared" si="38"/>
        <v>6.5019505851755519E-2</v>
      </c>
      <c r="K92" s="24">
        <f t="shared" si="38"/>
        <v>6.5019505851755519E-2</v>
      </c>
      <c r="L92" s="24" t="str">
        <f t="shared" si="38"/>
        <v/>
      </c>
      <c r="M92" s="24" t="str">
        <f t="shared" si="38"/>
        <v/>
      </c>
      <c r="N92" s="24" t="str">
        <f t="shared" si="38"/>
        <v/>
      </c>
      <c r="O92" s="24" t="str">
        <f t="shared" si="38"/>
        <v/>
      </c>
      <c r="P92" s="24" t="str">
        <f t="shared" si="38"/>
        <v/>
      </c>
      <c r="Q92" s="24" t="str">
        <f t="shared" si="38"/>
        <v/>
      </c>
    </row>
    <row r="93" spans="1:17" ht="15.75" customHeight="1" x14ac:dyDescent="0.35">
      <c r="A93" s="10"/>
    </row>
    <row r="94" spans="1:17" ht="15.75" customHeight="1" x14ac:dyDescent="0.35">
      <c r="A94" s="10"/>
      <c r="B94" s="169" t="s">
        <v>95</v>
      </c>
      <c r="C94" s="64"/>
      <c r="D94" s="28"/>
      <c r="E94" s="73"/>
      <c r="F94" s="28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</row>
    <row r="95" spans="1:17" ht="15.75" customHeight="1" x14ac:dyDescent="0.35">
      <c r="A95" s="10"/>
      <c r="B95" s="28" t="s">
        <v>156</v>
      </c>
      <c r="C95" s="84">
        <f>C4/G4-1</f>
        <v>-0.2185980886550547</v>
      </c>
      <c r="D95" s="28"/>
      <c r="E95" s="73"/>
      <c r="F95" s="28"/>
      <c r="G95" s="6">
        <f t="shared" ref="G95:Q95" si="39">IF(H4="","",G4/H4-1)</f>
        <v>0.27952593137796744</v>
      </c>
      <c r="H95" s="6">
        <f t="shared" si="39"/>
        <v>2.0450249505806095E-2</v>
      </c>
      <c r="I95" s="6">
        <f t="shared" si="39"/>
        <v>0.32460887665346139</v>
      </c>
      <c r="J95" s="6">
        <f t="shared" si="39"/>
        <v>-0.21118785490642455</v>
      </c>
      <c r="K95" s="6" t="str">
        <f t="shared" si="39"/>
        <v/>
      </c>
      <c r="L95" s="6" t="str">
        <f t="shared" si="39"/>
        <v/>
      </c>
      <c r="M95" s="6" t="str">
        <f t="shared" si="39"/>
        <v/>
      </c>
      <c r="N95" s="6" t="str">
        <f t="shared" si="39"/>
        <v/>
      </c>
      <c r="O95" s="6" t="str">
        <f t="shared" si="39"/>
        <v/>
      </c>
      <c r="P95" s="6" t="str">
        <f t="shared" si="39"/>
        <v/>
      </c>
      <c r="Q95" s="6" t="str">
        <f t="shared" si="39"/>
        <v/>
      </c>
    </row>
    <row r="96" spans="1:17" ht="15.75" customHeight="1" x14ac:dyDescent="0.35">
      <c r="A96" s="10"/>
      <c r="B96" s="76" t="s">
        <v>176</v>
      </c>
      <c r="C96" s="84">
        <f>C13/G13-1</f>
        <v>-0.16275524177674994</v>
      </c>
      <c r="D96" s="28"/>
      <c r="E96" s="73"/>
      <c r="F96" s="28"/>
      <c r="G96" s="6">
        <f t="shared" ref="G96:Q96" si="40">IF(H5="","",G13/H13-1)</f>
        <v>-4.1356442553555084E-3</v>
      </c>
      <c r="H96" s="6">
        <f t="shared" si="40"/>
        <v>0.12128815051341224</v>
      </c>
      <c r="I96" s="6">
        <f t="shared" si="40"/>
        <v>8.0347181458058747E-2</v>
      </c>
      <c r="J96" s="6">
        <f t="shared" si="40"/>
        <v>0.14083560278753282</v>
      </c>
      <c r="K96" s="6" t="str">
        <f t="shared" si="40"/>
        <v/>
      </c>
      <c r="L96" s="6" t="str">
        <f t="shared" si="40"/>
        <v/>
      </c>
      <c r="M96" s="6" t="str">
        <f t="shared" si="40"/>
        <v/>
      </c>
      <c r="N96" s="6" t="str">
        <f t="shared" si="40"/>
        <v/>
      </c>
      <c r="O96" s="6" t="str">
        <f t="shared" si="40"/>
        <v/>
      </c>
      <c r="P96" s="6" t="str">
        <f t="shared" si="40"/>
        <v/>
      </c>
      <c r="Q96" s="6" t="str">
        <f t="shared" si="40"/>
        <v/>
      </c>
    </row>
    <row r="97" spans="1:17" ht="15.75" customHeight="1" x14ac:dyDescent="0.35">
      <c r="A97" s="10"/>
    </row>
    <row r="98" spans="1:17" ht="15.75" customHeight="1" x14ac:dyDescent="0.5">
      <c r="A98" s="3"/>
      <c r="B98" s="55" t="s">
        <v>228</v>
      </c>
      <c r="C98" s="55"/>
      <c r="D98" s="57"/>
      <c r="E98" s="68" t="s">
        <v>64</v>
      </c>
      <c r="F98" s="57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</row>
    <row r="99" spans="1:17" ht="15.75" customHeight="1" x14ac:dyDescent="0.35">
      <c r="A99" s="10"/>
      <c r="B99" s="66" t="s">
        <v>30</v>
      </c>
      <c r="G99" s="107" t="s">
        <v>232</v>
      </c>
    </row>
    <row r="100" spans="1:17" ht="15.75" customHeight="1" x14ac:dyDescent="0.35">
      <c r="A100" s="10"/>
      <c r="B100" s="27" t="s">
        <v>4</v>
      </c>
      <c r="C100" s="213">
        <f>BS!G32</f>
        <v>16854064</v>
      </c>
      <c r="D100" s="27"/>
      <c r="E100" s="27"/>
      <c r="F100" s="27"/>
      <c r="G100" s="194">
        <f t="shared" ref="G100:Q100" si="41">IF(G$4="","",G104+G103)</f>
        <v>16854064</v>
      </c>
      <c r="H100" s="194">
        <f t="shared" si="41"/>
        <v>14687373</v>
      </c>
      <c r="I100" s="194">
        <f t="shared" si="41"/>
        <v>15987114</v>
      </c>
      <c r="J100" s="194">
        <f t="shared" si="41"/>
        <v>14270996</v>
      </c>
      <c r="K100" s="194">
        <f t="shared" si="41"/>
        <v>0</v>
      </c>
      <c r="L100" s="194" t="str">
        <f t="shared" si="41"/>
        <v/>
      </c>
      <c r="M100" s="194" t="str">
        <f t="shared" si="41"/>
        <v/>
      </c>
      <c r="N100" s="194" t="str">
        <f t="shared" si="41"/>
        <v/>
      </c>
      <c r="O100" s="194" t="str">
        <f t="shared" si="41"/>
        <v/>
      </c>
      <c r="P100" s="194" t="str">
        <f t="shared" si="41"/>
        <v/>
      </c>
      <c r="Q100" s="194" t="str">
        <f t="shared" si="41"/>
        <v/>
      </c>
    </row>
    <row r="101" spans="1:17" ht="15.75" customHeight="1" x14ac:dyDescent="0.35">
      <c r="A101" s="10"/>
      <c r="B101" s="102" t="s">
        <v>223</v>
      </c>
      <c r="C101" s="214">
        <f>BS!C4</f>
        <v>265773</v>
      </c>
      <c r="D101" s="98"/>
      <c r="E101" s="98"/>
      <c r="F101" s="98"/>
      <c r="G101" s="196">
        <f>IF(G$4="","",Data!D76)</f>
        <v>213823</v>
      </c>
      <c r="H101" s="196">
        <f>IF(H$4="","",Data!E76)</f>
        <v>187711</v>
      </c>
      <c r="I101" s="196">
        <f>IF(I$4="","",Data!F76)</f>
        <v>277338</v>
      </c>
      <c r="J101" s="196">
        <f>IF(J$4="","",Data!G76)</f>
        <v>0</v>
      </c>
      <c r="K101" s="196" t="str">
        <f>IF(K$4="","",Data!H76)</f>
        <v/>
      </c>
      <c r="L101" s="196" t="str">
        <f>IF(L$4="","",Data!I76)</f>
        <v/>
      </c>
      <c r="M101" s="196" t="str">
        <f>IF(M$4="","",Data!J76)</f>
        <v/>
      </c>
      <c r="N101" s="196" t="str">
        <f>IF(N$4="","",Data!K76)</f>
        <v/>
      </c>
      <c r="O101" s="196" t="str">
        <f>IF(O$4="","",Data!L76)</f>
        <v/>
      </c>
      <c r="P101" s="196" t="str">
        <f>IF(P$4="","",Data!M76)</f>
        <v/>
      </c>
      <c r="Q101" s="196" t="str">
        <f>IF(Q$4="","",Data!N76)</f>
        <v/>
      </c>
    </row>
    <row r="102" spans="1:17" ht="15.75" customHeight="1" x14ac:dyDescent="0.35">
      <c r="A102" s="10"/>
      <c r="B102" s="102" t="s">
        <v>224</v>
      </c>
      <c r="C102" s="214">
        <f>BS!C6+BS!C7</f>
        <v>9672256</v>
      </c>
      <c r="D102" s="98"/>
      <c r="E102" s="98"/>
      <c r="F102" s="98"/>
      <c r="G102" s="196">
        <f>IF(G$4="","",Data!D77)</f>
        <v>8852611</v>
      </c>
      <c r="H102" s="196">
        <f>IF(H$4="","",Data!E77)</f>
        <v>8769304</v>
      </c>
      <c r="I102" s="196">
        <f>IF(I$4="","",Data!F77)</f>
        <v>7321614</v>
      </c>
      <c r="J102" s="196">
        <f>IF(J$4="","",Data!G77)</f>
        <v>0</v>
      </c>
      <c r="K102" s="196" t="str">
        <f>IF(K$4="","",Data!H77)</f>
        <v/>
      </c>
      <c r="L102" s="196" t="str">
        <f>IF(L$4="","",Data!I77)</f>
        <v/>
      </c>
      <c r="M102" s="196" t="str">
        <f>IF(M$4="","",Data!J77)</f>
        <v/>
      </c>
      <c r="N102" s="196" t="str">
        <f>IF(N$4="","",Data!K77)</f>
        <v/>
      </c>
      <c r="O102" s="196" t="str">
        <f>IF(O$4="","",Data!L77)</f>
        <v/>
      </c>
      <c r="P102" s="196" t="str">
        <f>IF(P$4="","",Data!M77)</f>
        <v/>
      </c>
      <c r="Q102" s="196" t="str">
        <f>IF(Q$4="","",Data!N77)</f>
        <v/>
      </c>
    </row>
    <row r="103" spans="1:17" ht="15.75" customHeight="1" x14ac:dyDescent="0.35">
      <c r="A103" s="10"/>
      <c r="B103" s="27" t="s">
        <v>42</v>
      </c>
      <c r="C103" s="213">
        <f>BS!G30</f>
        <v>3990166</v>
      </c>
      <c r="D103" s="27"/>
      <c r="E103" s="27"/>
      <c r="F103" s="27"/>
      <c r="G103" s="194">
        <f>Data!C78</f>
        <v>3990166</v>
      </c>
      <c r="H103" s="194">
        <f>Data!D78</f>
        <v>2466431</v>
      </c>
      <c r="I103" s="194">
        <f>Data!E78</f>
        <v>3908586</v>
      </c>
      <c r="J103" s="194">
        <f>Data!F78</f>
        <v>2946772</v>
      </c>
      <c r="K103" s="194">
        <f>Data!G78</f>
        <v>0</v>
      </c>
      <c r="L103" s="194" t="str">
        <f>Data!H78</f>
        <v/>
      </c>
      <c r="M103" s="194" t="str">
        <f>Data!I78</f>
        <v/>
      </c>
      <c r="N103" s="194" t="str">
        <f>Data!J78</f>
        <v/>
      </c>
      <c r="O103" s="194" t="str">
        <f>Data!K78</f>
        <v/>
      </c>
      <c r="P103" s="194" t="str">
        <f>Data!L78</f>
        <v/>
      </c>
      <c r="Q103" s="194" t="str">
        <f>Data!M78</f>
        <v/>
      </c>
    </row>
    <row r="104" spans="1:17" ht="15.75" customHeight="1" x14ac:dyDescent="0.35">
      <c r="A104" s="10"/>
      <c r="B104" s="27" t="s">
        <v>32</v>
      </c>
      <c r="C104" s="213">
        <f>BS!G27</f>
        <v>12863898</v>
      </c>
      <c r="D104" s="27"/>
      <c r="E104" s="27"/>
      <c r="F104" s="27"/>
      <c r="G104" s="194">
        <f>Data!C79</f>
        <v>12863898</v>
      </c>
      <c r="H104" s="194">
        <f>Data!D79</f>
        <v>12220942</v>
      </c>
      <c r="I104" s="194">
        <f>Data!E79</f>
        <v>12078528</v>
      </c>
      <c r="J104" s="194">
        <f>Data!F79</f>
        <v>11324224</v>
      </c>
      <c r="K104" s="194">
        <f>Data!G79</f>
        <v>0</v>
      </c>
      <c r="L104" s="194" t="str">
        <f>Data!H79</f>
        <v/>
      </c>
      <c r="M104" s="194" t="str">
        <f>Data!I79</f>
        <v/>
      </c>
      <c r="N104" s="194" t="str">
        <f>Data!J79</f>
        <v/>
      </c>
      <c r="O104" s="194" t="str">
        <f>Data!K79</f>
        <v/>
      </c>
      <c r="P104" s="194" t="str">
        <f>Data!L79</f>
        <v/>
      </c>
      <c r="Q104" s="194" t="str">
        <f>Data!M79</f>
        <v/>
      </c>
    </row>
    <row r="105" spans="1:17" ht="15.75" customHeight="1" x14ac:dyDescent="0.35">
      <c r="A105" s="10"/>
    </row>
    <row r="106" spans="1:17" ht="15.75" customHeight="1" x14ac:dyDescent="0.35">
      <c r="A106" s="10"/>
      <c r="B106" s="100" t="s">
        <v>233</v>
      </c>
      <c r="C106" s="27"/>
      <c r="D106" s="27"/>
      <c r="E106" s="27"/>
      <c r="F106" s="27"/>
      <c r="G106" s="107" t="s">
        <v>232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</row>
    <row r="107" spans="1:17" ht="15.75" customHeight="1" x14ac:dyDescent="0.35">
      <c r="A107" s="10"/>
      <c r="B107" s="27" t="s">
        <v>230</v>
      </c>
      <c r="C107" s="104">
        <f>C101/C$4</f>
        <v>2.2192623484686036E-2</v>
      </c>
      <c r="D107" s="27"/>
      <c r="E107" s="27"/>
      <c r="F107" s="27"/>
      <c r="G107" s="104">
        <f t="shared" ref="G107:Q107" si="42">IF(G$4="","",G101/G$4)</f>
        <v>1.3951685381968192E-2</v>
      </c>
      <c r="H107" s="104">
        <f t="shared" si="42"/>
        <v>1.5671518179732512E-2</v>
      </c>
      <c r="I107" s="104">
        <f t="shared" si="42"/>
        <v>2.3627760663558588E-2</v>
      </c>
      <c r="J107" s="104">
        <f t="shared" si="42"/>
        <v>0</v>
      </c>
      <c r="K107" s="104" t="e">
        <f t="shared" si="42"/>
        <v>#VALUE!</v>
      </c>
      <c r="L107" s="104" t="str">
        <f t="shared" si="42"/>
        <v/>
      </c>
      <c r="M107" s="104" t="str">
        <f t="shared" si="42"/>
        <v/>
      </c>
      <c r="N107" s="104" t="str">
        <f t="shared" si="42"/>
        <v/>
      </c>
      <c r="O107" s="104" t="str">
        <f t="shared" si="42"/>
        <v/>
      </c>
      <c r="P107" s="104" t="str">
        <f t="shared" si="42"/>
        <v/>
      </c>
      <c r="Q107" s="104" t="str">
        <f t="shared" si="42"/>
        <v/>
      </c>
    </row>
    <row r="108" spans="1:17" ht="15.75" customHeight="1" x14ac:dyDescent="0.35">
      <c r="A108" s="10"/>
      <c r="B108" s="27" t="s">
        <v>231</v>
      </c>
      <c r="C108" s="104">
        <f>C102/C$4</f>
        <v>0.80765441055146836</v>
      </c>
      <c r="D108" s="27"/>
      <c r="E108" s="27"/>
      <c r="F108" s="27"/>
      <c r="G108" s="104">
        <f t="shared" ref="G108:Q108" si="43">IF(G$4="","",G102/G$4)</f>
        <v>0.57762188109301071</v>
      </c>
      <c r="H108" s="104">
        <f t="shared" si="43"/>
        <v>0.73212708397270831</v>
      </c>
      <c r="I108" s="104">
        <f t="shared" si="43"/>
        <v>0.62376357824373097</v>
      </c>
      <c r="J108" s="104">
        <f t="shared" si="43"/>
        <v>0</v>
      </c>
      <c r="K108" s="104" t="e">
        <f t="shared" si="43"/>
        <v>#VALUE!</v>
      </c>
      <c r="L108" s="104" t="str">
        <f t="shared" si="43"/>
        <v/>
      </c>
      <c r="M108" s="104" t="str">
        <f t="shared" si="43"/>
        <v/>
      </c>
      <c r="N108" s="104" t="str">
        <f t="shared" si="43"/>
        <v/>
      </c>
      <c r="O108" s="104" t="str">
        <f t="shared" si="43"/>
        <v/>
      </c>
      <c r="P108" s="104" t="str">
        <f t="shared" si="43"/>
        <v/>
      </c>
      <c r="Q108" s="104" t="str">
        <f t="shared" si="43"/>
        <v/>
      </c>
    </row>
    <row r="109" spans="1:17" ht="15.75" customHeight="1" x14ac:dyDescent="0.35">
      <c r="A109" s="10"/>
      <c r="B109" s="27" t="s">
        <v>74</v>
      </c>
      <c r="C109" s="104">
        <f>BS!$G$38/C$4</f>
        <v>0</v>
      </c>
      <c r="D109" s="27"/>
      <c r="E109" s="27"/>
      <c r="F109" s="27"/>
      <c r="G109" s="104">
        <f>BS!$G$38/G$4</f>
        <v>0</v>
      </c>
      <c r="H109" s="239"/>
      <c r="I109" s="239"/>
      <c r="J109" s="239"/>
      <c r="K109" s="239"/>
      <c r="L109" s="239"/>
      <c r="M109" s="239"/>
      <c r="N109" s="239"/>
      <c r="O109" s="239"/>
      <c r="P109" s="239"/>
      <c r="Q109" s="239"/>
    </row>
    <row r="110" spans="1:17" ht="15.75" customHeight="1" x14ac:dyDescent="0.35">
      <c r="A110" s="10"/>
    </row>
    <row r="111" spans="1:17" ht="15.75" customHeight="1" x14ac:dyDescent="0.35">
      <c r="A111" s="10"/>
      <c r="B111" s="100" t="s">
        <v>40</v>
      </c>
      <c r="C111" s="56"/>
      <c r="D111" s="56"/>
      <c r="E111" s="56"/>
      <c r="F111" s="56"/>
      <c r="G111" s="24" t="str">
        <f>IFERROR(IF(#REF!*G113*(1/#REF!)=G115,"","Error"),"")</f>
        <v/>
      </c>
      <c r="H111" s="24" t="str">
        <f>IFERROR(IF(#REF!*H113*(1/#REF!)=H115,"","Error"),"")</f>
        <v/>
      </c>
      <c r="I111" s="24" t="str">
        <f>IFERROR(IF(#REF!*I113*(1/#REF!)=I115,"","Error"),"")</f>
        <v/>
      </c>
      <c r="J111" s="24" t="str">
        <f>IFERROR(IF(#REF!*J113*(1/#REF!)=J115,"","Error"),"")</f>
        <v/>
      </c>
      <c r="K111" s="24" t="str">
        <f>IFERROR(IF(#REF!*K113*(1/#REF!)=K115,"","Error"),"")</f>
        <v/>
      </c>
      <c r="L111" s="24" t="str">
        <f>IFERROR(IF(#REF!*L113*(1/#REF!)=L115,"","Error"),"")</f>
        <v/>
      </c>
      <c r="M111" s="24" t="str">
        <f>IFERROR(IF(#REF!*M113*(1/#REF!)=M115,"","Error"),"")</f>
        <v/>
      </c>
      <c r="N111" s="24" t="str">
        <f>IFERROR(IF(#REF!*N113*(1/#REF!)=N115,"","Error"),"")</f>
        <v/>
      </c>
      <c r="O111" s="24" t="str">
        <f>IFERROR(IF(#REF!*O113*(1/#REF!)=O115,"","Error"),"")</f>
        <v/>
      </c>
      <c r="P111" s="24" t="str">
        <f>IFERROR(IF(#REF!*P113*(1/#REF!)=P115,"","Error"),"")</f>
        <v/>
      </c>
      <c r="Q111" s="24" t="str">
        <f>IFERROR(IF(#REF!*Q113*(1/#REF!)=Q115,"","Error"),"")</f>
        <v/>
      </c>
    </row>
    <row r="112" spans="1:17" ht="15.75" customHeight="1" x14ac:dyDescent="0.35">
      <c r="A112" s="10"/>
      <c r="B112" s="7" t="s">
        <v>234</v>
      </c>
      <c r="C112" s="24">
        <f>C80</f>
        <v>0.11422392772585273</v>
      </c>
      <c r="G112" s="24">
        <f t="shared" ref="G112:Q112" si="44">G80</f>
        <v>0.10660537981237328</v>
      </c>
      <c r="H112" s="24">
        <f t="shared" si="44"/>
        <v>0.13697081043967513</v>
      </c>
      <c r="I112" s="24">
        <f t="shared" si="44"/>
        <v>0.12465296955486474</v>
      </c>
      <c r="J112" s="24">
        <f t="shared" si="44"/>
        <v>0.15283645184388131</v>
      </c>
      <c r="K112" s="24">
        <f t="shared" si="44"/>
        <v>0.10567626845873927</v>
      </c>
      <c r="L112" s="24" t="str">
        <f t="shared" si="44"/>
        <v/>
      </c>
      <c r="M112" s="24" t="str">
        <f t="shared" si="44"/>
        <v/>
      </c>
      <c r="N112" s="24" t="str">
        <f t="shared" si="44"/>
        <v/>
      </c>
      <c r="O112" s="24" t="str">
        <f t="shared" si="44"/>
        <v/>
      </c>
      <c r="P112" s="24" t="str">
        <f t="shared" si="44"/>
        <v/>
      </c>
      <c r="Q112" s="24" t="str">
        <f t="shared" si="44"/>
        <v/>
      </c>
    </row>
    <row r="113" spans="1:17" ht="15.75" customHeight="1" x14ac:dyDescent="0.35">
      <c r="B113" s="7" t="s">
        <v>94</v>
      </c>
      <c r="C113" s="43">
        <f>C4/C100</f>
        <v>0.71055479556740742</v>
      </c>
      <c r="G113" s="43">
        <f t="shared" ref="G113:Q113" si="45">IF(G4="","",G4/G100)</f>
        <v>0.90933332162498015</v>
      </c>
      <c r="H113" s="43">
        <f t="shared" si="45"/>
        <v>0.81551983462257005</v>
      </c>
      <c r="I113" s="43">
        <f t="shared" si="45"/>
        <v>0.73420399704411943</v>
      </c>
      <c r="J113" s="43">
        <f t="shared" si="45"/>
        <v>0.62093318504188499</v>
      </c>
      <c r="K113" s="43" t="e">
        <f t="shared" si="45"/>
        <v>#DIV/0!</v>
      </c>
      <c r="L113" s="43" t="str">
        <f t="shared" si="45"/>
        <v/>
      </c>
      <c r="M113" s="43" t="str">
        <f t="shared" si="45"/>
        <v/>
      </c>
      <c r="N113" s="43" t="str">
        <f t="shared" si="45"/>
        <v/>
      </c>
      <c r="O113" s="43" t="str">
        <f t="shared" si="45"/>
        <v/>
      </c>
      <c r="P113" s="43" t="str">
        <f t="shared" si="45"/>
        <v/>
      </c>
      <c r="Q113" s="43" t="str">
        <f t="shared" si="45"/>
        <v/>
      </c>
    </row>
    <row r="114" spans="1:17" ht="15.75" customHeight="1" x14ac:dyDescent="0.35">
      <c r="B114" s="7" t="s">
        <v>102</v>
      </c>
      <c r="C114" s="15">
        <f>C100/C104</f>
        <v>1.3101832741522048</v>
      </c>
      <c r="D114" s="11"/>
      <c r="E114" s="11"/>
      <c r="F114" s="11"/>
      <c r="G114" s="15">
        <f t="shared" ref="G114:Q114" si="46">IF(G$4="","",G100/G104)</f>
        <v>1.3101832741522048</v>
      </c>
      <c r="H114" s="15">
        <f t="shared" si="46"/>
        <v>1.2018200397317982</v>
      </c>
      <c r="I114" s="15">
        <f t="shared" si="46"/>
        <v>1.3235978755027102</v>
      </c>
      <c r="J114" s="15">
        <f t="shared" si="46"/>
        <v>1.2602184485223888</v>
      </c>
      <c r="K114" s="15" t="e">
        <f t="shared" si="46"/>
        <v>#DIV/0!</v>
      </c>
      <c r="L114" s="15" t="str">
        <f t="shared" si="46"/>
        <v/>
      </c>
      <c r="M114" s="15" t="str">
        <f t="shared" si="46"/>
        <v/>
      </c>
      <c r="N114" s="15" t="str">
        <f t="shared" si="46"/>
        <v/>
      </c>
      <c r="O114" s="15" t="str">
        <f t="shared" si="46"/>
        <v/>
      </c>
      <c r="P114" s="15" t="str">
        <f t="shared" si="46"/>
        <v/>
      </c>
      <c r="Q114" s="15" t="str">
        <f t="shared" si="46"/>
        <v/>
      </c>
    </row>
    <row r="115" spans="1:17" ht="15.75" customHeight="1" x14ac:dyDescent="0.35">
      <c r="A115" s="10"/>
      <c r="B115" s="76" t="s">
        <v>235</v>
      </c>
      <c r="C115" s="112">
        <f>C8/C104</f>
        <v>0.10871779326358874</v>
      </c>
      <c r="D115" s="113"/>
      <c r="E115" s="113"/>
      <c r="F115" s="113"/>
      <c r="G115" s="112">
        <f t="shared" ref="G115:Q115" si="47">IF(G$4="","",G8/G104)</f>
        <v>0.14589458032083277</v>
      </c>
      <c r="H115" s="112">
        <f t="shared" si="47"/>
        <v>0.11152020850765841</v>
      </c>
      <c r="I115" s="112">
        <f t="shared" si="47"/>
        <v>0.1174576902086082</v>
      </c>
      <c r="J115" s="112">
        <f t="shared" si="47"/>
        <v>8.2816712209154458E-2</v>
      </c>
      <c r="K115" s="112" t="e">
        <f t="shared" si="47"/>
        <v>#DIV/0!</v>
      </c>
      <c r="L115" s="112" t="str">
        <f t="shared" si="47"/>
        <v/>
      </c>
      <c r="M115" s="112" t="str">
        <f t="shared" si="47"/>
        <v/>
      </c>
      <c r="N115" s="112" t="str">
        <f t="shared" si="47"/>
        <v/>
      </c>
      <c r="O115" s="112" t="str">
        <f t="shared" si="47"/>
        <v/>
      </c>
      <c r="P115" s="112" t="str">
        <f t="shared" si="47"/>
        <v/>
      </c>
      <c r="Q115" s="112" t="str">
        <f t="shared" si="47"/>
        <v/>
      </c>
    </row>
    <row r="116" spans="1:17" ht="15.75" customHeight="1" x14ac:dyDescent="0.35">
      <c r="A116" s="10"/>
      <c r="B116" s="28"/>
      <c r="C116" s="64"/>
      <c r="D116" s="28"/>
      <c r="E116" s="73"/>
      <c r="F116" s="28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</row>
    <row r="117" spans="1:17" ht="15.75" customHeight="1" x14ac:dyDescent="0.5">
      <c r="A117" s="10"/>
      <c r="B117" s="55" t="s">
        <v>236</v>
      </c>
      <c r="C117" s="55"/>
      <c r="D117" s="57"/>
      <c r="E117" s="68" t="s">
        <v>64</v>
      </c>
      <c r="F117" s="57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</row>
    <row r="118" spans="1:17" ht="15.75" customHeight="1" x14ac:dyDescent="0.35">
      <c r="A118" s="10"/>
      <c r="B118" s="190" t="s">
        <v>182</v>
      </c>
      <c r="C118" s="191"/>
      <c r="D118" s="28"/>
      <c r="E118" s="73"/>
      <c r="F118" s="28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</row>
    <row r="119" spans="1:17" ht="15.75" customHeight="1" x14ac:dyDescent="0.35">
      <c r="A119" s="10"/>
      <c r="B119" s="28" t="str">
        <f>"FCFE per share ("&amp;Market_currency&amp;")"</f>
        <v>FCFE per share (HKD)</v>
      </c>
      <c r="C119" s="189">
        <f>C16*$C$3/Common_Shares*Exchange_Rate</f>
        <v>1.7474416369938157</v>
      </c>
      <c r="D119" s="28"/>
      <c r="E119" s="73"/>
      <c r="F119" s="28"/>
      <c r="G119" s="189">
        <f t="shared" ref="G119:Q119" si="48">IF(G$4="","",G16*$C$3/Common_Shares*Exchange_Rate)</f>
        <v>2.2255944968203032</v>
      </c>
      <c r="H119" s="189">
        <f t="shared" si="48"/>
        <v>2.316356355991493</v>
      </c>
      <c r="I119" s="189">
        <f t="shared" si="48"/>
        <v>1.9959808065928601</v>
      </c>
      <c r="J119" s="189">
        <f t="shared" si="48"/>
        <v>1.9012401213848529</v>
      </c>
      <c r="K119" s="189">
        <f t="shared" si="48"/>
        <v>1.6392167129088804</v>
      </c>
      <c r="L119" s="189" t="str">
        <f t="shared" si="48"/>
        <v/>
      </c>
      <c r="M119" s="189" t="str">
        <f t="shared" si="48"/>
        <v/>
      </c>
      <c r="N119" s="189" t="str">
        <f t="shared" si="48"/>
        <v/>
      </c>
      <c r="O119" s="189" t="str">
        <f t="shared" si="48"/>
        <v/>
      </c>
      <c r="P119" s="189" t="str">
        <f t="shared" si="48"/>
        <v/>
      </c>
      <c r="Q119" s="189" t="str">
        <f t="shared" si="48"/>
        <v/>
      </c>
    </row>
    <row r="120" spans="1:17" ht="15.75" customHeight="1" x14ac:dyDescent="0.35">
      <c r="A120" s="10"/>
      <c r="B120" s="28" t="s">
        <v>297</v>
      </c>
      <c r="C120" s="84">
        <f>C19*Exchange_Rate*$C$3/(Market_Price*Common_Shares)</f>
        <v>0.11361779174212065</v>
      </c>
      <c r="D120" s="28"/>
      <c r="E120" s="73"/>
      <c r="F120" s="28"/>
      <c r="G120" s="84">
        <f t="shared" ref="G120" si="49">IF(G$4="","",G119/Market_Price)</f>
        <v>0.1447070544096426</v>
      </c>
      <c r="H120" s="84">
        <f t="shared" ref="H120" si="50">IF(H$4="","",H119/Market_Price)</f>
        <v>0.15060834564313999</v>
      </c>
      <c r="I120" s="84">
        <f t="shared" ref="I120" si="51">IF(I$4="","",I119/Market_Price)</f>
        <v>0.12977768573425619</v>
      </c>
      <c r="J120" s="84">
        <f t="shared" ref="J120" si="52">IF(J$4="","",J119/Market_Price)</f>
        <v>0.12361769319797482</v>
      </c>
      <c r="K120" s="84">
        <f t="shared" ref="K120" si="53">IF(K$4="","",K119/Market_Price)</f>
        <v>0.10658106065727441</v>
      </c>
      <c r="L120" s="84" t="str">
        <f t="shared" ref="L120" si="54">IF(L$4="","",L119/Market_Price)</f>
        <v/>
      </c>
      <c r="M120" s="84" t="str">
        <f t="shared" ref="M120" si="55">IF(M$4="","",M119/Market_Price)</f>
        <v/>
      </c>
      <c r="N120" s="84" t="str">
        <f t="shared" ref="N120" si="56">IF(N$4="","",N119/Market_Price)</f>
        <v/>
      </c>
      <c r="O120" s="84" t="str">
        <f t="shared" ref="O120" si="57">IF(O$4="","",O119/Market_Price)</f>
        <v/>
      </c>
      <c r="P120" s="84" t="str">
        <f t="shared" ref="P120" si="58">IF(P$4="","",P119/Market_Price)</f>
        <v/>
      </c>
      <c r="Q120" s="84" t="str">
        <f t="shared" ref="Q120" si="59">IF(Q$4="","",Q119/Market_Price)</f>
        <v/>
      </c>
    </row>
    <row r="121" spans="1:17" ht="15.75" customHeight="1" x14ac:dyDescent="0.35"/>
    <row r="122" spans="1:17" ht="15.75" customHeight="1" x14ac:dyDescent="0.35"/>
    <row r="123" spans="1:17" ht="15.75" customHeight="1" x14ac:dyDescent="0.35"/>
    <row r="124" spans="1:17" ht="15.75" customHeight="1" x14ac:dyDescent="0.35"/>
    <row r="125" spans="1:17" ht="15.75" customHeight="1" x14ac:dyDescent="0.35"/>
    <row r="126" spans="1:17" ht="15.75" customHeight="1" x14ac:dyDescent="0.35"/>
    <row r="127" spans="1:17" ht="15.75" customHeight="1" x14ac:dyDescent="0.35"/>
    <row r="128" spans="1:17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</sheetData>
  <phoneticPr fontId="2" type="noConversion"/>
  <conditionalFormatting sqref="G4:Q13 G15:Q16 G23:Q24 G34:Q34">
    <cfRule type="expression" dxfId="2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A2:H94"/>
  <sheetViews>
    <sheetView showGridLines="0" topLeftCell="A19" zoomScale="75" zoomScaleNormal="85" workbookViewId="0">
      <selection activeCell="D24" sqref="D24"/>
    </sheetView>
  </sheetViews>
  <sheetFormatPr defaultColWidth="8.796875" defaultRowHeight="12.75" x14ac:dyDescent="0.35"/>
  <cols>
    <col min="1" max="1" width="6.1328125" customWidth="1"/>
    <col min="2" max="2" width="24.73046875" customWidth="1"/>
    <col min="3" max="6" width="20.6640625" customWidth="1"/>
    <col min="7" max="7" width="5.6640625" customWidth="1"/>
    <col min="8" max="8" width="56.796875" bestFit="1" customWidth="1"/>
  </cols>
  <sheetData>
    <row r="2" spans="2:8" ht="13.9" x14ac:dyDescent="0.45">
      <c r="B2" s="37" t="s">
        <v>60</v>
      </c>
      <c r="C2" s="38"/>
      <c r="D2" s="38"/>
      <c r="E2" s="38"/>
      <c r="F2" s="38"/>
      <c r="H2" s="141" t="s">
        <v>64</v>
      </c>
    </row>
    <row r="3" spans="2:8" ht="13.15" x14ac:dyDescent="0.4">
      <c r="B3" s="119" t="s">
        <v>175</v>
      </c>
      <c r="C3" s="117">
        <f>Normalized_FCF!C3</f>
        <v>1000</v>
      </c>
      <c r="E3" s="119" t="s">
        <v>136</v>
      </c>
      <c r="H3" s="131"/>
    </row>
    <row r="4" spans="2:8" x14ac:dyDescent="0.35">
      <c r="B4" s="110" t="s">
        <v>140</v>
      </c>
      <c r="C4" s="120">
        <f>Normalized_FCF!C19</f>
        <v>1025936.7024959195</v>
      </c>
      <c r="D4" t="str">
        <f>Reporting_currency</f>
        <v>HKD</v>
      </c>
      <c r="E4" s="110" t="s">
        <v>269</v>
      </c>
      <c r="F4" s="145">
        <f>Thesis!C71</f>
        <v>0</v>
      </c>
      <c r="H4" s="131"/>
    </row>
    <row r="5" spans="2:8" x14ac:dyDescent="0.35">
      <c r="B5" s="241" t="s">
        <v>135</v>
      </c>
      <c r="C5" s="242">
        <f>Thesis!C67</f>
        <v>0.09</v>
      </c>
      <c r="E5" s="159"/>
      <c r="H5" s="131"/>
    </row>
    <row r="6" spans="2:8" ht="13.15" customHeight="1" x14ac:dyDescent="0.4">
      <c r="B6" s="160" t="s">
        <v>241</v>
      </c>
      <c r="C6" s="246">
        <f>(C4*(1+Terminal_Growth))/(Equity_Cost-Terminal_Growth)</f>
        <v>11399296.694399107</v>
      </c>
      <c r="D6" t="str">
        <f>Reporting_currency</f>
        <v>HKD</v>
      </c>
      <c r="E6" s="313" t="s">
        <v>268</v>
      </c>
      <c r="F6" s="313"/>
      <c r="H6" s="131"/>
    </row>
    <row r="7" spans="2:8" x14ac:dyDescent="0.35">
      <c r="B7" s="159" t="s">
        <v>237</v>
      </c>
      <c r="C7" s="240">
        <f>BS!G31</f>
        <v>1715502</v>
      </c>
      <c r="D7" t="str">
        <f>Reporting_currency</f>
        <v>HKD</v>
      </c>
      <c r="E7" s="313"/>
      <c r="F7" s="313"/>
      <c r="H7" s="131"/>
    </row>
    <row r="8" spans="2:8" x14ac:dyDescent="0.35">
      <c r="B8" s="159" t="s">
        <v>238</v>
      </c>
      <c r="C8" s="215">
        <f>BS!D66</f>
        <v>1116785.5502773244</v>
      </c>
      <c r="D8" t="str">
        <f>Reporting_currency</f>
        <v>HKD</v>
      </c>
      <c r="E8" s="313"/>
      <c r="F8" s="313"/>
      <c r="H8" s="131"/>
    </row>
    <row r="9" spans="2:8" x14ac:dyDescent="0.35">
      <c r="B9" s="241" t="s">
        <v>202</v>
      </c>
      <c r="C9" s="243">
        <f>BS!H42</f>
        <v>92572.6</v>
      </c>
      <c r="D9" t="str">
        <f>Reporting_currency</f>
        <v>HKD</v>
      </c>
      <c r="E9" s="313"/>
      <c r="F9" s="313"/>
      <c r="H9" s="131"/>
    </row>
    <row r="10" spans="2:8" ht="13.15" x14ac:dyDescent="0.4">
      <c r="B10" s="160" t="s">
        <v>240</v>
      </c>
      <c r="C10" s="246">
        <f>C6-C7+C8+C9</f>
        <v>10893152.844676431</v>
      </c>
      <c r="D10" t="str">
        <f>Reporting_currency</f>
        <v>HKD</v>
      </c>
      <c r="H10" s="131"/>
    </row>
    <row r="11" spans="2:8" ht="13.15" thickBot="1" x14ac:dyDescent="0.4">
      <c r="B11" s="244" t="s">
        <v>178</v>
      </c>
      <c r="C11" s="245">
        <f>Exchange_Rate</f>
        <v>1</v>
      </c>
      <c r="D11" t="str">
        <f>Thesis!D9</f>
        <v>HKD</v>
      </c>
      <c r="H11" s="131"/>
    </row>
    <row r="12" spans="2:8" ht="13.5" thickTop="1" x14ac:dyDescent="0.4">
      <c r="B12" s="160" t="s">
        <v>114</v>
      </c>
      <c r="C12" s="122">
        <f>(C10*C3)/Common_Shares*C11</f>
        <v>18.553921301982985</v>
      </c>
      <c r="D12" t="str">
        <f>Market_currency</f>
        <v>HKD</v>
      </c>
      <c r="H12" s="131"/>
    </row>
    <row r="13" spans="2:8" x14ac:dyDescent="0.35">
      <c r="H13" s="131"/>
    </row>
    <row r="14" spans="2:8" ht="13.9" x14ac:dyDescent="0.45">
      <c r="B14" s="37" t="s">
        <v>242</v>
      </c>
      <c r="C14" s="38"/>
      <c r="D14" s="38"/>
      <c r="E14" s="38"/>
      <c r="F14" s="38"/>
      <c r="H14" s="131"/>
    </row>
    <row r="15" spans="2:8" ht="13.15" x14ac:dyDescent="0.35">
      <c r="B15" s="130" t="s">
        <v>147</v>
      </c>
      <c r="H15" s="131"/>
    </row>
    <row r="16" spans="2:8" ht="13.25" customHeight="1" x14ac:dyDescent="0.35">
      <c r="B16" s="163" t="s">
        <v>145</v>
      </c>
      <c r="C16" s="173">
        <f>Scenarios!C65</f>
        <v>6.9371044268871293E-3</v>
      </c>
      <c r="H16" s="131"/>
    </row>
    <row r="17" spans="2:8" ht="13.25" customHeight="1" x14ac:dyDescent="0.35">
      <c r="B17" s="129" t="s">
        <v>146</v>
      </c>
      <c r="C17" s="174">
        <f>Scenarios!C64</f>
        <v>10</v>
      </c>
      <c r="H17" s="131"/>
    </row>
    <row r="18" spans="2:8" ht="13.25" customHeight="1" x14ac:dyDescent="0.4">
      <c r="B18" s="164" t="s">
        <v>118</v>
      </c>
      <c r="C18" s="151">
        <f>(F52-C7+C8+C9)*Exchange_Rate/Common_Shares*C3</f>
        <v>18.991218721398649</v>
      </c>
      <c r="D18" t="str">
        <f>Market_currency</f>
        <v>HKD</v>
      </c>
      <c r="H18" s="131"/>
    </row>
    <row r="19" spans="2:8" x14ac:dyDescent="0.35">
      <c r="H19" s="131"/>
    </row>
    <row r="20" spans="2:8" ht="13.15" x14ac:dyDescent="0.4">
      <c r="B20" s="139" t="s">
        <v>119</v>
      </c>
      <c r="C20" s="139" t="s">
        <v>120</v>
      </c>
      <c r="D20" s="139" t="s">
        <v>130</v>
      </c>
      <c r="E20" s="139" t="s">
        <v>121</v>
      </c>
      <c r="F20" s="140" t="s">
        <v>122</v>
      </c>
      <c r="H20" s="131"/>
    </row>
    <row r="21" spans="2:8" x14ac:dyDescent="0.35">
      <c r="B21" s="133">
        <v>1</v>
      </c>
      <c r="C21" s="134">
        <f>C4*(1+D21)</f>
        <v>1033053.73253651</v>
      </c>
      <c r="D21" s="149">
        <f>IF($C$17&lt;B21,0,Valuation_Model!$C$16)</f>
        <v>6.9371044268871293E-3</v>
      </c>
      <c r="E21" s="135">
        <f t="shared" ref="E21:E50" si="0">IF($C$17&lt;B21,0,1/(1+Equity_Cost)^B21)</f>
        <v>0.9174311926605504</v>
      </c>
      <c r="F21" s="136">
        <f t="shared" ref="F21:F51" si="1">C21*E21</f>
        <v>947755.7179234036</v>
      </c>
      <c r="H21" s="131"/>
    </row>
    <row r="22" spans="2:8" x14ac:dyDescent="0.35">
      <c r="B22" s="133">
        <v>2</v>
      </c>
      <c r="C22" s="134">
        <f t="shared" ref="C22:C50" si="2">IF(ROW()-ROW($C$21)&lt;$C$17, $C$21*(1+D22)^(ROW()-ROW($C$21)), 0)</f>
        <v>1040220.1341577013</v>
      </c>
      <c r="D22" s="149">
        <f>IF($C$17&lt;B22,0,Valuation_Model!$C$16)</f>
        <v>6.9371044268871293E-3</v>
      </c>
      <c r="E22" s="135">
        <f t="shared" si="0"/>
        <v>0.84167999326655996</v>
      </c>
      <c r="F22" s="136">
        <f t="shared" si="1"/>
        <v>875532.47551359411</v>
      </c>
      <c r="H22" s="131"/>
    </row>
    <row r="23" spans="2:8" x14ac:dyDescent="0.35">
      <c r="B23" s="133">
        <v>3</v>
      </c>
      <c r="C23" s="134">
        <f t="shared" si="2"/>
        <v>1047436.2498553038</v>
      </c>
      <c r="D23" s="149">
        <f>IF($C$17&lt;B23,0,Valuation_Model!$C$16)</f>
        <v>6.9371044268871293E-3</v>
      </c>
      <c r="E23" s="135">
        <f t="shared" si="0"/>
        <v>0.77218348006106419</v>
      </c>
      <c r="F23" s="136">
        <f t="shared" si="1"/>
        <v>808812.96855537884</v>
      </c>
      <c r="H23" s="131"/>
    </row>
    <row r="24" spans="2:8" x14ac:dyDescent="0.35">
      <c r="B24" s="133">
        <v>4</v>
      </c>
      <c r="C24" s="134">
        <f t="shared" si="2"/>
        <v>1054702.424501057</v>
      </c>
      <c r="D24" s="149">
        <f>IF($C$17&lt;B24,0,Valuation_Model!$C$16)</f>
        <v>6.9371044268871293E-3</v>
      </c>
      <c r="E24" s="135">
        <f t="shared" si="0"/>
        <v>0.7084252110651964</v>
      </c>
      <c r="F24" s="136">
        <f t="shared" si="1"/>
        <v>747177.78768813564</v>
      </c>
      <c r="H24" s="131"/>
    </row>
    <row r="25" spans="2:8" x14ac:dyDescent="0.35">
      <c r="B25" s="133">
        <v>5</v>
      </c>
      <c r="C25" s="134">
        <f t="shared" si="2"/>
        <v>1062019.0053591118</v>
      </c>
      <c r="D25" s="149">
        <f>IF($C$17&lt;B25,0,Valuation_Model!$C$16)</f>
        <v>6.9371044268871293E-3</v>
      </c>
      <c r="E25" s="135">
        <f t="shared" si="0"/>
        <v>0.64993138629834524</v>
      </c>
      <c r="F25" s="136">
        <f t="shared" si="1"/>
        <v>690239.48442823731</v>
      </c>
      <c r="H25" s="131"/>
    </row>
    <row r="26" spans="2:8" x14ac:dyDescent="0.35">
      <c r="B26" s="133">
        <v>6</v>
      </c>
      <c r="C26" s="134">
        <f t="shared" si="2"/>
        <v>1069386.3421026268</v>
      </c>
      <c r="D26" s="149">
        <f>IF($C$17&lt;B26,0,Valuation_Model!$C$16)</f>
        <v>6.9371044268871293E-3</v>
      </c>
      <c r="E26" s="135">
        <f t="shared" si="0"/>
        <v>0.5962673268792158</v>
      </c>
      <c r="F26" s="136">
        <f t="shared" si="1"/>
        <v>637640.13560667587</v>
      </c>
      <c r="H26" s="131"/>
    </row>
    <row r="27" spans="2:8" x14ac:dyDescent="0.35">
      <c r="B27" s="133">
        <v>7</v>
      </c>
      <c r="C27" s="134">
        <f t="shared" si="2"/>
        <v>1076804.7868304797</v>
      </c>
      <c r="D27" s="149">
        <f>IF($C$17&lt;B27,0,Valuation_Model!$C$16)</f>
        <v>6.9371044268871293E-3</v>
      </c>
      <c r="E27" s="135">
        <f t="shared" si="0"/>
        <v>0.54703424484331731</v>
      </c>
      <c r="F27" s="136">
        <f t="shared" si="1"/>
        <v>589049.09340748074</v>
      </c>
      <c r="H27" s="131"/>
    </row>
    <row r="28" spans="2:8" x14ac:dyDescent="0.35">
      <c r="B28" s="133">
        <v>8</v>
      </c>
      <c r="C28" s="134">
        <f t="shared" si="2"/>
        <v>1084274.6940840944</v>
      </c>
      <c r="D28" s="149">
        <f>IF($C$17&lt;B28,0,Valuation_Model!$C$16)</f>
        <v>6.9371044268871293E-3</v>
      </c>
      <c r="E28" s="135">
        <f t="shared" si="0"/>
        <v>0.50186627967276809</v>
      </c>
      <c r="F28" s="136">
        <f t="shared" si="1"/>
        <v>544160.90686331317</v>
      </c>
      <c r="H28" s="131"/>
    </row>
    <row r="29" spans="2:8" x14ac:dyDescent="0.35">
      <c r="B29" s="133">
        <v>9</v>
      </c>
      <c r="C29" s="134">
        <f t="shared" si="2"/>
        <v>1091796.4208643869</v>
      </c>
      <c r="D29" s="149">
        <f>IF($C$17&lt;B29,0,Valuation_Model!$C$16)</f>
        <v>6.9371044268871293E-3</v>
      </c>
      <c r="E29" s="135">
        <f t="shared" si="0"/>
        <v>0.46042777951630098</v>
      </c>
      <c r="F29" s="136">
        <f t="shared" si="1"/>
        <v>502693.40174243454</v>
      </c>
      <c r="H29" s="131"/>
    </row>
    <row r="30" spans="2:8" x14ac:dyDescent="0.35">
      <c r="B30" s="133">
        <v>10</v>
      </c>
      <c r="C30" s="134">
        <f t="shared" si="2"/>
        <v>1099370.3266488248</v>
      </c>
      <c r="D30" s="149">
        <f>IF($C$17&lt;B30,0,Valuation_Model!$C$16)</f>
        <v>6.9371044268871293E-3</v>
      </c>
      <c r="E30" s="135">
        <f t="shared" si="0"/>
        <v>0.42241080689568894</v>
      </c>
      <c r="F30" s="136">
        <f t="shared" si="1"/>
        <v>464385.90675690724</v>
      </c>
      <c r="H30" s="131"/>
    </row>
    <row r="31" spans="2:8" x14ac:dyDescent="0.35">
      <c r="B31" s="133">
        <v>11</v>
      </c>
      <c r="C31" s="134">
        <f t="shared" si="2"/>
        <v>0</v>
      </c>
      <c r="D31" s="149">
        <f>IF($C$17&lt;B31,0,Valuation_Model!$C$16)</f>
        <v>0</v>
      </c>
      <c r="E31" s="135">
        <f t="shared" si="0"/>
        <v>0</v>
      </c>
      <c r="F31" s="136">
        <f t="shared" si="1"/>
        <v>0</v>
      </c>
      <c r="H31" s="131"/>
    </row>
    <row r="32" spans="2:8" x14ac:dyDescent="0.35">
      <c r="B32" s="133">
        <v>12</v>
      </c>
      <c r="C32" s="134">
        <f t="shared" si="2"/>
        <v>0</v>
      </c>
      <c r="D32" s="149">
        <f>IF($C$17&lt;B32,0,Valuation_Model!$C$16)</f>
        <v>0</v>
      </c>
      <c r="E32" s="135">
        <f t="shared" si="0"/>
        <v>0</v>
      </c>
      <c r="F32" s="136">
        <f t="shared" si="1"/>
        <v>0</v>
      </c>
      <c r="H32" s="131"/>
    </row>
    <row r="33" spans="2:8" x14ac:dyDescent="0.35">
      <c r="B33" s="133">
        <v>13</v>
      </c>
      <c r="C33" s="134">
        <f t="shared" si="2"/>
        <v>0</v>
      </c>
      <c r="D33" s="149">
        <f>IF($C$17&lt;B33,0,Valuation_Model!$C$16)</f>
        <v>0</v>
      </c>
      <c r="E33" s="135">
        <f t="shared" si="0"/>
        <v>0</v>
      </c>
      <c r="F33" s="136">
        <f t="shared" si="1"/>
        <v>0</v>
      </c>
      <c r="H33" s="131"/>
    </row>
    <row r="34" spans="2:8" x14ac:dyDescent="0.35">
      <c r="B34" s="133">
        <v>14</v>
      </c>
      <c r="C34" s="134">
        <f t="shared" si="2"/>
        <v>0</v>
      </c>
      <c r="D34" s="149">
        <f>IF($C$17&lt;B34,0,Valuation_Model!$C$16)</f>
        <v>0</v>
      </c>
      <c r="E34" s="135">
        <f t="shared" si="0"/>
        <v>0</v>
      </c>
      <c r="F34" s="136">
        <f t="shared" si="1"/>
        <v>0</v>
      </c>
      <c r="H34" s="131"/>
    </row>
    <row r="35" spans="2:8" x14ac:dyDescent="0.35">
      <c r="B35" s="133">
        <v>15</v>
      </c>
      <c r="C35" s="134">
        <f t="shared" si="2"/>
        <v>0</v>
      </c>
      <c r="D35" s="149">
        <f>IF($C$17&lt;B35,0,Valuation_Model!$C$16)</f>
        <v>0</v>
      </c>
      <c r="E35" s="135">
        <f t="shared" si="0"/>
        <v>0</v>
      </c>
      <c r="F35" s="136">
        <f t="shared" si="1"/>
        <v>0</v>
      </c>
      <c r="H35" s="131"/>
    </row>
    <row r="36" spans="2:8" x14ac:dyDescent="0.35">
      <c r="B36" s="133">
        <v>16</v>
      </c>
      <c r="C36" s="134">
        <f t="shared" si="2"/>
        <v>0</v>
      </c>
      <c r="D36" s="149">
        <f>IF($C$17&lt;B36,0,Valuation_Model!$C$16)</f>
        <v>0</v>
      </c>
      <c r="E36" s="135">
        <f t="shared" si="0"/>
        <v>0</v>
      </c>
      <c r="F36" s="136">
        <f t="shared" si="1"/>
        <v>0</v>
      </c>
      <c r="H36" s="131"/>
    </row>
    <row r="37" spans="2:8" x14ac:dyDescent="0.35">
      <c r="B37" s="133">
        <v>17</v>
      </c>
      <c r="C37" s="134">
        <f t="shared" si="2"/>
        <v>0</v>
      </c>
      <c r="D37" s="149">
        <f>IF($C$17&lt;B37,0,Valuation_Model!$C$16)</f>
        <v>0</v>
      </c>
      <c r="E37" s="135">
        <f t="shared" si="0"/>
        <v>0</v>
      </c>
      <c r="F37" s="136">
        <f t="shared" si="1"/>
        <v>0</v>
      </c>
      <c r="H37" s="131"/>
    </row>
    <row r="38" spans="2:8" x14ac:dyDescent="0.35">
      <c r="B38" s="133">
        <v>18</v>
      </c>
      <c r="C38" s="134">
        <f t="shared" si="2"/>
        <v>0</v>
      </c>
      <c r="D38" s="149">
        <f>IF($C$17&lt;B38,0,Valuation_Model!$C$16)</f>
        <v>0</v>
      </c>
      <c r="E38" s="135">
        <f t="shared" si="0"/>
        <v>0</v>
      </c>
      <c r="F38" s="136">
        <f t="shared" si="1"/>
        <v>0</v>
      </c>
      <c r="H38" s="131"/>
    </row>
    <row r="39" spans="2:8" x14ac:dyDescent="0.35">
      <c r="B39" s="133">
        <v>19</v>
      </c>
      <c r="C39" s="134">
        <f t="shared" si="2"/>
        <v>0</v>
      </c>
      <c r="D39" s="149">
        <f>IF($C$17&lt;B39,0,Valuation_Model!$C$16)</f>
        <v>0</v>
      </c>
      <c r="E39" s="135">
        <f t="shared" si="0"/>
        <v>0</v>
      </c>
      <c r="F39" s="136">
        <f t="shared" si="1"/>
        <v>0</v>
      </c>
      <c r="H39" s="131"/>
    </row>
    <row r="40" spans="2:8" x14ac:dyDescent="0.35">
      <c r="B40" s="133">
        <v>20</v>
      </c>
      <c r="C40" s="134">
        <f t="shared" si="2"/>
        <v>0</v>
      </c>
      <c r="D40" s="149">
        <f>IF($C$17&lt;B40,0,Valuation_Model!$C$16)</f>
        <v>0</v>
      </c>
      <c r="E40" s="135">
        <f t="shared" si="0"/>
        <v>0</v>
      </c>
      <c r="F40" s="136">
        <f t="shared" si="1"/>
        <v>0</v>
      </c>
      <c r="H40" s="131"/>
    </row>
    <row r="41" spans="2:8" x14ac:dyDescent="0.35">
      <c r="B41" s="133">
        <v>21</v>
      </c>
      <c r="C41" s="134">
        <f t="shared" si="2"/>
        <v>0</v>
      </c>
      <c r="D41" s="149">
        <f>IF($C$17&lt;B41,0,Valuation_Model!$C$16)</f>
        <v>0</v>
      </c>
      <c r="E41" s="135">
        <f t="shared" si="0"/>
        <v>0</v>
      </c>
      <c r="F41" s="136">
        <f t="shared" si="1"/>
        <v>0</v>
      </c>
      <c r="H41" s="131"/>
    </row>
    <row r="42" spans="2:8" x14ac:dyDescent="0.35">
      <c r="B42" s="133">
        <v>22</v>
      </c>
      <c r="C42" s="134">
        <f t="shared" si="2"/>
        <v>0</v>
      </c>
      <c r="D42" s="149">
        <f>IF($C$17&lt;B42,0,Valuation_Model!$C$16)</f>
        <v>0</v>
      </c>
      <c r="E42" s="135">
        <f t="shared" si="0"/>
        <v>0</v>
      </c>
      <c r="F42" s="136">
        <f t="shared" si="1"/>
        <v>0</v>
      </c>
      <c r="H42" s="131"/>
    </row>
    <row r="43" spans="2:8" x14ac:dyDescent="0.35">
      <c r="B43" s="133">
        <v>23</v>
      </c>
      <c r="C43" s="134">
        <f t="shared" si="2"/>
        <v>0</v>
      </c>
      <c r="D43" s="149">
        <f>IF($C$17&lt;B43,0,Valuation_Model!$C$16)</f>
        <v>0</v>
      </c>
      <c r="E43" s="135">
        <f t="shared" si="0"/>
        <v>0</v>
      </c>
      <c r="F43" s="136">
        <f t="shared" si="1"/>
        <v>0</v>
      </c>
      <c r="H43" s="131"/>
    </row>
    <row r="44" spans="2:8" x14ac:dyDescent="0.35">
      <c r="B44" s="133">
        <v>24</v>
      </c>
      <c r="C44" s="134">
        <f t="shared" si="2"/>
        <v>0</v>
      </c>
      <c r="D44" s="149">
        <f>IF($C$17&lt;B44,0,Valuation_Model!$C$16)</f>
        <v>0</v>
      </c>
      <c r="E44" s="135">
        <f t="shared" si="0"/>
        <v>0</v>
      </c>
      <c r="F44" s="136">
        <f t="shared" si="1"/>
        <v>0</v>
      </c>
      <c r="H44" s="131"/>
    </row>
    <row r="45" spans="2:8" x14ac:dyDescent="0.35">
      <c r="B45" s="133">
        <v>25</v>
      </c>
      <c r="C45" s="134">
        <f t="shared" si="2"/>
        <v>0</v>
      </c>
      <c r="D45" s="149">
        <f>IF($C$17&lt;B45,0,Valuation_Model!$C$16)</f>
        <v>0</v>
      </c>
      <c r="E45" s="135">
        <f t="shared" si="0"/>
        <v>0</v>
      </c>
      <c r="F45" s="136">
        <f t="shared" si="1"/>
        <v>0</v>
      </c>
      <c r="H45" s="131"/>
    </row>
    <row r="46" spans="2:8" x14ac:dyDescent="0.35">
      <c r="B46" s="133">
        <v>26</v>
      </c>
      <c r="C46" s="134">
        <f t="shared" si="2"/>
        <v>0</v>
      </c>
      <c r="D46" s="149">
        <f>IF($C$17&lt;B46,0,Valuation_Model!$C$16)</f>
        <v>0</v>
      </c>
      <c r="E46" s="135">
        <f t="shared" si="0"/>
        <v>0</v>
      </c>
      <c r="F46" s="136">
        <f t="shared" si="1"/>
        <v>0</v>
      </c>
      <c r="H46" s="131"/>
    </row>
    <row r="47" spans="2:8" x14ac:dyDescent="0.35">
      <c r="B47" s="133">
        <v>27</v>
      </c>
      <c r="C47" s="134">
        <f t="shared" si="2"/>
        <v>0</v>
      </c>
      <c r="D47" s="149">
        <f>IF($C$17&lt;B47,0,Valuation_Model!$C$16)</f>
        <v>0</v>
      </c>
      <c r="E47" s="135">
        <f t="shared" si="0"/>
        <v>0</v>
      </c>
      <c r="F47" s="136">
        <f t="shared" si="1"/>
        <v>0</v>
      </c>
      <c r="H47" s="131"/>
    </row>
    <row r="48" spans="2:8" x14ac:dyDescent="0.35">
      <c r="B48" s="133">
        <v>28</v>
      </c>
      <c r="C48" s="134">
        <f t="shared" si="2"/>
        <v>0</v>
      </c>
      <c r="D48" s="149">
        <f>IF($C$17&lt;B48,0,Valuation_Model!$C$16)</f>
        <v>0</v>
      </c>
      <c r="E48" s="135">
        <f t="shared" si="0"/>
        <v>0</v>
      </c>
      <c r="F48" s="136">
        <f t="shared" si="1"/>
        <v>0</v>
      </c>
      <c r="H48" s="131"/>
    </row>
    <row r="49" spans="1:8" x14ac:dyDescent="0.35">
      <c r="B49" s="133">
        <v>29</v>
      </c>
      <c r="C49" s="134">
        <f t="shared" si="2"/>
        <v>0</v>
      </c>
      <c r="D49" s="149">
        <f>IF($C$17&lt;B49,0,Valuation_Model!$C$16)</f>
        <v>0</v>
      </c>
      <c r="E49" s="135">
        <f t="shared" si="0"/>
        <v>0</v>
      </c>
      <c r="F49" s="136">
        <f t="shared" si="1"/>
        <v>0</v>
      </c>
      <c r="H49" s="131"/>
    </row>
    <row r="50" spans="1:8" x14ac:dyDescent="0.35">
      <c r="B50" s="133">
        <v>30</v>
      </c>
      <c r="C50" s="134">
        <f t="shared" si="2"/>
        <v>0</v>
      </c>
      <c r="D50" s="149">
        <f>IF($C$17&lt;B50,0,Valuation_Model!$C$16)</f>
        <v>0</v>
      </c>
      <c r="E50" s="135">
        <f t="shared" si="0"/>
        <v>0</v>
      </c>
      <c r="F50" s="136">
        <f t="shared" si="1"/>
        <v>0</v>
      </c>
      <c r="H50" s="131"/>
    </row>
    <row r="51" spans="1:8" x14ac:dyDescent="0.35">
      <c r="B51" s="137" t="s">
        <v>143</v>
      </c>
      <c r="C51" s="134">
        <f>C$21*(1+Terminal_Growth)^$C$17/Equity_Cost</f>
        <v>11478374.805961223</v>
      </c>
      <c r="D51" s="150">
        <f>Terminal_Growth</f>
        <v>0</v>
      </c>
      <c r="E51" s="135">
        <f>1/(1+Equity_Cost)^C17</f>
        <v>0.42241080689568894</v>
      </c>
      <c r="F51" s="136">
        <f t="shared" si="1"/>
        <v>4848589.5636372278</v>
      </c>
      <c r="H51" s="131"/>
    </row>
    <row r="52" spans="1:8" x14ac:dyDescent="0.35">
      <c r="C52" s="125"/>
      <c r="E52" s="138" t="s">
        <v>112</v>
      </c>
      <c r="F52" s="148">
        <f>SUM(F21:F51)</f>
        <v>11656037.442122787</v>
      </c>
      <c r="H52" s="131"/>
    </row>
    <row r="53" spans="1:8" x14ac:dyDescent="0.35">
      <c r="C53" s="125"/>
      <c r="H53" s="131"/>
    </row>
    <row r="54" spans="1:8" ht="13.15" x14ac:dyDescent="0.35">
      <c r="B54" s="130" t="s">
        <v>141</v>
      </c>
      <c r="C54" s="147"/>
      <c r="D54" s="147"/>
      <c r="E54" s="128"/>
      <c r="F54" s="128"/>
      <c r="H54" s="131"/>
    </row>
    <row r="55" spans="1:8" ht="13.15" x14ac:dyDescent="0.4">
      <c r="A55" s="144">
        <f>F52</f>
        <v>11656037.442122787</v>
      </c>
      <c r="B55" s="142">
        <f>C78</f>
        <v>-0.08</v>
      </c>
      <c r="C55" s="142">
        <f>C77</f>
        <v>-0.05</v>
      </c>
      <c r="D55" s="142">
        <f>C76</f>
        <v>0.02</v>
      </c>
      <c r="E55" s="142">
        <f>C75</f>
        <v>0.05</v>
      </c>
      <c r="F55" s="142">
        <f>C74</f>
        <v>0.08</v>
      </c>
      <c r="H55" s="131"/>
    </row>
    <row r="56" spans="1:8" ht="13.15" x14ac:dyDescent="0.4">
      <c r="A56" s="154">
        <v>5</v>
      </c>
      <c r="B56" s="134">
        <f t="dataTable" ref="B56:F61" dt2D="1" dtr="1" r1="C16" r2="C17"/>
        <v>9989890.7102685813</v>
      </c>
      <c r="C56" s="134">
        <v>10498958.919899363</v>
      </c>
      <c r="D56" s="134">
        <v>11778983.45420114</v>
      </c>
      <c r="E56" s="134">
        <v>12371029.356669225</v>
      </c>
      <c r="F56" s="134">
        <v>12991676.303449536</v>
      </c>
      <c r="H56" s="131"/>
    </row>
    <row r="57" spans="1:8" ht="13.15" x14ac:dyDescent="0.4">
      <c r="A57" s="154">
        <v>10</v>
      </c>
      <c r="B57" s="134">
        <v>8963337.1933901533</v>
      </c>
      <c r="C57" s="134">
        <v>9775432.6646782458</v>
      </c>
      <c r="D57" s="134">
        <v>12163180.595290394</v>
      </c>
      <c r="E57" s="134">
        <v>13456678.621474545</v>
      </c>
      <c r="F57" s="134">
        <v>14956083.364954349</v>
      </c>
      <c r="H57" s="131"/>
    </row>
    <row r="58" spans="1:8" ht="13.15" x14ac:dyDescent="0.4">
      <c r="A58" s="154">
        <v>15</v>
      </c>
      <c r="B58" s="134">
        <v>7994910.7307772804</v>
      </c>
      <c r="C58" s="134">
        <v>9049309.1489928197</v>
      </c>
      <c r="D58" s="134">
        <v>12617823.744950479</v>
      </c>
      <c r="E58" s="134">
        <v>14846218.161021832</v>
      </c>
      <c r="F58" s="134">
        <v>17686428.749219801</v>
      </c>
      <c r="H58" s="131"/>
    </row>
    <row r="59" spans="1:8" ht="13.15" x14ac:dyDescent="0.4">
      <c r="A59" s="155">
        <v>20</v>
      </c>
      <c r="B59" s="134">
        <v>7236462.72033168</v>
      </c>
      <c r="C59" s="134">
        <v>8448694.9279275406</v>
      </c>
      <c r="D59" s="134">
        <v>13060371.762574079</v>
      </c>
      <c r="E59" s="134">
        <v>16316650.300574701</v>
      </c>
      <c r="F59" s="134">
        <v>20849114.181642551</v>
      </c>
      <c r="H59" s="131"/>
    </row>
    <row r="60" spans="1:8" ht="13.15" x14ac:dyDescent="0.4">
      <c r="A60" s="155">
        <v>25</v>
      </c>
      <c r="B60" s="134">
        <v>6688249.4420321546</v>
      </c>
      <c r="C60" s="134">
        <v>7993621.2514400966</v>
      </c>
      <c r="D60" s="134">
        <v>13453525.284572506</v>
      </c>
      <c r="E60" s="134">
        <v>17742925.279702403</v>
      </c>
      <c r="F60" s="134">
        <v>24230272.161345363</v>
      </c>
      <c r="H60" s="131"/>
    </row>
    <row r="61" spans="1:8" ht="13.15" x14ac:dyDescent="0.4">
      <c r="A61" s="155">
        <v>30</v>
      </c>
      <c r="B61" s="134">
        <v>6308271.3310739864</v>
      </c>
      <c r="C61" s="134">
        <v>7665308.796721085</v>
      </c>
      <c r="D61" s="134">
        <v>13784772.306297071</v>
      </c>
      <c r="E61" s="134">
        <v>19060262.54675873</v>
      </c>
      <c r="F61" s="134">
        <v>27693719.182468999</v>
      </c>
      <c r="H61" s="131"/>
    </row>
    <row r="62" spans="1:8" x14ac:dyDescent="0.35">
      <c r="C62" s="125"/>
      <c r="D62" s="125"/>
      <c r="E62" s="125"/>
      <c r="F62" s="125"/>
      <c r="H62" s="131"/>
    </row>
    <row r="63" spans="1:8" ht="13.15" x14ac:dyDescent="0.35">
      <c r="B63" s="130" t="s">
        <v>142</v>
      </c>
      <c r="C63" s="125"/>
      <c r="D63" s="125"/>
      <c r="E63" s="125"/>
      <c r="F63" s="125"/>
      <c r="H63" s="131"/>
    </row>
    <row r="64" spans="1:8" ht="13.15" x14ac:dyDescent="0.4">
      <c r="B64" s="143">
        <f>B55</f>
        <v>-0.08</v>
      </c>
      <c r="C64" s="143">
        <f>C55</f>
        <v>-0.05</v>
      </c>
      <c r="D64" s="143">
        <f>D55</f>
        <v>0.02</v>
      </c>
      <c r="E64" s="143">
        <f>E55</f>
        <v>0.05</v>
      </c>
      <c r="F64" s="143">
        <f>F55</f>
        <v>0.08</v>
      </c>
      <c r="H64" s="131"/>
    </row>
    <row r="65" spans="1:8" ht="13.15" x14ac:dyDescent="0.4">
      <c r="A65" s="154">
        <v>0</v>
      </c>
      <c r="B65" s="135">
        <f>C12</f>
        <v>18.553921301982985</v>
      </c>
      <c r="C65" s="135">
        <f>C12</f>
        <v>18.553921301982985</v>
      </c>
      <c r="D65" s="135">
        <f>C12</f>
        <v>18.553921301982985</v>
      </c>
      <c r="E65" s="152">
        <f>C12</f>
        <v>18.553921301982985</v>
      </c>
      <c r="F65" s="135">
        <f>C12</f>
        <v>18.553921301982985</v>
      </c>
      <c r="H65" s="131"/>
    </row>
    <row r="66" spans="1:8" ht="13.15" x14ac:dyDescent="0.4">
      <c r="A66" s="154">
        <f t="shared" ref="A66:A71" si="3">A56</f>
        <v>5</v>
      </c>
      <c r="B66" s="135">
        <f t="shared" ref="B66:F71" si="4">(B56-$C$7+$C$8+$C$9)/Common_Shares*$C$3*Exchange_Rate</f>
        <v>16.153330023684582</v>
      </c>
      <c r="C66" s="135">
        <f t="shared" si="4"/>
        <v>17.020407869144801</v>
      </c>
      <c r="D66" s="135">
        <f t="shared" si="4"/>
        <v>19.200628307862797</v>
      </c>
      <c r="E66" s="135">
        <f t="shared" si="4"/>
        <v>20.209039117679229</v>
      </c>
      <c r="F66" s="135">
        <f t="shared" si="4"/>
        <v>21.266165072953562</v>
      </c>
      <c r="H66" s="131"/>
    </row>
    <row r="67" spans="1:8" ht="13.15" x14ac:dyDescent="0.4">
      <c r="A67" s="154">
        <f t="shared" si="3"/>
        <v>10</v>
      </c>
      <c r="B67" s="135">
        <f t="shared" si="4"/>
        <v>14.404837788606434</v>
      </c>
      <c r="C67" s="135">
        <f t="shared" si="4"/>
        <v>15.788051232759992</v>
      </c>
      <c r="D67" s="135">
        <f t="shared" si="4"/>
        <v>19.855017686388827</v>
      </c>
      <c r="E67" s="135">
        <f t="shared" si="4"/>
        <v>22.058187046471733</v>
      </c>
      <c r="F67" s="135">
        <f t="shared" si="4"/>
        <v>24.612070022963707</v>
      </c>
      <c r="H67" s="131"/>
    </row>
    <row r="68" spans="1:8" ht="13.15" x14ac:dyDescent="0.4">
      <c r="A68" s="154">
        <f t="shared" si="3"/>
        <v>15</v>
      </c>
      <c r="B68" s="135">
        <f t="shared" si="4"/>
        <v>12.755351305649558</v>
      </c>
      <c r="C68" s="135">
        <f t="shared" si="4"/>
        <v>14.551270774645824</v>
      </c>
      <c r="D68" s="135">
        <f t="shared" si="4"/>
        <v>20.6293952554506</v>
      </c>
      <c r="E68" s="135">
        <f t="shared" si="4"/>
        <v>24.4249405135686</v>
      </c>
      <c r="F68" s="135">
        <f t="shared" si="4"/>
        <v>29.262570581362741</v>
      </c>
      <c r="H68" s="131"/>
    </row>
    <row r="69" spans="1:8" ht="13.15" x14ac:dyDescent="0.4">
      <c r="A69" s="155">
        <f t="shared" si="3"/>
        <v>20</v>
      </c>
      <c r="B69" s="135">
        <f t="shared" si="4"/>
        <v>11.463513680849275</v>
      </c>
      <c r="C69" s="135">
        <f t="shared" si="4"/>
        <v>13.528265851333558</v>
      </c>
      <c r="D69" s="135">
        <f t="shared" si="4"/>
        <v>21.383171614638439</v>
      </c>
      <c r="E69" s="135">
        <f t="shared" si="4"/>
        <v>26.929475480275087</v>
      </c>
      <c r="F69" s="135">
        <f t="shared" si="4"/>
        <v>34.649460626220339</v>
      </c>
      <c r="H69" s="131"/>
    </row>
    <row r="70" spans="1:8" ht="13.15" x14ac:dyDescent="0.4">
      <c r="A70" s="155">
        <f t="shared" si="3"/>
        <v>25</v>
      </c>
      <c r="B70" s="135">
        <f t="shared" si="4"/>
        <v>10.529761426813623</v>
      </c>
      <c r="C70" s="135">
        <f t="shared" si="4"/>
        <v>12.753154981180069</v>
      </c>
      <c r="D70" s="135">
        <f t="shared" si="4"/>
        <v>22.052816079447464</v>
      </c>
      <c r="E70" s="135">
        <f t="shared" si="4"/>
        <v>29.358799120093057</v>
      </c>
      <c r="F70" s="135">
        <f t="shared" si="4"/>
        <v>40.408467220499077</v>
      </c>
    </row>
    <row r="71" spans="1:8" ht="13.15" x14ac:dyDescent="0.4">
      <c r="A71" s="155">
        <f t="shared" si="3"/>
        <v>30</v>
      </c>
      <c r="B71" s="135">
        <f t="shared" si="4"/>
        <v>9.8825581728319776</v>
      </c>
      <c r="C71" s="135">
        <f t="shared" si="4"/>
        <v>12.193952008985075</v>
      </c>
      <c r="D71" s="135">
        <f t="shared" si="4"/>
        <v>22.617017395652937</v>
      </c>
      <c r="E71" s="135">
        <f t="shared" si="4"/>
        <v>31.602573014542486</v>
      </c>
      <c r="F71" s="135">
        <f t="shared" si="4"/>
        <v>46.307633823574882</v>
      </c>
    </row>
    <row r="73" spans="1:8" ht="13.15" x14ac:dyDescent="0.4">
      <c r="B73" s="183" t="s">
        <v>129</v>
      </c>
      <c r="C73" s="183" t="s">
        <v>144</v>
      </c>
      <c r="D73" s="183" t="s">
        <v>124</v>
      </c>
      <c r="E73" s="184" t="s">
        <v>125</v>
      </c>
      <c r="F73" s="184" t="s">
        <v>131</v>
      </c>
    </row>
    <row r="74" spans="1:8" x14ac:dyDescent="0.35">
      <c r="B74" s="138" t="str">
        <f>Scenarios!B54</f>
        <v>Snowball Scenario</v>
      </c>
      <c r="C74" s="153">
        <f>Scenarios!C56</f>
        <v>0.08</v>
      </c>
      <c r="D74" s="156">
        <f>Scenarios!C55</f>
        <v>10</v>
      </c>
      <c r="E74" s="146">
        <f>INDEX(B$65:F$71, MATCH(D74, A$65:A$71, 0), MATCH(C74, B$64:F$64, 0))</f>
        <v>24.612070022963707</v>
      </c>
      <c r="F74" s="153">
        <f>Scenarios!C58</f>
        <v>0.02</v>
      </c>
    </row>
    <row r="75" spans="1:8" x14ac:dyDescent="0.35">
      <c r="B75" s="138" t="str">
        <f>Scenarios!B36</f>
        <v>Optimistic</v>
      </c>
      <c r="C75" s="153">
        <f>Scenarios!C38</f>
        <v>0.05</v>
      </c>
      <c r="D75" s="156">
        <f>Scenarios!C37</f>
        <v>5</v>
      </c>
      <c r="E75" s="146">
        <f>INDEX(B$65:F$71, MATCH(D75, A$65:A$71, 0), MATCH(C75, B$64:F$64, 0))</f>
        <v>20.209039117679229</v>
      </c>
      <c r="F75" s="153">
        <f>Scenarios!C40*(1-F$74-F$78)</f>
        <v>0.192</v>
      </c>
      <c r="H75" s="131"/>
    </row>
    <row r="76" spans="1:8" x14ac:dyDescent="0.35">
      <c r="B76" s="138" t="str">
        <f>Scenarios!B24</f>
        <v>Base</v>
      </c>
      <c r="C76" s="153">
        <f>Scenarios!C26</f>
        <v>0.02</v>
      </c>
      <c r="D76" s="156">
        <f>Scenarios!C25</f>
        <v>5</v>
      </c>
      <c r="E76" s="146">
        <f>INDEX(B$65:F$71, MATCH(D76, A$65:A$71, 0), MATCH(C76, B$64:F$64, 0))</f>
        <v>19.200628307862797</v>
      </c>
      <c r="F76" s="153">
        <f>Scenarios!C28*(1-F$74-F$78)</f>
        <v>0.57599999999999996</v>
      </c>
      <c r="H76" s="131"/>
    </row>
    <row r="77" spans="1:8" x14ac:dyDescent="0.35">
      <c r="B77" s="138" t="str">
        <f>Scenarios!B30</f>
        <v>Pessimistic</v>
      </c>
      <c r="C77" s="153">
        <f>Scenarios!C32</f>
        <v>-0.05</v>
      </c>
      <c r="D77" s="156">
        <f>Scenarios!C31</f>
        <v>5</v>
      </c>
      <c r="E77" s="146">
        <f>INDEX(B$65:F$71, MATCH(D77, A$65:A$71, 0), MATCH(C77, B$64:F$64, 0))</f>
        <v>17.020407869144801</v>
      </c>
      <c r="F77" s="153">
        <f>Scenarios!C34*(1-F$74-F$78)</f>
        <v>0.192</v>
      </c>
      <c r="H77" s="131"/>
    </row>
    <row r="78" spans="1:8" x14ac:dyDescent="0.35">
      <c r="B78" s="138" t="str">
        <f>Scenarios!B48</f>
        <v>Devil's advocate</v>
      </c>
      <c r="C78" s="153">
        <f>Scenarios!C50</f>
        <v>-0.08</v>
      </c>
      <c r="D78" s="156">
        <f>Scenarios!C49</f>
        <v>10</v>
      </c>
      <c r="E78" s="146">
        <f>INDEX(B$65:F$71, MATCH(D78, A$65:A$71, 0), MATCH(C78, B$64:F$64, 0))</f>
        <v>14.404837788606434</v>
      </c>
      <c r="F78" s="153">
        <f>Scenarios!C52</f>
        <v>0.02</v>
      </c>
    </row>
    <row r="79" spans="1:8" x14ac:dyDescent="0.35">
      <c r="B79" s="167"/>
      <c r="C79" s="167"/>
      <c r="D79" s="167"/>
      <c r="E79" s="167"/>
      <c r="F79" s="168"/>
    </row>
    <row r="80" spans="1:8" x14ac:dyDescent="0.35">
      <c r="B80" s="167" t="s">
        <v>358</v>
      </c>
      <c r="C80" s="167" t="s">
        <v>117</v>
      </c>
    </row>
    <row r="81" spans="3:3" x14ac:dyDescent="0.35">
      <c r="C81" s="167" t="s">
        <v>116</v>
      </c>
    </row>
    <row r="82" spans="3:3" x14ac:dyDescent="0.35">
      <c r="C82" s="167" t="s">
        <v>115</v>
      </c>
    </row>
    <row r="92" spans="3:3" x14ac:dyDescent="0.35">
      <c r="C92" s="126"/>
    </row>
    <row r="93" spans="3:3" x14ac:dyDescent="0.35">
      <c r="C93" s="126"/>
    </row>
    <row r="94" spans="3:3" x14ac:dyDescent="0.35">
      <c r="C94" s="126"/>
    </row>
  </sheetData>
  <mergeCells count="1">
    <mergeCell ref="E6:F9"/>
  </mergeCells>
  <phoneticPr fontId="2" type="noConversion"/>
  <conditionalFormatting sqref="C21:F50">
    <cfRule type="cellIs" dxfId="1" priority="3" operator="equal">
      <formula>0</formula>
    </cfRule>
  </conditionalFormatting>
  <conditionalFormatting sqref="E65 B66:F71">
    <cfRule type="expression" dxfId="0" priority="14">
      <formula>ISNUMBER(MATCH(B65, $E$75:$E$78, 0))</formula>
    </cfRule>
  </conditionalFormatting>
  <dataValidations count="1">
    <dataValidation type="list" allowBlank="1" showInputMessage="1" showErrorMessage="1" sqref="C17" xr:uid="{A06882BF-7451-4B05-ADA9-B8AC5ACC7F23}">
      <formula1>$A$56:$A$61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8D6-06C8-485A-B381-9C0DCA9661D4}">
  <dimension ref="B2:I90"/>
  <sheetViews>
    <sheetView showGridLines="0" zoomScale="75" zoomScaleNormal="100" workbookViewId="0">
      <selection activeCell="E97" sqref="E97"/>
    </sheetView>
  </sheetViews>
  <sheetFormatPr defaultColWidth="8.796875" defaultRowHeight="12.75" x14ac:dyDescent="0.35"/>
  <cols>
    <col min="1" max="1" width="2.6640625" customWidth="1"/>
    <col min="2" max="2" width="22.6640625" customWidth="1"/>
    <col min="3" max="3" width="13.9296875" bestFit="1" customWidth="1"/>
    <col min="4" max="4" width="10.6640625" customWidth="1"/>
    <col min="5" max="6" width="42.59765625" customWidth="1"/>
    <col min="8" max="9" width="15.59765625" customWidth="1"/>
  </cols>
  <sheetData>
    <row r="2" spans="2:9" ht="13.9" x14ac:dyDescent="0.45">
      <c r="B2" s="37" t="s">
        <v>157</v>
      </c>
      <c r="C2" s="38"/>
      <c r="D2" s="38"/>
      <c r="E2" s="38"/>
      <c r="F2" s="38"/>
      <c r="H2" s="296" t="s">
        <v>340</v>
      </c>
      <c r="I2" s="297"/>
    </row>
    <row r="3" spans="2:9" ht="13.15" x14ac:dyDescent="0.4">
      <c r="B3" s="171" t="s">
        <v>160</v>
      </c>
      <c r="H3" s="295">
        <v>0</v>
      </c>
      <c r="I3" s="282">
        <f>-Market_Price</f>
        <v>-15.38</v>
      </c>
    </row>
    <row r="4" spans="2:9" x14ac:dyDescent="0.35">
      <c r="B4" s="163" t="s">
        <v>158</v>
      </c>
      <c r="C4" s="131">
        <v>3</v>
      </c>
      <c r="D4" s="131"/>
      <c r="E4" s="167" t="s">
        <v>162</v>
      </c>
      <c r="F4" s="167"/>
      <c r="H4" s="295">
        <v>1</v>
      </c>
      <c r="I4" s="282">
        <f t="shared" ref="I4:I13" si="0">IF(ROW()-3 &lt; $C$76, $C$77, IF(ROW()-3 = $C$76, $C$77 + $C$60, ""))</f>
        <v>1.3599999999999999</v>
      </c>
    </row>
    <row r="5" spans="2:9" x14ac:dyDescent="0.35">
      <c r="H5" s="295">
        <v>2</v>
      </c>
      <c r="I5" s="282">
        <f t="shared" si="0"/>
        <v>1.3599999999999999</v>
      </c>
    </row>
    <row r="6" spans="2:9" ht="13.15" x14ac:dyDescent="0.4">
      <c r="B6" s="171" t="s">
        <v>106</v>
      </c>
      <c r="C6" s="117">
        <f>Valuation_Model!C3</f>
        <v>1000</v>
      </c>
      <c r="E6" s="110" t="s">
        <v>313</v>
      </c>
      <c r="F6" s="110"/>
      <c r="H6" s="295">
        <v>3</v>
      </c>
      <c r="I6" s="282">
        <f t="shared" si="0"/>
        <v>20.347953883030584</v>
      </c>
    </row>
    <row r="7" spans="2:9" ht="12.75" customHeight="1" x14ac:dyDescent="0.35">
      <c r="B7" s="110" t="s">
        <v>307</v>
      </c>
      <c r="C7" s="125">
        <f>Normalized_FCF!G8</f>
        <v>1876773</v>
      </c>
      <c r="D7" t="str">
        <f>Reporting_currency</f>
        <v>HKD</v>
      </c>
      <c r="E7" s="315" t="str">
        <f>"Please develop three logical "&amp;C18&amp;"-year scenarios (Base Case, Pessimistic Case, Optimistic Case) and two extreme "&amp;C46&amp;"-year scenarios (Success Scenario, Devil’s Advocate Scenario) for "&amp;Thesis!C5&amp;"("&amp;Thesis!D5&amp;"). Each scenario should include the Compound Growth Rate, the Probability Assessment, and the Business Narrative."</f>
        <v>Please develop three logical 5-year scenarios (Base Case, Pessimistic Case, Optimistic Case) and two extreme 10-year scenarios (Success Scenario, Devil’s Advocate Scenario) for 六福珠宝(0590.HK). Each scenario should include the Compound Growth Rate, the Probability Assessment, and the Business Narrative.</v>
      </c>
      <c r="F7" s="315"/>
      <c r="H7" s="295">
        <v>4</v>
      </c>
      <c r="I7" s="282" t="str">
        <f t="shared" si="0"/>
        <v/>
      </c>
    </row>
    <row r="8" spans="2:9" x14ac:dyDescent="0.35">
      <c r="B8" s="110" t="s">
        <v>71</v>
      </c>
      <c r="C8" s="125">
        <f>Normalized_FCF!G19</f>
        <v>1306664</v>
      </c>
      <c r="D8" t="str">
        <f>Reporting_currency</f>
        <v>HKD</v>
      </c>
      <c r="E8" s="315"/>
      <c r="F8" s="315"/>
      <c r="H8" s="295">
        <v>5</v>
      </c>
      <c r="I8" s="282" t="str">
        <f t="shared" si="0"/>
        <v/>
      </c>
    </row>
    <row r="9" spans="2:9" x14ac:dyDescent="0.35">
      <c r="B9" s="110" t="s">
        <v>62</v>
      </c>
      <c r="C9" s="215">
        <f>Normalized_FCF!C19</f>
        <v>1025936.7024959195</v>
      </c>
      <c r="D9" t="str">
        <f>Reporting_currency</f>
        <v>HKD</v>
      </c>
      <c r="E9" s="315"/>
      <c r="F9" s="315"/>
      <c r="H9" s="295">
        <v>6</v>
      </c>
      <c r="I9" s="282" t="str">
        <f t="shared" si="0"/>
        <v/>
      </c>
    </row>
    <row r="10" spans="2:9" x14ac:dyDescent="0.35">
      <c r="E10" s="315"/>
      <c r="F10" s="315"/>
      <c r="H10" s="295">
        <v>7</v>
      </c>
      <c r="I10" s="282" t="str">
        <f t="shared" si="0"/>
        <v/>
      </c>
    </row>
    <row r="11" spans="2:9" ht="13.15" x14ac:dyDescent="0.4">
      <c r="B11" s="171" t="s">
        <v>310</v>
      </c>
      <c r="E11" s="315"/>
      <c r="F11" s="315"/>
      <c r="H11" s="295">
        <v>8</v>
      </c>
      <c r="I11" s="282" t="str">
        <f t="shared" si="0"/>
        <v/>
      </c>
    </row>
    <row r="12" spans="2:9" x14ac:dyDescent="0.35">
      <c r="B12" s="129" t="s">
        <v>156</v>
      </c>
      <c r="C12" s="170">
        <f ca="1">(Normalized_FCF!G4/OFFSET(Normalized_FCF!G4, 0, $C$4))^(1/$C$4) - 1</f>
        <v>0.20035451325595277</v>
      </c>
      <c r="D12" s="170"/>
      <c r="E12" s="315"/>
      <c r="F12" s="315"/>
      <c r="H12" s="295">
        <v>9</v>
      </c>
      <c r="I12" s="282" t="str">
        <f t="shared" si="0"/>
        <v/>
      </c>
    </row>
    <row r="13" spans="2:9" x14ac:dyDescent="0.35">
      <c r="B13" s="159" t="s">
        <v>164</v>
      </c>
      <c r="C13" s="170">
        <f ca="1">(Normalized_FCF!G8/OFFSET(Normalized_FCF!G8, 0, $C$4))^(1/$C$4) - 1</f>
        <v>0.26016796976901468</v>
      </c>
      <c r="E13" s="315"/>
      <c r="F13" s="315"/>
      <c r="H13" s="295">
        <v>10</v>
      </c>
      <c r="I13" s="282" t="str">
        <f t="shared" si="0"/>
        <v/>
      </c>
    </row>
    <row r="14" spans="2:9" x14ac:dyDescent="0.35">
      <c r="B14" s="110" t="s">
        <v>71</v>
      </c>
      <c r="C14" s="170">
        <f ca="1">(Normalized_FCF!G19/OFFSET(Normalized_FCF!G19, 0, $C$4))^(1/$C$4) - 1</f>
        <v>5.3908780398304268E-2</v>
      </c>
      <c r="E14" s="315"/>
      <c r="F14" s="315"/>
    </row>
    <row r="16" spans="2:9" ht="13.9" x14ac:dyDescent="0.45">
      <c r="B16" s="37" t="s">
        <v>174</v>
      </c>
      <c r="C16" s="38"/>
      <c r="D16" s="38"/>
      <c r="E16" s="38"/>
      <c r="F16" s="38"/>
    </row>
    <row r="17" spans="2:6" ht="13.15" x14ac:dyDescent="0.4">
      <c r="B17" s="119" t="s">
        <v>163</v>
      </c>
    </row>
    <row r="18" spans="2:6" x14ac:dyDescent="0.35">
      <c r="B18" s="163" t="s">
        <v>145</v>
      </c>
      <c r="C18" s="161">
        <v>5</v>
      </c>
      <c r="E18" s="110"/>
      <c r="F18" s="110"/>
    </row>
    <row r="20" spans="2:6" ht="13.15" x14ac:dyDescent="0.4">
      <c r="B20" s="171" t="s">
        <v>348</v>
      </c>
    </row>
    <row r="21" spans="2:6" x14ac:dyDescent="0.35">
      <c r="B21" s="110" t="s">
        <v>311</v>
      </c>
      <c r="C21" s="172">
        <f>Market_Price</f>
        <v>15.38</v>
      </c>
      <c r="D21" t="str">
        <f>Market_currency</f>
        <v>HKD</v>
      </c>
    </row>
    <row r="22" spans="2:6" x14ac:dyDescent="0.35">
      <c r="B22" s="110" t="s">
        <v>312</v>
      </c>
      <c r="C22" s="172">
        <f>Valuation_Model!C12</f>
        <v>18.553921301982985</v>
      </c>
      <c r="D22" t="str">
        <f>Market_currency</f>
        <v>HKD</v>
      </c>
    </row>
    <row r="24" spans="2:6" ht="13.15" x14ac:dyDescent="0.4">
      <c r="B24" s="171" t="s">
        <v>127</v>
      </c>
      <c r="E24" s="171" t="s">
        <v>161</v>
      </c>
      <c r="F24" s="171"/>
    </row>
    <row r="25" spans="2:6" x14ac:dyDescent="0.35">
      <c r="B25" s="163" t="s">
        <v>145</v>
      </c>
      <c r="C25" s="178">
        <f>C18</f>
        <v>5</v>
      </c>
      <c r="D25" s="175"/>
      <c r="E25" s="314"/>
      <c r="F25" s="314"/>
    </row>
    <row r="26" spans="2:6" x14ac:dyDescent="0.35">
      <c r="B26" s="129" t="s">
        <v>146</v>
      </c>
      <c r="C26" s="176">
        <v>0.02</v>
      </c>
      <c r="D26" s="176"/>
      <c r="E26" s="314"/>
      <c r="F26" s="314"/>
    </row>
    <row r="27" spans="2:6" x14ac:dyDescent="0.35">
      <c r="B27" s="110" t="s">
        <v>125</v>
      </c>
      <c r="C27" s="172">
        <f>Valuation_Model!E76</f>
        <v>19.200628307862797</v>
      </c>
      <c r="D27" s="172" t="str">
        <f>Market_currency</f>
        <v>HKD</v>
      </c>
      <c r="E27" s="314"/>
      <c r="F27" s="314"/>
    </row>
    <row r="28" spans="2:6" x14ac:dyDescent="0.35">
      <c r="B28" s="110" t="s">
        <v>159</v>
      </c>
      <c r="C28" s="177">
        <v>0.6</v>
      </c>
      <c r="D28" s="177"/>
      <c r="E28" s="314"/>
      <c r="F28" s="314"/>
    </row>
    <row r="30" spans="2:6" ht="13.15" x14ac:dyDescent="0.4">
      <c r="B30" s="171" t="s">
        <v>128</v>
      </c>
      <c r="E30" s="171" t="s">
        <v>161</v>
      </c>
      <c r="F30" s="171"/>
    </row>
    <row r="31" spans="2:6" x14ac:dyDescent="0.35">
      <c r="B31" s="163" t="s">
        <v>145</v>
      </c>
      <c r="C31" s="178">
        <f>C18</f>
        <v>5</v>
      </c>
      <c r="D31" s="175"/>
      <c r="E31" s="314"/>
      <c r="F31" s="314"/>
    </row>
    <row r="32" spans="2:6" x14ac:dyDescent="0.35">
      <c r="B32" s="129" t="s">
        <v>146</v>
      </c>
      <c r="C32" s="176">
        <v>-0.05</v>
      </c>
      <c r="D32" s="176"/>
      <c r="E32" s="314"/>
      <c r="F32" s="314"/>
    </row>
    <row r="33" spans="2:6" x14ac:dyDescent="0.35">
      <c r="B33" s="110" t="s">
        <v>125</v>
      </c>
      <c r="C33" s="172">
        <f>Valuation_Model!E77</f>
        <v>17.020407869144801</v>
      </c>
      <c r="D33" t="str">
        <f>Market_currency</f>
        <v>HKD</v>
      </c>
      <c r="E33" s="314"/>
      <c r="F33" s="314"/>
    </row>
    <row r="34" spans="2:6" x14ac:dyDescent="0.35">
      <c r="B34" s="110" t="s">
        <v>159</v>
      </c>
      <c r="C34" s="177">
        <v>0.2</v>
      </c>
      <c r="D34" s="177"/>
      <c r="E34" s="314"/>
      <c r="F34" s="314"/>
    </row>
    <row r="36" spans="2:6" ht="13.15" x14ac:dyDescent="0.4">
      <c r="B36" s="171" t="s">
        <v>126</v>
      </c>
      <c r="E36" s="171" t="s">
        <v>161</v>
      </c>
      <c r="F36" s="171"/>
    </row>
    <row r="37" spans="2:6" x14ac:dyDescent="0.35">
      <c r="B37" s="163" t="s">
        <v>145</v>
      </c>
      <c r="C37" s="178">
        <f>C18</f>
        <v>5</v>
      </c>
      <c r="D37" s="175"/>
      <c r="E37" s="314"/>
      <c r="F37" s="314"/>
    </row>
    <row r="38" spans="2:6" x14ac:dyDescent="0.35">
      <c r="B38" s="129" t="s">
        <v>146</v>
      </c>
      <c r="C38" s="176">
        <v>0.05</v>
      </c>
      <c r="D38" s="176"/>
      <c r="E38" s="314"/>
      <c r="F38" s="314"/>
    </row>
    <row r="39" spans="2:6" x14ac:dyDescent="0.35">
      <c r="B39" s="110" t="s">
        <v>125</v>
      </c>
      <c r="C39" s="172">
        <f>Valuation_Model!E75</f>
        <v>20.209039117679229</v>
      </c>
      <c r="D39" t="str">
        <f>Market_currency</f>
        <v>HKD</v>
      </c>
      <c r="E39" s="314"/>
      <c r="F39" s="314"/>
    </row>
    <row r="40" spans="2:6" x14ac:dyDescent="0.35">
      <c r="B40" s="110" t="s">
        <v>159</v>
      </c>
      <c r="C40" s="179">
        <f>1-C28-C34</f>
        <v>0.2</v>
      </c>
      <c r="D40" s="177"/>
      <c r="E40" s="314"/>
      <c r="F40" s="314"/>
    </row>
    <row r="42" spans="2:6" ht="13.15" x14ac:dyDescent="0.4">
      <c r="B42" s="110" t="s">
        <v>132</v>
      </c>
      <c r="C42" s="166">
        <f>C27*C28+C33*C34+C39*C40</f>
        <v>18.966266382082484</v>
      </c>
      <c r="D42" t="str">
        <f>Market_currency</f>
        <v>HKD</v>
      </c>
    </row>
    <row r="44" spans="2:6" ht="13.9" x14ac:dyDescent="0.45">
      <c r="B44" s="37" t="s">
        <v>173</v>
      </c>
      <c r="C44" s="38"/>
      <c r="D44" s="38"/>
      <c r="E44" s="38"/>
      <c r="F44" s="38"/>
    </row>
    <row r="45" spans="2:6" ht="13.15" x14ac:dyDescent="0.4">
      <c r="B45" s="119" t="s">
        <v>163</v>
      </c>
    </row>
    <row r="46" spans="2:6" x14ac:dyDescent="0.35">
      <c r="B46" s="163" t="s">
        <v>145</v>
      </c>
      <c r="C46" s="161">
        <v>10</v>
      </c>
      <c r="E46" s="110"/>
      <c r="F46" s="110"/>
    </row>
    <row r="47" spans="2:6" ht="13.15" x14ac:dyDescent="0.4">
      <c r="B47" s="171"/>
      <c r="E47" s="171"/>
      <c r="F47" s="171"/>
    </row>
    <row r="48" spans="2:6" ht="13.15" x14ac:dyDescent="0.4">
      <c r="B48" s="171" t="s">
        <v>177</v>
      </c>
      <c r="E48" s="171" t="s">
        <v>161</v>
      </c>
      <c r="F48" s="171"/>
    </row>
    <row r="49" spans="2:6" ht="12.75" customHeight="1" x14ac:dyDescent="0.35">
      <c r="B49" s="163" t="s">
        <v>145</v>
      </c>
      <c r="C49" s="178">
        <f>C46</f>
        <v>10</v>
      </c>
      <c r="D49" s="175"/>
      <c r="E49" s="314"/>
      <c r="F49" s="314"/>
    </row>
    <row r="50" spans="2:6" x14ac:dyDescent="0.35">
      <c r="B50" s="129" t="s">
        <v>146</v>
      </c>
      <c r="C50" s="176">
        <v>-0.08</v>
      </c>
      <c r="D50" s="176"/>
      <c r="E50" s="314"/>
      <c r="F50" s="314"/>
    </row>
    <row r="51" spans="2:6" x14ac:dyDescent="0.35">
      <c r="B51" s="110" t="s">
        <v>125</v>
      </c>
      <c r="C51" s="172">
        <f>Valuation_Model!E78</f>
        <v>14.404837788606434</v>
      </c>
      <c r="D51" t="str">
        <f>Market_currency</f>
        <v>HKD</v>
      </c>
      <c r="E51" s="314"/>
      <c r="F51" s="314"/>
    </row>
    <row r="52" spans="2:6" x14ac:dyDescent="0.35">
      <c r="B52" s="110" t="s">
        <v>159</v>
      </c>
      <c r="C52" s="177">
        <v>0.02</v>
      </c>
      <c r="D52" s="177"/>
      <c r="E52" s="314"/>
      <c r="F52" s="314"/>
    </row>
    <row r="54" spans="2:6" ht="13.15" x14ac:dyDescent="0.4">
      <c r="B54" s="171" t="s">
        <v>366</v>
      </c>
      <c r="E54" s="171" t="s">
        <v>161</v>
      </c>
      <c r="F54" s="171"/>
    </row>
    <row r="55" spans="2:6" x14ac:dyDescent="0.35">
      <c r="B55" s="163" t="s">
        <v>145</v>
      </c>
      <c r="C55" s="178">
        <f>C46</f>
        <v>10</v>
      </c>
      <c r="D55" s="175"/>
      <c r="E55" s="314"/>
      <c r="F55" s="314"/>
    </row>
    <row r="56" spans="2:6" x14ac:dyDescent="0.35">
      <c r="B56" s="129" t="s">
        <v>146</v>
      </c>
      <c r="C56" s="176">
        <v>0.08</v>
      </c>
      <c r="D56" s="176"/>
      <c r="E56" s="314"/>
      <c r="F56" s="314"/>
    </row>
    <row r="57" spans="2:6" x14ac:dyDescent="0.35">
      <c r="B57" s="110" t="s">
        <v>125</v>
      </c>
      <c r="C57" s="172">
        <f>Valuation_Model!E74</f>
        <v>24.612070022963707</v>
      </c>
      <c r="D57" t="str">
        <f>Market_currency</f>
        <v>HKD</v>
      </c>
      <c r="E57" s="314"/>
      <c r="F57" s="314"/>
    </row>
    <row r="58" spans="2:6" x14ac:dyDescent="0.35">
      <c r="B58" s="110" t="s">
        <v>159</v>
      </c>
      <c r="C58" s="177">
        <v>0.02</v>
      </c>
      <c r="D58" s="177"/>
      <c r="E58" s="314"/>
      <c r="F58" s="314"/>
    </row>
    <row r="60" spans="2:6" ht="13.15" x14ac:dyDescent="0.4">
      <c r="B60" s="110" t="s">
        <v>132</v>
      </c>
      <c r="C60" s="166">
        <f>C51*C52+C57*C58+C42*(1-C52-C58)</f>
        <v>18.987953883030585</v>
      </c>
      <c r="D60" t="str">
        <f>Market_currency</f>
        <v>HKD</v>
      </c>
      <c r="E60" s="110" t="s">
        <v>341</v>
      </c>
      <c r="F60" s="292">
        <v>3</v>
      </c>
    </row>
    <row r="62" spans="2:6" ht="13.9" x14ac:dyDescent="0.45">
      <c r="B62" s="37" t="s">
        <v>327</v>
      </c>
      <c r="C62" s="38"/>
      <c r="D62" s="38"/>
      <c r="E62" s="38"/>
      <c r="F62" s="38"/>
    </row>
    <row r="63" spans="2:6" ht="13.15" x14ac:dyDescent="0.4">
      <c r="B63" s="119" t="s">
        <v>349</v>
      </c>
      <c r="E63" s="302" t="s">
        <v>359</v>
      </c>
    </row>
    <row r="64" spans="2:6" x14ac:dyDescent="0.35">
      <c r="B64" s="163" t="s">
        <v>145</v>
      </c>
      <c r="C64" s="178">
        <v>10</v>
      </c>
      <c r="D64" s="161"/>
      <c r="E64" s="301" t="s">
        <v>360</v>
      </c>
    </row>
    <row r="65" spans="2:6" x14ac:dyDescent="0.35">
      <c r="B65" s="129" t="s">
        <v>146</v>
      </c>
      <c r="C65" s="162">
        <v>6.9371044268871293E-3</v>
      </c>
      <c r="D65" s="162"/>
      <c r="E65" s="301" t="s">
        <v>361</v>
      </c>
    </row>
    <row r="66" spans="2:6" x14ac:dyDescent="0.35">
      <c r="B66" s="110" t="s">
        <v>114</v>
      </c>
      <c r="C66" s="172">
        <f>Valuation_Model!C18</f>
        <v>18.991218721398649</v>
      </c>
      <c r="D66" s="172" t="str">
        <f>Market_currency</f>
        <v>HKD</v>
      </c>
      <c r="E66" s="301" t="s">
        <v>362</v>
      </c>
    </row>
    <row r="68" spans="2:6" ht="13.15" x14ac:dyDescent="0.4">
      <c r="B68" s="119" t="s">
        <v>336</v>
      </c>
      <c r="E68" s="302" t="s">
        <v>363</v>
      </c>
    </row>
    <row r="69" spans="2:6" x14ac:dyDescent="0.35">
      <c r="B69" s="110" t="s">
        <v>350</v>
      </c>
      <c r="C69" s="291" t="str">
        <f>IF(C60&lt;C22,"Y","N")</f>
        <v>N</v>
      </c>
      <c r="E69" s="145"/>
    </row>
    <row r="70" spans="2:6" x14ac:dyDescent="0.35">
      <c r="B70" s="110" t="s">
        <v>338</v>
      </c>
      <c r="C70" s="291" t="str">
        <f>IF(C69="Y","N",IF(C65&gt;8%,"N","Y"))</f>
        <v>Y</v>
      </c>
      <c r="E70" s="301" t="s">
        <v>339</v>
      </c>
    </row>
    <row r="71" spans="2:6" x14ac:dyDescent="0.35">
      <c r="B71" s="110" t="s">
        <v>337</v>
      </c>
      <c r="C71" s="291" t="str">
        <f>IF(C65&gt;8%,"Y","N")</f>
        <v>N</v>
      </c>
      <c r="E71" s="301"/>
    </row>
    <row r="72" spans="2:6" x14ac:dyDescent="0.35">
      <c r="B72" s="110" t="s">
        <v>328</v>
      </c>
      <c r="C72" s="290" t="str">
        <f>IF(E72&gt;50%,"Y","N")</f>
        <v>Y</v>
      </c>
      <c r="E72" s="145" t="str">
        <f>"Non-FCF Value is "&amp;ROUND(BS!D87/C60*100,0)&amp;"% of Expected Equity Value"</f>
        <v>Non-FCF Value is -5% of Expected Equity Value</v>
      </c>
    </row>
    <row r="74" spans="2:6" ht="13.9" x14ac:dyDescent="0.45">
      <c r="B74" s="37" t="s">
        <v>139</v>
      </c>
      <c r="C74" s="38"/>
      <c r="D74" s="38"/>
      <c r="E74" s="38"/>
      <c r="F74" s="38"/>
    </row>
    <row r="75" spans="2:6" ht="13.15" x14ac:dyDescent="0.4">
      <c r="B75" s="119" t="s">
        <v>137</v>
      </c>
      <c r="E75" s="268"/>
      <c r="F75" s="268"/>
    </row>
    <row r="76" spans="2:6" x14ac:dyDescent="0.35">
      <c r="B76" s="294" t="s">
        <v>342</v>
      </c>
      <c r="C76" s="293">
        <f>F60</f>
        <v>3</v>
      </c>
      <c r="D76" s="145"/>
    </row>
    <row r="77" spans="2:6" x14ac:dyDescent="0.35">
      <c r="B77" s="110" t="s">
        <v>123</v>
      </c>
      <c r="C77" s="185">
        <f>Normalized_FCF!C89</f>
        <v>1.3599999999999999</v>
      </c>
      <c r="D77" t="str">
        <f>Market_currency</f>
        <v>HKD</v>
      </c>
      <c r="E77" s="110"/>
      <c r="F77" s="110"/>
    </row>
    <row r="79" spans="2:6" ht="13.15" x14ac:dyDescent="0.4">
      <c r="B79" s="119" t="s">
        <v>346</v>
      </c>
    </row>
    <row r="80" spans="2:6" x14ac:dyDescent="0.35">
      <c r="B80" s="159" t="s">
        <v>344</v>
      </c>
      <c r="C80" s="179">
        <f>Thesis!C115</f>
        <v>0.2</v>
      </c>
    </row>
    <row r="81" spans="2:6" x14ac:dyDescent="0.35">
      <c r="B81" s="110" t="s">
        <v>133</v>
      </c>
      <c r="C81" s="127">
        <f>PV(C80, C76, -C77, 0)</f>
        <v>2.8648148148148143</v>
      </c>
      <c r="D81" s="127"/>
      <c r="E81" s="110"/>
      <c r="F81" s="110"/>
    </row>
    <row r="82" spans="2:6" x14ac:dyDescent="0.35">
      <c r="B82" s="110" t="s">
        <v>134</v>
      </c>
      <c r="C82" s="127">
        <f>C60/(1+C80)^C76</f>
        <v>10.988399237864922</v>
      </c>
      <c r="D82" s="127"/>
    </row>
    <row r="83" spans="2:6" ht="13.15" x14ac:dyDescent="0.4">
      <c r="B83" s="121" t="s">
        <v>113</v>
      </c>
      <c r="C83" s="122">
        <f>C81+C82</f>
        <v>13.853214052679736</v>
      </c>
      <c r="D83" t="str">
        <f>Market_currency</f>
        <v>HKD</v>
      </c>
      <c r="E83" s="157" t="s">
        <v>138</v>
      </c>
      <c r="F83" s="280">
        <f>(C83/C60-1)</f>
        <v>-0.27042091327911499</v>
      </c>
    </row>
    <row r="84" spans="2:6" x14ac:dyDescent="0.35">
      <c r="E84" s="131"/>
    </row>
    <row r="85" spans="2:6" ht="13.15" x14ac:dyDescent="0.4">
      <c r="B85" s="119" t="s">
        <v>347</v>
      </c>
    </row>
    <row r="86" spans="2:6" x14ac:dyDescent="0.35">
      <c r="B86" s="159" t="s">
        <v>345</v>
      </c>
      <c r="C86" s="284">
        <f>Market_Price</f>
        <v>15.38</v>
      </c>
      <c r="D86" t="str">
        <f>Market_currency</f>
        <v>HKD</v>
      </c>
    </row>
    <row r="87" spans="2:6" ht="13.15" x14ac:dyDescent="0.4">
      <c r="B87" s="110" t="s">
        <v>343</v>
      </c>
      <c r="C87" s="283">
        <f ca="1">IRR(OFFSET($I$3, 0, 0, $C$76 + 1, 1))</f>
        <v>0.15562262672344218</v>
      </c>
    </row>
    <row r="88" spans="2:6" x14ac:dyDescent="0.35">
      <c r="B88" s="110"/>
    </row>
    <row r="90" spans="2:6" x14ac:dyDescent="0.35">
      <c r="C90" s="128"/>
    </row>
  </sheetData>
  <mergeCells count="6">
    <mergeCell ref="E49:F52"/>
    <mergeCell ref="E55:F58"/>
    <mergeCell ref="E7:F14"/>
    <mergeCell ref="E25:F28"/>
    <mergeCell ref="E31:F34"/>
    <mergeCell ref="E37:F40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7</vt:i4>
      </vt:variant>
    </vt:vector>
  </HeadingPairs>
  <TitlesOfParts>
    <vt:vector size="13" baseType="lpstr">
      <vt:lpstr>Thesis</vt:lpstr>
      <vt:lpstr>Data</vt:lpstr>
      <vt:lpstr>BS</vt:lpstr>
      <vt:lpstr>Normalized_FCF</vt:lpstr>
      <vt:lpstr>Valuation_Model</vt:lpstr>
      <vt:lpstr>Scenarios</vt:lpstr>
      <vt:lpstr>Common_Shares</vt:lpstr>
      <vt:lpstr>Equity_Cost</vt:lpstr>
      <vt:lpstr>Exchange_Rate</vt:lpstr>
      <vt:lpstr>Market_currency</vt:lpstr>
      <vt:lpstr>Market_Price</vt:lpstr>
      <vt:lpstr>Reporting_currency</vt:lpstr>
      <vt:lpstr>Terminal_Growth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2025-03-14T14:48:43Z</cp:lastPrinted>
  <dcterms:created xsi:type="dcterms:W3CDTF">2022-08-10T03:52:42Z</dcterms:created>
  <dcterms:modified xsi:type="dcterms:W3CDTF">2025-03-20T02:33:04Z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