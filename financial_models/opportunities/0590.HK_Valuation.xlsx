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049DDF6-00B3-4E8A-A3BA-0FACC872942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L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C96" i="6" l="1"/>
  <c r="J76" i="4"/>
  <c r="I76" i="4"/>
  <c r="H76" i="4"/>
  <c r="F76" i="4"/>
  <c r="E76" i="4"/>
  <c r="G76"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5" i="4"/>
  <c r="H90" i="2" s="1"/>
  <c r="E65" i="4"/>
  <c r="I90" i="2" s="1"/>
  <c r="F65" i="4"/>
  <c r="J90" i="2" s="1"/>
  <c r="G65" i="4"/>
  <c r="K90" i="2" s="1"/>
  <c r="H65" i="4"/>
  <c r="L90" i="2" s="1"/>
  <c r="C65" i="4"/>
  <c r="G90" i="2" s="1"/>
  <c r="G104" i="2"/>
  <c r="C80" i="4"/>
  <c r="E77" i="4"/>
  <c r="F77" i="4"/>
  <c r="G77" i="4"/>
  <c r="H77" i="4"/>
  <c r="E78" i="4"/>
  <c r="F78" i="4"/>
  <c r="G78" i="4"/>
  <c r="H78" i="4"/>
  <c r="D78" i="4"/>
  <c r="D80" i="4"/>
  <c r="H105" i="2" s="1"/>
  <c r="D77" i="4"/>
  <c r="C77" i="9" l="1"/>
  <c r="C124" i="6" s="1"/>
  <c r="C93" i="2"/>
  <c r="C59" i="6" s="1"/>
  <c r="C70" i="3"/>
  <c r="C69" i="2" s="1"/>
  <c r="C90" i="6"/>
  <c r="J45" i="4"/>
  <c r="I45" i="4"/>
  <c r="G35" i="3"/>
  <c r="G40" i="3"/>
  <c r="D58" i="3"/>
  <c r="G105" i="2"/>
  <c r="C76" i="4"/>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L70" i="4"/>
  <c r="L68" i="4"/>
  <c r="L69" i="4"/>
  <c r="L71" i="4"/>
  <c r="D68" i="4"/>
  <c r="D69" i="4"/>
  <c r="D71" i="4"/>
  <c r="K70" i="4"/>
  <c r="K69" i="4"/>
  <c r="K71" i="4"/>
  <c r="K68" i="4"/>
  <c r="C68" i="4"/>
  <c r="C69" i="4"/>
  <c r="C71" i="4"/>
  <c r="J69" i="4"/>
  <c r="J71" i="4"/>
  <c r="J70" i="4"/>
  <c r="J68" i="4"/>
  <c r="I71" i="4"/>
  <c r="I68" i="4"/>
  <c r="I69" i="4"/>
  <c r="E69" i="4"/>
  <c r="E68" i="4"/>
  <c r="E71" i="4"/>
  <c r="H68" i="4"/>
  <c r="H71" i="4"/>
  <c r="H69" i="4"/>
  <c r="G68" i="4"/>
  <c r="G69" i="4"/>
  <c r="G71" i="4"/>
  <c r="F69" i="4"/>
  <c r="F71" i="4"/>
  <c r="F68" i="4"/>
  <c r="J4" i="2"/>
  <c r="J113" i="2" s="1"/>
  <c r="Q4" i="2"/>
  <c r="P4" i="2"/>
  <c r="I4" i="2"/>
  <c r="I113" i="2" s="1"/>
  <c r="G4" i="2"/>
  <c r="G113" i="2" s="1"/>
  <c r="H4" i="2"/>
  <c r="H113" i="2" s="1"/>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K113" i="2" l="1"/>
  <c r="M114" i="2"/>
  <c r="M113" i="2"/>
  <c r="L114" i="2"/>
  <c r="L113" i="2"/>
  <c r="N114" i="2"/>
  <c r="N113" i="2"/>
  <c r="P113" i="2"/>
  <c r="P114" i="2"/>
  <c r="O114" i="2"/>
  <c r="O113" i="2"/>
  <c r="Q113" i="2"/>
  <c r="Q114" i="2"/>
  <c r="Q19" i="2"/>
  <c r="Q50" i="2"/>
  <c r="Q12" i="2" s="1"/>
  <c r="Q48" i="2"/>
  <c r="O19" i="2"/>
  <c r="O50" i="2"/>
  <c r="O12" i="2" s="1"/>
  <c r="O48" i="2"/>
  <c r="L19" i="2"/>
  <c r="L48" i="2"/>
  <c r="L50" i="2"/>
  <c r="L12" i="2" s="1"/>
  <c r="L80" i="2" s="1"/>
  <c r="M19" i="2"/>
  <c r="M48" i="2"/>
  <c r="M50" i="2"/>
  <c r="M12" i="2" s="1"/>
  <c r="M80" i="2" s="1"/>
  <c r="P19" i="2"/>
  <c r="P48" i="2"/>
  <c r="P50" i="2"/>
  <c r="P12" i="2" s="1"/>
  <c r="Q93" i="2"/>
  <c r="O93" i="2"/>
  <c r="K93" i="2"/>
  <c r="P93" i="2"/>
  <c r="J93" i="2"/>
  <c r="H93" i="2"/>
  <c r="I93" i="2"/>
  <c r="L43" i="2"/>
  <c r="L93" i="2"/>
  <c r="M43" i="2"/>
  <c r="M93" i="2"/>
  <c r="N93" i="2"/>
  <c r="G93" i="2"/>
  <c r="P81" i="2"/>
  <c r="P117" i="2" s="1"/>
  <c r="P43" i="2"/>
  <c r="O81" i="2"/>
  <c r="O117" i="2" s="1"/>
  <c r="O43" i="2"/>
  <c r="Q81" i="2"/>
  <c r="Q117" i="2" s="1"/>
  <c r="Q43" i="2"/>
  <c r="C12" i="9"/>
  <c r="H101" i="2"/>
  <c r="P55" i="2"/>
  <c r="P124" i="2"/>
  <c r="P125" i="2"/>
  <c r="P101" i="2"/>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9" i="2"/>
  <c r="P120"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3" i="2" l="1"/>
  <c r="C49" i="2"/>
  <c r="C24" i="2"/>
  <c r="C110" i="2"/>
  <c r="G30" i="2"/>
  <c r="C17" i="2"/>
  <c r="C51" i="6" s="1"/>
  <c r="M63" i="2"/>
  <c r="M79" i="2" s="1"/>
  <c r="M11" i="2"/>
  <c r="N63" i="2"/>
  <c r="N11" i="2"/>
  <c r="G69" i="2"/>
  <c r="G11" i="2"/>
  <c r="N73" i="2"/>
  <c r="M6" i="2"/>
  <c r="M8" i="2"/>
  <c r="M55" i="2" s="1"/>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N79" i="2" l="1"/>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J48" i="2" l="1"/>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J43" i="2"/>
  <c r="H43" i="2"/>
  <c r="I43" i="2"/>
  <c r="N80" i="2"/>
  <c r="N43" i="2"/>
  <c r="G80" i="2"/>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124" i="2" s="1"/>
  <c r="M125" i="2" s="1"/>
  <c r="M81" i="2"/>
  <c r="M117" i="2" s="1"/>
  <c r="K124" i="2"/>
  <c r="K125" i="2" s="1"/>
  <c r="K84" i="2"/>
  <c r="N84" i="2"/>
  <c r="I124" i="2" l="1"/>
  <c r="I125" i="2" s="1"/>
  <c r="J84" i="2"/>
  <c r="J92" i="2"/>
  <c r="K92" i="2"/>
  <c r="N124" i="2"/>
  <c r="N125" i="2" s="1"/>
  <c r="M84" i="2"/>
  <c r="I87" i="2"/>
  <c r="M92" i="2"/>
  <c r="I84" i="2"/>
  <c r="J124" i="2"/>
  <c r="J125" i="2" s="1"/>
  <c r="L87" i="2"/>
  <c r="K87" i="2"/>
  <c r="L84" i="2"/>
  <c r="N87" i="2"/>
  <c r="N92" i="2"/>
  <c r="C76" i="2"/>
  <c r="C50" i="3"/>
  <c r="C54" i="3"/>
  <c r="C120" i="2"/>
  <c r="I92" i="2" l="1"/>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<sst xmlns="http://schemas.openxmlformats.org/spreadsheetml/2006/main" count="585" uniqueCount="414">
  <si>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</si>
  <si>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</si>
  <si>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</si>
  <si>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</si>
  <si>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</si>
  <si>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</si>
  <si>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</si>
  <si>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</si>
  <si>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</si>
  <si>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</si>
  <si>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</si>
  <si>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</si>
  <si>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</si>
  <si>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</si>
  <si>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</si>
  <si>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</si>
  <si>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</si>
  <si>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</si>
  <si>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</si>
  <si>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</si>
  <si>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</si>
  <si>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</si>
  <si>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</si>
  <si>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</si>
  <si>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</si>
  <si>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</si>
  <si>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</si>
  <si>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</si>
  <si>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</si>
  <si>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</si>
  <si>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</si>
  <si>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</si>
  <si>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</si>
  <si>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</si>
  <si>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</si>
  <si>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</si>
  <si>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</si>
  <si>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</si>
  <si>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</si>
  <si>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</si>
  <si>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</si>
  <si>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</si>
  <si>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</si>
  <si>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</si>
  <si>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</si>
  <si>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</si>
  <si>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</si>
  <si>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</si>
  <si>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</si>
  <si>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</si>
  <si>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</si>
  <si>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</si>
  <si>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</si>
  <si>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</si>
  <si>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</si>
  <si>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</si>
  <si>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</si>
  <si>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</si>
  <si>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</si>
  <si>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</si>
  <si>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</si>
  <si>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</si>
  <si>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</si>
  <si>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</si>
  <si>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</si>
  <si>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</si>
  <si>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</si>
  <si>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</si>
  <si>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</si>
  <si>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</si>
  <si>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</si>
  <si>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</si>
  <si>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</si>
  <si>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</si>
  <si>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</si>
  <si>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</si>
  <si>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</si>
  <si>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</si>
  <si>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</si>
  <si>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</si>
  <si>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</si>
  <si>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</si>
  <si>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</si>
  <si>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</si>
  <si>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</si>
  <si>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</si>
  <si>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</si>
  <si>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</si>
  <si>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</si>
  <si>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</si>
  <si>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</si>
  <si>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</si>
  <si>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</si>
  <si>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</si>
  <si>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</si>
  <si>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</si>
  <si>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</si>
  <si>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</si>
  <si>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</si>
  <si>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</si>
  <si>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</si>
  <si>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</si>
  <si>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</si>
  <si>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</si>
  <si>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</si>
  <si>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</si>
  <si>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</si>
  <si>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</si>
  <si>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</si>
  <si>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</si>
  <si>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</si>
  <si>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</si>
  <si>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</si>
  <si>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</si>
  <si>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</si>
  <si>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</si>
  <si>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</si>
  <si>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</si>
  <si>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</si>
  <si>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</si>
  <si>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</si>
  <si>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</si>
  <si>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</si>
  <si>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</si>
  <si>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</si>
  <si>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</si>
  <si>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</si>
  <si>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</si>
  <si>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</si>
  <si>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</si>
  <si>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</si>
  <si>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</si>
  <si>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</si>
  <si>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</si>
  <si>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</si>
  <si>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</si>
  <si>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</si>
  <si>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</si>
  <si>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</si>
  <si>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</si>
  <si>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</si>
  <si>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</si>
  <si>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</si>
  <si>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</si>
  <si>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</si>
  <si>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</si>
  <si>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</si>
  <si>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</si>
  <si>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</si>
  <si>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</si>
  <si>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</si>
  <si>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</si>
  <si>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</si>
  <si>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</si>
  <si>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</si>
  <si>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</si>
  <si>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</si>
  <si>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</si>
  <si>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</si>
  <si>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</si>
  <si>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</si>
  <si>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</si>
  <si>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</si>
  <si>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</si>
  <si>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</si>
  <si>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</si>
  <si>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</si>
  <si>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</si>
  <si>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</si>
  <si>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</si>
  <si>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</si>
  <si>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</si>
  <si>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</si>
  <si>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</si>
  <si>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</si>
  <si>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</si>
  <si>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</si>
  <si>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</si>
  <si>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</si>
  <si>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</si>
  <si>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</si>
  <si>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</si>
  <si>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</si>
  <si>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</si>
  <si>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</si>
  <si>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</si>
  <si>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</si>
  <si>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</si>
  <si>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</si>
  <si>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</si>
  <si>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</si>
  <si>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</si>
  <si>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</si>
  <si>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</si>
  <si>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</si>
  <si>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</si>
  <si>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</si>
  <si>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</si>
  <si>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</si>
  <si>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</si>
  <si>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</si>
  <si>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</si>
  <si>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</si>
  <si>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</si>
  <si>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</si>
  <si>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</si>
  <si>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</si>
  <si>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</si>
  <si>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</si>
  <si>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</si>
  <si>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</si>
  <si>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</si>
  <si>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</si>
  <si>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</si>
  <si>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</si>
  <si>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</si>
  <si>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</si>
  <si>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</si>
  <si>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</si>
  <si>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</si>
  <si>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</si>
  <si>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</si>
  <si>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</si>
  <si>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</si>
  <si>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</si>
  <si>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</si>
  <si>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</si>
  <si>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</si>
  <si>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</si>
  <si>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</si>
  <si>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</si>
  <si>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</si>
  <si>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</si>
  <si>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</si>
  <si>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</si>
  <si>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</si>
  <si>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</si>
  <si>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</si>
  <si>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</si>
  <si>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</si>
  <si>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</si>
  <si>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</si>
  <si>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</si>
  <si>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</si>
  <si>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</si>
  <si>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</si>
  <si>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</si>
  <si>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</si>
  <si>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</si>
  <si>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</si>
  <si>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</si>
  <si>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</si>
  <si>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</si>
  <si>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</si>
  <si>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</si>
  <si>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</si>
  <si>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</si>
  <si>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</si>
  <si>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</si>
  <si>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</si>
  <si>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</si>
  <si>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</si>
  <si>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</si>
  <si>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</si>
  <si>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</si>
  <si>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</si>
  <si>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</si>
  <si>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</si>
  <si>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</si>
  <si>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</si>
  <si>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</si>
  <si>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</si>
  <si>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</si>
  <si>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</si>
  <si>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</si>
  <si>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</si>
  <si>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</si>
  <si>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</si>
  <si>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</si>
  <si>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</si>
  <si>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</si>
  <si>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</si>
  <si>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</si>
  <si>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</si>
  <si>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</si>
  <si>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</si>
  <si>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</si>
  <si>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</si>
  <si>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</si>
  <si>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</si>
  <si>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</si>
  <si>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</si>
  <si>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</si>
  <si>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</si>
  <si>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</si>
  <si>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</si>
  <si>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</si>
  <si>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</si>
  <si>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</si>
  <si>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</si>
  <si>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</si>
  <si>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</si>
  <si>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</si>
  <si>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</si>
  <si>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</si>
  <si>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</si>
  <si>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</si>
  <si>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</si>
  <si>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</si>
  <si>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</si>
  <si>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</si>
  <si>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</si>
  <si>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</si>
  <si>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</si>
  <si>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</si>
  <si>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</si>
  <si>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</si>
  <si>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</si>
  <si>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</si>
  <si>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</si>
  <si>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</si>
  <si>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</si>
  <si>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</si>
  <si>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</si>
  <si>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</si>
  <si>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</si>
  <si>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</si>
  <si>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</si>
  <si>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</si>
  <si>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</si>
  <si>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</si>
  <si>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</si>
  <si>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</si>
  <si>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</si>
  <si>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</si>
  <si>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</si>
  <si>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</si>
  <si>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</si>
  <si>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</si>
  <si>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</si>
  <si>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</si>
  <si>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</si>
  <si>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</si>
  <si>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</si>
  <si>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</si>
  <si>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</si>
  <si>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</si>
  <si>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</si>
  <si>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</si>
  <si>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</si>
  <si>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</si>
  <si>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</si>
  <si>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</si>
  <si>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</si>
  <si>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</si>
  <si>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</si>
  <si>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</si>
  <si>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</si>
  <si>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</si>
  <si>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</si>
  <si>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</si>
  <si>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</si>
  <si>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</si>
  <si>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</si>
  <si>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</si>
  <si>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</si>
  <si>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</si>
  <si>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</si>
  <si>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</si>
  <si>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</si>
  <si>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</si>
  <si>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</si>
  <si>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</si>
  <si>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</si>
  <si>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</si>
  <si>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</si>
  <si>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</si>
  <si>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</si>
  <si>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</si>
  <si>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</si>
  <si>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</si>
  <si>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</si>
  <si>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</si>
  <si>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</si>
  <si>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</si>
  <si>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</si>
  <si>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</si>
  <si>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</si>
  <si>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</si>
  <si>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</si>
  <si>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</si>
  <si>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</si>
  <si>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</si>
  <si>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</si>
  <si>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</si>
  <si>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</si>
  <si>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</si>
  <si>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</si>
  <si>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</si>
  <si>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</si>
  <si>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</si>
  <si>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</si>
  <si>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</si>
  <si>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</si>
  <si>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</si>
  <si>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</si>
  <si>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</si>
  <si>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</si>
  <si>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</si>
  <si>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</si>
  <si>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</si>
  <si>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</si>
  <si>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六福珠宝</t>
    <phoneticPr fontId="2" type="noConversion"/>
  </si>
  <si>
    <t>0590.HK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</si>
</sst>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6" sqref="C16"/>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0590.HK Stock Information</v>
      </c>
      <c r="C4" s="46"/>
      <c r="D4" s="5"/>
      <c r="E4" s="2"/>
      <c r="F4" s="2"/>
    </row>
    <row r="5" spans="1:10" ht="12.4" x14ac:dyDescent="0.4">
      <c r="B5" s="4" t="s">
        <v>328</v>
      </c>
      <c r="C5" s="339" t="s">
        <v>412</v>
      </c>
      <c r="D5" s="49" t="s">
        <v>413</v>
      </c>
    </row>
    <row r="6" spans="1:10" x14ac:dyDescent="0.35">
      <c r="B6" s="4" t="s">
        <v>96</v>
      </c>
      <c r="C6" s="50">
        <v>14.44</v>
      </c>
      <c r="D6" s="48" t="s">
        <v>41</v>
      </c>
      <c r="E6" s="48"/>
    </row>
    <row r="7" spans="1:10" x14ac:dyDescent="0.35">
      <c r="B7" s="4" t="s">
        <v>0</v>
      </c>
      <c r="C7" s="51">
        <v>587107850</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8477.8373539999993</v>
      </c>
      <c r="D10" s="32"/>
      <c r="E10" s="5"/>
    </row>
    <row r="11" spans="1:10" x14ac:dyDescent="0.35">
      <c r="D11" s="5"/>
      <c r="E11" s="5"/>
    </row>
    <row r="12" spans="1:10" ht="24.4" customHeight="1" x14ac:dyDescent="0.35">
      <c r="B12" s="341" t="s">
        <v>377</v>
      </c>
      <c r="C12" s="341"/>
      <c r="D12" s="341"/>
      <c r="E12" s="341"/>
      <c r="F12" s="341"/>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368</v>
      </c>
      <c r="E18" s="5"/>
    </row>
    <row r="19" spans="1:6" x14ac:dyDescent="0.35">
      <c r="B19" s="2" t="s">
        <v>280</v>
      </c>
      <c r="C19" s="255">
        <v>0.2</v>
      </c>
      <c r="E19" s="5"/>
    </row>
    <row r="20" spans="1:6" x14ac:dyDescent="0.35">
      <c r="B20" s="2" t="str">
        <f>"Target Buy Price ("&amp;Market_currency&amp;"):"</f>
        <v>Target Buy Price (HKD):</v>
      </c>
      <c r="C20" s="258">
        <f>C129</f>
        <v>14.733437767356989</v>
      </c>
      <c r="D20" s="1" t="s">
        <v>319</v>
      </c>
      <c r="E20" s="336">
        <v>3</v>
      </c>
    </row>
    <row r="21" spans="1:6" x14ac:dyDescent="0.35">
      <c r="B21" s="1" t="s">
        <v>376</v>
      </c>
      <c r="C21" s="286">
        <f ca="1">Scenarios!C87</f>
        <v>0.20871253483792285</v>
      </c>
      <c r="D21" s="5"/>
      <c r="E21" s="5"/>
    </row>
    <row r="22" spans="1:6" x14ac:dyDescent="0.35">
      <c r="D22" s="5"/>
      <c r="E22" s="5"/>
    </row>
    <row r="23" spans="1:6" ht="13.9" x14ac:dyDescent="0.45">
      <c r="A23" s="253" t="s">
        <v>370</v>
      </c>
      <c r="B23" s="36"/>
      <c r="C23" s="36"/>
      <c r="D23" s="36"/>
      <c r="E23" s="36"/>
      <c r="F23" s="36"/>
    </row>
    <row r="25" spans="1:6" ht="24.4" customHeight="1" x14ac:dyDescent="0.35">
      <c r="B25" s="341" t="s">
        <v>378</v>
      </c>
      <c r="C25" s="341"/>
      <c r="D25" s="341"/>
      <c r="E25" s="341"/>
      <c r="F25" s="341"/>
    </row>
    <row r="26" spans="1:6" ht="24.4" customHeight="1" x14ac:dyDescent="0.35">
      <c r="B26" s="343" t="s">
        <v>353</v>
      </c>
      <c r="C26" s="343"/>
      <c r="D26" s="343"/>
      <c r="E26" s="343"/>
      <c r="F26" s="343"/>
    </row>
    <row r="28" spans="1:6" x14ac:dyDescent="0.35">
      <c r="B28" s="240" t="s">
        <v>232</v>
      </c>
      <c r="C28" s="111">
        <f>Data!C3</f>
        <v>1000</v>
      </c>
    </row>
    <row r="29" spans="1:6" ht="24.4" customHeight="1" x14ac:dyDescent="0.35">
      <c r="B29" s="342" t="s">
        <v>233</v>
      </c>
      <c r="C29" s="342"/>
      <c r="D29" s="342"/>
      <c r="E29" s="342"/>
      <c r="F29" s="342"/>
    </row>
    <row r="30" spans="1:6" x14ac:dyDescent="0.35">
      <c r="B30" s="47" t="s">
        <v>234</v>
      </c>
      <c r="C30" s="191">
        <f>Normalized_FCF!C8</f>
        <v>1398534.6033278927</v>
      </c>
      <c r="D30" s="1" t="str">
        <f>Reporting_currency</f>
        <v>HKD</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463424</v>
      </c>
      <c r="D33" s="1" t="str">
        <f>Reporting_currency</f>
        <v>HKD</v>
      </c>
    </row>
    <row r="34" spans="2:6" x14ac:dyDescent="0.35">
      <c r="B34" s="52" t="s">
        <v>237</v>
      </c>
      <c r="C34" s="191">
        <f>Normalized_FCF!C10</f>
        <v>-463424.00000000006</v>
      </c>
      <c r="D34" s="1" t="str">
        <f>Reporting_currency</f>
        <v>HKD</v>
      </c>
    </row>
    <row r="36" spans="2:6" x14ac:dyDescent="0.35">
      <c r="B36" s="342" t="s">
        <v>238</v>
      </c>
      <c r="C36" s="342"/>
      <c r="D36" s="342"/>
      <c r="E36" s="342"/>
      <c r="F36" s="342"/>
    </row>
    <row r="37" spans="2:6" x14ac:dyDescent="0.35">
      <c r="B37" s="47" t="s">
        <v>239</v>
      </c>
      <c r="C37" s="191">
        <f>Normalized_FCF!C11</f>
        <v>0</v>
      </c>
      <c r="D37" s="1" t="str">
        <f>Reporting_currency</f>
        <v>HKD</v>
      </c>
    </row>
    <row r="39" spans="2:6" x14ac:dyDescent="0.35">
      <c r="B39" s="342" t="s">
        <v>242</v>
      </c>
      <c r="C39" s="342"/>
      <c r="D39" s="342"/>
      <c r="E39" s="342"/>
      <c r="F39" s="342"/>
    </row>
    <row r="40" spans="2:6" x14ac:dyDescent="0.35">
      <c r="B40" s="47" t="s">
        <v>354</v>
      </c>
      <c r="C40" s="328">
        <f>Normalized_FCF!C48</f>
        <v>13746.938888322537</v>
      </c>
      <c r="D40" s="1" t="str">
        <f>Reporting_currency</f>
        <v>HKD</v>
      </c>
      <c r="E40" s="327"/>
      <c r="F40" s="327"/>
    </row>
    <row r="41" spans="2:6" x14ac:dyDescent="0.35">
      <c r="B41" s="47" t="s">
        <v>355</v>
      </c>
      <c r="C41" s="328">
        <f>Normalized_FCF!C47</f>
        <v>-59596</v>
      </c>
      <c r="D41" s="1" t="str">
        <f>Reporting_currency</f>
        <v>HKD</v>
      </c>
      <c r="E41" s="327"/>
      <c r="F41" s="327"/>
    </row>
    <row r="42" spans="2:6" x14ac:dyDescent="0.35">
      <c r="B42" s="47" t="s">
        <v>240</v>
      </c>
      <c r="C42" s="191">
        <f>Normalized_FCF!C12</f>
        <v>-45849.061111677467</v>
      </c>
      <c r="D42" s="1" t="str">
        <f>Reporting_currency</f>
        <v>HKD</v>
      </c>
    </row>
    <row r="44" spans="2:6" x14ac:dyDescent="0.35">
      <c r="B44" s="1" t="s">
        <v>248</v>
      </c>
    </row>
    <row r="45" spans="2:6" x14ac:dyDescent="0.35">
      <c r="B45" s="47" t="s">
        <v>268</v>
      </c>
      <c r="C45" s="191">
        <f>Normalized_FCF!C15</f>
        <v>0</v>
      </c>
      <c r="D45" s="1" t="str">
        <f>Reporting_currency</f>
        <v>HKD</v>
      </c>
    </row>
    <row r="47" spans="2:6" x14ac:dyDescent="0.35">
      <c r="B47" s="342" t="s">
        <v>243</v>
      </c>
      <c r="C47" s="342"/>
      <c r="D47" s="342"/>
      <c r="E47" s="342"/>
      <c r="F47" s="342"/>
    </row>
    <row r="48" spans="2:6" x14ac:dyDescent="0.35">
      <c r="B48" s="47" t="s">
        <v>241</v>
      </c>
      <c r="C48" s="191">
        <f>Normalized_FCF!C14</f>
        <v>-338171.38555405382</v>
      </c>
      <c r="D48" s="1" t="str">
        <f>Reporting_currency</f>
        <v>HKD</v>
      </c>
    </row>
    <row r="50" spans="1:6" x14ac:dyDescent="0.35">
      <c r="B50" s="342" t="s">
        <v>352</v>
      </c>
      <c r="C50" s="345"/>
      <c r="D50" s="345"/>
      <c r="E50" s="345"/>
      <c r="F50" s="345"/>
    </row>
    <row r="51" spans="1:6" x14ac:dyDescent="0.35">
      <c r="B51" s="47" t="s">
        <v>244</v>
      </c>
      <c r="C51" s="1">
        <f>Normalized_FCF!C17</f>
        <v>0</v>
      </c>
      <c r="D51" s="1" t="str">
        <f>Reporting_currency</f>
        <v>HKD</v>
      </c>
    </row>
    <row r="53" spans="1:6" ht="24.4" customHeight="1" x14ac:dyDescent="0.35">
      <c r="B53" s="341" t="s">
        <v>357</v>
      </c>
      <c r="C53" s="341"/>
      <c r="D53" s="341"/>
      <c r="E53" s="341"/>
      <c r="F53" s="341"/>
    </row>
    <row r="54" spans="1:6" ht="24.4" customHeight="1" x14ac:dyDescent="0.35">
      <c r="B54" s="341" t="s">
        <v>379</v>
      </c>
      <c r="C54" s="341"/>
      <c r="D54" s="341"/>
      <c r="E54" s="341"/>
      <c r="F54" s="341"/>
    </row>
    <row r="56" spans="1:6" x14ac:dyDescent="0.35">
      <c r="B56" s="47" t="s">
        <v>273</v>
      </c>
      <c r="C56" s="191">
        <f>Normalized_FCF!G19</f>
        <v>1291433.9388883226</v>
      </c>
      <c r="D56" s="1" t="str">
        <f>Reporting_currency</f>
        <v>HKD</v>
      </c>
    </row>
    <row r="57" spans="1:6" x14ac:dyDescent="0.35">
      <c r="B57" s="47" t="s">
        <v>250</v>
      </c>
      <c r="C57" s="191">
        <f>Normalized_FCF!C19</f>
        <v>1014514.1566621615</v>
      </c>
      <c r="D57" s="1" t="str">
        <f>Reporting_currency</f>
        <v>HKD</v>
      </c>
    </row>
    <row r="58" spans="1:6" x14ac:dyDescent="0.35">
      <c r="B58" s="260" t="s">
        <v>408</v>
      </c>
      <c r="C58" s="94">
        <f>Normalized_FCF!C125</f>
        <v>0.11966662184000204</v>
      </c>
    </row>
    <row r="59" spans="1:6" x14ac:dyDescent="0.35">
      <c r="B59" s="260" t="s">
        <v>320</v>
      </c>
      <c r="C59" s="94">
        <f>Normalized_FCF!C93</f>
        <v>9.418282548476456E-2</v>
      </c>
    </row>
    <row r="61" spans="1:6" ht="13.9" x14ac:dyDescent="0.45">
      <c r="A61" s="253" t="s">
        <v>371</v>
      </c>
      <c r="B61" s="36"/>
      <c r="C61" s="36"/>
      <c r="D61" s="36"/>
      <c r="E61" s="36"/>
      <c r="F61" s="36"/>
    </row>
    <row r="62" spans="1:6" x14ac:dyDescent="0.35">
      <c r="A62" s="239"/>
    </row>
    <row r="63" spans="1:6" ht="24.4" customHeight="1" x14ac:dyDescent="0.35">
      <c r="A63" s="17"/>
      <c r="B63" s="341" t="s">
        <v>380</v>
      </c>
      <c r="C63" s="341"/>
      <c r="D63" s="341"/>
      <c r="E63" s="341"/>
      <c r="F63" s="341"/>
    </row>
    <row r="64" spans="1:6" x14ac:dyDescent="0.35">
      <c r="B64" s="343" t="s">
        <v>254</v>
      </c>
      <c r="C64" s="343"/>
      <c r="D64" s="343"/>
      <c r="E64" s="343"/>
      <c r="F64" s="343"/>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372</v>
      </c>
      <c r="C72" s="125"/>
    </row>
    <row r="73" spans="1:6" ht="24.4" customHeight="1" x14ac:dyDescent="0.35">
      <c r="B73" s="341" t="s">
        <v>381</v>
      </c>
      <c r="C73" s="341"/>
      <c r="D73" s="341"/>
      <c r="E73" s="341"/>
      <c r="F73" s="341"/>
    </row>
    <row r="74" spans="1:6" ht="24.4" customHeight="1" x14ac:dyDescent="0.35">
      <c r="B74" s="341" t="s">
        <v>382</v>
      </c>
      <c r="C74" s="341"/>
      <c r="D74" s="341"/>
      <c r="E74" s="341"/>
      <c r="F74" s="341"/>
    </row>
    <row r="76" spans="1:6" x14ac:dyDescent="0.35">
      <c r="B76" s="47" t="s">
        <v>253</v>
      </c>
      <c r="C76" s="269">
        <v>0</v>
      </c>
    </row>
    <row r="77" spans="1:6" x14ac:dyDescent="0.35">
      <c r="B77" s="47" t="s">
        <v>287</v>
      </c>
      <c r="C77" s="254">
        <f>Valuation_Model!C6*C28*Exchange_Rate/Common_Shares</f>
        <v>21.599825242120371</v>
      </c>
      <c r="D77" s="1" t="str">
        <f>Market_currency</f>
        <v>HKD</v>
      </c>
    </row>
    <row r="79" spans="1:6" ht="13.9" x14ac:dyDescent="0.45">
      <c r="A79" s="253" t="s">
        <v>373</v>
      </c>
      <c r="B79" s="36"/>
      <c r="C79" s="36"/>
      <c r="D79" s="36"/>
      <c r="E79" s="36"/>
      <c r="F79" s="36"/>
    </row>
    <row r="80" spans="1:6" x14ac:dyDescent="0.35">
      <c r="A80" s="239"/>
    </row>
    <row r="81" spans="2:6" x14ac:dyDescent="0.35">
      <c r="B81" s="341" t="s">
        <v>383</v>
      </c>
      <c r="C81" s="341"/>
      <c r="D81" s="341"/>
      <c r="E81" s="341"/>
      <c r="F81" s="341"/>
    </row>
    <row r="82" spans="2:6" x14ac:dyDescent="0.35">
      <c r="B82" s="1" t="s">
        <v>255</v>
      </c>
    </row>
    <row r="84" spans="2:6" x14ac:dyDescent="0.35">
      <c r="B84" s="240" t="s">
        <v>232</v>
      </c>
    </row>
    <row r="85" spans="2:6" ht="24.4" customHeight="1" x14ac:dyDescent="0.35">
      <c r="B85" s="341" t="s">
        <v>358</v>
      </c>
      <c r="C85" s="341"/>
      <c r="D85" s="341"/>
      <c r="E85" s="341"/>
      <c r="F85" s="341"/>
    </row>
    <row r="86" spans="2:6" x14ac:dyDescent="0.35">
      <c r="B86" s="47" t="s">
        <v>257</v>
      </c>
      <c r="C86" s="191">
        <f>Valuation_Model!C7</f>
        <v>2034922</v>
      </c>
      <c r="D86" s="1" t="str">
        <f>Reporting_currency</f>
        <v>HKD</v>
      </c>
    </row>
    <row r="87" spans="2:6" x14ac:dyDescent="0.35">
      <c r="B87" s="47" t="s">
        <v>288</v>
      </c>
      <c r="C87" s="254">
        <f>C86*C28*Exchange_Rate/Common_Shares</f>
        <v>3.4660105464438944</v>
      </c>
      <c r="D87" s="1" t="str">
        <f>Market_currency</f>
        <v>HKD</v>
      </c>
    </row>
    <row r="89" spans="2:6" x14ac:dyDescent="0.35">
      <c r="B89" s="1" t="s">
        <v>256</v>
      </c>
    </row>
    <row r="90" spans="2:6" x14ac:dyDescent="0.35">
      <c r="B90" s="47" t="s">
        <v>267</v>
      </c>
      <c r="C90" s="191">
        <f>BS!C66</f>
        <v>1998219</v>
      </c>
      <c r="D90" s="1" t="str">
        <f>Reporting_currency</f>
        <v>HKD</v>
      </c>
    </row>
    <row r="91" spans="2:6" x14ac:dyDescent="0.35">
      <c r="B91" s="47" t="s">
        <v>269</v>
      </c>
      <c r="C91" s="191">
        <f>Valuation_Model!C8</f>
        <v>1050246.6606106577</v>
      </c>
      <c r="D91" s="1" t="str">
        <f>Reporting_currency</f>
        <v>HKD</v>
      </c>
    </row>
    <row r="92" spans="2:6" x14ac:dyDescent="0.35">
      <c r="B92" s="47" t="s">
        <v>289</v>
      </c>
      <c r="C92" s="254">
        <f>C91*C28*Exchange_Rate/Common_Shares</f>
        <v>1.7888479273623368</v>
      </c>
      <c r="D92" s="1" t="str">
        <f>Market_currency</f>
        <v>HKD</v>
      </c>
    </row>
    <row r="94" spans="2:6" x14ac:dyDescent="0.35">
      <c r="B94" s="1" t="s">
        <v>258</v>
      </c>
    </row>
    <row r="95" spans="2:6" x14ac:dyDescent="0.35">
      <c r="B95" s="47" t="s">
        <v>259</v>
      </c>
      <c r="C95" s="191">
        <f>Valuation_Model!C9</f>
        <v>92572.6</v>
      </c>
      <c r="D95" s="1" t="str">
        <f>Reporting_currency</f>
        <v>HKD</v>
      </c>
    </row>
    <row r="96" spans="2:6" x14ac:dyDescent="0.35">
      <c r="B96" s="47" t="s">
        <v>290</v>
      </c>
      <c r="C96" s="254">
        <f>C95*C28*Exchange_Rate/Common_Shares</f>
        <v>0.15767562978420405</v>
      </c>
      <c r="D96" s="1" t="str">
        <f>Market_currency</f>
        <v>HKD</v>
      </c>
    </row>
    <row r="98" spans="1:6" ht="24.4" customHeight="1" x14ac:dyDescent="0.35">
      <c r="B98" s="341" t="s">
        <v>384</v>
      </c>
      <c r="C98" s="341"/>
      <c r="D98" s="341"/>
      <c r="E98" s="341"/>
      <c r="F98" s="341"/>
    </row>
    <row r="100" spans="1:6" x14ac:dyDescent="0.35">
      <c r="B100" s="47" t="s">
        <v>286</v>
      </c>
      <c r="C100" s="254">
        <f>Valuation_Model!C12</f>
        <v>20.080338252823015</v>
      </c>
      <c r="D100" s="1" t="str">
        <f>Market_currency</f>
        <v>HKD</v>
      </c>
    </row>
    <row r="102" spans="1:6" ht="13.9" x14ac:dyDescent="0.45">
      <c r="A102" s="253" t="s">
        <v>374</v>
      </c>
      <c r="B102" s="36"/>
      <c r="C102" s="36"/>
      <c r="D102" s="36"/>
      <c r="E102" s="36"/>
      <c r="F102" s="36"/>
    </row>
    <row r="104" spans="1:6" ht="24.4" customHeight="1" x14ac:dyDescent="0.35">
      <c r="B104" s="342" t="s">
        <v>385</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24.7 HKD</v>
      </c>
      <c r="F107" s="265">
        <f>Valuation_Model!F74</f>
        <v>0.02</v>
      </c>
    </row>
    <row r="108" spans="1:6" x14ac:dyDescent="0.35">
      <c r="B108" s="248" t="str">
        <f>Valuation_Model!B75</f>
        <v>Optimistic</v>
      </c>
      <c r="C108" s="249">
        <f>Valuation_Model!C75</f>
        <v>0.05</v>
      </c>
      <c r="D108" s="250">
        <f>Valuation_Model!D75</f>
        <v>5</v>
      </c>
      <c r="E108" s="251" t="str">
        <f>ROUND(Valuation_Model!E75,2)&amp;" "&amp;Market_currency</f>
        <v>21.86 HKD</v>
      </c>
      <c r="F108" s="252">
        <f>Valuation_Model!F75</f>
        <v>0.192</v>
      </c>
    </row>
    <row r="109" spans="1:6" x14ac:dyDescent="0.35">
      <c r="B109" s="248" t="str">
        <f>Valuation_Model!B76</f>
        <v>Base</v>
      </c>
      <c r="C109" s="249">
        <f>Valuation_Model!C76</f>
        <v>0.02</v>
      </c>
      <c r="D109" s="250">
        <f>Valuation_Model!D76</f>
        <v>5</v>
      </c>
      <c r="E109" s="251" t="str">
        <f>ROUND(Valuation_Model!E76,2)&amp;" "&amp;Market_currency</f>
        <v>20.78 HKD</v>
      </c>
      <c r="F109" s="252">
        <f>Valuation_Model!F76</f>
        <v>0.57599999999999996</v>
      </c>
    </row>
    <row r="110" spans="1:6" x14ac:dyDescent="0.35">
      <c r="B110" s="248" t="str">
        <f>Valuation_Model!B77</f>
        <v>Pessimistic</v>
      </c>
      <c r="C110" s="249">
        <f>Valuation_Model!C77</f>
        <v>-0.05</v>
      </c>
      <c r="D110" s="250">
        <f>Valuation_Model!D77</f>
        <v>5</v>
      </c>
      <c r="E110" s="251" t="str">
        <f>ROUND(Valuation_Model!E77,2)&amp;" "&amp;Market_currency</f>
        <v>18.42 HKD</v>
      </c>
      <c r="F110" s="252">
        <f>Valuation_Model!F77</f>
        <v>0.192</v>
      </c>
    </row>
    <row r="111" spans="1:6" x14ac:dyDescent="0.35">
      <c r="B111" s="248" t="str">
        <f>Valuation_Model!B78</f>
        <v>Devil's advocate</v>
      </c>
      <c r="C111" s="249">
        <f>Valuation_Model!C78</f>
        <v>-0.08</v>
      </c>
      <c r="D111" s="250">
        <f>Valuation_Model!D78</f>
        <v>10</v>
      </c>
      <c r="E111" s="251" t="str">
        <f>ROUND(Valuation_Model!E78,2)&amp;" "&amp;Market_currency</f>
        <v>15.62 HKD</v>
      </c>
      <c r="F111" s="252">
        <f>Valuation_Model!F78</f>
        <v>0.02</v>
      </c>
    </row>
    <row r="113" spans="1:6" x14ac:dyDescent="0.35">
      <c r="B113" s="241" t="s">
        <v>260</v>
      </c>
      <c r="C113" s="247">
        <f>Scenarios!C60</f>
        <v>20.508980461992877</v>
      </c>
      <c r="D113" s="242" t="str">
        <f>Market_currency</f>
        <v>HKD</v>
      </c>
    </row>
    <row r="115" spans="1:6" ht="24.4" customHeight="1" x14ac:dyDescent="0.35">
      <c r="B115" s="346" t="s">
        <v>388</v>
      </c>
      <c r="C115" s="346"/>
      <c r="D115" s="346"/>
      <c r="E115" s="346"/>
      <c r="F115" s="346"/>
    </row>
    <row r="117" spans="1:6" ht="13.9" x14ac:dyDescent="0.45">
      <c r="A117" s="253" t="s">
        <v>375</v>
      </c>
      <c r="B117" s="36"/>
      <c r="C117" s="36"/>
      <c r="D117" s="36"/>
      <c r="E117" s="36"/>
      <c r="F117" s="36"/>
    </row>
    <row r="119" spans="1:6" x14ac:dyDescent="0.35">
      <c r="B119" s="344" t="s">
        <v>386</v>
      </c>
      <c r="C119" s="344"/>
      <c r="D119" s="344"/>
      <c r="E119" s="344"/>
      <c r="F119" s="344"/>
    </row>
    <row r="120" spans="1:6" ht="24.4" customHeight="1" x14ac:dyDescent="0.35">
      <c r="B120" s="341" t="s">
        <v>387</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1.36</v>
      </c>
      <c r="D124" s="242" t="str">
        <f>Market_currency</f>
        <v>HKD</v>
      </c>
    </row>
    <row r="126" spans="1:6" x14ac:dyDescent="0.35">
      <c r="B126" s="240" t="s">
        <v>265</v>
      </c>
    </row>
    <row r="127" spans="1:6" x14ac:dyDescent="0.35">
      <c r="B127" s="242" t="str">
        <f>"PV("&amp;C122&amp;" yrs of Dividends)"</f>
        <v>PV(3 yrs of Dividends)</v>
      </c>
      <c r="C127" s="246">
        <f>Scenarios!C81</f>
        <v>2.8648148148148147</v>
      </c>
    </row>
    <row r="128" spans="1:6" x14ac:dyDescent="0.35">
      <c r="B128" s="242" t="str">
        <f>"+ PV(Equity Value realized at year "&amp;C122&amp;")"</f>
        <v>+ PV(Equity Value realized at year 3)</v>
      </c>
      <c r="C128" s="246">
        <f>Scenarios!C82</f>
        <v>11.868622952542175</v>
      </c>
    </row>
    <row r="129" spans="1:6" x14ac:dyDescent="0.35">
      <c r="B129" s="82" t="s">
        <v>262</v>
      </c>
      <c r="C129" s="245">
        <f>Scenarios!C83</f>
        <v>14.733437767356989</v>
      </c>
      <c r="D129" s="47" t="str">
        <f>Reporting_currency</f>
        <v>HKD</v>
      </c>
    </row>
    <row r="130" spans="1:6" x14ac:dyDescent="0.35">
      <c r="B130" s="244" t="s">
        <v>264</v>
      </c>
      <c r="C130" s="94">
        <f>Scenarios!F83</f>
        <v>0.28161042453275964</v>
      </c>
    </row>
    <row r="132" spans="1:6" ht="13.9" x14ac:dyDescent="0.45">
      <c r="A132" s="253" t="s">
        <v>392</v>
      </c>
      <c r="B132" s="36"/>
      <c r="C132" s="36"/>
      <c r="D132" s="36"/>
      <c r="E132" s="36"/>
      <c r="F132" s="36"/>
    </row>
    <row r="134" spans="1:6" x14ac:dyDescent="0.35">
      <c r="B134" s="348" t="s">
        <v>394</v>
      </c>
      <c r="C134" s="341"/>
      <c r="D134" s="341"/>
      <c r="E134" s="341"/>
      <c r="F134" s="341"/>
    </row>
    <row r="136" spans="1:6" x14ac:dyDescent="0.35">
      <c r="B136" s="240" t="s">
        <v>393</v>
      </c>
    </row>
    <row r="137" spans="1:6" x14ac:dyDescent="0.35">
      <c r="B137" s="345" t="s">
        <v>398</v>
      </c>
      <c r="C137" s="345"/>
      <c r="D137" s="345"/>
      <c r="E137" s="345"/>
      <c r="F137" s="345"/>
    </row>
    <row r="138" spans="1:6" x14ac:dyDescent="0.35">
      <c r="B138" s="244" t="s">
        <v>395</v>
      </c>
    </row>
    <row r="139" spans="1:6" x14ac:dyDescent="0.35">
      <c r="B139" s="244" t="s">
        <v>396</v>
      </c>
    </row>
    <row r="140" spans="1:6" x14ac:dyDescent="0.35">
      <c r="B140" s="244" t="s">
        <v>397</v>
      </c>
    </row>
    <row r="142" spans="1:6" x14ac:dyDescent="0.35">
      <c r="B142" s="1" t="s">
        <v>402</v>
      </c>
    </row>
    <row r="143" spans="1:6" ht="46.5" customHeight="1" x14ac:dyDescent="0.35">
      <c r="B143" s="342" t="s">
        <v>399</v>
      </c>
      <c r="C143" s="342"/>
      <c r="D143" s="342"/>
      <c r="E143" s="342"/>
      <c r="F143" s="342"/>
    </row>
    <row r="145" spans="2:6" x14ac:dyDescent="0.35">
      <c r="B145" s="1" t="s">
        <v>403</v>
      </c>
    </row>
    <row r="146" spans="2:6" ht="24.4" customHeight="1" x14ac:dyDescent="0.35">
      <c r="B146" s="347" t="s">
        <v>400</v>
      </c>
      <c r="C146" s="347"/>
      <c r="D146" s="347"/>
      <c r="E146" s="347"/>
      <c r="F146" s="347"/>
    </row>
    <row r="147" spans="2:6" ht="24.4" customHeight="1" x14ac:dyDescent="0.35">
      <c r="B147" s="347" t="s">
        <v>401</v>
      </c>
      <c r="C147" s="347"/>
      <c r="D147" s="347"/>
      <c r="E147" s="347"/>
      <c r="F147" s="347"/>
    </row>
    <row r="149" spans="2:6" x14ac:dyDescent="0.35">
      <c r="B149" s="1" t="s">
        <v>407</v>
      </c>
    </row>
    <row r="150" spans="2:6" x14ac:dyDescent="0.35">
      <c r="B150" s="244" t="s">
        <v>404</v>
      </c>
    </row>
    <row r="151" spans="2:6" x14ac:dyDescent="0.35">
      <c r="B151" s="244" t="s">
        <v>405</v>
      </c>
    </row>
    <row r="152" spans="2:6" x14ac:dyDescent="0.35">
      <c r="B152" s="244" t="s">
        <v>406</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8" sqref="D18"/>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44</v>
      </c>
      <c r="C5" s="193">
        <v>11151623</v>
      </c>
      <c r="D5" s="184">
        <v>8747447</v>
      </c>
      <c r="E5" s="184">
        <v>8503976</v>
      </c>
      <c r="F5" s="184">
        <v>6229020</v>
      </c>
      <c r="G5" s="184">
        <v>7910751</v>
      </c>
      <c r="H5" s="184"/>
      <c r="I5" s="184"/>
      <c r="J5" s="184"/>
      <c r="K5" s="184"/>
      <c r="L5" s="184"/>
      <c r="M5" s="184"/>
    </row>
    <row r="6" spans="2:13" x14ac:dyDescent="0.35">
      <c r="B6" s="40" t="s">
        <v>55</v>
      </c>
      <c r="C6" s="193">
        <v>2297566</v>
      </c>
      <c r="D6" s="184">
        <v>1867515</v>
      </c>
      <c r="E6" s="184">
        <v>1815111</v>
      </c>
      <c r="F6" s="184">
        <v>1694480</v>
      </c>
      <c r="G6" s="184">
        <v>2118252</v>
      </c>
      <c r="H6" s="184"/>
      <c r="I6" s="184"/>
      <c r="J6" s="184"/>
      <c r="K6" s="184"/>
      <c r="L6" s="184"/>
      <c r="M6" s="184"/>
    </row>
    <row r="7" spans="2:13" x14ac:dyDescent="0.35">
      <c r="B7" s="70" t="s">
        <v>62</v>
      </c>
      <c r="C7" s="194">
        <v>2043459</v>
      </c>
      <c r="D7" s="192">
        <v>1517989</v>
      </c>
      <c r="E7" s="192">
        <v>1491293</v>
      </c>
      <c r="F7" s="192">
        <v>1412494</v>
      </c>
      <c r="G7" s="192">
        <v>1945100</v>
      </c>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v>927</v>
      </c>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68</v>
      </c>
      <c r="C13" s="193">
        <v>28977</v>
      </c>
      <c r="D13" s="184">
        <v>33125</v>
      </c>
      <c r="E13" s="184">
        <v>87344</v>
      </c>
      <c r="F13" s="184">
        <v>63398</v>
      </c>
      <c r="G13" s="184">
        <v>45450</v>
      </c>
      <c r="H13" s="184"/>
      <c r="I13" s="184"/>
      <c r="J13" s="184"/>
      <c r="K13" s="184"/>
      <c r="L13" s="184"/>
      <c r="M13" s="184"/>
    </row>
    <row r="14" spans="2:13" x14ac:dyDescent="0.35">
      <c r="B14" s="40" t="s">
        <v>51</v>
      </c>
      <c r="C14" s="193">
        <v>327166</v>
      </c>
      <c r="D14" s="184">
        <v>280664</v>
      </c>
      <c r="E14" s="184">
        <v>291296</v>
      </c>
      <c r="F14" s="184">
        <v>236303</v>
      </c>
      <c r="G14" s="184">
        <v>223409</v>
      </c>
      <c r="H14" s="184"/>
      <c r="I14" s="184"/>
      <c r="J14" s="184"/>
      <c r="K14" s="184"/>
      <c r="L14" s="184"/>
      <c r="M14" s="184"/>
    </row>
    <row r="15" spans="2:13" x14ac:dyDescent="0.35">
      <c r="B15" s="43" t="s">
        <v>43</v>
      </c>
      <c r="C15" s="195">
        <v>1767305</v>
      </c>
      <c r="D15" s="185">
        <v>1284757</v>
      </c>
      <c r="E15" s="185">
        <v>1392364</v>
      </c>
      <c r="F15" s="185">
        <v>1017335</v>
      </c>
      <c r="G15" s="185">
        <v>866315</v>
      </c>
      <c r="H15" s="185"/>
      <c r="I15" s="185"/>
      <c r="J15" s="185"/>
      <c r="K15" s="185"/>
      <c r="L15" s="185"/>
      <c r="M15" s="185"/>
    </row>
    <row r="16" spans="2:13" x14ac:dyDescent="0.35">
      <c r="B16" s="28" t="s">
        <v>45</v>
      </c>
      <c r="C16" s="193">
        <v>-9467</v>
      </c>
      <c r="D16" s="184">
        <v>-30</v>
      </c>
      <c r="E16" s="184">
        <v>-27</v>
      </c>
      <c r="F16" s="184">
        <v>1799</v>
      </c>
      <c r="G16" s="184">
        <v>1337</v>
      </c>
      <c r="H16" s="184"/>
      <c r="I16" s="184"/>
      <c r="J16" s="184"/>
      <c r="K16" s="184"/>
      <c r="L16" s="184"/>
      <c r="M16" s="184"/>
    </row>
    <row r="18" spans="2:13" x14ac:dyDescent="0.35">
      <c r="B18" s="16" t="s">
        <v>52</v>
      </c>
      <c r="C18" s="9"/>
    </row>
    <row r="19" spans="2:13" x14ac:dyDescent="0.35">
      <c r="B19" s="27" t="s">
        <v>48</v>
      </c>
      <c r="C19" s="184">
        <v>463424</v>
      </c>
      <c r="D19" s="184">
        <v>371724</v>
      </c>
      <c r="E19" s="184">
        <v>435672</v>
      </c>
      <c r="F19" s="184">
        <v>520888</v>
      </c>
      <c r="G19" s="184"/>
      <c r="H19" s="184"/>
      <c r="I19" s="184"/>
      <c r="J19" s="184"/>
      <c r="K19" s="184"/>
      <c r="L19" s="184"/>
      <c r="M19" s="184"/>
    </row>
    <row r="20" spans="2:13" x14ac:dyDescent="0.35">
      <c r="B20" s="27" t="s">
        <v>54</v>
      </c>
      <c r="C20" s="184">
        <v>676387</v>
      </c>
      <c r="D20" s="184">
        <v>107280</v>
      </c>
      <c r="E20" s="184">
        <v>455483</v>
      </c>
      <c r="F20" s="184">
        <v>138937</v>
      </c>
      <c r="G20" s="184"/>
      <c r="H20" s="184"/>
      <c r="I20" s="184"/>
      <c r="J20" s="184"/>
      <c r="K20" s="184"/>
      <c r="L20" s="184"/>
      <c r="M20" s="184"/>
    </row>
    <row r="21" spans="2:13" x14ac:dyDescent="0.35">
      <c r="B21" s="27" t="s">
        <v>53</v>
      </c>
      <c r="C21" s="184">
        <v>626583</v>
      </c>
      <c r="D21" s="184">
        <v>352099</v>
      </c>
      <c r="E21" s="184">
        <v>1045251</v>
      </c>
      <c r="F21" s="184">
        <v>-818677</v>
      </c>
      <c r="G21" s="184"/>
      <c r="H21" s="184"/>
      <c r="I21" s="184"/>
      <c r="J21" s="184"/>
      <c r="K21" s="184"/>
      <c r="L21" s="184"/>
      <c r="M21" s="184"/>
    </row>
    <row r="22" spans="2:13" x14ac:dyDescent="0.35">
      <c r="B22" s="27" t="s">
        <v>389</v>
      </c>
      <c r="C22" s="184"/>
      <c r="D22" s="184"/>
      <c r="E22" s="184"/>
      <c r="F22" s="184"/>
      <c r="G22" s="184"/>
      <c r="H22" s="184"/>
      <c r="I22" s="184"/>
      <c r="J22" s="184"/>
      <c r="K22" s="184"/>
      <c r="L22" s="184"/>
      <c r="M22" s="184"/>
    </row>
    <row r="23" spans="2:13" x14ac:dyDescent="0.35">
      <c r="B23" s="27" t="s">
        <v>391</v>
      </c>
      <c r="C23" s="184"/>
      <c r="D23" s="184"/>
      <c r="E23" s="184"/>
      <c r="F23" s="184"/>
      <c r="G23" s="184"/>
      <c r="H23" s="184"/>
      <c r="I23" s="184"/>
      <c r="J23" s="184"/>
      <c r="K23" s="184"/>
      <c r="L23" s="184"/>
      <c r="M23" s="184"/>
    </row>
    <row r="24" spans="2:13" x14ac:dyDescent="0.35">
      <c r="B24" s="27" t="s">
        <v>390</v>
      </c>
      <c r="C24" s="184"/>
      <c r="D24" s="184"/>
      <c r="E24" s="184"/>
      <c r="F24" s="184"/>
      <c r="G24" s="184"/>
      <c r="H24" s="184"/>
      <c r="I24" s="184"/>
      <c r="J24" s="184"/>
      <c r="K24" s="184"/>
      <c r="L24" s="184"/>
      <c r="M24" s="184"/>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9"/>
    </row>
    <row r="28" spans="2:13" x14ac:dyDescent="0.35">
      <c r="B28" s="26" t="s">
        <v>24</v>
      </c>
      <c r="C28" s="184"/>
      <c r="D28" s="184">
        <v>213823</v>
      </c>
      <c r="E28" s="184">
        <v>187711</v>
      </c>
      <c r="F28" s="184">
        <v>277338</v>
      </c>
      <c r="G28" s="184"/>
      <c r="H28" s="184"/>
      <c r="I28" s="184"/>
      <c r="J28" s="184"/>
      <c r="K28" s="184"/>
      <c r="L28" s="184"/>
      <c r="M28" s="184"/>
    </row>
    <row r="29" spans="2:13" x14ac:dyDescent="0.35">
      <c r="B29" s="26" t="s">
        <v>32</v>
      </c>
      <c r="C29" s="184"/>
      <c r="D29" s="184">
        <v>8852611</v>
      </c>
      <c r="E29" s="184">
        <v>8769304</v>
      </c>
      <c r="F29" s="184">
        <v>7321614</v>
      </c>
      <c r="G29" s="184"/>
      <c r="H29" s="184"/>
      <c r="I29" s="184"/>
      <c r="J29" s="184"/>
      <c r="K29" s="184"/>
      <c r="L29" s="184"/>
      <c r="M29" s="184"/>
    </row>
    <row r="30" spans="2:13" x14ac:dyDescent="0.35">
      <c r="B30" s="29" t="s">
        <v>40</v>
      </c>
      <c r="C30" s="185">
        <v>3990166</v>
      </c>
      <c r="D30" s="185">
        <v>2466431</v>
      </c>
      <c r="E30" s="185">
        <v>3908586</v>
      </c>
      <c r="F30" s="185">
        <v>2946772</v>
      </c>
      <c r="G30" s="185"/>
      <c r="H30" s="185"/>
      <c r="I30" s="185"/>
      <c r="J30" s="185"/>
      <c r="K30" s="185"/>
      <c r="L30" s="185"/>
      <c r="M30" s="185"/>
    </row>
    <row r="31" spans="2:13" x14ac:dyDescent="0.35">
      <c r="B31" s="29" t="s">
        <v>30</v>
      </c>
      <c r="C31" s="185">
        <v>12863898</v>
      </c>
      <c r="D31" s="185">
        <v>12220942</v>
      </c>
      <c r="E31" s="185">
        <v>12078528</v>
      </c>
      <c r="F31" s="185">
        <v>11324224</v>
      </c>
      <c r="G31" s="185"/>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411</v>
      </c>
      <c r="C64" s="186">
        <f>IF(C$4="","",C22+C23+C24)</f>
        <v>0</v>
      </c>
      <c r="D64" s="186">
        <f t="shared" ref="D64:M64" si="32">IF(D$4="","",D22+D23+D24)</f>
        <v>0</v>
      </c>
      <c r="E64" s="186">
        <f t="shared" si="32"/>
        <v>0</v>
      </c>
      <c r="F64" s="186">
        <f t="shared" si="32"/>
        <v>0</v>
      </c>
      <c r="G64" s="186">
        <f t="shared" si="32"/>
        <v>0</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1.36</v>
      </c>
      <c r="D65" s="75">
        <f t="shared" si="33"/>
        <v>1.1000000000000001</v>
      </c>
      <c r="E65" s="75">
        <f t="shared" si="33"/>
        <v>1.1000000000000001</v>
      </c>
      <c r="F65" s="75">
        <f t="shared" si="33"/>
        <v>1</v>
      </c>
      <c r="G65" s="75">
        <f t="shared" si="33"/>
        <v>1</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0.27952593137796744</v>
      </c>
      <c r="D68" s="94">
        <f t="shared" si="34"/>
        <v>2.0450249505806095E-2</v>
      </c>
      <c r="E68" s="94">
        <f t="shared" si="34"/>
        <v>0.32460887665346139</v>
      </c>
      <c r="F68" s="94">
        <f t="shared" si="34"/>
        <v>-0.21118785490642455</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0.27484316281081789</v>
      </c>
      <c r="D69" s="104">
        <f t="shared" si="35"/>
        <v>2.8630254836090829E-2</v>
      </c>
      <c r="E69" s="104">
        <f t="shared" si="35"/>
        <v>0.36521892689379709</v>
      </c>
      <c r="F69" s="104">
        <f t="shared" si="35"/>
        <v>-0.21258803367720713</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0.29220619013700166</v>
      </c>
      <c r="D70" s="94">
        <f t="shared" si="36"/>
        <v>-1.0606627998344109E-3</v>
      </c>
      <c r="E70" s="94">
        <f t="shared" si="36"/>
        <v>0.22851064557243328</v>
      </c>
      <c r="F70" s="94">
        <f t="shared" si="36"/>
        <v>-0.20785460213901807</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0.23027981033619538</v>
      </c>
      <c r="D71" s="104">
        <f t="shared" si="37"/>
        <v>2.88709616106122E-2</v>
      </c>
      <c r="E71" s="104">
        <f t="shared" si="37"/>
        <v>7.1190571738822594E-2</v>
      </c>
      <c r="F71" s="104">
        <f t="shared" si="37"/>
        <v>-0.20005740582329201</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f>IF(D$36="","",C65/D65-1)</f>
        <v>0.23636363636363633</v>
      </c>
      <c r="D72" s="94">
        <f t="shared" ref="D72:M72" si="38">IF(E$36="","",D65/E65-1)</f>
        <v>0</v>
      </c>
      <c r="E72" s="94">
        <f t="shared" si="38"/>
        <v>0.10000000000000009</v>
      </c>
      <c r="F72" s="94">
        <f t="shared" si="38"/>
        <v>0</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16854064</v>
      </c>
      <c r="D76" s="78">
        <f t="shared" ref="D76:M76" si="39">IF(D$4="","",D79+D80)</f>
        <v>14687373</v>
      </c>
      <c r="E76" s="78">
        <f t="shared" si="39"/>
        <v>15987114</v>
      </c>
      <c r="F76" s="78">
        <f t="shared" si="39"/>
        <v>14270996</v>
      </c>
      <c r="G76" s="78">
        <f t="shared" si="39"/>
        <v>0</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0</v>
      </c>
      <c r="D77" s="74">
        <f t="shared" si="40"/>
        <v>213823</v>
      </c>
      <c r="E77" s="74">
        <f t="shared" si="40"/>
        <v>187711</v>
      </c>
      <c r="F77" s="74">
        <f t="shared" si="40"/>
        <v>277338</v>
      </c>
      <c r="G77" s="74">
        <f t="shared" si="40"/>
        <v>0</v>
      </c>
      <c r="H77" s="74" t="str">
        <f t="shared" si="40"/>
        <v/>
      </c>
      <c r="I77" s="96"/>
      <c r="J77" s="96"/>
      <c r="K77" s="96"/>
      <c r="L77" s="96"/>
      <c r="M77" s="96"/>
    </row>
    <row r="78" spans="2:13" x14ac:dyDescent="0.35">
      <c r="B78" s="95" t="s">
        <v>88</v>
      </c>
      <c r="C78" s="74">
        <f t="shared" si="40"/>
        <v>0</v>
      </c>
      <c r="D78" s="74">
        <f t="shared" si="40"/>
        <v>8852611</v>
      </c>
      <c r="E78" s="74">
        <f t="shared" si="40"/>
        <v>8769304</v>
      </c>
      <c r="F78" s="74">
        <f t="shared" si="40"/>
        <v>7321614</v>
      </c>
      <c r="G78" s="74">
        <f t="shared" si="40"/>
        <v>0</v>
      </c>
      <c r="H78" s="74" t="str">
        <f t="shared" si="40"/>
        <v/>
      </c>
      <c r="I78" s="96"/>
      <c r="J78" s="96"/>
      <c r="K78" s="96"/>
      <c r="L78" s="96"/>
      <c r="M78" s="96"/>
    </row>
    <row r="79" spans="2:13" x14ac:dyDescent="0.35">
      <c r="B79" s="26" t="s">
        <v>40</v>
      </c>
      <c r="C79" s="58">
        <f t="shared" ref="C79:M79" si="41">IF(C$4="","",C30)</f>
        <v>3990166</v>
      </c>
      <c r="D79" s="58">
        <f t="shared" si="41"/>
        <v>2466431</v>
      </c>
      <c r="E79" s="58">
        <f t="shared" si="41"/>
        <v>3908586</v>
      </c>
      <c r="F79" s="58">
        <f t="shared" si="41"/>
        <v>2946772</v>
      </c>
      <c r="G79" s="58">
        <f t="shared" si="41"/>
        <v>0</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12863898</v>
      </c>
      <c r="D80" s="58">
        <f t="shared" si="42"/>
        <v>12220942</v>
      </c>
      <c r="E80" s="58">
        <f t="shared" si="42"/>
        <v>12078528</v>
      </c>
      <c r="F80" s="58">
        <f t="shared" si="42"/>
        <v>11324224</v>
      </c>
      <c r="G80" s="58">
        <f t="shared" si="42"/>
        <v>0</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76" sqref="F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265773</v>
      </c>
      <c r="D4" s="300">
        <v>0.6</v>
      </c>
      <c r="E4" s="25"/>
      <c r="F4" s="4" t="s">
        <v>79</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179</v>
      </c>
      <c r="G6" s="19">
        <v>0</v>
      </c>
      <c r="H6" s="300">
        <v>0.6</v>
      </c>
    </row>
    <row r="7" spans="2:8" ht="15" customHeight="1" x14ac:dyDescent="0.35">
      <c r="B7" s="1" t="s">
        <v>70</v>
      </c>
      <c r="C7" s="19">
        <v>0</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366595</v>
      </c>
      <c r="D9" s="300">
        <v>0.1</v>
      </c>
      <c r="E9" s="25"/>
      <c r="F9" s="4" t="s">
        <v>182</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73</v>
      </c>
      <c r="C12" s="83">
        <f>SUM(C4:C11)</f>
        <v>10334089</v>
      </c>
      <c r="D12" s="20">
        <f>C4*D4+C5*D5+C9*D9+C6*D6+C8*D8+C7*D7+C10*D10+C11*D11</f>
        <v>5058769.8</v>
      </c>
      <c r="F12" s="82" t="s">
        <v>71</v>
      </c>
      <c r="G12" s="83">
        <f>SUM(G4:G9)</f>
        <v>1998219</v>
      </c>
      <c r="H12" s="20">
        <f>G4*H4+G5*H5+G6*H6+G7*H7+G8*H8+G9*H9</f>
        <v>1798397.1</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103050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2522337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538321</v>
      </c>
      <c r="D21" s="300">
        <v>0.05</v>
      </c>
      <c r="F21" s="1" t="s">
        <v>182</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75</v>
      </c>
      <c r="C24" s="83">
        <f>SUM(C15:C23)</f>
        <v>3596030</v>
      </c>
      <c r="D24" s="20">
        <f>C15*D15+C16*D16+C18*D18+C17*D17+C19*D19+C20*D20+C21*D21+C22*D22+C23*D23</f>
        <v>459552.95</v>
      </c>
      <c r="F24" s="82" t="s">
        <v>72</v>
      </c>
      <c r="G24" s="83">
        <f>SUM(G15:G21)</f>
        <v>925726</v>
      </c>
      <c r="H24" s="20">
        <f>G15*H15+G16*H16+G17*H17+G18*H18+G19*H19+G20*H20+G21*H21</f>
        <v>92572.6</v>
      </c>
    </row>
    <row r="26" spans="2:8" ht="15" customHeight="1" x14ac:dyDescent="0.35">
      <c r="B26" s="16" t="s">
        <v>202</v>
      </c>
      <c r="C26" s="209" t="s">
        <v>138</v>
      </c>
      <c r="F26" s="211" t="s">
        <v>198</v>
      </c>
      <c r="G26" s="212" t="s">
        <v>138</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246</v>
      </c>
      <c r="G28" s="184">
        <v>-26962</v>
      </c>
      <c r="H28" s="215"/>
    </row>
    <row r="29" spans="2:8" ht="15" customHeight="1" x14ac:dyDescent="0.35">
      <c r="B29" s="4" t="s">
        <v>7</v>
      </c>
      <c r="C29" s="19">
        <v>0</v>
      </c>
      <c r="F29" s="217" t="s">
        <v>77</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205</v>
      </c>
      <c r="C31" s="83">
        <f>SUM(C27:C30)</f>
        <v>1715502</v>
      </c>
      <c r="F31" s="217" t="s">
        <v>78</v>
      </c>
      <c r="G31" s="218">
        <f>C31+C40</f>
        <v>2034922</v>
      </c>
      <c r="H31" s="215"/>
    </row>
    <row r="32" spans="2:8" ht="15" customHeight="1" x14ac:dyDescent="0.35">
      <c r="B32" s="4" t="s">
        <v>9</v>
      </c>
      <c r="C32" s="21">
        <f>C33-C31</f>
        <v>1801307</v>
      </c>
      <c r="F32" s="219" t="s">
        <v>76</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13930119</v>
      </c>
      <c r="H35" s="227">
        <f>D12+D24</f>
        <v>5518322.75</v>
      </c>
    </row>
    <row r="36" spans="2:8" ht="15" customHeight="1" x14ac:dyDescent="0.35">
      <c r="B36" s="4" t="s">
        <v>13</v>
      </c>
      <c r="C36" s="19">
        <v>0</v>
      </c>
      <c r="F36" s="217" t="s">
        <v>199</v>
      </c>
      <c r="G36" s="218">
        <f>C4+C15</f>
        <v>368823</v>
      </c>
      <c r="H36" s="222"/>
    </row>
    <row r="37" spans="2:8" ht="15" customHeight="1" x14ac:dyDescent="0.35">
      <c r="B37" s="4" t="s">
        <v>14</v>
      </c>
      <c r="C37" s="19">
        <v>0</v>
      </c>
      <c r="F37" s="217" t="s">
        <v>200</v>
      </c>
      <c r="G37" s="218">
        <f>C6</f>
        <v>9672256</v>
      </c>
      <c r="H37" s="222"/>
    </row>
    <row r="38" spans="2:8" ht="15" customHeight="1" x14ac:dyDescent="0.35">
      <c r="B38" s="4" t="s">
        <v>15</v>
      </c>
      <c r="C38" s="19">
        <v>319420</v>
      </c>
      <c r="F38" s="217" t="s">
        <v>201</v>
      </c>
      <c r="G38" s="218">
        <f>C7+C17</f>
        <v>0</v>
      </c>
      <c r="H38" s="222"/>
    </row>
    <row r="39" spans="2:8" ht="15" customHeight="1" x14ac:dyDescent="0.35">
      <c r="B39" s="2" t="s">
        <v>16</v>
      </c>
      <c r="C39" s="19">
        <v>0</v>
      </c>
      <c r="F39" s="217" t="s">
        <v>81</v>
      </c>
      <c r="G39" s="218">
        <f>C7+C17+C19+C20</f>
        <v>2522337</v>
      </c>
      <c r="H39" s="215">
        <f>C7*D7+C17*D17+C19*D19+C20*D20</f>
        <v>252233.7</v>
      </c>
    </row>
    <row r="40" spans="2:8" ht="15" customHeight="1" x14ac:dyDescent="0.35">
      <c r="B40" s="82" t="s">
        <v>206</v>
      </c>
      <c r="C40" s="83">
        <f>SUM(C36:C39)</f>
        <v>319420</v>
      </c>
      <c r="F40" s="226" t="s">
        <v>140</v>
      </c>
      <c r="G40" s="220">
        <f>G12+G24</f>
        <v>2923945</v>
      </c>
      <c r="H40" s="227">
        <f>H12+H24</f>
        <v>1890969.7000000002</v>
      </c>
    </row>
    <row r="41" spans="2:8" ht="15" customHeight="1" x14ac:dyDescent="0.35">
      <c r="B41" s="4" t="s">
        <v>17</v>
      </c>
      <c r="C41" s="21">
        <f>C42-C40</f>
        <v>153937</v>
      </c>
      <c r="F41" s="217" t="s">
        <v>193</v>
      </c>
      <c r="G41" s="218">
        <f>C70</f>
        <v>1998219</v>
      </c>
      <c r="H41" s="227">
        <f>H40-H42</f>
        <v>1798397.1</v>
      </c>
    </row>
    <row r="42" spans="2:8" ht="15" customHeight="1" x14ac:dyDescent="0.35">
      <c r="B42" s="85" t="s">
        <v>22</v>
      </c>
      <c r="C42" s="86">
        <v>473357</v>
      </c>
      <c r="F42" s="228" t="s">
        <v>194</v>
      </c>
      <c r="G42" s="229">
        <f>C82</f>
        <v>925726</v>
      </c>
      <c r="H42" s="230">
        <f>D82</f>
        <v>92572.6</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1.4550387206421544</v>
      </c>
      <c r="D50" s="98">
        <f>G31/Normalized_FCF!G8</f>
        <v>1.0842664509772892</v>
      </c>
      <c r="F50" s="289"/>
    </row>
    <row r="51" spans="2:8" ht="15" customHeight="1" x14ac:dyDescent="0.35">
      <c r="B51" s="1" t="s">
        <v>178</v>
      </c>
      <c r="C51" s="208"/>
      <c r="D51" s="94">
        <f>G29/G32</f>
        <v>0.76485172952944758</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0.10039645772788393</v>
      </c>
      <c r="D54" s="94">
        <f>Normalized_FCF!G8/G35</f>
        <v>0.13472770763839131</v>
      </c>
      <c r="F54" s="289"/>
    </row>
    <row r="55" spans="2:8" ht="15" customHeight="1" x14ac:dyDescent="0.35">
      <c r="B55" s="1" t="s">
        <v>143</v>
      </c>
      <c r="C55" s="94">
        <f>Normalized_FCF!C11/G40</f>
        <v>0</v>
      </c>
      <c r="D55" s="94">
        <f>Normalized_FCF!G11/G40</f>
        <v>2.1854036242131779E-4</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0.1837280268259158</v>
      </c>
      <c r="F58" s="5"/>
    </row>
    <row r="59" spans="2:8" ht="15" customHeight="1" x14ac:dyDescent="0.35">
      <c r="B59" s="1" t="s">
        <v>94</v>
      </c>
      <c r="C59" s="101"/>
      <c r="D59" s="94">
        <f>G39/G32</f>
        <v>0.14965749507062509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v>
      </c>
      <c r="D62" s="94">
        <f>G28/G29</f>
        <v>-2.0915594459950692E-3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1998219</v>
      </c>
      <c r="D66" s="191">
        <f>C66-D75</f>
        <v>1050246.6606106577</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1998219</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-1187304.6396666665</v>
      </c>
      <c r="D73" s="191">
        <f>(Normalized_FCF!C25+Normalized_FCF!C35-Normalized_FCF!C91)/12</f>
        <v>-947972.33938934223</v>
      </c>
      <c r="F73" s="1" t="s">
        <v>365</v>
      </c>
    </row>
    <row r="74" spans="2:6" ht="15" customHeight="1" x14ac:dyDescent="0.35">
      <c r="B74" s="294" t="s">
        <v>335</v>
      </c>
      <c r="C74" s="295">
        <f>-$C$66/C73</f>
        <v>1.6829876118070222</v>
      </c>
      <c r="D74" s="295">
        <f>-$C$66/D73</f>
        <v>2.1078874530107048</v>
      </c>
      <c r="F74" s="289" t="s">
        <v>332</v>
      </c>
    </row>
    <row r="75" spans="2:6" ht="15" customHeight="1" x14ac:dyDescent="0.35">
      <c r="B75" s="82" t="s">
        <v>333</v>
      </c>
      <c r="C75" s="299"/>
      <c r="D75" s="298">
        <f>MAX(-D73*D76,G5)</f>
        <v>947972.33938934223</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0</v>
      </c>
      <c r="D79" s="191">
        <f>G7*H7+G17*H17</f>
        <v>0</v>
      </c>
      <c r="F79" s="289"/>
    </row>
    <row r="80" spans="2:6" ht="15" customHeight="1" x14ac:dyDescent="0.35">
      <c r="B80" s="108" t="s">
        <v>184</v>
      </c>
      <c r="C80" s="20">
        <f>G19</f>
        <v>0</v>
      </c>
      <c r="D80" s="191">
        <f>G19*H19</f>
        <v>0</v>
      </c>
      <c r="F80" s="289"/>
    </row>
    <row r="81" spans="2:8" ht="15" customHeight="1" x14ac:dyDescent="0.35">
      <c r="B81" s="108" t="s">
        <v>182</v>
      </c>
      <c r="C81" s="20">
        <f>G9+G21</f>
        <v>925726</v>
      </c>
      <c r="D81" s="191">
        <f>G9*H9+G21*H21</f>
        <v>92572.6</v>
      </c>
      <c r="F81" s="289"/>
    </row>
    <row r="82" spans="2:8" ht="15" customHeight="1" x14ac:dyDescent="0.35">
      <c r="B82" s="82" t="s">
        <v>191</v>
      </c>
      <c r="C82" s="83">
        <f>SUM(C79:C81)</f>
        <v>925726</v>
      </c>
      <c r="D82" s="83">
        <f>SUM(D79:D81)</f>
        <v>92572.6</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-2034922</v>
      </c>
      <c r="D86" s="254">
        <f>C86*$H$1/Common_Shares</f>
        <v>-3.4660105464438944</v>
      </c>
      <c r="E86" s="275" t="str">
        <f>Market_currency</f>
        <v>HKD</v>
      </c>
    </row>
    <row r="87" spans="2:8" ht="15" customHeight="1" x14ac:dyDescent="0.35">
      <c r="B87" s="273" t="s">
        <v>298</v>
      </c>
      <c r="C87" s="191">
        <f>Valuation_Model!C8*Exchange_Rate</f>
        <v>1050246.6606106577</v>
      </c>
      <c r="D87" s="254">
        <f>C87*$H$1/Common_Shares</f>
        <v>1.7888479273623368</v>
      </c>
      <c r="E87" s="275" t="str">
        <f>Market_currency</f>
        <v>HKD</v>
      </c>
    </row>
    <row r="88" spans="2:8" ht="15" customHeight="1" x14ac:dyDescent="0.35">
      <c r="B88" s="274" t="s">
        <v>191</v>
      </c>
      <c r="C88" s="191">
        <f>Valuation_Model!C9*Exchange_Rate</f>
        <v>92572.6</v>
      </c>
      <c r="D88" s="254">
        <f>C88*$H$1/Common_Shares</f>
        <v>0.15767562978420405</v>
      </c>
      <c r="E88" s="275" t="str">
        <f>Market_currency</f>
        <v>HKD</v>
      </c>
    </row>
    <row r="89" spans="2:8" ht="15" customHeight="1" x14ac:dyDescent="0.35">
      <c r="B89" s="82" t="s">
        <v>302</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95" activePane="bottomRight" state="frozen"/>
      <selection pane="topRight" activeCell="C1" sqref="C1"/>
      <selection pane="bottomLeft" activeCell="A2" sqref="A2"/>
      <selection pane="bottomRight" activeCell="K114" sqref="K11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0.72134257435984139</v>
      </c>
      <c r="D28" s="26"/>
      <c r="E28" s="306" t="s">
        <v>347</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347</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-302359.25</v>
      </c>
      <c r="E33" s="306" t="s">
        <v>347</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1.4501413508729523E-2</v>
      </c>
      <c r="E53" s="305" t="s">
        <v>349</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89</v>
      </c>
      <c r="C54" s="84">
        <f>G54</f>
        <v>2.9286626219579916E-2</v>
      </c>
      <c r="E54" s="305" t="s">
        <v>350</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92</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3.8696911822371505E-2</v>
      </c>
      <c r="D78" s="27"/>
      <c r="E78" s="306" t="s">
        <v>369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1.36</v>
      </c>
      <c r="E90" s="308"/>
      <c r="G90" s="116">
        <f>Data!C65</f>
        <v>1.36</v>
      </c>
      <c r="H90" s="116">
        <f>Data!D65</f>
        <v>1.1000000000000001</v>
      </c>
      <c r="I90" s="116">
        <f>Data!E65</f>
        <v>1.1000000000000001</v>
      </c>
      <c r="J90" s="116">
        <f>Data!F65</f>
        <v>1</v>
      </c>
      <c r="K90" s="116">
        <f>Data!G65</f>
        <v>1</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9.418282548476456E-2</v>
      </c>
      <c r="E93" s="308"/>
      <c r="G93" s="23">
        <f t="shared" ref="G93:Q93" si="39">IF(G$4="","",G90/Market_Price)</f>
        <v>9.418282548476456E-2</v>
      </c>
      <c r="H93" s="23">
        <f t="shared" si="39"/>
        <v>7.6177285318559565E-2</v>
      </c>
      <c r="I93" s="23">
        <f t="shared" si="39"/>
        <v>7.6177285318559565E-2</v>
      </c>
      <c r="J93" s="23">
        <f t="shared" si="39"/>
        <v>6.9252077562326875E-2</v>
      </c>
      <c r="K93" s="23">
        <f t="shared" si="39"/>
        <v>6.9252077562326875E-2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265773</v>
      </c>
      <c r="D102" s="91"/>
      <c r="E102" s="310"/>
      <c r="F102" s="91"/>
      <c r="G102" s="188">
        <f>IF(G$4="","",Data!D77)</f>
        <v>213823</v>
      </c>
      <c r="H102" s="188">
        <f>IF(H$4="","",Data!E77)</f>
        <v>187711</v>
      </c>
      <c r="I102" s="188">
        <f>IF(I$4="","",Data!F77)</f>
        <v>277338</v>
      </c>
      <c r="J102" s="188">
        <f>IF(J$4="","",Data!G77)</f>
        <v>0</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9672256</v>
      </c>
      <c r="D103" s="91"/>
      <c r="E103" s="310"/>
      <c r="F103" s="91"/>
      <c r="G103" s="188">
        <f>IF(G$4="","",Data!D78)</f>
        <v>8852611</v>
      </c>
      <c r="H103" s="188">
        <f>IF(H$4="","",Data!E78)</f>
        <v>8769304</v>
      </c>
      <c r="I103" s="188">
        <f>IF(I$4="","",Data!F78)</f>
        <v>7321614</v>
      </c>
      <c r="J103" s="188">
        <f>IF(J$4="","",Data!G78)</f>
        <v>0</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3990166</v>
      </c>
      <c r="D104" s="26"/>
      <c r="E104" s="309"/>
      <c r="F104" s="26"/>
      <c r="G104" s="186">
        <f>Data!C79</f>
        <v>3990166</v>
      </c>
      <c r="H104" s="186">
        <f>Data!D79</f>
        <v>2466431</v>
      </c>
      <c r="I104" s="186">
        <f>Data!E79</f>
        <v>3908586</v>
      </c>
      <c r="J104" s="186">
        <f>Data!F79</f>
        <v>2946772</v>
      </c>
      <c r="K104" s="186">
        <f>Data!G79</f>
        <v>0</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12863898</v>
      </c>
      <c r="D105" s="26"/>
      <c r="E105" s="309"/>
      <c r="F105" s="26"/>
      <c r="G105" s="186">
        <f>Data!C80</f>
        <v>12863898</v>
      </c>
      <c r="H105" s="186">
        <f>Data!D80</f>
        <v>12220942</v>
      </c>
      <c r="I105" s="186">
        <f>Data!E80</f>
        <v>12078528</v>
      </c>
      <c r="J105" s="186">
        <f>Data!F80</f>
        <v>11324224</v>
      </c>
      <c r="K105" s="186">
        <f>Data!G80</f>
        <v>0</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409</v>
      </c>
      <c r="C113" s="173"/>
      <c r="E113" s="308"/>
      <c r="G113" s="340">
        <f>IF(G$4="","",Data!C$22/Data!C15)</f>
        <v>0</v>
      </c>
      <c r="H113" s="340">
        <f>IF(H$4="","",Data!D$22/Data!D15)</f>
        <v>0</v>
      </c>
      <c r="I113" s="340">
        <f>IF(I$4="","",Data!E$22/Data!E15)</f>
        <v>0</v>
      </c>
      <c r="J113" s="340">
        <f>IF(J$4="","",Data!F$22/Data!F15)</f>
        <v>0</v>
      </c>
      <c r="K113" s="340">
        <f>IF(K$4="","",Data!G$22/Data!G15)</f>
        <v>0</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410</v>
      </c>
      <c r="C114" s="173"/>
      <c r="E114" s="308"/>
      <c r="G114" s="340">
        <f>IF(G$4="","",Data!C$22/G19)</f>
        <v>0</v>
      </c>
      <c r="H114" s="340">
        <f>IF(H$4="","",Data!D$22/H19)</f>
        <v>0</v>
      </c>
      <c r="I114" s="340">
        <f>IF(I$4="","",Data!E$22/I19)</f>
        <v>0</v>
      </c>
      <c r="J114" s="340">
        <f>IF(J$4="","",Data!F$22/J19)</f>
        <v>0</v>
      </c>
      <c r="K114" s="340">
        <f>IF(K$4="","",Data!G$22/K19)</f>
        <v>0</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0.11295218450174714</v>
      </c>
      <c r="E117" s="308"/>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0.71055479556740742</v>
      </c>
      <c r="E118" s="308"/>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1.3101832741522048</v>
      </c>
      <c r="D119" s="11"/>
      <c r="E119" s="312"/>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0.10871779326358874</v>
      </c>
      <c r="D120" s="106"/>
      <c r="E120" s="311"/>
      <c r="F120" s="106"/>
      <c r="G120" s="105">
        <f t="shared" ref="G120:Q120" si="48">IF(G$4="","",G8/G105)</f>
        <v>0.14589458032083277</v>
      </c>
      <c r="H120" s="105">
        <f t="shared" si="48"/>
        <v>0.11152020850765841</v>
      </c>
      <c r="I120" s="105">
        <f t="shared" si="48"/>
        <v>0.1174576902086082</v>
      </c>
      <c r="J120" s="105">
        <f t="shared" si="48"/>
        <v>8.2816712209154458E-2</v>
      </c>
      <c r="K120" s="105" t="e">
        <f t="shared" si="48"/>
        <v>#DIV/0!</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1.7279860193696295</v>
      </c>
      <c r="D124" s="27"/>
      <c r="E124" s="305"/>
      <c r="F124" s="27"/>
      <c r="G124" s="181">
        <f t="shared" ref="G124:Q124" si="49">IF(G$4="","",G16*$C$3/Common_Shares*Exchange_Rate)</f>
        <v>2.1996536733213881</v>
      </c>
      <c r="H124" s="181">
        <f t="shared" si="49"/>
        <v>2.2867021551286859</v>
      </c>
      <c r="I124" s="181">
        <f t="shared" si="49"/>
        <v>1.9177886097578105</v>
      </c>
      <c r="J124" s="181">
        <f t="shared" si="49"/>
        <v>1.8444848904022044</v>
      </c>
      <c r="K124" s="181">
        <f t="shared" si="49"/>
        <v>1.5985289112722136</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0.11966662184000204</v>
      </c>
      <c r="D125" s="27"/>
      <c r="E125" s="305"/>
      <c r="F125" s="27"/>
      <c r="G125" s="79">
        <f t="shared" ref="G125" si="50">IF(G$4="","",G124/Market_Price)</f>
        <v>0.15233058679510997</v>
      </c>
      <c r="H125" s="79">
        <f t="shared" ref="H125" si="51">IF(H$4="","",H124/Market_Price)</f>
        <v>0.15835887500891177</v>
      </c>
      <c r="I125" s="79">
        <f t="shared" ref="I125" si="52">IF(I$4="","",I124/Market_Price)</f>
        <v>0.1328108455510949</v>
      </c>
      <c r="J125" s="79">
        <f t="shared" ref="J125" si="53">IF(J$4="","",J124/Market_Price)</f>
        <v>0.12773441069267344</v>
      </c>
      <c r="K125" s="79">
        <f t="shared" ref="K125" si="54">IF(K$4="","",K124/Market_Price)</f>
        <v>0.11070144814904527</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1014514.1566621615</v>
      </c>
      <c r="D4" t="str">
        <f>Reporting_currency</f>
        <v>HKD</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12681426.958277019</v>
      </c>
      <c r="D6" t="str">
        <f>Reporting_currency</f>
        <v>HKD</v>
      </c>
      <c r="E6" s="349" t="s">
        <v>251</v>
      </c>
      <c r="F6" s="349"/>
      <c r="H6" s="124"/>
    </row>
    <row r="7" spans="2:8" x14ac:dyDescent="0.35">
      <c r="B7" s="152" t="s">
        <v>226</v>
      </c>
      <c r="C7" s="232">
        <f>BS!G31</f>
        <v>2034922</v>
      </c>
      <c r="D7" t="str">
        <f>Reporting_currency</f>
        <v>HKD</v>
      </c>
      <c r="E7" s="349"/>
      <c r="F7" s="349"/>
      <c r="H7" s="124"/>
    </row>
    <row r="8" spans="2:8" x14ac:dyDescent="0.35">
      <c r="B8" s="152" t="s">
        <v>227</v>
      </c>
      <c r="C8" s="207">
        <f>BS!D66</f>
        <v>1050246.6606106577</v>
      </c>
      <c r="D8" t="str">
        <f>Reporting_currency</f>
        <v>HKD</v>
      </c>
      <c r="E8" s="349"/>
      <c r="F8" s="349"/>
      <c r="H8" s="124"/>
    </row>
    <row r="9" spans="2:8" x14ac:dyDescent="0.35">
      <c r="B9" s="233" t="s">
        <v>192</v>
      </c>
      <c r="C9" s="235">
        <f>BS!H42</f>
        <v>92572.6</v>
      </c>
      <c r="D9" t="str">
        <f>Reporting_currency</f>
        <v>HKD</v>
      </c>
      <c r="E9" s="349"/>
      <c r="F9" s="349"/>
      <c r="H9" s="124"/>
    </row>
    <row r="10" spans="2:8" ht="13.15" x14ac:dyDescent="0.4">
      <c r="B10" s="153" t="s">
        <v>229</v>
      </c>
      <c r="C10" s="238">
        <f>C6-C7+C8+C9</f>
        <v>11789324.218887676</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20.080338252823015</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6.4006284479398504E-3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20.512359193543752</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102</v>
      </c>
      <c r="F52" s="141">
        <f>SUM(F21:F51)</f>
        <v>12935069.843938548</v>
      </c>
      <c r="H52" s="124"/>
    </row>
    <row r="53" spans="1:8" x14ac:dyDescent="0.35">
      <c r="C53" s="118"/>
      <c r="H53" s="124"/>
    </row>
    <row r="54" spans="1:8" ht="13.15" x14ac:dyDescent="0.35">
      <c r="B54" s="123" t="s">
        <v>131</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4" zoomScale="75" zoomScaleNormal="100" workbookViewId="0">
      <selection activeCell="F60" sqref="F6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-14.44</v>
      </c>
    </row>
    <row r="4" spans="2:9" x14ac:dyDescent="0.35">
      <c r="B4" s="156" t="s">
        <v>148</v>
      </c>
      <c r="C4" s="124">
        <v>3</v>
      </c>
      <c r="D4" s="124"/>
      <c r="E4" s="159" t="s">
        <v>152</v>
      </c>
      <c r="F4" s="159"/>
      <c r="H4" s="282">
        <v>1</v>
      </c>
      <c r="I4" s="270">
        <f t="shared" ref="I4:I13" si="0">IF(ROW()-3 &lt; $C$76, $C$77, IF(ROW()-3 = $C$76, $C$77 + $C$60, ""))</f>
        <v>1.36</v>
      </c>
    </row>
    <row r="5" spans="2:9" x14ac:dyDescent="0.35">
      <c r="H5" s="282">
        <v>2</v>
      </c>
      <c r="I5" s="270">
        <f t="shared" si="0"/>
        <v>1.36</v>
      </c>
    </row>
    <row r="6" spans="2:9" ht="13.15" x14ac:dyDescent="0.4">
      <c r="B6" s="163" t="s">
        <v>97</v>
      </c>
      <c r="C6" s="110">
        <f>Valuation_Model!C3</f>
        <v>1000</v>
      </c>
      <c r="E6" s="103" t="s">
        <v>285</v>
      </c>
      <c r="F6" s="103"/>
      <c r="H6" s="282">
        <v>3</v>
      </c>
      <c r="I6" s="270">
        <f t="shared" si="0"/>
        <v>21.868980461992876</v>
      </c>
    </row>
    <row r="7" spans="2:9" ht="12.75" customHeight="1" x14ac:dyDescent="0.35">
      <c r="B7" s="103" t="s">
        <v>279</v>
      </c>
      <c r="C7" s="118">
        <f>Normalized_FCF!G8</f>
        <v>1876773</v>
      </c>
      <c r="D7" t="str">
        <f>Reporting_currency</f>
        <v>HKD</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1"/>
      <c r="H7" s="282">
        <v>4</v>
      </c>
      <c r="I7" s="270" t="str">
        <f t="shared" si="0"/>
        <v/>
      </c>
    </row>
    <row r="8" spans="2:9" x14ac:dyDescent="0.35">
      <c r="B8" s="103" t="s">
        <v>67</v>
      </c>
      <c r="C8" s="118">
        <f>Normalized_FCF!G19</f>
        <v>1291433.9388883226</v>
      </c>
      <c r="D8" t="str">
        <f>Reporting_currency</f>
        <v>HKD</v>
      </c>
      <c r="E8" s="351"/>
      <c r="F8" s="351"/>
      <c r="H8" s="282">
        <v>5</v>
      </c>
      <c r="I8" s="270" t="str">
        <f t="shared" si="0"/>
        <v/>
      </c>
    </row>
    <row r="9" spans="2:9" x14ac:dyDescent="0.35">
      <c r="B9" s="103" t="s">
        <v>58</v>
      </c>
      <c r="C9" s="207">
        <f>Normalized_FCF!C19</f>
        <v>1014514.1566621615</v>
      </c>
      <c r="D9" t="str">
        <f>Reporting_currency</f>
        <v>HKD</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0.20035451325595277</v>
      </c>
      <c r="D12" s="162"/>
      <c r="E12" s="351"/>
      <c r="F12" s="351"/>
      <c r="H12" s="282">
        <v>9</v>
      </c>
      <c r="I12" s="270" t="str">
        <f t="shared" si="0"/>
        <v/>
      </c>
    </row>
    <row r="13" spans="2:9" x14ac:dyDescent="0.35">
      <c r="B13" s="152" t="s">
        <v>154</v>
      </c>
      <c r="C13" s="162">
        <f ca="1">(Normalized_FCF!G8/OFFSET(Normalized_FCF!G8, 0, $C$4))^(1/$C$4) - 1</f>
        <v>0.26016796976901468</v>
      </c>
      <c r="E13" s="351"/>
      <c r="F13" s="351"/>
      <c r="H13" s="282">
        <v>10</v>
      </c>
      <c r="I13" s="270" t="str">
        <f t="shared" si="0"/>
        <v/>
      </c>
    </row>
    <row r="14" spans="2:9" x14ac:dyDescent="0.35">
      <c r="B14" s="103" t="s">
        <v>67</v>
      </c>
      <c r="C14" s="162">
        <f ca="1">(Normalized_FCF!G19/OFFSET(Normalized_FCF!G19, 0, $C$4))^(1/$C$4) - 1</f>
        <v>6.0457013634429568E-2</v>
      </c>
      <c r="E14" s="351"/>
      <c r="F14" s="351"/>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51" t="s">
        <v>344</v>
      </c>
      <c r="F18" s="352"/>
    </row>
    <row r="19" spans="2:6" x14ac:dyDescent="0.35">
      <c r="E19" s="352"/>
      <c r="F19" s="352"/>
    </row>
    <row r="20" spans="2:6" ht="13.15" x14ac:dyDescent="0.4">
      <c r="B20" s="163" t="s">
        <v>314</v>
      </c>
      <c r="E20" s="352"/>
      <c r="F20" s="352"/>
    </row>
    <row r="21" spans="2:6" x14ac:dyDescent="0.35">
      <c r="B21" s="103" t="s">
        <v>283</v>
      </c>
      <c r="C21" s="164">
        <f>Market_Price</f>
        <v>14.44</v>
      </c>
      <c r="D21" t="str">
        <f>Market_currency</f>
        <v>HKD</v>
      </c>
      <c r="E21" s="352"/>
      <c r="F21" s="352"/>
    </row>
    <row r="22" spans="2:6" x14ac:dyDescent="0.35">
      <c r="B22" s="103" t="s">
        <v>284</v>
      </c>
      <c r="C22" s="164">
        <f>Valuation_Model!C12</f>
        <v>20.080338252823015</v>
      </c>
      <c r="D22" t="str">
        <f>Market_currency</f>
        <v>HKD</v>
      </c>
      <c r="E22" s="352"/>
      <c r="F22" s="352"/>
    </row>
    <row r="24" spans="2:6" ht="13.15" x14ac:dyDescent="0.4">
      <c r="B24" s="163" t="s">
        <v>117</v>
      </c>
      <c r="E24" s="163" t="s">
        <v>151</v>
      </c>
      <c r="F24" s="163"/>
    </row>
    <row r="25" spans="2:6" x14ac:dyDescent="0.35">
      <c r="B25" s="156" t="s">
        <v>135</v>
      </c>
      <c r="C25" s="170">
        <f>C18</f>
        <v>5</v>
      </c>
      <c r="D25" s="167"/>
      <c r="E25" s="350"/>
      <c r="F25" s="350"/>
    </row>
    <row r="26" spans="2:6" x14ac:dyDescent="0.35">
      <c r="B26" s="122" t="s">
        <v>136</v>
      </c>
      <c r="C26" s="168">
        <v>0.02</v>
      </c>
      <c r="D26" s="168"/>
      <c r="E26" s="350"/>
      <c r="F26" s="350"/>
    </row>
    <row r="27" spans="2:6" x14ac:dyDescent="0.35">
      <c r="B27" s="103" t="s">
        <v>115</v>
      </c>
      <c r="C27" s="164">
        <f>Valuation_Model!E76</f>
        <v>20.777261684426229</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5</v>
      </c>
      <c r="D31" s="167"/>
      <c r="E31" s="350"/>
      <c r="F31" s="350"/>
    </row>
    <row r="32" spans="2:6" x14ac:dyDescent="0.35">
      <c r="B32" s="122" t="s">
        <v>136</v>
      </c>
      <c r="C32" s="168">
        <v>-0.05</v>
      </c>
      <c r="D32" s="168"/>
      <c r="E32" s="350"/>
      <c r="F32" s="350"/>
    </row>
    <row r="33" spans="2:6" x14ac:dyDescent="0.35">
      <c r="B33" s="103" t="s">
        <v>115</v>
      </c>
      <c r="C33" s="164">
        <f>Valuation_Model!E77</f>
        <v>18.42358674753498</v>
      </c>
      <c r="D33" t="str">
        <f>Market_currency</f>
        <v>HKD</v>
      </c>
      <c r="E33" s="350"/>
      <c r="F33" s="350"/>
    </row>
    <row r="34" spans="2:6" x14ac:dyDescent="0.35">
      <c r="B34" s="103" t="s">
        <v>149</v>
      </c>
      <c r="C34" s="169">
        <v>0.2</v>
      </c>
      <c r="D34" s="169"/>
      <c r="E34" s="350"/>
      <c r="F34" s="350"/>
    </row>
    <row r="36" spans="2:6" ht="13.15" x14ac:dyDescent="0.4">
      <c r="B36" s="163" t="s">
        <v>116</v>
      </c>
      <c r="E36" s="163" t="s">
        <v>151</v>
      </c>
      <c r="F36" s="163"/>
    </row>
    <row r="37" spans="2:6" x14ac:dyDescent="0.35">
      <c r="B37" s="156" t="s">
        <v>135</v>
      </c>
      <c r="C37" s="170">
        <f>C18</f>
        <v>5</v>
      </c>
      <c r="D37" s="167"/>
      <c r="E37" s="350"/>
      <c r="F37" s="350"/>
    </row>
    <row r="38" spans="2:6" x14ac:dyDescent="0.35">
      <c r="B38" s="122" t="s">
        <v>136</v>
      </c>
      <c r="C38" s="168">
        <v>0.05</v>
      </c>
      <c r="D38" s="168"/>
      <c r="E38" s="350"/>
      <c r="F38" s="350"/>
    </row>
    <row r="39" spans="2:6" x14ac:dyDescent="0.35">
      <c r="B39" s="103" t="s">
        <v>115</v>
      </c>
      <c r="C39" s="164">
        <f>Valuation_Model!E75</f>
        <v>21.862068001465992</v>
      </c>
      <c r="D39" t="str">
        <f>Market_currency</f>
        <v>HKD</v>
      </c>
      <c r="E39" s="350"/>
      <c r="F39" s="350"/>
    </row>
    <row r="40" spans="2:6" x14ac:dyDescent="0.35">
      <c r="B40" s="103" t="s">
        <v>149</v>
      </c>
      <c r="C40" s="171">
        <f>1-C28-C34</f>
        <v>0.2</v>
      </c>
      <c r="D40" s="169"/>
      <c r="E40" s="350"/>
      <c r="F40" s="350"/>
    </row>
    <row r="42" spans="2:6" ht="13.15" x14ac:dyDescent="0.4">
      <c r="B42" s="103" t="s">
        <v>122</v>
      </c>
      <c r="C42" s="158">
        <f>C27*C28+C33*C34+C39*C40</f>
        <v>20.523487960455931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50"/>
      <c r="F49" s="350"/>
    </row>
    <row r="50" spans="2:6" x14ac:dyDescent="0.35">
      <c r="B50" s="122" t="s">
        <v>136</v>
      </c>
      <c r="C50" s="168">
        <v>-0.08</v>
      </c>
      <c r="D50" s="168"/>
      <c r="E50" s="350"/>
      <c r="F50" s="350"/>
    </row>
    <row r="51" spans="2:6" x14ac:dyDescent="0.35">
      <c r="B51" s="103" t="s">
        <v>115</v>
      </c>
      <c r="C51" s="164">
        <f>Valuation_Model!E78</f>
        <v>15.621773465843134</v>
      </c>
      <c r="D51" t="str">
        <f>Market_currency</f>
        <v>HKD</v>
      </c>
      <c r="E51" s="350"/>
      <c r="F51" s="350"/>
    </row>
    <row r="52" spans="2:6" x14ac:dyDescent="0.35">
      <c r="B52" s="103" t="s">
        <v>149</v>
      </c>
      <c r="C52" s="169">
        <v>0.02</v>
      </c>
      <c r="D52" s="169"/>
      <c r="E52" s="350"/>
      <c r="F52" s="350"/>
    </row>
    <row r="54" spans="2:6" ht="13.15" x14ac:dyDescent="0.4">
      <c r="B54" s="163" t="s">
        <v>329</v>
      </c>
      <c r="E54" s="163" t="s">
        <v>151</v>
      </c>
      <c r="F54" s="163"/>
    </row>
    <row r="55" spans="2:6" x14ac:dyDescent="0.35">
      <c r="B55" s="156" t="s">
        <v>135</v>
      </c>
      <c r="C55" s="170">
        <f>C46</f>
        <v>10</v>
      </c>
      <c r="D55" s="167"/>
      <c r="E55" s="350"/>
      <c r="F55" s="350"/>
    </row>
    <row r="56" spans="2:6" x14ac:dyDescent="0.35">
      <c r="B56" s="122" t="s">
        <v>136</v>
      </c>
      <c r="C56" s="168">
        <v>0.06</v>
      </c>
      <c r="D56" s="168"/>
      <c r="E56" s="350"/>
      <c r="F56" s="350"/>
    </row>
    <row r="57" spans="2:6" x14ac:dyDescent="0.35">
      <c r="B57" s="103" t="s">
        <v>115</v>
      </c>
      <c r="C57" s="164">
        <f>Valuation_Model!E74</f>
        <v>24.69982753191616</v>
      </c>
      <c r="D57" t="str">
        <f>Market_currency</f>
        <v>HKD</v>
      </c>
      <c r="E57" s="350"/>
      <c r="F57" s="350"/>
    </row>
    <row r="58" spans="2:6" x14ac:dyDescent="0.35">
      <c r="B58" s="103" t="s">
        <v>149</v>
      </c>
      <c r="C58" s="169">
        <v>0.02</v>
      </c>
      <c r="D58" s="169"/>
      <c r="E58" s="350"/>
      <c r="F58" s="350"/>
    </row>
    <row r="60" spans="2:6" ht="13.15" x14ac:dyDescent="0.4">
      <c r="B60" s="103" t="s">
        <v>122</v>
      </c>
      <c r="C60" s="158">
        <f>C51*C52+C57*C58+C42*(1-C52-C58)</f>
        <v>20.508980461992877</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6.4006284479398504E-3</v>
      </c>
      <c r="D65" s="155"/>
      <c r="E65" s="287" t="s">
        <v>325</v>
      </c>
    </row>
    <row r="66" spans="2:6" x14ac:dyDescent="0.35">
      <c r="B66" s="103" t="s">
        <v>104</v>
      </c>
      <c r="C66" s="164">
        <f>Valuation_Model!C18</f>
        <v>20.512359193543752</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-7.4088860346483723E-2</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1.36</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2.8648148148148147</v>
      </c>
      <c r="D81" s="120"/>
      <c r="E81" s="103"/>
      <c r="F81" s="103"/>
    </row>
    <row r="82" spans="2:8" x14ac:dyDescent="0.35">
      <c r="B82" s="103" t="s">
        <v>124</v>
      </c>
      <c r="C82" s="120">
        <f>C60/(1+C80)^C76</f>
        <v>11.868622952542175</v>
      </c>
      <c r="D82" s="120"/>
    </row>
    <row r="83" spans="2:8" ht="13.15" x14ac:dyDescent="0.4">
      <c r="B83" s="114" t="s">
        <v>103</v>
      </c>
      <c r="C83" s="115">
        <f>C81+C82</f>
        <v>14.733437767356989</v>
      </c>
      <c r="D83" t="str">
        <f>Market_currency</f>
        <v>HKD</v>
      </c>
      <c r="E83" s="150" t="s">
        <v>128</v>
      </c>
      <c r="F83" s="335">
        <f>(1-C83/C60)</f>
        <v>0.28161042453275964</v>
      </c>
    </row>
    <row r="84" spans="2:8" x14ac:dyDescent="0.35">
      <c r="E84" s="124"/>
    </row>
    <row r="85" spans="2:8" ht="13.15" x14ac:dyDescent="0.4">
      <c r="B85" s="112" t="s">
        <v>313</v>
      </c>
    </row>
    <row r="86" spans="2:8" x14ac:dyDescent="0.35">
      <c r="B86" s="152" t="s">
        <v>311</v>
      </c>
      <c r="C86" s="272">
        <f>Market_Price</f>
        <v>14.44</v>
      </c>
      <c r="D86" t="str">
        <f>Market_currency</f>
        <v>HKD</v>
      </c>
    </row>
    <row r="87" spans="2:8" ht="13.15" x14ac:dyDescent="0.4">
      <c r="B87" s="103" t="s">
        <v>309</v>
      </c>
      <c r="C87" s="271">
        <f ca="1">IRR(OFFSET($I$3, 0, 0, $C$76 + 1, 1))</f>
        <v>0.20871253483792285</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2025-04-07T07:17:28Z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