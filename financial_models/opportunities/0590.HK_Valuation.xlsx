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69E8B7E-62A7-48C0-B96E-EA48923AACA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2" i="2"/>
  <c r="O94" i="2"/>
  <c r="Q92" i="2"/>
  <c r="Q94" i="2"/>
  <c r="C44" i="6"/>
  <c r="C44" i="12"/>
  <c r="J94" i="2"/>
  <c r="K94" i="2"/>
  <c r="N92" i="2"/>
  <c r="N94" i="2"/>
  <c r="P92" i="2"/>
  <c r="P94" i="2"/>
  <c r="L92" i="2"/>
  <c r="L94" i="2"/>
  <c r="I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<sst xmlns="http://schemas.openxmlformats.org/spreadsheetml/2006/main" count="836" uniqueCount="560">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</sst>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DE6F388-8499-487A-A3A3-CCC2E0FD7E9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587107850</v>
          </cell>
        </row>
        <row r="12">
          <cell r="C12">
            <v>20.52</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24.88</v>
      </c>
      <c r="D12" s="50"/>
      <c r="E12" s="48"/>
    </row>
    <row r="13" spans="1:10">
      <c r="B13" s="1" t="s">
        <v>464</v>
      </c>
      <c r="C13" s="48" t="s">
        <v>377</v>
      </c>
      <c r="D13" s="48"/>
      <c r="E13" s="5"/>
    </row>
    <row r="14" spans="1:10">
      <c r="B14" s="4" t="s">
        <v>465</v>
      </c>
      <c r="C14" s="35">
        <f>Thesis!C12*Common_Shares/1000000</f>
        <v>14607.243307999999</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1.6287017753852551E-2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1398534.6033278927</v>
      </c>
      <c r="D41" s="1" t="str">
        <f>Reporting_currency</f>
        <v>HKD</v>
      </c>
    </row>
    <row r="42" spans="1:6">
      <c r="B42" s="47"/>
      <c r="C42" s="76"/>
    </row>
    <row r="43" spans="1:6" ht="24.6" customHeight="1">
      <c r="B43" s="373" t="s">
        <v>229</v>
      </c>
      <c r="C43" s="373"/>
      <c r="D43" s="373"/>
      <c r="E43" s="373"/>
      <c r="F43" s="373"/>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-338171.38555405382</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6.9452814283345238E-2</v>
      </c>
      <c r="F69" s="314"/>
    </row>
    <row r="70" spans="1:6">
      <c r="B70" s="227" t="s">
        <v>434</v>
      </c>
      <c r="C70" s="92">
        <f>Normalized_FCF!C94</f>
        <v>5.4662379421221874E-2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2" t="s">
        <v>352</v>
      </c>
      <c r="C116" s="372"/>
      <c r="D116" s="372"/>
      <c r="E116" s="372"/>
      <c r="F116" s="372"/>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5.4662379421221874E-2</v>
      </c>
      <c r="E94" s="268"/>
      <c r="G94" s="23">
        <f t="shared" ref="G94:Q94" si="39">IF(G$4="","",(G90*(1-dividend_tax_rate))/Market_Price)</f>
        <v>5.4662379421221874E-2</v>
      </c>
      <c r="H94" s="23">
        <f t="shared" si="39"/>
        <v>4.4212218649517687E-2</v>
      </c>
      <c r="I94" s="23">
        <f t="shared" si="39"/>
        <v>4.4212218649517687E-2</v>
      </c>
      <c r="J94" s="23">
        <f t="shared" si="39"/>
        <v>4.0192926045016078E-2</v>
      </c>
      <c r="K94" s="23">
        <f t="shared" si="39"/>
        <v>4.0192926045016078E-2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6.9452814283345238E-2</v>
      </c>
      <c r="D126" s="27"/>
      <c r="E126" s="265"/>
      <c r="F126" s="27"/>
      <c r="G126" s="77">
        <f t="shared" ref="G126" si="50">IF(G$4="","",G125/Market_Price)</f>
        <v>8.8410517416454504E-2</v>
      </c>
      <c r="H126" s="77">
        <f t="shared" ref="H126" si="51">IF(H$4="","",H125/Market_Price)</f>
        <v>9.1909250608066151E-2</v>
      </c>
      <c r="I126" s="77">
        <f t="shared" ref="I126" si="52">IF(I$4="","",I125/Market_Price)</f>
        <v>7.7081535761969883E-2</v>
      </c>
      <c r="J126" s="77">
        <f t="shared" ref="J126" si="53">IF(J$4="","",J125/Market_Price)</f>
        <v>7.4135244791085395E-2</v>
      </c>
      <c r="K126" s="77">
        <f t="shared" ref="K126" si="54">IF(K$4="","",K125/Market_Price)</f>
        <v>6.4249554311584148E-2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0.12098826333864747</v>
      </c>
      <c r="H127" s="23">
        <f>IF(H$4="","",(Data!D47*$C$3)/(Market_Price*Common_Shares))</f>
        <v>8.7953419609049205E-2</v>
      </c>
      <c r="I127" s="23">
        <f>IF(I$4="","",(Data!E47*$C$3)/(Market_Price*Common_Shares))</f>
        <v>9.5320107335888568E-2</v>
      </c>
      <c r="J127" s="23">
        <f>IF(J$4="","",(Data!F47*$C$3)/(Market_Price*Common_Shares))</f>
        <v>6.9645926924680759E-2</v>
      </c>
      <c r="K127" s="23">
        <f>IF(K$4="","",(Data!G47*$C$3)/(Market_Price*Common_Shares))</f>
        <v>5.9307220516108074E-2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-24.88</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24.88</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24.88</v>
      </c>
      <c r="D86" t="str">
        <f>Market_currency</f>
        <v>HKD</v>
      </c>
    </row>
    <row r="87" spans="2:8" ht="13.15">
      <c r="B87" s="100" t="s">
        <v>293</v>
      </c>
      <c r="C87" s="237">
        <f ca="1">IRR(OFFSET($I$3, 0, 0, $C$76 + 1, 1))</f>
        <v>1.6287017753852551E-2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24.88</v>
      </c>
      <c r="D12" s="50"/>
      <c r="E12" s="48"/>
    </row>
    <row r="13" spans="1:10">
      <c r="B13" s="1" t="s">
        <v>485</v>
      </c>
      <c r="C13" s="32" t="str">
        <f>Market_currency</f>
        <v>HKD</v>
      </c>
      <c r="D13" s="48"/>
      <c r="E13" s="5"/>
    </row>
    <row r="14" spans="1:10">
      <c r="B14" s="4" t="s">
        <v>486</v>
      </c>
      <c r="C14" s="35">
        <f>投资主题!C12*Common_Shares/1000000</f>
        <v>14607.243307999999</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1.6287017753852551E-2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1398534.6033278927</v>
      </c>
      <c r="D41" s="1" t="str">
        <f>Reporting_currency</f>
        <v>HKD</v>
      </c>
    </row>
    <row r="42" spans="1:6">
      <c r="B42" s="47"/>
      <c r="C42" s="76"/>
    </row>
    <row r="43" spans="1:6" ht="24.6" customHeight="1">
      <c r="B43" s="373" t="s">
        <v>495</v>
      </c>
      <c r="C43" s="373"/>
      <c r="D43" s="373"/>
      <c r="E43" s="373"/>
      <c r="F43" s="373"/>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-338171.38555405382</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6.9452814283345238E-2</v>
      </c>
      <c r="F69" s="314"/>
    </row>
    <row r="70" spans="1:6">
      <c r="B70" s="227" t="s">
        <v>434</v>
      </c>
      <c r="C70" s="92">
        <f>Normalized_FCF!C94</f>
        <v>5.4662379421221874E-2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2" t="s">
        <v>516</v>
      </c>
      <c r="C116" s="372"/>
      <c r="D116" s="372"/>
      <c r="E116" s="372"/>
      <c r="F116" s="372"/>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25A983-6D95-44B3-8FB7-2C2DC82A8F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