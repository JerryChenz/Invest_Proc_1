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C3B3171-CB88-466E-9938-8E4ED2BE43A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I4" i="9"/>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s="1"/>
  <c r="C6" i="9"/>
  <c r="C48" i="2" l="1"/>
  <c r="D66" i="3"/>
  <c r="C8" i="8" s="1"/>
  <c r="Q112" i="2"/>
  <c r="O112" i="2"/>
  <c r="P112" i="2"/>
  <c r="J48" i="2" l="1"/>
  <c r="J50" i="2" s="1"/>
  <c r="J12" i="2" s="1"/>
  <c r="K48" i="2"/>
  <c r="K50" i="2" s="1"/>
  <c r="K12" i="2" s="1"/>
  <c r="I48" i="2"/>
  <c r="I50" i="2" s="1"/>
  <c r="I12" i="2" s="1"/>
  <c r="C91" i="6"/>
  <c r="C92"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<sst xmlns="http://schemas.openxmlformats.org/spreadsheetml/2006/main" count="564" uniqueCount="394">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</sst>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39" fillId="0" borderId="0" xfId="0" applyFont="1"/>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30"/>
  <sheetViews>
    <sheetView showGridLines="0" tabSelected="1" topLeftCell="A101" zoomScaleNormal="100" workbookViewId="0">
      <selection activeCell="B115" sqref="B115:F115"/>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370</v>
      </c>
      <c r="F1" s="290" t="s">
        <v>294</v>
      </c>
    </row>
    <row r="2" spans="1:10" ht="13.9" x14ac:dyDescent="0.45">
      <c r="A2" s="253" t="s">
        <v>272</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331</v>
      </c>
      <c r="C5" s="48" t="s">
        <v>371</v>
      </c>
      <c r="D5" s="49" t="s">
        <v>372</v>
      </c>
    </row>
    <row r="6" spans="1:10" x14ac:dyDescent="0.35">
      <c r="B6" s="4" t="s">
        <v>98</v>
      </c>
      <c r="C6" s="50">
        <v>15.4</v>
      </c>
      <c r="D6" s="48" t="s">
        <v>42</v>
      </c>
      <c r="E6" s="48"/>
    </row>
    <row r="7" spans="1:10" x14ac:dyDescent="0.35">
      <c r="B7" s="4" t="s">
        <v>0</v>
      </c>
      <c r="C7" s="51">
        <v>587107850</v>
      </c>
      <c r="D7" s="34"/>
      <c r="E7" s="34"/>
    </row>
    <row r="8" spans="1:10" x14ac:dyDescent="0.35">
      <c r="B8" s="2" t="s">
        <v>321</v>
      </c>
      <c r="C8" s="285">
        <v>6</v>
      </c>
      <c r="D8" s="5"/>
      <c r="E8" s="48"/>
    </row>
    <row r="9" spans="1:10" x14ac:dyDescent="0.35">
      <c r="B9" s="1" t="s">
        <v>273</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8" t="s">
        <v>382</v>
      </c>
      <c r="C12" s="338"/>
      <c r="D12" s="338"/>
      <c r="E12" s="338"/>
      <c r="F12" s="338"/>
    </row>
    <row r="14" spans="1:10" x14ac:dyDescent="0.35">
      <c r="B14" s="45" t="s">
        <v>320</v>
      </c>
      <c r="C14" s="46"/>
      <c r="D14" s="5"/>
    </row>
    <row r="15" spans="1:10" x14ac:dyDescent="0.35">
      <c r="B15" s="2" t="s">
        <v>365</v>
      </c>
      <c r="C15" s="32" t="str">
        <f>IF(Scenarios!C69="Y",Scenarios!B69,"")&amp;IF(Scenarios!C70="Y",Scenarios!B70,"")&amp;IF(Scenarios!C71="Y",Scenarios!B71,"")&amp;" "&amp;IF(Scenarios!C72="Y",Scenarios!B72,"")</f>
        <v xml:space="preserve">Low Growth </v>
      </c>
      <c r="E15" s="5"/>
    </row>
    <row r="16" spans="1:10" x14ac:dyDescent="0.35">
      <c r="B16" s="4" t="s">
        <v>364</v>
      </c>
      <c r="C16" s="48" t="s">
        <v>42</v>
      </c>
      <c r="D16" s="32"/>
      <c r="E16" s="5"/>
    </row>
    <row r="17" spans="1:6" x14ac:dyDescent="0.35">
      <c r="B17" s="4" t="s">
        <v>1</v>
      </c>
      <c r="C17" s="50">
        <v>1</v>
      </c>
      <c r="D17" s="32" t="str">
        <f>IF(C16=D6,D6,C16&amp;"/"&amp;D6)</f>
        <v>HKD</v>
      </c>
      <c r="E17" s="5"/>
    </row>
    <row r="18" spans="1:6" x14ac:dyDescent="0.35">
      <c r="B18" s="2" t="s">
        <v>59</v>
      </c>
      <c r="C18" s="48" t="s">
        <v>373</v>
      </c>
      <c r="E18" s="5"/>
    </row>
    <row r="19" spans="1:6" x14ac:dyDescent="0.35">
      <c r="B19" s="2" t="s">
        <v>283</v>
      </c>
      <c r="C19" s="255">
        <v>0.2</v>
      </c>
      <c r="E19" s="5"/>
    </row>
    <row r="20" spans="1:6" x14ac:dyDescent="0.35">
      <c r="B20" s="2" t="str">
        <f>"Target Buy Price ("&amp;Market_currency&amp;"):"</f>
        <v>Target Buy Price (HKD):</v>
      </c>
      <c r="C20" s="258">
        <f>C129</f>
        <v>14.733437767356989</v>
      </c>
      <c r="D20" s="1" t="s">
        <v>322</v>
      </c>
      <c r="E20" s="336">
        <v>3</v>
      </c>
    </row>
    <row r="21" spans="1:6" x14ac:dyDescent="0.35">
      <c r="B21" s="1" t="s">
        <v>381</v>
      </c>
      <c r="C21" s="286">
        <f ca="1">Scenarios!C87</f>
        <v>0.18108249888642258</v>
      </c>
      <c r="D21" s="5"/>
      <c r="E21" s="5"/>
    </row>
    <row r="22" spans="1:6" x14ac:dyDescent="0.35">
      <c r="D22" s="5"/>
      <c r="E22" s="5"/>
    </row>
    <row r="23" spans="1:6" ht="13.9" x14ac:dyDescent="0.45">
      <c r="A23" s="253" t="s">
        <v>375</v>
      </c>
      <c r="B23" s="36"/>
      <c r="C23" s="36"/>
      <c r="D23" s="36"/>
      <c r="E23" s="36"/>
      <c r="F23" s="36"/>
    </row>
    <row r="25" spans="1:6" ht="24.4" customHeight="1" x14ac:dyDescent="0.35">
      <c r="B25" s="338" t="s">
        <v>383</v>
      </c>
      <c r="C25" s="338"/>
      <c r="D25" s="338"/>
      <c r="E25" s="338"/>
      <c r="F25" s="338"/>
    </row>
    <row r="26" spans="1:6" ht="24.4" customHeight="1" x14ac:dyDescent="0.35">
      <c r="B26" s="342" t="s">
        <v>356</v>
      </c>
      <c r="C26" s="342"/>
      <c r="D26" s="342"/>
      <c r="E26" s="342"/>
      <c r="F26" s="342"/>
    </row>
    <row r="28" spans="1:6" x14ac:dyDescent="0.35">
      <c r="B28" s="240" t="s">
        <v>234</v>
      </c>
      <c r="C28" s="111">
        <f>Data!C3</f>
        <v>1000</v>
      </c>
    </row>
    <row r="29" spans="1:6" ht="24.4" customHeight="1" x14ac:dyDescent="0.35">
      <c r="B29" s="340" t="s">
        <v>235</v>
      </c>
      <c r="C29" s="340"/>
      <c r="D29" s="340"/>
      <c r="E29" s="340"/>
      <c r="F29" s="340"/>
    </row>
    <row r="30" spans="1:6" x14ac:dyDescent="0.35">
      <c r="B30" s="47" t="s">
        <v>236</v>
      </c>
      <c r="C30" s="191">
        <f>Normalized_FCF!C8</f>
        <v>1398534.6033278927</v>
      </c>
      <c r="D30" s="1" t="str">
        <f>Reporting_currency</f>
        <v>HKD</v>
      </c>
    </row>
    <row r="31" spans="1:6" x14ac:dyDescent="0.35">
      <c r="B31" s="47"/>
      <c r="C31" s="78"/>
    </row>
    <row r="32" spans="1:6" ht="24.4" customHeight="1" x14ac:dyDescent="0.35">
      <c r="B32" s="340" t="s">
        <v>237</v>
      </c>
      <c r="C32" s="340"/>
      <c r="D32" s="340"/>
      <c r="E32" s="340"/>
      <c r="F32" s="340"/>
    </row>
    <row r="33" spans="2:6" x14ac:dyDescent="0.35">
      <c r="B33" s="47" t="s">
        <v>238</v>
      </c>
      <c r="C33" s="191">
        <f>Normalized_FCF!C9</f>
        <v>463424</v>
      </c>
      <c r="D33" s="1" t="str">
        <f>Reporting_currency</f>
        <v>HKD</v>
      </c>
    </row>
    <row r="34" spans="2:6" x14ac:dyDescent="0.35">
      <c r="B34" s="52" t="s">
        <v>239</v>
      </c>
      <c r="C34" s="191">
        <f>Normalized_FCF!C10</f>
        <v>-463424.00000000006</v>
      </c>
      <c r="D34" s="1" t="str">
        <f>Reporting_currency</f>
        <v>HKD</v>
      </c>
    </row>
    <row r="36" spans="2:6" x14ac:dyDescent="0.35">
      <c r="B36" s="340" t="s">
        <v>240</v>
      </c>
      <c r="C36" s="340"/>
      <c r="D36" s="340"/>
      <c r="E36" s="340"/>
      <c r="F36" s="340"/>
    </row>
    <row r="37" spans="2:6" x14ac:dyDescent="0.35">
      <c r="B37" s="47" t="s">
        <v>241</v>
      </c>
      <c r="C37" s="191">
        <f>Normalized_FCF!C11</f>
        <v>0</v>
      </c>
      <c r="D37" s="1" t="str">
        <f>Reporting_currency</f>
        <v>HKD</v>
      </c>
    </row>
    <row r="39" spans="2:6" x14ac:dyDescent="0.35">
      <c r="B39" s="340" t="s">
        <v>244</v>
      </c>
      <c r="C39" s="340"/>
      <c r="D39" s="340"/>
      <c r="E39" s="340"/>
      <c r="F39" s="340"/>
    </row>
    <row r="40" spans="2:6" x14ac:dyDescent="0.35">
      <c r="B40" s="47" t="s">
        <v>357</v>
      </c>
      <c r="C40" s="328">
        <f>Normalized_FCF!C48</f>
        <v>13746.938888322537</v>
      </c>
      <c r="D40" s="1" t="str">
        <f>Reporting_currency</f>
        <v>HKD</v>
      </c>
      <c r="E40" s="327"/>
      <c r="F40" s="327"/>
    </row>
    <row r="41" spans="2:6" x14ac:dyDescent="0.35">
      <c r="B41" s="47" t="s">
        <v>358</v>
      </c>
      <c r="C41" s="328">
        <f>Normalized_FCF!C47</f>
        <v>-59596</v>
      </c>
      <c r="D41" s="1" t="str">
        <f>Reporting_currency</f>
        <v>HKD</v>
      </c>
      <c r="E41" s="327"/>
      <c r="F41" s="327"/>
    </row>
    <row r="42" spans="2:6" x14ac:dyDescent="0.35">
      <c r="B42" s="47" t="s">
        <v>242</v>
      </c>
      <c r="C42" s="191">
        <f>Normalized_FCF!C12</f>
        <v>-45849.061111677467</v>
      </c>
      <c r="D42" s="1" t="str">
        <f>Reporting_currency</f>
        <v>HKD</v>
      </c>
    </row>
    <row r="44" spans="2:6" x14ac:dyDescent="0.35">
      <c r="B44" s="1" t="s">
        <v>250</v>
      </c>
    </row>
    <row r="45" spans="2:6" x14ac:dyDescent="0.35">
      <c r="B45" s="47" t="s">
        <v>270</v>
      </c>
      <c r="C45" s="191">
        <f>Normalized_FCF!C15</f>
        <v>0</v>
      </c>
      <c r="D45" s="1" t="str">
        <f>Reporting_currency</f>
        <v>HKD</v>
      </c>
    </row>
    <row r="47" spans="2:6" x14ac:dyDescent="0.35">
      <c r="B47" s="340" t="s">
        <v>245</v>
      </c>
      <c r="C47" s="340"/>
      <c r="D47" s="340"/>
      <c r="E47" s="340"/>
      <c r="F47" s="340"/>
    </row>
    <row r="48" spans="2:6" x14ac:dyDescent="0.35">
      <c r="B48" s="47" t="s">
        <v>243</v>
      </c>
      <c r="C48" s="191">
        <f>Normalized_FCF!C14</f>
        <v>-338171.38555405382</v>
      </c>
      <c r="D48" s="1" t="str">
        <f>Reporting_currency</f>
        <v>HKD</v>
      </c>
    </row>
    <row r="50" spans="1:6" x14ac:dyDescent="0.35">
      <c r="B50" s="340" t="s">
        <v>355</v>
      </c>
      <c r="C50" s="341"/>
      <c r="D50" s="341"/>
      <c r="E50" s="341"/>
      <c r="F50" s="341"/>
    </row>
    <row r="51" spans="1:6" x14ac:dyDescent="0.35">
      <c r="B51" s="47" t="s">
        <v>246</v>
      </c>
      <c r="C51" s="1">
        <f>Normalized_FCF!C17</f>
        <v>0</v>
      </c>
      <c r="D51" s="1" t="str">
        <f>Reporting_currency</f>
        <v>HKD</v>
      </c>
    </row>
    <row r="53" spans="1:6" ht="24.4" customHeight="1" x14ac:dyDescent="0.35">
      <c r="B53" s="338" t="s">
        <v>360</v>
      </c>
      <c r="C53" s="338"/>
      <c r="D53" s="338"/>
      <c r="E53" s="338"/>
      <c r="F53" s="338"/>
    </row>
    <row r="54" spans="1:6" ht="24.4" customHeight="1" x14ac:dyDescent="0.35">
      <c r="B54" s="338" t="s">
        <v>384</v>
      </c>
      <c r="C54" s="338"/>
      <c r="D54" s="338"/>
      <c r="E54" s="338"/>
      <c r="F54" s="338"/>
    </row>
    <row r="56" spans="1:6" x14ac:dyDescent="0.35">
      <c r="B56" s="47" t="s">
        <v>276</v>
      </c>
      <c r="C56" s="191">
        <f>Normalized_FCF!G19</f>
        <v>1291433.9388883226</v>
      </c>
      <c r="D56" s="1" t="str">
        <f>Reporting_currency</f>
        <v>HKD</v>
      </c>
    </row>
    <row r="57" spans="1:6" x14ac:dyDescent="0.35">
      <c r="B57" s="47" t="s">
        <v>252</v>
      </c>
      <c r="C57" s="191">
        <f>Normalized_FCF!C19</f>
        <v>1014514.1566621615</v>
      </c>
      <c r="D57" s="1" t="str">
        <f>Reporting_currency</f>
        <v>HKD</v>
      </c>
    </row>
    <row r="58" spans="1:6" x14ac:dyDescent="0.35">
      <c r="B58" s="260" t="s">
        <v>275</v>
      </c>
      <c r="C58" s="94">
        <f>Normalized_FCF!C121</f>
        <v>0.11220688437465126</v>
      </c>
    </row>
    <row r="59" spans="1:6" x14ac:dyDescent="0.35">
      <c r="B59" s="260" t="s">
        <v>323</v>
      </c>
      <c r="C59" s="94">
        <f>Normalized_FCF!C93</f>
        <v>8.8311688311688313E-2</v>
      </c>
    </row>
    <row r="61" spans="1:6" ht="13.9" x14ac:dyDescent="0.45">
      <c r="A61" s="253" t="s">
        <v>376</v>
      </c>
      <c r="B61" s="36"/>
      <c r="C61" s="36"/>
      <c r="D61" s="36"/>
      <c r="E61" s="36"/>
      <c r="F61" s="36"/>
    </row>
    <row r="62" spans="1:6" x14ac:dyDescent="0.35">
      <c r="A62" s="239"/>
    </row>
    <row r="63" spans="1:6" ht="24.4" customHeight="1" x14ac:dyDescent="0.35">
      <c r="A63" s="17"/>
      <c r="B63" s="338" t="s">
        <v>385</v>
      </c>
      <c r="C63" s="338"/>
      <c r="D63" s="338"/>
      <c r="E63" s="338"/>
      <c r="F63" s="338"/>
    </row>
    <row r="64" spans="1:6" x14ac:dyDescent="0.35">
      <c r="B64" s="342" t="s">
        <v>256</v>
      </c>
      <c r="C64" s="342"/>
      <c r="D64" s="342"/>
      <c r="E64" s="342"/>
      <c r="F64" s="342"/>
    </row>
    <row r="66" spans="1:6" x14ac:dyDescent="0.35">
      <c r="B66" s="240" t="s">
        <v>234</v>
      </c>
    </row>
    <row r="67" spans="1:6" x14ac:dyDescent="0.35">
      <c r="B67" s="1" t="s">
        <v>295</v>
      </c>
      <c r="C67" s="317">
        <v>0.08</v>
      </c>
    </row>
    <row r="68" spans="1:6" x14ac:dyDescent="0.35">
      <c r="B68" s="1" t="s">
        <v>297</v>
      </c>
      <c r="C68" s="269">
        <f>IF(D68="Y",1%,0)</f>
        <v>0</v>
      </c>
      <c r="D68" s="292" t="s">
        <v>337</v>
      </c>
    </row>
    <row r="69" spans="1:6" x14ac:dyDescent="0.35">
      <c r="B69" s="1" t="s">
        <v>296</v>
      </c>
      <c r="C69" s="269">
        <f>IF(D69="Y",1%,0)</f>
        <v>0</v>
      </c>
      <c r="D69" s="292" t="s">
        <v>337</v>
      </c>
    </row>
    <row r="70" spans="1:6" x14ac:dyDescent="0.35">
      <c r="B70" s="82" t="s">
        <v>251</v>
      </c>
      <c r="C70" s="269">
        <f>SUM(C67:C69)</f>
        <v>0.08</v>
      </c>
    </row>
    <row r="71" spans="1:6" x14ac:dyDescent="0.35">
      <c r="C71" s="125"/>
    </row>
    <row r="72" spans="1:6" x14ac:dyDescent="0.35">
      <c r="B72" s="348" t="s">
        <v>377</v>
      </c>
      <c r="C72" s="125"/>
    </row>
    <row r="73" spans="1:6" ht="24.4" customHeight="1" x14ac:dyDescent="0.35">
      <c r="B73" s="338" t="s">
        <v>386</v>
      </c>
      <c r="C73" s="338"/>
      <c r="D73" s="338"/>
      <c r="E73" s="338"/>
      <c r="F73" s="338"/>
    </row>
    <row r="74" spans="1:6" ht="24.4" customHeight="1" x14ac:dyDescent="0.35">
      <c r="B74" s="338" t="s">
        <v>387</v>
      </c>
      <c r="C74" s="338"/>
      <c r="D74" s="338"/>
      <c r="E74" s="338"/>
      <c r="F74" s="338"/>
    </row>
    <row r="76" spans="1:6" x14ac:dyDescent="0.35">
      <c r="B76" s="47" t="s">
        <v>255</v>
      </c>
      <c r="C76" s="269">
        <v>0</v>
      </c>
    </row>
    <row r="77" spans="1:6" x14ac:dyDescent="0.35">
      <c r="B77" s="47" t="s">
        <v>290</v>
      </c>
      <c r="C77" s="254">
        <f>Valuation_Model!C6*C28*Exchange_Rate/Common_Shares</f>
        <v>21.599825242120371</v>
      </c>
      <c r="D77" s="1" t="str">
        <f>Market_currency</f>
        <v>HKD</v>
      </c>
    </row>
    <row r="79" spans="1:6" ht="13.9" x14ac:dyDescent="0.45">
      <c r="A79" s="253" t="s">
        <v>378</v>
      </c>
      <c r="B79" s="36"/>
      <c r="C79" s="36"/>
      <c r="D79" s="36"/>
      <c r="E79" s="36"/>
      <c r="F79" s="36"/>
    </row>
    <row r="80" spans="1:6" x14ac:dyDescent="0.35">
      <c r="A80" s="239"/>
    </row>
    <row r="81" spans="2:6" x14ac:dyDescent="0.35">
      <c r="B81" s="338" t="s">
        <v>388</v>
      </c>
      <c r="C81" s="338"/>
      <c r="D81" s="338"/>
      <c r="E81" s="338"/>
      <c r="F81" s="338"/>
    </row>
    <row r="82" spans="2:6" x14ac:dyDescent="0.35">
      <c r="B82" s="1" t="s">
        <v>257</v>
      </c>
    </row>
    <row r="84" spans="2:6" x14ac:dyDescent="0.35">
      <c r="B84" s="240" t="s">
        <v>234</v>
      </c>
    </row>
    <row r="85" spans="2:6" ht="24.4" customHeight="1" x14ac:dyDescent="0.35">
      <c r="B85" s="338" t="s">
        <v>361</v>
      </c>
      <c r="C85" s="338"/>
      <c r="D85" s="338"/>
      <c r="E85" s="338"/>
      <c r="F85" s="338"/>
    </row>
    <row r="86" spans="2:6" x14ac:dyDescent="0.35">
      <c r="B86" s="47" t="s">
        <v>259</v>
      </c>
      <c r="C86" s="191">
        <f>Valuation_Model!C7</f>
        <v>2034922</v>
      </c>
      <c r="D86" s="1" t="str">
        <f>Reporting_currency</f>
        <v>HKD</v>
      </c>
    </row>
    <row r="87" spans="2:6" x14ac:dyDescent="0.35">
      <c r="B87" s="47" t="s">
        <v>291</v>
      </c>
      <c r="C87" s="254">
        <f>C86*C28*Exchange_Rate/Common_Shares</f>
        <v>3.4660105464438944</v>
      </c>
      <c r="D87" s="1" t="str">
        <f>Market_currency</f>
        <v>HKD</v>
      </c>
    </row>
    <row r="89" spans="2:6" x14ac:dyDescent="0.35">
      <c r="B89" s="1" t="s">
        <v>258</v>
      </c>
    </row>
    <row r="90" spans="2:6" x14ac:dyDescent="0.35">
      <c r="B90" s="47" t="s">
        <v>269</v>
      </c>
      <c r="C90" s="191">
        <f>BS!C66</f>
        <v>1998219</v>
      </c>
      <c r="D90" s="1" t="str">
        <f>Reporting_currency</f>
        <v>HKD</v>
      </c>
    </row>
    <row r="91" spans="2:6" x14ac:dyDescent="0.35">
      <c r="B91" s="47" t="s">
        <v>271</v>
      </c>
      <c r="C91" s="191">
        <f>Valuation_Model!C8</f>
        <v>1050246.6606106577</v>
      </c>
      <c r="D91" s="1" t="str">
        <f>Reporting_currency</f>
        <v>HKD</v>
      </c>
    </row>
    <row r="92" spans="2:6" x14ac:dyDescent="0.35">
      <c r="B92" s="47" t="s">
        <v>292</v>
      </c>
      <c r="C92" s="254">
        <f>C91*C28*Exchange_Rate/Common_Shares</f>
        <v>1.7888479273623368</v>
      </c>
      <c r="D92" s="1" t="str">
        <f>Market_currency</f>
        <v>HKD</v>
      </c>
    </row>
    <row r="94" spans="2:6" x14ac:dyDescent="0.35">
      <c r="B94" s="1" t="s">
        <v>260</v>
      </c>
    </row>
    <row r="95" spans="2:6" x14ac:dyDescent="0.35">
      <c r="B95" s="47" t="s">
        <v>261</v>
      </c>
      <c r="C95" s="191">
        <f>Valuation_Model!C9</f>
        <v>92572.6</v>
      </c>
      <c r="D95" s="1" t="str">
        <f>Reporting_currency</f>
        <v>HKD</v>
      </c>
    </row>
    <row r="96" spans="2:6" x14ac:dyDescent="0.35">
      <c r="B96" s="47" t="s">
        <v>293</v>
      </c>
      <c r="C96" s="254">
        <f>C95*C28*Exchange_Rate/Common_Shares</f>
        <v>0.15767562978420405</v>
      </c>
      <c r="D96" s="1" t="str">
        <f>Market_currency</f>
        <v>HKD</v>
      </c>
    </row>
    <row r="98" spans="1:6" ht="24.4" customHeight="1" x14ac:dyDescent="0.35">
      <c r="B98" s="338" t="s">
        <v>389</v>
      </c>
      <c r="C98" s="338"/>
      <c r="D98" s="338"/>
      <c r="E98" s="338"/>
      <c r="F98" s="338"/>
    </row>
    <row r="100" spans="1:6" x14ac:dyDescent="0.35">
      <c r="B100" s="47" t="s">
        <v>289</v>
      </c>
      <c r="C100" s="254">
        <f>Valuation_Model!C12</f>
        <v>20.080338252823015</v>
      </c>
      <c r="D100" s="1" t="str">
        <f>Market_currency</f>
        <v>HKD</v>
      </c>
    </row>
    <row r="102" spans="1:6" ht="13.9" x14ac:dyDescent="0.45">
      <c r="A102" s="253" t="s">
        <v>379</v>
      </c>
      <c r="B102" s="36"/>
      <c r="C102" s="36"/>
      <c r="D102" s="36"/>
      <c r="E102" s="36"/>
      <c r="F102" s="36"/>
    </row>
    <row r="104" spans="1:6" ht="24.4" customHeight="1" x14ac:dyDescent="0.35">
      <c r="B104" s="340" t="s">
        <v>390</v>
      </c>
      <c r="C104" s="340"/>
      <c r="D104" s="340"/>
      <c r="E104" s="340"/>
      <c r="F104" s="340"/>
    </row>
    <row r="106" spans="1:6" ht="12.4" x14ac:dyDescent="0.4">
      <c r="B106" s="266" t="s">
        <v>121</v>
      </c>
      <c r="C106" s="266" t="s">
        <v>136</v>
      </c>
      <c r="D106" s="266" t="s">
        <v>116</v>
      </c>
      <c r="E106" s="266" t="s">
        <v>263</v>
      </c>
      <c r="F106" s="266" t="s">
        <v>151</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262</v>
      </c>
      <c r="C113" s="247">
        <f>Scenarios!C60</f>
        <v>20.508980461992877</v>
      </c>
      <c r="D113" s="242" t="str">
        <f>Market_currency</f>
        <v>HKD</v>
      </c>
    </row>
    <row r="115" spans="1:6" ht="24.4" customHeight="1" x14ac:dyDescent="0.35">
      <c r="B115" s="343" t="s">
        <v>393</v>
      </c>
      <c r="C115" s="343"/>
      <c r="D115" s="343"/>
      <c r="E115" s="343"/>
      <c r="F115" s="343"/>
    </row>
    <row r="117" spans="1:6" ht="13.9" x14ac:dyDescent="0.45">
      <c r="A117" s="253" t="s">
        <v>380</v>
      </c>
      <c r="B117" s="36"/>
      <c r="C117" s="36"/>
      <c r="D117" s="36"/>
      <c r="E117" s="36"/>
      <c r="F117" s="36"/>
    </row>
    <row r="119" spans="1:6" x14ac:dyDescent="0.35">
      <c r="B119" s="339" t="s">
        <v>391</v>
      </c>
      <c r="C119" s="339"/>
      <c r="D119" s="339"/>
      <c r="E119" s="339"/>
      <c r="F119" s="339"/>
    </row>
    <row r="120" spans="1:6" ht="24.4" customHeight="1" x14ac:dyDescent="0.35">
      <c r="B120" s="338" t="s">
        <v>392</v>
      </c>
      <c r="C120" s="338"/>
      <c r="D120" s="338"/>
      <c r="E120" s="338"/>
      <c r="F120" s="338"/>
    </row>
    <row r="121" spans="1:6" x14ac:dyDescent="0.35">
      <c r="B121" s="240" t="s">
        <v>234</v>
      </c>
    </row>
    <row r="122" spans="1:6" x14ac:dyDescent="0.35">
      <c r="B122" s="1" t="s">
        <v>268</v>
      </c>
      <c r="C122" s="257">
        <f>E20</f>
        <v>3</v>
      </c>
    </row>
    <row r="123" spans="1:6" x14ac:dyDescent="0.35">
      <c r="B123" s="1" t="s">
        <v>284</v>
      </c>
      <c r="C123" s="256">
        <f>C19</f>
        <v>0.2</v>
      </c>
    </row>
    <row r="124" spans="1:6" x14ac:dyDescent="0.35">
      <c r="B124" s="242" t="s">
        <v>265</v>
      </c>
      <c r="C124" s="243">
        <f>Scenarios!C77</f>
        <v>1.36</v>
      </c>
      <c r="D124" s="242" t="str">
        <f>Market_currency</f>
        <v>HKD</v>
      </c>
    </row>
    <row r="126" spans="1:6" x14ac:dyDescent="0.35">
      <c r="B126" s="240" t="s">
        <v>267</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11.868622952542175</v>
      </c>
    </row>
    <row r="129" spans="2:4" x14ac:dyDescent="0.35">
      <c r="B129" s="82" t="s">
        <v>264</v>
      </c>
      <c r="C129" s="245">
        <f>Scenarios!C83</f>
        <v>14.733437767356989</v>
      </c>
      <c r="D129" s="47" t="str">
        <f>Reporting_currency</f>
        <v>HKD</v>
      </c>
    </row>
    <row r="130" spans="2:4" x14ac:dyDescent="0.35">
      <c r="B130" s="244" t="s">
        <v>266</v>
      </c>
      <c r="C130" s="94">
        <f>Scenarios!F83</f>
        <v>0.28161042453275964</v>
      </c>
    </row>
  </sheetData>
  <mergeCells count="22">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248</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277</v>
      </c>
      <c r="C45" s="267" t="s">
        <v>140</v>
      </c>
      <c r="D45" s="209" t="s">
        <v>278</v>
      </c>
      <c r="F45" s="293" t="s">
        <v>62</v>
      </c>
    </row>
    <row r="46" spans="2:8" ht="15" customHeight="1" x14ac:dyDescent="0.35">
      <c r="B46" s="1" t="s">
        <v>280</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281</v>
      </c>
      <c r="C61" s="268" t="s">
        <v>141</v>
      </c>
      <c r="D61" s="224" t="s">
        <v>99</v>
      </c>
      <c r="F61" s="289"/>
    </row>
    <row r="62" spans="2:8" ht="15" customHeight="1" x14ac:dyDescent="0.35">
      <c r="B62" s="1" t="s">
        <v>249</v>
      </c>
      <c r="C62" s="94">
        <f>IF(G28&lt;=0,0,G28/G29)</f>
        <v>0</v>
      </c>
      <c r="D62" s="94">
        <f>G28/G29</f>
        <v>-2.0915594459950692E-3</v>
      </c>
      <c r="F62" s="289" t="s">
        <v>279</v>
      </c>
    </row>
    <row r="64" spans="2:8" ht="15" customHeight="1" x14ac:dyDescent="0.35">
      <c r="B64" s="81" t="s">
        <v>197</v>
      </c>
      <c r="C64" s="37"/>
      <c r="D64" s="37"/>
      <c r="E64" s="37"/>
      <c r="F64" s="37"/>
      <c r="G64" s="37"/>
      <c r="H64" s="37"/>
    </row>
    <row r="65" spans="2:6" ht="15" customHeight="1" x14ac:dyDescent="0.35">
      <c r="B65" s="16" t="s">
        <v>192</v>
      </c>
      <c r="C65" s="267" t="s">
        <v>140</v>
      </c>
      <c r="D65" s="210" t="s">
        <v>299</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334</v>
      </c>
      <c r="C72" s="267" t="s">
        <v>99</v>
      </c>
      <c r="D72" s="209" t="s">
        <v>60</v>
      </c>
      <c r="F72" s="289"/>
    </row>
    <row r="73" spans="2:6" ht="15" customHeight="1" x14ac:dyDescent="0.35">
      <c r="B73" s="108" t="s">
        <v>333</v>
      </c>
      <c r="C73" s="191">
        <f>(Normalized_FCF!G25+Normalized_FCF!G35-Normalized_FCF!G91)/12</f>
        <v>-1187304.6396666665</v>
      </c>
      <c r="D73" s="191">
        <f>(Normalized_FCF!C25+Normalized_FCF!C35-Normalized_FCF!C91)/12</f>
        <v>-947972.33938934223</v>
      </c>
      <c r="F73" s="1" t="s">
        <v>368</v>
      </c>
    </row>
    <row r="74" spans="2:6" ht="15" customHeight="1" x14ac:dyDescent="0.35">
      <c r="B74" s="294" t="s">
        <v>338</v>
      </c>
      <c r="C74" s="295">
        <f>-$C$66/C73</f>
        <v>1.6829876118070222</v>
      </c>
      <c r="D74" s="295">
        <f>-$C$66/D73</f>
        <v>2.1078874530107048</v>
      </c>
      <c r="F74" s="289" t="s">
        <v>335</v>
      </c>
    </row>
    <row r="75" spans="2:6" ht="15" customHeight="1" x14ac:dyDescent="0.35">
      <c r="B75" s="82" t="s">
        <v>336</v>
      </c>
      <c r="C75" s="299"/>
      <c r="D75" s="298">
        <f>MAX(-D73*D76,G5)</f>
        <v>947972.33938934223</v>
      </c>
      <c r="F75" s="289" t="s">
        <v>369</v>
      </c>
    </row>
    <row r="76" spans="2:6" ht="15" customHeight="1" x14ac:dyDescent="0.35">
      <c r="B76" s="296" t="s">
        <v>339</v>
      </c>
      <c r="C76" s="297"/>
      <c r="D76" s="333">
        <f>IF(D74&lt;=3,1,IF(D74&gt;18,6,2))</f>
        <v>1</v>
      </c>
      <c r="F76" s="289" t="s">
        <v>340</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302</v>
      </c>
      <c r="C84" s="37"/>
      <c r="D84" s="37"/>
      <c r="E84" s="37"/>
      <c r="F84" s="37"/>
      <c r="G84" s="37"/>
      <c r="H84" s="37"/>
    </row>
    <row r="85" spans="2:8" ht="15" customHeight="1" x14ac:dyDescent="0.35">
      <c r="B85" s="16" t="s">
        <v>303</v>
      </c>
      <c r="D85" s="276" t="s">
        <v>304</v>
      </c>
    </row>
    <row r="86" spans="2:8" ht="15" customHeight="1" x14ac:dyDescent="0.35">
      <c r="B86" s="273" t="s">
        <v>300</v>
      </c>
      <c r="C86" s="191">
        <f>-Valuation_Model!C7*Exchange_Rate</f>
        <v>-2034922</v>
      </c>
      <c r="D86" s="254">
        <f>C86*$H$1/Common_Shares</f>
        <v>-3.4660105464438944</v>
      </c>
      <c r="E86" s="275" t="str">
        <f>Market_currency</f>
        <v>HKD</v>
      </c>
    </row>
    <row r="87" spans="2:8" ht="15" customHeight="1" x14ac:dyDescent="0.35">
      <c r="B87" s="273" t="s">
        <v>301</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305</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247</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348</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349</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350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350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350</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350</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351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362</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359</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352</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353</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354</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374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324</v>
      </c>
      <c r="C93" s="23">
        <f>C90/Market_Price</f>
        <v>8.8311688311688313E-2</v>
      </c>
      <c r="E93" s="308"/>
      <c r="G93" s="23">
        <f t="shared" ref="G93:Q93" si="39">IF(G$4="","",G90/Market_Price)</f>
        <v>8.8311688311688313E-2</v>
      </c>
      <c r="H93" s="23">
        <f t="shared" si="39"/>
        <v>7.1428571428571438E-2</v>
      </c>
      <c r="I93" s="23">
        <f t="shared" si="39"/>
        <v>7.1428571428571438E-2</v>
      </c>
      <c r="J93" s="23">
        <f t="shared" si="39"/>
        <v>6.4935064935064929E-2</v>
      </c>
      <c r="K93" s="23">
        <f t="shared" si="39"/>
        <v>6.4935064935064929E-2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274</v>
      </c>
      <c r="C121" s="79">
        <f>C19*Exchange_Rate*$C$3/(Market_Price*Common_Shares)</f>
        <v>0.11220688437465126</v>
      </c>
      <c r="D121" s="27"/>
      <c r="E121" s="305"/>
      <c r="F121" s="27"/>
      <c r="G121" s="79">
        <f t="shared" ref="G121" si="50">IF(G$4="","",G120/Market_Price)</f>
        <v>0.14283465411177845</v>
      </c>
      <c r="H121" s="79">
        <f t="shared" ref="H121" si="51">IF(H$4="","",H120/Market_Price)</f>
        <v>0.14848715293043416</v>
      </c>
      <c r="I121" s="79">
        <f t="shared" ref="I121" si="52">IF(I$4="","",I120/Market_Price)</f>
        <v>0.12453172790635134</v>
      </c>
      <c r="J121" s="79">
        <f t="shared" ref="J121" si="53">IF(J$4="","",J120/Market_Price)</f>
        <v>0.11977174613001328</v>
      </c>
      <c r="K121" s="79">
        <f t="shared" ref="K121" si="54">IF(K$4="","",K120/Market_Price)</f>
        <v>0.10380057865403984</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254</v>
      </c>
      <c r="F4" s="138">
        <f>Thesis!C76</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253</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325</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309</v>
      </c>
      <c r="I2" s="284"/>
    </row>
    <row r="3" spans="2:9" ht="13.15" x14ac:dyDescent="0.4">
      <c r="B3" s="163" t="s">
        <v>152</v>
      </c>
      <c r="H3" s="282">
        <v>0</v>
      </c>
      <c r="I3" s="270">
        <f>-Market_Price</f>
        <v>-15.4</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288</v>
      </c>
      <c r="F6" s="103"/>
      <c r="H6" s="282">
        <v>3</v>
      </c>
      <c r="I6" s="270">
        <f t="shared" si="0"/>
        <v>21.868980461992876</v>
      </c>
    </row>
    <row r="7" spans="2:9" ht="12.75" customHeight="1" x14ac:dyDescent="0.35">
      <c r="B7" s="103" t="s">
        <v>282</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285</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346</v>
      </c>
    </row>
    <row r="18" spans="2:6" x14ac:dyDescent="0.35">
      <c r="B18" s="156" t="s">
        <v>137</v>
      </c>
      <c r="C18" s="154">
        <v>5</v>
      </c>
      <c r="E18" s="346" t="s">
        <v>347</v>
      </c>
      <c r="F18" s="347"/>
    </row>
    <row r="19" spans="2:6" x14ac:dyDescent="0.35">
      <c r="E19" s="347"/>
      <c r="F19" s="347"/>
    </row>
    <row r="20" spans="2:6" ht="13.15" x14ac:dyDescent="0.4">
      <c r="B20" s="163" t="s">
        <v>317</v>
      </c>
      <c r="E20" s="347"/>
      <c r="F20" s="347"/>
    </row>
    <row r="21" spans="2:6" x14ac:dyDescent="0.35">
      <c r="B21" s="103" t="s">
        <v>286</v>
      </c>
      <c r="C21" s="164">
        <f>Market_Price</f>
        <v>15.4</v>
      </c>
      <c r="D21" t="str">
        <f>Market_currency</f>
        <v>HKD</v>
      </c>
      <c r="E21" s="347"/>
      <c r="F21" s="347"/>
    </row>
    <row r="22" spans="2:6" x14ac:dyDescent="0.35">
      <c r="B22" s="103" t="s">
        <v>287</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332</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310</v>
      </c>
      <c r="F60" s="318">
        <f>Thesis!E20</f>
        <v>3</v>
      </c>
    </row>
    <row r="62" spans="2:6" ht="13.9" x14ac:dyDescent="0.45">
      <c r="B62" s="36" t="s">
        <v>366</v>
      </c>
      <c r="C62" s="37"/>
      <c r="D62" s="37"/>
      <c r="E62" s="37"/>
      <c r="F62" s="37"/>
    </row>
    <row r="63" spans="2:6" ht="13.15" x14ac:dyDescent="0.4">
      <c r="B63" s="112" t="s">
        <v>318</v>
      </c>
      <c r="E63" s="288" t="s">
        <v>326</v>
      </c>
    </row>
    <row r="64" spans="2:6" x14ac:dyDescent="0.35">
      <c r="B64" s="156" t="s">
        <v>137</v>
      </c>
      <c r="C64" s="170">
        <v>10</v>
      </c>
      <c r="D64" s="154"/>
      <c r="E64" s="287" t="s">
        <v>327</v>
      </c>
    </row>
    <row r="65" spans="2:6" x14ac:dyDescent="0.35">
      <c r="B65" s="122" t="s">
        <v>138</v>
      </c>
      <c r="C65" s="155">
        <v>6.4006284479398504E-3</v>
      </c>
      <c r="D65" s="155"/>
      <c r="E65" s="287" t="s">
        <v>328</v>
      </c>
    </row>
    <row r="66" spans="2:6" x14ac:dyDescent="0.35">
      <c r="B66" s="103" t="s">
        <v>106</v>
      </c>
      <c r="C66" s="164">
        <f>Valuation_Model!C18</f>
        <v>20.512359193543752</v>
      </c>
      <c r="D66" s="164" t="str">
        <f>Market_currency</f>
        <v>HKD</v>
      </c>
      <c r="E66" s="287" t="s">
        <v>329</v>
      </c>
    </row>
    <row r="68" spans="2:6" ht="13.15" x14ac:dyDescent="0.4">
      <c r="B68" s="112" t="s">
        <v>367</v>
      </c>
      <c r="E68" s="288" t="s">
        <v>330</v>
      </c>
    </row>
    <row r="69" spans="2:6" x14ac:dyDescent="0.35">
      <c r="B69" s="103" t="s">
        <v>319</v>
      </c>
      <c r="C69" s="279" t="str">
        <f>IF(C60&lt;C22,"Y","N")</f>
        <v>N</v>
      </c>
      <c r="E69" s="138"/>
    </row>
    <row r="70" spans="2:6" x14ac:dyDescent="0.35">
      <c r="B70" s="103" t="s">
        <v>307</v>
      </c>
      <c r="C70" s="279" t="str">
        <f>IF(C69="Y","N",IF(C65&gt;8%,"N","Y"))</f>
        <v>Y</v>
      </c>
      <c r="E70" s="287" t="s">
        <v>308</v>
      </c>
    </row>
    <row r="71" spans="2:6" x14ac:dyDescent="0.35">
      <c r="B71" s="103" t="s">
        <v>306</v>
      </c>
      <c r="C71" s="279" t="str">
        <f>IF(C65&gt;8%,"Y","N")</f>
        <v>N</v>
      </c>
      <c r="E71" s="287"/>
    </row>
    <row r="72" spans="2:6" x14ac:dyDescent="0.35">
      <c r="B72" s="103" t="s">
        <v>298</v>
      </c>
      <c r="C72" s="278" t="str">
        <f>IF(F72&gt;50%,"Y","N")</f>
        <v>N</v>
      </c>
      <c r="E72" s="138" t="s">
        <v>363</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311</v>
      </c>
      <c r="C76" s="280">
        <f>F60</f>
        <v>3</v>
      </c>
      <c r="D76" s="138"/>
    </row>
    <row r="77" spans="2:6" x14ac:dyDescent="0.35">
      <c r="B77" s="103" t="s">
        <v>115</v>
      </c>
      <c r="C77" s="177">
        <f>Normalized_FCF!C90</f>
        <v>1.36</v>
      </c>
      <c r="D77" t="str">
        <f>Market_currency</f>
        <v>HKD</v>
      </c>
    </row>
    <row r="79" spans="2:6" ht="13.15" x14ac:dyDescent="0.4">
      <c r="B79" s="112" t="s">
        <v>315</v>
      </c>
    </row>
    <row r="80" spans="2:6" x14ac:dyDescent="0.35">
      <c r="B80" s="152" t="s">
        <v>313</v>
      </c>
      <c r="C80" s="171">
        <f>Thesis!C123</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316</v>
      </c>
    </row>
    <row r="86" spans="2:8" x14ac:dyDescent="0.35">
      <c r="B86" s="152" t="s">
        <v>314</v>
      </c>
      <c r="C86" s="272">
        <f>Market_Price</f>
        <v>15.4</v>
      </c>
      <c r="D86" t="str">
        <f>Market_currency</f>
        <v>HKD</v>
      </c>
    </row>
    <row r="87" spans="2:8" ht="13.15" x14ac:dyDescent="0.4">
      <c r="B87" s="103" t="s">
        <v>312</v>
      </c>
      <c r="C87" s="271">
        <f ca="1">IRR(OFFSET($I$3, 0, 0, $C$76 + 1, 1))</f>
        <v>0.18108249888642258</v>
      </c>
    </row>
    <row r="88" spans="2:8" x14ac:dyDescent="0.35">
      <c r="B88" s="103"/>
    </row>
    <row r="89" spans="2:8" ht="14.65" x14ac:dyDescent="0.5">
      <c r="E89" s="326" t="s">
        <v>341</v>
      </c>
      <c r="F89" s="323"/>
      <c r="G89" s="2"/>
      <c r="H89" s="322"/>
    </row>
    <row r="90" spans="2:8" ht="13.9" x14ac:dyDescent="0.45">
      <c r="E90" s="319" t="s">
        <v>342</v>
      </c>
      <c r="F90" s="324" t="s">
        <v>343</v>
      </c>
      <c r="G90" s="2"/>
      <c r="H90" s="322"/>
    </row>
    <row r="91" spans="2:8" ht="13.9" x14ac:dyDescent="0.45">
      <c r="E91" s="320" t="s">
        <v>342</v>
      </c>
      <c r="F91" s="324" t="s">
        <v>344</v>
      </c>
      <c r="G91" s="2"/>
      <c r="H91" s="322"/>
    </row>
    <row r="92" spans="2:8" ht="13.9" x14ac:dyDescent="0.45">
      <c r="E92" s="321" t="s">
        <v>342</v>
      </c>
      <c r="F92" s="325" t="s">
        <v>345</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2025-04-04T16:39:24Z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