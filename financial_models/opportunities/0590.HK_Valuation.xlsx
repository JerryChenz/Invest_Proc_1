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3CE7485-AABB-451B-A66C-248F063D42A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8" i="8"/>
  <c r="D67" i="8"/>
  <c r="E66" i="8"/>
  <c r="D71" i="8"/>
  <c r="D70" i="8"/>
  <c r="D68" i="8"/>
  <c r="C68" i="8"/>
  <c r="B70" i="8"/>
  <c r="C66" i="8"/>
  <c r="E70" i="8"/>
  <c r="F71" i="8"/>
  <c r="E69" i="8"/>
  <c r="C69" i="8"/>
  <c r="D66" i="8"/>
  <c r="B66" i="8"/>
  <c r="G54" i="2"/>
  <c r="B67" i="8" l="1"/>
  <c r="E67" i="8"/>
  <c r="C67" i="8"/>
  <c r="F69" i="8"/>
  <c r="C70" i="8"/>
  <c r="B69"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<sst xmlns="http://schemas.openxmlformats.org/spreadsheetml/2006/main" count="626" uniqueCount="439">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</sst>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17.82</v>
      </c>
      <c r="D12" s="50"/>
      <c r="E12" s="48"/>
    </row>
    <row r="13" spans="1:10">
      <c r="B13" s="1" t="s">
        <v>425</v>
      </c>
      <c r="C13" s="48" t="s">
        <v>404</v>
      </c>
      <c r="D13" s="48"/>
      <c r="E13" s="5"/>
    </row>
    <row r="14" spans="1:10">
      <c r="B14" s="4" t="s">
        <v>429</v>
      </c>
      <c r="C14" s="35">
        <f>Thesis!C12*Common_Shares/1000000</f>
        <v>10462.261887000001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11.804906901225705</v>
      </c>
      <c r="D25" s="1" t="s">
        <v>315</v>
      </c>
      <c r="E25" s="330">
        <v>3</v>
      </c>
    </row>
    <row r="26" spans="1:6">
      <c r="B26" s="1" t="s">
        <v>407</v>
      </c>
      <c r="C26" s="280">
        <f ca="1">Scenarios!C87</f>
        <v>0.1209941874823961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1398534.6033278927</v>
      </c>
      <c r="D35" s="1" t="str">
        <f>Reporting_currency</f>
        <v>HKD</v>
      </c>
    </row>
    <row r="36" spans="2:6">
      <c r="B36" s="47"/>
      <c r="C36" s="76"/>
    </row>
    <row r="37" spans="2:6" ht="24.4" customHeight="1">
      <c r="B37" s="344" t="s">
        <v>234</v>
      </c>
      <c r="C37" s="344"/>
      <c r="D37" s="344"/>
      <c r="E37" s="344"/>
      <c r="F37" s="344"/>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-338171.38555405382</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9.696891242253812E-2</v>
      </c>
    </row>
    <row r="64" spans="2:6">
      <c r="B64" s="254" t="s">
        <v>316</v>
      </c>
      <c r="C64" s="92">
        <f>Normalized_FCF!C93</f>
        <v>7.6318742985409652E-2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3" t="s">
        <v>374</v>
      </c>
      <c r="C106" s="343"/>
      <c r="D106" s="343"/>
      <c r="E106" s="343"/>
      <c r="F106" s="343"/>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0.3</v>
      </c>
    </row>
    <row r="137" spans="2:6">
      <c r="B137" s="236" t="str">
        <f>"PV("&amp;C131&amp;" yrs of Dividends)"</f>
        <v>PV(3 yrs of Dividends)</v>
      </c>
      <c r="C137" s="240">
        <f>Scenarios!C81</f>
        <v>2.4699135184342293</v>
      </c>
    </row>
    <row r="138" spans="2:6">
      <c r="B138" s="236" t="str">
        <f>"+ PV(Equity Value realized at year "&amp;C131&amp;")"</f>
        <v>+ PV(Equity Value realized at year 3)</v>
      </c>
      <c r="C138" s="240">
        <f>Scenarios!C82</f>
        <v>9.3349933827914757</v>
      </c>
    </row>
    <row r="139" spans="2:6">
      <c r="B139" s="80" t="s">
        <v>261</v>
      </c>
      <c r="C139" s="239">
        <f>Scenarios!C83</f>
        <v>11.804906901225705</v>
      </c>
      <c r="D139" s="342" t="str">
        <f>IF($D$11="","",C139*$E$22)</f>
        <v/>
      </c>
    </row>
    <row r="140" spans="2:6">
      <c r="B140" s="290" t="s">
        <v>425</v>
      </c>
      <c r="C140" s="340" t="str">
        <f>Market_currency</f>
        <v>HKD</v>
      </c>
      <c r="D140" s="340" t="str">
        <f>IF($D$11="","",D$13)</f>
        <v/>
      </c>
    </row>
    <row r="141" spans="2:6">
      <c r="B141" s="238" t="s">
        <v>263</v>
      </c>
      <c r="C141" s="92">
        <f>Scenarios!F83</f>
        <v>0.42440303538723001</v>
      </c>
    </row>
    <row r="143" spans="2:6">
      <c r="B143" s="234" t="s">
        <v>421</v>
      </c>
    </row>
    <row r="144" spans="2:6">
      <c r="B144" s="1" t="s">
        <v>420</v>
      </c>
      <c r="C144" s="337">
        <f>Scenarios!C90</f>
        <v>0.2</v>
      </c>
    </row>
    <row r="145" spans="1:6">
      <c r="B145" s="236" t="str">
        <f>"PV("&amp;C131&amp;" yrs of Dividends)"</f>
        <v>PV(3 yrs of Dividends)</v>
      </c>
      <c r="C145" s="240">
        <f>Scenarios!C91</f>
        <v>2.8648148148148147</v>
      </c>
    </row>
    <row r="146" spans="1:6">
      <c r="B146" s="236" t="str">
        <f>"+ PV(Equity Value realized at year "&amp;C131&amp;")"</f>
        <v>+ PV(Equity Value realized at year 3)</v>
      </c>
      <c r="C146" s="240">
        <f>Scenarios!C92</f>
        <v>11.868622952542175</v>
      </c>
    </row>
    <row r="147" spans="1:6">
      <c r="B147" s="80" t="s">
        <v>261</v>
      </c>
      <c r="C147" s="239">
        <f>Scenarios!C93</f>
        <v>14.733437767356989</v>
      </c>
      <c r="D147" s="342" t="str">
        <f>IF($D$11="","",C147*$E$22)</f>
        <v/>
      </c>
    </row>
    <row r="148" spans="1:6">
      <c r="B148" s="290" t="s">
        <v>425</v>
      </c>
      <c r="C148" s="340" t="str">
        <f>Market_currency</f>
        <v>HKD</v>
      </c>
      <c r="D148" s="340" t="str">
        <f>IF($D$11="","",D$13)</f>
        <v/>
      </c>
    </row>
    <row r="149" spans="1:6">
      <c r="B149" s="238" t="s">
        <v>263</v>
      </c>
      <c r="C149" s="92">
        <f>Scenarios!F93</f>
        <v>0.28161042453275964</v>
      </c>
    </row>
    <row r="151" spans="1:6">
      <c r="B151" s="234" t="s">
        <v>408</v>
      </c>
    </row>
    <row r="152" spans="1:6">
      <c r="B152" s="1" t="s">
        <v>419</v>
      </c>
      <c r="C152" s="92">
        <f>Scenarios!C96</f>
        <v>0.08</v>
      </c>
    </row>
    <row r="153" spans="1:6">
      <c r="B153" s="236" t="str">
        <f>"PV("&amp;C131&amp;" yrs of Dividends)"</f>
        <v>PV(3 yrs of Dividends)</v>
      </c>
      <c r="C153" s="240">
        <f>Scenarios!C97</f>
        <v>3.5048519026571174</v>
      </c>
    </row>
    <row r="154" spans="1:6">
      <c r="B154" s="236" t="str">
        <f>"+ PV(Equity Value realized at year "&amp;C131&amp;")"</f>
        <v>+ PV(Equity Value realized at year 3)</v>
      </c>
      <c r="C154" s="240">
        <f>Scenarios!C98</f>
        <v>16.280689921182677</v>
      </c>
    </row>
    <row r="155" spans="1:6">
      <c r="B155" s="80" t="s">
        <v>409</v>
      </c>
      <c r="C155" s="239">
        <f>Scenarios!C99</f>
        <v>19.785541823839793</v>
      </c>
      <c r="D155" s="342" t="str">
        <f>IF($D$11="","",C155*$E$22)</f>
        <v/>
      </c>
    </row>
    <row r="156" spans="1:6">
      <c r="B156" s="290" t="s">
        <v>425</v>
      </c>
      <c r="C156" s="340" t="str">
        <f>Market_currency</f>
        <v>HKD</v>
      </c>
      <c r="D156" s="340" t="str">
        <f>IF($D$11="","",D$13)</f>
        <v/>
      </c>
    </row>
    <row r="157" spans="1:6">
      <c r="B157" s="238" t="s">
        <v>263</v>
      </c>
      <c r="C157" s="92">
        <f>Scenarios!F99</f>
        <v>3.5274237034539913E-2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436</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7.6318742985409652E-2</v>
      </c>
      <c r="E93" s="302"/>
      <c r="G93" s="23">
        <f t="shared" ref="G93:Q93" si="39">IF(G$4="","",G90/Market_Price)</f>
        <v>7.6318742985409652E-2</v>
      </c>
      <c r="H93" s="23">
        <f t="shared" si="39"/>
        <v>6.1728395061728399E-2</v>
      </c>
      <c r="I93" s="23">
        <f t="shared" si="39"/>
        <v>6.1728395061728399E-2</v>
      </c>
      <c r="J93" s="23">
        <f t="shared" si="39"/>
        <v>5.6116722783389451E-2</v>
      </c>
      <c r="K93" s="23">
        <f t="shared" si="39"/>
        <v>5.6116722783389451E-2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9.696891242253812E-2</v>
      </c>
      <c r="D125" s="27"/>
      <c r="E125" s="299"/>
      <c r="F125" s="27"/>
      <c r="G125" s="77">
        <f t="shared" ref="G125" si="50">IF(G$4="","",G124/Market_Price)</f>
        <v>0.12343735540524063</v>
      </c>
      <c r="H125" s="77">
        <f t="shared" ref="H125" si="51">IF(H$4="","",H124/Market_Price)</f>
        <v>0.1283222309275357</v>
      </c>
      <c r="I125" s="77">
        <f t="shared" ref="I125" si="52">IF(I$4="","",I124/Market_Price)</f>
        <v>0.1076200117709209</v>
      </c>
      <c r="J125" s="77">
        <f t="shared" ref="J125" si="53">IF(J$4="","",J124/Market_Price)</f>
        <v>0.10350644727285098</v>
      </c>
      <c r="K125" s="77">
        <f t="shared" ref="K125" si="54">IF(K$4="","",K124/Market_Price)</f>
        <v>8.9704203775096164E-2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0.16892188506540678</v>
      </c>
      <c r="H126" s="23">
        <f>IF(H$4="","",(Data!D47*$C$3)/(Market_Price*Common_Shares))</f>
        <v>0.12279916273137734</v>
      </c>
      <c r="I126" s="23">
        <f>IF(I$4="","",(Data!E47*$C$3)/(Market_Price*Common_Shares))</f>
        <v>0.13308441473158852</v>
      </c>
      <c r="J126" s="23">
        <f>IF(J$4="","",(Data!F47*$C$3)/(Market_Price*Common_Shares))</f>
        <v>9.7238533214705797E-2</v>
      </c>
      <c r="K126" s="23">
        <f>IF(K$4="","",(Data!G47*$C$3)/(Market_Price*Common_Shares))</f>
        <v>8.2803796096563909E-2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-17.82</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17.82</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17.82</v>
      </c>
      <c r="D86" t="str">
        <f>Market_currency</f>
        <v>HKD</v>
      </c>
    </row>
    <row r="87" spans="2:8" ht="13.15">
      <c r="B87" s="100" t="s">
        <v>305</v>
      </c>
      <c r="C87" s="265">
        <f ca="1">IRR(OFFSET($I$3, 0, 0, $C$76 + 1, 1))</f>
        <v>0.1209941874823961</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