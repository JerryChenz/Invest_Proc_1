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186087F-2BED-493F-BC3A-16EF56E7A42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N126" i="2"/>
  <c r="N48" i="2"/>
  <c r="N91" i="2"/>
  <c r="N92" i="2"/>
  <c r="I91" i="2"/>
  <c r="D70" i="4"/>
  <c r="F69" i="4"/>
  <c r="Q126" i="2"/>
  <c r="Q92" i="2"/>
  <c r="Q48" i="2"/>
  <c r="Q91" i="2"/>
  <c r="D69" i="4"/>
  <c r="O126" i="2"/>
  <c r="O48" i="2"/>
  <c r="O91" i="2"/>
  <c r="O92" i="2"/>
  <c r="J91" i="2"/>
  <c r="K126" i="2"/>
  <c r="K91" i="2"/>
  <c r="P126" i="2"/>
  <c r="P92" i="2"/>
  <c r="P48" i="2"/>
  <c r="P91" i="2"/>
  <c r="L126" i="2"/>
  <c r="L48" i="2"/>
  <c r="L92" i="2"/>
  <c r="L91" i="2"/>
  <c r="M126" i="2"/>
  <c r="M91" i="2"/>
  <c r="M92" i="2"/>
  <c r="M48"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K48" i="2"/>
  <c r="H48" i="2"/>
  <c r="H50" i="2" s="1"/>
  <c r="H12" i="2" s="1"/>
  <c r="H80" i="2" s="1"/>
  <c r="J48" i="2"/>
  <c r="I48" i="2"/>
  <c r="I50" i="2" s="1"/>
  <c r="I12" i="2" s="1"/>
  <c r="I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<sst xmlns="http://schemas.openxmlformats.org/spreadsheetml/2006/main" count="612" uniqueCount="430">
  <si>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</si>
  <si>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</si>
  <si>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</si>
  <si>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</si>
  <si>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</si>
  <si>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</si>
  <si>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</si>
  <si>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</si>
  <si>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</si>
  <si>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</si>
  <si>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</si>
  <si>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</si>
  <si>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</si>
  <si>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</si>
  <si>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</si>
  <si>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</si>
  <si>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</si>
  <si>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</si>
  <si>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</si>
  <si>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</si>
  <si>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</si>
  <si>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</si>
  <si>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</si>
  <si>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</si>
  <si>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</si>
  <si>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</si>
  <si>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</si>
  <si>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</si>
  <si>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</si>
  <si>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</si>
  <si>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</si>
  <si>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</si>
  <si>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</si>
  <si>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</si>
  <si>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</si>
  <si>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</si>
  <si>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</si>
  <si>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</si>
  <si>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</si>
  <si>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</si>
  <si>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</si>
  <si>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</si>
  <si>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</si>
  <si>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</si>
  <si>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</si>
  <si>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</si>
  <si>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</si>
  <si>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</si>
  <si>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</si>
  <si>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</si>
  <si>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</si>
  <si>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</si>
  <si>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</si>
  <si>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</si>
  <si>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</si>
  <si>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</si>
  <si>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</si>
  <si>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</si>
  <si>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</si>
  <si>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</si>
  <si>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</si>
  <si>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</si>
  <si>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</si>
  <si>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</si>
  <si>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</si>
  <si>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</si>
  <si>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</si>
  <si>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</si>
  <si>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</si>
  <si>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</si>
  <si>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</si>
  <si>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</si>
  <si>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</si>
  <si>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</si>
  <si>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</si>
  <si>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</si>
  <si>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</si>
  <si>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</si>
  <si>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</si>
  <si>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</si>
  <si>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</si>
  <si>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</si>
  <si>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</si>
  <si>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</si>
  <si>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</si>
  <si>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</si>
  <si>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</si>
  <si>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</si>
  <si>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</si>
  <si>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</si>
  <si>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</si>
  <si>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</si>
  <si>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</si>
  <si>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</si>
  <si>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</si>
  <si>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</si>
  <si>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</si>
  <si>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</si>
  <si>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</si>
  <si>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</si>
  <si>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</si>
  <si>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</si>
  <si>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</si>
  <si>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</si>
  <si>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</si>
  <si>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</si>
  <si>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</si>
  <si>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</si>
  <si>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</si>
  <si>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</si>
  <si>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</si>
  <si>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</si>
  <si>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</si>
  <si>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</si>
  <si>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</si>
  <si>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</si>
  <si>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</si>
  <si>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</si>
  <si>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</si>
  <si>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</si>
  <si>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</si>
  <si>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</si>
  <si>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</si>
  <si>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</si>
  <si>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</si>
  <si>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</si>
  <si>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</si>
  <si>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</si>
  <si>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</si>
  <si>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</si>
  <si>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</si>
  <si>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</si>
  <si>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</si>
  <si>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</si>
  <si>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</si>
  <si>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</si>
  <si>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</si>
  <si>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</si>
  <si>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</si>
  <si>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</si>
  <si>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</si>
  <si>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</si>
  <si>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</si>
  <si>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</si>
  <si>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</si>
  <si>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</si>
  <si>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</si>
  <si>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</si>
  <si>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</si>
  <si>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</si>
  <si>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</si>
  <si>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</si>
  <si>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</si>
  <si>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</si>
  <si>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</si>
  <si>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</si>
  <si>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</si>
  <si>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</si>
  <si>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</si>
  <si>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</si>
  <si>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</si>
  <si>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</si>
  <si>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</si>
  <si>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</si>
  <si>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</si>
  <si>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</si>
  <si>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</si>
  <si>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</si>
  <si>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</si>
  <si>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</si>
  <si>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</si>
  <si>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</si>
  <si>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</si>
  <si>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</si>
  <si>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</si>
  <si>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</si>
  <si>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</si>
  <si>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</si>
  <si>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</si>
  <si>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</si>
  <si>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</si>
  <si>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</si>
  <si>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</si>
  <si>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</si>
  <si>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</si>
  <si>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</si>
  <si>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</si>
  <si>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</si>
  <si>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</si>
  <si>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</si>
  <si>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</si>
  <si>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</si>
  <si>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</si>
  <si>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</si>
  <si>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</si>
  <si>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</si>
  <si>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</si>
  <si>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</si>
  <si>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</si>
  <si>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</si>
  <si>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</si>
  <si>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</si>
  <si>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</si>
  <si>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</si>
  <si>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</si>
  <si>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</si>
  <si>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</si>
  <si>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</si>
  <si>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</si>
  <si>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</si>
  <si>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</si>
  <si>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</si>
  <si>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</si>
  <si>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</si>
  <si>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</si>
  <si>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</si>
  <si>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</si>
  <si>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</si>
  <si>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</si>
  <si>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</si>
  <si>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</si>
  <si>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</si>
  <si>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</si>
  <si>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</si>
  <si>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</si>
  <si>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</si>
  <si>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</si>
  <si>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</si>
  <si>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</si>
  <si>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</si>
  <si>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</si>
  <si>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</si>
  <si>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</si>
  <si>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</si>
  <si>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</si>
  <si>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</si>
  <si>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</si>
  <si>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</si>
  <si>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</si>
  <si>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</si>
  <si>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</si>
  <si>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</si>
  <si>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</si>
  <si>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</si>
  <si>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</si>
  <si>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</si>
  <si>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</si>
  <si>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</si>
  <si>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</si>
  <si>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</si>
  <si>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</si>
  <si>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</si>
  <si>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</si>
  <si>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</si>
  <si>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</si>
  <si>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</si>
  <si>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</si>
  <si>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</si>
  <si>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</si>
  <si>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</si>
  <si>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</si>
  <si>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</si>
  <si>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</si>
  <si>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</si>
  <si>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</si>
  <si>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</si>
  <si>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</si>
  <si>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</si>
  <si>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</si>
  <si>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</si>
  <si>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</si>
  <si>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</si>
  <si>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</si>
  <si>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</si>
  <si>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</si>
  <si>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</si>
  <si>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</si>
  <si>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</si>
  <si>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</si>
  <si>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</si>
  <si>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</si>
  <si>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</si>
  <si>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</si>
  <si>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</si>
  <si>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</si>
  <si>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</si>
  <si>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</si>
  <si>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</si>
  <si>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</si>
  <si>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</si>
  <si>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</si>
  <si>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</si>
  <si>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</si>
  <si>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</si>
  <si>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</si>
  <si>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</si>
  <si>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</si>
  <si>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</si>
  <si>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</si>
  <si>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</si>
  <si>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</si>
  <si>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</si>
  <si>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</si>
  <si>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</si>
  <si>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</si>
  <si>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</si>
  <si>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</si>
  <si>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</si>
  <si>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</si>
  <si>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</si>
  <si>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</si>
  <si>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</si>
  <si>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</si>
  <si>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</si>
  <si>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</si>
  <si>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</si>
  <si>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</si>
  <si>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</si>
  <si>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</si>
  <si>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</si>
  <si>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</si>
  <si>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</si>
  <si>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</si>
  <si>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</si>
  <si>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</si>
  <si>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</si>
  <si>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</si>
  <si>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</si>
  <si>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</si>
  <si>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</si>
  <si>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</si>
  <si>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</si>
  <si>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</si>
  <si>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</si>
  <si>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</si>
  <si>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</si>
  <si>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</si>
  <si>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</si>
  <si>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</si>
  <si>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</si>
  <si>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</si>
  <si>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</si>
  <si>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</si>
  <si>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</si>
  <si>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</si>
  <si>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</si>
  <si>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</si>
  <si>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</si>
  <si>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</si>
  <si>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</si>
  <si>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</si>
  <si>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</si>
  <si>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</si>
  <si>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</si>
  <si>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</si>
  <si>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</si>
  <si>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</si>
  <si>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</si>
  <si>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</si>
  <si>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</si>
  <si>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</si>
  <si>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</si>
  <si>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</si>
  <si>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</si>
  <si>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</si>
  <si>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</si>
  <si>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</si>
  <si>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</si>
  <si>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</si>
  <si>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</si>
  <si>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</si>
  <si>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</si>
  <si>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</si>
  <si>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</si>
  <si>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</si>
  <si>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</si>
  <si>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</si>
  <si>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</si>
  <si>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</si>
  <si>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</si>
  <si>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</si>
  <si>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</si>
  <si>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</si>
  <si>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</si>
  <si>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</si>
  <si>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</si>
  <si>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</si>
  <si>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</si>
  <si>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</si>
  <si>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</si>
  <si>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</si>
  <si>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</si>
  <si>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</si>
  <si>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</si>
  <si>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</si>
  <si>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</si>
  <si>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</si>
  <si>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</si>
  <si>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</si>
  <si>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</si>
  <si>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</si>
  <si>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</si>
  <si>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</si>
  <si>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</si>
  <si>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</si>
  <si>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</si>
  <si>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</si>
  <si>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</si>
  <si>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</si>
  <si>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</si>
  <si>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</si>
  <si>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</si>
  <si>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</si>
  <si>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</si>
  <si>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</si>
  <si>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</si>
  <si>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</si>
  <si>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</si>
  <si>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</si>
  <si>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</si>
  <si>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</si>
  <si>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</si>
  <si>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Y</t>
  </si>
  <si>
    <t>六福珠宝</t>
  </si>
  <si>
    <t>0590.HK</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</si>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</sst>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422</v>
      </c>
    </row>
    <row r="2" spans="1:10" ht="13.9">
      <c r="A2" s="247" t="s">
        <v>268</v>
      </c>
      <c r="B2" s="36"/>
      <c r="C2" s="36"/>
      <c r="D2" s="36"/>
      <c r="E2" s="36"/>
      <c r="F2" s="36"/>
      <c r="G2" s="22"/>
      <c r="H2" s="22"/>
      <c r="I2" s="22"/>
      <c r="J2" s="22"/>
    </row>
    <row r="4" spans="1:10">
      <c r="B4" s="45" t="str">
        <f>D5&amp;" Stock Information"</f>
        <v>0590.HK Stock Information</v>
      </c>
      <c r="C4" s="46"/>
      <c r="D4" s="5"/>
      <c r="E4" s="2"/>
      <c r="F4" s="2"/>
    </row>
    <row r="5" spans="1:10" ht="12.4">
      <c r="B5" s="4" t="s">
        <v>323</v>
      </c>
      <c r="C5" s="333" t="s">
        <v>423</v>
      </c>
      <c r="D5" s="49" t="s">
        <v>424</v>
      </c>
    </row>
    <row r="6" spans="1:10">
      <c r="B6" s="4" t="s">
        <v>95</v>
      </c>
      <c r="C6" s="50">
        <v>16.440000000000001</v>
      </c>
      <c r="D6" s="48" t="s">
        <v>404</v>
      </c>
      <c r="E6" s="48"/>
    </row>
    <row r="7" spans="1:10">
      <c r="B7" s="4" t="s">
        <v>0</v>
      </c>
      <c r="C7" s="51">
        <v>587107850</v>
      </c>
      <c r="D7" s="34"/>
      <c r="E7" s="34"/>
    </row>
    <row r="8" spans="1:10">
      <c r="B8" s="2" t="s">
        <v>314</v>
      </c>
      <c r="C8" s="279">
        <v>12</v>
      </c>
      <c r="D8" s="5"/>
      <c r="E8" s="48"/>
    </row>
    <row r="9" spans="1:10">
      <c r="B9" s="1" t="s">
        <v>269</v>
      </c>
      <c r="C9" s="33">
        <f>EOMONTH(EDATE(BS!C1,C8+2),0)</f>
        <v>45808</v>
      </c>
      <c r="D9" s="5"/>
      <c r="E9" s="5"/>
    </row>
    <row r="10" spans="1:10">
      <c r="B10" s="4" t="str">
        <f>"Capitalization ("&amp;Market_currency&amp;"):"</f>
        <v>Capitalization (HKD):</v>
      </c>
      <c r="C10" s="35">
        <f>Thesis!C6*Thesis!C7/1000000</f>
        <v>9652.053054</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404</v>
      </c>
      <c r="D16" s="32"/>
      <c r="E16" s="5"/>
    </row>
    <row r="17" spans="1:6">
      <c r="B17" s="4" t="s">
        <v>1</v>
      </c>
      <c r="C17" s="50">
        <v>1</v>
      </c>
      <c r="D17" s="32" t="str">
        <f>IF(C16=D6,D6,C16&amp;"/"&amp;D6)</f>
        <v>HKD</v>
      </c>
      <c r="E17" s="5"/>
    </row>
    <row r="18" spans="1:6">
      <c r="B18" s="2" t="s">
        <v>56</v>
      </c>
      <c r="C18" s="48" t="s">
        <v>425</v>
      </c>
      <c r="E18" s="5"/>
    </row>
    <row r="19" spans="1:6">
      <c r="B19" s="2" t="s">
        <v>277</v>
      </c>
      <c r="C19" s="249">
        <v>0.3</v>
      </c>
      <c r="D19" s="1" t="s">
        <v>419</v>
      </c>
      <c r="E19" s="339">
        <v>0.2</v>
      </c>
    </row>
    <row r="20" spans="1:6">
      <c r="B20" s="2" t="str">
        <f>"Target Buy Price ("&amp;Market_currency&amp;"):"</f>
        <v>Target Buy Price (HKD):</v>
      </c>
      <c r="C20" s="252">
        <f>C133</f>
        <v>11.804906901225705</v>
      </c>
      <c r="D20" s="1" t="s">
        <v>315</v>
      </c>
      <c r="E20" s="330">
        <v>3</v>
      </c>
    </row>
    <row r="21" spans="1:6">
      <c r="B21" s="1" t="s">
        <v>407</v>
      </c>
      <c r="C21" s="280">
        <f ca="1">Scenarios!C87</f>
        <v>0.15374754303551685</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1398534.6033278927</v>
      </c>
      <c r="D30" s="1" t="str">
        <f>Reporting_currency</f>
        <v>HKD</v>
      </c>
    </row>
    <row r="31" spans="1:6">
      <c r="B31" s="47"/>
      <c r="C31" s="76"/>
    </row>
    <row r="32" spans="1:6" ht="24.4" customHeight="1">
      <c r="B32" s="343" t="s">
        <v>234</v>
      </c>
      <c r="C32" s="343"/>
      <c r="D32" s="343"/>
      <c r="E32" s="343"/>
      <c r="F32" s="343"/>
    </row>
    <row r="33" spans="2:6">
      <c r="B33" s="47" t="s">
        <v>235</v>
      </c>
      <c r="C33" s="188">
        <f>Normalized_FCF!C9</f>
        <v>463424</v>
      </c>
      <c r="D33" s="1" t="str">
        <f>Reporting_currency</f>
        <v>HKD</v>
      </c>
    </row>
    <row r="34" spans="2:6">
      <c r="B34" s="52" t="s">
        <v>236</v>
      </c>
      <c r="C34" s="188">
        <f>Normalized_FCF!C10</f>
        <v>-463424.00000000006</v>
      </c>
      <c r="D34" s="1" t="str">
        <f>Reporting_currency</f>
        <v>HKD</v>
      </c>
    </row>
    <row r="36" spans="2:6">
      <c r="B36" s="343" t="s">
        <v>237</v>
      </c>
      <c r="C36" s="343"/>
      <c r="D36" s="343"/>
      <c r="E36" s="343"/>
      <c r="F36" s="343"/>
    </row>
    <row r="37" spans="2:6">
      <c r="B37" s="47" t="s">
        <v>238</v>
      </c>
      <c r="C37" s="188">
        <f>Normalized_FCF!C11</f>
        <v>0</v>
      </c>
      <c r="D37" s="1" t="str">
        <f>Reporting_currency</f>
        <v>HKD</v>
      </c>
    </row>
    <row r="39" spans="2:6">
      <c r="B39" s="343" t="s">
        <v>241</v>
      </c>
      <c r="C39" s="343"/>
      <c r="D39" s="343"/>
      <c r="E39" s="343"/>
      <c r="F39" s="343"/>
    </row>
    <row r="40" spans="2:6">
      <c r="B40" s="47" t="s">
        <v>348</v>
      </c>
      <c r="C40" s="322">
        <f>Normalized_FCF!C48</f>
        <v>13746.938888322537</v>
      </c>
      <c r="D40" s="1" t="str">
        <f>Reporting_currency</f>
        <v>HKD</v>
      </c>
      <c r="E40" s="321"/>
      <c r="F40" s="321"/>
    </row>
    <row r="41" spans="2:6">
      <c r="B41" s="47" t="s">
        <v>349</v>
      </c>
      <c r="C41" s="322">
        <f>Normalized_FCF!C47</f>
        <v>-59596</v>
      </c>
      <c r="D41" s="1" t="str">
        <f>Reporting_currency</f>
        <v>HKD</v>
      </c>
      <c r="E41" s="321"/>
      <c r="F41" s="321"/>
    </row>
    <row r="42" spans="2:6">
      <c r="B42" s="47" t="s">
        <v>239</v>
      </c>
      <c r="C42" s="188">
        <f>Normalized_FCF!C12</f>
        <v>-45849.061111677467</v>
      </c>
      <c r="D42" s="1" t="str">
        <f>Reporting_currency</f>
        <v>HKD</v>
      </c>
    </row>
    <row r="44" spans="2:6">
      <c r="B44" s="1" t="s">
        <v>247</v>
      </c>
    </row>
    <row r="45" spans="2:6">
      <c r="B45" s="47" t="s">
        <v>266</v>
      </c>
      <c r="C45" s="188">
        <f>Normalized_FCF!C15</f>
        <v>0</v>
      </c>
      <c r="D45" s="1" t="str">
        <f>Reporting_currency</f>
        <v>HKD</v>
      </c>
    </row>
    <row r="47" spans="2:6">
      <c r="B47" s="343" t="s">
        <v>242</v>
      </c>
      <c r="C47" s="343"/>
      <c r="D47" s="343"/>
      <c r="E47" s="343"/>
      <c r="F47" s="343"/>
    </row>
    <row r="48" spans="2:6">
      <c r="B48" s="47" t="s">
        <v>240</v>
      </c>
      <c r="C48" s="188">
        <f>Normalized_FCF!C14</f>
        <v>-338171.38555405382</v>
      </c>
      <c r="D48" s="1" t="str">
        <f>Reporting_currency</f>
        <v>HKD</v>
      </c>
    </row>
    <row r="50" spans="1:6">
      <c r="B50" s="343" t="s">
        <v>346</v>
      </c>
      <c r="C50" s="344"/>
      <c r="D50" s="344"/>
      <c r="E50" s="344"/>
      <c r="F50" s="344"/>
    </row>
    <row r="51" spans="1:6">
      <c r="B51" s="47" t="s">
        <v>243</v>
      </c>
      <c r="C51" s="1">
        <f>Normalized_FCF!C17</f>
        <v>0</v>
      </c>
      <c r="D51" s="1" t="str">
        <f>Reporting_currency</f>
        <v>HKD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1291433.9388883226</v>
      </c>
      <c r="D56" s="1" t="str">
        <f>Reporting_currency</f>
        <v>HKD</v>
      </c>
    </row>
    <row r="57" spans="1:6">
      <c r="B57" s="47" t="s">
        <v>249</v>
      </c>
      <c r="C57" s="188">
        <f>Normalized_FCF!C19</f>
        <v>1014514.1566621615</v>
      </c>
      <c r="D57" s="1" t="str">
        <f>Reporting_currency</f>
        <v>HKD</v>
      </c>
    </row>
    <row r="58" spans="1:6">
      <c r="B58" s="254" t="s">
        <v>398</v>
      </c>
      <c r="C58" s="92">
        <f>Normalized_FCF!C125</f>
        <v>0.10510863864778767</v>
      </c>
    </row>
    <row r="59" spans="1:6">
      <c r="B59" s="254" t="s">
        <v>316</v>
      </c>
      <c r="C59" s="92">
        <f>Normalized_FCF!C93</f>
        <v>8.2725060827250604E-2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426</v>
      </c>
    </row>
    <row r="69" spans="1:6">
      <c r="B69" s="1" t="s">
        <v>289</v>
      </c>
      <c r="C69" s="263">
        <f>IF(D69="Y",1%,0)</f>
        <v>0</v>
      </c>
      <c r="D69" s="286" t="s">
        <v>426</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21.599825242120371</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2034922</v>
      </c>
      <c r="D86" s="1" t="str">
        <f>Reporting_currency</f>
        <v>HKD</v>
      </c>
    </row>
    <row r="87" spans="2:6">
      <c r="B87" s="47" t="s">
        <v>285</v>
      </c>
      <c r="C87" s="248">
        <f>C86*scaling_factor*Exchange_Rate/Common_Shares</f>
        <v>3.4660105464438944</v>
      </c>
      <c r="D87" s="1" t="str">
        <f>Market_currency</f>
        <v>HKD</v>
      </c>
    </row>
    <row r="88" spans="2:6">
      <c r="B88" s="336" t="s">
        <v>413</v>
      </c>
      <c r="C88" s="337">
        <f>BS!G30/BS!G27</f>
        <v>0.31018327415220487</v>
      </c>
    </row>
    <row r="89" spans="2:6">
      <c r="B89" s="336" t="s">
        <v>414</v>
      </c>
      <c r="C89" s="337">
        <f>BS!G31/BS!G27</f>
        <v>0.15818859882129041</v>
      </c>
    </row>
    <row r="90" spans="2:6">
      <c r="B90" s="336" t="s">
        <v>416</v>
      </c>
      <c r="C90" s="338">
        <f>BS!C50</f>
        <v>1.4550387206421544</v>
      </c>
    </row>
    <row r="92" spans="2:6">
      <c r="B92" s="1" t="s">
        <v>255</v>
      </c>
    </row>
    <row r="93" spans="2:6">
      <c r="B93" s="47" t="s">
        <v>265</v>
      </c>
      <c r="C93" s="188">
        <f>BS!C66</f>
        <v>1998219</v>
      </c>
      <c r="D93" s="1" t="str">
        <f>Reporting_currency</f>
        <v>HKD</v>
      </c>
    </row>
    <row r="94" spans="2:6">
      <c r="B94" s="47" t="s">
        <v>267</v>
      </c>
      <c r="C94" s="188">
        <f>Valuation_Model!C8</f>
        <v>1050246.6606106577</v>
      </c>
      <c r="D94" s="1" t="str">
        <f>Reporting_currency</f>
        <v>HKD</v>
      </c>
    </row>
    <row r="95" spans="2:6">
      <c r="B95" s="47" t="s">
        <v>286</v>
      </c>
      <c r="C95" s="248">
        <f>C94*scaling_factor*Exchange_Rate/Common_Shares</f>
        <v>1.7888479273623368</v>
      </c>
      <c r="D95" s="1" t="str">
        <f>Market_currency</f>
        <v>HKD</v>
      </c>
    </row>
    <row r="97" spans="1:6">
      <c r="B97" s="1" t="s">
        <v>257</v>
      </c>
    </row>
    <row r="98" spans="1:6">
      <c r="B98" s="47" t="s">
        <v>258</v>
      </c>
      <c r="C98" s="188">
        <f>Valuation_Model!C9</f>
        <v>92572.6</v>
      </c>
      <c r="D98" s="1" t="str">
        <f>Reporting_currency</f>
        <v>HKD</v>
      </c>
    </row>
    <row r="99" spans="1:6">
      <c r="B99" s="47" t="s">
        <v>287</v>
      </c>
      <c r="C99" s="248">
        <f>C98*scaling_factor*Exchange_Rate/Common_Shares</f>
        <v>0.15767562978420405</v>
      </c>
      <c r="D99" s="1" t="str">
        <f>Market_currency</f>
        <v>HKD</v>
      </c>
    </row>
    <row r="101" spans="1:6" ht="24.4" customHeight="1">
      <c r="B101" s="342" t="s">
        <v>374</v>
      </c>
      <c r="C101" s="342"/>
      <c r="D101" s="342"/>
      <c r="E101" s="342"/>
      <c r="F101" s="342"/>
    </row>
    <row r="103" spans="1:6">
      <c r="B103" s="47" t="s">
        <v>283</v>
      </c>
      <c r="C103" s="248">
        <f>Valuation_Model!C12</f>
        <v>20.080338252823015</v>
      </c>
      <c r="D103" s="1" t="str">
        <f>Market_currency</f>
        <v>HKD</v>
      </c>
    </row>
    <row r="104" spans="1:6">
      <c r="B104" s="336" t="s">
        <v>415</v>
      </c>
      <c r="C104" s="248">
        <f>BS!D47</f>
        <v>5.8696003638854428</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24.7 HKD</v>
      </c>
      <c r="F111" s="259">
        <f>Valuation_Model!F74</f>
        <v>0.02</v>
      </c>
    </row>
    <row r="112" spans="1:6">
      <c r="B112" s="242" t="str">
        <f>Valuation_Model!B75</f>
        <v>Optimistic</v>
      </c>
      <c r="C112" s="243">
        <f>Valuation_Model!C75</f>
        <v>0.05</v>
      </c>
      <c r="D112" s="244">
        <f>Valuation_Model!D75</f>
        <v>5</v>
      </c>
      <c r="E112" s="245" t="str">
        <f>ROUND(Valuation_Model!E75,2)&amp;" "&amp;Market_currency</f>
        <v>21.86 HKD</v>
      </c>
      <c r="F112" s="246">
        <f>Valuation_Model!F75</f>
        <v>0.192</v>
      </c>
    </row>
    <row r="113" spans="1:6">
      <c r="B113" s="242" t="str">
        <f>Valuation_Model!B76</f>
        <v>Base</v>
      </c>
      <c r="C113" s="243">
        <f>Valuation_Model!C76</f>
        <v>0.02</v>
      </c>
      <c r="D113" s="244">
        <f>Valuation_Model!D76</f>
        <v>5</v>
      </c>
      <c r="E113" s="245" t="str">
        <f>ROUND(Valuation_Model!E76,2)&amp;" "&amp;Market_currency</f>
        <v>20.78 HKD</v>
      </c>
      <c r="F113" s="246">
        <f>Valuation_Model!F76</f>
        <v>0.57599999999999996</v>
      </c>
    </row>
    <row r="114" spans="1:6">
      <c r="B114" s="242" t="str">
        <f>Valuation_Model!B77</f>
        <v>Pessimistic</v>
      </c>
      <c r="C114" s="243">
        <f>Valuation_Model!C77</f>
        <v>-0.05</v>
      </c>
      <c r="D114" s="244">
        <f>Valuation_Model!D77</f>
        <v>5</v>
      </c>
      <c r="E114" s="245" t="str">
        <f>ROUND(Valuation_Model!E77,2)&amp;" "&amp;Market_currency</f>
        <v>18.42 HKD</v>
      </c>
      <c r="F114" s="246">
        <f>Valuation_Model!F77</f>
        <v>0.192</v>
      </c>
    </row>
    <row r="115" spans="1:6">
      <c r="B115" s="242" t="str">
        <f>Valuation_Model!B78</f>
        <v>Devil's advocate</v>
      </c>
      <c r="C115" s="243">
        <f>Valuation_Model!C78</f>
        <v>-0.08</v>
      </c>
      <c r="D115" s="244">
        <f>Valuation_Model!D78</f>
        <v>10</v>
      </c>
      <c r="E115" s="245" t="str">
        <f>ROUND(Valuation_Model!E78,2)&amp;" "&amp;Market_currency</f>
        <v>15.62 HKD</v>
      </c>
      <c r="F115" s="246">
        <f>Valuation_Model!F78</f>
        <v>0.02</v>
      </c>
    </row>
    <row r="117" spans="1:6">
      <c r="B117" s="235" t="s">
        <v>259</v>
      </c>
      <c r="C117" s="241">
        <f>Scenarios!C60</f>
        <v>20.508980461992877</v>
      </c>
      <c r="D117" s="236" t="str">
        <f>Market_currency</f>
        <v>HKD</v>
      </c>
    </row>
    <row r="119" spans="1:6" ht="24.4" customHeight="1">
      <c r="B119" s="346" t="s">
        <v>378</v>
      </c>
      <c r="C119" s="346"/>
      <c r="D119" s="346"/>
      <c r="E119" s="346"/>
      <c r="F119" s="346"/>
    </row>
    <row r="121" spans="1:6" ht="13.9">
      <c r="A121" s="247" t="s">
        <v>411</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1.36</v>
      </c>
      <c r="D128" s="236" t="str">
        <f>Market_currency</f>
        <v>HKD</v>
      </c>
    </row>
    <row r="130" spans="1:6">
      <c r="B130" s="234" t="s">
        <v>408</v>
      </c>
      <c r="C130" s="337">
        <f>C19</f>
        <v>0.3</v>
      </c>
      <c r="D130" s="1" t="s">
        <v>418</v>
      </c>
    </row>
    <row r="131" spans="1:6">
      <c r="B131" s="236" t="str">
        <f>"PV("&amp;C126&amp;" yrs of Dividends)"</f>
        <v>PV(3 yrs of Dividends)</v>
      </c>
      <c r="C131" s="240">
        <f>Scenarios!C81</f>
        <v>2.4699135184342293</v>
      </c>
    </row>
    <row r="132" spans="1:6">
      <c r="B132" s="236" t="str">
        <f>"+ PV(Equity Value realized at year "&amp;C126&amp;")"</f>
        <v>+ PV(Equity Value realized at year 3)</v>
      </c>
      <c r="C132" s="240">
        <f>Scenarios!C82</f>
        <v>9.3349933827914757</v>
      </c>
    </row>
    <row r="133" spans="1:6">
      <c r="B133" s="80" t="s">
        <v>261</v>
      </c>
      <c r="C133" s="239">
        <f>Scenarios!C83</f>
        <v>11.804906901225705</v>
      </c>
      <c r="D133" s="47" t="str">
        <f>Reporting_currency</f>
        <v>HKD</v>
      </c>
    </row>
    <row r="134" spans="1:6">
      <c r="B134" s="238" t="s">
        <v>263</v>
      </c>
      <c r="C134" s="92">
        <f>Scenarios!F83</f>
        <v>0.42440303538723001</v>
      </c>
    </row>
    <row r="136" spans="1:6">
      <c r="B136" s="234" t="s">
        <v>409</v>
      </c>
      <c r="C136" s="92">
        <f>Scenarios!C96</f>
        <v>0.08</v>
      </c>
      <c r="D136" s="1" t="s">
        <v>417</v>
      </c>
    </row>
    <row r="137" spans="1:6">
      <c r="B137" s="236" t="str">
        <f>"PV("&amp;C126&amp;" yrs of Dividends)"</f>
        <v>PV(3 yrs of Dividends)</v>
      </c>
      <c r="C137" s="240">
        <f>Scenarios!C97</f>
        <v>3.5048519026571174</v>
      </c>
    </row>
    <row r="138" spans="1:6">
      <c r="B138" s="236" t="str">
        <f>"+ PV(Equity Value realized at year "&amp;C126&amp;")"</f>
        <v>+ PV(Equity Value realized at year 3)</v>
      </c>
      <c r="C138" s="240">
        <f>Scenarios!C98</f>
        <v>16.280689921182677</v>
      </c>
    </row>
    <row r="139" spans="1:6">
      <c r="B139" s="80" t="s">
        <v>410</v>
      </c>
      <c r="C139" s="239">
        <f>Scenarios!C99</f>
        <v>19.785541823839793</v>
      </c>
      <c r="D139" s="101" t="str">
        <f>Reporting_currency</f>
        <v>HKD</v>
      </c>
    </row>
    <row r="140" spans="1:6">
      <c r="B140" s="238" t="s">
        <v>263</v>
      </c>
      <c r="C140" s="92">
        <f>Scenarios!F99</f>
        <v>3.5274237034539913E-2</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427</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81">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429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8.2725060827250604E-2</v>
      </c>
      <c r="E93" s="302"/>
      <c r="G93" s="23">
        <f t="shared" ref="G93:Q93" si="39">IF(G$4="","",G90/Market_Price)</f>
        <v>8.2725060827250604E-2</v>
      </c>
      <c r="H93" s="23">
        <f t="shared" si="39"/>
        <v>6.6909975669099758E-2</v>
      </c>
      <c r="I93" s="23">
        <f t="shared" si="39"/>
        <v>6.6909975669099758E-2</v>
      </c>
      <c r="J93" s="23">
        <f t="shared" si="39"/>
        <v>6.0827250608272501E-2</v>
      </c>
      <c r="K93" s="23">
        <f t="shared" si="39"/>
        <v>6.0827250608272501E-2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0.10510863864778767</v>
      </c>
      <c r="D125" s="27"/>
      <c r="E125" s="299"/>
      <c r="F125" s="27"/>
      <c r="G125" s="77">
        <f t="shared" ref="G125" si="50">IF(G$4="","",G124/Market_Price)</f>
        <v>0.13379888523852723</v>
      </c>
      <c r="H125" s="77">
        <f t="shared" ref="H125" si="51">IF(H$4="","",H124/Market_Price)</f>
        <v>0.13909380505648941</v>
      </c>
      <c r="I125" s="77">
        <f t="shared" ref="I125" si="52">IF(I$4="","",I124/Market_Price)</f>
        <v>0.11665380837942886</v>
      </c>
      <c r="J125" s="77">
        <f t="shared" ref="J125" si="53">IF(J$4="","",J124/Market_Price)</f>
        <v>0.11219494467166692</v>
      </c>
      <c r="K125" s="77">
        <f t="shared" ref="K125" si="54">IF(K$4="","",K124/Market_Price)</f>
        <v>9.7234118690523938E-2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0.18310145935921832</v>
      </c>
      <c r="H126" s="23">
        <f>IF(H$4="","",(Data!D47*$C$3)/(Market_Price*Common_Shares))</f>
        <v>0.13310712164678493</v>
      </c>
      <c r="I126" s="23">
        <f>IF(I$4="","",(Data!E47*$C$3)/(Market_Price*Common_Shares))</f>
        <v>0.1442557342163569</v>
      </c>
      <c r="J126" s="23">
        <f>IF(J$4="","",(Data!F47*$C$3)/(Market_Price*Common_Shares))</f>
        <v>0.1054008918422176</v>
      </c>
      <c r="K126" s="23">
        <f>IF(K$4="","",(Data!G47*$C$3)/(Market_Price*Common_Shares))</f>
        <v>8.9754479710509052E-2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12681426.958277019</v>
      </c>
      <c r="D6" t="str">
        <f>Reporting_currency</f>
        <v>HKD</v>
      </c>
      <c r="E6" s="348" t="s">
        <v>250</v>
      </c>
      <c r="F6" s="348"/>
      <c r="H6" s="121"/>
    </row>
    <row r="7" spans="2:8">
      <c r="B7" s="149" t="s">
        <v>225</v>
      </c>
      <c r="C7" s="226">
        <f>BS!G31</f>
        <v>2034922</v>
      </c>
      <c r="D7" t="str">
        <f>Reporting_currency</f>
        <v>HKD</v>
      </c>
      <c r="E7" s="348"/>
      <c r="F7" s="348"/>
      <c r="H7" s="121"/>
    </row>
    <row r="8" spans="2:8">
      <c r="B8" s="149" t="s">
        <v>226</v>
      </c>
      <c r="C8" s="201">
        <f>BS!D66</f>
        <v>1050246.6606106577</v>
      </c>
      <c r="D8" t="str">
        <f>Reporting_currency</f>
        <v>HKD</v>
      </c>
      <c r="E8" s="348"/>
      <c r="F8" s="348"/>
      <c r="H8" s="121"/>
    </row>
    <row r="9" spans="2:8">
      <c r="B9" s="227" t="s">
        <v>191</v>
      </c>
      <c r="C9" s="229">
        <f>BS!H42</f>
        <v>92572.6</v>
      </c>
      <c r="D9" t="str">
        <f>Reporting_currency</f>
        <v>HKD</v>
      </c>
      <c r="E9" s="348"/>
      <c r="F9" s="348"/>
      <c r="H9" s="121"/>
    </row>
    <row r="10" spans="2:8" ht="13.15">
      <c r="B10" s="150" t="s">
        <v>228</v>
      </c>
      <c r="C10" s="232">
        <f>C6-C7+C8+C9</f>
        <v>11789324.218887676</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-16.440000000000001</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0"/>
      <c r="H7" s="276">
        <v>4</v>
      </c>
      <c r="I7" s="264" t="str">
        <f t="shared" si="0"/>
        <v/>
      </c>
    </row>
    <row r="8" spans="2:9">
      <c r="B8" s="100" t="s">
        <v>66</v>
      </c>
      <c r="C8" s="115">
        <f>Normalized_FCF!G19</f>
        <v>1291433.9388883226</v>
      </c>
      <c r="D8" t="str">
        <f>Reporting_currency</f>
        <v>HKD</v>
      </c>
      <c r="E8" s="350"/>
      <c r="F8" s="350"/>
      <c r="H8" s="276">
        <v>5</v>
      </c>
      <c r="I8" s="264" t="str">
        <f t="shared" si="0"/>
        <v/>
      </c>
    </row>
    <row r="9" spans="2:9">
      <c r="B9" s="100" t="s">
        <v>57</v>
      </c>
      <c r="C9" s="201">
        <f>Normalized_FCF!C19</f>
        <v>1014514.1566621615</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0.20035451325595277</v>
      </c>
      <c r="D12" s="159"/>
      <c r="E12" s="350"/>
      <c r="F12" s="350"/>
      <c r="H12" s="276">
        <v>9</v>
      </c>
      <c r="I12" s="264" t="str">
        <f t="shared" si="0"/>
        <v/>
      </c>
    </row>
    <row r="13" spans="2:9">
      <c r="B13" s="149" t="s">
        <v>153</v>
      </c>
      <c r="C13" s="159">
        <f ca="1">(Normalized_FCF!G8/OFFSET(Normalized_FCF!G8, 0, $C$4))^(1/$C$4) - 1</f>
        <v>0.26016796976901468</v>
      </c>
      <c r="E13" s="350"/>
      <c r="F13" s="350"/>
      <c r="H13" s="276">
        <v>10</v>
      </c>
      <c r="I13" s="264" t="str">
        <f t="shared" si="0"/>
        <v/>
      </c>
    </row>
    <row r="14" spans="2:9">
      <c r="B14" s="100" t="s">
        <v>66</v>
      </c>
      <c r="C14" s="159">
        <f ca="1">(Normalized_FCF!G19/OFFSET(Normalized_FCF!G19, 0, $C$4))^(1/$C$4) - 1</f>
        <v>6.0457013634429568E-2</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16.440000000000001</v>
      </c>
      <c r="D21" t="str">
        <f>Market_currency</f>
        <v>HKD</v>
      </c>
      <c r="E21" s="351"/>
      <c r="F21" s="351"/>
    </row>
    <row r="22" spans="2:6">
      <c r="B22" s="100" t="s">
        <v>281</v>
      </c>
      <c r="C22" s="161">
        <f>Valuation_Model!C12</f>
        <v>20.080338252823015</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0.02</v>
      </c>
      <c r="D26" s="165"/>
      <c r="E26" s="349"/>
      <c r="F26" s="349"/>
    </row>
    <row r="27" spans="2:6">
      <c r="B27" s="100" t="s">
        <v>114</v>
      </c>
      <c r="C27" s="161">
        <f>Valuation_Model!E76</f>
        <v>20.777261684426229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-0.05</v>
      </c>
      <c r="D32" s="165"/>
      <c r="E32" s="349"/>
      <c r="F32" s="349"/>
    </row>
    <row r="33" spans="2:6">
      <c r="B33" s="100" t="s">
        <v>114</v>
      </c>
      <c r="C33" s="161">
        <f>Valuation_Model!E77</f>
        <v>18.42358674753498</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0.05</v>
      </c>
      <c r="D38" s="165"/>
      <c r="E38" s="349"/>
      <c r="F38" s="349"/>
    </row>
    <row r="39" spans="2:6">
      <c r="B39" s="100" t="s">
        <v>114</v>
      </c>
      <c r="C39" s="161">
        <f>Valuation_Model!E75</f>
        <v>21.862068001465992</v>
      </c>
      <c r="D39" t="str">
        <f>Market_currency</f>
        <v>HKD</v>
      </c>
      <c r="E39" s="349"/>
      <c r="F39" s="349"/>
    </row>
    <row r="40" spans="2:6">
      <c r="B40" s="100" t="s">
        <v>148</v>
      </c>
      <c r="C40" s="168">
        <f>1-C28-C34</f>
        <v>0.2</v>
      </c>
      <c r="D40" s="166"/>
      <c r="E40" s="349"/>
      <c r="F40" s="349"/>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-0.08</v>
      </c>
      <c r="D50" s="165"/>
      <c r="E50" s="349"/>
      <c r="F50" s="349"/>
    </row>
    <row r="51" spans="2:6">
      <c r="B51" s="100" t="s">
        <v>114</v>
      </c>
      <c r="C51" s="161">
        <f>Valuation_Model!E78</f>
        <v>15.621773465843134</v>
      </c>
      <c r="D51" t="str">
        <f>Market_currency</f>
        <v>HKD</v>
      </c>
      <c r="E51" s="349"/>
      <c r="F51" s="349"/>
    </row>
    <row r="52" spans="2:6">
      <c r="B52" s="100" t="s">
        <v>148</v>
      </c>
      <c r="C52" s="166">
        <v>0.02</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24.69982753191616</v>
      </c>
      <c r="D57" t="str">
        <f>Market_currency</f>
        <v>HKD</v>
      </c>
      <c r="E57" s="349"/>
      <c r="F57" s="349"/>
    </row>
    <row r="58" spans="2:6">
      <c r="B58" s="100" t="s">
        <v>148</v>
      </c>
      <c r="C58" s="166">
        <v>0.02</v>
      </c>
      <c r="D58" s="166"/>
      <c r="E58" s="349"/>
      <c r="F58" s="349"/>
    </row>
    <row r="60" spans="2:6" ht="13.15">
      <c r="B60" s="100" t="s">
        <v>121</v>
      </c>
      <c r="C60" s="155">
        <f>C51*C52+C57*C58+C42*(1-C52-C58)</f>
        <v>20.508980461992877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Thesis!C127</f>
        <v>0.3</v>
      </c>
    </row>
    <row r="81" spans="2:8">
      <c r="B81" s="100" t="s">
        <v>122</v>
      </c>
      <c r="C81" s="117">
        <f>PV(C80, C76, -C77, 0)</f>
        <v>2.4699135184342293</v>
      </c>
      <c r="D81" s="117"/>
      <c r="E81" s="100"/>
      <c r="F81" s="100"/>
    </row>
    <row r="82" spans="2:8">
      <c r="B82" s="100" t="s">
        <v>123</v>
      </c>
      <c r="C82" s="117">
        <f>C60/(1+C80)^C76</f>
        <v>9.3349933827914757</v>
      </c>
      <c r="D82" s="117"/>
    </row>
    <row r="83" spans="2:8" ht="13.15">
      <c r="B83" s="111" t="s">
        <v>102</v>
      </c>
      <c r="C83" s="112">
        <f>C81+C82</f>
        <v>11.804906901225705</v>
      </c>
      <c r="D83" t="str">
        <f>Market_currency</f>
        <v>HKD</v>
      </c>
      <c r="E83" s="147" t="s">
        <v>127</v>
      </c>
      <c r="F83" s="329">
        <f>(1-C83/C60)</f>
        <v>0.42440303538723001</v>
      </c>
    </row>
    <row r="84" spans="2:8">
      <c r="E84" s="121"/>
    </row>
    <row r="85" spans="2:8" ht="13.15">
      <c r="B85" s="109" t="s">
        <v>309</v>
      </c>
    </row>
    <row r="86" spans="2:8">
      <c r="B86" s="149" t="s">
        <v>307</v>
      </c>
      <c r="C86" s="266">
        <f>Market_Price</f>
        <v>16.440000000000001</v>
      </c>
      <c r="D86" t="str">
        <f>Market_currency</f>
        <v>HKD</v>
      </c>
    </row>
    <row r="87" spans="2:8" ht="13.15">
      <c r="B87" s="100" t="s">
        <v>305</v>
      </c>
      <c r="C87" s="265">
        <f ca="1">IRR(OFFSET($I$3, 0, 0, $C$76 + 1, 1))</f>
        <v>0.15374754303551685</v>
      </c>
    </row>
    <row r="88" spans="2:8">
      <c r="B88" s="100"/>
    </row>
    <row r="89" spans="2:8" ht="13.15">
      <c r="B89" s="109" t="s">
        <v>420</v>
      </c>
    </row>
    <row r="90" spans="2:8">
      <c r="B90" s="149" t="s">
        <v>421</v>
      </c>
      <c r="C90" s="168">
        <f>Thesis!E19</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9">
        <f>(1-C93/C60)</f>
        <v>0.28161042453275964</v>
      </c>
    </row>
    <row r="95" spans="2:8" ht="13.15">
      <c r="B95" s="109" t="s">
        <v>405</v>
      </c>
      <c r="G95" s="2"/>
      <c r="H95" s="316"/>
    </row>
    <row r="96" spans="2:8">
      <c r="B96" s="149" t="s">
        <v>412</v>
      </c>
      <c r="C96" s="135">
        <f>Thesis!C67</f>
        <v>0.08</v>
      </c>
      <c r="G96" s="2"/>
      <c r="H96" s="316"/>
    </row>
    <row r="97" spans="2:8">
      <c r="B97" s="100" t="s">
        <v>122</v>
      </c>
      <c r="C97" s="117">
        <f>PV(C96, C76, -C77, 0)</f>
        <v>3.5048519026571174</v>
      </c>
      <c r="D97" s="117"/>
      <c r="G97" s="2"/>
      <c r="H97" s="316"/>
    </row>
    <row r="98" spans="2:8">
      <c r="B98" s="100" t="s">
        <v>123</v>
      </c>
      <c r="C98" s="117">
        <f>C60/(1+C96)^C76</f>
        <v>16.280689921182677</v>
      </c>
      <c r="D98" s="117"/>
      <c r="G98" s="2"/>
      <c r="H98" s="316"/>
    </row>
    <row r="99" spans="2:8" ht="13.15">
      <c r="B99" s="111" t="s">
        <v>406</v>
      </c>
      <c r="C99" s="112">
        <f>C97+C98</f>
        <v>19.785541823839793</v>
      </c>
      <c r="D99" t="s">
        <v>404</v>
      </c>
      <c r="E99" s="147" t="s">
        <v>127</v>
      </c>
      <c r="F99" s="329">
        <f>(1-C99/C60)</f>
        <v>3.5274237034539913E-2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2025-05-02T06:48:48Z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