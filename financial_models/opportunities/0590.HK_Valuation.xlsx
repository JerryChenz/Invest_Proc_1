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0858D4-F13F-4CA2-8398-398E717D61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120" i="2"/>
  <c r="N117" i="2"/>
  <c r="N118" i="2"/>
  <c r="Q120" i="2"/>
  <c r="Q117" i="2"/>
  <c r="Q118" i="2"/>
  <c r="P120" i="2"/>
  <c r="P117" i="2"/>
  <c r="P118" i="2"/>
  <c r="O120" i="2"/>
  <c r="O118" i="2"/>
  <c r="O117" i="2"/>
  <c r="L120" i="2"/>
  <c r="L117" i="2"/>
  <c r="L118"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<sst xmlns="http://schemas.openxmlformats.org/spreadsheetml/2006/main" count="685" uniqueCount="465">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</sst>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17.940000000000001</v>
      </c>
      <c r="D12" s="50"/>
      <c r="E12" s="48"/>
    </row>
    <row r="13" spans="1:10">
      <c r="B13" s="1" t="s">
        <v>416</v>
      </c>
      <c r="C13" s="48" t="s">
        <v>397</v>
      </c>
      <c r="D13" s="48"/>
      <c r="E13" s="5"/>
    </row>
    <row r="14" spans="1:10">
      <c r="B14" s="4" t="s">
        <v>420</v>
      </c>
      <c r="C14" s="35">
        <f>Thesis!C12*Common_Shares/1000000</f>
        <v>10532.714829</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21.968758226348868</v>
      </c>
      <c r="D26" s="1" t="s">
        <v>400</v>
      </c>
      <c r="E26" s="301">
        <f ca="1">Scenarios!C87</f>
        <v>0.14103309440068279</v>
      </c>
    </row>
    <row r="27" spans="2:6">
      <c r="D27" s="5"/>
      <c r="E27" s="5"/>
    </row>
    <row r="28" spans="2:6">
      <c r="B28" s="45" t="s">
        <v>433</v>
      </c>
      <c r="C28" s="309" t="str">
        <f>C145&amp;" ("&amp;Market_currency&amp;")"</f>
        <v>0590.HK (HKD)</v>
      </c>
      <c r="D28" s="309" t="str">
        <f>IF(D11="","",D145&amp;" ("&amp;D13&amp;")")</f>
        <v/>
      </c>
      <c r="E28" s="305" t="s">
        <v>429</v>
      </c>
      <c r="F28" s="303">
        <v>3</v>
      </c>
    </row>
    <row r="29" spans="2:6">
      <c r="B29" s="1" t="s">
        <v>425</v>
      </c>
      <c r="C29" s="310">
        <f>C149</f>
        <v>10.846357673848024</v>
      </c>
      <c r="D29" s="310" t="str">
        <f>D149</f>
        <v/>
      </c>
      <c r="E29" s="306" t="s">
        <v>424</v>
      </c>
      <c r="F29" s="302">
        <v>0.3674</v>
      </c>
    </row>
    <row r="30" spans="2:6">
      <c r="B30" s="1" t="s">
        <v>426</v>
      </c>
      <c r="C30" s="311">
        <f>C157</f>
        <v>14.964572530067358</v>
      </c>
      <c r="D30" s="311" t="str">
        <f>D157</f>
        <v/>
      </c>
      <c r="E30" s="307" t="s">
        <v>437</v>
      </c>
      <c r="F30" s="312">
        <v>0.21740000000000001</v>
      </c>
    </row>
    <row r="31" spans="2:6">
      <c r="B31" s="1" t="s">
        <v>427</v>
      </c>
      <c r="C31" s="311">
        <f>C165</f>
        <v>21.220699139526428</v>
      </c>
      <c r="D31" s="311" t="str">
        <f>D165</f>
        <v/>
      </c>
      <c r="E31" s="307" t="s">
        <v>436</v>
      </c>
      <c r="F31" s="312">
        <v>7.4999999999999997E-2</v>
      </c>
    </row>
    <row r="32" spans="2:6">
      <c r="B32" s="1" t="s">
        <v>428</v>
      </c>
      <c r="C32" s="311">
        <f>C173</f>
        <v>19.027476031641555</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1398534.6033278927</v>
      </c>
      <c r="D41" s="1" t="str">
        <f>Reporting_currency</f>
        <v>HKD</v>
      </c>
    </row>
    <row r="42" spans="1:6">
      <c r="B42" s="47"/>
      <c r="C42" s="76"/>
    </row>
    <row r="43" spans="1:6" ht="24.5" customHeight="1">
      <c r="B43" s="360" t="s">
        <v>234</v>
      </c>
      <c r="C43" s="360"/>
      <c r="D43" s="360"/>
      <c r="E43" s="360"/>
      <c r="F43" s="360"/>
    </row>
    <row r="44" spans="1:6">
      <c r="B44" s="47" t="s">
        <v>235</v>
      </c>
      <c r="C44" s="355">
        <f>Normalized_FCF!C9</f>
        <v>463424</v>
      </c>
      <c r="D44" s="1" t="str">
        <f>Reporting_currency</f>
        <v>HKD</v>
      </c>
    </row>
    <row r="45" spans="1:6">
      <c r="B45" s="52" t="s">
        <v>236</v>
      </c>
      <c r="C45" s="355">
        <f>Normalized_FCF!C10</f>
        <v>-463424.00000000006</v>
      </c>
      <c r="D45" s="1" t="str">
        <f>Reporting_currency</f>
        <v>HKD</v>
      </c>
    </row>
    <row r="47" spans="1:6">
      <c r="B47" s="360" t="s">
        <v>237</v>
      </c>
      <c r="C47" s="360"/>
      <c r="D47" s="360"/>
      <c r="E47" s="360"/>
      <c r="F47" s="360"/>
    </row>
    <row r="48" spans="1:6">
      <c r="B48" s="47" t="s">
        <v>238</v>
      </c>
      <c r="C48" s="355">
        <f>Normalized_FCF!C11</f>
        <v>0</v>
      </c>
      <c r="D48" s="1" t="str">
        <f>Reporting_currency</f>
        <v>HKD</v>
      </c>
    </row>
    <row r="50" spans="2:6">
      <c r="B50" s="360" t="s">
        <v>241</v>
      </c>
      <c r="C50" s="360"/>
      <c r="D50" s="360"/>
      <c r="E50" s="360"/>
      <c r="F50" s="360"/>
    </row>
    <row r="51" spans="2:6">
      <c r="B51" s="47" t="s">
        <v>341</v>
      </c>
      <c r="C51" s="356">
        <f>Normalized_FCF!C48</f>
        <v>13746.938888322537</v>
      </c>
      <c r="D51" s="1" t="str">
        <f>Reporting_currency</f>
        <v>HKD</v>
      </c>
      <c r="E51" s="286"/>
      <c r="F51" s="286"/>
    </row>
    <row r="52" spans="2:6">
      <c r="B52" s="47" t="s">
        <v>342</v>
      </c>
      <c r="C52" s="356">
        <f>Normalized_FCF!C47</f>
        <v>-59596</v>
      </c>
      <c r="D52" s="1" t="str">
        <f>Reporting_currency</f>
        <v>HKD</v>
      </c>
      <c r="E52" s="286"/>
      <c r="F52" s="286"/>
    </row>
    <row r="53" spans="2:6">
      <c r="B53" s="47" t="s">
        <v>239</v>
      </c>
      <c r="C53" s="355">
        <f>Normalized_FCF!C12</f>
        <v>-45849.061111677467</v>
      </c>
      <c r="D53" s="1" t="str">
        <f>Reporting_currency</f>
        <v>HKD</v>
      </c>
    </row>
    <row r="55" spans="2:6">
      <c r="B55" s="1" t="s">
        <v>247</v>
      </c>
    </row>
    <row r="56" spans="2:6">
      <c r="B56" s="47" t="s">
        <v>266</v>
      </c>
      <c r="C56" s="355">
        <f>Normalized_FCF!C15</f>
        <v>0</v>
      </c>
      <c r="D56" s="1" t="str">
        <f>Reporting_currency</f>
        <v>HKD</v>
      </c>
    </row>
    <row r="58" spans="2:6">
      <c r="B58" s="360" t="s">
        <v>242</v>
      </c>
      <c r="C58" s="360"/>
      <c r="D58" s="360"/>
      <c r="E58" s="360"/>
      <c r="F58" s="360"/>
    </row>
    <row r="59" spans="2:6">
      <c r="B59" s="47" t="s">
        <v>240</v>
      </c>
      <c r="C59" s="355">
        <f>Normalized_FCF!C14</f>
        <v>-338171.38555405382</v>
      </c>
      <c r="D59" s="1" t="str">
        <f>Reporting_currency</f>
        <v>HKD</v>
      </c>
    </row>
    <row r="61" spans="2:6">
      <c r="B61" s="360" t="s">
        <v>339</v>
      </c>
      <c r="C61" s="361"/>
      <c r="D61" s="361"/>
      <c r="E61" s="361"/>
      <c r="F61" s="361"/>
    </row>
    <row r="62" spans="2:6">
      <c r="B62" s="47" t="s">
        <v>243</v>
      </c>
      <c r="C62" s="355">
        <f>Normalized_FCF!C17</f>
        <v>0</v>
      </c>
      <c r="D62" s="1" t="str">
        <f>Reporting_currency</f>
        <v>HKD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1291433.9388883226</v>
      </c>
      <c r="D67" s="1" t="str">
        <f>Reporting_currency</f>
        <v>HKD</v>
      </c>
    </row>
    <row r="68" spans="1:6">
      <c r="B68" s="47" t="s">
        <v>249</v>
      </c>
      <c r="C68" s="355">
        <f>Normalized_FCF!C19</f>
        <v>1014514.1566621615</v>
      </c>
      <c r="D68" s="1" t="str">
        <f>Reporting_currency</f>
        <v>HKD</v>
      </c>
    </row>
    <row r="69" spans="1:6">
      <c r="B69" s="227" t="s">
        <v>391</v>
      </c>
      <c r="C69" s="92">
        <f>Normalized_FCF!C125</f>
        <v>9.6320290934761951E-2</v>
      </c>
      <c r="F69" s="314"/>
    </row>
    <row r="70" spans="1:6">
      <c r="B70" s="227" t="s">
        <v>309</v>
      </c>
      <c r="C70" s="92">
        <f>Normalized_FCF!C93</f>
        <v>7.58082497212932E-2</v>
      </c>
      <c r="E70" s="47" t="s">
        <v>448</v>
      </c>
      <c r="F70" s="315">
        <f>Normalized_FCF!C92</f>
        <v>0.7870434047239161</v>
      </c>
    </row>
    <row r="72" spans="1:6">
      <c r="B72" s="210" t="s">
        <v>451</v>
      </c>
      <c r="C72" s="329" t="s">
        <v>453</v>
      </c>
      <c r="D72" s="329" t="s">
        <v>454</v>
      </c>
    </row>
    <row r="73" spans="1:6">
      <c r="B73" s="47" t="s">
        <v>452</v>
      </c>
      <c r="C73" s="92">
        <f>Normalized_FCF!C120</f>
        <v>0.10515362778966494</v>
      </c>
      <c r="D73" s="92">
        <f>Normalized_FCF!G120</f>
        <v>0.12582499790408183</v>
      </c>
    </row>
    <row r="74" spans="1:6">
      <c r="B74" s="259" t="str">
        <f>Normalized_FCF!B117</f>
        <v>Pre-tax Profit/Sales</v>
      </c>
      <c r="C74" s="328">
        <f>Normalized_FCF!C117</f>
        <v>0.11295218450174714</v>
      </c>
      <c r="D74" s="328">
        <f>Normalized_FCF!G117</f>
        <v>0.10561163722631718</v>
      </c>
    </row>
    <row r="75" spans="1:6">
      <c r="B75" s="259" t="str">
        <f>Normalized_FCF!B118</f>
        <v>Sales/Total Assets</v>
      </c>
      <c r="C75" s="330">
        <f>Normalized_FCF!C118</f>
        <v>0.71055479556740742</v>
      </c>
      <c r="D75" s="330">
        <f>Normalized_FCF!G118</f>
        <v>0.90933332162498015</v>
      </c>
    </row>
    <row r="76" spans="1:6">
      <c r="B76" s="259" t="str">
        <f>Normalized_FCF!B119</f>
        <v>Total Assets/Equity</v>
      </c>
      <c r="C76" s="330">
        <f>Normalized_FCF!C119</f>
        <v>1.3101832741522048</v>
      </c>
      <c r="D76" s="330">
        <f>Normalized_FCF!G119</f>
        <v>1.3101832741522048</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23.03981359159506</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2034922</v>
      </c>
      <c r="D102" s="1" t="str">
        <f>Reporting_currency</f>
        <v>HKD</v>
      </c>
    </row>
    <row r="103" spans="2:6">
      <c r="B103" s="47" t="s">
        <v>282</v>
      </c>
      <c r="C103" s="223">
        <f>C102*scaling_factor*Exchange_Rate/Common_Shares</f>
        <v>3.4660105464438944</v>
      </c>
      <c r="D103" s="1" t="str">
        <f>Market_currency</f>
        <v>HKD</v>
      </c>
    </row>
    <row r="104" spans="2:6">
      <c r="B104" s="296" t="s">
        <v>405</v>
      </c>
      <c r="C104" s="331">
        <f>IF(BS!G31/BS!G27&gt;300%,"nm",BS!G31/BS!G27)</f>
        <v>0.15818859882129041</v>
      </c>
    </row>
    <row r="105" spans="2:6">
      <c r="B105" s="296" t="s">
        <v>407</v>
      </c>
      <c r="C105" s="332">
        <f>IF(BS!C50&gt;30,"nm",BS!C50)</f>
        <v>1.4550387206421544</v>
      </c>
    </row>
    <row r="107" spans="2:6">
      <c r="B107" s="1" t="s">
        <v>255</v>
      </c>
    </row>
    <row r="108" spans="2:6">
      <c r="B108" s="47" t="s">
        <v>265</v>
      </c>
      <c r="C108" s="355">
        <f>BS!C66</f>
        <v>1998219</v>
      </c>
      <c r="D108" s="1" t="str">
        <f>Reporting_currency</f>
        <v>HKD</v>
      </c>
    </row>
    <row r="109" spans="2:6">
      <c r="B109" s="47" t="s">
        <v>267</v>
      </c>
      <c r="C109" s="355">
        <f>DCF!C8</f>
        <v>1050246.6606106577</v>
      </c>
      <c r="D109" s="1" t="str">
        <f>Reporting_currency</f>
        <v>HKD</v>
      </c>
    </row>
    <row r="110" spans="2:6">
      <c r="B110" s="47" t="s">
        <v>283</v>
      </c>
      <c r="C110" s="223">
        <f>C109*scaling_factor*Exchange_Rate/Common_Shares</f>
        <v>1.7888479273623368</v>
      </c>
      <c r="D110" s="1" t="str">
        <f>Market_currency</f>
        <v>HKD</v>
      </c>
    </row>
    <row r="112" spans="2:6">
      <c r="B112" s="1" t="s">
        <v>257</v>
      </c>
    </row>
    <row r="113" spans="1:6">
      <c r="B113" s="47" t="s">
        <v>258</v>
      </c>
      <c r="C113" s="355">
        <f>DCF!C9</f>
        <v>92572.6</v>
      </c>
      <c r="D113" s="1" t="str">
        <f>Reporting_currency</f>
        <v>HKD</v>
      </c>
    </row>
    <row r="114" spans="1:6">
      <c r="B114" s="47" t="s">
        <v>284</v>
      </c>
      <c r="C114" s="223">
        <f>C113*scaling_factor*Exchange_Rate/Common_Shares</f>
        <v>0.15767562978420405</v>
      </c>
      <c r="D114" s="1" t="str">
        <f>Market_currency</f>
        <v>HKD</v>
      </c>
    </row>
    <row r="116" spans="1:6" ht="24.5" customHeight="1">
      <c r="B116" s="359" t="s">
        <v>367</v>
      </c>
      <c r="C116" s="359"/>
      <c r="D116" s="359"/>
      <c r="E116" s="359"/>
      <c r="F116" s="359"/>
    </row>
    <row r="118" spans="1:6">
      <c r="B118" s="47" t="s">
        <v>449</v>
      </c>
      <c r="C118" s="223">
        <f>IF(valuation_method="DCF",DCF!C12,DDM!C7)</f>
        <v>21.520326602297704</v>
      </c>
      <c r="D118" s="1" t="str">
        <f>Market_currency</f>
        <v>HKD</v>
      </c>
    </row>
    <row r="119" spans="1:6">
      <c r="B119" s="296" t="s">
        <v>406</v>
      </c>
      <c r="C119" s="223">
        <f>BS!D47</f>
        <v>5.8696003638854428</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259</v>
      </c>
      <c r="C132" s="217">
        <f>Scenarios!C60</f>
        <v>21.968758226348868</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1.36</v>
      </c>
      <c r="D143" s="212" t="str">
        <f>Market_currency</f>
        <v>HKD</v>
      </c>
    </row>
    <row r="145" spans="2:4">
      <c r="B145" s="210" t="s">
        <v>409</v>
      </c>
      <c r="C145" s="241" t="str">
        <f>C11</f>
        <v>0590.HK</v>
      </c>
      <c r="D145" s="241" t="str">
        <f>IF(D11="","",D11)</f>
        <v/>
      </c>
    </row>
    <row r="146" spans="2:4">
      <c r="B146" s="1" t="s">
        <v>408</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261</v>
      </c>
      <c r="C149" s="215">
        <f>Scenarios!C83</f>
        <v>10.846357673848024</v>
      </c>
      <c r="D149" s="300" t="str">
        <f>IF($D$11="","",C149*$E$25)</f>
        <v/>
      </c>
    </row>
    <row r="150" spans="2:4">
      <c r="B150" s="259" t="s">
        <v>416</v>
      </c>
      <c r="C150" s="298" t="str">
        <f>Market_currency</f>
        <v>HKD</v>
      </c>
      <c r="D150" s="298" t="str">
        <f>IF($D$11="","",D$13)</f>
        <v/>
      </c>
    </row>
    <row r="151" spans="2:4">
      <c r="B151" s="214" t="s">
        <v>263</v>
      </c>
      <c r="C151" s="92">
        <f>Scenarios!F83</f>
        <v>0.50628262361961229</v>
      </c>
    </row>
    <row r="153" spans="2:4">
      <c r="B153" s="210" t="s">
        <v>412</v>
      </c>
    </row>
    <row r="154" spans="2:4">
      <c r="B154" s="1" t="s">
        <v>411</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261</v>
      </c>
      <c r="C157" s="215">
        <f>Scenarios!C93</f>
        <v>14.964572530067358</v>
      </c>
      <c r="D157" s="300" t="str">
        <f>IF($D$11="","",C157*$E$25)</f>
        <v/>
      </c>
    </row>
    <row r="158" spans="2:4">
      <c r="B158" s="259" t="s">
        <v>416</v>
      </c>
      <c r="C158" s="298" t="str">
        <f>Market_currency</f>
        <v>HKD</v>
      </c>
      <c r="D158" s="298" t="str">
        <f>IF($D$11="","",D$13)</f>
        <v/>
      </c>
    </row>
    <row r="159" spans="2:4">
      <c r="B159" s="214" t="s">
        <v>263</v>
      </c>
      <c r="C159" s="92">
        <f>Scenarios!F93</f>
        <v>0.31882483407190654</v>
      </c>
    </row>
    <row r="161" spans="2:4">
      <c r="B161" s="210" t="s">
        <v>401</v>
      </c>
    </row>
    <row r="162" spans="2:4">
      <c r="B162" s="1" t="s">
        <v>410</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402</v>
      </c>
      <c r="C165" s="215">
        <f>Scenarios!C99</f>
        <v>21.220699139526428</v>
      </c>
      <c r="D165" s="300" t="str">
        <f>IF($D$11="","",C165*$E$25)</f>
        <v/>
      </c>
    </row>
    <row r="166" spans="2:4">
      <c r="B166" s="259" t="s">
        <v>416</v>
      </c>
      <c r="C166" s="298" t="str">
        <f>Market_currency</f>
        <v>HKD</v>
      </c>
      <c r="D166" s="298" t="str">
        <f>IF($D$11="","",D$13)</f>
        <v/>
      </c>
    </row>
    <row r="167" spans="2:4">
      <c r="B167" s="214" t="s">
        <v>263</v>
      </c>
      <c r="C167" s="92">
        <f>Scenarios!F99</f>
        <v>3.4051040988071546E-2</v>
      </c>
    </row>
    <row r="169" spans="2:4">
      <c r="B169" s="210" t="s">
        <v>432</v>
      </c>
    </row>
    <row r="170" spans="2:4">
      <c r="B170" s="1" t="s">
        <v>423</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402</v>
      </c>
      <c r="C173" s="215">
        <f>Scenarios!C105</f>
        <v>19.027476031641555</v>
      </c>
      <c r="D173" s="300" t="str">
        <f>IF($D$11="","",C173*$E$25)</f>
        <v/>
      </c>
    </row>
    <row r="174" spans="2:4">
      <c r="B174" s="259" t="s">
        <v>416</v>
      </c>
      <c r="C174" s="298" t="str">
        <f>Market_currency</f>
        <v>HKD</v>
      </c>
      <c r="D174" s="298" t="str">
        <f>IF($D$11="","",D$13)</f>
        <v/>
      </c>
    </row>
    <row r="175" spans="2:4">
      <c r="B175" s="214" t="s">
        <v>263</v>
      </c>
      <c r="C175" s="92">
        <f>Scenarios!F105</f>
        <v>0.13397231740286097</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21">
        <v>15325962</v>
      </c>
      <c r="D4" s="321">
        <v>11977844</v>
      </c>
      <c r="E4" s="321">
        <v>11737803</v>
      </c>
      <c r="F4" s="321">
        <v>8861335</v>
      </c>
      <c r="G4" s="321">
        <v>11233771</v>
      </c>
      <c r="H4" s="321"/>
      <c r="I4" s="321"/>
      <c r="J4" s="321"/>
      <c r="K4" s="321"/>
      <c r="L4" s="321"/>
      <c r="M4" s="321"/>
    </row>
    <row r="5" spans="2:13">
      <c r="B5" s="40" t="s">
        <v>43</v>
      </c>
      <c r="C5" s="321">
        <v>11151623</v>
      </c>
      <c r="D5" s="321">
        <v>8747447</v>
      </c>
      <c r="E5" s="321">
        <v>8503976</v>
      </c>
      <c r="F5" s="321">
        <v>6229020</v>
      </c>
      <c r="G5" s="321">
        <v>7910751</v>
      </c>
      <c r="H5" s="321"/>
      <c r="I5" s="321"/>
      <c r="J5" s="321"/>
      <c r="K5" s="321"/>
      <c r="L5" s="321"/>
      <c r="M5" s="321"/>
    </row>
    <row r="6" spans="2:13">
      <c r="B6" s="40" t="s">
        <v>54</v>
      </c>
      <c r="C6" s="321">
        <v>2297566</v>
      </c>
      <c r="D6" s="321">
        <v>1867515</v>
      </c>
      <c r="E6" s="321">
        <v>1815111</v>
      </c>
      <c r="F6" s="321">
        <v>1694480</v>
      </c>
      <c r="G6" s="321">
        <v>2118252</v>
      </c>
      <c r="H6" s="321"/>
      <c r="I6" s="321"/>
      <c r="J6" s="321"/>
      <c r="K6" s="321"/>
      <c r="L6" s="321"/>
      <c r="M6" s="321"/>
    </row>
    <row r="7" spans="2:13">
      <c r="B7" s="69" t="s">
        <v>61</v>
      </c>
      <c r="C7" s="322">
        <v>2043459</v>
      </c>
      <c r="D7" s="322">
        <v>1517989</v>
      </c>
      <c r="E7" s="322">
        <v>1491293</v>
      </c>
      <c r="F7" s="322">
        <v>1412494</v>
      </c>
      <c r="G7" s="322">
        <v>1945100</v>
      </c>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v>639</v>
      </c>
      <c r="D9" s="321">
        <v>927</v>
      </c>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59596</v>
      </c>
      <c r="D12" s="321">
        <v>20763</v>
      </c>
      <c r="E12" s="321">
        <v>23097</v>
      </c>
      <c r="F12" s="321">
        <v>28849</v>
      </c>
      <c r="G12" s="321">
        <v>63075</v>
      </c>
      <c r="H12" s="321"/>
      <c r="I12" s="321"/>
      <c r="J12" s="321"/>
      <c r="K12" s="321"/>
      <c r="L12" s="321"/>
      <c r="M12" s="321"/>
    </row>
    <row r="13" spans="2:13">
      <c r="B13" s="40" t="s">
        <v>67</v>
      </c>
      <c r="C13" s="321">
        <v>28977</v>
      </c>
      <c r="D13" s="321">
        <v>33125</v>
      </c>
      <c r="E13" s="321">
        <v>87344</v>
      </c>
      <c r="F13" s="321">
        <v>63398</v>
      </c>
      <c r="G13" s="321">
        <v>45450</v>
      </c>
      <c r="H13" s="321"/>
      <c r="I13" s="321"/>
      <c r="J13" s="321"/>
      <c r="K13" s="321"/>
      <c r="L13" s="321"/>
      <c r="M13" s="321"/>
    </row>
    <row r="14" spans="2:13">
      <c r="B14" s="40" t="s">
        <v>50</v>
      </c>
      <c r="C14" s="321">
        <v>327166</v>
      </c>
      <c r="D14" s="321">
        <v>280664</v>
      </c>
      <c r="E14" s="321">
        <v>291296</v>
      </c>
      <c r="F14" s="321">
        <v>236303</v>
      </c>
      <c r="G14" s="321">
        <v>223409</v>
      </c>
      <c r="H14" s="321"/>
      <c r="I14" s="321"/>
      <c r="J14" s="321"/>
      <c r="K14" s="321"/>
      <c r="L14" s="321"/>
      <c r="M14" s="321"/>
    </row>
    <row r="15" spans="2:13">
      <c r="B15" s="43" t="s">
        <v>42</v>
      </c>
      <c r="C15" s="323">
        <v>1767305</v>
      </c>
      <c r="D15" s="323">
        <v>1284757</v>
      </c>
      <c r="E15" s="323">
        <v>1392364</v>
      </c>
      <c r="F15" s="323">
        <v>1017335</v>
      </c>
      <c r="G15" s="323">
        <v>866315</v>
      </c>
      <c r="H15" s="323"/>
      <c r="I15" s="323"/>
      <c r="J15" s="323"/>
      <c r="K15" s="323"/>
      <c r="L15" s="323"/>
      <c r="M15" s="323"/>
    </row>
    <row r="16" spans="2:13">
      <c r="B16" s="28" t="s">
        <v>44</v>
      </c>
      <c r="C16" s="321">
        <v>-9467</v>
      </c>
      <c r="D16" s="321">
        <v>-30</v>
      </c>
      <c r="E16" s="321">
        <v>-27</v>
      </c>
      <c r="F16" s="321">
        <v>1799</v>
      </c>
      <c r="G16" s="321">
        <v>1337</v>
      </c>
      <c r="H16" s="321"/>
      <c r="I16" s="321"/>
      <c r="J16" s="321"/>
      <c r="K16" s="321"/>
      <c r="L16" s="321"/>
      <c r="M16" s="321"/>
    </row>
    <row r="18" spans="2:13">
      <c r="B18" s="16" t="s">
        <v>51</v>
      </c>
      <c r="C18" s="9"/>
    </row>
    <row r="19" spans="2:13">
      <c r="B19" s="27" t="s">
        <v>47</v>
      </c>
      <c r="C19" s="321">
        <v>463424</v>
      </c>
      <c r="D19" s="321">
        <v>371724</v>
      </c>
      <c r="E19" s="321">
        <v>435672</v>
      </c>
      <c r="F19" s="321">
        <v>520888</v>
      </c>
      <c r="G19" s="321"/>
      <c r="H19" s="321"/>
      <c r="I19" s="321"/>
      <c r="J19" s="321"/>
      <c r="K19" s="321"/>
      <c r="L19" s="321"/>
      <c r="M19" s="321"/>
    </row>
    <row r="20" spans="2:13">
      <c r="B20" s="27" t="s">
        <v>53</v>
      </c>
      <c r="C20" s="321">
        <v>676387</v>
      </c>
      <c r="D20" s="321">
        <v>107280</v>
      </c>
      <c r="E20" s="321">
        <v>455483</v>
      </c>
      <c r="F20" s="321">
        <v>138937</v>
      </c>
      <c r="G20" s="321"/>
      <c r="H20" s="321"/>
      <c r="I20" s="321"/>
      <c r="J20" s="321"/>
      <c r="K20" s="321"/>
      <c r="L20" s="321"/>
      <c r="M20" s="321"/>
    </row>
    <row r="21" spans="2:13">
      <c r="B21" s="27" t="s">
        <v>52</v>
      </c>
      <c r="C21" s="321">
        <v>626583</v>
      </c>
      <c r="D21" s="321">
        <v>352099</v>
      </c>
      <c r="E21" s="321">
        <v>1045251</v>
      </c>
      <c r="F21" s="321">
        <v>-818677</v>
      </c>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18">
        <f>BS!C4</f>
        <v>265773</v>
      </c>
      <c r="D28" s="321">
        <v>213823</v>
      </c>
      <c r="E28" s="321">
        <v>187711</v>
      </c>
      <c r="F28" s="321">
        <v>277338</v>
      </c>
      <c r="G28" s="321"/>
      <c r="H28" s="321"/>
      <c r="I28" s="321"/>
      <c r="J28" s="321"/>
      <c r="K28" s="321"/>
      <c r="L28" s="321"/>
      <c r="M28" s="321"/>
    </row>
    <row r="29" spans="2:13">
      <c r="B29" s="26" t="s">
        <v>32</v>
      </c>
      <c r="C29" s="318">
        <f>BS!C6</f>
        <v>9672256</v>
      </c>
      <c r="D29" s="321">
        <v>8852611</v>
      </c>
      <c r="E29" s="321">
        <v>8769304</v>
      </c>
      <c r="F29" s="321">
        <v>7321614</v>
      </c>
      <c r="G29" s="321"/>
      <c r="H29" s="321"/>
      <c r="I29" s="321"/>
      <c r="J29" s="321"/>
      <c r="K29" s="321"/>
      <c r="L29" s="321"/>
      <c r="M29" s="321"/>
    </row>
    <row r="30" spans="2:13">
      <c r="B30" s="29" t="s">
        <v>40</v>
      </c>
      <c r="C30" s="319">
        <f>BS!C33+BS!C42</f>
        <v>3990166</v>
      </c>
      <c r="D30" s="323">
        <v>2466431</v>
      </c>
      <c r="E30" s="323">
        <v>3908586</v>
      </c>
      <c r="F30" s="323">
        <v>2946772</v>
      </c>
      <c r="G30" s="323"/>
      <c r="H30" s="323"/>
      <c r="I30" s="323"/>
      <c r="J30" s="323"/>
      <c r="K30" s="323"/>
      <c r="L30" s="323"/>
      <c r="M30" s="323"/>
    </row>
    <row r="31" spans="2:13">
      <c r="B31" s="29" t="s">
        <v>30</v>
      </c>
      <c r="C31" s="319">
        <f>BS!G27</f>
        <v>12863898</v>
      </c>
      <c r="D31" s="323">
        <v>12220942</v>
      </c>
      <c r="E31" s="323">
        <v>12078528</v>
      </c>
      <c r="F31" s="323">
        <v>11324224</v>
      </c>
      <c r="G31" s="323"/>
      <c r="H31" s="323"/>
      <c r="I31" s="323"/>
      <c r="J31" s="323"/>
      <c r="K31" s="323"/>
      <c r="L31" s="323"/>
      <c r="M31" s="323"/>
    </row>
    <row r="32" spans="2:13">
      <c r="B32" s="26" t="s">
        <v>173</v>
      </c>
      <c r="C32" s="318">
        <f>BS!G28</f>
        <v>-26962</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15325962</v>
      </c>
      <c r="D36" s="318">
        <f t="shared" si="1"/>
        <v>11977844</v>
      </c>
      <c r="E36" s="318">
        <f t="shared" si="1"/>
        <v>11737803</v>
      </c>
      <c r="F36" s="318">
        <f t="shared" si="1"/>
        <v>8861335</v>
      </c>
      <c r="G36" s="318">
        <f t="shared" si="1"/>
        <v>11233771</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-11151623</v>
      </c>
      <c r="D37" s="318">
        <f t="shared" si="2"/>
        <v>-8747447</v>
      </c>
      <c r="E37" s="318">
        <f t="shared" si="2"/>
        <v>-8503976</v>
      </c>
      <c r="F37" s="318">
        <f t="shared" si="2"/>
        <v>-6229020</v>
      </c>
      <c r="G37" s="318">
        <f t="shared" si="2"/>
        <v>-7910751</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4174339</v>
      </c>
      <c r="D38" s="317">
        <f t="shared" ref="D38" si="3">IF(D36="","",D36+D37)</f>
        <v>3230397</v>
      </c>
      <c r="E38" s="317">
        <f t="shared" ref="E38" si="4">IF(E36="","",E36+E37)</f>
        <v>3233827</v>
      </c>
      <c r="F38" s="317">
        <f t="shared" ref="F38" si="5">IF(F36="","",F36+F37)</f>
        <v>2632315</v>
      </c>
      <c r="G38" s="317">
        <f t="shared" ref="G38" si="6">IF(G36="","",G36+G37)</f>
        <v>3323020</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-2297566</v>
      </c>
      <c r="D39" s="318">
        <f t="shared" si="13"/>
        <v>-1867515</v>
      </c>
      <c r="E39" s="318">
        <f t="shared" si="13"/>
        <v>-1815111</v>
      </c>
      <c r="F39" s="318">
        <f t="shared" si="13"/>
        <v>-1694480</v>
      </c>
      <c r="G39" s="318">
        <f t="shared" si="13"/>
        <v>-2118252</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-2043459</v>
      </c>
      <c r="D40" s="320">
        <f t="shared" si="14"/>
        <v>-1517989</v>
      </c>
      <c r="E40" s="320">
        <f t="shared" si="14"/>
        <v>-1491293</v>
      </c>
      <c r="F40" s="320">
        <f t="shared" si="14"/>
        <v>-1412494</v>
      </c>
      <c r="G40" s="320">
        <f t="shared" si="14"/>
        <v>-1945100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-254107</v>
      </c>
      <c r="D41" s="320">
        <f t="shared" ref="D41:M41" si="15">IF(D$4="","",D39-D40)</f>
        <v>-349526</v>
      </c>
      <c r="E41" s="320">
        <f t="shared" si="15"/>
        <v>-323818</v>
      </c>
      <c r="F41" s="320">
        <f t="shared" si="15"/>
        <v>-281986</v>
      </c>
      <c r="G41" s="320">
        <f t="shared" si="15"/>
        <v>-173152</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1876773</v>
      </c>
      <c r="D43" s="319">
        <f t="shared" ref="D43:M43" si="17">IF(D$4="","",D38+D39+D42)</f>
        <v>1362882</v>
      </c>
      <c r="E43" s="319">
        <f t="shared" si="17"/>
        <v>1418716</v>
      </c>
      <c r="F43" s="319">
        <f t="shared" si="17"/>
        <v>937835</v>
      </c>
      <c r="G43" s="319">
        <f t="shared" si="17"/>
        <v>1204768</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248317</v>
      </c>
      <c r="D44" s="180">
        <f t="shared" si="18"/>
        <v>190177</v>
      </c>
      <c r="E44" s="180">
        <f t="shared" si="18"/>
        <v>200697</v>
      </c>
      <c r="F44" s="180">
        <f t="shared" si="18"/>
        <v>281254</v>
      </c>
      <c r="G44" s="180">
        <f t="shared" si="18"/>
        <v>-97419</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-327166</v>
      </c>
      <c r="D46" s="318">
        <f t="shared" si="20"/>
        <v>-280664</v>
      </c>
      <c r="E46" s="318">
        <f t="shared" si="20"/>
        <v>-291296</v>
      </c>
      <c r="F46" s="318">
        <f t="shared" si="20"/>
        <v>-236303</v>
      </c>
      <c r="G46" s="318">
        <f t="shared" si="20"/>
        <v>-223409</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1767305</v>
      </c>
      <c r="D47" s="319">
        <f t="shared" si="21"/>
        <v>1284757</v>
      </c>
      <c r="E47" s="319">
        <f t="shared" si="21"/>
        <v>1392364</v>
      </c>
      <c r="F47" s="319">
        <f t="shared" si="21"/>
        <v>1017335</v>
      </c>
      <c r="G47" s="319">
        <f t="shared" si="21"/>
        <v>866315</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f t="shared" si="22"/>
        <v>-1799</v>
      </c>
      <c r="G48" s="318">
        <f t="shared" si="22"/>
        <v>-1337</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-59596</v>
      </c>
      <c r="D51" s="318">
        <f t="shared" si="23"/>
        <v>-20763</v>
      </c>
      <c r="E51" s="318">
        <f t="shared" si="23"/>
        <v>-23097</v>
      </c>
      <c r="F51" s="318">
        <f t="shared" si="23"/>
        <v>-28849</v>
      </c>
      <c r="G51" s="318">
        <f t="shared" si="23"/>
        <v>-63075</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28977</v>
      </c>
      <c r="D52" s="318">
        <f t="shared" si="24"/>
        <v>33125</v>
      </c>
      <c r="E52" s="318">
        <f t="shared" si="24"/>
        <v>87344</v>
      </c>
      <c r="F52" s="318">
        <f t="shared" si="24"/>
        <v>63398</v>
      </c>
      <c r="G52" s="318">
        <f t="shared" si="24"/>
        <v>45450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-463424</v>
      </c>
      <c r="D61" s="318">
        <f t="shared" ref="D61:M61" si="29">IF(D$4="","",-D19)</f>
        <v>-371724</v>
      </c>
      <c r="E61" s="318">
        <f t="shared" si="29"/>
        <v>-435672</v>
      </c>
      <c r="F61" s="318">
        <f t="shared" si="29"/>
        <v>-520888</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-676387</v>
      </c>
      <c r="D62" s="318">
        <f t="shared" ref="D62:M62" si="30">IF(D$4="","",IF(D20=0,D61,-D20))</f>
        <v>-107280</v>
      </c>
      <c r="E62" s="318">
        <f t="shared" si="30"/>
        <v>-455483</v>
      </c>
      <c r="F62" s="318">
        <f t="shared" si="30"/>
        <v>-138937</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-626583</v>
      </c>
      <c r="D63" s="318">
        <f t="shared" ref="D63:M63" si="31">IF(D$4="","",-D21)</f>
        <v>-352099</v>
      </c>
      <c r="E63" s="318">
        <f t="shared" si="31"/>
        <v>-1045251</v>
      </c>
      <c r="F63" s="318">
        <f t="shared" si="31"/>
        <v>818677</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f t="shared" si="32"/>
        <v>0</v>
      </c>
      <c r="G64" s="318">
        <f t="shared" si="32"/>
        <v>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265773</v>
      </c>
      <c r="D77" s="320">
        <f t="shared" si="40"/>
        <v>213823</v>
      </c>
      <c r="E77" s="320">
        <f t="shared" si="40"/>
        <v>187711</v>
      </c>
      <c r="F77" s="320">
        <f t="shared" si="40"/>
        <v>277338</v>
      </c>
      <c r="G77" s="320">
        <f t="shared" si="40"/>
        <v>0</v>
      </c>
      <c r="H77" s="320" t="str">
        <f t="shared" si="40"/>
        <v/>
      </c>
      <c r="I77" s="324"/>
      <c r="J77" s="324"/>
      <c r="K77" s="324"/>
      <c r="L77" s="324"/>
      <c r="M77" s="324"/>
    </row>
    <row r="78" spans="2:13">
      <c r="B78" s="93" t="s">
        <v>87</v>
      </c>
      <c r="C78" s="320">
        <f t="shared" si="40"/>
        <v>9672256</v>
      </c>
      <c r="D78" s="320">
        <f t="shared" si="40"/>
        <v>8852611</v>
      </c>
      <c r="E78" s="320">
        <f t="shared" si="40"/>
        <v>8769304</v>
      </c>
      <c r="F78" s="320">
        <f t="shared" si="40"/>
        <v>7321614</v>
      </c>
      <c r="G78" s="320">
        <f t="shared" si="40"/>
        <v>0</v>
      </c>
      <c r="H78" s="320" t="str">
        <f t="shared" si="40"/>
        <v/>
      </c>
      <c r="I78" s="324"/>
      <c r="J78" s="324"/>
      <c r="K78" s="324"/>
      <c r="L78" s="324"/>
      <c r="M78" s="324"/>
    </row>
    <row r="79" spans="2:13">
      <c r="B79" s="26" t="s">
        <v>40</v>
      </c>
      <c r="C79" s="318">
        <f t="shared" ref="C79:M79" si="41">IF(C$4="","",C30)</f>
        <v>3990166</v>
      </c>
      <c r="D79" s="318">
        <f t="shared" si="41"/>
        <v>2466431</v>
      </c>
      <c r="E79" s="318">
        <f t="shared" si="41"/>
        <v>3908586</v>
      </c>
      <c r="F79" s="318">
        <f t="shared" si="41"/>
        <v>2946772</v>
      </c>
      <c r="G79" s="318">
        <f t="shared" si="41"/>
        <v>0</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12863898</v>
      </c>
      <c r="D80" s="318">
        <f t="shared" si="42"/>
        <v>12220942</v>
      </c>
      <c r="E80" s="318">
        <f t="shared" si="42"/>
        <v>12078528</v>
      </c>
      <c r="F80" s="318">
        <f t="shared" si="42"/>
        <v>11324224</v>
      </c>
      <c r="G80" s="318">
        <f t="shared" si="42"/>
        <v>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1">
        <v>0.6</v>
      </c>
      <c r="E4" s="25"/>
      <c r="F4" s="4" t="s">
        <v>78</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366595</v>
      </c>
      <c r="D9" s="261">
        <v>0.1</v>
      </c>
      <c r="E9" s="25"/>
      <c r="F9" s="4" t="s">
        <v>181</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2522337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538321</v>
      </c>
      <c r="D21" s="261">
        <v>0.05</v>
      </c>
      <c r="F21" s="1" t="s">
        <v>181</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-1187304.6396666665</v>
      </c>
      <c r="D73" s="355">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326"/>
      <c r="D75" s="327">
        <f>MAX(-D73*D76,G5)</f>
        <v>947972.33938934223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AVERAGE(G4:J4)</f>
        <v>11975736</v>
      </c>
      <c r="D4" s="57"/>
      <c r="E4" s="266"/>
      <c r="F4" s="57"/>
      <c r="G4" s="339">
        <f>Data!C36</f>
        <v>15325962</v>
      </c>
      <c r="H4" s="339">
        <f>Data!D36</f>
        <v>11977844</v>
      </c>
      <c r="I4" s="339">
        <f>Data!E36</f>
        <v>11737803</v>
      </c>
      <c r="J4" s="339">
        <f>Data!F36</f>
        <v>8861335</v>
      </c>
      <c r="K4" s="339">
        <f>Data!G36</f>
        <v>11233771</v>
      </c>
      <c r="L4" s="339" t="str">
        <f>Data!H36</f>
        <v/>
      </c>
      <c r="M4" s="339" t="str">
        <f>Data!I36</f>
        <v/>
      </c>
      <c r="N4" s="339" t="str">
        <f>Data!J36</f>
        <v/>
      </c>
      <c r="O4" s="339" t="str">
        <f>Data!K36</f>
        <v/>
      </c>
      <c r="P4" s="339" t="str">
        <f>Data!L36</f>
        <v/>
      </c>
      <c r="Q4" s="339" t="str">
        <f>Data!M36</f>
        <v/>
      </c>
    </row>
    <row r="5" spans="1:17" ht="15.75" customHeight="1">
      <c r="A5" s="10"/>
      <c r="B5" s="2" t="s">
        <v>46</v>
      </c>
      <c r="C5" s="334">
        <f>C25</f>
        <v>-10274842.146672107</v>
      </c>
      <c r="E5" s="268"/>
      <c r="G5" s="339">
        <f t="shared" ref="G5:Q5" si="1">G25</f>
        <v>-13195082</v>
      </c>
      <c r="H5" s="339">
        <f t="shared" si="1"/>
        <v>-10265436</v>
      </c>
      <c r="I5" s="339">
        <f t="shared" si="1"/>
        <v>-9995269</v>
      </c>
      <c r="J5" s="339">
        <f t="shared" si="1"/>
        <v>-7641514</v>
      </c>
      <c r="K5" s="339">
        <f t="shared" si="1"/>
        <v>-9855851</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1700893.8533278927</v>
      </c>
      <c r="E6" s="268"/>
      <c r="G6" s="335">
        <f>IF(G4="","",G4+G5)</f>
        <v>2130880</v>
      </c>
      <c r="H6" s="335">
        <f t="shared" ref="H6:Q6" si="2">IF(H4="","",H4+H5)</f>
        <v>1712408</v>
      </c>
      <c r="I6" s="335">
        <f t="shared" si="2"/>
        <v>1742534</v>
      </c>
      <c r="J6" s="335">
        <f t="shared" si="2"/>
        <v>1219821</v>
      </c>
      <c r="K6" s="335">
        <f t="shared" si="2"/>
        <v>1377920</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-302359.25</v>
      </c>
      <c r="E7" s="268"/>
      <c r="G7" s="334">
        <f t="shared" ref="G7:Q7" si="3">G35</f>
        <v>-254107</v>
      </c>
      <c r="H7" s="334">
        <f t="shared" si="3"/>
        <v>-349526</v>
      </c>
      <c r="I7" s="334">
        <f t="shared" si="3"/>
        <v>-323818</v>
      </c>
      <c r="J7" s="334">
        <f t="shared" si="3"/>
        <v>-281986</v>
      </c>
      <c r="K7" s="334">
        <f t="shared" si="3"/>
        <v>-173152</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1398534.6033278927</v>
      </c>
      <c r="D8" s="59"/>
      <c r="E8" s="274"/>
      <c r="F8" s="59"/>
      <c r="G8" s="335">
        <f>IF(G$4="","",G6+G7)</f>
        <v>1876773</v>
      </c>
      <c r="H8" s="335">
        <f t="shared" ref="H8:Q8" si="4">IF(H$4="","",H6+H7)</f>
        <v>1362882</v>
      </c>
      <c r="I8" s="335">
        <f t="shared" si="4"/>
        <v>1418716</v>
      </c>
      <c r="J8" s="335">
        <f t="shared" si="4"/>
        <v>937835</v>
      </c>
      <c r="K8" s="335">
        <f t="shared" si="4"/>
        <v>1204768</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463424</v>
      </c>
      <c r="E9" s="268"/>
      <c r="G9" s="334">
        <f>IF(Data!C61="","",-Data!C61)</f>
        <v>463424</v>
      </c>
      <c r="H9" s="334">
        <f>IF(Data!D61="","",-Data!D61)</f>
        <v>371724</v>
      </c>
      <c r="I9" s="334">
        <f>IF(Data!E61="","",-Data!E61)</f>
        <v>435672</v>
      </c>
      <c r="J9" s="334">
        <f>IF(Data!F61="","",-Data!F61)</f>
        <v>520888</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-463424.00000000006</v>
      </c>
      <c r="E10" s="268"/>
      <c r="G10" s="334">
        <f>Data!C62</f>
        <v>-676387</v>
      </c>
      <c r="H10" s="334">
        <f>Data!D62</f>
        <v>-107280</v>
      </c>
      <c r="I10" s="334">
        <f>Data!E62</f>
        <v>-455483</v>
      </c>
      <c r="J10" s="334">
        <f>Data!F62</f>
        <v>-138937</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639</v>
      </c>
      <c r="H11" s="340">
        <f t="shared" ref="H11:Q11" si="5">H61</f>
        <v>927</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-45849.061111677467</v>
      </c>
      <c r="E12" s="268"/>
      <c r="G12" s="334">
        <f>G50</f>
        <v>-45849.061111677467</v>
      </c>
      <c r="H12" s="334">
        <f t="shared" ref="H12:Q12" si="6">H50</f>
        <v>-5048.2141120307824</v>
      </c>
      <c r="I12" s="334">
        <f t="shared" si="6"/>
        <v>18339.747429397234</v>
      </c>
      <c r="J12" s="334">
        <f t="shared" si="6"/>
        <v>1227.5583615236937</v>
      </c>
      <c r="K12" s="334">
        <f t="shared" si="6"/>
        <v>-41513.127740129785</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1352685.5422162153</v>
      </c>
      <c r="E13" s="268"/>
      <c r="G13" s="335">
        <f>IF(G$4="","",SUM(G8:G12))</f>
        <v>1618599.9388883226</v>
      </c>
      <c r="H13" s="335">
        <f t="shared" ref="H13:Q13" si="7">IF(H$4="","",SUM(H8:H12))</f>
        <v>1623204.7858879692</v>
      </c>
      <c r="I13" s="335">
        <f t="shared" si="7"/>
        <v>1417244.7474293972</v>
      </c>
      <c r="J13" s="335">
        <f t="shared" si="7"/>
        <v>1321013.5583615238</v>
      </c>
      <c r="K13" s="335">
        <f t="shared" si="7"/>
        <v>1163254.8722598702</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-338171.38555405382</v>
      </c>
      <c r="E14" s="268"/>
      <c r="G14" s="334">
        <f>Data!C46</f>
        <v>-327166</v>
      </c>
      <c r="H14" s="334">
        <f>Data!D46</f>
        <v>-280664</v>
      </c>
      <c r="I14" s="334">
        <f>Data!E46</f>
        <v>-291296</v>
      </c>
      <c r="J14" s="334">
        <f>Data!F46</f>
        <v>-236303</v>
      </c>
      <c r="K14" s="334">
        <f>Data!G46</f>
        <v>-223409</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-1799</v>
      </c>
      <c r="K15" s="339">
        <f>Data!G48</f>
        <v>-1337</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1014514.1566621615</v>
      </c>
      <c r="D16" s="61"/>
      <c r="E16" s="276"/>
      <c r="F16" s="61"/>
      <c r="G16" s="335">
        <f>IF(G$4="","",SUM(G13:G15))</f>
        <v>1291433.9388883226</v>
      </c>
      <c r="H16" s="335">
        <f t="shared" ref="H16:Q16" si="8">IF(H$4="","",SUM(H13:H15))</f>
        <v>1342540.7858879692</v>
      </c>
      <c r="I16" s="335">
        <f t="shared" si="8"/>
        <v>1125948.7474293972</v>
      </c>
      <c r="J16" s="335">
        <f t="shared" si="8"/>
        <v>1082911.5583615238</v>
      </c>
      <c r="K16" s="335">
        <f t="shared" si="8"/>
        <v>938508.87225987017</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1014514.1566621615</v>
      </c>
      <c r="D19" s="27"/>
      <c r="E19" s="265"/>
      <c r="F19" s="27"/>
      <c r="G19" s="340">
        <f>IF(G$4="","",G16+G17)</f>
        <v>1291433.9388883226</v>
      </c>
      <c r="H19" s="340">
        <f t="shared" ref="H19:Q19" si="9">IF(H$4="","",H16+H17)</f>
        <v>1342540.7858879692</v>
      </c>
      <c r="I19" s="340">
        <f t="shared" si="9"/>
        <v>1125948.7474293972</v>
      </c>
      <c r="J19" s="340">
        <f t="shared" si="9"/>
        <v>1082911.5583615238</v>
      </c>
      <c r="K19" s="340">
        <f t="shared" si="9"/>
        <v>938508.87225987017</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-8638608.2360938303</v>
      </c>
      <c r="D23" s="58"/>
      <c r="E23" s="267"/>
      <c r="F23" s="58"/>
      <c r="G23" s="339">
        <f>Data!C37</f>
        <v>-11151623</v>
      </c>
      <c r="H23" s="339">
        <f>Data!D37</f>
        <v>-8747447</v>
      </c>
      <c r="I23" s="339">
        <f>Data!E37</f>
        <v>-8503976</v>
      </c>
      <c r="J23" s="339">
        <f>Data!F37</f>
        <v>-6229020</v>
      </c>
      <c r="K23" s="339">
        <f>Data!G37</f>
        <v>-7910751</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-1636233.9105782772</v>
      </c>
      <c r="D24" s="27"/>
      <c r="E24" s="265"/>
      <c r="F24" s="27"/>
      <c r="G24" s="339">
        <f>Data!C40</f>
        <v>-2043459</v>
      </c>
      <c r="H24" s="339">
        <f>Data!D40</f>
        <v>-1517989</v>
      </c>
      <c r="I24" s="339">
        <f>Data!E40</f>
        <v>-1491293</v>
      </c>
      <c r="J24" s="339">
        <f>Data!F40</f>
        <v>-1412494</v>
      </c>
      <c r="K24" s="339">
        <f>Data!G40</f>
        <v>-1945100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-10274842.146672107</v>
      </c>
      <c r="D25" s="9"/>
      <c r="E25" s="273"/>
      <c r="F25" s="9"/>
      <c r="G25" s="335">
        <f t="shared" ref="G25:Q25" si="10">IF(G$4="","",G23+G24)</f>
        <v>-13195082</v>
      </c>
      <c r="H25" s="335">
        <f t="shared" si="10"/>
        <v>-10265436</v>
      </c>
      <c r="I25" s="335">
        <f t="shared" si="10"/>
        <v>-9995269</v>
      </c>
      <c r="J25" s="335">
        <f t="shared" si="10"/>
        <v>-7641514</v>
      </c>
      <c r="K25" s="335">
        <f t="shared" si="10"/>
        <v>-9855851</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0.72134257435984139</v>
      </c>
      <c r="D28" s="26"/>
      <c r="E28" s="266"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-302359.25</v>
      </c>
      <c r="E33" s="266" t="s">
        <v>334</v>
      </c>
      <c r="G33" s="334">
        <f>Data!C41</f>
        <v>-254107</v>
      </c>
      <c r="H33" s="334">
        <f>Data!D41</f>
        <v>-349526</v>
      </c>
      <c r="I33" s="334">
        <f>Data!E41</f>
        <v>-323818</v>
      </c>
      <c r="J33" s="334">
        <f>Data!F41</f>
        <v>-281986</v>
      </c>
      <c r="K33" s="334">
        <f>Data!G41</f>
        <v>-173152</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-302359.25</v>
      </c>
      <c r="D35" s="58"/>
      <c r="E35" s="267"/>
      <c r="F35" s="58"/>
      <c r="G35" s="335">
        <f t="shared" ref="G35:Q35" si="14">IF(G4="","",G33+G34)</f>
        <v>-254107</v>
      </c>
      <c r="H35" s="335">
        <f t="shared" si="14"/>
        <v>-349526</v>
      </c>
      <c r="I35" s="335">
        <f t="shared" si="14"/>
        <v>-323818</v>
      </c>
      <c r="J35" s="335">
        <f t="shared" si="14"/>
        <v>-281986</v>
      </c>
      <c r="K35" s="335">
        <f t="shared" si="14"/>
        <v>-173152</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-59596</v>
      </c>
      <c r="E47" s="268"/>
      <c r="G47" s="334">
        <f>Data!C51</f>
        <v>-59596</v>
      </c>
      <c r="H47" s="334">
        <f>Data!D51</f>
        <v>-20763</v>
      </c>
      <c r="I47" s="334">
        <f>Data!E51</f>
        <v>-23097</v>
      </c>
      <c r="J47" s="334">
        <f>Data!F51</f>
        <v>-28849</v>
      </c>
      <c r="K47" s="334">
        <f>Data!G51</f>
        <v>-63075</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13746.938888322537</v>
      </c>
      <c r="E48" s="268"/>
      <c r="G48" s="343">
        <f>IFERROR(IF(G$4="","",($C$48/$C$49)*G49),0)</f>
        <v>13746.938888322537</v>
      </c>
      <c r="H48" s="343">
        <f t="shared" ref="H48:Q48" si="19">IFERROR(IF(H$4="","",($C$48/$C$49)*H49),0)</f>
        <v>15714.785887969218</v>
      </c>
      <c r="I48" s="343">
        <f t="shared" si="19"/>
        <v>41436.747429397234</v>
      </c>
      <c r="J48" s="343">
        <f t="shared" si="19"/>
        <v>30076.558361523694</v>
      </c>
      <c r="K48" s="343">
        <f t="shared" si="19"/>
        <v>21561.872259870215</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28977</v>
      </c>
      <c r="D49" s="288"/>
      <c r="E49" s="289"/>
      <c r="F49" s="288"/>
      <c r="G49" s="348">
        <f>Data!C52</f>
        <v>28977</v>
      </c>
      <c r="H49" s="348">
        <f>Data!D52</f>
        <v>33125</v>
      </c>
      <c r="I49" s="348">
        <f>Data!E52</f>
        <v>87344</v>
      </c>
      <c r="J49" s="348">
        <f>Data!F52</f>
        <v>63398</v>
      </c>
      <c r="K49" s="348">
        <f>Data!G52</f>
        <v>45450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-45849.061111677467</v>
      </c>
      <c r="E50" s="268"/>
      <c r="G50" s="335">
        <f>IF(G$4="","",(G47+G48))</f>
        <v>-45849.061111677467</v>
      </c>
      <c r="H50" s="335">
        <f t="shared" ref="H50:Q50" si="20">IF(H$4="","",(H47+H48))</f>
        <v>-5048.2141120307824</v>
      </c>
      <c r="I50" s="335">
        <f t="shared" si="20"/>
        <v>18339.747429397234</v>
      </c>
      <c r="J50" s="335">
        <f t="shared" si="20"/>
        <v>1227.5583615236937</v>
      </c>
      <c r="K50" s="335">
        <f t="shared" si="20"/>
        <v>-41513.127740129785</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1.4501413508729523E-2</v>
      </c>
      <c r="E53" s="265"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5"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639</v>
      </c>
      <c r="H59" s="334">
        <f>Data!D55</f>
        <v>927</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639</v>
      </c>
      <c r="H61" s="335">
        <f t="shared" si="22"/>
        <v>927</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247678</v>
      </c>
      <c r="H62" s="334">
        <f>Data!D58</f>
        <v>189250</v>
      </c>
      <c r="I62" s="334">
        <f>Data!E58</f>
        <v>200697</v>
      </c>
      <c r="J62" s="334">
        <f>Data!F58</f>
        <v>281254</v>
      </c>
      <c r="K62" s="334">
        <f>Data!G58</f>
        <v>-97419</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248317</v>
      </c>
      <c r="H63" s="335">
        <f t="shared" si="23"/>
        <v>190177</v>
      </c>
      <c r="I63" s="335">
        <f t="shared" si="23"/>
        <v>200697</v>
      </c>
      <c r="J63" s="335">
        <f t="shared" si="23"/>
        <v>281254</v>
      </c>
      <c r="K63" s="335">
        <f t="shared" si="23"/>
        <v>-97419</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7.58082497212932E-2</v>
      </c>
      <c r="E93" s="268"/>
      <c r="G93" s="23">
        <f t="shared" ref="G93:Q93" si="39">IF(G$4="","",G90/Market_Price)</f>
        <v>7.58082497212932E-2</v>
      </c>
      <c r="H93" s="23">
        <f t="shared" si="39"/>
        <v>6.1315496098104792E-2</v>
      </c>
      <c r="I93" s="23">
        <f t="shared" si="39"/>
        <v>6.1315496098104792E-2</v>
      </c>
      <c r="J93" s="23">
        <f t="shared" si="39"/>
        <v>5.5741360089186169E-2</v>
      </c>
      <c r="K93" s="23">
        <f t="shared" si="39"/>
        <v>5.5741360089186169E-2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16854064</v>
      </c>
      <c r="D101" s="26"/>
      <c r="E101" s="269"/>
      <c r="F101" s="26"/>
      <c r="G101" s="339">
        <f t="shared" ref="G101:Q101" si="42">IF(G$4="","",G105+G104)</f>
        <v>16854064</v>
      </c>
      <c r="H101" s="339">
        <f t="shared" si="42"/>
        <v>14687373</v>
      </c>
      <c r="I101" s="339">
        <f t="shared" si="42"/>
        <v>15987114</v>
      </c>
      <c r="J101" s="339">
        <f t="shared" si="42"/>
        <v>14270996</v>
      </c>
      <c r="K101" s="339">
        <f t="shared" si="42"/>
        <v>0</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265773</v>
      </c>
      <c r="D102" s="89"/>
      <c r="E102" s="270"/>
      <c r="F102" s="89"/>
      <c r="G102" s="352">
        <f>IF(G$4="","",Data!D77)</f>
        <v>213823</v>
      </c>
      <c r="H102" s="352">
        <f>IF(H$4="","",Data!E77)</f>
        <v>187711</v>
      </c>
      <c r="I102" s="352">
        <f>IF(I$4="","",Data!F77)</f>
        <v>277338</v>
      </c>
      <c r="J102" s="352">
        <f>IF(J$4="","",Data!G77)</f>
        <v>0</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9672256</v>
      </c>
      <c r="D103" s="89"/>
      <c r="E103" s="270"/>
      <c r="F103" s="89"/>
      <c r="G103" s="352">
        <f>IF(G$4="","",Data!D78)</f>
        <v>8852611</v>
      </c>
      <c r="H103" s="352">
        <f>IF(H$4="","",Data!E78)</f>
        <v>8769304</v>
      </c>
      <c r="I103" s="352">
        <f>IF(I$4="","",Data!F78)</f>
        <v>7321614</v>
      </c>
      <c r="J103" s="352">
        <f>IF(J$4="","",Data!G78)</f>
        <v>0</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3990166</v>
      </c>
      <c r="D104" s="26"/>
      <c r="E104" s="269"/>
      <c r="F104" s="26"/>
      <c r="G104" s="339">
        <f>Data!C79</f>
        <v>3990166</v>
      </c>
      <c r="H104" s="339">
        <f>Data!D79</f>
        <v>2466431</v>
      </c>
      <c r="I104" s="339">
        <f>Data!E79</f>
        <v>3908586</v>
      </c>
      <c r="J104" s="339">
        <f>Data!F79</f>
        <v>2946772</v>
      </c>
      <c r="K104" s="339">
        <f>Data!G79</f>
        <v>0</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12863898</v>
      </c>
      <c r="D105" s="26"/>
      <c r="E105" s="269"/>
      <c r="F105" s="26"/>
      <c r="G105" s="339">
        <f>Data!C80</f>
        <v>12863898</v>
      </c>
      <c r="H105" s="339">
        <f>Data!D80</f>
        <v>12220942</v>
      </c>
      <c r="I105" s="339">
        <f>Data!E80</f>
        <v>12078528</v>
      </c>
      <c r="J105" s="339">
        <f>Data!F80</f>
        <v>11324224</v>
      </c>
      <c r="K105" s="339">
        <f>Data!G80</f>
        <v>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9.6320290934761951E-2</v>
      </c>
      <c r="D125" s="27"/>
      <c r="E125" s="265"/>
      <c r="F125" s="27"/>
      <c r="G125" s="77">
        <f t="shared" ref="G125" si="50">IF(G$4="","",G124/Market_Price)</f>
        <v>0.12261168747610858</v>
      </c>
      <c r="H125" s="77">
        <f t="shared" ref="H125" si="51">IF(H$4="","",H124/Market_Price)</f>
        <v>0.12746388824574614</v>
      </c>
      <c r="I125" s="77">
        <f t="shared" ref="I125" si="52">IF(I$4="","",I124/Market_Price)</f>
        <v>0.10690014547144985</v>
      </c>
      <c r="J125" s="77">
        <f t="shared" ref="J125" si="53">IF(J$4="","",J124/Market_Price)</f>
        <v>0.10281409645497237</v>
      </c>
      <c r="K125" s="77">
        <f t="shared" ref="K125" si="54">IF(K$4="","",K124/Market_Price)</f>
        <v>8.91041756561992E-2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0.16779197279072181</v>
      </c>
      <c r="H126" s="23">
        <f>IF(H$4="","",(Data!D47*$C$3)/(Market_Price*Common_Shares))</f>
        <v>0.12197776364956212</v>
      </c>
      <c r="I126" s="23">
        <f>IF(I$4="","",(Data!E47*$C$3)/(Market_Price*Common_Shares))</f>
        <v>0.13219421797753109</v>
      </c>
      <c r="J126" s="23">
        <f>IF(J$4="","",(Data!F47*$C$3)/(Market_Price*Common_Shares))</f>
        <v>9.6588108243369969E-2</v>
      </c>
      <c r="K126" s="23">
        <f>IF(K$4="","",(Data!G47*$C$3)/(Market_Price*Common_Shares))</f>
        <v>8.2249924550767503E-2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13526855.422162153</v>
      </c>
      <c r="D6" t="str">
        <f>Reporting_currency</f>
        <v>HKD</v>
      </c>
      <c r="E6" s="365" t="s">
        <v>250</v>
      </c>
      <c r="F6" s="365"/>
      <c r="H6" s="120"/>
    </row>
    <row r="7" spans="2:8">
      <c r="B7" s="148" t="s">
        <v>225</v>
      </c>
      <c r="C7" s="344">
        <f>BS!G31</f>
        <v>2034922</v>
      </c>
      <c r="D7" t="str">
        <f>Reporting_currency</f>
        <v>HKD</v>
      </c>
      <c r="E7" s="365"/>
      <c r="F7" s="365"/>
      <c r="H7" s="120"/>
    </row>
    <row r="8" spans="2:8">
      <c r="B8" s="148" t="s">
        <v>226</v>
      </c>
      <c r="C8" s="344">
        <f>BS!D66</f>
        <v>1050246.6606106577</v>
      </c>
      <c r="D8" t="str">
        <f>Reporting_currency</f>
        <v>HKD</v>
      </c>
      <c r="E8" s="365"/>
      <c r="F8" s="365"/>
      <c r="H8" s="120"/>
    </row>
    <row r="9" spans="2:8">
      <c r="B9" s="205" t="s">
        <v>191</v>
      </c>
      <c r="C9" s="354">
        <f>BS!H42</f>
        <v>92572.6</v>
      </c>
      <c r="D9" t="str">
        <f>Reporting_currency</f>
        <v>HKD</v>
      </c>
      <c r="E9" s="365"/>
      <c r="F9" s="365"/>
      <c r="H9" s="120"/>
    </row>
    <row r="10" spans="2:8" ht="13.15">
      <c r="B10" s="149" t="s">
        <v>228</v>
      </c>
      <c r="C10" s="353">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17" ht="13.25" customHeight="1">
      <c r="B17" s="118" t="s">
        <v>135</v>
      </c>
      <c r="C17" s="162">
        <f>Scenarios!C64</f>
        <v>5</v>
      </c>
      <c r="H17" s="120"/>
    </row>
    <row r="18" spans="2:17" ht="13.25" customHeight="1">
      <c r="B18" s="153" t="s">
        <v>107</v>
      </c>
      <c r="C18" s="140">
        <f>(F52-C7+C8+C9)*Exchange_Rate/Common_Shares*scaling_factor</f>
        <v>21.970979004481553</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44"/>
      <c r="H23" s="345"/>
      <c r="I23" s="344"/>
      <c r="J23" s="344"/>
      <c r="K23" s="344"/>
      <c r="L23" s="344"/>
      <c r="M23" s="344"/>
      <c r="N23" s="344"/>
      <c r="O23" s="344"/>
      <c r="P23" s="344"/>
      <c r="Q23" s="344"/>
    </row>
    <row r="24" spans="2:17">
      <c r="B24" s="122">
        <v>4</v>
      </c>
      <c r="C24" s="123">
        <f t="shared" si="2"/>
        <v>1065793.3185593141</v>
      </c>
      <c r="D24" s="138">
        <f>IF($C$17&lt;B24,0,DCF!$C$16)</f>
        <v>1.24036923941947E-2</v>
      </c>
      <c r="E24" s="124">
        <f t="shared" si="0"/>
        <v>0.7488005297763749</v>
      </c>
      <c r="F24" s="125">
        <f t="shared" si="1"/>
        <v>798066.60156933509</v>
      </c>
      <c r="G24" s="344"/>
      <c r="H24" s="345"/>
      <c r="I24" s="344"/>
      <c r="J24" s="344"/>
      <c r="K24" s="344"/>
      <c r="L24" s="344"/>
      <c r="M24" s="344"/>
      <c r="N24" s="344"/>
      <c r="O24" s="344"/>
      <c r="P24" s="344"/>
      <c r="Q24" s="344"/>
    </row>
    <row r="25" spans="2:17">
      <c r="B25" s="122">
        <v>5</v>
      </c>
      <c r="C25" s="123">
        <f t="shared" si="2"/>
        <v>1079013.0910385123</v>
      </c>
      <c r="D25" s="138">
        <f>IF($C$17&lt;B25,0,DCF!$C$16)</f>
        <v>1.24036923941947E-2</v>
      </c>
      <c r="E25" s="124">
        <f t="shared" si="0"/>
        <v>0.69655863235011617</v>
      </c>
      <c r="F25" s="125">
        <f t="shared" si="1"/>
        <v>751595.88298165752</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13694638.375879399</v>
      </c>
      <c r="D51" s="139">
        <f>Terminal_Growth</f>
        <v>0</v>
      </c>
      <c r="E51" s="124">
        <f>1/(1+Equity_Cost)^C17</f>
        <v>0.69655863235011617</v>
      </c>
      <c r="F51" s="125">
        <f t="shared" si="1"/>
        <v>9539118.5776319709</v>
      </c>
      <c r="H51" s="120"/>
    </row>
    <row r="52" spans="1:17">
      <c r="C52" s="114"/>
      <c r="E52" s="127" t="s">
        <v>101</v>
      </c>
      <c r="F52" s="137">
        <f>SUM(F21:F51)</f>
        <v>13791436.985105649</v>
      </c>
      <c r="H52" s="120"/>
    </row>
    <row r="53" spans="1:17">
      <c r="C53" s="114"/>
      <c r="H53" s="120"/>
    </row>
    <row r="54" spans="1:17" ht="13.15">
      <c r="B54" s="119" t="s">
        <v>130</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7">
        <v>10846089.732352465</v>
      </c>
      <c r="D58" s="123">
        <v>14919697.201417767</v>
      </c>
      <c r="E58" s="123">
        <v>17471990.068637542</v>
      </c>
      <c r="F58" s="123">
        <v>18470667.45111338</v>
      </c>
      <c r="G58" s="344"/>
      <c r="H58" s="345"/>
      <c r="I58" s="344"/>
      <c r="J58" s="344"/>
      <c r="K58" s="344"/>
      <c r="L58" s="344"/>
      <c r="M58" s="344"/>
      <c r="N58" s="344"/>
      <c r="O58" s="344"/>
      <c r="P58" s="344"/>
      <c r="Q58" s="344"/>
    </row>
    <row r="59" spans="1:17" ht="13.15">
      <c r="A59" s="144">
        <v>20</v>
      </c>
      <c r="B59" s="123">
        <v>8683793.7876629326</v>
      </c>
      <c r="C59" s="347">
        <v>10084796.640355669</v>
      </c>
      <c r="D59" s="123">
        <v>15481140.161074549</v>
      </c>
      <c r="E59" s="123">
        <v>19338359.550665967</v>
      </c>
      <c r="F59" s="123">
        <v>20939952.173166756</v>
      </c>
      <c r="G59" s="344"/>
      <c r="H59" s="345"/>
      <c r="I59" s="344"/>
      <c r="J59" s="344"/>
      <c r="K59" s="344"/>
      <c r="L59" s="344"/>
      <c r="M59" s="344"/>
      <c r="N59" s="344"/>
      <c r="O59" s="344"/>
      <c r="P59" s="344"/>
      <c r="Q59" s="344"/>
    </row>
    <row r="60" spans="1:17" ht="13.15">
      <c r="A60" s="144">
        <v>25</v>
      </c>
      <c r="B60" s="123">
        <v>7939503.7870337907</v>
      </c>
      <c r="C60" s="347">
        <v>9466810.9013888501</v>
      </c>
      <c r="D60" s="123">
        <v>16015504.278556045</v>
      </c>
      <c r="E60" s="123">
        <v>21277884.441765253</v>
      </c>
      <c r="F60" s="123">
        <v>23588131.629929073</v>
      </c>
      <c r="G60" s="344"/>
      <c r="H60" s="345"/>
      <c r="I60" s="344"/>
      <c r="J60" s="344"/>
      <c r="K60" s="344"/>
      <c r="L60" s="344"/>
      <c r="M60" s="344"/>
      <c r="N60" s="344"/>
      <c r="O60" s="344"/>
      <c r="P60" s="344"/>
      <c r="Q60" s="344"/>
    </row>
    <row r="61" spans="1:17" ht="13.15">
      <c r="A61" s="144">
        <v>30</v>
      </c>
      <c r="B61" s="123">
        <v>7386703.5514114182</v>
      </c>
      <c r="C61" s="347">
        <v>8989078.4716401435</v>
      </c>
      <c r="D61" s="123">
        <v>16497915.457154436</v>
      </c>
      <c r="E61" s="123">
        <v>23197386.231406935</v>
      </c>
      <c r="F61" s="123">
        <v>26297947.283042546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10646222.346666668</v>
      </c>
      <c r="D6" t="str">
        <f>Reporting_currency</f>
        <v>HKD</v>
      </c>
      <c r="E6" s="365"/>
      <c r="F6" s="365"/>
      <c r="H6" s="120"/>
    </row>
    <row r="7" spans="2:8" ht="13.15">
      <c r="B7" s="149" t="s">
        <v>444</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-17.940000000000001</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344">
        <f>Normalized_FCF!G8</f>
        <v>1876773</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7"/>
      <c r="H7" s="247">
        <v>4</v>
      </c>
      <c r="I7" s="124" t="str">
        <f t="shared" si="0"/>
        <v/>
      </c>
    </row>
    <row r="8" spans="2:9">
      <c r="B8" s="100" t="s">
        <v>66</v>
      </c>
      <c r="C8" s="344">
        <f>Normalized_FCF!G19</f>
        <v>1291433.9388883226</v>
      </c>
      <c r="D8" t="str">
        <f>Reporting_currency</f>
        <v>HKD</v>
      </c>
      <c r="E8" s="367"/>
      <c r="F8" s="367"/>
      <c r="H8" s="247">
        <v>5</v>
      </c>
      <c r="I8" s="124" t="str">
        <f t="shared" si="0"/>
        <v/>
      </c>
    </row>
    <row r="9" spans="2:9">
      <c r="B9" s="100" t="s">
        <v>57</v>
      </c>
      <c r="C9" s="344">
        <f>Normalized_FCF!C19</f>
        <v>1014514.1566621615</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0.20035451325595277</v>
      </c>
      <c r="D12" s="158"/>
      <c r="E12" s="367"/>
      <c r="F12" s="367"/>
      <c r="H12" s="247">
        <v>9</v>
      </c>
      <c r="I12" s="124" t="str">
        <f t="shared" si="0"/>
        <v/>
      </c>
    </row>
    <row r="13" spans="2:9">
      <c r="B13" s="148" t="s">
        <v>153</v>
      </c>
      <c r="C13" s="158">
        <f ca="1">(Normalized_FCF!G8/OFFSET(Normalized_FCF!G8, 0, $C$4))^(1/$C$4) - 1</f>
        <v>0.26016796976901468</v>
      </c>
      <c r="E13" s="367"/>
      <c r="F13" s="367"/>
      <c r="H13" s="247">
        <v>10</v>
      </c>
      <c r="I13" s="124" t="str">
        <f t="shared" si="0"/>
        <v/>
      </c>
    </row>
    <row r="14" spans="2:9">
      <c r="B14" s="100" t="s">
        <v>66</v>
      </c>
      <c r="C14" s="158">
        <f ca="1">(Normalized_FCF!G19/OFFSET(Normalized_FCF!G19, 0, $C$4))^(1/$C$4) - 1</f>
        <v>6.0457013634429568E-2</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17.940000000000001</v>
      </c>
      <c r="D21" t="str">
        <f>Market_currency</f>
        <v>HKD</v>
      </c>
      <c r="E21" s="368"/>
      <c r="F21" s="368"/>
    </row>
    <row r="22" spans="2:6">
      <c r="B22" s="100" t="s">
        <v>279</v>
      </c>
      <c r="C22" s="160">
        <f>IF(valuation_method="DCF",DCF!C12,DDM!C7)</f>
        <v>21.520326602297704</v>
      </c>
      <c r="D22" t="str">
        <f>Market_currency</f>
        <v>HKD</v>
      </c>
      <c r="E22" s="368"/>
      <c r="F22" s="368"/>
    </row>
    <row r="24" spans="2:6" ht="13.15">
      <c r="B24" s="159" t="s">
        <v>116</v>
      </c>
      <c r="E24" s="159" t="s">
        <v>150</v>
      </c>
      <c r="F24" s="159"/>
    </row>
    <row r="25" spans="2:6">
      <c r="B25" s="152" t="s">
        <v>134</v>
      </c>
      <c r="C25" s="166">
        <f>C18</f>
        <v>5</v>
      </c>
      <c r="D25" s="163"/>
      <c r="E25" s="366"/>
      <c r="F25" s="366"/>
    </row>
    <row r="26" spans="2:6">
      <c r="B26" s="118" t="s">
        <v>135</v>
      </c>
      <c r="C26" s="164">
        <v>0.02</v>
      </c>
      <c r="D26" s="164"/>
      <c r="E26" s="366"/>
      <c r="F26" s="366"/>
    </row>
    <row r="27" spans="2:6">
      <c r="B27" s="100" t="s">
        <v>114</v>
      </c>
      <c r="C27" s="160">
        <f>IF(valuation_method="DCF",DCF!E76,DDM!E71)</f>
        <v>22.250930687579032</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-0.05</v>
      </c>
      <c r="D32" s="164"/>
      <c r="E32" s="366"/>
      <c r="F32" s="366"/>
    </row>
    <row r="33" spans="2:6">
      <c r="B33" s="100" t="s">
        <v>114</v>
      </c>
      <c r="C33" s="160">
        <f>IF(valuation_method="DCF",DCF!E77,DDM!E72)</f>
        <v>19.781049681312481</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0.05</v>
      </c>
      <c r="D38" s="164"/>
      <c r="E38" s="366"/>
      <c r="F38" s="366"/>
    </row>
    <row r="39" spans="2:6">
      <c r="B39" s="100" t="s">
        <v>114</v>
      </c>
      <c r="C39" s="160">
        <f>IF(valuation_method="DCF",DCF!E75,DDM!E70)</f>
        <v>23.387035431722254</v>
      </c>
      <c r="D39" t="str">
        <f>Market_currency</f>
        <v>HKD</v>
      </c>
      <c r="E39" s="366"/>
      <c r="F39" s="366"/>
    </row>
    <row r="40" spans="2:6">
      <c r="B40" s="100" t="s">
        <v>148</v>
      </c>
      <c r="C40" s="167">
        <f>1-C28-C34</f>
        <v>0.2</v>
      </c>
      <c r="D40" s="165"/>
      <c r="E40" s="366"/>
      <c r="F40" s="366"/>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-0.08</v>
      </c>
      <c r="D50" s="164"/>
      <c r="E50" s="366"/>
      <c r="F50" s="366"/>
    </row>
    <row r="51" spans="2:6">
      <c r="B51" s="100" t="s">
        <v>114</v>
      </c>
      <c r="C51" s="160">
        <f>IF(valuation_method="DCF",DCF!E78,DDM!E73)</f>
        <v>16.85974867630091</v>
      </c>
      <c r="D51" t="str">
        <f>Market_currency</f>
        <v>HKD</v>
      </c>
      <c r="E51" s="366"/>
      <c r="F51" s="366"/>
    </row>
    <row r="52" spans="2:6">
      <c r="B52" s="100" t="s">
        <v>148</v>
      </c>
      <c r="C52" s="165">
        <v>0.02</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0.06</v>
      </c>
      <c r="D56" s="164"/>
      <c r="E56" s="366"/>
      <c r="F56" s="366"/>
    </row>
    <row r="57" spans="2:6">
      <c r="B57" s="100" t="s">
        <v>114</v>
      </c>
      <c r="C57" s="160">
        <f>IF(valuation_method="DCF",DCF!E74,DDM!E69)</f>
        <v>26.337741753732704</v>
      </c>
      <c r="D57" t="str">
        <f>Market_currency</f>
        <v>HKD</v>
      </c>
      <c r="E57" s="366"/>
      <c r="F57" s="366"/>
    </row>
    <row r="58" spans="2:6">
      <c r="B58" s="100" t="s">
        <v>148</v>
      </c>
      <c r="C58" s="165">
        <v>0.02</v>
      </c>
      <c r="D58" s="165"/>
      <c r="E58" s="366"/>
      <c r="F58" s="366"/>
    </row>
    <row r="60" spans="2:6" ht="13.15">
      <c r="B60" s="100" t="s">
        <v>121</v>
      </c>
      <c r="C60" s="154">
        <f>C51*C52+C57*C58+C42*(1-C52-C58)</f>
        <v>21.968758226348868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1">
        <f>(1-C83/C60)</f>
        <v>0.50628262361961229</v>
      </c>
    </row>
    <row r="84" spans="2:8">
      <c r="E84" s="120"/>
    </row>
    <row r="85" spans="2:8" ht="13.15">
      <c r="B85" s="109" t="s">
        <v>303</v>
      </c>
    </row>
    <row r="86" spans="2:8">
      <c r="B86" s="148" t="s">
        <v>301</v>
      </c>
      <c r="C86" s="116">
        <f>Market_Price</f>
        <v>17.940000000000001</v>
      </c>
      <c r="D86" t="str">
        <f>Market_currency</f>
        <v>HKD</v>
      </c>
    </row>
    <row r="87" spans="2:8" ht="13.15">
      <c r="B87" s="100" t="s">
        <v>299</v>
      </c>
      <c r="C87" s="237">
        <f ca="1">IRR(OFFSET($I$3, 0, 0, $C$76 + 1, 1))</f>
        <v>0.14103309440068279</v>
      </c>
    </row>
    <row r="88" spans="2:8">
      <c r="B88" s="100"/>
    </row>
    <row r="89" spans="2:8" ht="13.15">
      <c r="B89" s="109" t="s">
        <v>413</v>
      </c>
    </row>
    <row r="90" spans="2:8">
      <c r="B90" s="148" t="s">
        <v>414</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1">
        <f>(1-C93/C60)</f>
        <v>0.31882483407190654</v>
      </c>
    </row>
    <row r="95" spans="2:8" ht="13.15">
      <c r="B95" s="109" t="s">
        <v>398</v>
      </c>
      <c r="G95" s="2"/>
      <c r="H95" s="281"/>
    </row>
    <row r="96" spans="2:8">
      <c r="B96" s="148" t="s">
        <v>404</v>
      </c>
      <c r="C96" s="134">
        <f>Thesis!F31</f>
        <v>7.4999999999999997E-2</v>
      </c>
      <c r="G96" s="2"/>
      <c r="H96" s="281"/>
    </row>
    <row r="97" spans="2:8">
      <c r="B97" s="100" t="s">
        <v>122</v>
      </c>
      <c r="C97" s="116">
        <f>PV(C96, C76, -C77, 0)</f>
        <v>3.5367150062258652</v>
      </c>
      <c r="D97" s="116"/>
      <c r="G97" s="2"/>
      <c r="H97" s="281"/>
    </row>
    <row r="98" spans="2:8">
      <c r="B98" s="100" t="s">
        <v>123</v>
      </c>
      <c r="C98" s="116">
        <f>C60/(1+C96)^C76</f>
        <v>17.683984133300562</v>
      </c>
      <c r="D98" s="116"/>
      <c r="G98" s="2"/>
      <c r="H98" s="281"/>
    </row>
    <row r="99" spans="2:8" ht="13.15">
      <c r="B99" s="110" t="s">
        <v>399</v>
      </c>
      <c r="C99" s="111">
        <f>C97+C98</f>
        <v>21.220699139526428</v>
      </c>
      <c r="D99" t="s">
        <v>397</v>
      </c>
      <c r="E99" s="146" t="s">
        <v>127</v>
      </c>
      <c r="F99" s="291">
        <f>(1-C99/C60)</f>
        <v>3.4051040988071546E-2</v>
      </c>
    </row>
    <row r="100" spans="2:8">
      <c r="B100" s="100"/>
    </row>
    <row r="101" spans="2:8" ht="13.15">
      <c r="B101" s="109" t="s">
        <v>422</v>
      </c>
    </row>
    <row r="102" spans="2:8">
      <c r="B102" s="148" t="s">
        <v>421</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1">
        <f>(1-C105/C66)</f>
        <v>0.13397231740286097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