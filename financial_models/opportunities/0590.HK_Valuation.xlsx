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B36562D9-CCC1-A840-AA98-75A1C1AE64D3}" xr6:coauthVersionLast="47" xr6:coauthVersionMax="47" xr10:uidLastSave="{00000000-0000-0000-0000-000000000000}"/>
  <bookViews>
    <workbookView xWindow="3000" yWindow="510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F62" i="10"/>
  <c r="D65" i="10"/>
  <c r="E61" i="10"/>
  <c r="E63" i="10"/>
  <c r="E65" i="10"/>
  <c r="B64" i="10"/>
  <c r="F61" i="10"/>
  <c r="F65" i="10"/>
  <c r="B65" i="10"/>
  <c r="E62" i="10"/>
  <c r="E64" i="10"/>
  <c r="F64" i="10"/>
  <c r="C65" i="10"/>
  <c r="D61" i="10"/>
  <c r="F63" i="10"/>
  <c r="B63" i="10"/>
  <c r="C62" i="10"/>
  <c r="C64" i="10"/>
  <c r="C66" i="10"/>
  <c r="B66" i="10"/>
  <c r="D62" i="10"/>
  <c r="D64" i="10"/>
  <c r="D66" i="10"/>
  <c r="B61" i="10"/>
  <c r="E66" i="10"/>
  <c r="F66" i="10"/>
  <c r="C61" i="10"/>
  <c r="C63" i="10"/>
  <c r="B62" i="10"/>
  <c r="D63"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59" i="2" l="1"/>
  <c r="C67" i="2"/>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C4" i="2"/>
  <c r="C33"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D71" i="8"/>
  <c r="D70" i="8"/>
  <c r="B70" i="8"/>
  <c r="C66" i="8"/>
  <c r="B68" i="8"/>
  <c r="B67" i="8"/>
  <c r="B66" i="8"/>
  <c r="G54" i="2"/>
  <c r="C54" i="2" s="1"/>
  <c r="F71" i="8" l="1"/>
  <c r="C67" i="8"/>
  <c r="E70" i="8"/>
  <c r="F66" i="8"/>
  <c r="D69" i="8"/>
  <c r="E67" i="8"/>
  <c r="D66" i="8"/>
  <c r="F70"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c r="C92" i="9" s="1"/>
  <c r="C151" i="6" s="1"/>
  <c r="I6" i="9"/>
  <c r="C127" i="6" l="1"/>
  <c r="C26" i="6" s="1"/>
  <c r="C98" i="9"/>
  <c r="C82" i="9"/>
  <c r="C83" i="9" s="1"/>
  <c r="F83" i="9" s="1"/>
  <c r="F72" i="9"/>
  <c r="C72" i="9" s="1"/>
  <c r="C104" i="9"/>
  <c r="C105" i="9" s="1"/>
  <c r="C168" i="6" s="1"/>
  <c r="C167" i="6"/>
  <c r="C99" i="9"/>
  <c r="C159" i="6"/>
  <c r="C87" i="9"/>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<sst xmlns="http://schemas.openxmlformats.org/spreadsheetml/2006/main" count="682" uniqueCount="462">
  <si>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</si>
  <si>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</si>
  <si>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</si>
  <si>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</si>
  <si>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</si>
  <si>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</si>
  <si>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</si>
  <si>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</si>
  <si>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</si>
  <si>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</si>
  <si>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</si>
  <si>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</si>
  <si>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</si>
  <si>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</si>
  <si>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</si>
  <si>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</si>
  <si>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</si>
  <si>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</si>
  <si>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</si>
  <si>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</si>
  <si>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</si>
  <si>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</si>
  <si>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</si>
  <si>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</si>
  <si>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</si>
  <si>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</si>
  <si>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</si>
  <si>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</si>
  <si>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</si>
  <si>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</si>
  <si>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</si>
  <si>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</si>
  <si>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</si>
  <si>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</si>
  <si>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</si>
  <si>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</si>
  <si>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</si>
  <si>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</si>
  <si>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</si>
  <si>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</si>
  <si>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</si>
  <si>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</si>
  <si>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</si>
  <si>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</si>
  <si>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</si>
  <si>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</si>
  <si>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</si>
  <si>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</si>
  <si>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</si>
  <si>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</si>
  <si>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</si>
  <si>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</si>
  <si>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</si>
  <si>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</si>
  <si>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</si>
  <si>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</si>
  <si>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</si>
  <si>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</si>
  <si>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</si>
  <si>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</si>
  <si>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</si>
  <si>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</si>
  <si>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</si>
  <si>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</si>
  <si>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</si>
  <si>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</si>
  <si>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</si>
  <si>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</si>
  <si>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</si>
  <si>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</si>
  <si>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</si>
  <si>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</si>
  <si>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</si>
  <si>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</si>
  <si>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</si>
  <si>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</si>
  <si>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</si>
  <si>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</si>
  <si>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</si>
  <si>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</si>
  <si>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</si>
  <si>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</si>
  <si>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</si>
  <si>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</si>
  <si>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</si>
  <si>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</si>
  <si>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</si>
  <si>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</si>
  <si>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</si>
  <si>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</si>
  <si>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</si>
  <si>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</si>
  <si>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</si>
  <si>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</si>
  <si>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</si>
  <si>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</si>
  <si>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</si>
  <si>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</si>
  <si>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</si>
  <si>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</si>
  <si>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</si>
  <si>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</si>
  <si>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</si>
  <si>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</si>
  <si>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</si>
  <si>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</si>
  <si>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</si>
  <si>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</si>
  <si>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</si>
  <si>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</si>
  <si>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</si>
  <si>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</si>
  <si>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</si>
  <si>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</si>
  <si>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</si>
  <si>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</si>
  <si>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</si>
  <si>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</si>
  <si>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</si>
  <si>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</si>
  <si>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</si>
  <si>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</si>
  <si>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</si>
  <si>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</si>
  <si>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</si>
  <si>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</si>
  <si>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</si>
  <si>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</si>
  <si>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</si>
  <si>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</si>
  <si>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</si>
  <si>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</si>
  <si>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</si>
  <si>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</si>
  <si>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</si>
  <si>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</si>
  <si>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</si>
  <si>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</si>
  <si>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</si>
  <si>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</si>
  <si>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</si>
  <si>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</si>
  <si>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</si>
  <si>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</si>
  <si>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</si>
  <si>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</si>
  <si>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</si>
  <si>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</si>
  <si>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</si>
  <si>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</si>
  <si>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</si>
  <si>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</si>
  <si>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</si>
  <si>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</si>
  <si>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</si>
  <si>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</si>
  <si>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</si>
  <si>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</si>
  <si>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</si>
  <si>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</si>
  <si>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</si>
  <si>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</si>
  <si>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</si>
  <si>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</si>
  <si>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</si>
  <si>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</si>
  <si>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</si>
  <si>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</si>
  <si>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</si>
  <si>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</si>
  <si>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</si>
  <si>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</si>
  <si>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</si>
  <si>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</si>
  <si>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</si>
  <si>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</si>
  <si>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</si>
  <si>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</si>
  <si>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</si>
  <si>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</si>
  <si>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</si>
  <si>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</si>
  <si>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</si>
  <si>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</si>
  <si>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</si>
  <si>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</si>
  <si>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</si>
  <si>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</si>
  <si>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</si>
  <si>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</si>
  <si>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</si>
  <si>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</si>
  <si>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</si>
  <si>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</si>
  <si>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</si>
  <si>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</si>
  <si>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</si>
  <si>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</si>
  <si>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</si>
  <si>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</si>
  <si>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</si>
  <si>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</si>
  <si>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</si>
  <si>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</si>
  <si>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</si>
  <si>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</si>
  <si>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</si>
  <si>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</si>
  <si>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</si>
  <si>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</si>
  <si>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</si>
  <si>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</si>
  <si>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</si>
  <si>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</si>
  <si>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</si>
  <si>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</si>
  <si>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</si>
  <si>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</si>
  <si>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</si>
  <si>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</si>
  <si>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</si>
  <si>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</si>
  <si>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</si>
  <si>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</si>
  <si>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</si>
  <si>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</si>
  <si>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</si>
  <si>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</si>
  <si>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</si>
  <si>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</si>
  <si>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</si>
  <si>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</si>
  <si>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</si>
  <si>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</si>
  <si>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</si>
  <si>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</si>
  <si>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</si>
  <si>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</si>
  <si>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</si>
  <si>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</si>
  <si>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</si>
  <si>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</si>
  <si>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</si>
  <si>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</si>
  <si>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</si>
  <si>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</si>
  <si>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</si>
  <si>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</si>
  <si>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</si>
  <si>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</si>
  <si>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</si>
  <si>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</si>
  <si>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</si>
  <si>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</si>
  <si>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</si>
  <si>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</si>
  <si>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</si>
  <si>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</si>
  <si>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</si>
  <si>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</si>
  <si>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</si>
  <si>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</si>
  <si>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</si>
  <si>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</si>
  <si>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</si>
  <si>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</si>
  <si>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</si>
  <si>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</si>
  <si>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</si>
  <si>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</si>
  <si>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</si>
  <si>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</si>
  <si>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</si>
  <si>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</si>
  <si>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</si>
  <si>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</si>
  <si>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</si>
  <si>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</si>
  <si>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</si>
  <si>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</si>
  <si>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</si>
  <si>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</si>
  <si>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</si>
  <si>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</si>
  <si>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</si>
  <si>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</si>
  <si>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</si>
  <si>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</si>
  <si>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</si>
  <si>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</si>
  <si>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</si>
  <si>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</si>
  <si>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</si>
  <si>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</si>
  <si>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</si>
  <si>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</si>
  <si>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</si>
  <si>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</si>
  <si>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</si>
  <si>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</si>
  <si>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</si>
  <si>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</si>
  <si>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</si>
  <si>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</si>
  <si>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</si>
  <si>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</si>
  <si>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</si>
  <si>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</si>
  <si>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</si>
  <si>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</si>
  <si>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</si>
  <si>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</si>
  <si>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</si>
  <si>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</si>
  <si>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</si>
  <si>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</si>
  <si>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</si>
  <si>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</si>
  <si>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</si>
  <si>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</si>
  <si>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</si>
  <si>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</si>
  <si>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</si>
  <si>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</si>
  <si>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</si>
  <si>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</si>
  <si>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</si>
  <si>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</si>
  <si>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</si>
  <si>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</si>
  <si>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</si>
  <si>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</si>
  <si>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</si>
  <si>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</si>
  <si>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</si>
  <si>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</si>
  <si>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</si>
  <si>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</si>
  <si>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</si>
  <si>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</si>
  <si>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</si>
  <si>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</si>
  <si>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</si>
  <si>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</si>
  <si>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</si>
  <si>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</si>
  <si>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</si>
  <si>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</si>
  <si>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</si>
  <si>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</si>
  <si>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</si>
  <si>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</si>
  <si>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</si>
  <si>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</si>
  <si>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</si>
  <si>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</si>
  <si>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</si>
  <si>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</si>
  <si>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</si>
  <si>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</si>
  <si>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</si>
  <si>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</si>
  <si>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</si>
  <si>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</si>
  <si>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</si>
  <si>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</si>
  <si>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</si>
  <si>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</si>
  <si>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</si>
  <si>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</si>
  <si>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</si>
  <si>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</si>
  <si>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</si>
  <si>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</si>
  <si>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</si>
  <si>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</si>
  <si>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</si>
  <si>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</si>
  <si>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</si>
  <si>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</si>
  <si>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</si>
  <si>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</si>
  <si>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</si>
  <si>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</si>
  <si>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</si>
  <si>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</si>
  <si>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</si>
  <si>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</si>
  <si>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</si>
  <si>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</si>
  <si>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</si>
  <si>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</si>
  <si>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</si>
  <si>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</si>
  <si>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</si>
  <si>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</si>
  <si>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</si>
  <si>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</si>
  <si>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</si>
  <si>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</si>
  <si>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</si>
  <si>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</si>
  <si>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</si>
  <si>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</si>
  <si>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</si>
  <si>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</si>
  <si>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</si>
  <si>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</si>
  <si>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</si>
  <si>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</si>
  <si>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</si>
  <si>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</si>
  <si>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</si>
  <si>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</si>
  <si>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</si>
  <si>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</si>
  <si>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</si>
  <si>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</si>
  <si>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</si>
  <si>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</si>
  <si>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</si>
  <si>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</si>
  <si>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</si>
  <si>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</si>
  <si>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</si>
  <si>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</si>
  <si>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</si>
  <si>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</si>
  <si>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</si>
  <si>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</si>
  <si>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</si>
  <si>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</si>
  <si>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</si>
  <si>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</si>
  <si>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</si>
  <si>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</si>
  <si>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</si>
  <si>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</si>
  <si>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</si>
  <si>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</si>
  <si>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</si>
  <si>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</si>
  <si>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</si>
  <si>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</si>
  <si>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</si>
  <si>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</si>
  <si>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</si>
  <si>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</si>
  <si>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</si>
  <si>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</si>
  <si>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</si>
  <si>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</si>
  <si>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六福珠宝</t>
  </si>
  <si>
    <t>0590.HK</t>
  </si>
  <si>
    <t/>
  </si>
  <si>
    <t>CNS_05</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</si>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</sst>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7" fillId="0" borderId="0" xfId="0" applyFont="1" applyAlignment="1">
      <alignment horizontal="left"/>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45730</v>
      </c>
      <c r="D1" s="358" t="s">
        <v>461</v>
      </c>
      <c r="E1" s="320" t="s">
        <v>354</v>
      </c>
      <c r="F1" s="276" t="s">
        <v>451</v>
      </c>
    </row>
    <row r="2" spans="1:10" ht="16" x14ac:dyDescent="0.25">
      <c r="A2" s="244" t="s">
        <v>268</v>
      </c>
      <c r="B2" s="36"/>
      <c r="C2" s="36"/>
      <c r="D2" s="36"/>
      <c r="E2" s="36"/>
      <c r="F2" s="36"/>
      <c r="G2" s="22"/>
      <c r="H2" s="22"/>
      <c r="I2" s="22"/>
      <c r="J2" s="22"/>
    </row>
    <row r="4" spans="1:10" x14ac:dyDescent="0.15">
      <c r="B4" s="45" t="s">
        <v>416</v>
      </c>
      <c r="C4" s="46"/>
      <c r="D4" s="5"/>
      <c r="E4" s="2"/>
      <c r="F4" s="2"/>
    </row>
    <row r="5" spans="1:10" ht="14" x14ac:dyDescent="0.2">
      <c r="B5" s="4" t="s">
        <v>316</v>
      </c>
      <c r="C5" s="322" t="s">
        <v>452</v>
      </c>
    </row>
    <row r="6" spans="1:10" x14ac:dyDescent="0.15">
      <c r="B6" s="4" t="s">
        <v>0</v>
      </c>
      <c r="C6" s="51">
        <v>587107850</v>
      </c>
      <c r="E6" s="48"/>
    </row>
    <row r="7" spans="1:10" x14ac:dyDescent="0.15">
      <c r="B7" s="2" t="s">
        <v>308</v>
      </c>
      <c r="C7" s="272">
        <v>12</v>
      </c>
      <c r="D7" s="48"/>
      <c r="E7" s="48"/>
    </row>
    <row r="8" spans="1:10" x14ac:dyDescent="0.15">
      <c r="B8" s="1" t="s">
        <v>269</v>
      </c>
      <c r="C8" s="33">
        <f>EOMONTH(EDATE(BS!C1,C7+2),0)</f>
        <v>45808</v>
      </c>
      <c r="E8" s="48"/>
    </row>
    <row r="9" spans="1:10" x14ac:dyDescent="0.15">
      <c r="E9" s="34"/>
    </row>
    <row r="10" spans="1:10" x14ac:dyDescent="0.15">
      <c r="B10" s="45" t="s">
        <v>419</v>
      </c>
      <c r="C10" s="46"/>
      <c r="E10" s="34"/>
    </row>
    <row r="11" spans="1:10" x14ac:dyDescent="0.15">
      <c r="B11" s="1" t="s">
        <v>418</v>
      </c>
      <c r="C11" s="49" t="s">
        <v>453</v>
      </c>
      <c r="D11" s="49" t="s">
        <v>454</v>
      </c>
      <c r="E11" s="34"/>
    </row>
    <row r="12" spans="1:10" x14ac:dyDescent="0.15">
      <c r="B12" s="4" t="s">
        <v>95</v>
      </c>
      <c r="C12" s="50">
        <v>17.420000000000002</v>
      </c>
      <c r="D12" s="50"/>
      <c r="E12" s="48"/>
    </row>
    <row r="13" spans="1:10" x14ac:dyDescent="0.15">
      <c r="B13" s="1" t="s">
        <v>417</v>
      </c>
      <c r="C13" s="48" t="s">
        <v>397</v>
      </c>
      <c r="D13" s="48"/>
      <c r="E13" s="5"/>
    </row>
    <row r="14" spans="1:10" x14ac:dyDescent="0.15">
      <c r="B14" s="4" t="s">
        <v>421</v>
      </c>
      <c r="C14" s="35">
        <f>Thesis!C12*Common_Shares/1000000</f>
        <v>10227.418747000002</v>
      </c>
      <c r="D14" s="35" t="str">
        <f>IF(D11="","",Thesis!D12*Common_Shares/1000000)</f>
        <v/>
      </c>
      <c r="E14" s="5"/>
    </row>
    <row r="15" spans="1:10" x14ac:dyDescent="0.15">
      <c r="B15" s="4" t="s">
        <v>420</v>
      </c>
      <c r="C15" s="32" t="str">
        <f>IF(C25=C13,C13,C25&amp;"/"&amp;C13)</f>
        <v>HKD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6" t="s">
        <v>360</v>
      </c>
      <c r="C18" s="346"/>
      <c r="D18" s="346"/>
      <c r="E18" s="346"/>
      <c r="F18" s="346"/>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38" t="s">
        <v>457</v>
      </c>
    </row>
    <row r="22" spans="2:6" x14ac:dyDescent="0.15">
      <c r="B22" s="2" t="s">
        <v>56</v>
      </c>
      <c r="C22" s="48" t="s">
        <v>455</v>
      </c>
      <c r="D22" s="1" t="str">
        <f>IF(valuation_method="DDM","DDM Terminal Value","")</f>
        <v/>
      </c>
      <c r="E22" s="343"/>
    </row>
    <row r="23" spans="2:6" x14ac:dyDescent="0.15">
      <c r="B23" s="1" t="s">
        <v>435</v>
      </c>
      <c r="C23" s="286" t="s">
        <v>456</v>
      </c>
    </row>
    <row r="24" spans="2:6" x14ac:dyDescent="0.15">
      <c r="B24" s="1" t="s">
        <v>436</v>
      </c>
      <c r="C24" s="286" t="s">
        <v>456</v>
      </c>
    </row>
    <row r="25" spans="2:6" x14ac:dyDescent="0.15">
      <c r="B25" s="4" t="s">
        <v>348</v>
      </c>
      <c r="C25" s="48" t="s">
        <v>397</v>
      </c>
      <c r="D25" s="32" t="str">
        <f>IF(D11="","",Market_currency&amp;"/"&amp;D13&amp;":")</f>
        <v/>
      </c>
      <c r="E25" s="329" t="str">
        <f>IF(D11="","",1/Exchange_Rate*D16)</f>
        <v/>
      </c>
    </row>
    <row r="26" spans="2:6" x14ac:dyDescent="0.15">
      <c r="B26" s="1" t="str">
        <f>"Expected Equity Value ("&amp;C13&amp;") :"</f>
        <v>Expected Equity Value (HKD) :</v>
      </c>
      <c r="C26" s="334">
        <f>C127</f>
        <v>20.508980461992877</v>
      </c>
      <c r="D26" s="1" t="s">
        <v>400</v>
      </c>
      <c r="E26" s="331">
        <f ca="1">Scenarios!C87</f>
        <v>0.13011393728241316</v>
      </c>
    </row>
    <row r="27" spans="2:6" x14ac:dyDescent="0.15">
      <c r="D27" s="5"/>
      <c r="E27" s="5"/>
    </row>
    <row r="28" spans="2:6" x14ac:dyDescent="0.15">
      <c r="B28" s="45" t="s">
        <v>434</v>
      </c>
      <c r="C28" s="339" t="str">
        <f>C140&amp;" ("&amp;Market_currency&amp;")"</f>
        <v>0590.HK (HKD)</v>
      </c>
      <c r="D28" s="339" t="str">
        <f>IF(D11="","",D140&amp;" ("&amp;D13&amp;")")</f>
        <v/>
      </c>
      <c r="E28" s="335" t="s">
        <v>430</v>
      </c>
      <c r="F28" s="333">
        <v>3</v>
      </c>
    </row>
    <row r="29" spans="2:6" x14ac:dyDescent="0.15">
      <c r="B29" s="1" t="s">
        <v>426</v>
      </c>
      <c r="C29" s="340">
        <f>C144</f>
        <v>9.6350511887729162</v>
      </c>
      <c r="D29" s="340" t="str">
        <f>D144</f>
        <v/>
      </c>
      <c r="E29" s="336" t="s">
        <v>425</v>
      </c>
      <c r="F29" s="332">
        <v>0.4</v>
      </c>
    </row>
    <row r="30" spans="2:6" x14ac:dyDescent="0.15">
      <c r="B30" s="1" t="s">
        <v>427</v>
      </c>
      <c r="C30" s="341">
        <f>C152</f>
        <v>14.155501125684513</v>
      </c>
      <c r="D30" s="341" t="str">
        <f>D152</f>
        <v/>
      </c>
      <c r="E30" s="337" t="s">
        <v>438</v>
      </c>
      <c r="F30" s="342">
        <v>0.21740000000000001</v>
      </c>
    </row>
    <row r="31" spans="2:6" x14ac:dyDescent="0.15">
      <c r="B31" s="1" t="s">
        <v>428</v>
      </c>
      <c r="C31" s="341">
        <f>C160</f>
        <v>19.785541823839793</v>
      </c>
      <c r="D31" s="341" t="str">
        <f>D160</f>
        <v/>
      </c>
      <c r="E31" s="337" t="s">
        <v>437</v>
      </c>
      <c r="F31" s="342">
        <v>0.08</v>
      </c>
    </row>
    <row r="32" spans="2:6" x14ac:dyDescent="0.15">
      <c r="B32" s="1" t="s">
        <v>429</v>
      </c>
      <c r="C32" s="341">
        <f>C168</f>
        <v>17.981165147547486</v>
      </c>
      <c r="D32" s="341" t="str">
        <f>D168</f>
        <v/>
      </c>
      <c r="E32" s="337" t="s">
        <v>439</v>
      </c>
      <c r="F32" s="342">
        <v>0.1174</v>
      </c>
    </row>
    <row r="33" spans="1:6" x14ac:dyDescent="0.15">
      <c r="D33" s="5"/>
      <c r="E33" s="5"/>
    </row>
    <row r="34" spans="1:6" ht="16" x14ac:dyDescent="0.25">
      <c r="A34" s="244" t="s">
        <v>355</v>
      </c>
      <c r="B34" s="36"/>
      <c r="C34" s="36"/>
      <c r="D34" s="36"/>
      <c r="E34" s="36"/>
      <c r="F34" s="36"/>
    </row>
    <row r="36" spans="1:6" ht="24.5" customHeight="1" x14ac:dyDescent="0.15">
      <c r="B36" s="346" t="s">
        <v>361</v>
      </c>
      <c r="C36" s="346"/>
      <c r="D36" s="346"/>
      <c r="E36" s="346"/>
      <c r="F36" s="346"/>
    </row>
    <row r="37" spans="1:6" ht="24.5" customHeight="1" x14ac:dyDescent="0.15">
      <c r="B37" s="348" t="s">
        <v>340</v>
      </c>
      <c r="C37" s="348"/>
      <c r="D37" s="348"/>
      <c r="E37" s="348"/>
      <c r="F37" s="348"/>
    </row>
    <row r="39" spans="1:6" x14ac:dyDescent="0.15">
      <c r="B39" s="232" t="s">
        <v>231</v>
      </c>
      <c r="C39" s="108">
        <f>scaling_factor</f>
        <v>1000</v>
      </c>
    </row>
    <row r="40" spans="1:6" ht="24.5" customHeight="1" x14ac:dyDescent="0.15">
      <c r="B40" s="347" t="s">
        <v>232</v>
      </c>
      <c r="C40" s="347"/>
      <c r="D40" s="347"/>
      <c r="E40" s="347"/>
      <c r="F40" s="347"/>
    </row>
    <row r="41" spans="1:6" x14ac:dyDescent="0.15">
      <c r="B41" s="47" t="s">
        <v>233</v>
      </c>
      <c r="C41" s="76">
        <f>Normalized_FCF!C8</f>
        <v>1398534.6033278927</v>
      </c>
      <c r="D41" s="1" t="str">
        <f>Reporting_currency</f>
        <v>HKD</v>
      </c>
    </row>
    <row r="42" spans="1:6" x14ac:dyDescent="0.15">
      <c r="B42" s="47"/>
      <c r="C42" s="76"/>
    </row>
    <row r="43" spans="1:6" ht="24.5" customHeight="1" x14ac:dyDescent="0.15">
      <c r="B43" s="347" t="s">
        <v>234</v>
      </c>
      <c r="C43" s="347"/>
      <c r="D43" s="347"/>
      <c r="E43" s="347"/>
      <c r="F43" s="347"/>
    </row>
    <row r="44" spans="1:6" x14ac:dyDescent="0.15">
      <c r="B44" s="47" t="s">
        <v>235</v>
      </c>
      <c r="C44" s="76">
        <f>Normalized_FCF!C9</f>
        <v>463424</v>
      </c>
      <c r="D44" s="1" t="str">
        <f>Reporting_currency</f>
        <v>HKD</v>
      </c>
    </row>
    <row r="45" spans="1:6" x14ac:dyDescent="0.15">
      <c r="B45" s="52" t="s">
        <v>236</v>
      </c>
      <c r="C45" s="76">
        <f>Normalized_FCF!C10</f>
        <v>-463424.00000000006</v>
      </c>
      <c r="D45" s="1" t="str">
        <f>Reporting_currency</f>
        <v>HKD</v>
      </c>
    </row>
    <row r="47" spans="1:6" x14ac:dyDescent="0.15">
      <c r="B47" s="347" t="s">
        <v>237</v>
      </c>
      <c r="C47" s="347"/>
      <c r="D47" s="347"/>
      <c r="E47" s="347"/>
      <c r="F47" s="347"/>
    </row>
    <row r="48" spans="1:6" x14ac:dyDescent="0.15">
      <c r="B48" s="47" t="s">
        <v>238</v>
      </c>
      <c r="C48" s="76">
        <f>Normalized_FCF!C11</f>
        <v>0</v>
      </c>
      <c r="D48" s="1" t="str">
        <f>Reporting_currency</f>
        <v>HKD</v>
      </c>
    </row>
    <row r="50" spans="2:6" x14ac:dyDescent="0.15">
      <c r="B50" s="347" t="s">
        <v>241</v>
      </c>
      <c r="C50" s="347"/>
      <c r="D50" s="347"/>
      <c r="E50" s="347"/>
      <c r="F50" s="347"/>
    </row>
    <row r="51" spans="2:6" x14ac:dyDescent="0.15">
      <c r="B51" s="47" t="s">
        <v>341</v>
      </c>
      <c r="C51" s="312">
        <f>Normalized_FCF!C48</f>
        <v>13746.938888322537</v>
      </c>
      <c r="D51" s="1" t="str">
        <f>Reporting_currency</f>
        <v>HKD</v>
      </c>
      <c r="E51" s="311"/>
      <c r="F51" s="311"/>
    </row>
    <row r="52" spans="2:6" x14ac:dyDescent="0.15">
      <c r="B52" s="47" t="s">
        <v>342</v>
      </c>
      <c r="C52" s="312">
        <f>Normalized_FCF!C47</f>
        <v>-59596</v>
      </c>
      <c r="D52" s="1" t="str">
        <f>Reporting_currency</f>
        <v>HKD</v>
      </c>
      <c r="E52" s="311"/>
      <c r="F52" s="311"/>
    </row>
    <row r="53" spans="2:6" x14ac:dyDescent="0.15">
      <c r="B53" s="47" t="s">
        <v>239</v>
      </c>
      <c r="C53" s="76">
        <f>Normalized_FCF!C12</f>
        <v>-45849.061111677467</v>
      </c>
      <c r="D53" s="1" t="str">
        <f>Reporting_currency</f>
        <v>HKD</v>
      </c>
    </row>
    <row r="55" spans="2:6" x14ac:dyDescent="0.15">
      <c r="B55" s="1" t="s">
        <v>247</v>
      </c>
    </row>
    <row r="56" spans="2:6" x14ac:dyDescent="0.15">
      <c r="B56" s="47" t="s">
        <v>266</v>
      </c>
      <c r="C56" s="76">
        <f>Normalized_FCF!C15</f>
        <v>0</v>
      </c>
      <c r="D56" s="1" t="str">
        <f>Reporting_currency</f>
        <v>HKD</v>
      </c>
    </row>
    <row r="58" spans="2:6" x14ac:dyDescent="0.15">
      <c r="B58" s="347" t="s">
        <v>242</v>
      </c>
      <c r="C58" s="347"/>
      <c r="D58" s="347"/>
      <c r="E58" s="347"/>
      <c r="F58" s="347"/>
    </row>
    <row r="59" spans="2:6" x14ac:dyDescent="0.15">
      <c r="B59" s="47" t="s">
        <v>240</v>
      </c>
      <c r="C59" s="76">
        <f>Normalized_FCF!C14</f>
        <v>-338171.38555405382</v>
      </c>
      <c r="D59" s="1" t="str">
        <f>Reporting_currency</f>
        <v>HKD</v>
      </c>
    </row>
    <row r="61" spans="2:6" x14ac:dyDescent="0.15">
      <c r="B61" s="347" t="s">
        <v>339</v>
      </c>
      <c r="C61" s="350"/>
      <c r="D61" s="350"/>
      <c r="E61" s="350"/>
      <c r="F61" s="350"/>
    </row>
    <row r="62" spans="2:6" x14ac:dyDescent="0.15">
      <c r="B62" s="47" t="s">
        <v>243</v>
      </c>
      <c r="C62" s="1">
        <f>Normalized_FCF!C17</f>
        <v>0</v>
      </c>
      <c r="D62" s="1" t="str">
        <f>Reporting_currency</f>
        <v>HKD</v>
      </c>
    </row>
    <row r="64" spans="2:6" ht="24.5" customHeight="1" x14ac:dyDescent="0.15">
      <c r="B64" s="346" t="s">
        <v>344</v>
      </c>
      <c r="C64" s="346"/>
      <c r="D64" s="346"/>
      <c r="E64" s="346"/>
      <c r="F64" s="346"/>
    </row>
    <row r="65" spans="1:6" ht="24.5" customHeight="1" x14ac:dyDescent="0.15">
      <c r="B65" s="346" t="s">
        <v>362</v>
      </c>
      <c r="C65" s="346"/>
      <c r="D65" s="346"/>
      <c r="E65" s="346"/>
      <c r="F65" s="346"/>
    </row>
    <row r="67" spans="1:6" x14ac:dyDescent="0.15">
      <c r="B67" s="47" t="s">
        <v>271</v>
      </c>
      <c r="C67" s="76">
        <f>Normalized_FCF!G19</f>
        <v>1291433.9388883226</v>
      </c>
      <c r="D67" s="1" t="str">
        <f>Reporting_currency</f>
        <v>HKD</v>
      </c>
    </row>
    <row r="68" spans="1:6" x14ac:dyDescent="0.15">
      <c r="B68" s="47" t="s">
        <v>249</v>
      </c>
      <c r="C68" s="76">
        <f>Normalized_FCF!C19</f>
        <v>1014514.1566621615</v>
      </c>
      <c r="D68" s="1" t="str">
        <f>Reporting_currency</f>
        <v>HKD</v>
      </c>
    </row>
    <row r="69" spans="1:6" x14ac:dyDescent="0.15">
      <c r="B69" s="249" t="s">
        <v>391</v>
      </c>
      <c r="C69" s="92">
        <f>Normalized_FCF!C125</f>
        <v>9.9195523499978705E-2</v>
      </c>
      <c r="F69" s="344"/>
    </row>
    <row r="70" spans="1:6" x14ac:dyDescent="0.15">
      <c r="B70" s="249" t="s">
        <v>309</v>
      </c>
      <c r="C70" s="92">
        <f>Normalized_FCF!C93</f>
        <v>7.8071182548794485E-2</v>
      </c>
      <c r="E70" s="47" t="s">
        <v>449</v>
      </c>
      <c r="F70" s="345">
        <f>Normalized_FCF!C92</f>
        <v>0.7870434047239161</v>
      </c>
    </row>
    <row r="72" spans="1:6" ht="16" x14ac:dyDescent="0.25">
      <c r="A72" s="244" t="s">
        <v>356</v>
      </c>
      <c r="B72" s="36"/>
      <c r="C72" s="36"/>
      <c r="D72" s="36"/>
      <c r="E72" s="36"/>
      <c r="F72" s="36"/>
    </row>
    <row r="73" spans="1:6" x14ac:dyDescent="0.15">
      <c r="A73" s="231"/>
    </row>
    <row r="74" spans="1:6" ht="24.5" customHeight="1" x14ac:dyDescent="0.15">
      <c r="A74" s="17"/>
      <c r="B74" s="346" t="s">
        <v>363</v>
      </c>
      <c r="C74" s="346"/>
      <c r="D74" s="346"/>
      <c r="E74" s="346"/>
      <c r="F74" s="346"/>
    </row>
    <row r="75" spans="1:6" x14ac:dyDescent="0.15">
      <c r="B75" s="348" t="s">
        <v>253</v>
      </c>
      <c r="C75" s="348"/>
      <c r="D75" s="348"/>
      <c r="E75" s="348"/>
      <c r="F75" s="348"/>
    </row>
    <row r="77" spans="1:6" x14ac:dyDescent="0.15">
      <c r="B77" s="232" t="s">
        <v>231</v>
      </c>
    </row>
    <row r="78" spans="1:6" x14ac:dyDescent="0.15">
      <c r="B78" s="1" t="s">
        <v>432</v>
      </c>
      <c r="C78" s="92">
        <f>F31</f>
        <v>0.08</v>
      </c>
    </row>
    <row r="79" spans="1:6" x14ac:dyDescent="0.15">
      <c r="B79" s="1" t="s">
        <v>431</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6" t="s">
        <v>364</v>
      </c>
      <c r="C83" s="346"/>
      <c r="D83" s="346"/>
      <c r="E83" s="346"/>
      <c r="F83" s="346"/>
    </row>
    <row r="84" spans="1:6" ht="24.5" customHeight="1" x14ac:dyDescent="0.15">
      <c r="B84" s="346" t="s">
        <v>365</v>
      </c>
      <c r="C84" s="346"/>
      <c r="D84" s="346"/>
      <c r="E84" s="346"/>
      <c r="F84" s="346"/>
    </row>
    <row r="86" spans="1:6" x14ac:dyDescent="0.15">
      <c r="B86" s="47" t="s">
        <v>252</v>
      </c>
      <c r="C86" s="258">
        <v>0</v>
      </c>
    </row>
    <row r="87" spans="1:6" x14ac:dyDescent="0.15">
      <c r="B87" s="47" t="s">
        <v>281</v>
      </c>
      <c r="C87" s="245">
        <f>DCF!C6*scaling_factor*Exchange_Rate/Common_Shares</f>
        <v>21.599825242120371</v>
      </c>
      <c r="D87" s="1" t="str">
        <f>Market_currency</f>
        <v>HKD</v>
      </c>
    </row>
    <row r="89" spans="1:6" ht="16" x14ac:dyDescent="0.25">
      <c r="A89" s="244" t="s">
        <v>358</v>
      </c>
      <c r="B89" s="36"/>
      <c r="C89" s="36"/>
      <c r="D89" s="36"/>
      <c r="E89" s="36"/>
      <c r="F89" s="36"/>
    </row>
    <row r="90" spans="1:6" x14ac:dyDescent="0.15">
      <c r="A90" s="231"/>
    </row>
    <row r="91" spans="1:6" x14ac:dyDescent="0.15">
      <c r="B91" s="346" t="s">
        <v>366</v>
      </c>
      <c r="C91" s="346"/>
      <c r="D91" s="346"/>
      <c r="E91" s="346"/>
      <c r="F91" s="346"/>
    </row>
    <row r="92" spans="1:6" x14ac:dyDescent="0.15">
      <c r="B92" s="1" t="s">
        <v>254</v>
      </c>
    </row>
    <row r="94" spans="1:6" x14ac:dyDescent="0.15">
      <c r="B94" s="232" t="s">
        <v>231</v>
      </c>
    </row>
    <row r="95" spans="1:6" ht="24.5" customHeight="1" x14ac:dyDescent="0.15">
      <c r="B95" s="346" t="s">
        <v>345</v>
      </c>
      <c r="C95" s="346"/>
      <c r="D95" s="346"/>
      <c r="E95" s="346"/>
      <c r="F95" s="346"/>
    </row>
    <row r="96" spans="1:6" x14ac:dyDescent="0.15">
      <c r="B96" s="47" t="s">
        <v>256</v>
      </c>
      <c r="C96" s="76">
        <f>DCF!C7</f>
        <v>2034922</v>
      </c>
      <c r="D96" s="1" t="str">
        <f>Reporting_currency</f>
        <v>HKD</v>
      </c>
    </row>
    <row r="97" spans="2:6" x14ac:dyDescent="0.15">
      <c r="B97" s="47" t="s">
        <v>282</v>
      </c>
      <c r="C97" s="245">
        <f>C96*scaling_factor*Exchange_Rate/Common_Shares</f>
        <v>3.4660105464438944</v>
      </c>
      <c r="D97" s="1" t="str">
        <f>Market_currency</f>
        <v>HKD</v>
      </c>
    </row>
    <row r="98" spans="2:6" x14ac:dyDescent="0.15">
      <c r="B98" s="325" t="s">
        <v>405</v>
      </c>
      <c r="C98" s="326">
        <f>BS!G30/BS!G27</f>
        <v>0.31018327415220487</v>
      </c>
    </row>
    <row r="99" spans="2:6" x14ac:dyDescent="0.15">
      <c r="B99" s="325" t="s">
        <v>406</v>
      </c>
      <c r="C99" s="326">
        <f>BS!G31/BS!G27</f>
        <v>0.15818859882129041</v>
      </c>
    </row>
    <row r="100" spans="2:6" x14ac:dyDescent="0.15">
      <c r="B100" s="325" t="s">
        <v>408</v>
      </c>
      <c r="C100" s="327">
        <f>BS!C50</f>
        <v>1.4550387206421544</v>
      </c>
    </row>
    <row r="102" spans="2:6" x14ac:dyDescent="0.15">
      <c r="B102" s="1" t="s">
        <v>255</v>
      </c>
    </row>
    <row r="103" spans="2:6" x14ac:dyDescent="0.15">
      <c r="B103" s="47" t="s">
        <v>265</v>
      </c>
      <c r="C103" s="76">
        <f>BS!C66</f>
        <v>1998219</v>
      </c>
      <c r="D103" s="1" t="str">
        <f>Reporting_currency</f>
        <v>HKD</v>
      </c>
    </row>
    <row r="104" spans="2:6" x14ac:dyDescent="0.15">
      <c r="B104" s="47" t="s">
        <v>267</v>
      </c>
      <c r="C104" s="76">
        <f>DCF!C8</f>
        <v>1050246.6606106577</v>
      </c>
      <c r="D104" s="1" t="str">
        <f>Reporting_currency</f>
        <v>HKD</v>
      </c>
    </row>
    <row r="105" spans="2:6" x14ac:dyDescent="0.15">
      <c r="B105" s="47" t="s">
        <v>283</v>
      </c>
      <c r="C105" s="245">
        <f>C104*scaling_factor*Exchange_Rate/Common_Shares</f>
        <v>1.7888479273623368</v>
      </c>
      <c r="D105" s="1" t="str">
        <f>Market_currency</f>
        <v>HKD</v>
      </c>
    </row>
    <row r="107" spans="2:6" x14ac:dyDescent="0.15">
      <c r="B107" s="1" t="s">
        <v>257</v>
      </c>
    </row>
    <row r="108" spans="2:6" x14ac:dyDescent="0.15">
      <c r="B108" s="47" t="s">
        <v>258</v>
      </c>
      <c r="C108" s="76">
        <f>DCF!C9</f>
        <v>92572.6</v>
      </c>
      <c r="D108" s="1" t="str">
        <f>Reporting_currency</f>
        <v>HKD</v>
      </c>
    </row>
    <row r="109" spans="2:6" x14ac:dyDescent="0.15">
      <c r="B109" s="47" t="s">
        <v>284</v>
      </c>
      <c r="C109" s="245">
        <f>C108*scaling_factor*Exchange_Rate/Common_Shares</f>
        <v>0.15767562978420405</v>
      </c>
      <c r="D109" s="1" t="str">
        <f>Market_currency</f>
        <v>HKD</v>
      </c>
    </row>
    <row r="111" spans="2:6" ht="24.5" customHeight="1" x14ac:dyDescent="0.15">
      <c r="B111" s="346" t="s">
        <v>367</v>
      </c>
      <c r="C111" s="346"/>
      <c r="D111" s="346"/>
      <c r="E111" s="346"/>
      <c r="F111" s="346"/>
    </row>
    <row r="113" spans="1:6" x14ac:dyDescent="0.15">
      <c r="B113" s="47" t="s">
        <v>450</v>
      </c>
      <c r="C113" s="245">
        <f>IF(valuation_method="DCF",DCF!C12,DDM!C7)</f>
        <v>20.080338252823015</v>
      </c>
      <c r="D113" s="1" t="str">
        <f>Market_currency</f>
        <v>HKD</v>
      </c>
    </row>
    <row r="114" spans="1:6" x14ac:dyDescent="0.15">
      <c r="B114" s="325" t="s">
        <v>407</v>
      </c>
      <c r="C114" s="245">
        <f>BS!D47</f>
        <v>5.8696003638854428</v>
      </c>
      <c r="D114" s="1" t="str">
        <f>Market_currency</f>
        <v>HKD</v>
      </c>
    </row>
    <row r="116" spans="1:6" ht="16" x14ac:dyDescent="0.25">
      <c r="A116" s="244" t="s">
        <v>359</v>
      </c>
      <c r="B116" s="36"/>
      <c r="C116" s="36"/>
      <c r="D116" s="36"/>
      <c r="E116" s="36"/>
      <c r="F116" s="36"/>
    </row>
    <row r="118" spans="1:6" ht="24.5" customHeight="1" x14ac:dyDescent="0.15">
      <c r="B118" s="347" t="s">
        <v>368</v>
      </c>
      <c r="C118" s="347"/>
      <c r="D118" s="347"/>
      <c r="E118" s="347"/>
      <c r="F118" s="347"/>
    </row>
    <row r="120" spans="1:6" ht="14" x14ac:dyDescent="0.2">
      <c r="B120" s="255" t="s">
        <v>118</v>
      </c>
      <c r="C120" s="255" t="s">
        <v>133</v>
      </c>
      <c r="D120" s="255" t="s">
        <v>113</v>
      </c>
      <c r="E120" s="255" t="s">
        <v>260</v>
      </c>
      <c r="F120" s="255" t="s">
        <v>148</v>
      </c>
    </row>
    <row r="121" spans="1:6" x14ac:dyDescent="0.15">
      <c r="B121" s="250" t="str">
        <f>DCF!B74</f>
        <v>Snowball Scenario</v>
      </c>
      <c r="C121" s="251">
        <f>DCF!C74</f>
        <v>0.06</v>
      </c>
      <c r="D121" s="252">
        <f>DCF!D74</f>
        <v>10</v>
      </c>
      <c r="E121" s="253" t="str">
        <f>ROUND(IF(valuation_method="DCF",DCF!E74,DDM!E69),2)&amp;" "&amp;Market_currency</f>
        <v>24.7 HKD</v>
      </c>
      <c r="F121" s="254">
        <f>DCF!F74</f>
        <v>0.02</v>
      </c>
    </row>
    <row r="122" spans="1:6" x14ac:dyDescent="0.15">
      <c r="B122" s="240" t="str">
        <f>DCF!B75</f>
        <v>Optimistic</v>
      </c>
      <c r="C122" s="241">
        <f>DCF!C75</f>
        <v>0.05</v>
      </c>
      <c r="D122" s="242">
        <f>DCF!D75</f>
        <v>5</v>
      </c>
      <c r="E122" s="253" t="str">
        <f>ROUND(IF(valuation_method="DCF",DCF!E75,DDM!E70),2)&amp;" "&amp;Market_currency</f>
        <v>21.86 HKD</v>
      </c>
      <c r="F122" s="243">
        <f>DCF!F75</f>
        <v>0.192</v>
      </c>
    </row>
    <row r="123" spans="1:6" x14ac:dyDescent="0.15">
      <c r="B123" s="240" t="str">
        <f>DCF!B76</f>
        <v>Base</v>
      </c>
      <c r="C123" s="241">
        <f>DCF!C76</f>
        <v>0.02</v>
      </c>
      <c r="D123" s="242">
        <f>DCF!D76</f>
        <v>5</v>
      </c>
      <c r="E123" s="253" t="str">
        <f>ROUND(IF(valuation_method="DCF",DCF!E76,DDM!E71),2)&amp;" "&amp;Market_currency</f>
        <v>20.78 HKD</v>
      </c>
      <c r="F123" s="243">
        <f>DCF!F76</f>
        <v>0.57599999999999996</v>
      </c>
    </row>
    <row r="124" spans="1:6" x14ac:dyDescent="0.15">
      <c r="B124" s="240" t="str">
        <f>DCF!B77</f>
        <v>Pessimistic</v>
      </c>
      <c r="C124" s="241">
        <f>DCF!C77</f>
        <v>-0.05</v>
      </c>
      <c r="D124" s="242">
        <f>DCF!D77</f>
        <v>5</v>
      </c>
      <c r="E124" s="253" t="str">
        <f>ROUND(IF(valuation_method="DCF",DCF!E77,DDM!E72),2)&amp;" "&amp;Market_currency</f>
        <v>18.42 HKD</v>
      </c>
      <c r="F124" s="243">
        <f>DCF!F77</f>
        <v>0.192</v>
      </c>
    </row>
    <row r="125" spans="1:6" x14ac:dyDescent="0.15">
      <c r="B125" s="240" t="str">
        <f>DCF!B78</f>
        <v>Devil's advocate</v>
      </c>
      <c r="C125" s="241">
        <f>DCF!C78</f>
        <v>-0.08</v>
      </c>
      <c r="D125" s="242">
        <f>DCF!D78</f>
        <v>10</v>
      </c>
      <c r="E125" s="253" t="str">
        <f>ROUND(IF(valuation_method="DCF",DCF!E78,DDM!E73),2)&amp;" "&amp;Market_currency</f>
        <v>15.62 HKD</v>
      </c>
      <c r="F125" s="243">
        <f>DCF!F78</f>
        <v>0.02</v>
      </c>
    </row>
    <row r="127" spans="1:6" x14ac:dyDescent="0.15">
      <c r="B127" s="233" t="s">
        <v>259</v>
      </c>
      <c r="C127" s="239">
        <f>Scenarios!C60</f>
        <v>20.508980461992877</v>
      </c>
      <c r="D127" s="234" t="str">
        <f>Market_currency</f>
        <v>HKD</v>
      </c>
    </row>
    <row r="129" spans="1:6" ht="24.5" customHeight="1" x14ac:dyDescent="0.15">
      <c r="B129" s="351" t="s">
        <v>371</v>
      </c>
      <c r="C129" s="351"/>
      <c r="D129" s="351"/>
      <c r="E129" s="351"/>
      <c r="F129" s="351"/>
    </row>
    <row r="131" spans="1:6" ht="16" x14ac:dyDescent="0.25">
      <c r="A131" s="244" t="s">
        <v>403</v>
      </c>
      <c r="B131" s="36"/>
      <c r="C131" s="36"/>
      <c r="D131" s="36"/>
      <c r="E131" s="36"/>
      <c r="F131" s="36"/>
    </row>
    <row r="133" spans="1:6" x14ac:dyDescent="0.15">
      <c r="B133" s="349" t="s">
        <v>369</v>
      </c>
      <c r="C133" s="349"/>
      <c r="D133" s="349"/>
      <c r="E133" s="349"/>
      <c r="F133" s="349"/>
    </row>
    <row r="134" spans="1:6" ht="24.5" customHeight="1" x14ac:dyDescent="0.15">
      <c r="B134" s="346" t="s">
        <v>370</v>
      </c>
      <c r="C134" s="346"/>
      <c r="D134" s="346"/>
      <c r="E134" s="346"/>
      <c r="F134" s="346"/>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1.36</v>
      </c>
      <c r="D138" s="234" t="str">
        <f>Market_currency</f>
        <v>HKD</v>
      </c>
    </row>
    <row r="140" spans="1:6" x14ac:dyDescent="0.15">
      <c r="B140" s="232" t="s">
        <v>410</v>
      </c>
      <c r="C140" s="263" t="str">
        <f>C11</f>
        <v>0590.HK</v>
      </c>
      <c r="D140" s="263" t="str">
        <f>IF(D11="","",D11)</f>
        <v/>
      </c>
    </row>
    <row r="141" spans="1:6" x14ac:dyDescent="0.15">
      <c r="B141" s="1" t="s">
        <v>409</v>
      </c>
      <c r="C141" s="326">
        <f>F29</f>
        <v>0.4</v>
      </c>
    </row>
    <row r="142" spans="1:6" x14ac:dyDescent="0.15">
      <c r="B142" s="234" t="str">
        <f>"PV("&amp;C136&amp;" yrs of Dividends)"</f>
        <v>PV(3 yrs of Dividends)</v>
      </c>
      <c r="C142" s="238">
        <f>Scenarios!C81</f>
        <v>2.1609329446064134</v>
      </c>
    </row>
    <row r="143" spans="1:6" x14ac:dyDescent="0.15">
      <c r="B143" s="234" t="str">
        <f>"+ PV(Equity Value realized at year "&amp;C136&amp;")"</f>
        <v>+ PV(Equity Value realized at year 3)</v>
      </c>
      <c r="C143" s="238">
        <f>Scenarios!C82</f>
        <v>7.4741182441665019</v>
      </c>
    </row>
    <row r="144" spans="1:6" x14ac:dyDescent="0.15">
      <c r="B144" s="80" t="s">
        <v>261</v>
      </c>
      <c r="C144" s="237">
        <f>Scenarios!C83</f>
        <v>9.6350511887729162</v>
      </c>
      <c r="D144" s="330" t="str">
        <f>IF($D$11="","",C144*$E$25)</f>
        <v/>
      </c>
    </row>
    <row r="145" spans="2:4" x14ac:dyDescent="0.15">
      <c r="B145" s="281" t="s">
        <v>417</v>
      </c>
      <c r="C145" s="328" t="str">
        <f>Market_currency</f>
        <v>HKD</v>
      </c>
      <c r="D145" s="328" t="str">
        <f>IF($D$11="","",D$13)</f>
        <v/>
      </c>
    </row>
    <row r="146" spans="2:4" x14ac:dyDescent="0.15">
      <c r="B146" s="236" t="s">
        <v>263</v>
      </c>
      <c r="C146" s="92">
        <f>Scenarios!F83</f>
        <v>0.53020330744238908</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2.7885451204563143</v>
      </c>
    </row>
    <row r="151" spans="2:4" x14ac:dyDescent="0.15">
      <c r="B151" s="234" t="str">
        <f>"+ PV(Equity Value realized at year "&amp;C136&amp;")"</f>
        <v>+ PV(Equity Value realized at year 3)</v>
      </c>
      <c r="C151" s="238">
        <f>Scenarios!C92</f>
        <v>11.366956005228198</v>
      </c>
    </row>
    <row r="152" spans="2:4" x14ac:dyDescent="0.15">
      <c r="B152" s="80" t="s">
        <v>261</v>
      </c>
      <c r="C152" s="237">
        <f>Scenarios!C93</f>
        <v>14.155501125684513</v>
      </c>
      <c r="D152" s="330" t="str">
        <f>IF($D$11="","",C152*$E$25)</f>
        <v/>
      </c>
    </row>
    <row r="153" spans="2:4" x14ac:dyDescent="0.15">
      <c r="B153" s="281" t="s">
        <v>417</v>
      </c>
      <c r="C153" s="328" t="str">
        <f>Market_currency</f>
        <v>HKD</v>
      </c>
      <c r="D153" s="328" t="str">
        <f>IF($D$11="","",D$13)</f>
        <v/>
      </c>
    </row>
    <row r="154" spans="2:4" x14ac:dyDescent="0.15">
      <c r="B154" s="236" t="s">
        <v>263</v>
      </c>
      <c r="C154" s="92">
        <f>Scenarios!F93</f>
        <v>0.30979011112144728</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3.5048519026571174</v>
      </c>
    </row>
    <row r="159" spans="2:4" x14ac:dyDescent="0.15">
      <c r="B159" s="234" t="str">
        <f>"+ PV(Equity Value realized at year "&amp;C136&amp;")"</f>
        <v>+ PV(Equity Value realized at year 3)</v>
      </c>
      <c r="C159" s="238">
        <f>Scenarios!C98</f>
        <v>16.280689921182677</v>
      </c>
    </row>
    <row r="160" spans="2:4" x14ac:dyDescent="0.15">
      <c r="B160" s="80" t="s">
        <v>402</v>
      </c>
      <c r="C160" s="237">
        <f>Scenarios!C99</f>
        <v>19.785541823839793</v>
      </c>
      <c r="D160" s="330" t="str">
        <f>IF($D$11="","",C160*$E$25)</f>
        <v/>
      </c>
    </row>
    <row r="161" spans="1:6" x14ac:dyDescent="0.15">
      <c r="B161" s="281" t="s">
        <v>417</v>
      </c>
      <c r="C161" s="328" t="str">
        <f>Market_currency</f>
        <v>HKD</v>
      </c>
      <c r="D161" s="328" t="str">
        <f>IF($D$11="","",D$13)</f>
        <v/>
      </c>
    </row>
    <row r="162" spans="1:6" x14ac:dyDescent="0.15">
      <c r="B162" s="236" t="s">
        <v>263</v>
      </c>
      <c r="C162" s="92">
        <f>Scenarios!F99</f>
        <v>3.5274237034539913E-2</v>
      </c>
    </row>
    <row r="164" spans="1:6" x14ac:dyDescent="0.15">
      <c r="B164" s="232" t="s">
        <v>433</v>
      </c>
    </row>
    <row r="165" spans="1:6" x14ac:dyDescent="0.15">
      <c r="B165" s="1" t="s">
        <v>424</v>
      </c>
      <c r="C165" s="92">
        <f>F32</f>
        <v>0.1174</v>
      </c>
    </row>
    <row r="166" spans="1:6" x14ac:dyDescent="0.15">
      <c r="B166" s="234" t="str">
        <f>"PV("&amp;C136&amp;" yrs of Dividends)"</f>
        <v>PV(3 yrs of Dividends)</v>
      </c>
      <c r="C166" s="238">
        <f>Scenarios!C103</f>
        <v>3.2811402512765628</v>
      </c>
    </row>
    <row r="167" spans="1:6" x14ac:dyDescent="0.15">
      <c r="B167" s="234" t="str">
        <f>"+ PV(Equity Value realized at year "&amp;C136&amp;")"</f>
        <v>+ PV(Equity Value realized at year 3)</v>
      </c>
      <c r="C167" s="238">
        <f>Scenarios!C104</f>
        <v>14.700024896270923</v>
      </c>
    </row>
    <row r="168" spans="1:6" x14ac:dyDescent="0.15">
      <c r="B168" s="80" t="s">
        <v>402</v>
      </c>
      <c r="C168" s="237">
        <f>Scenarios!C105</f>
        <v>17.981165147547486</v>
      </c>
      <c r="D168" s="330" t="str">
        <f>IF($D$11="","",C168*$E$25)</f>
        <v/>
      </c>
    </row>
    <row r="169" spans="1:6" x14ac:dyDescent="0.15">
      <c r="B169" s="281" t="s">
        <v>417</v>
      </c>
      <c r="C169" s="328" t="str">
        <f>Market_currency</f>
        <v>HKD</v>
      </c>
      <c r="D169" s="328" t="str">
        <f>IF($D$11="","",D$13)</f>
        <v/>
      </c>
    </row>
    <row r="170" spans="1:6" x14ac:dyDescent="0.15">
      <c r="B170" s="236" t="s">
        <v>263</v>
      </c>
      <c r="C170" s="92">
        <f>Scenarios!F105</f>
        <v>0.12330405719024684</v>
      </c>
    </row>
    <row r="172" spans="1:6" ht="16" x14ac:dyDescent="0.25">
      <c r="A172" s="244" t="s">
        <v>375</v>
      </c>
      <c r="B172" s="36"/>
      <c r="C172" s="36"/>
      <c r="D172" s="36"/>
      <c r="E172" s="36"/>
      <c r="F172" s="36"/>
    </row>
    <row r="174" spans="1:6" x14ac:dyDescent="0.15">
      <c r="B174" s="353" t="s">
        <v>377</v>
      </c>
      <c r="C174" s="346"/>
      <c r="D174" s="346"/>
      <c r="E174" s="346"/>
      <c r="F174" s="346"/>
    </row>
    <row r="176" spans="1:6" x14ac:dyDescent="0.15">
      <c r="B176" s="232" t="s">
        <v>376</v>
      </c>
    </row>
    <row r="177" spans="2:6" x14ac:dyDescent="0.15">
      <c r="B177" s="350" t="s">
        <v>381</v>
      </c>
      <c r="C177" s="350"/>
      <c r="D177" s="350"/>
      <c r="E177" s="350"/>
      <c r="F177" s="350"/>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7" t="s">
        <v>382</v>
      </c>
      <c r="C183" s="347"/>
      <c r="D183" s="347"/>
      <c r="E183" s="347"/>
      <c r="F183" s="347"/>
    </row>
    <row r="185" spans="2:6" x14ac:dyDescent="0.15">
      <c r="B185" s="1" t="s">
        <v>386</v>
      </c>
    </row>
    <row r="186" spans="2:6" ht="24.5" customHeight="1" x14ac:dyDescent="0.15">
      <c r="B186" s="352" t="s">
        <v>383</v>
      </c>
      <c r="C186" s="352"/>
      <c r="D186" s="352"/>
      <c r="E186" s="352"/>
      <c r="F186" s="352"/>
    </row>
    <row r="187" spans="2:6" ht="24.5" customHeight="1" x14ac:dyDescent="0.15">
      <c r="B187" s="352" t="s">
        <v>384</v>
      </c>
      <c r="C187" s="352"/>
      <c r="D187" s="352"/>
      <c r="E187" s="352"/>
      <c r="F187" s="352"/>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6" x14ac:dyDescent="0.25">
      <c r="B2" s="36" t="s">
        <v>98</v>
      </c>
      <c r="C2" s="37"/>
      <c r="D2" s="37"/>
      <c r="E2" s="37"/>
      <c r="F2" s="37"/>
      <c r="G2" s="37"/>
      <c r="H2" s="37"/>
      <c r="I2" s="37"/>
      <c r="J2" s="37"/>
      <c r="K2" s="37"/>
      <c r="L2" s="37"/>
      <c r="M2" s="37"/>
    </row>
    <row r="3" spans="2:13" x14ac:dyDescent="0.15">
      <c r="B3" s="16" t="s">
        <v>27</v>
      </c>
      <c r="C3" s="106">
        <v>1000</v>
      </c>
    </row>
    <row r="4" spans="2:13" x14ac:dyDescent="0.15">
      <c r="B4" s="32" t="s">
        <v>2</v>
      </c>
      <c r="C4" s="181">
        <v>15325962</v>
      </c>
      <c r="D4" s="181">
        <v>11977844</v>
      </c>
      <c r="E4" s="181">
        <v>11737803</v>
      </c>
      <c r="F4" s="181">
        <v>8861335</v>
      </c>
      <c r="G4" s="181">
        <v>11233771</v>
      </c>
      <c r="H4" s="181"/>
      <c r="I4" s="181"/>
      <c r="J4" s="181"/>
      <c r="K4" s="181"/>
      <c r="L4" s="181"/>
      <c r="M4" s="181"/>
    </row>
    <row r="5" spans="2:13" x14ac:dyDescent="0.15">
      <c r="B5" s="40" t="s">
        <v>43</v>
      </c>
      <c r="C5" s="181">
        <v>11151623</v>
      </c>
      <c r="D5" s="181">
        <v>8747447</v>
      </c>
      <c r="E5" s="181">
        <v>8503976</v>
      </c>
      <c r="F5" s="181">
        <v>6229020</v>
      </c>
      <c r="G5" s="181">
        <v>7910751</v>
      </c>
      <c r="H5" s="181"/>
      <c r="I5" s="181"/>
      <c r="J5" s="181"/>
      <c r="K5" s="181"/>
      <c r="L5" s="181"/>
      <c r="M5" s="181"/>
    </row>
    <row r="6" spans="2:13" x14ac:dyDescent="0.15">
      <c r="B6" s="40" t="s">
        <v>54</v>
      </c>
      <c r="C6" s="181">
        <v>2297566</v>
      </c>
      <c r="D6" s="181">
        <v>1867515</v>
      </c>
      <c r="E6" s="181">
        <v>1815111</v>
      </c>
      <c r="F6" s="181">
        <v>1694480</v>
      </c>
      <c r="G6" s="181">
        <v>2118252</v>
      </c>
      <c r="H6" s="181"/>
      <c r="I6" s="181"/>
      <c r="J6" s="181"/>
      <c r="K6" s="181"/>
      <c r="L6" s="181"/>
      <c r="M6" s="181"/>
    </row>
    <row r="7" spans="2:13" x14ac:dyDescent="0.15">
      <c r="B7" s="69" t="s">
        <v>61</v>
      </c>
      <c r="C7" s="188">
        <v>2043459</v>
      </c>
      <c r="D7" s="188">
        <v>1517989</v>
      </c>
      <c r="E7" s="188">
        <v>1491293</v>
      </c>
      <c r="F7" s="188">
        <v>1412494</v>
      </c>
      <c r="G7" s="188">
        <v>1945100</v>
      </c>
      <c r="H7" s="188"/>
      <c r="I7" s="188"/>
      <c r="J7" s="188"/>
      <c r="K7" s="188"/>
      <c r="L7" s="188"/>
      <c r="M7" s="188"/>
    </row>
    <row r="8" spans="2:13" x14ac:dyDescent="0.15">
      <c r="B8" s="40" t="s">
        <v>49</v>
      </c>
      <c r="C8" s="181"/>
      <c r="D8" s="181"/>
      <c r="E8" s="181"/>
      <c r="F8" s="181"/>
      <c r="G8" s="181"/>
      <c r="H8" s="181"/>
      <c r="I8" s="181"/>
      <c r="J8" s="181"/>
      <c r="K8" s="181"/>
      <c r="L8" s="181"/>
      <c r="M8" s="181"/>
    </row>
    <row r="9" spans="2:13" x14ac:dyDescent="0.15">
      <c r="B9" s="40" t="s">
        <v>160</v>
      </c>
      <c r="C9" s="181">
        <v>639</v>
      </c>
      <c r="D9" s="181">
        <v>927</v>
      </c>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59596</v>
      </c>
      <c r="D12" s="181">
        <v>20763</v>
      </c>
      <c r="E12" s="181">
        <v>23097</v>
      </c>
      <c r="F12" s="181">
        <v>28849</v>
      </c>
      <c r="G12" s="181">
        <v>63075</v>
      </c>
      <c r="H12" s="181"/>
      <c r="I12" s="181"/>
      <c r="J12" s="181"/>
      <c r="K12" s="181"/>
      <c r="L12" s="181"/>
      <c r="M12" s="181"/>
    </row>
    <row r="13" spans="2:13" x14ac:dyDescent="0.15">
      <c r="B13" s="40" t="s">
        <v>67</v>
      </c>
      <c r="C13" s="181">
        <v>28977</v>
      </c>
      <c r="D13" s="181">
        <v>33125</v>
      </c>
      <c r="E13" s="181">
        <v>87344</v>
      </c>
      <c r="F13" s="181">
        <v>63398</v>
      </c>
      <c r="G13" s="181">
        <v>45450</v>
      </c>
      <c r="H13" s="181"/>
      <c r="I13" s="181"/>
      <c r="J13" s="181"/>
      <c r="K13" s="181"/>
      <c r="L13" s="181"/>
      <c r="M13" s="181"/>
    </row>
    <row r="14" spans="2:13" x14ac:dyDescent="0.15">
      <c r="B14" s="40" t="s">
        <v>50</v>
      </c>
      <c r="C14" s="181">
        <v>327166</v>
      </c>
      <c r="D14" s="181">
        <v>280664</v>
      </c>
      <c r="E14" s="181">
        <v>291296</v>
      </c>
      <c r="F14" s="181">
        <v>236303</v>
      </c>
      <c r="G14" s="181">
        <v>223409</v>
      </c>
      <c r="H14" s="181"/>
      <c r="I14" s="181"/>
      <c r="J14" s="181"/>
      <c r="K14" s="181"/>
      <c r="L14" s="181"/>
      <c r="M14" s="181"/>
    </row>
    <row r="15" spans="2:13" x14ac:dyDescent="0.15">
      <c r="B15" s="43" t="s">
        <v>42</v>
      </c>
      <c r="C15" s="182">
        <v>1767305</v>
      </c>
      <c r="D15" s="182">
        <v>1284757</v>
      </c>
      <c r="E15" s="182">
        <v>1392364</v>
      </c>
      <c r="F15" s="182">
        <v>1017335</v>
      </c>
      <c r="G15" s="182">
        <v>866315</v>
      </c>
      <c r="H15" s="182"/>
      <c r="I15" s="182"/>
      <c r="J15" s="182"/>
      <c r="K15" s="182"/>
      <c r="L15" s="182"/>
      <c r="M15" s="182"/>
    </row>
    <row r="16" spans="2:13" x14ac:dyDescent="0.15">
      <c r="B16" s="28" t="s">
        <v>44</v>
      </c>
      <c r="C16" s="181">
        <v>-9467</v>
      </c>
      <c r="D16" s="181">
        <v>-30</v>
      </c>
      <c r="E16" s="181">
        <v>-27</v>
      </c>
      <c r="F16" s="181">
        <v>1799</v>
      </c>
      <c r="G16" s="181">
        <v>1337</v>
      </c>
      <c r="H16" s="181"/>
      <c r="I16" s="181"/>
      <c r="J16" s="181"/>
      <c r="K16" s="181"/>
      <c r="L16" s="181"/>
      <c r="M16" s="181"/>
    </row>
    <row r="18" spans="2:13" x14ac:dyDescent="0.15">
      <c r="B18" s="16" t="s">
        <v>51</v>
      </c>
      <c r="C18" s="9"/>
    </row>
    <row r="19" spans="2:13" ht="13" x14ac:dyDescent="0.15">
      <c r="B19" s="27" t="s">
        <v>47</v>
      </c>
      <c r="C19" s="181">
        <v>463424</v>
      </c>
      <c r="D19" s="181">
        <v>371724</v>
      </c>
      <c r="E19" s="181">
        <v>435672</v>
      </c>
      <c r="F19" s="181">
        <v>520888</v>
      </c>
      <c r="G19" s="181"/>
      <c r="H19" s="181"/>
      <c r="I19" s="181"/>
      <c r="J19" s="181"/>
      <c r="K19" s="181"/>
      <c r="L19" s="181"/>
      <c r="M19" s="181"/>
    </row>
    <row r="20" spans="2:13" ht="13" x14ac:dyDescent="0.15">
      <c r="B20" s="27" t="s">
        <v>53</v>
      </c>
      <c r="C20" s="181">
        <v>676387</v>
      </c>
      <c r="D20" s="181">
        <v>107280</v>
      </c>
      <c r="E20" s="181">
        <v>455483</v>
      </c>
      <c r="F20" s="181">
        <v>138937</v>
      </c>
      <c r="G20" s="181"/>
      <c r="H20" s="181"/>
      <c r="I20" s="181"/>
      <c r="J20" s="181"/>
      <c r="K20" s="181"/>
      <c r="L20" s="181"/>
      <c r="M20" s="181"/>
    </row>
    <row r="21" spans="2:13" ht="13" x14ac:dyDescent="0.15">
      <c r="B21" s="27" t="s">
        <v>52</v>
      </c>
      <c r="C21" s="181">
        <v>626583</v>
      </c>
      <c r="D21" s="181">
        <v>352099</v>
      </c>
      <c r="E21" s="181">
        <v>1045251</v>
      </c>
      <c r="F21" s="181">
        <v>-818677</v>
      </c>
      <c r="G21" s="181"/>
      <c r="H21" s="181"/>
      <c r="I21" s="181"/>
      <c r="J21" s="181"/>
      <c r="K21" s="181"/>
      <c r="L21" s="181"/>
      <c r="M21" s="181"/>
    </row>
    <row r="22" spans="2:13" ht="13" x14ac:dyDescent="0.15">
      <c r="B22" s="27" t="s">
        <v>372</v>
      </c>
      <c r="C22" s="181"/>
      <c r="D22" s="181"/>
      <c r="E22" s="181"/>
      <c r="F22" s="181"/>
      <c r="G22" s="181"/>
      <c r="H22" s="181"/>
      <c r="I22" s="181"/>
      <c r="J22" s="181"/>
      <c r="K22" s="181"/>
      <c r="L22" s="181"/>
      <c r="M22" s="181"/>
    </row>
    <row r="23" spans="2:13" ht="13" x14ac:dyDescent="0.15">
      <c r="B23" s="27" t="s">
        <v>374</v>
      </c>
      <c r="C23" s="181"/>
      <c r="D23" s="181"/>
      <c r="E23" s="181"/>
      <c r="F23" s="181"/>
      <c r="G23" s="181"/>
      <c r="H23" s="181"/>
      <c r="I23" s="181"/>
      <c r="J23" s="181"/>
      <c r="K23" s="181"/>
      <c r="L23" s="181"/>
      <c r="M23" s="181"/>
    </row>
    <row r="24" spans="2:13" ht="13" x14ac:dyDescent="0.15">
      <c r="B24" s="27" t="s">
        <v>373</v>
      </c>
      <c r="C24" s="181"/>
      <c r="D24" s="181"/>
      <c r="E24" s="181"/>
      <c r="F24" s="181"/>
      <c r="G24" s="181"/>
      <c r="H24" s="181"/>
      <c r="I24" s="181"/>
      <c r="J24" s="181"/>
      <c r="K24" s="181"/>
      <c r="L24" s="181"/>
      <c r="M24" s="181"/>
    </row>
    <row r="25" spans="2:13" x14ac:dyDescent="0.15">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x14ac:dyDescent="0.15">
      <c r="B27" s="16" t="s">
        <v>28</v>
      </c>
      <c r="C27" s="97" t="s">
        <v>458</v>
      </c>
    </row>
    <row r="28" spans="2:13" ht="13" x14ac:dyDescent="0.15">
      <c r="B28" s="26" t="s">
        <v>24</v>
      </c>
      <c r="C28" s="183">
        <f>BS!C4</f>
        <v>265773</v>
      </c>
      <c r="D28" s="181">
        <v>213823</v>
      </c>
      <c r="E28" s="181">
        <v>187711</v>
      </c>
      <c r="F28" s="181">
        <v>277338</v>
      </c>
      <c r="G28" s="181"/>
      <c r="H28" s="181"/>
      <c r="I28" s="181"/>
      <c r="J28" s="181"/>
      <c r="K28" s="181"/>
      <c r="L28" s="181"/>
      <c r="M28" s="181"/>
    </row>
    <row r="29" spans="2:13" ht="13" x14ac:dyDescent="0.15">
      <c r="B29" s="26" t="s">
        <v>32</v>
      </c>
      <c r="C29" s="183">
        <f>BS!C6</f>
        <v>9672256</v>
      </c>
      <c r="D29" s="181">
        <v>8852611</v>
      </c>
      <c r="E29" s="181">
        <v>8769304</v>
      </c>
      <c r="F29" s="181">
        <v>7321614</v>
      </c>
      <c r="G29" s="181"/>
      <c r="H29" s="181"/>
      <c r="I29" s="181"/>
      <c r="J29" s="181"/>
      <c r="K29" s="181"/>
      <c r="L29" s="181"/>
      <c r="M29" s="181"/>
    </row>
    <row r="30" spans="2:13" ht="13" x14ac:dyDescent="0.15">
      <c r="B30" s="29" t="s">
        <v>40</v>
      </c>
      <c r="C30" s="186">
        <f>BS!C33+BS!C42</f>
        <v>3990166</v>
      </c>
      <c r="D30" s="182">
        <v>2466431</v>
      </c>
      <c r="E30" s="182">
        <v>3908586</v>
      </c>
      <c r="F30" s="182">
        <v>2946772</v>
      </c>
      <c r="G30" s="182"/>
      <c r="H30" s="182"/>
      <c r="I30" s="182"/>
      <c r="J30" s="182"/>
      <c r="K30" s="182"/>
      <c r="L30" s="182"/>
      <c r="M30" s="182"/>
    </row>
    <row r="31" spans="2:13" ht="13" x14ac:dyDescent="0.15">
      <c r="B31" s="29" t="s">
        <v>30</v>
      </c>
      <c r="C31" s="186">
        <f>BS!G27</f>
        <v>12863898</v>
      </c>
      <c r="D31" s="182">
        <v>12220942</v>
      </c>
      <c r="E31" s="182">
        <v>12078528</v>
      </c>
      <c r="F31" s="182">
        <v>11324224</v>
      </c>
      <c r="G31" s="182"/>
      <c r="H31" s="182"/>
      <c r="I31" s="182"/>
      <c r="J31" s="182"/>
      <c r="K31" s="182"/>
      <c r="L31" s="182"/>
      <c r="M31" s="182"/>
    </row>
    <row r="32" spans="2:13" ht="13" x14ac:dyDescent="0.15">
      <c r="B32" s="26" t="s">
        <v>173</v>
      </c>
      <c r="C32" s="183">
        <f>BS!G28</f>
        <v>-26962</v>
      </c>
      <c r="D32" s="181"/>
      <c r="E32" s="181"/>
      <c r="F32" s="181"/>
      <c r="G32" s="182"/>
      <c r="H32" s="182"/>
      <c r="I32" s="182"/>
      <c r="J32" s="182"/>
      <c r="K32" s="182"/>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x14ac:dyDescent="0.15">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ht="13" x14ac:dyDescent="0.15">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15">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x14ac:dyDescent="0.15">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x14ac:dyDescent="0.15">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15">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x14ac:dyDescent="0.15">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x14ac:dyDescent="0.15">
      <c r="B45" s="40" t="s">
        <v>68</v>
      </c>
      <c r="C45" s="76">
        <f t="shared" ref="C45:M45" si="19">IF(C$4="","",C51+C52)</f>
        <v>-30619</v>
      </c>
      <c r="D45" s="76">
        <f t="shared" si="19"/>
        <v>12362</v>
      </c>
      <c r="E45" s="76">
        <f t="shared" si="19"/>
        <v>64247</v>
      </c>
      <c r="F45" s="76">
        <f t="shared" si="19"/>
        <v>34549</v>
      </c>
      <c r="G45" s="76">
        <f t="shared" si="19"/>
        <v>-17625</v>
      </c>
      <c r="H45" s="76" t="str">
        <f t="shared" si="19"/>
        <v/>
      </c>
      <c r="I45" s="76" t="str">
        <f t="shared" si="19"/>
        <v/>
      </c>
      <c r="J45" s="76" t="str">
        <f t="shared" si="19"/>
        <v/>
      </c>
      <c r="K45" s="76" t="str">
        <f t="shared" si="19"/>
        <v/>
      </c>
      <c r="L45" s="76" t="str">
        <f t="shared" si="19"/>
        <v/>
      </c>
      <c r="M45" s="76" t="str">
        <f t="shared" si="19"/>
        <v/>
      </c>
    </row>
    <row r="46" spans="2:13" x14ac:dyDescent="0.15">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x14ac:dyDescent="0.15">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x14ac:dyDescent="0.15">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x14ac:dyDescent="0.15">
      <c r="B50" s="16" t="s">
        <v>68</v>
      </c>
    </row>
    <row r="51" spans="2:13" x14ac:dyDescent="0.15">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x14ac:dyDescent="0.15">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x14ac:dyDescent="0.15">
      <c r="B54" s="175" t="s">
        <v>169</v>
      </c>
    </row>
    <row r="55" spans="2:13" x14ac:dyDescent="0.15">
      <c r="B55" s="40" t="s">
        <v>160</v>
      </c>
      <c r="C55" s="76">
        <f t="shared" ref="C55:M55" si="25">IF(C$4="","",C9)</f>
        <v>639</v>
      </c>
      <c r="D55" s="76">
        <f t="shared" si="25"/>
        <v>927</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x14ac:dyDescent="0.15">
      <c r="B58" s="40" t="s">
        <v>161</v>
      </c>
      <c r="C58" s="76">
        <f>IF(C$4="","",C44-C55-C56-C57)</f>
        <v>247678</v>
      </c>
      <c r="D58" s="76">
        <f t="shared" ref="D58:M58" si="28">IF(D$4="","",D44-D55-D56-D57)</f>
        <v>189250</v>
      </c>
      <c r="E58" s="76">
        <f t="shared" si="28"/>
        <v>200697</v>
      </c>
      <c r="F58" s="76">
        <f t="shared" si="28"/>
        <v>281254</v>
      </c>
      <c r="G58" s="76">
        <f t="shared" si="28"/>
        <v>-97419</v>
      </c>
      <c r="H58" s="76" t="str">
        <f t="shared" si="28"/>
        <v/>
      </c>
      <c r="I58" s="76" t="str">
        <f t="shared" si="28"/>
        <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ht="13" x14ac:dyDescent="0.15">
      <c r="B62" s="27" t="s">
        <v>53</v>
      </c>
      <c r="C62" s="183">
        <f>IF(C$4="","",IF(C20=0,C61,-C20))</f>
        <v>-676387</v>
      </c>
      <c r="D62" s="183">
        <f t="shared" ref="D62:M62" si="30">IF(D$4="","",IF(D20=0,D61,-D20))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ht="13" x14ac:dyDescent="0.15">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ht="13" x14ac:dyDescent="0.15">
      <c r="B64" s="27" t="s">
        <v>394</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x14ac:dyDescent="0.15">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16854064</v>
      </c>
      <c r="D76" s="76">
        <f t="shared" ref="D76:M76" si="39">IF(D$4="","",D79+D80)</f>
        <v>14687373</v>
      </c>
      <c r="E76" s="76">
        <f t="shared" si="39"/>
        <v>15987114</v>
      </c>
      <c r="F76" s="76">
        <f t="shared" si="39"/>
        <v>14270996</v>
      </c>
      <c r="G76" s="76">
        <f t="shared" si="39"/>
        <v>0</v>
      </c>
      <c r="H76" s="76" t="str">
        <f t="shared" si="39"/>
        <v/>
      </c>
      <c r="I76" s="76" t="str">
        <f t="shared" si="39"/>
        <v/>
      </c>
      <c r="J76" s="76" t="str">
        <f t="shared" si="39"/>
        <v/>
      </c>
      <c r="K76" s="76" t="str">
        <f t="shared" si="39"/>
        <v/>
      </c>
      <c r="L76" s="76" t="str">
        <f t="shared" si="39"/>
        <v/>
      </c>
      <c r="M76" s="76" t="str">
        <f t="shared" si="39"/>
        <v/>
      </c>
    </row>
    <row r="77" spans="2:13" ht="13" x14ac:dyDescent="0.15">
      <c r="B77" s="93" t="s">
        <v>86</v>
      </c>
      <c r="C77" s="185">
        <f t="shared" ref="C77:H78" si="40">IF(C$4="","",C28)</f>
        <v>265773</v>
      </c>
      <c r="D77" s="185">
        <f t="shared" si="40"/>
        <v>213823</v>
      </c>
      <c r="E77" s="185">
        <f t="shared" si="40"/>
        <v>187711</v>
      </c>
      <c r="F77" s="185">
        <f t="shared" si="40"/>
        <v>277338</v>
      </c>
      <c r="G77" s="185">
        <f t="shared" si="40"/>
        <v>0</v>
      </c>
      <c r="H77" s="185" t="str">
        <f t="shared" si="40"/>
        <v/>
      </c>
      <c r="I77" s="324"/>
      <c r="J77" s="324"/>
      <c r="K77" s="324"/>
      <c r="L77" s="324"/>
      <c r="M77" s="324"/>
    </row>
    <row r="78" spans="2:13" ht="13" x14ac:dyDescent="0.15">
      <c r="B78" s="93" t="s">
        <v>87</v>
      </c>
      <c r="C78" s="185">
        <f t="shared" si="40"/>
        <v>9672256</v>
      </c>
      <c r="D78" s="185">
        <f t="shared" si="40"/>
        <v>8852611</v>
      </c>
      <c r="E78" s="185">
        <f t="shared" si="40"/>
        <v>8769304</v>
      </c>
      <c r="F78" s="185">
        <f t="shared" si="40"/>
        <v>7321614</v>
      </c>
      <c r="G78" s="185">
        <f t="shared" si="40"/>
        <v>0</v>
      </c>
      <c r="H78" s="185" t="str">
        <f t="shared" si="40"/>
        <v/>
      </c>
      <c r="I78" s="324"/>
      <c r="J78" s="324"/>
      <c r="K78" s="324"/>
      <c r="L78" s="324"/>
      <c r="M78" s="324"/>
    </row>
    <row r="79" spans="2:13" ht="13" x14ac:dyDescent="0.15">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ht="13" x14ac:dyDescent="0.15">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45381</v>
      </c>
      <c r="F1" s="86" t="str">
        <f>IF(MONTH(C1)=MONTH(Normalized_FCF!G1),"FY","Quarter")&amp;" Report"</f>
        <v>FY Report</v>
      </c>
      <c r="H1" s="107">
        <f>scaling_factor</f>
        <v>1000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265773</v>
      </c>
      <c r="D4" s="285">
        <v>0.6</v>
      </c>
      <c r="E4" s="25"/>
      <c r="F4" s="4" t="s">
        <v>78</v>
      </c>
      <c r="G4" s="19">
        <v>1998219</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9672256</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366595</v>
      </c>
      <c r="D9" s="285">
        <v>0.1</v>
      </c>
      <c r="E9" s="25"/>
      <c r="F9" s="4" t="s">
        <v>181</v>
      </c>
      <c r="G9" s="19">
        <v>0</v>
      </c>
      <c r="H9" s="285">
        <v>0.6</v>
      </c>
    </row>
    <row r="10" spans="2:8" ht="15" customHeight="1" x14ac:dyDescent="0.15">
      <c r="B10" s="4" t="s">
        <v>11</v>
      </c>
      <c r="C10" s="19">
        <v>29465</v>
      </c>
      <c r="D10" s="285">
        <v>0.9</v>
      </c>
      <c r="H10" s="286"/>
    </row>
    <row r="11" spans="2:8" ht="15" customHeight="1" x14ac:dyDescent="0.15">
      <c r="B11" s="4" t="s">
        <v>12</v>
      </c>
      <c r="C11" s="19">
        <v>0</v>
      </c>
      <c r="D11" s="285">
        <v>0.05</v>
      </c>
      <c r="H11" s="286"/>
    </row>
    <row r="12" spans="2:8" ht="15" customHeight="1" x14ac:dyDescent="0.15">
      <c r="B12" s="80" t="s">
        <v>72</v>
      </c>
      <c r="C12" s="81">
        <f>SUM(C4:C11)</f>
        <v>10334089</v>
      </c>
      <c r="D12" s="20">
        <f>C4*D4+C5*D5+C9*D9+C6*D6+C8*D8+C7*D7+C10*D10+C11*D11</f>
        <v>5058769.8</v>
      </c>
      <c r="F12" s="80" t="s">
        <v>70</v>
      </c>
      <c r="G12" s="81">
        <f>SUM(G4:G9)</f>
        <v>1998219</v>
      </c>
      <c r="H12" s="20">
        <f>G4*H4+G5*H5+G6*H6+G7*H7+G8*H8+G9*H9</f>
        <v>1798397.1</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103050</v>
      </c>
      <c r="D15" s="285">
        <v>0.4</v>
      </c>
      <c r="F15" s="4" t="s">
        <v>79</v>
      </c>
      <c r="G15" s="19">
        <v>0</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v>2522337</v>
      </c>
      <c r="D19" s="285">
        <v>0.1</v>
      </c>
      <c r="F19" s="4" t="s">
        <v>183</v>
      </c>
      <c r="G19" s="19">
        <v>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538321</v>
      </c>
      <c r="D21" s="285">
        <v>0.05</v>
      </c>
      <c r="F21" s="1" t="s">
        <v>181</v>
      </c>
      <c r="G21" s="19">
        <v>925726</v>
      </c>
      <c r="H21" s="285">
        <v>0.1</v>
      </c>
    </row>
    <row r="22" spans="2:8" ht="15" customHeight="1" x14ac:dyDescent="0.15">
      <c r="B22" s="4" t="s">
        <v>20</v>
      </c>
      <c r="C22" s="19">
        <v>154648</v>
      </c>
      <c r="D22" s="285">
        <v>0.9</v>
      </c>
      <c r="H22" s="286"/>
    </row>
    <row r="23" spans="2:8" ht="15" customHeight="1" x14ac:dyDescent="0.15">
      <c r="B23" s="4" t="s">
        <v>21</v>
      </c>
      <c r="C23" s="19">
        <v>277674</v>
      </c>
      <c r="D23" s="285">
        <v>0</v>
      </c>
      <c r="H23" s="286"/>
    </row>
    <row r="24" spans="2:8" ht="15" customHeight="1" x14ac:dyDescent="0.15">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x14ac:dyDescent="0.15">
      <c r="B26" s="16" t="s">
        <v>201</v>
      </c>
      <c r="C26" s="201" t="s">
        <v>137</v>
      </c>
      <c r="F26" s="203" t="s">
        <v>197</v>
      </c>
      <c r="G26" s="204" t="s">
        <v>137</v>
      </c>
      <c r="H26" s="205" t="s">
        <v>35</v>
      </c>
    </row>
    <row r="27" spans="2:8" ht="15" customHeight="1" x14ac:dyDescent="0.15">
      <c r="B27" s="4" t="s">
        <v>5</v>
      </c>
      <c r="C27" s="19">
        <v>1427805</v>
      </c>
      <c r="F27" s="206" t="s">
        <v>30</v>
      </c>
      <c r="G27" s="85">
        <f>G32-G30</f>
        <v>12863898</v>
      </c>
      <c r="H27" s="207">
        <f>H32-G30</f>
        <v>3419126.45</v>
      </c>
    </row>
    <row r="28" spans="2:8" ht="15" customHeight="1" x14ac:dyDescent="0.15">
      <c r="B28" s="4" t="s">
        <v>6</v>
      </c>
      <c r="C28" s="19">
        <v>287697</v>
      </c>
      <c r="F28" s="208" t="s">
        <v>245</v>
      </c>
      <c r="G28" s="12">
        <v>-26962</v>
      </c>
      <c r="H28" s="207"/>
    </row>
    <row r="29" spans="2:8" ht="15" customHeight="1" x14ac:dyDescent="0.15">
      <c r="B29" s="4" t="s">
        <v>7</v>
      </c>
      <c r="C29" s="19">
        <v>0</v>
      </c>
      <c r="F29" s="209" t="s">
        <v>76</v>
      </c>
      <c r="G29" s="14">
        <f>G27-G28</f>
        <v>12890860</v>
      </c>
      <c r="H29" s="207">
        <f>H27-G28</f>
        <v>3446088.45</v>
      </c>
    </row>
    <row r="30" spans="2:8" ht="15" customHeight="1" x14ac:dyDescent="0.15">
      <c r="B30" s="2" t="s">
        <v>8</v>
      </c>
      <c r="C30" s="19">
        <v>0</v>
      </c>
      <c r="F30" s="206" t="s">
        <v>23</v>
      </c>
      <c r="G30" s="85">
        <f>C33+C42</f>
        <v>3990166</v>
      </c>
      <c r="H30" s="207"/>
    </row>
    <row r="31" spans="2:8" ht="15" customHeight="1" x14ac:dyDescent="0.15">
      <c r="B31" s="80" t="s">
        <v>204</v>
      </c>
      <c r="C31" s="81">
        <f>SUM(C27:C30)</f>
        <v>1715502</v>
      </c>
      <c r="F31" s="209" t="s">
        <v>77</v>
      </c>
      <c r="G31" s="210">
        <f>C31+C40</f>
        <v>2034922</v>
      </c>
      <c r="H31" s="207"/>
    </row>
    <row r="32" spans="2:8" ht="15" customHeight="1" x14ac:dyDescent="0.15">
      <c r="B32" s="4" t="s">
        <v>9</v>
      </c>
      <c r="C32" s="21">
        <f>C33-C31</f>
        <v>1801307</v>
      </c>
      <c r="F32" s="211" t="s">
        <v>75</v>
      </c>
      <c r="G32" s="212">
        <f>G35+G40</f>
        <v>16854064</v>
      </c>
      <c r="H32" s="207">
        <f>H35+H40</f>
        <v>7409292.4500000002</v>
      </c>
    </row>
    <row r="33" spans="2:8" ht="15" customHeight="1" x14ac:dyDescent="0.15">
      <c r="B33" s="83" t="s">
        <v>4</v>
      </c>
      <c r="C33" s="84">
        <v>3516809</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13930119</v>
      </c>
      <c r="H35" s="219">
        <f>D12+D24</f>
        <v>5518322.75</v>
      </c>
    </row>
    <row r="36" spans="2:8" ht="15" customHeight="1" x14ac:dyDescent="0.15">
      <c r="B36" s="4" t="s">
        <v>13</v>
      </c>
      <c r="C36" s="19">
        <v>0</v>
      </c>
      <c r="F36" s="209" t="s">
        <v>198</v>
      </c>
      <c r="G36" s="210">
        <f>C4+C15</f>
        <v>368823</v>
      </c>
      <c r="H36" s="214"/>
    </row>
    <row r="37" spans="2:8" ht="15" customHeight="1" x14ac:dyDescent="0.15">
      <c r="B37" s="4" t="s">
        <v>14</v>
      </c>
      <c r="C37" s="19">
        <v>0</v>
      </c>
      <c r="F37" s="209" t="s">
        <v>199</v>
      </c>
      <c r="G37" s="210">
        <f>C6</f>
        <v>9672256</v>
      </c>
      <c r="H37" s="214"/>
    </row>
    <row r="38" spans="2:8" ht="15" customHeight="1" x14ac:dyDescent="0.15">
      <c r="B38" s="4" t="s">
        <v>15</v>
      </c>
      <c r="C38" s="19">
        <v>319420</v>
      </c>
      <c r="F38" s="209" t="s">
        <v>200</v>
      </c>
      <c r="G38" s="210">
        <f>C7+C17</f>
        <v>0</v>
      </c>
      <c r="H38" s="214"/>
    </row>
    <row r="39" spans="2:8" ht="15" customHeight="1" x14ac:dyDescent="0.15">
      <c r="B39" s="2" t="s">
        <v>16</v>
      </c>
      <c r="C39" s="19">
        <v>0</v>
      </c>
      <c r="F39" s="209" t="s">
        <v>80</v>
      </c>
      <c r="G39" s="210">
        <f>C7+C17+C19+C20</f>
        <v>2522337</v>
      </c>
      <c r="H39" s="207">
        <f>C7*D7+C17*D17+C19*D19+C20*D20</f>
        <v>252233.7</v>
      </c>
    </row>
    <row r="40" spans="2:8" ht="15" customHeight="1" x14ac:dyDescent="0.15">
      <c r="B40" s="80" t="s">
        <v>205</v>
      </c>
      <c r="C40" s="81">
        <f>SUM(C36:C39)</f>
        <v>319420</v>
      </c>
      <c r="F40" s="218" t="s">
        <v>139</v>
      </c>
      <c r="G40" s="212">
        <f>G12+G24</f>
        <v>2923945</v>
      </c>
      <c r="H40" s="219">
        <f>H12+H24</f>
        <v>1890969.7000000002</v>
      </c>
    </row>
    <row r="41" spans="2:8" ht="15" customHeight="1" x14ac:dyDescent="0.15">
      <c r="B41" s="4" t="s">
        <v>17</v>
      </c>
      <c r="C41" s="21">
        <f>C42-C40</f>
        <v>153937</v>
      </c>
      <c r="F41" s="209" t="s">
        <v>192</v>
      </c>
      <c r="G41" s="210">
        <f>C70</f>
        <v>1998219</v>
      </c>
      <c r="H41" s="219">
        <f>H40-H42</f>
        <v>1798397.1</v>
      </c>
    </row>
    <row r="42" spans="2:8" ht="15" customHeight="1" x14ac:dyDescent="0.15">
      <c r="B42" s="83" t="s">
        <v>22</v>
      </c>
      <c r="C42" s="84">
        <v>473357</v>
      </c>
      <c r="F42" s="220" t="s">
        <v>193</v>
      </c>
      <c r="G42" s="221">
        <f>C82</f>
        <v>925726</v>
      </c>
      <c r="H42" s="222">
        <f>D82</f>
        <v>92572.6</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12890860</v>
      </c>
      <c r="D46" s="76">
        <f>H29</f>
        <v>3446088.45</v>
      </c>
      <c r="F46" s="275"/>
    </row>
    <row r="47" spans="2:8" ht="15" customHeight="1" x14ac:dyDescent="0.15">
      <c r="B47" s="1" t="str">
        <f>"Equity per share ("&amp;Market_currency&amp;")"</f>
        <v>Equity per share (HKD)</v>
      </c>
      <c r="C47" s="148">
        <f>C46*H1/Common_Shares*Exchange_Rate</f>
        <v>21.956545121990789</v>
      </c>
      <c r="D47" s="148">
        <f>D46*H1/Common_Shares*Exchange_Rate</f>
        <v>5.8696003638854428</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1.4550387206421544</v>
      </c>
      <c r="D50" s="95">
        <f>G31/Normalized_FCF!G8</f>
        <v>1.0842664509772892</v>
      </c>
      <c r="F50" s="275"/>
    </row>
    <row r="51" spans="2:8" ht="15" customHeight="1" x14ac:dyDescent="0.15">
      <c r="B51" s="1" t="s">
        <v>177</v>
      </c>
      <c r="C51" s="200"/>
      <c r="D51" s="92">
        <f>G29/G32</f>
        <v>0.76485172952944758</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0.10039645772788393</v>
      </c>
      <c r="D54" s="92">
        <f>Normalized_FCF!G8/G35</f>
        <v>0.13472770763839131</v>
      </c>
      <c r="F54" s="275"/>
    </row>
    <row r="55" spans="2:8" ht="15" customHeight="1" x14ac:dyDescent="0.15">
      <c r="B55" s="1" t="s">
        <v>142</v>
      </c>
      <c r="C55" s="92">
        <f>Normalized_FCF!C11/G40</f>
        <v>0</v>
      </c>
      <c r="D55" s="92">
        <f>Normalized_FCF!G11/G40</f>
        <v>2.1854036242131779E-4</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0.1837280268259158</v>
      </c>
      <c r="F58" s="5"/>
    </row>
    <row r="59" spans="2:8" ht="15" customHeight="1" x14ac:dyDescent="0.15">
      <c r="B59" s="1" t="s">
        <v>93</v>
      </c>
      <c r="C59" s="98"/>
      <c r="D59" s="92">
        <f>G39/G32</f>
        <v>0.14965749507062509</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0</v>
      </c>
      <c r="D62" s="92">
        <f>G28/G29</f>
        <v>-2.0915594459950692E-3</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1998219</v>
      </c>
      <c r="D66" s="76">
        <f>C66-D75</f>
        <v>1050246.6606106577</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1998219</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-1187304.6396666665</v>
      </c>
      <c r="D73" s="76">
        <f>(Normalized_FCF!C25+Normalized_FCF!C35-Normalized_FCF!C91)/12</f>
        <v>-947972.33938934223</v>
      </c>
      <c r="F73" s="1" t="s">
        <v>352</v>
      </c>
    </row>
    <row r="74" spans="2:6" ht="15" customHeight="1" x14ac:dyDescent="0.15">
      <c r="B74" s="279" t="s">
        <v>322</v>
      </c>
      <c r="C74" s="280">
        <f>-$C$66/C73</f>
        <v>1.6829876118070222</v>
      </c>
      <c r="D74" s="280">
        <f>-$C$66/D73</f>
        <v>2.1078874530107048</v>
      </c>
      <c r="F74" s="275" t="s">
        <v>320</v>
      </c>
    </row>
    <row r="75" spans="2:6" ht="15" customHeight="1" x14ac:dyDescent="0.15">
      <c r="B75" s="80" t="s">
        <v>321</v>
      </c>
      <c r="C75" s="284"/>
      <c r="D75" s="283">
        <f>MAX(-D73*D76,G5)</f>
        <v>947972.33938934223</v>
      </c>
      <c r="F75" s="275" t="s">
        <v>353</v>
      </c>
    </row>
    <row r="76" spans="2:6" ht="15" customHeight="1" x14ac:dyDescent="0.15">
      <c r="B76" s="281" t="s">
        <v>323</v>
      </c>
      <c r="C76" s="282"/>
      <c r="D76" s="317">
        <f>IF(D74&lt;=3,1,IF(D74&gt;18,6,2))</f>
        <v>1</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0</v>
      </c>
      <c r="D79" s="76">
        <f>G7*H7+G17*H17</f>
        <v>0</v>
      </c>
      <c r="F79" s="275"/>
    </row>
    <row r="80" spans="2:6" ht="15" customHeight="1" x14ac:dyDescent="0.15">
      <c r="B80" s="105" t="s">
        <v>183</v>
      </c>
      <c r="C80" s="20">
        <f>G19</f>
        <v>0</v>
      </c>
      <c r="D80" s="76">
        <f>G19*H19</f>
        <v>0</v>
      </c>
      <c r="F80" s="275"/>
    </row>
    <row r="81" spans="2:8" ht="15" customHeight="1" x14ac:dyDescent="0.15">
      <c r="B81" s="105" t="s">
        <v>181</v>
      </c>
      <c r="C81" s="20">
        <f>G9+G21</f>
        <v>925726</v>
      </c>
      <c r="D81" s="76">
        <f>G9*H9+G21*H21</f>
        <v>92572.6</v>
      </c>
      <c r="F81" s="275"/>
    </row>
    <row r="82" spans="2:8" ht="15" customHeight="1" x14ac:dyDescent="0.15">
      <c r="B82" s="80" t="s">
        <v>190</v>
      </c>
      <c r="C82" s="81">
        <f>SUM(C79:C81)</f>
        <v>925726</v>
      </c>
      <c r="D82" s="81">
        <f>SUM(D79:D81)</f>
        <v>92572.6</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-2034922</v>
      </c>
      <c r="D86" s="245">
        <f>C86*scaling_factor/Common_Shares</f>
        <v>-3.4660105464438944</v>
      </c>
      <c r="E86" s="262" t="str">
        <f>Market_currency</f>
        <v>HKD</v>
      </c>
    </row>
    <row r="87" spans="2:8" ht="15" customHeight="1" x14ac:dyDescent="0.15">
      <c r="B87" s="260" t="s">
        <v>288</v>
      </c>
      <c r="C87" s="76">
        <f>DCF!C8*Exchange_Rate</f>
        <v>1050246.6606106577</v>
      </c>
      <c r="D87" s="245">
        <f>C87*scaling_factor/Common_Shares</f>
        <v>1.7888479273623368</v>
      </c>
      <c r="E87" s="262" t="str">
        <f>Market_currency</f>
        <v>HKD</v>
      </c>
    </row>
    <row r="88" spans="2:8" ht="15" customHeight="1" x14ac:dyDescent="0.15">
      <c r="B88" s="261" t="s">
        <v>190</v>
      </c>
      <c r="C88" s="76">
        <f>DCF!C9*Exchange_Rate</f>
        <v>92572.6</v>
      </c>
      <c r="D88" s="245">
        <f>C88*scaling_factor/Common_Shares</f>
        <v>0.15767562978420405</v>
      </c>
      <c r="E88" s="262" t="str">
        <f>Market_currency</f>
        <v>HKD</v>
      </c>
    </row>
    <row r="89" spans="2:8" ht="15" customHeight="1" x14ac:dyDescent="0.15">
      <c r="B89" s="80" t="s">
        <v>292</v>
      </c>
      <c r="C89" s="187">
        <f>SUM(C86:C88)</f>
        <v>-892102.73938934237</v>
      </c>
      <c r="D89" s="264">
        <f>SUM(D86:D88)</f>
        <v>-1.5194869892973535</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93"/>
      <c r="F3" s="9"/>
      <c r="G3" s="9"/>
    </row>
    <row r="4" spans="1:17" ht="15.75" customHeight="1" x14ac:dyDescent="0.15">
      <c r="A4" s="10"/>
      <c r="B4" s="26" t="s">
        <v>2</v>
      </c>
      <c r="C4" s="189">
        <f>AVERAGE(G4:J4)</f>
        <v>11975736</v>
      </c>
      <c r="D4" s="57"/>
      <c r="E4" s="291"/>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x14ac:dyDescent="0.15">
      <c r="A5" s="10"/>
      <c r="B5" s="2" t="s">
        <v>46</v>
      </c>
      <c r="C5" s="190">
        <f>C25</f>
        <v>-10274842.146672107</v>
      </c>
      <c r="E5" s="293"/>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x14ac:dyDescent="0.15">
      <c r="A6" s="10"/>
      <c r="B6" s="31" t="s">
        <v>48</v>
      </c>
      <c r="C6" s="184">
        <f>C4+C5</f>
        <v>1700893.8533278927</v>
      </c>
      <c r="E6" s="293"/>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x14ac:dyDescent="0.15">
      <c r="A7" s="10"/>
      <c r="B7" s="8" t="s">
        <v>45</v>
      </c>
      <c r="C7" s="190">
        <f>C35</f>
        <v>-302359.25</v>
      </c>
      <c r="E7" s="293"/>
      <c r="G7" s="190">
        <f t="shared" ref="G7:Q7" si="3">G35</f>
        <v>-254107</v>
      </c>
      <c r="H7" s="190">
        <f t="shared" si="3"/>
        <v>-349526</v>
      </c>
      <c r="I7" s="190">
        <f t="shared" si="3"/>
        <v>-323818</v>
      </c>
      <c r="J7" s="190">
        <f t="shared" si="3"/>
        <v>-281986</v>
      </c>
      <c r="K7" s="190">
        <f t="shared" si="3"/>
        <v>-173152</v>
      </c>
      <c r="L7" s="190" t="str">
        <f t="shared" si="3"/>
        <v/>
      </c>
      <c r="M7" s="190" t="str">
        <f t="shared" si="3"/>
        <v/>
      </c>
      <c r="N7" s="190" t="str">
        <f t="shared" si="3"/>
        <v/>
      </c>
      <c r="O7" s="190" t="str">
        <f t="shared" si="3"/>
        <v/>
      </c>
      <c r="P7" s="190" t="str">
        <f t="shared" si="3"/>
        <v/>
      </c>
      <c r="Q7" s="190" t="str">
        <f t="shared" si="3"/>
        <v/>
      </c>
    </row>
    <row r="8" spans="1:17" ht="15.75" customHeight="1" x14ac:dyDescent="0.15">
      <c r="A8" s="10"/>
      <c r="B8" s="29" t="s">
        <v>153</v>
      </c>
      <c r="C8" s="191">
        <f>C6+C7</f>
        <v>1398534.6033278927</v>
      </c>
      <c r="D8" s="59"/>
      <c r="E8" s="299"/>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x14ac:dyDescent="0.15">
      <c r="A9" s="10"/>
      <c r="B9" s="2" t="s">
        <v>65</v>
      </c>
      <c r="C9" s="190">
        <f>BS!$G$39*BS!D58</f>
        <v>463424</v>
      </c>
      <c r="E9" s="293"/>
      <c r="G9" s="190">
        <f>IF(Data!C61="","",-Data!C61)</f>
        <v>463424</v>
      </c>
      <c r="H9" s="190">
        <f>IF(Data!D61="","",-Data!D61)</f>
        <v>371724</v>
      </c>
      <c r="I9" s="190">
        <f>IF(Data!E61="","",-Data!E61)</f>
        <v>435672</v>
      </c>
      <c r="J9" s="190">
        <f>IF(Data!F61="","",-Data!F61)</f>
        <v>520888</v>
      </c>
      <c r="K9" s="190">
        <f>IF(Data!G61="","",-Data!G61)</f>
        <v>0</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x14ac:dyDescent="0.15">
      <c r="A10" s="10"/>
      <c r="B10" s="2" t="s">
        <v>81</v>
      </c>
      <c r="C10" s="190">
        <f>-C4*C78</f>
        <v>-463424.00000000006</v>
      </c>
      <c r="E10" s="293"/>
      <c r="G10" s="190">
        <f>Data!C62</f>
        <v>-676387</v>
      </c>
      <c r="H10" s="190">
        <f>Data!D62</f>
        <v>-107280</v>
      </c>
      <c r="I10" s="190">
        <f>Data!E62</f>
        <v>-455483</v>
      </c>
      <c r="J10" s="190">
        <f>Data!F62</f>
        <v>-138937</v>
      </c>
      <c r="K10" s="190">
        <f>Data!G62</f>
        <v>0</v>
      </c>
      <c r="L10" s="190" t="str">
        <f>Data!H62</f>
        <v/>
      </c>
      <c r="M10" s="190" t="str">
        <f>Data!I62</f>
        <v/>
      </c>
      <c r="N10" s="190" t="str">
        <f>Data!J62</f>
        <v/>
      </c>
      <c r="O10" s="190" t="str">
        <f>Data!K62</f>
        <v/>
      </c>
      <c r="P10" s="190" t="str">
        <f>Data!L62</f>
        <v/>
      </c>
      <c r="Q10" s="190" t="str">
        <f>Data!M62</f>
        <v/>
      </c>
    </row>
    <row r="11" spans="1:17" ht="15.75" customHeight="1" x14ac:dyDescent="0.15">
      <c r="A11" s="10"/>
      <c r="B11" s="31" t="s">
        <v>195</v>
      </c>
      <c r="C11" s="192">
        <f>C63</f>
        <v>0</v>
      </c>
      <c r="D11" s="169"/>
      <c r="E11" s="292"/>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15">
      <c r="A12" s="10"/>
      <c r="B12" s="2" t="s">
        <v>68</v>
      </c>
      <c r="C12" s="190">
        <f>C50</f>
        <v>-45849.061111677467</v>
      </c>
      <c r="E12" s="293"/>
      <c r="G12" s="190">
        <f>G50</f>
        <v>-45849.061111677467</v>
      </c>
      <c r="H12" s="190">
        <f t="shared" ref="H12:Q12" si="6">H50</f>
        <v>-5048.2141120307824</v>
      </c>
      <c r="I12" s="190">
        <f t="shared" si="6"/>
        <v>18339.747429397234</v>
      </c>
      <c r="J12" s="190">
        <f t="shared" si="6"/>
        <v>1227.5583615236937</v>
      </c>
      <c r="K12" s="190">
        <f t="shared" si="6"/>
        <v>-41513.127740129785</v>
      </c>
      <c r="L12" s="190" t="str">
        <f t="shared" si="6"/>
        <v/>
      </c>
      <c r="M12" s="190" t="str">
        <f t="shared" si="6"/>
        <v/>
      </c>
      <c r="N12" s="190" t="str">
        <f t="shared" si="6"/>
        <v/>
      </c>
      <c r="O12" s="190" t="str">
        <f t="shared" si="6"/>
        <v/>
      </c>
      <c r="P12" s="190" t="str">
        <f t="shared" si="6"/>
        <v/>
      </c>
      <c r="Q12" s="190" t="str">
        <f t="shared" si="6"/>
        <v/>
      </c>
    </row>
    <row r="13" spans="1:17" ht="15.75" customHeight="1" x14ac:dyDescent="0.15">
      <c r="A13" s="10"/>
      <c r="B13" s="70" t="s">
        <v>165</v>
      </c>
      <c r="C13" s="184">
        <f>SUM(C8:C12)</f>
        <v>1352685.5422162153</v>
      </c>
      <c r="E13" s="293"/>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x14ac:dyDescent="0.15">
      <c r="A14" s="10"/>
      <c r="B14" s="2" t="s">
        <v>63</v>
      </c>
      <c r="C14" s="190">
        <f>-SUM(C8+C11,C12)*C43</f>
        <v>-338171.38555405382</v>
      </c>
      <c r="E14" s="293"/>
      <c r="G14" s="190">
        <f>Data!C46</f>
        <v>-327166</v>
      </c>
      <c r="H14" s="190">
        <f>Data!D46</f>
        <v>-280664</v>
      </c>
      <c r="I14" s="190">
        <f>Data!E46</f>
        <v>-291296</v>
      </c>
      <c r="J14" s="190">
        <f>Data!F46</f>
        <v>-236303</v>
      </c>
      <c r="K14" s="190">
        <f>Data!G46</f>
        <v>-223409</v>
      </c>
      <c r="L14" s="190" t="str">
        <f>Data!H46</f>
        <v/>
      </c>
      <c r="M14" s="190" t="str">
        <f>Data!I46</f>
        <v/>
      </c>
      <c r="N14" s="190" t="str">
        <f>Data!J46</f>
        <v/>
      </c>
      <c r="O14" s="190" t="str">
        <f>Data!K46</f>
        <v/>
      </c>
      <c r="P14" s="190" t="str">
        <f>Data!L46</f>
        <v/>
      </c>
      <c r="Q14" s="190" t="str">
        <f>Data!M46</f>
        <v/>
      </c>
    </row>
    <row r="15" spans="1:17" ht="15.75" customHeight="1" x14ac:dyDescent="0.15">
      <c r="A15" s="10"/>
      <c r="B15" s="40" t="s">
        <v>244</v>
      </c>
      <c r="C15" s="190">
        <f>-C4*C83</f>
        <v>0</v>
      </c>
      <c r="D15" s="60"/>
      <c r="E15" s="300"/>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x14ac:dyDescent="0.15">
      <c r="A16" s="10"/>
      <c r="B16" s="41" t="s">
        <v>155</v>
      </c>
      <c r="C16" s="193">
        <f>SUM(C13:C15)</f>
        <v>1014514.1566621615</v>
      </c>
      <c r="D16" s="61"/>
      <c r="E16" s="301"/>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1014514.1566621615</v>
      </c>
      <c r="D19" s="27"/>
      <c r="E19" s="290"/>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-8638608.2360938303</v>
      </c>
      <c r="D23" s="58"/>
      <c r="E23" s="292"/>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x14ac:dyDescent="0.2">
      <c r="A24" s="10"/>
      <c r="B24" s="68" t="s">
        <v>62</v>
      </c>
      <c r="C24" s="190">
        <f>-C4*C29</f>
        <v>-1636233.9105782772</v>
      </c>
      <c r="D24" s="27"/>
      <c r="E24" s="290"/>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x14ac:dyDescent="0.15">
      <c r="A25" s="10"/>
      <c r="B25" s="70" t="s">
        <v>46</v>
      </c>
      <c r="C25" s="184">
        <f>C23+C24</f>
        <v>-10274842.146672107</v>
      </c>
      <c r="D25" s="9"/>
      <c r="E25" s="298"/>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0.72134257435984139</v>
      </c>
      <c r="D28" s="26"/>
      <c r="E28" s="291" t="s">
        <v>334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0.13662908990130354</v>
      </c>
      <c r="D29" s="26"/>
      <c r="E29" s="291" t="s">
        <v>334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0.85797166426114502</v>
      </c>
      <c r="E30" s="293"/>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-302359.25</v>
      </c>
      <c r="E33" s="291" t="s">
        <v>334</v>
      </c>
      <c r="G33" s="190">
        <f>Data!C41</f>
        <v>-254107</v>
      </c>
      <c r="H33" s="190">
        <f>Data!D41</f>
        <v>-349526</v>
      </c>
      <c r="I33" s="190">
        <f>Data!E41</f>
        <v>-323818</v>
      </c>
      <c r="J33" s="190">
        <f>Data!F41</f>
        <v>-281986</v>
      </c>
      <c r="K33" s="190">
        <f>Data!G41</f>
        <v>-173152</v>
      </c>
      <c r="L33" s="190" t="str">
        <f>Data!H41</f>
        <v/>
      </c>
      <c r="M33" s="190" t="str">
        <f>Data!I41</f>
        <v/>
      </c>
      <c r="N33" s="190" t="str">
        <f>Data!J41</f>
        <v/>
      </c>
      <c r="O33" s="190" t="str">
        <f>Data!K41</f>
        <v/>
      </c>
      <c r="P33" s="190" t="str">
        <f>Data!L41</f>
        <v/>
      </c>
      <c r="Q33" s="190" t="str">
        <f>Data!M41</f>
        <v/>
      </c>
    </row>
    <row r="34" spans="1:17" ht="15.75" customHeight="1" x14ac:dyDescent="0.15">
      <c r="A34" s="10"/>
      <c r="B34" s="27" t="s">
        <v>49</v>
      </c>
      <c r="C34" s="197">
        <f>AVERAGE(G34:J34)</f>
        <v>0</v>
      </c>
      <c r="D34" s="58"/>
      <c r="E34" s="291" t="s">
        <v>334</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15">
      <c r="A35" s="10"/>
      <c r="B35" s="70" t="s">
        <v>45</v>
      </c>
      <c r="C35" s="184">
        <f>C33+C34</f>
        <v>-302359.25</v>
      </c>
      <c r="D35" s="58"/>
      <c r="E35" s="292"/>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2.5247654924924864E-2</v>
      </c>
      <c r="D38" s="27"/>
      <c r="E38" s="290"/>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2.5247654924924864E-2</v>
      </c>
      <c r="E40" s="293"/>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-59596</v>
      </c>
      <c r="E47" s="293"/>
      <c r="G47" s="190">
        <f>Data!C51</f>
        <v>-59596</v>
      </c>
      <c r="H47" s="190">
        <f>Data!D51</f>
        <v>-20763</v>
      </c>
      <c r="I47" s="190">
        <f>Data!E51</f>
        <v>-23097</v>
      </c>
      <c r="J47" s="190">
        <f>Data!F51</f>
        <v>-28849</v>
      </c>
      <c r="K47" s="190">
        <f>Data!G51</f>
        <v>-63075</v>
      </c>
      <c r="L47" s="190" t="str">
        <f>Data!H51</f>
        <v/>
      </c>
      <c r="M47" s="190" t="str">
        <f>Data!I51</f>
        <v/>
      </c>
      <c r="N47" s="190" t="str">
        <f>Data!J51</f>
        <v/>
      </c>
      <c r="O47" s="190" t="str">
        <f>Data!K51</f>
        <v/>
      </c>
      <c r="P47" s="190" t="str">
        <f>Data!L51</f>
        <v/>
      </c>
      <c r="Q47" s="190" t="str">
        <f>Data!M51</f>
        <v/>
      </c>
    </row>
    <row r="48" spans="1:17" ht="15.75" customHeight="1" x14ac:dyDescent="0.15">
      <c r="A48" s="10"/>
      <c r="B48" s="2" t="s">
        <v>346</v>
      </c>
      <c r="C48" s="190">
        <f>BS!D75*C53</f>
        <v>13746.938888322537</v>
      </c>
      <c r="E48" s="293"/>
      <c r="G48" s="318">
        <f>IFERROR(IF(G$4="","",($C$48/$C$49)*G49),0)</f>
        <v>13746.938888322537</v>
      </c>
      <c r="H48" s="318">
        <f t="shared" ref="H48:Q48" si="19">IFERROR(IF(H$4="","",($C$48/$C$49)*H49),0)</f>
        <v>15714.785887969218</v>
      </c>
      <c r="I48" s="318">
        <f t="shared" si="19"/>
        <v>41436.747429397234</v>
      </c>
      <c r="J48" s="318">
        <f t="shared" si="19"/>
        <v>30076.558361523694</v>
      </c>
      <c r="K48" s="318">
        <f t="shared" si="19"/>
        <v>21561.872259870215</v>
      </c>
      <c r="L48" s="318" t="str">
        <f t="shared" si="19"/>
        <v/>
      </c>
      <c r="M48" s="318" t="str">
        <f t="shared" si="19"/>
        <v/>
      </c>
      <c r="N48" s="318" t="str">
        <f t="shared" si="19"/>
        <v/>
      </c>
      <c r="O48" s="318" t="str">
        <f t="shared" si="19"/>
        <v/>
      </c>
      <c r="P48" s="318" t="str">
        <f t="shared" si="19"/>
        <v/>
      </c>
      <c r="Q48" s="318" t="str">
        <f t="shared" si="19"/>
        <v/>
      </c>
    </row>
    <row r="49" spans="1:17" ht="15.75" customHeight="1" x14ac:dyDescent="0.15">
      <c r="A49" s="10"/>
      <c r="B49" s="313" t="s">
        <v>343</v>
      </c>
      <c r="C49" s="314">
        <f>BS!$C$66*C53</f>
        <v>28977</v>
      </c>
      <c r="D49" s="315"/>
      <c r="E49" s="316"/>
      <c r="F49" s="315"/>
      <c r="G49" s="314">
        <f>Data!C52</f>
        <v>28977</v>
      </c>
      <c r="H49" s="314">
        <f>Data!D52</f>
        <v>33125</v>
      </c>
      <c r="I49" s="314">
        <f>Data!E52</f>
        <v>87344</v>
      </c>
      <c r="J49" s="314">
        <f>Data!F52</f>
        <v>63398</v>
      </c>
      <c r="K49" s="314">
        <f>Data!G52</f>
        <v>45450</v>
      </c>
      <c r="L49" s="314" t="str">
        <f>Data!H52</f>
        <v/>
      </c>
      <c r="M49" s="314" t="str">
        <f>Data!I52</f>
        <v/>
      </c>
      <c r="N49" s="314" t="str">
        <f>Data!J52</f>
        <v/>
      </c>
      <c r="O49" s="314" t="str">
        <f>Data!K52</f>
        <v/>
      </c>
      <c r="P49" s="314" t="str">
        <f>Data!L52</f>
        <v/>
      </c>
      <c r="Q49" s="314" t="str">
        <f>Data!M52</f>
        <v/>
      </c>
    </row>
    <row r="50" spans="1:17" ht="15.75" customHeight="1" x14ac:dyDescent="0.15">
      <c r="A50" s="10"/>
      <c r="B50" s="70" t="s">
        <v>68</v>
      </c>
      <c r="C50" s="184">
        <f>C47+C48</f>
        <v>-45849.061111677467</v>
      </c>
      <c r="E50" s="293"/>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1.4501413508729523E-2</v>
      </c>
      <c r="E53" s="290" t="s">
        <v>336</v>
      </c>
      <c r="G53" s="6">
        <f>IF(Normalized_FCF!G4="","",Normalized_FCF!G49/BS!$C$66)</f>
        <v>1.4501413508729523E-2</v>
      </c>
      <c r="H53" s="170"/>
      <c r="I53" s="170"/>
      <c r="J53" s="170"/>
      <c r="K53" s="170"/>
      <c r="L53" s="170"/>
      <c r="M53" s="170"/>
      <c r="N53" s="170"/>
      <c r="O53" s="170"/>
      <c r="P53" s="170"/>
      <c r="Q53" s="170"/>
    </row>
    <row r="54" spans="1:17" ht="15.75" customHeight="1" x14ac:dyDescent="0.15">
      <c r="A54" s="10"/>
      <c r="B54" s="8" t="s">
        <v>88</v>
      </c>
      <c r="C54" s="82">
        <f>G54</f>
        <v>2.9286626219579916E-2</v>
      </c>
      <c r="E54" s="290" t="s">
        <v>337</v>
      </c>
      <c r="G54" s="23">
        <f>IFERROR(ABS(Normalized_FCF!G47/BS!$G$31),0)</f>
        <v>2.9286626219579916E-2</v>
      </c>
      <c r="H54" s="170"/>
      <c r="I54" s="170"/>
      <c r="J54" s="170"/>
      <c r="K54" s="170"/>
      <c r="L54" s="170"/>
      <c r="M54" s="170"/>
      <c r="N54" s="170"/>
      <c r="O54" s="170"/>
      <c r="P54" s="170"/>
      <c r="Q54" s="170"/>
    </row>
    <row r="55" spans="1:17" ht="15.75" customHeight="1" x14ac:dyDescent="0.15">
      <c r="A55" s="10"/>
      <c r="B55" s="26" t="s">
        <v>91</v>
      </c>
      <c r="C55" s="42">
        <f>-C8/C47</f>
        <v>23.466920654538772</v>
      </c>
      <c r="E55" s="293"/>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t="str">
        <f>Data!H56</f>
        <v/>
      </c>
      <c r="M58" s="190" t="str">
        <f>Data!I56</f>
        <v/>
      </c>
      <c r="N58" s="190" t="str">
        <f>Data!J56</f>
        <v/>
      </c>
      <c r="O58" s="190" t="str">
        <f>Data!K56</f>
        <v/>
      </c>
      <c r="P58" s="190" t="str">
        <f>Data!L56</f>
        <v/>
      </c>
      <c r="Q58" s="190" t="str">
        <f>Data!M56</f>
        <v/>
      </c>
    </row>
    <row r="59" spans="1:17" ht="15.75" customHeight="1" x14ac:dyDescent="0.15">
      <c r="A59" s="10"/>
      <c r="B59" s="40" t="s">
        <v>160</v>
      </c>
      <c r="C59" s="190">
        <f>BS!$C68*C67</f>
        <v>0</v>
      </c>
      <c r="E59" s="293"/>
      <c r="G59" s="190">
        <f>Data!C55</f>
        <v>639</v>
      </c>
      <c r="H59" s="190">
        <f>Data!D55</f>
        <v>927</v>
      </c>
      <c r="I59" s="190">
        <f>Data!E55</f>
        <v>0</v>
      </c>
      <c r="J59" s="190">
        <f>Data!F55</f>
        <v>0</v>
      </c>
      <c r="K59" s="190">
        <f>Data!G55</f>
        <v>0</v>
      </c>
      <c r="L59" s="190" t="str">
        <f>Data!H55</f>
        <v/>
      </c>
      <c r="M59" s="190" t="str">
        <f>Data!I55</f>
        <v/>
      </c>
      <c r="N59" s="190" t="str">
        <f>Data!J55</f>
        <v/>
      </c>
      <c r="O59" s="190" t="str">
        <f>Data!K55</f>
        <v/>
      </c>
      <c r="P59" s="190" t="str">
        <f>Data!L55</f>
        <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t="str">
        <f>Data!H57</f>
        <v/>
      </c>
      <c r="M60" s="190" t="str">
        <f>Data!I57</f>
        <v/>
      </c>
      <c r="N60" s="190" t="str">
        <f>Data!J57</f>
        <v/>
      </c>
      <c r="O60" s="190" t="str">
        <f>Data!K57</f>
        <v/>
      </c>
      <c r="P60" s="190" t="str">
        <f>Data!L57</f>
        <v/>
      </c>
      <c r="Q60" s="190" t="str">
        <f>Data!M57</f>
        <v/>
      </c>
    </row>
    <row r="61" spans="1:17" ht="15.75" customHeight="1" x14ac:dyDescent="0.15">
      <c r="A61" s="10"/>
      <c r="B61" s="31" t="s">
        <v>195</v>
      </c>
      <c r="C61" s="184">
        <f>SUM(C58:C60)</f>
        <v>0</v>
      </c>
      <c r="E61" s="293"/>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15">
      <c r="A62" s="10"/>
      <c r="B62" s="40" t="s">
        <v>161</v>
      </c>
      <c r="C62" s="288">
        <v>0</v>
      </c>
      <c r="E62" s="291" t="s">
        <v>338</v>
      </c>
      <c r="G62" s="190">
        <f>Data!C58</f>
        <v>247678</v>
      </c>
      <c r="H62" s="190">
        <f>Data!D58</f>
        <v>189250</v>
      </c>
      <c r="I62" s="190">
        <f>Data!E58</f>
        <v>200697</v>
      </c>
      <c r="J62" s="190">
        <f>Data!F58</f>
        <v>281254</v>
      </c>
      <c r="K62" s="190">
        <f>Data!G58</f>
        <v>-97419</v>
      </c>
      <c r="L62" s="190" t="str">
        <f>Data!H58</f>
        <v/>
      </c>
      <c r="M62" s="190" t="str">
        <f>Data!I58</f>
        <v/>
      </c>
      <c r="N62" s="190" t="str">
        <f>Data!J58</f>
        <v/>
      </c>
      <c r="O62" s="190" t="str">
        <f>Data!K58</f>
        <v/>
      </c>
      <c r="P62" s="190" t="str">
        <f>Data!L58</f>
        <v/>
      </c>
      <c r="Q62" s="190" t="str">
        <f>Data!M58</f>
        <v/>
      </c>
    </row>
    <row r="63" spans="1:17" ht="15.75" customHeight="1" x14ac:dyDescent="0.15">
      <c r="A63" s="10"/>
      <c r="B63" s="31" t="s">
        <v>196</v>
      </c>
      <c r="C63" s="184">
        <f>C61+C62</f>
        <v>0</v>
      </c>
      <c r="E63" s="293"/>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3.197847683362034E-4</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0.85797166426114502</v>
      </c>
      <c r="D73" s="27"/>
      <c r="E73" s="290"/>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0.14202833573885504</v>
      </c>
      <c r="D74" s="27"/>
      <c r="E74" s="290"/>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2.5247654924924864E-2</v>
      </c>
      <c r="D75" s="27"/>
      <c r="E75" s="290"/>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153</v>
      </c>
      <c r="C76" s="78">
        <f>ABS(C8/C$4)</f>
        <v>0.11678068081393016</v>
      </c>
      <c r="D76" s="27"/>
      <c r="E76" s="290"/>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3.8696911822371505E-2</v>
      </c>
      <c r="D77" s="27"/>
      <c r="E77" s="290"/>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81</v>
      </c>
      <c r="C78" s="88">
        <f>MAX(AVERAGE(G78:J78),C77)</f>
        <v>3.8696911822371505E-2</v>
      </c>
      <c r="D78" s="27"/>
      <c r="E78" s="291" t="s">
        <v>460</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154</v>
      </c>
      <c r="C79" s="78">
        <f>ABS(C11/C$4)</f>
        <v>0</v>
      </c>
      <c r="D79" s="27"/>
      <c r="E79" s="290"/>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3.8284963121830232E-3</v>
      </c>
      <c r="D80" s="27"/>
      <c r="E80" s="290"/>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165</v>
      </c>
      <c r="C81" s="78">
        <f>C13/C4</f>
        <v>0.11295218450174714</v>
      </c>
      <c r="D81" s="27"/>
      <c r="E81" s="290"/>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2.8238046125436785E-2</v>
      </c>
      <c r="D82" s="27"/>
      <c r="E82" s="290"/>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89">
        <f>MIN(BS!C62,MAX(G83:K83))</f>
        <v>0</v>
      </c>
      <c r="D83" s="27"/>
      <c r="E83" s="290"/>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155</v>
      </c>
      <c r="C84" s="78">
        <f>ABS(C16/C$4)</f>
        <v>8.4714138376310352E-2</v>
      </c>
      <c r="D84" s="27"/>
      <c r="E84" s="290"/>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8.4714138376310352E-2</v>
      </c>
      <c r="D87" s="75"/>
      <c r="E87" s="290"/>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1.36</v>
      </c>
      <c r="E90" s="293"/>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x14ac:dyDescent="0.15">
      <c r="A91" s="10"/>
      <c r="B91" s="2" t="str">
        <f>"Dividend ("&amp;Market_currency&amp;")"</f>
        <v>Dividend (HKD)</v>
      </c>
      <c r="C91" s="74">
        <f>C90*Common_Shares/scaling_factor</f>
        <v>798466.67599999998</v>
      </c>
      <c r="E91" s="293"/>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0.7870434047239161</v>
      </c>
      <c r="E92" s="293"/>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x14ac:dyDescent="0.15">
      <c r="A93" s="10"/>
      <c r="B93" s="2" t="s">
        <v>310</v>
      </c>
      <c r="C93" s="23">
        <f>C90/Market_Price</f>
        <v>7.8071182548794485E-2</v>
      </c>
      <c r="E93" s="293"/>
      <c r="G93" s="23">
        <f t="shared" ref="G93:Q93" si="39">IF(G$4="","",G90/Market_Price)</f>
        <v>7.8071182548794485E-2</v>
      </c>
      <c r="H93" s="23">
        <f t="shared" si="39"/>
        <v>6.3145809414466125E-2</v>
      </c>
      <c r="I93" s="23">
        <f t="shared" si="39"/>
        <v>6.3145809414466125E-2</v>
      </c>
      <c r="J93" s="23">
        <f t="shared" si="39"/>
        <v>5.7405281285878296E-2</v>
      </c>
      <c r="K93" s="23">
        <f t="shared" si="39"/>
        <v>5.7405281285878296E-2</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-0.2185980886550547</v>
      </c>
      <c r="D96" s="27"/>
      <c r="E96" s="290"/>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-0.16428667163718114</v>
      </c>
      <c r="D97" s="27"/>
      <c r="E97" s="290"/>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16854064</v>
      </c>
      <c r="D101" s="26"/>
      <c r="E101" s="294"/>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15">
      <c r="A102" s="10"/>
      <c r="B102" s="93" t="s">
        <v>211</v>
      </c>
      <c r="C102" s="199">
        <f>BS!C4</f>
        <v>265773</v>
      </c>
      <c r="D102" s="89"/>
      <c r="E102" s="295"/>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15">
      <c r="A103" s="10"/>
      <c r="B103" s="93" t="s">
        <v>212</v>
      </c>
      <c r="C103" s="199">
        <f>BS!C6+BS!C7</f>
        <v>9672256</v>
      </c>
      <c r="D103" s="89"/>
      <c r="E103" s="295"/>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15">
      <c r="A104" s="10"/>
      <c r="B104" s="26" t="s">
        <v>40</v>
      </c>
      <c r="C104" s="198">
        <f>BS!G30</f>
        <v>3990166</v>
      </c>
      <c r="D104" s="26"/>
      <c r="E104" s="294"/>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x14ac:dyDescent="0.15">
      <c r="A105" s="10"/>
      <c r="B105" s="26" t="s">
        <v>30</v>
      </c>
      <c r="C105" s="198">
        <f>BS!G27</f>
        <v>12863898</v>
      </c>
      <c r="D105" s="26"/>
      <c r="E105" s="294"/>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2.2192623484686036E-2</v>
      </c>
      <c r="D108" s="26"/>
      <c r="E108" s="294"/>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219</v>
      </c>
      <c r="C109" s="94">
        <f>C103/C$4</f>
        <v>0.80765441055146836</v>
      </c>
      <c r="D109" s="26"/>
      <c r="E109" s="294"/>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0</v>
      </c>
      <c r="H113" s="323">
        <f>IF(H$4="","",Data!D$22/Data!D15)</f>
        <v>0</v>
      </c>
      <c r="I113" s="323">
        <f>IF(I$4="","",Data!E$22/Data!E15)</f>
        <v>0</v>
      </c>
      <c r="J113" s="323">
        <f>IF(J$4="","",Data!F$22/Data!F15)</f>
        <v>0</v>
      </c>
      <c r="K113" s="323">
        <f>IF(K$4="","",Data!G$22/Data!G15)</f>
        <v>0</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x14ac:dyDescent="0.15">
      <c r="A114" s="10"/>
      <c r="B114" s="2" t="s">
        <v>393</v>
      </c>
      <c r="C114" s="170"/>
      <c r="E114" s="293"/>
      <c r="G114" s="323">
        <f>IF(G$4="","",Data!C$22/G19)</f>
        <v>0</v>
      </c>
      <c r="H114" s="323">
        <f>IF(H$4="","",Data!D$22/H19)</f>
        <v>0</v>
      </c>
      <c r="I114" s="323">
        <f>IF(I$4="","",Data!E$22/I19)</f>
        <v>0</v>
      </c>
      <c r="J114" s="323">
        <f>IF(J$4="","",Data!F$22/J19)</f>
        <v>0</v>
      </c>
      <c r="K114" s="323">
        <f>IF(K$4="","",Data!G$22/K19)</f>
        <v>0</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0.11295218450174714</v>
      </c>
      <c r="E117" s="293"/>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84</v>
      </c>
      <c r="C118" s="42">
        <f>C4/C101</f>
        <v>0.71055479556740742</v>
      </c>
      <c r="E118" s="293"/>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92</v>
      </c>
      <c r="C119" s="15">
        <f>C101/C105</f>
        <v>1.3101832741522048</v>
      </c>
      <c r="D119" s="11"/>
      <c r="E119" s="297"/>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223</v>
      </c>
      <c r="C120" s="102">
        <f>C8/C105</f>
        <v>0.10871779326358874</v>
      </c>
      <c r="D120" s="103"/>
      <c r="E120" s="296"/>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1.7279860193696295</v>
      </c>
      <c r="D124" s="27"/>
      <c r="E124" s="290"/>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15">
      <c r="A125" s="10"/>
      <c r="B125" s="27" t="s">
        <v>270</v>
      </c>
      <c r="C125" s="77">
        <f>C19*Exchange_Rate*$C$3/(Market_Price*Common_Shares)</f>
        <v>9.9195523499978705E-2</v>
      </c>
      <c r="D125" s="27"/>
      <c r="E125" s="290"/>
      <c r="F125" s="27"/>
      <c r="G125" s="77">
        <f t="shared" ref="G125" si="50">IF(G$4="","",G124/Market_Price)</f>
        <v>0.12627173784852971</v>
      </c>
      <c r="H125" s="77">
        <f t="shared" ref="H125" si="51">IF(H$4="","",H124/Market_Price)</f>
        <v>0.13126878043218632</v>
      </c>
      <c r="I125" s="77">
        <f t="shared" ref="I125" si="52">IF(I$4="","",I124/Market_Price)</f>
        <v>0.11009119459000059</v>
      </c>
      <c r="J125" s="77">
        <f t="shared" ref="J125" si="53">IF(J$4="","",J124/Market_Price)</f>
        <v>0.10588317396109094</v>
      </c>
      <c r="K125" s="77">
        <f t="shared" ref="K125" si="54">IF(K$4="","",K124/Market_Price)</f>
        <v>9.1764001795190217E-2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395</v>
      </c>
      <c r="C126" s="170"/>
      <c r="G126" s="23">
        <f>IF(G$4="","",(Data!C47*$C$3)/(Market_Price*Common_Shares))</f>
        <v>0.17280068839641496</v>
      </c>
      <c r="H126" s="23">
        <f>IF(H$4="","",(Data!D47*$C$3)/(Market_Price*Common_Shares))</f>
        <v>0.12561889092268336</v>
      </c>
      <c r="I126" s="23">
        <f>IF(I$4="","",(Data!E47*$C$3)/(Market_Price*Common_Shares))</f>
        <v>0.13614031403656182</v>
      </c>
      <c r="J126" s="23">
        <f>IF(J$4="","",(Data!F47*$C$3)/(Market_Price*Common_Shares))</f>
        <v>9.9471335355112336E-2</v>
      </c>
      <c r="K126" s="23">
        <f>IF(K$4="","",(Data!G47*$C$3)/(Market_Price*Common_Shares))</f>
        <v>8.4705146179148608E-2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v>
      </c>
      <c r="E3" s="109" t="s">
        <v>125</v>
      </c>
      <c r="H3" s="121"/>
    </row>
    <row r="4" spans="2:8" x14ac:dyDescent="0.15">
      <c r="B4" s="100" t="s">
        <v>129</v>
      </c>
      <c r="C4" s="110">
        <f>Normalized_FCF!C19</f>
        <v>1014514.1566621615</v>
      </c>
      <c r="D4" t="str">
        <f>Reporting_currency</f>
        <v>HKD</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12681426.958277019</v>
      </c>
      <c r="D6" t="str">
        <f>Reporting_currency</f>
        <v>HKD</v>
      </c>
      <c r="E6" s="354" t="s">
        <v>250</v>
      </c>
      <c r="F6" s="354"/>
      <c r="H6" s="121"/>
    </row>
    <row r="7" spans="2:8" x14ac:dyDescent="0.15">
      <c r="B7" s="149" t="s">
        <v>225</v>
      </c>
      <c r="C7" s="224">
        <f>BS!G31</f>
        <v>2034922</v>
      </c>
      <c r="D7" t="str">
        <f>Reporting_currency</f>
        <v>HKD</v>
      </c>
      <c r="E7" s="354"/>
      <c r="F7" s="354"/>
      <c r="H7" s="121"/>
    </row>
    <row r="8" spans="2:8" x14ac:dyDescent="0.15">
      <c r="B8" s="149" t="s">
        <v>226</v>
      </c>
      <c r="C8" s="115">
        <f>BS!D66</f>
        <v>1050246.6606106577</v>
      </c>
      <c r="D8" t="str">
        <f>Reporting_currency</f>
        <v>HKD</v>
      </c>
      <c r="E8" s="354"/>
      <c r="F8" s="354"/>
      <c r="H8" s="121"/>
    </row>
    <row r="9" spans="2:8" x14ac:dyDescent="0.15">
      <c r="B9" s="225" t="s">
        <v>191</v>
      </c>
      <c r="C9" s="227">
        <f>BS!H42</f>
        <v>92572.6</v>
      </c>
      <c r="D9" t="str">
        <f>Reporting_currency</f>
        <v>HKD</v>
      </c>
      <c r="E9" s="354"/>
      <c r="F9" s="354"/>
      <c r="H9" s="121"/>
    </row>
    <row r="10" spans="2:8" x14ac:dyDescent="0.15">
      <c r="B10" s="150" t="s">
        <v>228</v>
      </c>
      <c r="C10" s="230">
        <f>C6-C7+C8+C9</f>
        <v>11789324.218887676</v>
      </c>
      <c r="D10" t="str">
        <f>Reporting_currency</f>
        <v>HKD</v>
      </c>
      <c r="H10" s="121"/>
    </row>
    <row r="11" spans="2:8" ht="14" thickBot="1" x14ac:dyDescent="0.2">
      <c r="B11" s="228" t="s">
        <v>167</v>
      </c>
      <c r="C11" s="229">
        <f>Exchange_Rate</f>
        <v>1</v>
      </c>
      <c r="D11" t="str">
        <f>Thesis!C15</f>
        <v>HKD</v>
      </c>
      <c r="H11" s="121"/>
    </row>
    <row r="12" spans="2:8" ht="14" thickTop="1" x14ac:dyDescent="0.15">
      <c r="B12" s="150" t="s">
        <v>103</v>
      </c>
      <c r="C12" s="112">
        <f>(C10*scaling_factor)/Common_Shares*Exchange_Rate</f>
        <v>20.080338252823015</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1.24036923941947E-2</v>
      </c>
      <c r="H16" s="121"/>
    </row>
    <row r="17" spans="2:8" ht="13.25" customHeight="1" x14ac:dyDescent="0.15">
      <c r="B17" s="119" t="s">
        <v>135</v>
      </c>
      <c r="C17" s="163">
        <f>Scenarios!C64</f>
        <v>5</v>
      </c>
      <c r="H17" s="121"/>
    </row>
    <row r="18" spans="2:8" ht="13.25" customHeight="1" x14ac:dyDescent="0.15">
      <c r="B18" s="154" t="s">
        <v>107</v>
      </c>
      <c r="C18" s="141">
        <f>(F52-C7+C8+C9)*Exchange_Rate/Common_Shares*scaling_factor</f>
        <v>20.510149835892964</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1027097.8781909549</v>
      </c>
      <c r="D21" s="139">
        <f>IF($C$17&lt;B21,0,DCF!$C$16)</f>
        <v>1.24036923941947E-2</v>
      </c>
      <c r="E21" s="125">
        <f t="shared" ref="E21:E50" si="0">IF($C$17&lt;B21,0,1/(1+Equity_Cost)^B21)</f>
        <v>0.92592592592592582</v>
      </c>
      <c r="F21" s="126">
        <f t="shared" ref="F21:F51" si="1">C21*E21</f>
        <v>951016.55388051365</v>
      </c>
      <c r="H21" s="121"/>
    </row>
    <row r="22" spans="2:8" x14ac:dyDescent="0.15">
      <c r="B22" s="123">
        <v>2</v>
      </c>
      <c r="C22" s="124">
        <f t="shared" ref="C22:C50" si="2">IF(ROW()-ROW($C$21)&lt;$C$17, $C$21*(1+D22)^(ROW()-ROW($C$21)), 0)</f>
        <v>1039837.6843307657</v>
      </c>
      <c r="D22" s="139">
        <f>IF($C$17&lt;B22,0,DCF!$C$16)</f>
        <v>1.24036923941947E-2</v>
      </c>
      <c r="E22" s="125">
        <f t="shared" si="0"/>
        <v>0.85733882030178321</v>
      </c>
      <c r="F22" s="126">
        <f t="shared" si="1"/>
        <v>891493.21358947677</v>
      </c>
      <c r="H22" s="121"/>
    </row>
    <row r="23" spans="2:8" x14ac:dyDescent="0.15">
      <c r="B23" s="123">
        <v>3</v>
      </c>
      <c r="C23" s="124">
        <f t="shared" si="2"/>
        <v>1052735.5111070964</v>
      </c>
      <c r="D23" s="139">
        <f>IF($C$17&lt;B23,0,DCF!$C$16)</f>
        <v>1.24036923941947E-2</v>
      </c>
      <c r="E23" s="125">
        <f t="shared" si="0"/>
        <v>0.79383224102016958</v>
      </c>
      <c r="F23" s="126">
        <f t="shared" si="1"/>
        <v>835695.38998365996</v>
      </c>
      <c r="H23" s="121"/>
    </row>
    <row r="24" spans="2:8" x14ac:dyDescent="0.15">
      <c r="B24" s="123">
        <v>4</v>
      </c>
      <c r="C24" s="124">
        <f t="shared" si="2"/>
        <v>1065793.3185593141</v>
      </c>
      <c r="D24" s="139">
        <f>IF($C$17&lt;B24,0,DCF!$C$16)</f>
        <v>1.24036923941947E-2</v>
      </c>
      <c r="E24" s="125">
        <f t="shared" si="0"/>
        <v>0.73502985279645328</v>
      </c>
      <c r="F24" s="126">
        <f t="shared" si="1"/>
        <v>783389.90605209605</v>
      </c>
      <c r="H24" s="121"/>
    </row>
    <row r="25" spans="2:8" x14ac:dyDescent="0.15">
      <c r="B25" s="123">
        <v>5</v>
      </c>
      <c r="C25" s="124">
        <f t="shared" si="2"/>
        <v>1079013.0910385123</v>
      </c>
      <c r="D25" s="139">
        <f>IF($C$17&lt;B25,0,DCF!$C$16)</f>
        <v>1.24036923941947E-2</v>
      </c>
      <c r="E25" s="125">
        <f t="shared" si="0"/>
        <v>0.68058319703375303</v>
      </c>
      <c r="F25" s="126">
        <f t="shared" si="1"/>
        <v>734358.17914026265</v>
      </c>
      <c r="H25" s="121"/>
    </row>
    <row r="26" spans="2:8" x14ac:dyDescent="0.15">
      <c r="B26" s="123">
        <v>6</v>
      </c>
      <c r="C26" s="124">
        <f t="shared" si="2"/>
        <v>0</v>
      </c>
      <c r="D26" s="139">
        <f>IF($C$17&lt;B26,0,DCF!$C$16)</f>
        <v>0</v>
      </c>
      <c r="E26" s="125">
        <f t="shared" si="0"/>
        <v>0</v>
      </c>
      <c r="F26" s="126">
        <f t="shared" si="1"/>
        <v>0</v>
      </c>
      <c r="H26" s="121"/>
    </row>
    <row r="27" spans="2:8" x14ac:dyDescent="0.15">
      <c r="B27" s="123">
        <v>7</v>
      </c>
      <c r="C27" s="124">
        <f t="shared" si="2"/>
        <v>0</v>
      </c>
      <c r="D27" s="139">
        <f>IF($C$17&lt;B27,0,DCF!$C$16)</f>
        <v>0</v>
      </c>
      <c r="E27" s="125">
        <f t="shared" si="0"/>
        <v>0</v>
      </c>
      <c r="F27" s="126">
        <f t="shared" si="1"/>
        <v>0</v>
      </c>
      <c r="H27" s="121"/>
    </row>
    <row r="28" spans="2:8" x14ac:dyDescent="0.15">
      <c r="B28" s="123">
        <v>8</v>
      </c>
      <c r="C28" s="124">
        <f t="shared" si="2"/>
        <v>0</v>
      </c>
      <c r="D28" s="139">
        <f>IF($C$17&lt;B28,0,DCF!$C$16)</f>
        <v>0</v>
      </c>
      <c r="E28" s="125">
        <f t="shared" si="0"/>
        <v>0</v>
      </c>
      <c r="F28" s="126">
        <f t="shared" si="1"/>
        <v>0</v>
      </c>
      <c r="H28" s="121"/>
    </row>
    <row r="29" spans="2:8" x14ac:dyDescent="0.15">
      <c r="B29" s="123">
        <v>9</v>
      </c>
      <c r="C29" s="124">
        <f t="shared" si="2"/>
        <v>0</v>
      </c>
      <c r="D29" s="139">
        <f>IF($C$17&lt;B29,0,DCF!$C$16)</f>
        <v>0</v>
      </c>
      <c r="E29" s="125">
        <f t="shared" si="0"/>
        <v>0</v>
      </c>
      <c r="F29" s="126">
        <f t="shared" si="1"/>
        <v>0</v>
      </c>
      <c r="H29" s="121"/>
    </row>
    <row r="30" spans="2:8" x14ac:dyDescent="0.15">
      <c r="B30" s="123">
        <v>10</v>
      </c>
      <c r="C30" s="124">
        <f t="shared" si="2"/>
        <v>0</v>
      </c>
      <c r="D30" s="139">
        <f>IF($C$17&lt;B30,0,DCF!$C$16)</f>
        <v>0</v>
      </c>
      <c r="E30" s="125">
        <f t="shared" si="0"/>
        <v>0</v>
      </c>
      <c r="F30" s="126">
        <f t="shared" si="1"/>
        <v>0</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12838723.477386937</v>
      </c>
      <c r="D51" s="140">
        <f>Terminal_Growth</f>
        <v>0</v>
      </c>
      <c r="E51" s="125">
        <f>1/(1+Equity_Cost)^C17</f>
        <v>0.68058319703375303</v>
      </c>
      <c r="F51" s="126">
        <f t="shared" si="1"/>
        <v>8737819.4700723048</v>
      </c>
      <c r="H51" s="121"/>
    </row>
    <row r="52" spans="1:8" x14ac:dyDescent="0.15">
      <c r="C52" s="115"/>
      <c r="E52" s="128" t="s">
        <v>101</v>
      </c>
      <c r="F52" s="138">
        <f>SUM(F21:F51)</f>
        <v>12933772.712718314</v>
      </c>
      <c r="H52" s="121"/>
    </row>
    <row r="53" spans="1:8" x14ac:dyDescent="0.15">
      <c r="C53" s="115"/>
      <c r="H53" s="121"/>
    </row>
    <row r="54" spans="1:8" x14ac:dyDescent="0.15">
      <c r="B54" s="120" t="s">
        <v>130</v>
      </c>
      <c r="C54" s="137"/>
      <c r="D54" s="137"/>
      <c r="E54" s="118"/>
      <c r="F54" s="118"/>
      <c r="H54" s="121"/>
    </row>
    <row r="55" spans="1:8" x14ac:dyDescent="0.15">
      <c r="A55" s="134">
        <f>F52</f>
        <v>12933772.712718314</v>
      </c>
      <c r="B55" s="132">
        <f>C78</f>
        <v>-0.08</v>
      </c>
      <c r="C55" s="132">
        <f>C77</f>
        <v>-0.05</v>
      </c>
      <c r="D55" s="132">
        <f>C76</f>
        <v>0.02</v>
      </c>
      <c r="E55" s="132">
        <f>C75</f>
        <v>0.05</v>
      </c>
      <c r="F55" s="132">
        <f>C74</f>
        <v>0.06</v>
      </c>
      <c r="H55" s="121"/>
    </row>
    <row r="56" spans="1:8" x14ac:dyDescent="0.15">
      <c r="A56" s="144">
        <v>5</v>
      </c>
      <c r="B56" s="124">
        <f t="dataTable" ref="B56:F61" dt2D="1" dtr="1" r1="C16" r2="C17"/>
        <v>11157107.119090568</v>
      </c>
      <c r="C56" s="124">
        <v>11708735.144023098</v>
      </c>
      <c r="D56" s="124">
        <v>13090596.175820205</v>
      </c>
      <c r="E56" s="124">
        <v>13727494.48028384</v>
      </c>
      <c r="F56" s="124">
        <v>13946235.693833362</v>
      </c>
      <c r="H56" s="121"/>
    </row>
    <row r="57" spans="1:8" x14ac:dyDescent="0.15">
      <c r="A57" s="144">
        <v>10</v>
      </c>
      <c r="B57" s="124">
        <v>10063768.572107553</v>
      </c>
      <c r="C57" s="124">
        <v>10937948.860088741</v>
      </c>
      <c r="D57" s="124">
        <v>13500142.173553824</v>
      </c>
      <c r="E57" s="124">
        <v>14885099.921618555</v>
      </c>
      <c r="F57" s="124">
        <v>15393565.377023447</v>
      </c>
      <c r="H57" s="121"/>
    </row>
    <row r="58" spans="1:8" x14ac:dyDescent="0.15">
      <c r="A58" s="144">
        <v>15</v>
      </c>
      <c r="B58" s="124">
        <v>8984867.6331286728</v>
      </c>
      <c r="C58" s="124">
        <v>10128816.477844289</v>
      </c>
      <c r="D58" s="124">
        <v>14007068.902213397</v>
      </c>
      <c r="E58" s="124">
        <v>16434903.248783203</v>
      </c>
      <c r="F58" s="124">
        <v>17384423.195884526</v>
      </c>
      <c r="H58" s="121"/>
    </row>
    <row r="59" spans="1:8" x14ac:dyDescent="0.15">
      <c r="A59" s="145">
        <v>20</v>
      </c>
      <c r="B59" s="124">
        <v>8100411.0555533562</v>
      </c>
      <c r="C59" s="124">
        <v>9428285.1514076646</v>
      </c>
      <c r="D59" s="124">
        <v>14523545.944123272</v>
      </c>
      <c r="E59" s="124">
        <v>18151520.809223328</v>
      </c>
      <c r="F59" s="124">
        <v>19655450.824076422</v>
      </c>
      <c r="H59" s="121"/>
    </row>
    <row r="60" spans="1:8" x14ac:dyDescent="0.15">
      <c r="A60" s="145">
        <v>25</v>
      </c>
      <c r="B60" s="124">
        <v>7431102.4232061561</v>
      </c>
      <c r="C60" s="124">
        <v>8872601.2532586548</v>
      </c>
      <c r="D60" s="124">
        <v>15003898.252415478</v>
      </c>
      <c r="E60" s="124">
        <v>19894713.025976568</v>
      </c>
      <c r="F60" s="124">
        <v>22035418.728058424</v>
      </c>
      <c r="H60" s="121"/>
    </row>
    <row r="61" spans="1:8" x14ac:dyDescent="0.15">
      <c r="A61" s="145">
        <v>30</v>
      </c>
      <c r="B61" s="124">
        <v>6945366.1727540484</v>
      </c>
      <c r="C61" s="124">
        <v>8452854.2313205972</v>
      </c>
      <c r="D61" s="124">
        <v>15427635.809264299</v>
      </c>
      <c r="E61" s="124">
        <v>21580459.885555841</v>
      </c>
      <c r="F61" s="124">
        <v>24415084.184705544</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-0.08</v>
      </c>
      <c r="C64" s="133">
        <f>C55</f>
        <v>-0.05</v>
      </c>
      <c r="D64" s="133">
        <f>D55</f>
        <v>0.02</v>
      </c>
      <c r="E64" s="133">
        <f>E55</f>
        <v>0.05</v>
      </c>
      <c r="F64" s="133">
        <f>F55</f>
        <v>0.06</v>
      </c>
      <c r="H64" s="121"/>
    </row>
    <row r="65" spans="1:8" x14ac:dyDescent="0.15">
      <c r="A65" s="144">
        <v>0</v>
      </c>
      <c r="B65" s="125">
        <f>C12</f>
        <v>20.080338252823015</v>
      </c>
      <c r="C65" s="125">
        <f>C12</f>
        <v>20.080338252823015</v>
      </c>
      <c r="D65" s="125">
        <f>C12</f>
        <v>20.080338252823015</v>
      </c>
      <c r="E65" s="142">
        <f>C12</f>
        <v>20.080338252823015</v>
      </c>
      <c r="F65" s="125">
        <f>C12</f>
        <v>20.080338252823015</v>
      </c>
      <c r="H65" s="121"/>
    </row>
    <row r="66" spans="1:8" x14ac:dyDescent="0.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x14ac:dyDescent="0.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x14ac:dyDescent="0.15">
      <c r="A68" s="144">
        <f t="shared" si="3"/>
        <v>15</v>
      </c>
      <c r="B68" s="125">
        <f t="shared" si="4"/>
        <v>13.784119721341368</v>
      </c>
      <c r="C68" s="125">
        <f t="shared" si="4"/>
        <v>15.732567259073345</v>
      </c>
      <c r="D68" s="125">
        <f t="shared" si="4"/>
        <v>22.338257209172134</v>
      </c>
      <c r="E68" s="125">
        <f t="shared" si="4"/>
        <v>26.473501434862197</v>
      </c>
      <c r="F68" s="125">
        <f t="shared" si="4"/>
        <v>28.090785119795594</v>
      </c>
      <c r="H68" s="121"/>
    </row>
    <row r="69" spans="1:8" x14ac:dyDescent="0.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x14ac:dyDescent="0.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x14ac:dyDescent="0.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0.06</v>
      </c>
      <c r="D74" s="146">
        <f>Scenarios!C55</f>
        <v>10</v>
      </c>
      <c r="E74" s="136">
        <f>INDEX(B$65:F$71, MATCH(D74, A$65:A$71, 0), MATCH(C74, B$64:F$64, 0))</f>
        <v>24.69982753191616</v>
      </c>
      <c r="F74" s="143">
        <f>Scenarios!C58</f>
        <v>0.02</v>
      </c>
    </row>
    <row r="75" spans="1:8" x14ac:dyDescent="0.15">
      <c r="B75" s="128" t="str">
        <f>Scenarios!B36</f>
        <v>Optimistic</v>
      </c>
      <c r="C75" s="143">
        <f>Scenarios!C38</f>
        <v>0.05</v>
      </c>
      <c r="D75" s="146">
        <f>Scenarios!C37</f>
        <v>5</v>
      </c>
      <c r="E75" s="136">
        <f>INDEX(B$65:F$71, MATCH(D75, A$65:A$71, 0), MATCH(C75, B$64:F$64, 0))</f>
        <v>21.862068001465992</v>
      </c>
      <c r="F75" s="143">
        <f>Scenarios!C40*(1-F$74-F$78)</f>
        <v>0.192</v>
      </c>
      <c r="H75" s="121"/>
    </row>
    <row r="76" spans="1:8" x14ac:dyDescent="0.15">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x14ac:dyDescent="0.15">
      <c r="B77" s="128" t="str">
        <f>Scenarios!B30</f>
        <v>Pessimistic</v>
      </c>
      <c r="C77" s="143">
        <f>Scenarios!C32</f>
        <v>-0.05</v>
      </c>
      <c r="D77" s="146">
        <f>Scenarios!C31</f>
        <v>5</v>
      </c>
      <c r="E77" s="136">
        <f>INDEX(B$65:F$71, MATCH(D77, A$65:A$71, 0), MATCH(C77, B$64:F$64, 0))</f>
        <v>18.42358674753498</v>
      </c>
      <c r="F77" s="143">
        <f>Scenarios!C34*(1-F$74-F$78)</f>
        <v>0.192</v>
      </c>
      <c r="H77" s="121"/>
    </row>
    <row r="78" spans="1:8" x14ac:dyDescent="0.15">
      <c r="B78" s="128" t="str">
        <f>Scenarios!B48</f>
        <v>Devil's advocate</v>
      </c>
      <c r="C78" s="143">
        <f>Scenarios!C50</f>
        <v>-0.08</v>
      </c>
      <c r="D78" s="146">
        <f>Scenarios!C49</f>
        <v>10</v>
      </c>
      <c r="E78" s="136">
        <f>INDEX(B$65:F$71, MATCH(D78, A$65:A$71, 0), MATCH(C78, B$64:F$64, 0))</f>
        <v>15.621773465843134</v>
      </c>
      <c r="F78" s="143">
        <f>Scenarios!C52</f>
        <v>0.02</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1" t="s">
        <v>59</v>
      </c>
    </row>
    <row r="3" spans="2:8" x14ac:dyDescent="0.15">
      <c r="B3" s="109" t="s">
        <v>443</v>
      </c>
      <c r="C3" s="107">
        <f>scaling_factor</f>
        <v>1000</v>
      </c>
      <c r="E3" s="109" t="s">
        <v>125</v>
      </c>
      <c r="H3" s="121"/>
    </row>
    <row r="4" spans="2:8" x14ac:dyDescent="0.15">
      <c r="B4" s="100" t="s">
        <v>441</v>
      </c>
      <c r="C4" s="110">
        <f>Normalized_FCF!C91</f>
        <v>798466.67599999998</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442</v>
      </c>
      <c r="C6" s="230">
        <f>(C4*(1+Terminal_Growth))/(Equity_Cost-Terminal_Growth)</f>
        <v>9980833.4499999993</v>
      </c>
      <c r="D6" t="str">
        <f>Reporting_currency</f>
        <v>HKD</v>
      </c>
      <c r="E6" s="354"/>
      <c r="F6" s="354"/>
      <c r="H6" s="121"/>
    </row>
    <row r="7" spans="2:8" x14ac:dyDescent="0.15">
      <c r="B7" s="150" t="s">
        <v>445</v>
      </c>
      <c r="C7" s="112">
        <f>(C6*scaling_factor)/Common_Shares*Exchange_Rate</f>
        <v>17</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1.24036923941947E-2</v>
      </c>
      <c r="H11" s="121"/>
    </row>
    <row r="12" spans="2:8" ht="13.25" customHeight="1" x14ac:dyDescent="0.15">
      <c r="B12" s="119" t="s">
        <v>135</v>
      </c>
      <c r="C12" s="163">
        <f>Scenarios!C64</f>
        <v>5</v>
      </c>
      <c r="H12" s="121"/>
    </row>
    <row r="13" spans="2:8" ht="13.25" customHeight="1" x14ac:dyDescent="0.15">
      <c r="B13" s="154" t="s">
        <v>107</v>
      </c>
      <c r="C13" s="141">
        <f>F47/Common_Shares*scaling_factor</f>
        <v>17.338280371729148</v>
      </c>
      <c r="D13" t="str">
        <f>Market_currency</f>
        <v>HKD</v>
      </c>
      <c r="H13" s="121"/>
    </row>
    <row r="14" spans="2:8" x14ac:dyDescent="0.15">
      <c r="H14" s="121"/>
    </row>
    <row r="15" spans="2:8" ht="14" x14ac:dyDescent="0.2">
      <c r="B15" s="129" t="s">
        <v>108</v>
      </c>
      <c r="C15" s="129" t="s">
        <v>447</v>
      </c>
      <c r="D15" s="129" t="s">
        <v>119</v>
      </c>
      <c r="E15" s="129" t="s">
        <v>110</v>
      </c>
      <c r="F15" s="130" t="s">
        <v>446</v>
      </c>
      <c r="H15" s="121"/>
    </row>
    <row r="16" spans="2:8" x14ac:dyDescent="0.15">
      <c r="B16" s="123">
        <v>1</v>
      </c>
      <c r="C16" s="124">
        <f>C4*(1+D16)</f>
        <v>808370.61103611917</v>
      </c>
      <c r="D16" s="139">
        <f>IF($C$12&lt;B16,0,DDM!$C$11)</f>
        <v>1.24036923941947E-2</v>
      </c>
      <c r="E16" s="125">
        <f t="shared" ref="E16:E45" si="0">IF($C$12&lt;B16,0,1/(1+Equity_Cost)^B16)</f>
        <v>0.92592592592592582</v>
      </c>
      <c r="F16" s="126">
        <f t="shared" ref="F16:F46" si="1">C16*E16</f>
        <v>748491.30651492509</v>
      </c>
      <c r="H16" s="121"/>
    </row>
    <row r="17" spans="2:8" x14ac:dyDescent="0.15">
      <c r="B17" s="123">
        <v>2</v>
      </c>
      <c r="C17" s="124">
        <f t="shared" ref="C17:C45" si="2">IF(ROW()-ROW($C$16)&lt;$C$12, $C$16*(1+D17)^(ROW()-ROW($C$16)), 0)</f>
        <v>818397.39143591851</v>
      </c>
      <c r="D17" s="139">
        <f>IF($C$12&lt;B17,0,DDM!$C$11)</f>
        <v>1.24036923941947E-2</v>
      </c>
      <c r="E17" s="125">
        <f t="shared" si="0"/>
        <v>0.85733882030178321</v>
      </c>
      <c r="F17" s="126">
        <f t="shared" si="1"/>
        <v>701643.85411172709</v>
      </c>
      <c r="H17" s="121"/>
    </row>
    <row r="18" spans="2:8" x14ac:dyDescent="0.15">
      <c r="B18" s="123">
        <v>3</v>
      </c>
      <c r="C18" s="124">
        <f t="shared" si="2"/>
        <v>828548.54093550111</v>
      </c>
      <c r="D18" s="139">
        <f>IF($C$12&lt;B18,0,DDM!$C$11)</f>
        <v>1.24036923941947E-2</v>
      </c>
      <c r="E18" s="125">
        <f t="shared" si="0"/>
        <v>0.79383224102016958</v>
      </c>
      <c r="F18" s="126">
        <f t="shared" si="1"/>
        <v>657728.54504482052</v>
      </c>
      <c r="H18" s="121"/>
    </row>
    <row r="19" spans="2:8" x14ac:dyDescent="0.15">
      <c r="B19" s="123">
        <v>4</v>
      </c>
      <c r="C19" s="124">
        <f t="shared" si="2"/>
        <v>838825.60217092396</v>
      </c>
      <c r="D19" s="139">
        <f>IF($C$12&lt;B19,0,DDM!$C$11)</f>
        <v>1.24036923941947E-2</v>
      </c>
      <c r="E19" s="125">
        <f t="shared" si="0"/>
        <v>0.73502985279645328</v>
      </c>
      <c r="F19" s="126">
        <f t="shared" si="1"/>
        <v>616561.85888559057</v>
      </c>
      <c r="H19" s="121"/>
    </row>
    <row r="20" spans="2:8" x14ac:dyDescent="0.15">
      <c r="B20" s="123">
        <v>5</v>
      </c>
      <c r="C20" s="124">
        <f t="shared" si="2"/>
        <v>849230.13691262749</v>
      </c>
      <c r="D20" s="139">
        <f>IF($C$12&lt;B20,0,DDM!$C$11)</f>
        <v>1.24036923941947E-2</v>
      </c>
      <c r="E20" s="125">
        <f t="shared" si="0"/>
        <v>0.68058319703375303</v>
      </c>
      <c r="F20" s="126">
        <f t="shared" si="1"/>
        <v>577971.76159740787</v>
      </c>
      <c r="H20" s="121"/>
    </row>
    <row r="21" spans="2:8" x14ac:dyDescent="0.15">
      <c r="B21" s="123">
        <v>6</v>
      </c>
      <c r="C21" s="124">
        <f t="shared" si="2"/>
        <v>0</v>
      </c>
      <c r="D21" s="139">
        <f>IF($C$12&lt;B21,0,DDM!$C$11)</f>
        <v>0</v>
      </c>
      <c r="E21" s="125">
        <f t="shared" si="0"/>
        <v>0</v>
      </c>
      <c r="F21" s="126">
        <f t="shared" si="1"/>
        <v>0</v>
      </c>
      <c r="H21" s="121"/>
    </row>
    <row r="22" spans="2:8" x14ac:dyDescent="0.15">
      <c r="B22" s="123">
        <v>7</v>
      </c>
      <c r="C22" s="124">
        <f t="shared" si="2"/>
        <v>0</v>
      </c>
      <c r="D22" s="139">
        <f>IF($C$12&lt;B22,0,DDM!$C$11)</f>
        <v>0</v>
      </c>
      <c r="E22" s="125">
        <f t="shared" si="0"/>
        <v>0</v>
      </c>
      <c r="F22" s="126">
        <f t="shared" si="1"/>
        <v>0</v>
      </c>
      <c r="H22" s="121"/>
    </row>
    <row r="23" spans="2:8" x14ac:dyDescent="0.15">
      <c r="B23" s="123">
        <v>8</v>
      </c>
      <c r="C23" s="124">
        <f t="shared" si="2"/>
        <v>0</v>
      </c>
      <c r="D23" s="139">
        <f>IF($C$12&lt;B23,0,DDM!$C$11)</f>
        <v>0</v>
      </c>
      <c r="E23" s="125">
        <f t="shared" si="0"/>
        <v>0</v>
      </c>
      <c r="F23" s="126">
        <f t="shared" si="1"/>
        <v>0</v>
      </c>
      <c r="H23" s="121"/>
    </row>
    <row r="24" spans="2:8" x14ac:dyDescent="0.15">
      <c r="B24" s="123">
        <v>9</v>
      </c>
      <c r="C24" s="124">
        <f t="shared" si="2"/>
        <v>0</v>
      </c>
      <c r="D24" s="139">
        <f>IF($C$12&lt;B24,0,DDM!$C$11)</f>
        <v>0</v>
      </c>
      <c r="E24" s="125">
        <f t="shared" si="0"/>
        <v>0</v>
      </c>
      <c r="F24" s="126">
        <f t="shared" si="1"/>
        <v>0</v>
      </c>
      <c r="H24" s="121"/>
    </row>
    <row r="25" spans="2:8" x14ac:dyDescent="0.15">
      <c r="B25" s="123">
        <v>10</v>
      </c>
      <c r="C25" s="124">
        <f t="shared" si="2"/>
        <v>0</v>
      </c>
      <c r="D25" s="139">
        <f>IF($C$12&lt;B25,0,DDM!$C$11)</f>
        <v>0</v>
      </c>
      <c r="E25" s="125">
        <f t="shared" si="0"/>
        <v>0</v>
      </c>
      <c r="F25" s="126">
        <f t="shared" si="1"/>
        <v>0</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10104632.63795149</v>
      </c>
      <c r="D46" s="140">
        <f>Terminal_Growth</f>
        <v>0</v>
      </c>
      <c r="E46" s="125">
        <f>1/(1+Equity_Cost)^C12</f>
        <v>0.68058319703375303</v>
      </c>
      <c r="F46" s="126">
        <f t="shared" si="1"/>
        <v>6877043.1855886299</v>
      </c>
      <c r="H46" s="121"/>
    </row>
    <row r="47" spans="2:8" x14ac:dyDescent="0.15">
      <c r="C47" s="115"/>
      <c r="E47" s="128" t="s">
        <v>101</v>
      </c>
      <c r="F47" s="138">
        <f>SUM(F16:F46)</f>
        <v>10179440.5117431</v>
      </c>
      <c r="H47" s="121"/>
    </row>
    <row r="48" spans="2:8" x14ac:dyDescent="0.15">
      <c r="C48" s="115"/>
      <c r="H48" s="121"/>
    </row>
    <row r="49" spans="1:8" x14ac:dyDescent="0.15">
      <c r="B49" s="120" t="s">
        <v>130</v>
      </c>
      <c r="C49" s="137"/>
      <c r="D49" s="137"/>
      <c r="E49" s="118"/>
      <c r="F49" s="118"/>
      <c r="H49" s="121"/>
    </row>
    <row r="50" spans="1:8" x14ac:dyDescent="0.15">
      <c r="A50" s="134">
        <f>F47</f>
        <v>10179440.5117431</v>
      </c>
      <c r="B50" s="132">
        <f>C73</f>
        <v>-0.08</v>
      </c>
      <c r="C50" s="132">
        <f>C72</f>
        <v>-0.05</v>
      </c>
      <c r="D50" s="132">
        <f>C71</f>
        <v>0.02</v>
      </c>
      <c r="E50" s="132">
        <f>C70</f>
        <v>0.05</v>
      </c>
      <c r="F50" s="132">
        <f>C69</f>
        <v>0.06</v>
      </c>
      <c r="H50" s="121"/>
    </row>
    <row r="51" spans="1:8" x14ac:dyDescent="0.15">
      <c r="A51" s="144">
        <v>5</v>
      </c>
      <c r="B51" s="124">
        <f t="dataTable" ref="B51:F56" dt2D="1" dtr="1" r1="C11" r2="C12"/>
        <v>8781127.5738784838</v>
      </c>
      <c r="C51" s="124">
        <v>9215282.7727625109</v>
      </c>
      <c r="D51" s="124">
        <v>10302867.384083409</v>
      </c>
      <c r="E51" s="124">
        <v>10804133.994091358</v>
      </c>
      <c r="F51" s="124">
        <v>10976292.823556818</v>
      </c>
      <c r="H51" s="121"/>
    </row>
    <row r="52" spans="1:8" x14ac:dyDescent="0.15">
      <c r="A52" s="144">
        <v>10</v>
      </c>
      <c r="B52" s="124">
        <v>7920622.6813450726</v>
      </c>
      <c r="C52" s="124">
        <v>8608640.5115403198</v>
      </c>
      <c r="D52" s="124">
        <v>10625197.86053073</v>
      </c>
      <c r="E52" s="124">
        <v>11715219.721966363</v>
      </c>
      <c r="F52" s="124">
        <v>12115404.105172729</v>
      </c>
      <c r="H52" s="121"/>
    </row>
    <row r="53" spans="1:8" x14ac:dyDescent="0.15">
      <c r="A53" s="144">
        <v>15</v>
      </c>
      <c r="B53" s="124">
        <v>7071480.8129713051</v>
      </c>
      <c r="C53" s="124">
        <v>7971818.2065462712</v>
      </c>
      <c r="D53" s="124">
        <v>11024171.199000519</v>
      </c>
      <c r="E53" s="124">
        <v>12934982.209230484</v>
      </c>
      <c r="F53" s="124">
        <v>13682295.621250384</v>
      </c>
      <c r="H53" s="121"/>
    </row>
    <row r="54" spans="1:8" x14ac:dyDescent="0.15">
      <c r="A54" s="145">
        <v>20</v>
      </c>
      <c r="B54" s="124">
        <v>6375375.0968259647</v>
      </c>
      <c r="C54" s="124">
        <v>7420469.6462718295</v>
      </c>
      <c r="D54" s="124">
        <v>11430661.048527004</v>
      </c>
      <c r="E54" s="124">
        <v>14286034.738608142</v>
      </c>
      <c r="F54" s="124">
        <v>15469692.937964611</v>
      </c>
      <c r="H54" s="121"/>
    </row>
    <row r="55" spans="1:8" x14ac:dyDescent="0.15">
      <c r="A55" s="145">
        <v>25</v>
      </c>
      <c r="B55" s="124">
        <v>5848600.1520123165</v>
      </c>
      <c r="C55" s="124">
        <v>6983122.2991223773</v>
      </c>
      <c r="D55" s="124">
        <v>11808719.164712293</v>
      </c>
      <c r="E55" s="124">
        <v>15658002.675969839</v>
      </c>
      <c r="F55" s="124">
        <v>17342830.98024825</v>
      </c>
      <c r="H55" s="121"/>
    </row>
    <row r="56" spans="1:8" x14ac:dyDescent="0.15">
      <c r="A56" s="145">
        <v>30</v>
      </c>
      <c r="B56" s="124">
        <v>5466304.6396586616</v>
      </c>
      <c r="C56" s="124">
        <v>6652763.173853524</v>
      </c>
      <c r="D56" s="124">
        <v>12142219.014163978</v>
      </c>
      <c r="E56" s="124">
        <v>16984758.623835761</v>
      </c>
      <c r="F56" s="124">
        <v>19215730.983351696</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-0.08</v>
      </c>
      <c r="C59" s="133">
        <f>C50</f>
        <v>-0.05</v>
      </c>
      <c r="D59" s="133">
        <f>D50</f>
        <v>0.02</v>
      </c>
      <c r="E59" s="133">
        <f>E50</f>
        <v>0.05</v>
      </c>
      <c r="F59" s="133">
        <f>F50</f>
        <v>0.06</v>
      </c>
      <c r="H59" s="121"/>
    </row>
    <row r="60" spans="1:8" x14ac:dyDescent="0.15">
      <c r="A60" s="144">
        <v>0</v>
      </c>
      <c r="B60" s="125">
        <f>C7</f>
        <v>17</v>
      </c>
      <c r="C60" s="125">
        <f>C7</f>
        <v>17</v>
      </c>
      <c r="D60" s="125">
        <f>C7</f>
        <v>17</v>
      </c>
      <c r="E60" s="142">
        <f>C7</f>
        <v>17</v>
      </c>
      <c r="F60" s="125">
        <f>C7</f>
        <v>17</v>
      </c>
      <c r="H60" s="121"/>
    </row>
    <row r="61" spans="1:8" x14ac:dyDescent="0.15">
      <c r="A61" s="144">
        <f t="shared" ref="A61:A66" si="3">A51</f>
        <v>5</v>
      </c>
      <c r="B61" s="125">
        <f t="shared" ref="B61:F66" si="4">B51/Common_Shares*$C$3*Exchange_Rate</f>
        <v>14.956583486115003</v>
      </c>
      <c r="C61" s="125">
        <f t="shared" si="4"/>
        <v>15.696064654496633</v>
      </c>
      <c r="D61" s="125">
        <f t="shared" si="4"/>
        <v>17.548508990440869</v>
      </c>
      <c r="E61" s="125">
        <f t="shared" si="4"/>
        <v>18.402298647669859</v>
      </c>
      <c r="F61" s="125">
        <f t="shared" si="4"/>
        <v>18.695530682406677</v>
      </c>
      <c r="H61" s="121"/>
    </row>
    <row r="62" spans="1:8" x14ac:dyDescent="0.15">
      <c r="A62" s="144">
        <f t="shared" si="3"/>
        <v>10</v>
      </c>
      <c r="B62" s="125">
        <f t="shared" si="4"/>
        <v>13.490915989873193</v>
      </c>
      <c r="C62" s="125">
        <f t="shared" si="4"/>
        <v>14.662792383955214</v>
      </c>
      <c r="D62" s="125">
        <f t="shared" si="4"/>
        <v>18.097523070983858</v>
      </c>
      <c r="E62" s="125">
        <f t="shared" si="4"/>
        <v>19.954118688698106</v>
      </c>
      <c r="F62" s="125">
        <f t="shared" si="4"/>
        <v>20.635738570303104</v>
      </c>
      <c r="H62" s="121"/>
    </row>
    <row r="63" spans="1:8" x14ac:dyDescent="0.15">
      <c r="A63" s="144">
        <f t="shared" si="3"/>
        <v>15</v>
      </c>
      <c r="B63" s="125">
        <f t="shared" si="4"/>
        <v>12.044602730096873</v>
      </c>
      <c r="C63" s="125">
        <f t="shared" si="4"/>
        <v>13.578115514119375</v>
      </c>
      <c r="D63" s="125">
        <f t="shared" si="4"/>
        <v>18.777080222995689</v>
      </c>
      <c r="E63" s="125">
        <f t="shared" si="4"/>
        <v>22.031696917747709</v>
      </c>
      <c r="F63" s="125">
        <f t="shared" si="4"/>
        <v>23.304569375542133</v>
      </c>
      <c r="H63" s="121"/>
    </row>
    <row r="64" spans="1:8" x14ac:dyDescent="0.15">
      <c r="A64" s="145">
        <f t="shared" si="3"/>
        <v>20</v>
      </c>
      <c r="B64" s="125">
        <f t="shared" si="4"/>
        <v>10.858950526425366</v>
      </c>
      <c r="C64" s="125">
        <f t="shared" si="4"/>
        <v>12.639023045377147</v>
      </c>
      <c r="D64" s="125">
        <f t="shared" si="4"/>
        <v>19.469439981984578</v>
      </c>
      <c r="E64" s="125">
        <f t="shared" si="4"/>
        <v>24.332896823996037</v>
      </c>
      <c r="F64" s="125">
        <f t="shared" si="4"/>
        <v>26.348979898607404</v>
      </c>
      <c r="H64" s="121"/>
    </row>
    <row r="65" spans="1:8" x14ac:dyDescent="0.15">
      <c r="A65" s="145">
        <f t="shared" si="3"/>
        <v>25</v>
      </c>
      <c r="B65" s="125">
        <f t="shared" si="4"/>
        <v>9.9617134262679627</v>
      </c>
      <c r="C65" s="125">
        <f t="shared" si="4"/>
        <v>11.894104803951057</v>
      </c>
      <c r="D65" s="125">
        <f t="shared" si="4"/>
        <v>20.113372976893928</v>
      </c>
      <c r="E65" s="125">
        <f t="shared" si="4"/>
        <v>26.669721203642293</v>
      </c>
      <c r="F65" s="125">
        <f t="shared" si="4"/>
        <v>29.539429561788776</v>
      </c>
    </row>
    <row r="66" spans="1:8" x14ac:dyDescent="0.15">
      <c r="A66" s="145">
        <f t="shared" si="3"/>
        <v>30</v>
      </c>
      <c r="B66" s="125">
        <f t="shared" si="4"/>
        <v>9.3105630245936268</v>
      </c>
      <c r="C66" s="125">
        <f t="shared" si="4"/>
        <v>11.331415810320921</v>
      </c>
      <c r="D66" s="125">
        <f t="shared" si="4"/>
        <v>20.681411454750567</v>
      </c>
      <c r="E66" s="125">
        <f t="shared" si="4"/>
        <v>28.929537603416069</v>
      </c>
      <c r="F66" s="125">
        <f t="shared" si="4"/>
        <v>32.729473781268119</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0.06</v>
      </c>
      <c r="D69" s="146">
        <f>Scenarios!C55</f>
        <v>10</v>
      </c>
      <c r="E69" s="136">
        <f>INDEX(B$60:F$66, MATCH(D69, A$60:A$66, 0), MATCH(C69, B$59:F$59, 0))</f>
        <v>20.635738570303104</v>
      </c>
      <c r="F69" s="143">
        <f>Scenarios!C58</f>
        <v>0.02</v>
      </c>
    </row>
    <row r="70" spans="1:8" x14ac:dyDescent="0.15">
      <c r="B70" s="128" t="str">
        <f>Scenarios!B36</f>
        <v>Optimistic</v>
      </c>
      <c r="C70" s="143">
        <f>Scenarios!C38</f>
        <v>0.05</v>
      </c>
      <c r="D70" s="146">
        <f>Scenarios!C37</f>
        <v>5</v>
      </c>
      <c r="E70" s="136">
        <f>INDEX(B$60:F$66, MATCH(D70, A$60:A$66, 0), MATCH(C70, B$59:F$59, 0))</f>
        <v>18.402298647669859</v>
      </c>
      <c r="F70" s="143">
        <f>Scenarios!C40*(1-F$69-F$73)</f>
        <v>0.192</v>
      </c>
      <c r="H70" s="121"/>
    </row>
    <row r="71" spans="1:8" x14ac:dyDescent="0.15">
      <c r="B71" s="128" t="str">
        <f>Scenarios!B24</f>
        <v>Base</v>
      </c>
      <c r="C71" s="143">
        <f>Scenarios!C26</f>
        <v>0.02</v>
      </c>
      <c r="D71" s="146">
        <f>Scenarios!C25</f>
        <v>5</v>
      </c>
      <c r="E71" s="136">
        <f>INDEX(B$60:F$66, MATCH(D71, A$60:A$66, 0), MATCH(C71, B$59:F$59, 0))</f>
        <v>17.548508990440869</v>
      </c>
      <c r="F71" s="143">
        <f>Scenarios!C28*(1-F$69-F$73)</f>
        <v>0.57599999999999996</v>
      </c>
      <c r="H71" s="121"/>
    </row>
    <row r="72" spans="1:8" x14ac:dyDescent="0.15">
      <c r="B72" s="128" t="str">
        <f>Scenarios!B30</f>
        <v>Pessimistic</v>
      </c>
      <c r="C72" s="143">
        <f>Scenarios!C32</f>
        <v>-0.05</v>
      </c>
      <c r="D72" s="146">
        <f>Scenarios!C31</f>
        <v>5</v>
      </c>
      <c r="E72" s="136">
        <f>INDEX(B$60:F$66, MATCH(D72, A$60:A$66, 0), MATCH(C72, B$59:F$59, 0))</f>
        <v>15.696064654496633</v>
      </c>
      <c r="F72" s="143">
        <f>Scenarios!C34*(1-F$69-F$73)</f>
        <v>0.192</v>
      </c>
      <c r="H72" s="121"/>
    </row>
    <row r="73" spans="1:8" x14ac:dyDescent="0.15">
      <c r="B73" s="128" t="str">
        <f>Scenarios!B48</f>
        <v>Devil's advocate</v>
      </c>
      <c r="C73" s="143">
        <f>Scenarios!C50</f>
        <v>-0.08</v>
      </c>
      <c r="D73" s="146">
        <f>Scenarios!C49</f>
        <v>10</v>
      </c>
      <c r="E73" s="136">
        <f>INDEX(B$60:F$66, MATCH(D73, A$60:A$66, 0), MATCH(C73, B$59:F$59, 0))</f>
        <v>13.490915989873193</v>
      </c>
      <c r="F73" s="143">
        <f>Scenarios!C52</f>
        <v>0.02</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-17.420000000000002</v>
      </c>
    </row>
    <row r="4" spans="2:9" x14ac:dyDescent="0.15">
      <c r="B4" s="153" t="s">
        <v>147</v>
      </c>
      <c r="C4" s="121">
        <v>3</v>
      </c>
      <c r="D4" s="121"/>
      <c r="E4" s="156" t="s">
        <v>151</v>
      </c>
      <c r="F4" s="156"/>
      <c r="H4" s="269">
        <v>1</v>
      </c>
      <c r="I4" s="125">
        <f t="shared" ref="I4:I13" si="0">IF(ROW()-3 &lt; $C$76, $C$77, IF(ROW()-3 = $C$76, $C$77 + $C$60, ""))</f>
        <v>1.36</v>
      </c>
    </row>
    <row r="5" spans="2:9" x14ac:dyDescent="0.15">
      <c r="H5" s="269">
        <v>2</v>
      </c>
      <c r="I5" s="125">
        <f t="shared" si="0"/>
        <v>1.36</v>
      </c>
    </row>
    <row r="6" spans="2:9" x14ac:dyDescent="0.15">
      <c r="B6" s="160" t="s">
        <v>96</v>
      </c>
      <c r="C6" s="107">
        <f>DCF!C3</f>
        <v>1000</v>
      </c>
      <c r="E6" s="100" t="s">
        <v>280</v>
      </c>
      <c r="F6" s="100"/>
      <c r="H6" s="269">
        <v>3</v>
      </c>
      <c r="I6" s="125">
        <f t="shared" si="0"/>
        <v>21.868980461992876</v>
      </c>
    </row>
    <row r="7" spans="2:9" ht="12.75" customHeight="1" x14ac:dyDescent="0.15">
      <c r="B7" s="100" t="s">
        <v>276</v>
      </c>
      <c r="C7" s="115">
        <f>Normalized_FCF!G8</f>
        <v>1876773</v>
      </c>
      <c r="D7" t="str">
        <f>Reporting_currency</f>
        <v>HKD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6"/>
      <c r="H7" s="269">
        <v>4</v>
      </c>
      <c r="I7" s="125" t="str">
        <f t="shared" si="0"/>
        <v/>
      </c>
    </row>
    <row r="8" spans="2:9" x14ac:dyDescent="0.15">
      <c r="B8" s="100" t="s">
        <v>66</v>
      </c>
      <c r="C8" s="115">
        <f>Normalized_FCF!G19</f>
        <v>1291433.9388883226</v>
      </c>
      <c r="D8" t="str">
        <f>Reporting_currency</f>
        <v>HKD</v>
      </c>
      <c r="E8" s="356"/>
      <c r="F8" s="356"/>
      <c r="H8" s="269">
        <v>5</v>
      </c>
      <c r="I8" s="125" t="str">
        <f t="shared" si="0"/>
        <v/>
      </c>
    </row>
    <row r="9" spans="2:9" x14ac:dyDescent="0.15">
      <c r="B9" s="100" t="s">
        <v>57</v>
      </c>
      <c r="C9" s="115">
        <f>Normalized_FCF!C19</f>
        <v>1014514.1566621615</v>
      </c>
      <c r="D9" t="str">
        <f>Reporting_currency</f>
        <v>HKD</v>
      </c>
      <c r="E9" s="356"/>
      <c r="F9" s="356"/>
      <c r="H9" s="269">
        <v>6</v>
      </c>
      <c r="I9" s="125" t="str">
        <f t="shared" si="0"/>
        <v/>
      </c>
    </row>
    <row r="10" spans="2:9" x14ac:dyDescent="0.15">
      <c r="E10" s="356"/>
      <c r="F10" s="356"/>
      <c r="H10" s="269">
        <v>7</v>
      </c>
      <c r="I10" s="125" t="str">
        <f t="shared" si="0"/>
        <v/>
      </c>
    </row>
    <row r="11" spans="2:9" x14ac:dyDescent="0.15">
      <c r="B11" s="160" t="s">
        <v>448</v>
      </c>
      <c r="E11" s="356"/>
      <c r="F11" s="356"/>
      <c r="H11" s="269">
        <v>8</v>
      </c>
      <c r="I11" s="125" t="str">
        <f t="shared" si="0"/>
        <v/>
      </c>
    </row>
    <row r="12" spans="2:9" ht="14" x14ac:dyDescent="0.15">
      <c r="B12" s="119" t="s">
        <v>145</v>
      </c>
      <c r="C12" s="159">
        <f ca="1">(Normalized_FCF!G4/OFFSET(Normalized_FCF!G4, 0, $C$4))^(1/$C$4) - 1</f>
        <v>0.20035451325595277</v>
      </c>
      <c r="D12" s="159"/>
      <c r="E12" s="356"/>
      <c r="F12" s="356"/>
      <c r="H12" s="269">
        <v>9</v>
      </c>
      <c r="I12" s="125" t="str">
        <f t="shared" si="0"/>
        <v/>
      </c>
    </row>
    <row r="13" spans="2:9" x14ac:dyDescent="0.15">
      <c r="B13" s="149" t="s">
        <v>153</v>
      </c>
      <c r="C13" s="159">
        <f ca="1">(Normalized_FCF!G8/OFFSET(Normalized_FCF!G8, 0, $C$4))^(1/$C$4) - 1</f>
        <v>0.26016796976901468</v>
      </c>
      <c r="E13" s="356"/>
      <c r="F13" s="356"/>
      <c r="H13" s="269">
        <v>10</v>
      </c>
      <c r="I13" s="125" t="str">
        <f t="shared" si="0"/>
        <v/>
      </c>
    </row>
    <row r="14" spans="2:9" x14ac:dyDescent="0.15">
      <c r="B14" s="100" t="s">
        <v>66</v>
      </c>
      <c r="C14" s="159">
        <f ca="1">(Normalized_FCF!G19/OFFSET(Normalized_FCF!G19, 0, $C$4))^(1/$C$4) - 1</f>
        <v>6.0457013634429568E-2</v>
      </c>
      <c r="E14" s="356"/>
      <c r="F14" s="356"/>
    </row>
    <row r="16" spans="2:9" ht="16" x14ac:dyDescent="0.25">
      <c r="B16" s="36" t="s">
        <v>163</v>
      </c>
      <c r="C16" s="37"/>
      <c r="D16" s="37"/>
      <c r="E16" s="37"/>
      <c r="F16" s="37"/>
    </row>
    <row r="17" spans="2:6" x14ac:dyDescent="0.15">
      <c r="B17" s="109" t="s">
        <v>152</v>
      </c>
      <c r="E17" s="160" t="s">
        <v>330</v>
      </c>
    </row>
    <row r="18" spans="2:6" x14ac:dyDescent="0.15">
      <c r="B18" s="153" t="s">
        <v>134</v>
      </c>
      <c r="C18" s="151">
        <v>5</v>
      </c>
      <c r="E18" s="356" t="s">
        <v>331</v>
      </c>
      <c r="F18" s="357"/>
    </row>
    <row r="19" spans="2:6" x14ac:dyDescent="0.15">
      <c r="E19" s="357"/>
      <c r="F19" s="357"/>
    </row>
    <row r="20" spans="2:6" x14ac:dyDescent="0.15">
      <c r="B20" s="160" t="s">
        <v>304</v>
      </c>
      <c r="E20" s="357"/>
      <c r="F20" s="357"/>
    </row>
    <row r="21" spans="2:6" x14ac:dyDescent="0.15">
      <c r="B21" s="100" t="s">
        <v>278</v>
      </c>
      <c r="C21" s="161">
        <f>Market_Price</f>
        <v>17.420000000000002</v>
      </c>
      <c r="D21" t="str">
        <f>Market_currency</f>
        <v>HKD</v>
      </c>
      <c r="E21" s="357"/>
      <c r="F21" s="357"/>
    </row>
    <row r="22" spans="2:6" x14ac:dyDescent="0.15">
      <c r="B22" s="100" t="s">
        <v>279</v>
      </c>
      <c r="C22" s="161">
        <f>IF(valuation_method="DCF",DCF!C12,DDM!C7)</f>
        <v>20.080338252823015</v>
      </c>
      <c r="D22" t="str">
        <f>Market_currency</f>
        <v>HKD</v>
      </c>
      <c r="E22" s="357"/>
      <c r="F22" s="357"/>
    </row>
    <row r="24" spans="2:6" x14ac:dyDescent="0.15">
      <c r="B24" s="160" t="s">
        <v>116</v>
      </c>
      <c r="E24" s="160" t="s">
        <v>150</v>
      </c>
      <c r="F24" s="160"/>
    </row>
    <row r="25" spans="2:6" x14ac:dyDescent="0.15">
      <c r="B25" s="153" t="s">
        <v>134</v>
      </c>
      <c r="C25" s="167">
        <f>C18</f>
        <v>5</v>
      </c>
      <c r="D25" s="164"/>
      <c r="E25" s="355"/>
      <c r="F25" s="355"/>
    </row>
    <row r="26" spans="2:6" ht="14" x14ac:dyDescent="0.15">
      <c r="B26" s="119" t="s">
        <v>135</v>
      </c>
      <c r="C26" s="165">
        <v>0.02</v>
      </c>
      <c r="D26" s="165"/>
      <c r="E26" s="355"/>
      <c r="F26" s="355"/>
    </row>
    <row r="27" spans="2:6" x14ac:dyDescent="0.15">
      <c r="B27" s="100" t="s">
        <v>114</v>
      </c>
      <c r="C27" s="161">
        <f>IF(valuation_method="DCF",DCF!E76,DDM!E71)</f>
        <v>20.777261684426229</v>
      </c>
      <c r="D27" s="161" t="str">
        <f>Market_currency</f>
        <v>HKD</v>
      </c>
      <c r="E27" s="355"/>
      <c r="F27" s="355"/>
    </row>
    <row r="28" spans="2:6" x14ac:dyDescent="0.15">
      <c r="B28" s="100" t="s">
        <v>148</v>
      </c>
      <c r="C28" s="166">
        <v>0.6</v>
      </c>
      <c r="D28" s="166"/>
      <c r="E28" s="355"/>
      <c r="F28" s="355"/>
    </row>
    <row r="30" spans="2:6" x14ac:dyDescent="0.15">
      <c r="B30" s="160" t="s">
        <v>117</v>
      </c>
      <c r="E30" s="160" t="s">
        <v>150</v>
      </c>
      <c r="F30" s="160"/>
    </row>
    <row r="31" spans="2:6" x14ac:dyDescent="0.15">
      <c r="B31" s="153" t="s">
        <v>134</v>
      </c>
      <c r="C31" s="167">
        <f>C18</f>
        <v>5</v>
      </c>
      <c r="D31" s="164"/>
      <c r="E31" s="355"/>
      <c r="F31" s="355"/>
    </row>
    <row r="32" spans="2:6" ht="14" x14ac:dyDescent="0.15">
      <c r="B32" s="119" t="s">
        <v>135</v>
      </c>
      <c r="C32" s="165">
        <v>-0.05</v>
      </c>
      <c r="D32" s="165"/>
      <c r="E32" s="355"/>
      <c r="F32" s="355"/>
    </row>
    <row r="33" spans="2:6" x14ac:dyDescent="0.15">
      <c r="B33" s="100" t="s">
        <v>114</v>
      </c>
      <c r="C33" s="161">
        <f>IF(valuation_method="DCF",DCF!E77,DDM!E72)</f>
        <v>18.42358674753498</v>
      </c>
      <c r="D33" t="str">
        <f>Market_currency</f>
        <v>HKD</v>
      </c>
      <c r="E33" s="355"/>
      <c r="F33" s="355"/>
    </row>
    <row r="34" spans="2:6" x14ac:dyDescent="0.15">
      <c r="B34" s="100" t="s">
        <v>148</v>
      </c>
      <c r="C34" s="166">
        <v>0.2</v>
      </c>
      <c r="D34" s="166"/>
      <c r="E34" s="355"/>
      <c r="F34" s="355"/>
    </row>
    <row r="36" spans="2:6" x14ac:dyDescent="0.15">
      <c r="B36" s="160" t="s">
        <v>115</v>
      </c>
      <c r="E36" s="160" t="s">
        <v>150</v>
      </c>
      <c r="F36" s="160"/>
    </row>
    <row r="37" spans="2:6" x14ac:dyDescent="0.15">
      <c r="B37" s="153" t="s">
        <v>134</v>
      </c>
      <c r="C37" s="167">
        <f>C18</f>
        <v>5</v>
      </c>
      <c r="D37" s="164"/>
      <c r="E37" s="355"/>
      <c r="F37" s="355"/>
    </row>
    <row r="38" spans="2:6" ht="14" x14ac:dyDescent="0.15">
      <c r="B38" s="119" t="s">
        <v>135</v>
      </c>
      <c r="C38" s="165">
        <v>0.05</v>
      </c>
      <c r="D38" s="165"/>
      <c r="E38" s="355"/>
      <c r="F38" s="355"/>
    </row>
    <row r="39" spans="2:6" x14ac:dyDescent="0.15">
      <c r="B39" s="100" t="s">
        <v>114</v>
      </c>
      <c r="C39" s="161">
        <f>IF(valuation_method="DCF",DCF!E75,DDM!E70)</f>
        <v>21.862068001465992</v>
      </c>
      <c r="D39" t="str">
        <f>Market_currency</f>
        <v>HKD</v>
      </c>
      <c r="E39" s="355"/>
      <c r="F39" s="355"/>
    </row>
    <row r="40" spans="2:6" x14ac:dyDescent="0.15">
      <c r="B40" s="100" t="s">
        <v>148</v>
      </c>
      <c r="C40" s="168">
        <f>1-C28-C34</f>
        <v>0.2</v>
      </c>
      <c r="D40" s="166"/>
      <c r="E40" s="355"/>
      <c r="F40" s="355"/>
    </row>
    <row r="42" spans="2:6" x14ac:dyDescent="0.15">
      <c r="B42" s="100" t="s">
        <v>121</v>
      </c>
      <c r="C42" s="155">
        <f>C27*C28+C33*C34+C39*C40</f>
        <v>20.523487960455931</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10</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10</v>
      </c>
      <c r="D49" s="164"/>
      <c r="E49" s="355"/>
      <c r="F49" s="355"/>
    </row>
    <row r="50" spans="2:6" ht="14" x14ac:dyDescent="0.15">
      <c r="B50" s="119" t="s">
        <v>135</v>
      </c>
      <c r="C50" s="165">
        <v>-0.08</v>
      </c>
      <c r="D50" s="165"/>
      <c r="E50" s="355"/>
      <c r="F50" s="355"/>
    </row>
    <row r="51" spans="2:6" x14ac:dyDescent="0.15">
      <c r="B51" s="100" t="s">
        <v>114</v>
      </c>
      <c r="C51" s="161">
        <f>IF(valuation_method="DCF",DCF!E78,DDM!E73)</f>
        <v>15.621773465843134</v>
      </c>
      <c r="D51" t="str">
        <f>Market_currency</f>
        <v>HKD</v>
      </c>
      <c r="E51" s="355"/>
      <c r="F51" s="355"/>
    </row>
    <row r="52" spans="2:6" x14ac:dyDescent="0.15">
      <c r="B52" s="100" t="s">
        <v>148</v>
      </c>
      <c r="C52" s="166">
        <v>0.02</v>
      </c>
      <c r="D52" s="166"/>
      <c r="E52" s="355"/>
      <c r="F52" s="355"/>
    </row>
    <row r="54" spans="2:6" x14ac:dyDescent="0.15">
      <c r="B54" s="160" t="s">
        <v>317</v>
      </c>
      <c r="E54" s="160" t="s">
        <v>150</v>
      </c>
      <c r="F54" s="160"/>
    </row>
    <row r="55" spans="2:6" x14ac:dyDescent="0.15">
      <c r="B55" s="153" t="s">
        <v>134</v>
      </c>
      <c r="C55" s="167">
        <f>C46</f>
        <v>10</v>
      </c>
      <c r="D55" s="164"/>
      <c r="E55" s="355"/>
      <c r="F55" s="355"/>
    </row>
    <row r="56" spans="2:6" ht="14" x14ac:dyDescent="0.15">
      <c r="B56" s="119" t="s">
        <v>135</v>
      </c>
      <c r="C56" s="165">
        <v>0.06</v>
      </c>
      <c r="D56" s="165"/>
      <c r="E56" s="355"/>
      <c r="F56" s="355"/>
    </row>
    <row r="57" spans="2:6" x14ac:dyDescent="0.15">
      <c r="B57" s="100" t="s">
        <v>114</v>
      </c>
      <c r="C57" s="161">
        <f>IF(valuation_method="DCF",DCF!E74,DDM!E69)</f>
        <v>24.69982753191616</v>
      </c>
      <c r="D57" t="str">
        <f>Market_currency</f>
        <v>HKD</v>
      </c>
      <c r="E57" s="355"/>
      <c r="F57" s="355"/>
    </row>
    <row r="58" spans="2:6" x14ac:dyDescent="0.15">
      <c r="B58" s="100" t="s">
        <v>148</v>
      </c>
      <c r="C58" s="166">
        <v>0.02</v>
      </c>
      <c r="D58" s="166"/>
      <c r="E58" s="355"/>
      <c r="F58" s="355"/>
    </row>
    <row r="60" spans="2:6" x14ac:dyDescent="0.15">
      <c r="B60" s="100" t="s">
        <v>121</v>
      </c>
      <c r="C60" s="155">
        <f>C51*C52+C57*C58+C42*(1-C52-C58)</f>
        <v>20.508980461992877</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5</v>
      </c>
      <c r="D64" s="151"/>
      <c r="E64" s="273" t="s">
        <v>396</v>
      </c>
    </row>
    <row r="65" spans="2:6" ht="14" x14ac:dyDescent="0.15">
      <c r="B65" s="119" t="s">
        <v>135</v>
      </c>
      <c r="C65" s="152">
        <v>1.24036923941947E-2</v>
      </c>
      <c r="D65" s="152"/>
      <c r="E65" s="273" t="s">
        <v>313</v>
      </c>
    </row>
    <row r="66" spans="2:6" x14ac:dyDescent="0.15">
      <c r="B66" s="100" t="s">
        <v>103</v>
      </c>
      <c r="C66" s="161">
        <f>IF(valuation_method="DCF",DCF!C18,DDM!C13)</f>
        <v>20.510149835892964</v>
      </c>
      <c r="D66" s="161" t="str">
        <f>Market_currency</f>
        <v>HKD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-7.4088860346483723E-2</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1.36</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2.1609329446064134</v>
      </c>
      <c r="D81" s="117"/>
      <c r="E81" s="100"/>
      <c r="F81" s="100"/>
    </row>
    <row r="82" spans="2:8" x14ac:dyDescent="0.15">
      <c r="B82" s="100" t="s">
        <v>123</v>
      </c>
      <c r="C82" s="117">
        <f>C60/(1+C80)^C76</f>
        <v>7.4741182441665019</v>
      </c>
      <c r="D82" s="117"/>
    </row>
    <row r="83" spans="2:8" x14ac:dyDescent="0.15">
      <c r="B83" s="111" t="s">
        <v>102</v>
      </c>
      <c r="C83" s="112">
        <f>C81+C82</f>
        <v>9.6350511887729162</v>
      </c>
      <c r="D83" t="str">
        <f>Market_currency</f>
        <v>HKD</v>
      </c>
      <c r="E83" s="147" t="s">
        <v>127</v>
      </c>
      <c r="F83" s="319">
        <f>(1-C83/C60)</f>
        <v>0.53020330744238908</v>
      </c>
    </row>
    <row r="84" spans="2:8" x14ac:dyDescent="0.15">
      <c r="E84" s="121"/>
    </row>
    <row r="85" spans="2:8" x14ac:dyDescent="0.15">
      <c r="B85" s="109" t="s">
        <v>303</v>
      </c>
    </row>
    <row r="86" spans="2:8" x14ac:dyDescent="0.15">
      <c r="B86" s="149" t="s">
        <v>301</v>
      </c>
      <c r="C86" s="117">
        <f>Market_Price</f>
        <v>17.420000000000002</v>
      </c>
      <c r="D86" t="str">
        <f>Market_currency</f>
        <v>HKD</v>
      </c>
    </row>
    <row r="87" spans="2:8" x14ac:dyDescent="0.15">
      <c r="B87" s="100" t="s">
        <v>299</v>
      </c>
      <c r="C87" s="259">
        <f ca="1">IRR(OFFSET($I$3, 0, 0, $C$76 + 1, 1))</f>
        <v>0.13011393728241316</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2.7885451204563143</v>
      </c>
      <c r="D91" s="117"/>
      <c r="E91" s="100"/>
      <c r="F91" s="100"/>
    </row>
    <row r="92" spans="2:8" x14ac:dyDescent="0.15">
      <c r="B92" s="100" t="s">
        <v>123</v>
      </c>
      <c r="C92" s="117">
        <f>C60/(1+C90)^C76</f>
        <v>11.366956005228198</v>
      </c>
      <c r="D92" s="117"/>
    </row>
    <row r="93" spans="2:8" x14ac:dyDescent="0.15">
      <c r="B93" s="111" t="s">
        <v>102</v>
      </c>
      <c r="C93" s="112">
        <f>C91+C92</f>
        <v>14.155501125684513</v>
      </c>
      <c r="D93" t="str">
        <f>Market_currency</f>
        <v>HKD</v>
      </c>
      <c r="E93" s="147" t="s">
        <v>127</v>
      </c>
      <c r="F93" s="319">
        <f>(1-C93/C60)</f>
        <v>0.30979011112144728</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3.5048519026571174</v>
      </c>
      <c r="D97" s="117"/>
      <c r="G97" s="2"/>
      <c r="H97" s="306"/>
    </row>
    <row r="98" spans="2:8" x14ac:dyDescent="0.15">
      <c r="B98" s="100" t="s">
        <v>123</v>
      </c>
      <c r="C98" s="117">
        <f>C60/(1+C96)^C76</f>
        <v>16.280689921182677</v>
      </c>
      <c r="D98" s="117"/>
      <c r="G98" s="2"/>
      <c r="H98" s="306"/>
    </row>
    <row r="99" spans="2:8" x14ac:dyDescent="0.15">
      <c r="B99" s="111" t="s">
        <v>399</v>
      </c>
      <c r="C99" s="112">
        <f>C97+C98</f>
        <v>19.785541823839793</v>
      </c>
      <c r="D99" t="s">
        <v>397</v>
      </c>
      <c r="E99" s="147" t="s">
        <v>127</v>
      </c>
      <c r="F99" s="319">
        <f>(1-C99/C60)</f>
        <v>3.5274237034539913E-2</v>
      </c>
    </row>
    <row r="100" spans="2:8" x14ac:dyDescent="0.15">
      <c r="B100" s="100"/>
    </row>
    <row r="101" spans="2:8" x14ac:dyDescent="0.15">
      <c r="B101" s="109" t="s">
        <v>423</v>
      </c>
    </row>
    <row r="102" spans="2:8" x14ac:dyDescent="0.15">
      <c r="B102" s="149" t="s">
        <v>422</v>
      </c>
      <c r="C102" s="135">
        <f>Thesis!F32</f>
        <v>0.1174</v>
      </c>
    </row>
    <row r="103" spans="2:8" x14ac:dyDescent="0.15">
      <c r="B103" s="100" t="s">
        <v>122</v>
      </c>
      <c r="C103" s="117">
        <f>PV(C102, C76, -C77, 0)</f>
        <v>3.2811402512765628</v>
      </c>
      <c r="D103" s="117"/>
    </row>
    <row r="104" spans="2:8" x14ac:dyDescent="0.15">
      <c r="B104" s="100" t="s">
        <v>123</v>
      </c>
      <c r="C104" s="117">
        <f>C60/(1+C102)^C76</f>
        <v>14.700024896270923</v>
      </c>
      <c r="D104" s="117"/>
    </row>
    <row r="105" spans="2:8" x14ac:dyDescent="0.15">
      <c r="B105" s="111" t="s">
        <v>399</v>
      </c>
      <c r="C105" s="112">
        <f>C103+C104</f>
        <v>17.981165147547486</v>
      </c>
      <c r="D105" t="s">
        <v>397</v>
      </c>
      <c r="E105" s="147" t="s">
        <v>127</v>
      </c>
      <c r="F105" s="319">
        <f>(1-C105/C66)</f>
        <v>0.12330405719024684</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2025-04-07T04:13:20Z</cp:lastPrinted>
  <dcterms:created xsi:type="dcterms:W3CDTF">2022-08-10T03:52:42Z</dcterms:created>
  <dcterms:modified xsi:type="dcterms:W3CDTF">2025-05-18T15:27:58Z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