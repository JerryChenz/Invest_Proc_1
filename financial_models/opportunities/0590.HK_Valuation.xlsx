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DB31924-6C51-402F-8EDA-E097C3C11A6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O19" i="2"/>
  <c r="O50" i="2"/>
  <c r="O48" i="2"/>
  <c r="L19" i="2"/>
  <c r="L48" i="2"/>
  <c r="L50" i="2"/>
  <c r="M19" i="2"/>
  <c r="M48" i="2"/>
  <c r="M50" i="2"/>
  <c r="N19" i="2"/>
  <c r="N50" i="2"/>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c r="C6" i="9"/>
  <c r="C48" i="2" l="1"/>
  <c r="D66" i="3"/>
  <c r="C8" i="8" s="1"/>
  <c r="Q112" i="2"/>
  <c r="O112" i="2"/>
  <c r="P112" i="2"/>
  <c r="J48" i="2" l="1"/>
  <c r="J50" i="2" s="1"/>
  <c r="J12" i="2" s="1"/>
  <c r="K48" i="2"/>
  <c r="K50" i="2" s="1"/>
  <c r="K12" i="2" s="1"/>
  <c r="I48" i="2"/>
  <c r="I50" i="2" s="1"/>
  <c r="I12" i="2" s="1"/>
  <c r="C90" i="6"/>
  <c r="C91" i="6" s="1"/>
  <c r="C87" i="3"/>
  <c r="D87" i="3"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<sst xmlns="http://schemas.openxmlformats.org/spreadsheetml/2006/main" count="562" uniqueCount="392">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</sst>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topLeftCell="A20" zoomScaleNormal="100" workbookViewId="0">
      <selection activeCell="E33" sqref="E3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387</v>
      </c>
      <c r="F1" s="290" t="s">
        <v>306</v>
      </c>
    </row>
    <row r="2" spans="1:10" ht="13.9" x14ac:dyDescent="0.45">
      <c r="A2" s="253" t="s">
        <v>280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344</v>
      </c>
      <c r="C5" s="48" t="s">
        <v>388</v>
      </c>
      <c r="D5" s="49" t="s">
        <v>389</v>
      </c>
    </row>
    <row r="6" spans="1:10" x14ac:dyDescent="0.35">
      <c r="B6" s="4" t="s">
        <v>98</v>
      </c>
      <c r="C6" s="50">
        <v>15.4</v>
      </c>
      <c r="D6" s="48" t="s">
        <v>42</v>
      </c>
      <c r="E6" s="48"/>
    </row>
    <row r="7" spans="1:10" x14ac:dyDescent="0.35">
      <c r="B7" s="4" t="s">
        <v>0</v>
      </c>
      <c r="C7" s="51">
        <v>587107850</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9041.4608900000003</v>
      </c>
      <c r="D10" s="32"/>
      <c r="E10" s="5"/>
    </row>
    <row r="11" spans="1:10" x14ac:dyDescent="0.35">
      <c r="D11" s="5"/>
      <c r="E11" s="5"/>
    </row>
    <row r="12" spans="1:10" ht="24.4" customHeight="1" x14ac:dyDescent="0.35">
      <c r="B12" s="339" t="s">
        <v>285</v>
      </c>
      <c r="C12" s="339"/>
      <c r="D12" s="339"/>
      <c r="E12" s="339"/>
      <c r="F12" s="339"/>
    </row>
    <row r="14" spans="1:10" x14ac:dyDescent="0.35">
      <c r="B14" s="45" t="s">
        <v>332</v>
      </c>
      <c r="C14" s="46"/>
      <c r="D14" s="5"/>
    </row>
    <row r="15" spans="1:10" x14ac:dyDescent="0.35">
      <c r="B15" s="2" t="s">
        <v>382</v>
      </c>
      <c r="C15" s="32" t="str">
        <f>IF(Scenarios!C69="Y",Scenarios!B69,"")&amp;IF(Scenarios!C70="Y",Scenarios!B70,"")&amp;IF(Scenarios!C71="Y",Scenarios!B71,"")&amp;" "&amp;IF(Scenarios!C72="Y",Scenarios!B72,"")</f>
        <v xml:space="preserve">Low Growth </v>
      </c>
      <c r="E15" s="5"/>
    </row>
    <row r="16" spans="1:10" x14ac:dyDescent="0.35">
      <c r="B16" s="4" t="s">
        <v>381</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14.733437767356989</v>
      </c>
      <c r="D20" s="1" t="s">
        <v>335</v>
      </c>
      <c r="E20" s="336">
        <v>3</v>
      </c>
    </row>
    <row r="21" spans="1:6" x14ac:dyDescent="0.35">
      <c r="B21" s="1" t="s">
        <v>334</v>
      </c>
      <c r="C21" s="286">
        <f ca="1">Scenarios!C87</f>
        <v>0.18108249888642258</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371</v>
      </c>
      <c r="C26" s="340"/>
      <c r="D26" s="340"/>
      <c r="E26" s="340"/>
      <c r="F26" s="340"/>
    </row>
    <row r="28" spans="1:6" x14ac:dyDescent="0.35">
      <c r="B28" s="240" t="s">
        <v>236</v>
      </c>
      <c r="C28" s="111">
        <f>Data!C3</f>
        <v>1000</v>
      </c>
    </row>
    <row r="29" spans="1:6" ht="24.4" customHeight="1" x14ac:dyDescent="0.35">
      <c r="B29" s="338" t="s">
        <v>237</v>
      </c>
      <c r="C29" s="338"/>
      <c r="D29" s="338"/>
      <c r="E29" s="338"/>
      <c r="F29" s="338"/>
    </row>
    <row r="30" spans="1:6" x14ac:dyDescent="0.35">
      <c r="B30" s="47" t="s">
        <v>238</v>
      </c>
      <c r="C30" s="191">
        <f>Normalized_FCF!C8</f>
        <v>1398534.6033278927</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463424</v>
      </c>
      <c r="D33" s="1" t="str">
        <f>Reporting_currency</f>
        <v>HKD</v>
      </c>
    </row>
    <row r="34" spans="2:6" x14ac:dyDescent="0.35">
      <c r="B34" s="52" t="s">
        <v>241</v>
      </c>
      <c r="C34" s="191">
        <f>Normalized_FCF!C10</f>
        <v>-463424.00000000006</v>
      </c>
      <c r="D34" s="1" t="str">
        <f>Reporting_currency</f>
        <v>HKD</v>
      </c>
    </row>
    <row r="36" spans="2:6" x14ac:dyDescent="0.35">
      <c r="B36" s="338" t="s">
        <v>242</v>
      </c>
      <c r="C36" s="338"/>
      <c r="D36" s="338"/>
      <c r="E36" s="338"/>
      <c r="F36" s="338"/>
    </row>
    <row r="37" spans="2:6" x14ac:dyDescent="0.35">
      <c r="B37" s="47" t="s">
        <v>243</v>
      </c>
      <c r="C37" s="191">
        <f>Normalized_FCF!C11</f>
        <v>0</v>
      </c>
      <c r="D37" s="1" t="str">
        <f>Reporting_currency</f>
        <v>HKD</v>
      </c>
    </row>
    <row r="39" spans="2:6" x14ac:dyDescent="0.35">
      <c r="B39" s="338" t="s">
        <v>246</v>
      </c>
      <c r="C39" s="338"/>
      <c r="D39" s="338"/>
      <c r="E39" s="338"/>
      <c r="F39" s="338"/>
    </row>
    <row r="40" spans="2:6" x14ac:dyDescent="0.35">
      <c r="B40" s="47" t="s">
        <v>372</v>
      </c>
      <c r="C40" s="328">
        <f>Normalized_FCF!C48</f>
        <v>13746.938888322537</v>
      </c>
      <c r="D40" s="1" t="str">
        <f>Reporting_currency</f>
        <v>HKD</v>
      </c>
      <c r="E40" s="327"/>
      <c r="F40" s="327"/>
    </row>
    <row r="41" spans="2:6" x14ac:dyDescent="0.35">
      <c r="B41" s="47" t="s">
        <v>373</v>
      </c>
      <c r="C41" s="328">
        <f>Normalized_FCF!C47</f>
        <v>-59596</v>
      </c>
      <c r="D41" s="1" t="str">
        <f>Reporting_currency</f>
        <v>HKD</v>
      </c>
      <c r="E41" s="327"/>
      <c r="F41" s="327"/>
    </row>
    <row r="42" spans="2:6" x14ac:dyDescent="0.35">
      <c r="B42" s="47" t="s">
        <v>244</v>
      </c>
      <c r="C42" s="191">
        <f>Normalized_FCF!C12</f>
        <v>-45849.061111677467</v>
      </c>
      <c r="D42" s="1" t="str">
        <f>Reporting_currency</f>
        <v>HKD</v>
      </c>
    </row>
    <row r="44" spans="2:6" x14ac:dyDescent="0.35">
      <c r="B44" s="1" t="s">
        <v>252</v>
      </c>
    </row>
    <row r="45" spans="2:6" x14ac:dyDescent="0.35">
      <c r="B45" s="47" t="s">
        <v>278</v>
      </c>
      <c r="C45" s="191">
        <f>Normalized_FCF!C15</f>
        <v>0</v>
      </c>
      <c r="D45" s="1" t="str">
        <f>Reporting_currency</f>
        <v>HKD</v>
      </c>
    </row>
    <row r="47" spans="2:6" x14ac:dyDescent="0.35">
      <c r="B47" s="338" t="s">
        <v>247</v>
      </c>
      <c r="C47" s="338"/>
      <c r="D47" s="338"/>
      <c r="E47" s="338"/>
      <c r="F47" s="338"/>
    </row>
    <row r="48" spans="2:6" x14ac:dyDescent="0.35">
      <c r="B48" s="47" t="s">
        <v>245</v>
      </c>
      <c r="C48" s="191">
        <f>Normalized_FCF!C14</f>
        <v>-338171.38555405382</v>
      </c>
      <c r="D48" s="1" t="str">
        <f>Reporting_currency</f>
        <v>HKD</v>
      </c>
    </row>
    <row r="50" spans="1:6" x14ac:dyDescent="0.35">
      <c r="B50" s="338" t="s">
        <v>370</v>
      </c>
      <c r="C50" s="342"/>
      <c r="D50" s="342"/>
      <c r="E50" s="342"/>
      <c r="F50" s="342"/>
    </row>
    <row r="51" spans="1:6" x14ac:dyDescent="0.35">
      <c r="B51" s="47" t="s">
        <v>248</v>
      </c>
      <c r="C51" s="1">
        <f>Normalized_FCF!C17</f>
        <v>0</v>
      </c>
      <c r="D51" s="1" t="str">
        <f>Reporting_currency</f>
        <v>HKD</v>
      </c>
    </row>
    <row r="53" spans="1:6" ht="24.4" customHeight="1" x14ac:dyDescent="0.35">
      <c r="B53" s="339" t="s">
        <v>375</v>
      </c>
      <c r="C53" s="339"/>
      <c r="D53" s="339"/>
      <c r="E53" s="339"/>
      <c r="F53" s="339"/>
    </row>
    <row r="54" spans="1:6" ht="24.4" customHeight="1" x14ac:dyDescent="0.35">
      <c r="B54" s="339" t="s">
        <v>267</v>
      </c>
      <c r="C54" s="339"/>
      <c r="D54" s="339"/>
      <c r="E54" s="339"/>
      <c r="F54" s="339"/>
    </row>
    <row r="56" spans="1:6" x14ac:dyDescent="0.35">
      <c r="B56" s="47" t="s">
        <v>284</v>
      </c>
      <c r="C56" s="191">
        <f>Normalized_FCF!G19</f>
        <v>1291433.9388883226</v>
      </c>
      <c r="D56" s="1" t="str">
        <f>Reporting_currency</f>
        <v>HKD</v>
      </c>
    </row>
    <row r="57" spans="1:6" x14ac:dyDescent="0.35">
      <c r="B57" s="47" t="s">
        <v>254</v>
      </c>
      <c r="C57" s="191">
        <f>Normalized_FCF!C19</f>
        <v>1014514.1566621615</v>
      </c>
      <c r="D57" s="1" t="str">
        <f>Reporting_currency</f>
        <v>HKD</v>
      </c>
    </row>
    <row r="58" spans="1:6" x14ac:dyDescent="0.35">
      <c r="B58" s="260" t="s">
        <v>283</v>
      </c>
      <c r="C58" s="94">
        <f>Normalized_FCF!C121</f>
        <v>0.11220688437465126</v>
      </c>
    </row>
    <row r="59" spans="1:6" x14ac:dyDescent="0.35">
      <c r="B59" s="260" t="s">
        <v>336</v>
      </c>
      <c r="C59" s="94">
        <f>Normalized_FCF!C93</f>
        <v>8.8311688311688313E-2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307</v>
      </c>
      <c r="C67" s="317">
        <v>0.08</v>
      </c>
    </row>
    <row r="68" spans="1:6" x14ac:dyDescent="0.35">
      <c r="B68" s="1" t="s">
        <v>309</v>
      </c>
      <c r="C68" s="269">
        <f>IF(D68="Y",1%,0)</f>
        <v>0</v>
      </c>
      <c r="D68" s="292" t="s">
        <v>350</v>
      </c>
    </row>
    <row r="69" spans="1:6" x14ac:dyDescent="0.35">
      <c r="B69" s="1" t="s">
        <v>308</v>
      </c>
      <c r="C69" s="269">
        <f>IF(D69="Y",1%,0)</f>
        <v>0</v>
      </c>
      <c r="D69" s="292" t="s">
        <v>350</v>
      </c>
    </row>
    <row r="70" spans="1:6" x14ac:dyDescent="0.35">
      <c r="B70" s="82" t="s">
        <v>253</v>
      </c>
      <c r="C70" s="269">
        <f>SUM(C67:C69)</f>
        <v>0.08</v>
      </c>
    </row>
    <row r="71" spans="1:6" x14ac:dyDescent="0.35">
      <c r="C71" s="125"/>
    </row>
    <row r="72" spans="1:6" x14ac:dyDescent="0.35">
      <c r="B72" s="339" t="s">
        <v>376</v>
      </c>
      <c r="C72" s="339"/>
      <c r="D72" s="339"/>
      <c r="E72" s="339"/>
      <c r="F72" s="339"/>
    </row>
    <row r="73" spans="1:6" ht="24.4" customHeight="1" x14ac:dyDescent="0.35">
      <c r="B73" s="339" t="s">
        <v>377</v>
      </c>
      <c r="C73" s="339"/>
      <c r="D73" s="339"/>
      <c r="E73" s="339"/>
      <c r="F73" s="339"/>
    </row>
    <row r="75" spans="1:6" x14ac:dyDescent="0.35">
      <c r="B75" s="47" t="s">
        <v>257</v>
      </c>
      <c r="C75" s="269">
        <v>0</v>
      </c>
    </row>
    <row r="76" spans="1:6" x14ac:dyDescent="0.35">
      <c r="B76" s="47" t="s">
        <v>300</v>
      </c>
      <c r="C76" s="254">
        <f>Valuation_Model!C6*C28*Exchange_Rate/Common_Shares</f>
        <v>21.599825242120371</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378</v>
      </c>
      <c r="C84" s="339"/>
      <c r="D84" s="339"/>
      <c r="E84" s="339"/>
      <c r="F84" s="339"/>
    </row>
    <row r="85" spans="2:6" x14ac:dyDescent="0.35">
      <c r="B85" s="47" t="s">
        <v>263</v>
      </c>
      <c r="C85" s="191">
        <f>Valuation_Model!C7</f>
        <v>2034922</v>
      </c>
      <c r="D85" s="1" t="str">
        <f>Reporting_currency</f>
        <v>HKD</v>
      </c>
    </row>
    <row r="86" spans="2:6" x14ac:dyDescent="0.35">
      <c r="B86" s="47" t="s">
        <v>303</v>
      </c>
      <c r="C86" s="254">
        <f>C85*C28*Exchange_Rate/Common_Shares</f>
        <v>3.4660105464438944</v>
      </c>
      <c r="D86" s="1" t="str">
        <f>Market_currency</f>
        <v>HKD</v>
      </c>
    </row>
    <row r="88" spans="2:6" x14ac:dyDescent="0.35">
      <c r="B88" s="1" t="s">
        <v>262</v>
      </c>
    </row>
    <row r="89" spans="2:6" x14ac:dyDescent="0.35">
      <c r="B89" s="47" t="s">
        <v>277</v>
      </c>
      <c r="C89" s="191">
        <f>BS!C66</f>
        <v>1998219</v>
      </c>
      <c r="D89" s="1" t="str">
        <f>Reporting_currency</f>
        <v>HKD</v>
      </c>
    </row>
    <row r="90" spans="2:6" x14ac:dyDescent="0.35">
      <c r="B90" s="47" t="s">
        <v>279</v>
      </c>
      <c r="C90" s="191">
        <f>Valuation_Model!C8</f>
        <v>1050246.6606106577</v>
      </c>
      <c r="D90" s="1" t="str">
        <f>Reporting_currency</f>
        <v>HKD</v>
      </c>
    </row>
    <row r="91" spans="2:6" x14ac:dyDescent="0.35">
      <c r="B91" s="47" t="s">
        <v>304</v>
      </c>
      <c r="C91" s="254">
        <f>C90*C28*Exchange_Rate/Common_Shares</f>
        <v>1.7888479273623368</v>
      </c>
      <c r="D91" s="1" t="str">
        <f>Market_currency</f>
        <v>HKD</v>
      </c>
    </row>
    <row r="93" spans="2:6" x14ac:dyDescent="0.35">
      <c r="B93" s="1" t="s">
        <v>264</v>
      </c>
    </row>
    <row r="94" spans="2:6" x14ac:dyDescent="0.35">
      <c r="B94" s="47" t="s">
        <v>265</v>
      </c>
      <c r="C94" s="191">
        <f>Valuation_Model!C9</f>
        <v>92572.6</v>
      </c>
      <c r="D94" s="1" t="str">
        <f>Reporting_currency</f>
        <v>HKD</v>
      </c>
    </row>
    <row r="95" spans="2:6" x14ac:dyDescent="0.35">
      <c r="B95" s="47" t="s">
        <v>305</v>
      </c>
      <c r="C95" s="254">
        <f>C94*C28*Exchange_Rate/Common_Shares</f>
        <v>0.15767562978420405</v>
      </c>
      <c r="D95" s="1" t="str">
        <f>Market_currency</f>
        <v>HKD</v>
      </c>
    </row>
    <row r="97" spans="1:6" ht="24.4" customHeight="1" x14ac:dyDescent="0.35">
      <c r="B97" s="339" t="s">
        <v>266</v>
      </c>
      <c r="C97" s="339"/>
      <c r="D97" s="339"/>
      <c r="E97" s="339"/>
      <c r="F97" s="339"/>
    </row>
    <row r="99" spans="1:6" x14ac:dyDescent="0.35">
      <c r="B99" s="47" t="s">
        <v>299</v>
      </c>
      <c r="C99" s="254">
        <f>Valuation_Model!C12</f>
        <v>20.080338252823015</v>
      </c>
      <c r="D99" s="1" t="str">
        <f>Market_currency</f>
        <v>HKD</v>
      </c>
    </row>
    <row r="101" spans="1:6" ht="13.9" x14ac:dyDescent="0.45">
      <c r="A101" s="253" t="s">
        <v>276</v>
      </c>
      <c r="B101" s="36"/>
      <c r="C101" s="36"/>
      <c r="D101" s="36"/>
      <c r="E101" s="36"/>
      <c r="F101" s="36"/>
    </row>
    <row r="103" spans="1:6" ht="24.4" customHeight="1" x14ac:dyDescent="0.35">
      <c r="B103" s="338" t="s">
        <v>361</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0.06</v>
      </c>
      <c r="D106" s="263">
        <f>Valuation_Model!D74</f>
        <v>10</v>
      </c>
      <c r="E106" s="264" t="str">
        <f>ROUND(Valuation_Model!E74,2)&amp;" "&amp;Market_currency</f>
        <v>24.7 HKD</v>
      </c>
      <c r="F106" s="265">
        <f>Valuation_Model!F74</f>
        <v>0.02</v>
      </c>
    </row>
    <row r="107" spans="1:6" x14ac:dyDescent="0.35">
      <c r="B107" s="248" t="str">
        <f>Valuation_Model!B75</f>
        <v>Optimistic</v>
      </c>
      <c r="C107" s="249">
        <f>Valuation_Model!C75</f>
        <v>0.05</v>
      </c>
      <c r="D107" s="250">
        <f>Valuation_Model!D75</f>
        <v>5</v>
      </c>
      <c r="E107" s="251" t="str">
        <f>ROUND(Valuation_Model!E75,2)&amp;" "&amp;Market_currency</f>
        <v>21.86 HKD</v>
      </c>
      <c r="F107" s="252">
        <f>Valuation_Model!F75</f>
        <v>0.192</v>
      </c>
    </row>
    <row r="108" spans="1:6" x14ac:dyDescent="0.35">
      <c r="B108" s="248" t="str">
        <f>Valuation_Model!B76</f>
        <v>Base</v>
      </c>
      <c r="C108" s="249">
        <f>Valuation_Model!C76</f>
        <v>0.02</v>
      </c>
      <c r="D108" s="250">
        <f>Valuation_Model!D76</f>
        <v>5</v>
      </c>
      <c r="E108" s="251" t="str">
        <f>ROUND(Valuation_Model!E76,2)&amp;" "&amp;Market_currency</f>
        <v>20.78 HKD</v>
      </c>
      <c r="F108" s="252">
        <f>Valuation_Model!F76</f>
        <v>0.57599999999999996</v>
      </c>
    </row>
    <row r="109" spans="1:6" x14ac:dyDescent="0.35">
      <c r="B109" s="248" t="str">
        <f>Valuation_Model!B77</f>
        <v>Pessimistic</v>
      </c>
      <c r="C109" s="249">
        <f>Valuation_Model!C77</f>
        <v>-0.05</v>
      </c>
      <c r="D109" s="250">
        <f>Valuation_Model!D77</f>
        <v>5</v>
      </c>
      <c r="E109" s="251" t="str">
        <f>ROUND(Valuation_Model!E77,2)&amp;" "&amp;Market_currency</f>
        <v>18.42 HKD</v>
      </c>
      <c r="F109" s="252">
        <f>Valuation_Model!F77</f>
        <v>0.192</v>
      </c>
    </row>
    <row r="110" spans="1:6" x14ac:dyDescent="0.35">
      <c r="B110" s="248" t="str">
        <f>Valuation_Model!B78</f>
        <v>Devil's advocate</v>
      </c>
      <c r="C110" s="249">
        <f>Valuation_Model!C78</f>
        <v>-0.08</v>
      </c>
      <c r="D110" s="250">
        <f>Valuation_Model!D78</f>
        <v>10</v>
      </c>
      <c r="E110" s="251" t="str">
        <f>ROUND(Valuation_Model!E78,2)&amp;" "&amp;Market_currency</f>
        <v>15.62 HKD</v>
      </c>
      <c r="F110" s="252">
        <f>Valuation_Model!F78</f>
        <v>0.02</v>
      </c>
    </row>
    <row r="112" spans="1:6" x14ac:dyDescent="0.35">
      <c r="B112" s="241" t="s">
        <v>268</v>
      </c>
      <c r="C112" s="247">
        <f>Scenarios!C60</f>
        <v>20.508980461992877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1.36</v>
      </c>
      <c r="D122" s="242" t="str">
        <f>Market_currency</f>
        <v>HKD</v>
      </c>
    </row>
    <row r="124" spans="1:6" x14ac:dyDescent="0.35">
      <c r="B124" s="240" t="s">
        <v>273</v>
      </c>
    </row>
    <row r="125" spans="1:6" x14ac:dyDescent="0.35">
      <c r="B125" s="242" t="str">
        <f>"PV("&amp;C120&amp;" yrs of Dividends)"</f>
        <v>PV(3 yrs of Dividends)</v>
      </c>
      <c r="C125" s="246">
        <f>Scenarios!C81</f>
        <v>2.8648148148148147</v>
      </c>
    </row>
    <row r="126" spans="1:6" x14ac:dyDescent="0.35">
      <c r="B126" s="242" t="str">
        <f>"+ PV(Equity Value realized at year "&amp;C120&amp;")"</f>
        <v>+ PV(Equity Value realized at year 3)</v>
      </c>
      <c r="C126" s="246">
        <f>Scenarios!C82</f>
        <v>11.868622952542175</v>
      </c>
    </row>
    <row r="127" spans="1:6" x14ac:dyDescent="0.35">
      <c r="B127" s="82" t="s">
        <v>270</v>
      </c>
      <c r="C127" s="245">
        <f>Scenarios!C83</f>
        <v>14.733437767356989</v>
      </c>
      <c r="D127" s="47" t="str">
        <f>Reporting_currency</f>
        <v>HKD</v>
      </c>
    </row>
    <row r="128" spans="1:6" x14ac:dyDescent="0.35">
      <c r="B128" s="244" t="s">
        <v>272</v>
      </c>
      <c r="C128" s="94">
        <f>Scenarios!F83</f>
        <v>0.28161042453275964</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45</v>
      </c>
      <c r="C5" s="193">
        <v>11151623</v>
      </c>
      <c r="D5" s="184">
        <v>8747447</v>
      </c>
      <c r="E5" s="184">
        <v>8503976</v>
      </c>
      <c r="F5" s="184">
        <v>6229020</v>
      </c>
      <c r="G5" s="184">
        <v>7910751</v>
      </c>
      <c r="H5" s="184"/>
      <c r="I5" s="184"/>
      <c r="J5" s="184"/>
      <c r="K5" s="184"/>
      <c r="L5" s="184"/>
      <c r="M5" s="184"/>
    </row>
    <row r="6" spans="2:13" x14ac:dyDescent="0.35">
      <c r="B6" s="40" t="s">
        <v>57</v>
      </c>
      <c r="C6" s="193">
        <v>2297566</v>
      </c>
      <c r="D6" s="184">
        <v>1867515</v>
      </c>
      <c r="E6" s="184">
        <v>1815111</v>
      </c>
      <c r="F6" s="184">
        <v>1694480</v>
      </c>
      <c r="G6" s="184">
        <v>2118252</v>
      </c>
      <c r="H6" s="184"/>
      <c r="I6" s="184"/>
      <c r="J6" s="184"/>
      <c r="K6" s="184"/>
      <c r="L6" s="184"/>
      <c r="M6" s="184"/>
    </row>
    <row r="7" spans="2:13" x14ac:dyDescent="0.35">
      <c r="B7" s="70" t="s">
        <v>64</v>
      </c>
      <c r="C7" s="194">
        <v>2043459</v>
      </c>
      <c r="D7" s="192">
        <v>1517989</v>
      </c>
      <c r="E7" s="192">
        <v>1491293</v>
      </c>
      <c r="F7" s="192">
        <v>1412494</v>
      </c>
      <c r="G7" s="192">
        <v>1945100</v>
      </c>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70</v>
      </c>
      <c r="C13" s="193">
        <v>28977</v>
      </c>
      <c r="D13" s="184">
        <v>33125</v>
      </c>
      <c r="E13" s="184">
        <v>87344</v>
      </c>
      <c r="F13" s="184">
        <v>63398</v>
      </c>
      <c r="G13" s="184">
        <v>45450</v>
      </c>
      <c r="H13" s="184"/>
      <c r="I13" s="184"/>
      <c r="J13" s="184"/>
      <c r="K13" s="184"/>
      <c r="L13" s="184"/>
      <c r="M13" s="184"/>
    </row>
    <row r="14" spans="2:13" x14ac:dyDescent="0.35">
      <c r="B14" s="40" t="s">
        <v>52</v>
      </c>
      <c r="C14" s="193">
        <v>327166</v>
      </c>
      <c r="D14" s="184">
        <v>280664</v>
      </c>
      <c r="E14" s="184">
        <v>291296</v>
      </c>
      <c r="F14" s="184">
        <v>236303</v>
      </c>
      <c r="G14" s="184">
        <v>223409</v>
      </c>
      <c r="H14" s="184"/>
      <c r="I14" s="184"/>
      <c r="J14" s="184"/>
      <c r="K14" s="184"/>
      <c r="L14" s="184"/>
      <c r="M14" s="184"/>
    </row>
    <row r="15" spans="2:13" x14ac:dyDescent="0.35">
      <c r="B15" s="43" t="s">
        <v>44</v>
      </c>
      <c r="C15" s="195">
        <v>1767305</v>
      </c>
      <c r="D15" s="185">
        <v>1284757</v>
      </c>
      <c r="E15" s="185">
        <v>1392364</v>
      </c>
      <c r="F15" s="185">
        <v>1017335</v>
      </c>
      <c r="G15" s="185">
        <v>866315</v>
      </c>
      <c r="H15" s="185"/>
      <c r="I15" s="185"/>
      <c r="J15" s="185"/>
      <c r="K15" s="185"/>
      <c r="L15" s="185"/>
      <c r="M15" s="185"/>
    </row>
    <row r="16" spans="2:13" x14ac:dyDescent="0.35">
      <c r="B16" s="28" t="s">
        <v>46</v>
      </c>
      <c r="C16" s="193">
        <v>-9467</v>
      </c>
      <c r="D16" s="184">
        <v>-30</v>
      </c>
      <c r="E16" s="184">
        <v>-27</v>
      </c>
      <c r="F16" s="184">
        <v>1799</v>
      </c>
      <c r="G16" s="184">
        <v>1337</v>
      </c>
      <c r="H16" s="184"/>
      <c r="I16" s="184"/>
      <c r="J16" s="184"/>
      <c r="K16" s="184"/>
      <c r="L16" s="184"/>
      <c r="M16" s="184"/>
    </row>
    <row r="18" spans="2:13" x14ac:dyDescent="0.35">
      <c r="B18" s="16" t="s">
        <v>53</v>
      </c>
      <c r="C18" s="9"/>
    </row>
    <row r="19" spans="2:13" x14ac:dyDescent="0.35">
      <c r="B19" s="27" t="s">
        <v>49</v>
      </c>
      <c r="C19" s="184">
        <v>463424</v>
      </c>
      <c r="D19" s="184">
        <v>371724</v>
      </c>
      <c r="E19" s="184">
        <v>435672</v>
      </c>
      <c r="F19" s="184">
        <v>520888</v>
      </c>
      <c r="G19" s="184"/>
      <c r="H19" s="184"/>
      <c r="I19" s="184"/>
      <c r="J19" s="184"/>
      <c r="K19" s="184"/>
      <c r="L19" s="184"/>
      <c r="M19" s="184"/>
    </row>
    <row r="20" spans="2:13" x14ac:dyDescent="0.35">
      <c r="B20" s="27" t="s">
        <v>55</v>
      </c>
      <c r="C20" s="184">
        <v>676387</v>
      </c>
      <c r="D20" s="184">
        <v>107280</v>
      </c>
      <c r="E20" s="184">
        <v>455483</v>
      </c>
      <c r="F20" s="184">
        <v>138937</v>
      </c>
      <c r="G20" s="184"/>
      <c r="H20" s="184"/>
      <c r="I20" s="184"/>
      <c r="J20" s="184"/>
      <c r="K20" s="184"/>
      <c r="L20" s="184"/>
      <c r="M20" s="184"/>
    </row>
    <row r="21" spans="2:13" x14ac:dyDescent="0.35">
      <c r="B21" s="27" t="s">
        <v>54</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28</v>
      </c>
      <c r="C24" s="9"/>
    </row>
    <row r="25" spans="2:13" x14ac:dyDescent="0.35">
      <c r="B25" s="26" t="s">
        <v>24</v>
      </c>
      <c r="C25" s="186"/>
      <c r="D25" s="184">
        <v>213823</v>
      </c>
      <c r="E25" s="184">
        <v>187711</v>
      </c>
      <c r="F25" s="184">
        <v>277338</v>
      </c>
      <c r="G25" s="184"/>
      <c r="H25" s="184"/>
      <c r="I25" s="184"/>
      <c r="J25" s="184"/>
      <c r="K25" s="184"/>
      <c r="L25" s="184"/>
      <c r="M25" s="184"/>
    </row>
    <row r="26" spans="2:13" x14ac:dyDescent="0.35">
      <c r="B26" s="26" t="s">
        <v>32</v>
      </c>
      <c r="C26" s="186"/>
      <c r="D26" s="184">
        <v>8852611</v>
      </c>
      <c r="E26" s="184">
        <v>8769304</v>
      </c>
      <c r="F26" s="184">
        <v>7321614</v>
      </c>
      <c r="G26" s="184"/>
      <c r="H26" s="184"/>
      <c r="I26" s="184"/>
      <c r="J26" s="184"/>
      <c r="K26" s="184"/>
      <c r="L26" s="184"/>
      <c r="M26" s="184"/>
    </row>
    <row r="27" spans="2:13" x14ac:dyDescent="0.35">
      <c r="B27" s="29" t="s">
        <v>40</v>
      </c>
      <c r="C27" s="185">
        <v>3990166</v>
      </c>
      <c r="D27" s="185">
        <v>2466431</v>
      </c>
      <c r="E27" s="185">
        <v>3908586</v>
      </c>
      <c r="F27" s="185">
        <v>2946772</v>
      </c>
      <c r="G27" s="185"/>
      <c r="H27" s="185"/>
      <c r="I27" s="185"/>
      <c r="J27" s="185"/>
      <c r="K27" s="185"/>
      <c r="L27" s="185"/>
      <c r="M27" s="185"/>
    </row>
    <row r="28" spans="2:13" x14ac:dyDescent="0.35">
      <c r="B28" s="29" t="s">
        <v>30</v>
      </c>
      <c r="C28" s="185">
        <v>12863898</v>
      </c>
      <c r="D28" s="185">
        <v>12220942</v>
      </c>
      <c r="E28" s="185">
        <v>12078528</v>
      </c>
      <c r="F28" s="185">
        <v>11324224</v>
      </c>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v>1095356</v>
      </c>
      <c r="D32" s="184">
        <v>1099308</v>
      </c>
      <c r="E32" s="184">
        <v>1107736</v>
      </c>
      <c r="F32" s="184">
        <v>1122325</v>
      </c>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90</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265773</v>
      </c>
      <c r="D4" s="300">
        <v>0.6</v>
      </c>
      <c r="E4" s="25"/>
      <c r="F4" s="4" t="s">
        <v>81</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181</v>
      </c>
      <c r="G6" s="19">
        <v>0</v>
      </c>
      <c r="H6" s="300">
        <v>0.6</v>
      </c>
    </row>
    <row r="7" spans="2:8" ht="15" customHeight="1" x14ac:dyDescent="0.35">
      <c r="B7" s="1" t="s">
        <v>72</v>
      </c>
      <c r="C7" s="19">
        <v>0</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366595</v>
      </c>
      <c r="D9" s="300">
        <v>0.1</v>
      </c>
      <c r="E9" s="25"/>
      <c r="F9" s="4" t="s">
        <v>184</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75</v>
      </c>
      <c r="C12" s="83">
        <f>SUM(C4:C11)</f>
        <v>10334089</v>
      </c>
      <c r="D12" s="20">
        <f>C4*D4+C5*D5+C9*D9+C6*D6+C8*D8+C7*D7+C10*D10+C11*D11</f>
        <v>5058769.8</v>
      </c>
      <c r="F12" s="82" t="s">
        <v>73</v>
      </c>
      <c r="G12" s="83">
        <f>SUM(G4:G9)</f>
        <v>1998219</v>
      </c>
      <c r="H12" s="20">
        <f>G4*H4+G5*H5+G6*H6+G7*H7+G8*H8+G9*H9</f>
        <v>1798397.1</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103050</v>
      </c>
      <c r="D15" s="300">
        <v>0.4</v>
      </c>
      <c r="F15" s="4" t="s">
        <v>82</v>
      </c>
      <c r="G15" s="19">
        <v>0</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0</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2522337</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538321</v>
      </c>
      <c r="D21" s="300">
        <v>0.05</v>
      </c>
      <c r="F21" s="1" t="s">
        <v>184</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77</v>
      </c>
      <c r="C24" s="83">
        <f>SUM(C15:C23)</f>
        <v>3596030</v>
      </c>
      <c r="D24" s="20">
        <f>C15*D15+C16*D16+C18*D18+C17*D17+C19*D19+C20*D20+C21*D21+C22*D22+C23*D23</f>
        <v>459552.95</v>
      </c>
      <c r="F24" s="82" t="s">
        <v>74</v>
      </c>
      <c r="G24" s="83">
        <f>SUM(G15:G21)</f>
        <v>925726</v>
      </c>
      <c r="H24" s="20">
        <f>G15*H15+G16*H16+G17*H17+G18*H18+G19*H19+G20*H20+G21*H21</f>
        <v>92572.6</v>
      </c>
    </row>
    <row r="26" spans="2:8" ht="15" customHeight="1" x14ac:dyDescent="0.35">
      <c r="B26" s="16" t="s">
        <v>204</v>
      </c>
      <c r="C26" s="209" t="s">
        <v>140</v>
      </c>
      <c r="F26" s="211" t="s">
        <v>200</v>
      </c>
      <c r="G26" s="212" t="s">
        <v>140</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250</v>
      </c>
      <c r="G28" s="184">
        <v>-26962</v>
      </c>
      <c r="H28" s="215"/>
    </row>
    <row r="29" spans="2:8" ht="15" customHeight="1" x14ac:dyDescent="0.35">
      <c r="B29" s="4" t="s">
        <v>7</v>
      </c>
      <c r="C29" s="19">
        <v>0</v>
      </c>
      <c r="F29" s="217" t="s">
        <v>79</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207</v>
      </c>
      <c r="C31" s="83">
        <f>SUM(C27:C30)</f>
        <v>1715502</v>
      </c>
      <c r="F31" s="217" t="s">
        <v>80</v>
      </c>
      <c r="G31" s="218">
        <f>C31+C40</f>
        <v>2034922</v>
      </c>
      <c r="H31" s="215"/>
    </row>
    <row r="32" spans="2:8" ht="15" customHeight="1" x14ac:dyDescent="0.35">
      <c r="B32" s="4" t="s">
        <v>9</v>
      </c>
      <c r="C32" s="21">
        <f>C33-C31</f>
        <v>1801307</v>
      </c>
      <c r="F32" s="219" t="s">
        <v>78</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13930119</v>
      </c>
      <c r="H35" s="227">
        <f>D12+D24</f>
        <v>5518322.75</v>
      </c>
    </row>
    <row r="36" spans="2:8" ht="15" customHeight="1" x14ac:dyDescent="0.35">
      <c r="B36" s="4" t="s">
        <v>13</v>
      </c>
      <c r="C36" s="19">
        <v>0</v>
      </c>
      <c r="F36" s="217" t="s">
        <v>201</v>
      </c>
      <c r="G36" s="218">
        <f>C4+C15</f>
        <v>368823</v>
      </c>
      <c r="H36" s="222"/>
    </row>
    <row r="37" spans="2:8" ht="15" customHeight="1" x14ac:dyDescent="0.35">
      <c r="B37" s="4" t="s">
        <v>14</v>
      </c>
      <c r="C37" s="19">
        <v>0</v>
      </c>
      <c r="F37" s="217" t="s">
        <v>202</v>
      </c>
      <c r="G37" s="218">
        <f>C6</f>
        <v>9672256</v>
      </c>
      <c r="H37" s="222"/>
    </row>
    <row r="38" spans="2:8" ht="15" customHeight="1" x14ac:dyDescent="0.35">
      <c r="B38" s="4" t="s">
        <v>15</v>
      </c>
      <c r="C38" s="19">
        <v>319420</v>
      </c>
      <c r="F38" s="217" t="s">
        <v>203</v>
      </c>
      <c r="G38" s="218">
        <f>C7+C17</f>
        <v>0</v>
      </c>
      <c r="H38" s="222"/>
    </row>
    <row r="39" spans="2:8" ht="15" customHeight="1" x14ac:dyDescent="0.35">
      <c r="B39" s="2" t="s">
        <v>16</v>
      </c>
      <c r="C39" s="19">
        <v>0</v>
      </c>
      <c r="F39" s="217" t="s">
        <v>83</v>
      </c>
      <c r="G39" s="218">
        <f>C7+C17+C19+C20</f>
        <v>2522337</v>
      </c>
      <c r="H39" s="215">
        <f>C7*D7+C17*D17+C19*D19+C20*D20</f>
        <v>252233.7</v>
      </c>
    </row>
    <row r="40" spans="2:8" ht="15" customHeight="1" x14ac:dyDescent="0.35">
      <c r="B40" s="82" t="s">
        <v>208</v>
      </c>
      <c r="C40" s="83">
        <f>SUM(C36:C39)</f>
        <v>319420</v>
      </c>
      <c r="F40" s="226" t="s">
        <v>142</v>
      </c>
      <c r="G40" s="220">
        <f>G12+G24</f>
        <v>2923945</v>
      </c>
      <c r="H40" s="227">
        <f>H12+H24</f>
        <v>1890969.7000000002</v>
      </c>
    </row>
    <row r="41" spans="2:8" ht="15" customHeight="1" x14ac:dyDescent="0.35">
      <c r="B41" s="4" t="s">
        <v>17</v>
      </c>
      <c r="C41" s="21">
        <f>C42-C40</f>
        <v>153937</v>
      </c>
      <c r="F41" s="217" t="s">
        <v>195</v>
      </c>
      <c r="G41" s="218">
        <f>C70</f>
        <v>1998219</v>
      </c>
      <c r="H41" s="227">
        <f>H40-H42</f>
        <v>1798397.1</v>
      </c>
    </row>
    <row r="42" spans="2:8" ht="15" customHeight="1" x14ac:dyDescent="0.35">
      <c r="B42" s="85" t="s">
        <v>22</v>
      </c>
      <c r="C42" s="86">
        <v>473357</v>
      </c>
      <c r="F42" s="228" t="s">
        <v>196</v>
      </c>
      <c r="G42" s="229">
        <f>C82</f>
        <v>925726</v>
      </c>
      <c r="H42" s="230">
        <f>D82</f>
        <v>92572.6</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1.4550387206421544</v>
      </c>
      <c r="D50" s="98">
        <f>G31/Normalized_FCF!G8</f>
        <v>1.0842664509772892</v>
      </c>
      <c r="F50" s="289"/>
    </row>
    <row r="51" spans="2:8" ht="15" customHeight="1" x14ac:dyDescent="0.35">
      <c r="B51" s="1" t="s">
        <v>180</v>
      </c>
      <c r="C51" s="208"/>
      <c r="D51" s="94">
        <f>G29/G32</f>
        <v>0.76485172952944758</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0.10039645772788393</v>
      </c>
      <c r="D54" s="94">
        <f>Normalized_FCF!G8/G35</f>
        <v>0.13472770763839131</v>
      </c>
      <c r="F54" s="289"/>
    </row>
    <row r="55" spans="2:8" ht="15" customHeight="1" x14ac:dyDescent="0.35">
      <c r="B55" s="1" t="s">
        <v>145</v>
      </c>
      <c r="C55" s="94">
        <f>Normalized_FCF!C11/G40</f>
        <v>0</v>
      </c>
      <c r="D55" s="94">
        <f>Normalized_FCF!G11/G40</f>
        <v>2.1854036242131779E-4</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0.1837280268259158</v>
      </c>
      <c r="F58" s="5"/>
    </row>
    <row r="59" spans="2:8" ht="15" customHeight="1" x14ac:dyDescent="0.35">
      <c r="B59" s="1" t="s">
        <v>96</v>
      </c>
      <c r="C59" s="101"/>
      <c r="D59" s="94">
        <f>G39/G32</f>
        <v>0.14965749507062509</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0</v>
      </c>
      <c r="D62" s="94">
        <f>G28/G29</f>
        <v>-2.0915594459950692E-3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1998219</v>
      </c>
      <c r="D66" s="191">
        <f>C66-D75</f>
        <v>1050246.6606106577</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1998219</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-1187304.6396666665</v>
      </c>
      <c r="D73" s="191">
        <f>(Normalized_FCF!C25+Normalized_FCF!C35-Normalized_FCF!C91)/12</f>
        <v>-947972.33938934223</v>
      </c>
      <c r="F73" s="1" t="s">
        <v>385</v>
      </c>
    </row>
    <row r="74" spans="2:6" ht="15" customHeight="1" x14ac:dyDescent="0.35">
      <c r="B74" s="294" t="s">
        <v>351</v>
      </c>
      <c r="C74" s="295">
        <f>-$C$66/C73</f>
        <v>1.6829876118070222</v>
      </c>
      <c r="D74" s="295">
        <f>-$C$66/D73</f>
        <v>2.1078874530107048</v>
      </c>
      <c r="F74" s="289" t="s">
        <v>348</v>
      </c>
    </row>
    <row r="75" spans="2:6" ht="15" customHeight="1" x14ac:dyDescent="0.35">
      <c r="B75" s="82" t="s">
        <v>349</v>
      </c>
      <c r="C75" s="299"/>
      <c r="D75" s="298">
        <f>MAX(-D73*D76,G5)</f>
        <v>947972.33938934223</v>
      </c>
      <c r="F75" s="289" t="s">
        <v>386</v>
      </c>
    </row>
    <row r="76" spans="2:6" ht="15" customHeight="1" x14ac:dyDescent="0.35">
      <c r="B76" s="296" t="s">
        <v>352</v>
      </c>
      <c r="C76" s="297"/>
      <c r="D76" s="333">
        <f>IF(D74&lt;=3,1,IF(D74&gt;18,6,2))</f>
        <v>1</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0</v>
      </c>
      <c r="D79" s="191">
        <f>G7*H7+G17*H17</f>
        <v>0</v>
      </c>
      <c r="F79" s="289"/>
    </row>
    <row r="80" spans="2:6" ht="15" customHeight="1" x14ac:dyDescent="0.35">
      <c r="B80" s="108" t="s">
        <v>186</v>
      </c>
      <c r="C80" s="20">
        <f>G19</f>
        <v>0</v>
      </c>
      <c r="D80" s="191">
        <f>G19*H19</f>
        <v>0</v>
      </c>
      <c r="F80" s="289"/>
    </row>
    <row r="81" spans="2:8" ht="15" customHeight="1" x14ac:dyDescent="0.35">
      <c r="B81" s="108" t="s">
        <v>184</v>
      </c>
      <c r="C81" s="20">
        <f>G9+G21</f>
        <v>925726</v>
      </c>
      <c r="D81" s="191">
        <f>G9*H9+G21*H21</f>
        <v>92572.6</v>
      </c>
      <c r="F81" s="289"/>
    </row>
    <row r="82" spans="2:8" ht="15" customHeight="1" x14ac:dyDescent="0.35">
      <c r="B82" s="82" t="s">
        <v>193</v>
      </c>
      <c r="C82" s="83">
        <f>SUM(C79:C81)</f>
        <v>925726</v>
      </c>
      <c r="D82" s="83">
        <f>SUM(D79:D81)</f>
        <v>92572.6</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-2034922</v>
      </c>
      <c r="D86" s="254">
        <f>C86*$H$1/Common_Shares</f>
        <v>-3.4660105464438944</v>
      </c>
      <c r="E86" s="275" t="str">
        <f>Market_currency</f>
        <v>HKD</v>
      </c>
    </row>
    <row r="87" spans="2:8" ht="15" customHeight="1" x14ac:dyDescent="0.35">
      <c r="B87" s="273" t="s">
        <v>313</v>
      </c>
      <c r="C87" s="191">
        <f>Valuation_Model!C8*Exchange_Rate</f>
        <v>1050246.6606106577</v>
      </c>
      <c r="D87" s="254">
        <f>C87*$H$1/Common_Shares</f>
        <v>1.7888479273623368</v>
      </c>
      <c r="E87" s="275" t="str">
        <f>Market_currency</f>
        <v>HKD</v>
      </c>
    </row>
    <row r="88" spans="2:8" ht="15" customHeight="1" x14ac:dyDescent="0.35">
      <c r="B88" s="274" t="s">
        <v>193</v>
      </c>
      <c r="C88" s="191">
        <f>Valuation_Model!C9*Exchange_Rate</f>
        <v>92572.6</v>
      </c>
      <c r="D88" s="254">
        <f>C88*$H$1/Common_Shares</f>
        <v>0.15767562978420405</v>
      </c>
      <c r="E88" s="275" t="str">
        <f>Market_currency</f>
        <v>HKD</v>
      </c>
    </row>
    <row r="89" spans="2:8" ht="15" customHeight="1" x14ac:dyDescent="0.35">
      <c r="B89" s="82" t="s">
        <v>317</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363</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364</v>
      </c>
      <c r="F18" s="59"/>
      <c r="G18" s="202"/>
      <c r="H18" s="202"/>
      <c r="I18" s="202"/>
      <c r="J18" s="202"/>
      <c r="K18" s="202"/>
      <c r="L18" s="202"/>
      <c r="M18" s="202"/>
      <c r="N18" s="202"/>
      <c r="O18" s="202"/>
      <c r="P18" s="202"/>
      <c r="Q18" s="202"/>
    </row>
    <row r="19" spans="1:17" ht="15.75" customHeight="1" x14ac:dyDescent="0.35">
      <c r="A19" s="10"/>
      <c r="B19" s="31" t="s">
        <v>69</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AVERAGE(G28:J28)</f>
        <v>0.72134257435984139</v>
      </c>
      <c r="D28" s="26"/>
      <c r="E28" s="306" t="s">
        <v>365</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365</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AVERAGE(G33:J33)</f>
        <v>-302359.25</v>
      </c>
      <c r="E33" s="306" t="s">
        <v>365</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365</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366</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379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374</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1.4501413508729523E-2</v>
      </c>
      <c r="E53" s="305" t="s">
        <v>367</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91</v>
      </c>
      <c r="C54" s="84">
        <f>G54</f>
        <v>2.9286626219579916E-2</v>
      </c>
      <c r="E54" s="305" t="s">
        <v>368</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94</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369</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3.8696911822371505E-2</v>
      </c>
      <c r="D78" s="27"/>
      <c r="E78" s="306" t="s">
        <v>391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8.8311688311688313E-2</v>
      </c>
      <c r="E93" s="308"/>
      <c r="G93" s="23">
        <f t="shared" ref="G93:Q93" si="39">IF(G$4="","",G90/Market_Price)</f>
        <v>8.8311688311688313E-2</v>
      </c>
      <c r="H93" s="23">
        <f t="shared" si="39"/>
        <v>7.1428571428571438E-2</v>
      </c>
      <c r="I93" s="23">
        <f t="shared" si="39"/>
        <v>7.1428571428571438E-2</v>
      </c>
      <c r="J93" s="23">
        <f t="shared" si="39"/>
        <v>6.4935064935064929E-2</v>
      </c>
      <c r="K93" s="23">
        <f t="shared" si="39"/>
        <v>6.4935064935064929E-2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0.11220688437465126</v>
      </c>
      <c r="D121" s="27"/>
      <c r="E121" s="305"/>
      <c r="F121" s="27"/>
      <c r="G121" s="79">
        <f t="shared" ref="G121" si="50">IF(G$4="","",G120/Market_Price)</f>
        <v>0.14283465411177845</v>
      </c>
      <c r="H121" s="79">
        <f t="shared" ref="H121" si="51">IF(H$4="","",H120/Market_Price)</f>
        <v>0.14848715293043416</v>
      </c>
      <c r="I121" s="79">
        <f t="shared" ref="I121" si="52">IF(I$4="","",I120/Market_Price)</f>
        <v>0.12453172790635134</v>
      </c>
      <c r="J121" s="79">
        <f t="shared" ref="J121" si="53">IF(J$4="","",J120/Market_Price)</f>
        <v>0.11977174613001328</v>
      </c>
      <c r="K121" s="79">
        <f t="shared" ref="K121" si="54">IF(K$4="","",K120/Market_Price)</f>
        <v>0.10380057865403984</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1014514.1566621615</v>
      </c>
      <c r="D4" t="str">
        <f>Reporting_currency</f>
        <v>HKD</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12681426.958277019</v>
      </c>
      <c r="D6" t="str">
        <f>Reporting_currency</f>
        <v>HKD</v>
      </c>
      <c r="E6" s="344" t="s">
        <v>255</v>
      </c>
      <c r="F6" s="344"/>
      <c r="H6" s="124"/>
    </row>
    <row r="7" spans="2:8" x14ac:dyDescent="0.35">
      <c r="B7" s="152" t="s">
        <v>228</v>
      </c>
      <c r="C7" s="232">
        <f>BS!G31</f>
        <v>2034922</v>
      </c>
      <c r="D7" t="str">
        <f>Reporting_currency</f>
        <v>HKD</v>
      </c>
      <c r="E7" s="344"/>
      <c r="F7" s="344"/>
      <c r="H7" s="124"/>
    </row>
    <row r="8" spans="2:8" x14ac:dyDescent="0.35">
      <c r="B8" s="152" t="s">
        <v>229</v>
      </c>
      <c r="C8" s="207">
        <f>BS!D66</f>
        <v>1050246.6606106577</v>
      </c>
      <c r="D8" t="str">
        <f>Reporting_currency</f>
        <v>HKD</v>
      </c>
      <c r="E8" s="344"/>
      <c r="F8" s="344"/>
      <c r="H8" s="124"/>
    </row>
    <row r="9" spans="2:8" x14ac:dyDescent="0.35">
      <c r="B9" s="233" t="s">
        <v>194</v>
      </c>
      <c r="C9" s="235">
        <f>BS!H42</f>
        <v>92572.6</v>
      </c>
      <c r="D9" t="str">
        <f>Reporting_currency</f>
        <v>HKD</v>
      </c>
      <c r="E9" s="344"/>
      <c r="F9" s="344"/>
      <c r="H9" s="124"/>
    </row>
    <row r="10" spans="2:8" ht="13.15" x14ac:dyDescent="0.4">
      <c r="B10" s="153" t="s">
        <v>231</v>
      </c>
      <c r="C10" s="238">
        <f>C6-C7+C8+C9</f>
        <v>11789324.218887676</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20.080338252823015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6.4006284479398504E-3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20.512359193543752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104</v>
      </c>
      <c r="F52" s="141">
        <f>SUM(F21:F51)</f>
        <v>12935069.843938548</v>
      </c>
      <c r="H52" s="124"/>
    </row>
    <row r="53" spans="1:8" x14ac:dyDescent="0.35">
      <c r="C53" s="118"/>
      <c r="H53" s="124"/>
    </row>
    <row r="54" spans="1:8" ht="13.15" x14ac:dyDescent="0.35">
      <c r="B54" s="123" t="s">
        <v>133</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-15.4</v>
      </c>
    </row>
    <row r="4" spans="2:9" x14ac:dyDescent="0.35">
      <c r="B4" s="156" t="s">
        <v>150</v>
      </c>
      <c r="C4" s="124">
        <v>3</v>
      </c>
      <c r="D4" s="124"/>
      <c r="E4" s="159" t="s">
        <v>154</v>
      </c>
      <c r="F4" s="159"/>
      <c r="H4" s="282">
        <v>1</v>
      </c>
      <c r="I4" s="270">
        <f t="shared" ref="I4:I13" si="0">IF(ROW()-3 &lt; $C$76, $C$77, IF(ROW()-3 = $C$76, $C$77 + $C$60, ""))</f>
        <v>1.36</v>
      </c>
    </row>
    <row r="5" spans="2:9" x14ac:dyDescent="0.35">
      <c r="H5" s="282">
        <v>2</v>
      </c>
      <c r="I5" s="270">
        <f t="shared" si="0"/>
        <v>1.36</v>
      </c>
    </row>
    <row r="6" spans="2:9" ht="13.15" x14ac:dyDescent="0.4">
      <c r="B6" s="163" t="s">
        <v>99</v>
      </c>
      <c r="C6" s="110">
        <f>Valuation_Model!C3</f>
        <v>1000</v>
      </c>
      <c r="E6" s="103" t="s">
        <v>297</v>
      </c>
      <c r="F6" s="103"/>
      <c r="H6" s="282">
        <v>3</v>
      </c>
      <c r="I6" s="270">
        <f t="shared" si="0"/>
        <v>21.868980461992876</v>
      </c>
    </row>
    <row r="7" spans="2:9" ht="12.75" customHeight="1" x14ac:dyDescent="0.35">
      <c r="B7" s="103" t="s">
        <v>291</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69</v>
      </c>
      <c r="C8" s="118">
        <f>Normalized_FCF!G19</f>
        <v>1291433.9388883226</v>
      </c>
      <c r="D8" t="str">
        <f>Reporting_currency</f>
        <v>HKD</v>
      </c>
      <c r="E8" s="346"/>
      <c r="F8" s="346"/>
      <c r="H8" s="282">
        <v>5</v>
      </c>
      <c r="I8" s="270" t="str">
        <f t="shared" si="0"/>
        <v/>
      </c>
    </row>
    <row r="9" spans="2:9" x14ac:dyDescent="0.35">
      <c r="B9" s="103" t="s">
        <v>60</v>
      </c>
      <c r="C9" s="207">
        <f>Normalized_FCF!C19</f>
        <v>1014514.1566621615</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0.20035451325595277</v>
      </c>
      <c r="D12" s="162"/>
      <c r="E12" s="346"/>
      <c r="F12" s="346"/>
      <c r="H12" s="282">
        <v>9</v>
      </c>
      <c r="I12" s="270" t="str">
        <f t="shared" si="0"/>
        <v/>
      </c>
    </row>
    <row r="13" spans="2:9" x14ac:dyDescent="0.35">
      <c r="B13" s="152" t="s">
        <v>156</v>
      </c>
      <c r="C13" s="162">
        <f ca="1">(Normalized_FCF!G8/OFFSET(Normalized_FCF!G8, 0, $C$4))^(1/$C$4) - 1</f>
        <v>0.26016796976901468</v>
      </c>
      <c r="E13" s="346"/>
      <c r="F13" s="346"/>
      <c r="H13" s="282">
        <v>10</v>
      </c>
      <c r="I13" s="270" t="str">
        <f t="shared" si="0"/>
        <v/>
      </c>
    </row>
    <row r="14" spans="2:9" x14ac:dyDescent="0.35">
      <c r="B14" s="103" t="s">
        <v>69</v>
      </c>
      <c r="C14" s="162">
        <f ca="1">(Normalized_FCF!G19/OFFSET(Normalized_FCF!G19, 0, $C$4))^(1/$C$4) - 1</f>
        <v>6.0457013634429568E-2</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5</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15.4</v>
      </c>
      <c r="D21" t="str">
        <f>Market_currency</f>
        <v>HKD</v>
      </c>
      <c r="E21" s="347"/>
      <c r="F21" s="347"/>
    </row>
    <row r="22" spans="2:6" x14ac:dyDescent="0.35">
      <c r="B22" s="103" t="s">
        <v>296</v>
      </c>
      <c r="C22" s="164">
        <f>Valuation_Model!C12</f>
        <v>20.080338252823015</v>
      </c>
      <c r="D22" t="str">
        <f>Market_currency</f>
        <v>HKD</v>
      </c>
      <c r="E22" s="347"/>
      <c r="F22" s="347"/>
    </row>
    <row r="24" spans="2:6" ht="13.15" x14ac:dyDescent="0.4">
      <c r="B24" s="163" t="s">
        <v>119</v>
      </c>
      <c r="E24" s="163" t="s">
        <v>153</v>
      </c>
      <c r="F24" s="163"/>
    </row>
    <row r="25" spans="2:6" x14ac:dyDescent="0.35">
      <c r="B25" s="156" t="s">
        <v>137</v>
      </c>
      <c r="C25" s="170">
        <f>C18</f>
        <v>5</v>
      </c>
      <c r="D25" s="167"/>
      <c r="E25" s="345"/>
      <c r="F25" s="345"/>
    </row>
    <row r="26" spans="2:6" x14ac:dyDescent="0.35">
      <c r="B26" s="122" t="s">
        <v>138</v>
      </c>
      <c r="C26" s="168">
        <v>0.02</v>
      </c>
      <c r="D26" s="168"/>
      <c r="E26" s="345"/>
      <c r="F26" s="345"/>
    </row>
    <row r="27" spans="2:6" x14ac:dyDescent="0.35">
      <c r="B27" s="103" t="s">
        <v>117</v>
      </c>
      <c r="C27" s="164">
        <f>Valuation_Model!E76</f>
        <v>20.777261684426229</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5</v>
      </c>
      <c r="D31" s="167"/>
      <c r="E31" s="345"/>
      <c r="F31" s="345"/>
    </row>
    <row r="32" spans="2:6" x14ac:dyDescent="0.35">
      <c r="B32" s="122" t="s">
        <v>138</v>
      </c>
      <c r="C32" s="168">
        <v>-0.05</v>
      </c>
      <c r="D32" s="168"/>
      <c r="E32" s="345"/>
      <c r="F32" s="345"/>
    </row>
    <row r="33" spans="2:6" x14ac:dyDescent="0.35">
      <c r="B33" s="103" t="s">
        <v>117</v>
      </c>
      <c r="C33" s="164">
        <f>Valuation_Model!E77</f>
        <v>18.42358674753498</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5</v>
      </c>
      <c r="D37" s="167"/>
      <c r="E37" s="345"/>
      <c r="F37" s="345"/>
    </row>
    <row r="38" spans="2:6" x14ac:dyDescent="0.35">
      <c r="B38" s="122" t="s">
        <v>138</v>
      </c>
      <c r="C38" s="168">
        <v>0.05</v>
      </c>
      <c r="D38" s="168"/>
      <c r="E38" s="345"/>
      <c r="F38" s="345"/>
    </row>
    <row r="39" spans="2:6" x14ac:dyDescent="0.35">
      <c r="B39" s="103" t="s">
        <v>117</v>
      </c>
      <c r="C39" s="164">
        <f>Valuation_Model!E75</f>
        <v>21.862068001465992</v>
      </c>
      <c r="D39" t="str">
        <f>Market_currency</f>
        <v>HKD</v>
      </c>
      <c r="E39" s="345"/>
      <c r="F39" s="345"/>
    </row>
    <row r="40" spans="2:6" x14ac:dyDescent="0.35">
      <c r="B40" s="103" t="s">
        <v>151</v>
      </c>
      <c r="C40" s="171">
        <f>1-C28-C34</f>
        <v>0.2</v>
      </c>
      <c r="D40" s="169"/>
      <c r="E40" s="345"/>
      <c r="F40" s="345"/>
    </row>
    <row r="42" spans="2:6" ht="13.15" x14ac:dyDescent="0.4">
      <c r="B42" s="103" t="s">
        <v>124</v>
      </c>
      <c r="C42" s="158">
        <f>C27*C28+C33*C34+C39*C40</f>
        <v>20.523487960455931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10</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10</v>
      </c>
      <c r="D49" s="167"/>
      <c r="E49" s="345"/>
      <c r="F49" s="345"/>
    </row>
    <row r="50" spans="2:6" x14ac:dyDescent="0.35">
      <c r="B50" s="122" t="s">
        <v>138</v>
      </c>
      <c r="C50" s="168">
        <v>-0.08</v>
      </c>
      <c r="D50" s="168"/>
      <c r="E50" s="345"/>
      <c r="F50" s="345"/>
    </row>
    <row r="51" spans="2:6" x14ac:dyDescent="0.35">
      <c r="B51" s="103" t="s">
        <v>117</v>
      </c>
      <c r="C51" s="164">
        <f>Valuation_Model!E78</f>
        <v>15.621773465843134</v>
      </c>
      <c r="D51" t="str">
        <f>Market_currency</f>
        <v>HKD</v>
      </c>
      <c r="E51" s="345"/>
      <c r="F51" s="345"/>
    </row>
    <row r="52" spans="2:6" x14ac:dyDescent="0.35">
      <c r="B52" s="103" t="s">
        <v>151</v>
      </c>
      <c r="C52" s="169">
        <v>0.02</v>
      </c>
      <c r="D52" s="169"/>
      <c r="E52" s="345"/>
      <c r="F52" s="345"/>
    </row>
    <row r="54" spans="2:6" ht="13.15" x14ac:dyDescent="0.4">
      <c r="B54" s="163" t="s">
        <v>345</v>
      </c>
      <c r="E54" s="163" t="s">
        <v>153</v>
      </c>
      <c r="F54" s="163"/>
    </row>
    <row r="55" spans="2:6" x14ac:dyDescent="0.35">
      <c r="B55" s="156" t="s">
        <v>137</v>
      </c>
      <c r="C55" s="170">
        <f>C46</f>
        <v>10</v>
      </c>
      <c r="D55" s="167"/>
      <c r="E55" s="345"/>
      <c r="F55" s="345"/>
    </row>
    <row r="56" spans="2:6" x14ac:dyDescent="0.35">
      <c r="B56" s="122" t="s">
        <v>138</v>
      </c>
      <c r="C56" s="168">
        <v>0.06</v>
      </c>
      <c r="D56" s="168"/>
      <c r="E56" s="345"/>
      <c r="F56" s="345"/>
    </row>
    <row r="57" spans="2:6" x14ac:dyDescent="0.35">
      <c r="B57" s="103" t="s">
        <v>117</v>
      </c>
      <c r="C57" s="164">
        <f>Valuation_Model!E74</f>
        <v>24.69982753191616</v>
      </c>
      <c r="D57" t="str">
        <f>Market_currency</f>
        <v>HKD</v>
      </c>
      <c r="E57" s="345"/>
      <c r="F57" s="345"/>
    </row>
    <row r="58" spans="2:6" x14ac:dyDescent="0.35">
      <c r="B58" s="103" t="s">
        <v>151</v>
      </c>
      <c r="C58" s="169">
        <v>0.02</v>
      </c>
      <c r="D58" s="169"/>
      <c r="E58" s="345"/>
      <c r="F58" s="345"/>
    </row>
    <row r="60" spans="2:6" ht="13.15" x14ac:dyDescent="0.4">
      <c r="B60" s="103" t="s">
        <v>124</v>
      </c>
      <c r="C60" s="158">
        <f>C51*C52+C57*C58+C42*(1-C52-C58)</f>
        <v>20.508980461992877</v>
      </c>
      <c r="D60" t="str">
        <f>Market_currency</f>
        <v>HKD</v>
      </c>
      <c r="E60" s="103" t="s">
        <v>322</v>
      </c>
      <c r="F60" s="318">
        <f>Thesis!E20</f>
        <v>3</v>
      </c>
    </row>
    <row r="62" spans="2:6" ht="13.9" x14ac:dyDescent="0.45">
      <c r="B62" s="36" t="s">
        <v>383</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6.4006284479398504E-3</v>
      </c>
      <c r="D65" s="155"/>
      <c r="E65" s="287" t="s">
        <v>341</v>
      </c>
    </row>
    <row r="66" spans="2:6" x14ac:dyDescent="0.35">
      <c r="B66" s="103" t="s">
        <v>106</v>
      </c>
      <c r="C66" s="164">
        <f>Valuation_Model!C18</f>
        <v>20.512359193543752</v>
      </c>
      <c r="D66" s="164" t="str">
        <f>Market_currency</f>
        <v>HKD</v>
      </c>
      <c r="E66" s="287" t="s">
        <v>342</v>
      </c>
    </row>
    <row r="68" spans="2:6" ht="13.15" x14ac:dyDescent="0.4">
      <c r="B68" s="112" t="s">
        <v>384</v>
      </c>
      <c r="E68" s="288" t="s">
        <v>343</v>
      </c>
    </row>
    <row r="69" spans="2:6" x14ac:dyDescent="0.35">
      <c r="B69" s="103" t="s">
        <v>331</v>
      </c>
      <c r="C69" s="279" t="str">
        <f>IF(C60&lt;C22,"Y","N")</f>
        <v>N</v>
      </c>
      <c r="E69" s="138"/>
    </row>
    <row r="70" spans="2:6" x14ac:dyDescent="0.35">
      <c r="B70" s="103" t="s">
        <v>319</v>
      </c>
      <c r="C70" s="279" t="str">
        <f>IF(C69="Y","N",IF(C65&gt;8%,"N","Y"))</f>
        <v>Y</v>
      </c>
      <c r="E70" s="287" t="s">
        <v>320</v>
      </c>
    </row>
    <row r="71" spans="2:6" x14ac:dyDescent="0.35">
      <c r="B71" s="103" t="s">
        <v>318</v>
      </c>
      <c r="C71" s="279" t="str">
        <f>IF(C65&gt;8%,"Y","N")</f>
        <v>N</v>
      </c>
      <c r="E71" s="287"/>
    </row>
    <row r="72" spans="2:6" x14ac:dyDescent="0.35">
      <c r="B72" s="103" t="s">
        <v>310</v>
      </c>
      <c r="C72" s="278" t="str">
        <f>IF(F72&gt;50%,"Y","N")</f>
        <v>N</v>
      </c>
      <c r="E72" s="138" t="s">
        <v>380</v>
      </c>
      <c r="F72" s="335">
        <f>BS!D89/C60</f>
        <v>-7.4088860346483723E-2</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1.36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2.8648148148148147</v>
      </c>
      <c r="D81" s="120"/>
      <c r="E81" s="103"/>
      <c r="F81" s="103"/>
    </row>
    <row r="82" spans="2:8" x14ac:dyDescent="0.35">
      <c r="B82" s="103" t="s">
        <v>126</v>
      </c>
      <c r="C82" s="120">
        <f>C60/(1+C80)^C76</f>
        <v>11.868622952542175</v>
      </c>
      <c r="D82" s="120"/>
    </row>
    <row r="83" spans="2:8" ht="13.15" x14ac:dyDescent="0.4">
      <c r="B83" s="114" t="s">
        <v>105</v>
      </c>
      <c r="C83" s="115">
        <f>C81+C82</f>
        <v>14.733437767356989</v>
      </c>
      <c r="D83" t="str">
        <f>Market_currency</f>
        <v>HKD</v>
      </c>
      <c r="E83" s="150" t="s">
        <v>130</v>
      </c>
      <c r="F83" s="335">
        <f>(1-C83/C60)</f>
        <v>0.28161042453275964</v>
      </c>
    </row>
    <row r="84" spans="2:8" x14ac:dyDescent="0.35">
      <c r="E84" s="124"/>
    </row>
    <row r="85" spans="2:8" ht="13.15" x14ac:dyDescent="0.4">
      <c r="B85" s="112" t="s">
        <v>328</v>
      </c>
    </row>
    <row r="86" spans="2:8" x14ac:dyDescent="0.35">
      <c r="B86" s="152" t="s">
        <v>326</v>
      </c>
      <c r="C86" s="272">
        <f>Market_Price</f>
        <v>15.4</v>
      </c>
      <c r="D86" t="str">
        <f>Market_currency</f>
        <v>HKD</v>
      </c>
    </row>
    <row r="87" spans="2:8" ht="13.15" x14ac:dyDescent="0.4">
      <c r="B87" s="103" t="s">
        <v>324</v>
      </c>
      <c r="C87" s="271">
        <f ca="1">IRR(OFFSET($I$3, 0, 0, $C$76 + 1, 1))</f>
        <v>0.18108249888642258</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2025-04-03T13:17:32Z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