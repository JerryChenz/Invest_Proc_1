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889004A-0BB5-4CCB-8816-4F198193409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19" i="2" l="1"/>
  <c r="Q50" i="2"/>
  <c r="Q48" i="2"/>
  <c r="O19" i="2"/>
  <c r="O50" i="2"/>
  <c r="O48" i="2"/>
  <c r="L19" i="2"/>
  <c r="L48" i="2"/>
  <c r="L50" i="2"/>
  <c r="M19" i="2"/>
  <c r="M48" i="2"/>
  <c r="M50" i="2"/>
  <c r="N19" i="2"/>
  <c r="N50" i="2"/>
  <c r="N48" i="2"/>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L12" i="2"/>
  <c r="L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O12" i="2"/>
  <c r="M12" i="2"/>
  <c r="M80" i="2" s="1"/>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D76" i="3" s="1"/>
  <c r="D75" i="3"/>
  <c r="C6" i="9"/>
  <c r="C48" i="2" l="1"/>
  <c r="D66" i="3"/>
  <c r="C8" i="8" s="1"/>
  <c r="Q112" i="2"/>
  <c r="O112" i="2"/>
  <c r="P112" i="2"/>
  <c r="J48" i="2" l="1"/>
  <c r="J50" i="2" s="1"/>
  <c r="J12" i="2" s="1"/>
  <c r="K48" i="2"/>
  <c r="K50" i="2" s="1"/>
  <c r="K12" i="2" s="1"/>
  <c r="I48" i="2"/>
  <c r="I50" i="2" s="1"/>
  <c r="I12" i="2" s="1"/>
  <c r="C90" i="6"/>
  <c r="C91" i="6" s="1"/>
  <c r="C87" i="3"/>
  <c r="D87" i="3" s="1"/>
  <c r="C40" i="6"/>
  <c r="H48" i="2"/>
  <c r="H50" i="2" s="1"/>
  <c r="H12" i="2" s="1"/>
  <c r="G48" i="2"/>
  <c r="G50" i="2" s="1"/>
  <c r="G12" i="2" s="1"/>
  <c r="C73" i="2"/>
  <c r="C41" i="3"/>
  <c r="I80" i="2" l="1"/>
  <c r="I43" i="2"/>
  <c r="K80" i="2"/>
  <c r="K43" i="2"/>
  <c r="J80" i="2"/>
  <c r="J43" i="2"/>
  <c r="H80" i="2"/>
  <c r="H43" i="2"/>
  <c r="G80" i="2"/>
  <c r="G43" i="2"/>
  <c r="C31" i="3"/>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<sst xmlns="http://schemas.openxmlformats.org/spreadsheetml/2006/main" count="562" uniqueCount="392">
  <si>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</si>
  <si>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</si>
  <si>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</si>
  <si>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</si>
  <si>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</si>
  <si>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</si>
  <si>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</si>
  <si>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</si>
  <si>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</si>
  <si>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</si>
  <si>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</si>
  <si>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</si>
  <si>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</si>
  <si>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</si>
  <si>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</si>
  <si>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</si>
  <si>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</si>
  <si>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</si>
  <si>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</si>
  <si>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</si>
  <si>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</si>
  <si>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</si>
  <si>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</si>
  <si>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</si>
  <si>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</si>
  <si>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</si>
  <si>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</si>
  <si>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</si>
  <si>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</si>
  <si>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</si>
  <si>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</si>
  <si>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</si>
  <si>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</si>
  <si>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</si>
  <si>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</si>
  <si>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</si>
  <si>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</si>
  <si>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</si>
  <si>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</si>
  <si>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</si>
  <si>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</si>
  <si>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</si>
  <si>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</si>
  <si>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</si>
  <si>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</si>
  <si>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</si>
  <si>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</si>
  <si>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</si>
  <si>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</si>
  <si>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</si>
  <si>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</si>
  <si>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</si>
  <si>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</si>
  <si>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</si>
  <si>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</si>
  <si>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</si>
  <si>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</si>
  <si>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</si>
  <si>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</si>
  <si>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</si>
  <si>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</si>
  <si>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</si>
  <si>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</si>
  <si>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</si>
  <si>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</si>
  <si>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</si>
  <si>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</si>
  <si>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</si>
  <si>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</si>
  <si>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</si>
  <si>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</si>
  <si>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</si>
  <si>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</si>
  <si>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</si>
  <si>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</si>
  <si>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</si>
  <si>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</si>
  <si>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</si>
  <si>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</si>
  <si>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</si>
  <si>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</si>
  <si>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</si>
  <si>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</si>
  <si>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</si>
  <si>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</si>
  <si>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</si>
  <si>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</si>
  <si>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</si>
  <si>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</si>
  <si>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</si>
  <si>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</si>
  <si>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</si>
  <si>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</si>
  <si>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</si>
  <si>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</si>
  <si>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</si>
  <si>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</si>
  <si>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</si>
  <si>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</si>
  <si>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</si>
  <si>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</si>
  <si>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</si>
  <si>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</si>
  <si>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</si>
  <si>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</si>
  <si>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</si>
  <si>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</si>
  <si>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</si>
  <si>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</si>
  <si>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</si>
  <si>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</si>
  <si>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</si>
  <si>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</si>
  <si>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</si>
  <si>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</si>
  <si>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</si>
  <si>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</si>
  <si>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</si>
  <si>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</si>
  <si>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</si>
  <si>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</si>
  <si>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</si>
  <si>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</si>
  <si>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</si>
  <si>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</si>
  <si>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</si>
  <si>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</si>
  <si>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</si>
  <si>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</si>
  <si>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</si>
  <si>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</si>
  <si>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</si>
  <si>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</si>
  <si>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</si>
  <si>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</si>
  <si>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</si>
  <si>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</si>
  <si>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</si>
  <si>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</si>
  <si>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</si>
  <si>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</si>
  <si>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</si>
  <si>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</si>
  <si>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</si>
  <si>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</si>
  <si>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</si>
  <si>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</si>
  <si>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</si>
  <si>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</si>
  <si>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</si>
  <si>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</si>
  <si>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</si>
  <si>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</si>
  <si>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</si>
  <si>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</si>
  <si>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</si>
  <si>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</si>
  <si>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</si>
  <si>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</si>
  <si>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</si>
  <si>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</si>
  <si>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</si>
  <si>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</si>
  <si>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</si>
  <si>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</si>
  <si>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</si>
  <si>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</si>
  <si>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</si>
  <si>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</si>
  <si>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</si>
  <si>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</si>
  <si>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</si>
  <si>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</si>
  <si>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</si>
  <si>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</si>
  <si>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</si>
  <si>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</si>
  <si>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</si>
  <si>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</si>
  <si>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</si>
  <si>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</si>
  <si>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</si>
  <si>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</si>
  <si>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</si>
  <si>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</si>
  <si>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</si>
  <si>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</si>
  <si>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</si>
  <si>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</si>
  <si>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</si>
  <si>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</si>
  <si>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</si>
  <si>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</si>
  <si>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</si>
  <si>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</si>
  <si>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</si>
  <si>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</si>
  <si>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</si>
  <si>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</si>
  <si>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</si>
  <si>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</si>
  <si>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</si>
  <si>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</si>
  <si>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</si>
  <si>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</si>
  <si>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</si>
  <si>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</si>
  <si>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</si>
  <si>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</si>
  <si>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</si>
  <si>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</si>
  <si>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</si>
  <si>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</si>
  <si>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</si>
  <si>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</si>
  <si>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</si>
  <si>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</si>
  <si>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</si>
  <si>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</si>
  <si>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</si>
  <si>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</si>
  <si>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</si>
  <si>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</si>
  <si>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</si>
  <si>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</si>
  <si>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</si>
  <si>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</si>
  <si>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</si>
  <si>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</si>
  <si>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</si>
  <si>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</si>
  <si>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</si>
  <si>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</si>
  <si>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</si>
  <si>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</si>
  <si>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</si>
  <si>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</si>
  <si>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</si>
  <si>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</si>
  <si>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</si>
  <si>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</si>
  <si>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</si>
  <si>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</si>
  <si>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</si>
  <si>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</si>
  <si>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</si>
  <si>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</si>
  <si>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</si>
  <si>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</si>
  <si>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</si>
  <si>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</si>
  <si>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</si>
  <si>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</si>
  <si>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</si>
  <si>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</si>
  <si>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</si>
  <si>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</si>
  <si>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</si>
  <si>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</si>
  <si>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</si>
  <si>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</si>
  <si>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</si>
  <si>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</si>
  <si>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</si>
  <si>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</si>
  <si>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</si>
  <si>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</si>
  <si>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</si>
  <si>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</si>
  <si>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</si>
  <si>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</si>
  <si>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</si>
  <si>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</si>
  <si>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</si>
  <si>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</si>
  <si>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</si>
  <si>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</si>
  <si>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</si>
  <si>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</si>
  <si>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</si>
  <si>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</si>
  <si>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</si>
  <si>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</si>
  <si>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</si>
  <si>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</si>
  <si>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</si>
  <si>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</si>
  <si>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</si>
  <si>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</si>
  <si>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</si>
  <si>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</si>
  <si>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</si>
  <si>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</si>
  <si>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</si>
  <si>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</si>
  <si>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</si>
  <si>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</si>
  <si>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</si>
  <si>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</si>
  <si>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</si>
  <si>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</si>
  <si>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</si>
  <si>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</si>
  <si>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</si>
  <si>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</si>
  <si>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</si>
  <si>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</si>
  <si>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</si>
  <si>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</si>
  <si>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</si>
  <si>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</si>
  <si>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</si>
  <si>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</si>
  <si>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</si>
  <si>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</si>
  <si>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</si>
  <si>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</si>
  <si>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</si>
  <si>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</si>
  <si>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</si>
  <si>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</si>
  <si>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</si>
  <si>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</si>
  <si>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</si>
  <si>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</si>
  <si>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</si>
  <si>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</si>
  <si>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</si>
  <si>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</si>
  <si>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</si>
  <si>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</si>
  <si>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</si>
  <si>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</si>
  <si>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</si>
  <si>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</si>
  <si>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</si>
  <si>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</si>
  <si>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</si>
  <si>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</si>
  <si>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</si>
  <si>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</si>
  <si>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</si>
  <si>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</si>
  <si>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</si>
  <si>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</si>
  <si>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</si>
  <si>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</si>
  <si>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</si>
  <si>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</si>
  <si>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</si>
  <si>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</si>
  <si>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</si>
  <si>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</si>
  <si>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</si>
  <si>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</si>
  <si>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</si>
  <si>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</si>
  <si>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</si>
  <si>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</si>
  <si>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</si>
  <si>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</si>
  <si>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</si>
  <si>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</si>
  <si>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</si>
  <si>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</si>
  <si>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</si>
  <si>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</si>
  <si>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</si>
  <si>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</si>
  <si>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</si>
  <si>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</si>
  <si>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</si>
  <si>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</si>
  <si>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</si>
  <si>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</si>
  <si>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</si>
  <si>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</si>
  <si>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</si>
  <si>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</si>
  <si>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</si>
  <si>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</si>
  <si>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</si>
  <si>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</si>
  <si>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</si>
  <si>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</si>
  <si>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</si>
  <si>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</si>
  <si>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</si>
  <si>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六福珠宝</t>
    <phoneticPr fontId="2" type="noConversion"/>
  </si>
  <si>
    <t>0590.HK</t>
    <phoneticPr fontId="2" type="noConversion"/>
  </si>
  <si>
    <t>CNS_05</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</si>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</sst>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43</v>
      </c>
      <c r="C1" s="44">
        <v>45730</v>
      </c>
      <c r="D1" s="52"/>
      <c r="E1" s="337" t="s">
        <v>387</v>
      </c>
      <c r="F1" s="290" t="s">
        <v>306</v>
      </c>
    </row>
    <row r="2" spans="1:10" ht="13.9" x14ac:dyDescent="0.45">
      <c r="A2" s="253" t="s">
        <v>280</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344</v>
      </c>
      <c r="C5" s="48" t="s">
        <v>388</v>
      </c>
      <c r="D5" s="49" t="s">
        <v>389</v>
      </c>
    </row>
    <row r="6" spans="1:10" x14ac:dyDescent="0.35">
      <c r="B6" s="4" t="s">
        <v>98</v>
      </c>
      <c r="C6" s="50">
        <v>14.94</v>
      </c>
      <c r="D6" s="48" t="s">
        <v>42</v>
      </c>
      <c r="E6" s="48"/>
    </row>
    <row r="7" spans="1:10" x14ac:dyDescent="0.35">
      <c r="B7" s="4" t="s">
        <v>0</v>
      </c>
      <c r="C7" s="51">
        <v>587107850</v>
      </c>
      <c r="D7" s="34"/>
      <c r="E7" s="34"/>
    </row>
    <row r="8" spans="1:10" x14ac:dyDescent="0.35">
      <c r="B8" s="2" t="s">
        <v>333</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8771.3912789999995</v>
      </c>
      <c r="D10" s="32"/>
      <c r="E10" s="5"/>
    </row>
    <row r="11" spans="1:10" x14ac:dyDescent="0.35">
      <c r="D11" s="5"/>
      <c r="E11" s="5"/>
    </row>
    <row r="12" spans="1:10" ht="24.4" customHeight="1" x14ac:dyDescent="0.35">
      <c r="B12" s="339" t="s">
        <v>285</v>
      </c>
      <c r="C12" s="339"/>
      <c r="D12" s="339"/>
      <c r="E12" s="339"/>
      <c r="F12" s="339"/>
    </row>
    <row r="14" spans="1:10" x14ac:dyDescent="0.35">
      <c r="B14" s="45" t="s">
        <v>332</v>
      </c>
      <c r="C14" s="46"/>
      <c r="D14" s="5"/>
    </row>
    <row r="15" spans="1:10" x14ac:dyDescent="0.35">
      <c r="B15" s="2" t="s">
        <v>382</v>
      </c>
      <c r="C15" s="32" t="str">
        <f>IF(Scenarios!C69="Y",Scenarios!B69,"")&amp;IF(Scenarios!C70="Y",Scenarios!B70,"")&amp;IF(Scenarios!C71="Y",Scenarios!B71,"")&amp;" "&amp;IF(Scenarios!C72="Y",Scenarios!B72,"")</f>
        <v xml:space="preserve">Low Growth </v>
      </c>
      <c r="E15" s="5"/>
    </row>
    <row r="16" spans="1:10" x14ac:dyDescent="0.35">
      <c r="B16" s="4" t="s">
        <v>381</v>
      </c>
      <c r="C16" s="48" t="s">
        <v>42</v>
      </c>
      <c r="D16" s="32"/>
      <c r="E16" s="5"/>
    </row>
    <row r="17" spans="1:6" x14ac:dyDescent="0.35">
      <c r="B17" s="4" t="s">
        <v>1</v>
      </c>
      <c r="C17" s="50">
        <v>1</v>
      </c>
      <c r="D17" s="32" t="str">
        <f>IF(C16=D6,D6,C16&amp;"/"&amp;D6)</f>
        <v>HKD</v>
      </c>
      <c r="E17" s="5"/>
    </row>
    <row r="18" spans="1:6" x14ac:dyDescent="0.35">
      <c r="B18" s="2" t="s">
        <v>59</v>
      </c>
      <c r="C18" s="48" t="s">
        <v>390</v>
      </c>
      <c r="E18" s="5"/>
    </row>
    <row r="19" spans="1:6" x14ac:dyDescent="0.35">
      <c r="B19" s="2" t="s">
        <v>292</v>
      </c>
      <c r="C19" s="255">
        <v>0.2</v>
      </c>
      <c r="E19" s="5"/>
    </row>
    <row r="20" spans="1:6" x14ac:dyDescent="0.35">
      <c r="B20" s="2" t="str">
        <f>"Target Buy Price ("&amp;Market_currency&amp;"):"</f>
        <v>Target Buy Price (HKD):</v>
      </c>
      <c r="C20" s="258">
        <f>C127</f>
        <v>14.733437767356989</v>
      </c>
      <c r="D20" s="1" t="s">
        <v>335</v>
      </c>
      <c r="E20" s="336">
        <v>3</v>
      </c>
    </row>
    <row r="21" spans="1:6" x14ac:dyDescent="0.35">
      <c r="B21" s="1" t="s">
        <v>334</v>
      </c>
      <c r="C21" s="286">
        <f ca="1">Scenarios!C87</f>
        <v>0.19401142226230528</v>
      </c>
      <c r="D21" s="5"/>
      <c r="E21" s="5"/>
    </row>
    <row r="22" spans="1:6" x14ac:dyDescent="0.35">
      <c r="D22" s="5"/>
      <c r="E22" s="5"/>
    </row>
    <row r="23" spans="1:6" ht="13.9" x14ac:dyDescent="0.45">
      <c r="A23" s="253" t="s">
        <v>234</v>
      </c>
      <c r="B23" s="36"/>
      <c r="C23" s="36"/>
      <c r="D23" s="36"/>
      <c r="E23" s="36"/>
      <c r="F23" s="36"/>
    </row>
    <row r="25" spans="1:6" x14ac:dyDescent="0.35">
      <c r="B25" s="339" t="s">
        <v>235</v>
      </c>
      <c r="C25" s="339"/>
      <c r="D25" s="339"/>
      <c r="E25" s="339"/>
      <c r="F25" s="339"/>
    </row>
    <row r="26" spans="1:6" ht="24.4" customHeight="1" x14ac:dyDescent="0.35">
      <c r="B26" s="340" t="s">
        <v>371</v>
      </c>
      <c r="C26" s="340"/>
      <c r="D26" s="340"/>
      <c r="E26" s="340"/>
      <c r="F26" s="340"/>
    </row>
    <row r="28" spans="1:6" x14ac:dyDescent="0.35">
      <c r="B28" s="240" t="s">
        <v>236</v>
      </c>
      <c r="C28" s="111">
        <f>Data!C3</f>
        <v>1000</v>
      </c>
    </row>
    <row r="29" spans="1:6" ht="24.4" customHeight="1" x14ac:dyDescent="0.35">
      <c r="B29" s="338" t="s">
        <v>237</v>
      </c>
      <c r="C29" s="338"/>
      <c r="D29" s="338"/>
      <c r="E29" s="338"/>
      <c r="F29" s="338"/>
    </row>
    <row r="30" spans="1:6" x14ac:dyDescent="0.35">
      <c r="B30" s="47" t="s">
        <v>238</v>
      </c>
      <c r="C30" s="191">
        <f>Normalized_FCF!C8</f>
        <v>1398534.6033278927</v>
      </c>
      <c r="D30" s="1" t="str">
        <f>Reporting_currency</f>
        <v>HKD</v>
      </c>
    </row>
    <row r="31" spans="1:6" x14ac:dyDescent="0.35">
      <c r="B31" s="47"/>
      <c r="C31" s="78"/>
    </row>
    <row r="32" spans="1:6" ht="24.4" customHeight="1" x14ac:dyDescent="0.35">
      <c r="B32" s="338" t="s">
        <v>239</v>
      </c>
      <c r="C32" s="338"/>
      <c r="D32" s="338"/>
      <c r="E32" s="338"/>
      <c r="F32" s="338"/>
    </row>
    <row r="33" spans="2:6" x14ac:dyDescent="0.35">
      <c r="B33" s="47" t="s">
        <v>240</v>
      </c>
      <c r="C33" s="191">
        <f>Normalized_FCF!C9</f>
        <v>463424</v>
      </c>
      <c r="D33" s="1" t="str">
        <f>Reporting_currency</f>
        <v>HKD</v>
      </c>
    </row>
    <row r="34" spans="2:6" x14ac:dyDescent="0.35">
      <c r="B34" s="52" t="s">
        <v>241</v>
      </c>
      <c r="C34" s="191">
        <f>Normalized_FCF!C10</f>
        <v>-463424.00000000006</v>
      </c>
      <c r="D34" s="1" t="str">
        <f>Reporting_currency</f>
        <v>HKD</v>
      </c>
    </row>
    <row r="36" spans="2:6" x14ac:dyDescent="0.35">
      <c r="B36" s="338" t="s">
        <v>242</v>
      </c>
      <c r="C36" s="338"/>
      <c r="D36" s="338"/>
      <c r="E36" s="338"/>
      <c r="F36" s="338"/>
    </row>
    <row r="37" spans="2:6" x14ac:dyDescent="0.35">
      <c r="B37" s="47" t="s">
        <v>243</v>
      </c>
      <c r="C37" s="191">
        <f>Normalized_FCF!C11</f>
        <v>0</v>
      </c>
      <c r="D37" s="1" t="str">
        <f>Reporting_currency</f>
        <v>HKD</v>
      </c>
    </row>
    <row r="39" spans="2:6" x14ac:dyDescent="0.35">
      <c r="B39" s="338" t="s">
        <v>246</v>
      </c>
      <c r="C39" s="338"/>
      <c r="D39" s="338"/>
      <c r="E39" s="338"/>
      <c r="F39" s="338"/>
    </row>
    <row r="40" spans="2:6" x14ac:dyDescent="0.35">
      <c r="B40" s="47" t="s">
        <v>372</v>
      </c>
      <c r="C40" s="328">
        <f>Normalized_FCF!C48</f>
        <v>13746.938888322537</v>
      </c>
      <c r="D40" s="1" t="str">
        <f>Reporting_currency</f>
        <v>HKD</v>
      </c>
      <c r="E40" s="327"/>
      <c r="F40" s="327"/>
    </row>
    <row r="41" spans="2:6" x14ac:dyDescent="0.35">
      <c r="B41" s="47" t="s">
        <v>373</v>
      </c>
      <c r="C41" s="328">
        <f>Normalized_FCF!C47</f>
        <v>-59596</v>
      </c>
      <c r="D41" s="1" t="str">
        <f>Reporting_currency</f>
        <v>HKD</v>
      </c>
      <c r="E41" s="327"/>
      <c r="F41" s="327"/>
    </row>
    <row r="42" spans="2:6" x14ac:dyDescent="0.35">
      <c r="B42" s="47" t="s">
        <v>244</v>
      </c>
      <c r="C42" s="191">
        <f>Normalized_FCF!C12</f>
        <v>-45849.061111677467</v>
      </c>
      <c r="D42" s="1" t="str">
        <f>Reporting_currency</f>
        <v>HKD</v>
      </c>
    </row>
    <row r="44" spans="2:6" x14ac:dyDescent="0.35">
      <c r="B44" s="1" t="s">
        <v>252</v>
      </c>
    </row>
    <row r="45" spans="2:6" x14ac:dyDescent="0.35">
      <c r="B45" s="47" t="s">
        <v>278</v>
      </c>
      <c r="C45" s="191">
        <f>Normalized_FCF!C15</f>
        <v>0</v>
      </c>
      <c r="D45" s="1" t="str">
        <f>Reporting_currency</f>
        <v>HKD</v>
      </c>
    </row>
    <row r="47" spans="2:6" x14ac:dyDescent="0.35">
      <c r="B47" s="338" t="s">
        <v>247</v>
      </c>
      <c r="C47" s="338"/>
      <c r="D47" s="338"/>
      <c r="E47" s="338"/>
      <c r="F47" s="338"/>
    </row>
    <row r="48" spans="2:6" x14ac:dyDescent="0.35">
      <c r="B48" s="47" t="s">
        <v>245</v>
      </c>
      <c r="C48" s="191">
        <f>Normalized_FCF!C14</f>
        <v>-338171.38555405382</v>
      </c>
      <c r="D48" s="1" t="str">
        <f>Reporting_currency</f>
        <v>HKD</v>
      </c>
    </row>
    <row r="50" spans="1:6" x14ac:dyDescent="0.35">
      <c r="B50" s="338" t="s">
        <v>370</v>
      </c>
      <c r="C50" s="342"/>
      <c r="D50" s="342"/>
      <c r="E50" s="342"/>
      <c r="F50" s="342"/>
    </row>
    <row r="51" spans="1:6" x14ac:dyDescent="0.35">
      <c r="B51" s="47" t="s">
        <v>248</v>
      </c>
      <c r="C51" s="1">
        <f>Normalized_FCF!C17</f>
        <v>0</v>
      </c>
      <c r="D51" s="1" t="str">
        <f>Reporting_currency</f>
        <v>HKD</v>
      </c>
    </row>
    <row r="53" spans="1:6" ht="24.4" customHeight="1" x14ac:dyDescent="0.35">
      <c r="B53" s="339" t="s">
        <v>375</v>
      </c>
      <c r="C53" s="339"/>
      <c r="D53" s="339"/>
      <c r="E53" s="339"/>
      <c r="F53" s="339"/>
    </row>
    <row r="54" spans="1:6" ht="24.4" customHeight="1" x14ac:dyDescent="0.35">
      <c r="B54" s="339" t="s">
        <v>267</v>
      </c>
      <c r="C54" s="339"/>
      <c r="D54" s="339"/>
      <c r="E54" s="339"/>
      <c r="F54" s="339"/>
    </row>
    <row r="56" spans="1:6" x14ac:dyDescent="0.35">
      <c r="B56" s="47" t="s">
        <v>284</v>
      </c>
      <c r="C56" s="191">
        <f>Normalized_FCF!G19</f>
        <v>1291433.9388883226</v>
      </c>
      <c r="D56" s="1" t="str">
        <f>Reporting_currency</f>
        <v>HKD</v>
      </c>
    </row>
    <row r="57" spans="1:6" x14ac:dyDescent="0.35">
      <c r="B57" s="47" t="s">
        <v>254</v>
      </c>
      <c r="C57" s="191">
        <f>Normalized_FCF!C19</f>
        <v>1014514.1566621615</v>
      </c>
      <c r="D57" s="1" t="str">
        <f>Reporting_currency</f>
        <v>HKD</v>
      </c>
    </row>
    <row r="58" spans="1:6" x14ac:dyDescent="0.35">
      <c r="B58" s="260" t="s">
        <v>283</v>
      </c>
      <c r="C58" s="94">
        <f>Normalized_FCF!C121</f>
        <v>0.11566171481724427</v>
      </c>
    </row>
    <row r="59" spans="1:6" x14ac:dyDescent="0.35">
      <c r="B59" s="260" t="s">
        <v>336</v>
      </c>
      <c r="C59" s="94">
        <f>Normalized_FCF!C93</f>
        <v>9.1030789825970557E-2</v>
      </c>
    </row>
    <row r="61" spans="1:6" ht="13.9" x14ac:dyDescent="0.45">
      <c r="A61" s="253" t="s">
        <v>301</v>
      </c>
      <c r="B61" s="36"/>
      <c r="C61" s="36"/>
      <c r="D61" s="36"/>
      <c r="E61" s="36"/>
      <c r="F61" s="36"/>
    </row>
    <row r="62" spans="1:6" x14ac:dyDescent="0.35">
      <c r="A62" s="239"/>
    </row>
    <row r="63" spans="1:6" ht="24.4" customHeight="1" x14ac:dyDescent="0.35">
      <c r="A63" s="17"/>
      <c r="B63" s="338" t="s">
        <v>302</v>
      </c>
      <c r="C63" s="338"/>
      <c r="D63" s="338"/>
      <c r="E63" s="338"/>
      <c r="F63" s="338"/>
    </row>
    <row r="64" spans="1:6" x14ac:dyDescent="0.35">
      <c r="B64" s="340" t="s">
        <v>258</v>
      </c>
      <c r="C64" s="340"/>
      <c r="D64" s="340"/>
      <c r="E64" s="340"/>
      <c r="F64" s="340"/>
    </row>
    <row r="66" spans="1:6" x14ac:dyDescent="0.35">
      <c r="B66" s="240" t="s">
        <v>236</v>
      </c>
    </row>
    <row r="67" spans="1:6" x14ac:dyDescent="0.35">
      <c r="B67" s="1" t="s">
        <v>307</v>
      </c>
      <c r="C67" s="317">
        <v>0.08</v>
      </c>
    </row>
    <row r="68" spans="1:6" x14ac:dyDescent="0.35">
      <c r="B68" s="1" t="s">
        <v>309</v>
      </c>
      <c r="C68" s="269">
        <f>IF(D68="Y",1%,0)</f>
        <v>0</v>
      </c>
      <c r="D68" s="292" t="s">
        <v>350</v>
      </c>
    </row>
    <row r="69" spans="1:6" x14ac:dyDescent="0.35">
      <c r="B69" s="1" t="s">
        <v>308</v>
      </c>
      <c r="C69" s="269">
        <f>IF(D69="Y",1%,0)</f>
        <v>0</v>
      </c>
      <c r="D69" s="292" t="s">
        <v>350</v>
      </c>
    </row>
    <row r="70" spans="1:6" x14ac:dyDescent="0.35">
      <c r="B70" s="82" t="s">
        <v>253</v>
      </c>
      <c r="C70" s="269">
        <f>SUM(C67:C69)</f>
        <v>0.08</v>
      </c>
    </row>
    <row r="71" spans="1:6" x14ac:dyDescent="0.35">
      <c r="C71" s="125"/>
    </row>
    <row r="72" spans="1:6" x14ac:dyDescent="0.35">
      <c r="B72" s="339" t="s">
        <v>376</v>
      </c>
      <c r="C72" s="339"/>
      <c r="D72" s="339"/>
      <c r="E72" s="339"/>
      <c r="F72" s="339"/>
    </row>
    <row r="73" spans="1:6" ht="24.4" customHeight="1" x14ac:dyDescent="0.35">
      <c r="B73" s="339" t="s">
        <v>377</v>
      </c>
      <c r="C73" s="339"/>
      <c r="D73" s="339"/>
      <c r="E73" s="339"/>
      <c r="F73" s="339"/>
    </row>
    <row r="75" spans="1:6" x14ac:dyDescent="0.35">
      <c r="B75" s="47" t="s">
        <v>257</v>
      </c>
      <c r="C75" s="269">
        <v>0</v>
      </c>
    </row>
    <row r="76" spans="1:6" x14ac:dyDescent="0.35">
      <c r="B76" s="47" t="s">
        <v>300</v>
      </c>
      <c r="C76" s="254">
        <f>Valuation_Model!C6*C28*Exchange_Rate/Common_Shares</f>
        <v>21.599825242120371</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9" t="s">
        <v>260</v>
      </c>
      <c r="C80" s="339"/>
      <c r="D80" s="339"/>
      <c r="E80" s="339"/>
      <c r="F80" s="339"/>
    </row>
    <row r="81" spans="2:6" x14ac:dyDescent="0.35">
      <c r="B81" s="1" t="s">
        <v>261</v>
      </c>
    </row>
    <row r="83" spans="2:6" x14ac:dyDescent="0.35">
      <c r="B83" s="240" t="s">
        <v>236</v>
      </c>
    </row>
    <row r="84" spans="2:6" ht="24.4" customHeight="1" x14ac:dyDescent="0.35">
      <c r="B84" s="339" t="s">
        <v>378</v>
      </c>
      <c r="C84" s="339"/>
      <c r="D84" s="339"/>
      <c r="E84" s="339"/>
      <c r="F84" s="339"/>
    </row>
    <row r="85" spans="2:6" x14ac:dyDescent="0.35">
      <c r="B85" s="47" t="s">
        <v>263</v>
      </c>
      <c r="C85" s="191">
        <f>Valuation_Model!C7</f>
        <v>2034922</v>
      </c>
      <c r="D85" s="1" t="str">
        <f>Reporting_currency</f>
        <v>HKD</v>
      </c>
    </row>
    <row r="86" spans="2:6" x14ac:dyDescent="0.35">
      <c r="B86" s="47" t="s">
        <v>303</v>
      </c>
      <c r="C86" s="254">
        <f>C85*C28*Exchange_Rate/Common_Shares</f>
        <v>3.4660105464438944</v>
      </c>
      <c r="D86" s="1" t="str">
        <f>Market_currency</f>
        <v>HKD</v>
      </c>
    </row>
    <row r="88" spans="2:6" x14ac:dyDescent="0.35">
      <c r="B88" s="1" t="s">
        <v>262</v>
      </c>
    </row>
    <row r="89" spans="2:6" x14ac:dyDescent="0.35">
      <c r="B89" s="47" t="s">
        <v>277</v>
      </c>
      <c r="C89" s="191">
        <f>BS!C66</f>
        <v>1998219</v>
      </c>
      <c r="D89" s="1" t="str">
        <f>Reporting_currency</f>
        <v>HKD</v>
      </c>
    </row>
    <row r="90" spans="2:6" x14ac:dyDescent="0.35">
      <c r="B90" s="47" t="s">
        <v>279</v>
      </c>
      <c r="C90" s="191">
        <f>Valuation_Model!C8</f>
        <v>1050246.6606106577</v>
      </c>
      <c r="D90" s="1" t="str">
        <f>Reporting_currency</f>
        <v>HKD</v>
      </c>
    </row>
    <row r="91" spans="2:6" x14ac:dyDescent="0.35">
      <c r="B91" s="47" t="s">
        <v>304</v>
      </c>
      <c r="C91" s="254">
        <f>C90*C28*Exchange_Rate/Common_Shares</f>
        <v>1.7888479273623368</v>
      </c>
      <c r="D91" s="1" t="str">
        <f>Market_currency</f>
        <v>HKD</v>
      </c>
    </row>
    <row r="93" spans="2:6" x14ac:dyDescent="0.35">
      <c r="B93" s="1" t="s">
        <v>264</v>
      </c>
    </row>
    <row r="94" spans="2:6" x14ac:dyDescent="0.35">
      <c r="B94" s="47" t="s">
        <v>265</v>
      </c>
      <c r="C94" s="191">
        <f>Valuation_Model!C9</f>
        <v>92572.6</v>
      </c>
      <c r="D94" s="1" t="str">
        <f>Reporting_currency</f>
        <v>HKD</v>
      </c>
    </row>
    <row r="95" spans="2:6" x14ac:dyDescent="0.35">
      <c r="B95" s="47" t="s">
        <v>305</v>
      </c>
      <c r="C95" s="254">
        <f>C94*C28*Exchange_Rate/Common_Shares</f>
        <v>0.15767562978420405</v>
      </c>
      <c r="D95" s="1" t="str">
        <f>Market_currency</f>
        <v>HKD</v>
      </c>
    </row>
    <row r="97" spans="1:6" ht="24.4" customHeight="1" x14ac:dyDescent="0.35">
      <c r="B97" s="339" t="s">
        <v>266</v>
      </c>
      <c r="C97" s="339"/>
      <c r="D97" s="339"/>
      <c r="E97" s="339"/>
      <c r="F97" s="339"/>
    </row>
    <row r="99" spans="1:6" x14ac:dyDescent="0.35">
      <c r="B99" s="47" t="s">
        <v>299</v>
      </c>
      <c r="C99" s="254">
        <f>Valuation_Model!C12</f>
        <v>20.080338252823015</v>
      </c>
      <c r="D99" s="1" t="str">
        <f>Market_currency</f>
        <v>HKD</v>
      </c>
    </row>
    <row r="101" spans="1:6" ht="13.9" x14ac:dyDescent="0.45">
      <c r="A101" s="253" t="s">
        <v>276</v>
      </c>
      <c r="B101" s="36"/>
      <c r="C101" s="36"/>
      <c r="D101" s="36"/>
      <c r="E101" s="36"/>
      <c r="F101" s="36"/>
    </row>
    <row r="103" spans="1:6" ht="24.4" customHeight="1" x14ac:dyDescent="0.35">
      <c r="B103" s="338" t="s">
        <v>361</v>
      </c>
      <c r="C103" s="338"/>
      <c r="D103" s="338"/>
      <c r="E103" s="338"/>
      <c r="F103" s="338"/>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0.06</v>
      </c>
      <c r="D106" s="263">
        <f>Valuation_Model!D74</f>
        <v>10</v>
      </c>
      <c r="E106" s="264" t="str">
        <f>ROUND(Valuation_Model!E74,2)&amp;" "&amp;Market_currency</f>
        <v>24.7 HKD</v>
      </c>
      <c r="F106" s="265">
        <f>Valuation_Model!F74</f>
        <v>0.02</v>
      </c>
    </row>
    <row r="107" spans="1:6" x14ac:dyDescent="0.35">
      <c r="B107" s="248" t="str">
        <f>Valuation_Model!B75</f>
        <v>Optimistic</v>
      </c>
      <c r="C107" s="249">
        <f>Valuation_Model!C75</f>
        <v>0.05</v>
      </c>
      <c r="D107" s="250">
        <f>Valuation_Model!D75</f>
        <v>5</v>
      </c>
      <c r="E107" s="251" t="str">
        <f>ROUND(Valuation_Model!E75,2)&amp;" "&amp;Market_currency</f>
        <v>21.86 HKD</v>
      </c>
      <c r="F107" s="252">
        <f>Valuation_Model!F75</f>
        <v>0.192</v>
      </c>
    </row>
    <row r="108" spans="1:6" x14ac:dyDescent="0.35">
      <c r="B108" s="248" t="str">
        <f>Valuation_Model!B76</f>
        <v>Base</v>
      </c>
      <c r="C108" s="249">
        <f>Valuation_Model!C76</f>
        <v>0.02</v>
      </c>
      <c r="D108" s="250">
        <f>Valuation_Model!D76</f>
        <v>5</v>
      </c>
      <c r="E108" s="251" t="str">
        <f>ROUND(Valuation_Model!E76,2)&amp;" "&amp;Market_currency</f>
        <v>20.78 HKD</v>
      </c>
      <c r="F108" s="252">
        <f>Valuation_Model!F76</f>
        <v>0.57599999999999996</v>
      </c>
    </row>
    <row r="109" spans="1:6" x14ac:dyDescent="0.35">
      <c r="B109" s="248" t="str">
        <f>Valuation_Model!B77</f>
        <v>Pessimistic</v>
      </c>
      <c r="C109" s="249">
        <f>Valuation_Model!C77</f>
        <v>-0.05</v>
      </c>
      <c r="D109" s="250">
        <f>Valuation_Model!D77</f>
        <v>5</v>
      </c>
      <c r="E109" s="251" t="str">
        <f>ROUND(Valuation_Model!E77,2)&amp;" "&amp;Market_currency</f>
        <v>18.42 HKD</v>
      </c>
      <c r="F109" s="252">
        <f>Valuation_Model!F77</f>
        <v>0.192</v>
      </c>
    </row>
    <row r="110" spans="1:6" x14ac:dyDescent="0.35">
      <c r="B110" s="248" t="str">
        <f>Valuation_Model!B78</f>
        <v>Devil's advocate</v>
      </c>
      <c r="C110" s="249">
        <f>Valuation_Model!C78</f>
        <v>-0.08</v>
      </c>
      <c r="D110" s="250">
        <f>Valuation_Model!D78</f>
        <v>10</v>
      </c>
      <c r="E110" s="251" t="str">
        <f>ROUND(Valuation_Model!E78,2)&amp;" "&amp;Market_currency</f>
        <v>15.62 HKD</v>
      </c>
      <c r="F110" s="252">
        <f>Valuation_Model!F78</f>
        <v>0.02</v>
      </c>
    </row>
    <row r="112" spans="1:6" x14ac:dyDescent="0.35">
      <c r="B112" s="241" t="s">
        <v>268</v>
      </c>
      <c r="C112" s="247">
        <f>Scenarios!C60</f>
        <v>20.508980461992877</v>
      </c>
      <c r="D112" s="242" t="str">
        <f>Market_currency</f>
        <v>HKD</v>
      </c>
    </row>
    <row r="114" spans="1:6" ht="24.4" customHeight="1" x14ac:dyDescent="0.35">
      <c r="B114" s="343" t="s">
        <v>362</v>
      </c>
      <c r="C114" s="343"/>
      <c r="D114" s="343"/>
      <c r="E114" s="343"/>
      <c r="F114" s="343"/>
    </row>
    <row r="116" spans="1:6" ht="13.9" x14ac:dyDescent="0.45">
      <c r="A116" s="253" t="s">
        <v>298</v>
      </c>
      <c r="B116" s="36"/>
      <c r="C116" s="36"/>
      <c r="D116" s="36"/>
      <c r="E116" s="36"/>
      <c r="F116" s="36"/>
    </row>
    <row r="118" spans="1:6" x14ac:dyDescent="0.35">
      <c r="B118" s="341" t="s">
        <v>274</v>
      </c>
      <c r="C118" s="341"/>
      <c r="D118" s="341"/>
      <c r="E118" s="341"/>
      <c r="F118" s="341"/>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1.36</v>
      </c>
      <c r="D122" s="242" t="str">
        <f>Market_currency</f>
        <v>HKD</v>
      </c>
    </row>
    <row r="124" spans="1:6" x14ac:dyDescent="0.35">
      <c r="B124" s="240" t="s">
        <v>273</v>
      </c>
    </row>
    <row r="125" spans="1:6" x14ac:dyDescent="0.35">
      <c r="B125" s="242" t="str">
        <f>"PV("&amp;C120&amp;" yrs of Dividends)"</f>
        <v>PV(3 yrs of Dividends)</v>
      </c>
      <c r="C125" s="246">
        <f>Scenarios!C81</f>
        <v>2.8648148148148147</v>
      </c>
    </row>
    <row r="126" spans="1:6" x14ac:dyDescent="0.35">
      <c r="B126" s="242" t="str">
        <f>"+ PV(Equity Value realized at year "&amp;C120&amp;")"</f>
        <v>+ PV(Equity Value realized at year 3)</v>
      </c>
      <c r="C126" s="246">
        <f>Scenarios!C82</f>
        <v>11.868622952542175</v>
      </c>
    </row>
    <row r="127" spans="1:6" x14ac:dyDescent="0.35">
      <c r="B127" s="82" t="s">
        <v>270</v>
      </c>
      <c r="C127" s="245">
        <f>Scenarios!C83</f>
        <v>14.733437767356989</v>
      </c>
      <c r="D127" s="47" t="str">
        <f>Reporting_currency</f>
        <v>HKD</v>
      </c>
    </row>
    <row r="128" spans="1:6" x14ac:dyDescent="0.35">
      <c r="B128" s="244" t="s">
        <v>272</v>
      </c>
      <c r="C128" s="94">
        <f>Scenarios!F83</f>
        <v>0.28161042453275964</v>
      </c>
    </row>
  </sheetData>
  <mergeCells count="21">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101</v>
      </c>
      <c r="C2" s="37"/>
      <c r="D2" s="37"/>
      <c r="E2" s="37"/>
      <c r="F2" s="37"/>
      <c r="G2" s="37"/>
      <c r="H2" s="37"/>
      <c r="I2" s="37"/>
      <c r="J2" s="37"/>
      <c r="K2" s="37"/>
      <c r="L2" s="37"/>
      <c r="M2" s="37"/>
    </row>
    <row r="3" spans="2:13" x14ac:dyDescent="0.35">
      <c r="B3" s="16" t="s">
        <v>27</v>
      </c>
      <c r="C3" s="109">
        <v>1000</v>
      </c>
    </row>
    <row r="4" spans="2:13" x14ac:dyDescent="0.35">
      <c r="B4" s="32" t="s">
        <v>2</v>
      </c>
      <c r="C4" s="193">
        <v>15325962</v>
      </c>
      <c r="D4" s="184">
        <v>11977844</v>
      </c>
      <c r="E4" s="184">
        <v>11737803</v>
      </c>
      <c r="F4" s="184">
        <v>8861335</v>
      </c>
      <c r="G4" s="184">
        <v>11233771</v>
      </c>
      <c r="H4" s="184"/>
      <c r="I4" s="184"/>
      <c r="J4" s="184"/>
      <c r="K4" s="184"/>
      <c r="L4" s="184"/>
      <c r="M4" s="184"/>
    </row>
    <row r="5" spans="2:13" x14ac:dyDescent="0.35">
      <c r="B5" s="40" t="s">
        <v>45</v>
      </c>
      <c r="C5" s="193">
        <v>11151623</v>
      </c>
      <c r="D5" s="184">
        <v>8747447</v>
      </c>
      <c r="E5" s="184">
        <v>8503976</v>
      </c>
      <c r="F5" s="184">
        <v>6229020</v>
      </c>
      <c r="G5" s="184">
        <v>7910751</v>
      </c>
      <c r="H5" s="184"/>
      <c r="I5" s="184"/>
      <c r="J5" s="184"/>
      <c r="K5" s="184"/>
      <c r="L5" s="184"/>
      <c r="M5" s="184"/>
    </row>
    <row r="6" spans="2:13" x14ac:dyDescent="0.35">
      <c r="B6" s="40" t="s">
        <v>57</v>
      </c>
      <c r="C6" s="193">
        <v>2297566</v>
      </c>
      <c r="D6" s="184">
        <v>1867515</v>
      </c>
      <c r="E6" s="184">
        <v>1815111</v>
      </c>
      <c r="F6" s="184">
        <v>1694480</v>
      </c>
      <c r="G6" s="184">
        <v>2118252</v>
      </c>
      <c r="H6" s="184"/>
      <c r="I6" s="184"/>
      <c r="J6" s="184"/>
      <c r="K6" s="184"/>
      <c r="L6" s="184"/>
      <c r="M6" s="184"/>
    </row>
    <row r="7" spans="2:13" x14ac:dyDescent="0.35">
      <c r="B7" s="70" t="s">
        <v>64</v>
      </c>
      <c r="C7" s="194">
        <v>2043459</v>
      </c>
      <c r="D7" s="192">
        <v>1517989</v>
      </c>
      <c r="E7" s="192">
        <v>1491293</v>
      </c>
      <c r="F7" s="192">
        <v>1412494</v>
      </c>
      <c r="G7" s="192">
        <v>1945100</v>
      </c>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v>639</v>
      </c>
      <c r="D9" s="184">
        <v>927</v>
      </c>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59596</v>
      </c>
      <c r="D12" s="184">
        <v>20763</v>
      </c>
      <c r="E12" s="184">
        <v>23097</v>
      </c>
      <c r="F12" s="184">
        <v>28849</v>
      </c>
      <c r="G12" s="184">
        <v>63075</v>
      </c>
      <c r="H12" s="184"/>
      <c r="I12" s="184"/>
      <c r="J12" s="184"/>
      <c r="K12" s="184"/>
      <c r="L12" s="184"/>
      <c r="M12" s="184"/>
    </row>
    <row r="13" spans="2:13" x14ac:dyDescent="0.35">
      <c r="B13" s="40" t="s">
        <v>70</v>
      </c>
      <c r="C13" s="193">
        <v>28977</v>
      </c>
      <c r="D13" s="184">
        <v>33125</v>
      </c>
      <c r="E13" s="184">
        <v>87344</v>
      </c>
      <c r="F13" s="184">
        <v>63398</v>
      </c>
      <c r="G13" s="184">
        <v>45450</v>
      </c>
      <c r="H13" s="184"/>
      <c r="I13" s="184"/>
      <c r="J13" s="184"/>
      <c r="K13" s="184"/>
      <c r="L13" s="184"/>
      <c r="M13" s="184"/>
    </row>
    <row r="14" spans="2:13" x14ac:dyDescent="0.35">
      <c r="B14" s="40" t="s">
        <v>52</v>
      </c>
      <c r="C14" s="193">
        <v>327166</v>
      </c>
      <c r="D14" s="184">
        <v>280664</v>
      </c>
      <c r="E14" s="184">
        <v>291296</v>
      </c>
      <c r="F14" s="184">
        <v>236303</v>
      </c>
      <c r="G14" s="184">
        <v>223409</v>
      </c>
      <c r="H14" s="184"/>
      <c r="I14" s="184"/>
      <c r="J14" s="184"/>
      <c r="K14" s="184"/>
      <c r="L14" s="184"/>
      <c r="M14" s="184"/>
    </row>
    <row r="15" spans="2:13" x14ac:dyDescent="0.35">
      <c r="B15" s="43" t="s">
        <v>44</v>
      </c>
      <c r="C15" s="195">
        <v>1767305</v>
      </c>
      <c r="D15" s="185">
        <v>1284757</v>
      </c>
      <c r="E15" s="185">
        <v>1392364</v>
      </c>
      <c r="F15" s="185">
        <v>1017335</v>
      </c>
      <c r="G15" s="185">
        <v>866315</v>
      </c>
      <c r="H15" s="185"/>
      <c r="I15" s="185"/>
      <c r="J15" s="185"/>
      <c r="K15" s="185"/>
      <c r="L15" s="185"/>
      <c r="M15" s="185"/>
    </row>
    <row r="16" spans="2:13" x14ac:dyDescent="0.35">
      <c r="B16" s="28" t="s">
        <v>46</v>
      </c>
      <c r="C16" s="193">
        <v>-9467</v>
      </c>
      <c r="D16" s="184">
        <v>-30</v>
      </c>
      <c r="E16" s="184">
        <v>-27</v>
      </c>
      <c r="F16" s="184">
        <v>1799</v>
      </c>
      <c r="G16" s="184">
        <v>1337</v>
      </c>
      <c r="H16" s="184"/>
      <c r="I16" s="184"/>
      <c r="J16" s="184"/>
      <c r="K16" s="184"/>
      <c r="L16" s="184"/>
      <c r="M16" s="184"/>
    </row>
    <row r="18" spans="2:13" x14ac:dyDescent="0.35">
      <c r="B18" s="16" t="s">
        <v>53</v>
      </c>
      <c r="C18" s="9"/>
    </row>
    <row r="19" spans="2:13" x14ac:dyDescent="0.35">
      <c r="B19" s="27" t="s">
        <v>49</v>
      </c>
      <c r="C19" s="184">
        <v>463424</v>
      </c>
      <c r="D19" s="184">
        <v>371724</v>
      </c>
      <c r="E19" s="184">
        <v>435672</v>
      </c>
      <c r="F19" s="184">
        <v>520888</v>
      </c>
      <c r="G19" s="184"/>
      <c r="H19" s="184"/>
      <c r="I19" s="184"/>
      <c r="J19" s="184"/>
      <c r="K19" s="184"/>
      <c r="L19" s="184"/>
      <c r="M19" s="184"/>
    </row>
    <row r="20" spans="2:13" x14ac:dyDescent="0.35">
      <c r="B20" s="27" t="s">
        <v>55</v>
      </c>
      <c r="C20" s="184">
        <v>676387</v>
      </c>
      <c r="D20" s="184">
        <v>107280</v>
      </c>
      <c r="E20" s="184">
        <v>455483</v>
      </c>
      <c r="F20" s="184">
        <v>138937</v>
      </c>
      <c r="G20" s="184"/>
      <c r="H20" s="184"/>
      <c r="I20" s="184"/>
      <c r="J20" s="184"/>
      <c r="K20" s="184"/>
      <c r="L20" s="184"/>
      <c r="M20" s="184"/>
    </row>
    <row r="21" spans="2:13" x14ac:dyDescent="0.35">
      <c r="B21" s="27" t="s">
        <v>54</v>
      </c>
      <c r="C21" s="184">
        <v>626583</v>
      </c>
      <c r="D21" s="184">
        <v>352099</v>
      </c>
      <c r="E21" s="184">
        <v>1045251</v>
      </c>
      <c r="F21" s="184">
        <v>-818677</v>
      </c>
      <c r="G21" s="184"/>
      <c r="H21" s="184"/>
      <c r="I21" s="184"/>
      <c r="J21" s="184"/>
      <c r="K21" s="184"/>
      <c r="L21" s="184"/>
      <c r="M21" s="184"/>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28</v>
      </c>
      <c r="C24" s="9"/>
    </row>
    <row r="25" spans="2:13" x14ac:dyDescent="0.35">
      <c r="B25" s="26" t="s">
        <v>24</v>
      </c>
      <c r="C25" s="186"/>
      <c r="D25" s="184">
        <v>213823</v>
      </c>
      <c r="E25" s="184">
        <v>187711</v>
      </c>
      <c r="F25" s="184">
        <v>277338</v>
      </c>
      <c r="G25" s="184"/>
      <c r="H25" s="184"/>
      <c r="I25" s="184"/>
      <c r="J25" s="184"/>
      <c r="K25" s="184"/>
      <c r="L25" s="184"/>
      <c r="M25" s="184"/>
    </row>
    <row r="26" spans="2:13" x14ac:dyDescent="0.35">
      <c r="B26" s="26" t="s">
        <v>32</v>
      </c>
      <c r="C26" s="186"/>
      <c r="D26" s="184">
        <v>8852611</v>
      </c>
      <c r="E26" s="184">
        <v>8769304</v>
      </c>
      <c r="F26" s="184">
        <v>7321614</v>
      </c>
      <c r="G26" s="184"/>
      <c r="H26" s="184"/>
      <c r="I26" s="184"/>
      <c r="J26" s="184"/>
      <c r="K26" s="184"/>
      <c r="L26" s="184"/>
      <c r="M26" s="184"/>
    </row>
    <row r="27" spans="2:13" x14ac:dyDescent="0.35">
      <c r="B27" s="29" t="s">
        <v>40</v>
      </c>
      <c r="C27" s="185">
        <v>3990166</v>
      </c>
      <c r="D27" s="185">
        <v>2466431</v>
      </c>
      <c r="E27" s="185">
        <v>3908586</v>
      </c>
      <c r="F27" s="185">
        <v>2946772</v>
      </c>
      <c r="G27" s="185"/>
      <c r="H27" s="185"/>
      <c r="I27" s="185"/>
      <c r="J27" s="185"/>
      <c r="K27" s="185"/>
      <c r="L27" s="185"/>
      <c r="M27" s="185"/>
    </row>
    <row r="28" spans="2:13" x14ac:dyDescent="0.35">
      <c r="B28" s="29" t="s">
        <v>30</v>
      </c>
      <c r="C28" s="185">
        <v>12863898</v>
      </c>
      <c r="D28" s="185">
        <v>12220942</v>
      </c>
      <c r="E28" s="185">
        <v>12078528</v>
      </c>
      <c r="F28" s="185">
        <v>11324224</v>
      </c>
      <c r="G28" s="185"/>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v>1095356</v>
      </c>
      <c r="D32" s="184">
        <v>1099308</v>
      </c>
      <c r="E32" s="184">
        <v>1107736</v>
      </c>
      <c r="F32" s="184">
        <v>1122325</v>
      </c>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15325962</v>
      </c>
      <c r="D36" s="186">
        <f t="shared" si="1"/>
        <v>11977844</v>
      </c>
      <c r="E36" s="186">
        <f t="shared" si="1"/>
        <v>11737803</v>
      </c>
      <c r="F36" s="186">
        <f t="shared" si="1"/>
        <v>8861335</v>
      </c>
      <c r="G36" s="186">
        <f t="shared" si="1"/>
        <v>11233771</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-11151623</v>
      </c>
      <c r="D37" s="186">
        <f t="shared" si="2"/>
        <v>-8747447</v>
      </c>
      <c r="E37" s="186">
        <f t="shared" si="2"/>
        <v>-8503976</v>
      </c>
      <c r="F37" s="186">
        <f t="shared" si="2"/>
        <v>-6229020</v>
      </c>
      <c r="G37" s="186">
        <f t="shared" si="2"/>
        <v>-7910751</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4174339</v>
      </c>
      <c r="D38" s="187">
        <f t="shared" ref="D38" si="3">IF(D36="","",D36+D37)</f>
        <v>3230397</v>
      </c>
      <c r="E38" s="187">
        <f t="shared" ref="E38" si="4">IF(E36="","",E36+E37)</f>
        <v>3233827</v>
      </c>
      <c r="F38" s="187">
        <f t="shared" ref="F38" si="5">IF(F36="","",F36+F37)</f>
        <v>2632315</v>
      </c>
      <c r="G38" s="187">
        <f t="shared" ref="G38" si="6">IF(G36="","",G36+G37)</f>
        <v>3323020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-2297566</v>
      </c>
      <c r="D39" s="186">
        <f t="shared" si="13"/>
        <v>-1867515</v>
      </c>
      <c r="E39" s="186">
        <f t="shared" si="13"/>
        <v>-1815111</v>
      </c>
      <c r="F39" s="186">
        <f t="shared" si="13"/>
        <v>-1694480</v>
      </c>
      <c r="G39" s="186">
        <f t="shared" si="13"/>
        <v>-2118252</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-2043459</v>
      </c>
      <c r="D40" s="188">
        <f t="shared" si="14"/>
        <v>-1517989</v>
      </c>
      <c r="E40" s="188">
        <f t="shared" si="14"/>
        <v>-1491293</v>
      </c>
      <c r="F40" s="188">
        <f t="shared" si="14"/>
        <v>-1412494</v>
      </c>
      <c r="G40" s="188">
        <f t="shared" si="14"/>
        <v>-1945100</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-254107</v>
      </c>
      <c r="D41" s="188">
        <f t="shared" ref="D41:M41" si="15">IF(D$4="","",D39-D40)</f>
        <v>-349526</v>
      </c>
      <c r="E41" s="188">
        <f t="shared" si="15"/>
        <v>-323818</v>
      </c>
      <c r="F41" s="188">
        <f t="shared" si="15"/>
        <v>-281986</v>
      </c>
      <c r="G41" s="188">
        <f t="shared" si="15"/>
        <v>-173152</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1876773</v>
      </c>
      <c r="D43" s="189">
        <f t="shared" ref="D43:M43" si="17">IF(D$4="","",D38+D39+D42)</f>
        <v>1362882</v>
      </c>
      <c r="E43" s="189">
        <f t="shared" si="17"/>
        <v>1418716</v>
      </c>
      <c r="F43" s="189">
        <f t="shared" si="17"/>
        <v>937835</v>
      </c>
      <c r="G43" s="189">
        <f t="shared" si="17"/>
        <v>1204768</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248317</v>
      </c>
      <c r="D44" s="190">
        <f t="shared" si="18"/>
        <v>190177</v>
      </c>
      <c r="E44" s="190">
        <f t="shared" si="18"/>
        <v>200697</v>
      </c>
      <c r="F44" s="190">
        <f t="shared" si="18"/>
        <v>281254</v>
      </c>
      <c r="G44" s="190">
        <f t="shared" si="18"/>
        <v>-97419</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-30619</v>
      </c>
      <c r="D45" s="191">
        <f t="shared" si="19"/>
        <v>12362</v>
      </c>
      <c r="E45" s="191">
        <f t="shared" si="19"/>
        <v>64247</v>
      </c>
      <c r="F45" s="191">
        <f t="shared" si="19"/>
        <v>34549</v>
      </c>
      <c r="G45" s="191">
        <f t="shared" si="19"/>
        <v>-17625</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-327166</v>
      </c>
      <c r="D46" s="186">
        <f t="shared" si="20"/>
        <v>-280664</v>
      </c>
      <c r="E46" s="186">
        <f t="shared" si="20"/>
        <v>-291296</v>
      </c>
      <c r="F46" s="186">
        <f t="shared" si="20"/>
        <v>-236303</v>
      </c>
      <c r="G46" s="186">
        <f t="shared" si="20"/>
        <v>-223409</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1767305</v>
      </c>
      <c r="D47" s="189">
        <f t="shared" si="21"/>
        <v>1284757</v>
      </c>
      <c r="E47" s="189">
        <f t="shared" si="21"/>
        <v>1392364</v>
      </c>
      <c r="F47" s="189">
        <f t="shared" si="21"/>
        <v>1017335</v>
      </c>
      <c r="G47" s="189">
        <f t="shared" si="21"/>
        <v>866315</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0</v>
      </c>
      <c r="D48" s="186">
        <f t="shared" si="22"/>
        <v>0</v>
      </c>
      <c r="E48" s="186">
        <f t="shared" si="22"/>
        <v>0</v>
      </c>
      <c r="F48" s="186">
        <f t="shared" si="22"/>
        <v>-1799</v>
      </c>
      <c r="G48" s="186">
        <f t="shared" si="22"/>
        <v>-1337</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-59596</v>
      </c>
      <c r="D51" s="186">
        <f t="shared" si="23"/>
        <v>-20763</v>
      </c>
      <c r="E51" s="186">
        <f t="shared" si="23"/>
        <v>-23097</v>
      </c>
      <c r="F51" s="186">
        <f t="shared" si="23"/>
        <v>-28849</v>
      </c>
      <c r="G51" s="186">
        <f t="shared" si="23"/>
        <v>-63075</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28977</v>
      </c>
      <c r="D52" s="186">
        <f t="shared" si="24"/>
        <v>33125</v>
      </c>
      <c r="E52" s="186">
        <f t="shared" si="24"/>
        <v>87344</v>
      </c>
      <c r="F52" s="186">
        <f t="shared" si="24"/>
        <v>63398</v>
      </c>
      <c r="G52" s="186">
        <f t="shared" si="24"/>
        <v>45450</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247678</v>
      </c>
      <c r="D58" s="191">
        <f t="shared" ref="D58:M58" si="28">IF(D$4="","",D44-D55-D56-D57)</f>
        <v>189250</v>
      </c>
      <c r="E58" s="191">
        <f t="shared" si="28"/>
        <v>200697</v>
      </c>
      <c r="F58" s="191">
        <f t="shared" si="28"/>
        <v>281254</v>
      </c>
      <c r="G58" s="191">
        <f t="shared" si="28"/>
        <v>-97419</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-463424</v>
      </c>
      <c r="D61" s="186">
        <f t="shared" si="29"/>
        <v>-371724</v>
      </c>
      <c r="E61" s="186">
        <f t="shared" si="29"/>
        <v>-435672</v>
      </c>
      <c r="F61" s="186">
        <f t="shared" si="29"/>
        <v>-520888</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-676387</v>
      </c>
      <c r="D62" s="186">
        <f t="shared" si="30"/>
        <v>-107280</v>
      </c>
      <c r="E62" s="186">
        <f t="shared" si="30"/>
        <v>-455483</v>
      </c>
      <c r="F62" s="186">
        <f t="shared" si="30"/>
        <v>-138937</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-626583</v>
      </c>
      <c r="D63" s="186">
        <f t="shared" si="31"/>
        <v>-352099</v>
      </c>
      <c r="E63" s="186">
        <f t="shared" si="31"/>
        <v>-1045251</v>
      </c>
      <c r="F63" s="186">
        <f t="shared" si="31"/>
        <v>818677</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90</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40</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265773</v>
      </c>
      <c r="D4" s="300">
        <v>0.6</v>
      </c>
      <c r="E4" s="25"/>
      <c r="F4" s="4" t="s">
        <v>81</v>
      </c>
      <c r="G4" s="19">
        <v>1998219</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9672256</v>
      </c>
      <c r="D6" s="300">
        <v>0.5</v>
      </c>
      <c r="E6" s="25"/>
      <c r="F6" s="4" t="s">
        <v>181</v>
      </c>
      <c r="G6" s="19">
        <v>0</v>
      </c>
      <c r="H6" s="300">
        <v>0.6</v>
      </c>
    </row>
    <row r="7" spans="2:8" ht="15" customHeight="1" x14ac:dyDescent="0.35">
      <c r="B7" s="1" t="s">
        <v>72</v>
      </c>
      <c r="C7" s="19">
        <v>0</v>
      </c>
      <c r="D7" s="300">
        <v>0.6</v>
      </c>
      <c r="E7" s="25"/>
      <c r="F7" s="4" t="s">
        <v>182</v>
      </c>
      <c r="G7" s="19">
        <v>0</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366595</v>
      </c>
      <c r="D9" s="300">
        <v>0.1</v>
      </c>
      <c r="E9" s="25"/>
      <c r="F9" s="4" t="s">
        <v>184</v>
      </c>
      <c r="G9" s="19">
        <v>0</v>
      </c>
      <c r="H9" s="300">
        <v>0.6</v>
      </c>
    </row>
    <row r="10" spans="2:8" ht="15" customHeight="1" x14ac:dyDescent="0.35">
      <c r="B10" s="4" t="s">
        <v>11</v>
      </c>
      <c r="C10" s="19">
        <v>29465</v>
      </c>
      <c r="D10" s="300">
        <v>0.9</v>
      </c>
      <c r="H10" s="301"/>
    </row>
    <row r="11" spans="2:8" ht="15" customHeight="1" x14ac:dyDescent="0.35">
      <c r="B11" s="4" t="s">
        <v>12</v>
      </c>
      <c r="C11" s="19">
        <v>0</v>
      </c>
      <c r="D11" s="300">
        <v>0.05</v>
      </c>
      <c r="H11" s="301"/>
    </row>
    <row r="12" spans="2:8" ht="15" customHeight="1" x14ac:dyDescent="0.35">
      <c r="B12" s="82" t="s">
        <v>75</v>
      </c>
      <c r="C12" s="83">
        <f>SUM(C4:C11)</f>
        <v>10334089</v>
      </c>
      <c r="D12" s="20">
        <f>C4*D4+C5*D5+C9*D9+C6*D6+C8*D8+C7*D7+C10*D10+C11*D11</f>
        <v>5058769.8</v>
      </c>
      <c r="F12" s="82" t="s">
        <v>73</v>
      </c>
      <c r="G12" s="83">
        <f>SUM(G4:G9)</f>
        <v>1998219</v>
      </c>
      <c r="H12" s="20">
        <f>G4*H4+G5*H5+G6*H6+G7*H7+G8*H8+G9*H9</f>
        <v>1798397.1</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103050</v>
      </c>
      <c r="D15" s="300">
        <v>0.4</v>
      </c>
      <c r="F15" s="4" t="s">
        <v>82</v>
      </c>
      <c r="G15" s="19">
        <v>0</v>
      </c>
      <c r="H15" s="300">
        <v>0.8</v>
      </c>
    </row>
    <row r="16" spans="2:8" ht="15" customHeight="1" x14ac:dyDescent="0.35">
      <c r="B16" s="1" t="s">
        <v>34</v>
      </c>
      <c r="C16" s="19">
        <v>0</v>
      </c>
      <c r="D16" s="300">
        <v>0.5</v>
      </c>
      <c r="F16" s="4" t="s">
        <v>181</v>
      </c>
      <c r="G16" s="19">
        <v>0</v>
      </c>
      <c r="H16" s="300">
        <v>0.6</v>
      </c>
    </row>
    <row r="17" spans="2:8" ht="15" customHeight="1" x14ac:dyDescent="0.35">
      <c r="B17" s="1" t="s">
        <v>72</v>
      </c>
      <c r="C17" s="19">
        <v>0</v>
      </c>
      <c r="D17" s="300">
        <v>0.6</v>
      </c>
      <c r="F17" s="4" t="s">
        <v>182</v>
      </c>
      <c r="G17" s="19">
        <v>0</v>
      </c>
      <c r="H17" s="300">
        <v>0.6</v>
      </c>
    </row>
    <row r="18" spans="2:8" ht="15" customHeight="1" x14ac:dyDescent="0.35">
      <c r="B18" s="4" t="s">
        <v>177</v>
      </c>
      <c r="C18" s="19">
        <v>0</v>
      </c>
      <c r="D18" s="300">
        <v>0.6</v>
      </c>
      <c r="F18" s="4" t="s">
        <v>185</v>
      </c>
      <c r="G18" s="19">
        <v>0</v>
      </c>
      <c r="H18" s="300">
        <v>0.1</v>
      </c>
    </row>
    <row r="19" spans="2:8" ht="15" customHeight="1" x14ac:dyDescent="0.35">
      <c r="B19" s="4" t="s">
        <v>26</v>
      </c>
      <c r="C19" s="19">
        <v>2522337</v>
      </c>
      <c r="D19" s="300">
        <v>0.1</v>
      </c>
      <c r="F19" s="4" t="s">
        <v>186</v>
      </c>
      <c r="G19" s="19">
        <v>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538321</v>
      </c>
      <c r="D21" s="300">
        <v>0.05</v>
      </c>
      <c r="F21" s="1" t="s">
        <v>184</v>
      </c>
      <c r="G21" s="19">
        <v>925726</v>
      </c>
      <c r="H21" s="300">
        <v>0.1</v>
      </c>
    </row>
    <row r="22" spans="2:8" ht="15" customHeight="1" x14ac:dyDescent="0.35">
      <c r="B22" s="4" t="s">
        <v>20</v>
      </c>
      <c r="C22" s="19">
        <v>154648</v>
      </c>
      <c r="D22" s="300">
        <v>0.9</v>
      </c>
      <c r="H22" s="301"/>
    </row>
    <row r="23" spans="2:8" ht="15" customHeight="1" x14ac:dyDescent="0.35">
      <c r="B23" s="4" t="s">
        <v>21</v>
      </c>
      <c r="C23" s="19">
        <v>277674</v>
      </c>
      <c r="D23" s="300">
        <v>0</v>
      </c>
      <c r="H23" s="301"/>
    </row>
    <row r="24" spans="2:8" ht="15" customHeight="1" x14ac:dyDescent="0.35">
      <c r="B24" s="82" t="s">
        <v>77</v>
      </c>
      <c r="C24" s="83">
        <f>SUM(C15:C23)</f>
        <v>3596030</v>
      </c>
      <c r="D24" s="20">
        <f>C15*D15+C16*D16+C18*D18+C17*D17+C19*D19+C20*D20+C21*D21+C22*D22+C23*D23</f>
        <v>459552.95</v>
      </c>
      <c r="F24" s="82" t="s">
        <v>74</v>
      </c>
      <c r="G24" s="83">
        <f>SUM(G15:G21)</f>
        <v>925726</v>
      </c>
      <c r="H24" s="20">
        <f>G15*H15+G16*H16+G17*H17+G18*H18+G19*H19+G20*H20+G21*H21</f>
        <v>92572.6</v>
      </c>
    </row>
    <row r="26" spans="2:8" ht="15" customHeight="1" x14ac:dyDescent="0.35">
      <c r="B26" s="16" t="s">
        <v>204</v>
      </c>
      <c r="C26" s="209" t="s">
        <v>140</v>
      </c>
      <c r="F26" s="211" t="s">
        <v>200</v>
      </c>
      <c r="G26" s="212" t="s">
        <v>140</v>
      </c>
      <c r="H26" s="213" t="s">
        <v>35</v>
      </c>
    </row>
    <row r="27" spans="2:8" ht="15" customHeight="1" x14ac:dyDescent="0.35">
      <c r="B27" s="4" t="s">
        <v>5</v>
      </c>
      <c r="C27" s="19">
        <v>1427805</v>
      </c>
      <c r="F27" s="214" t="s">
        <v>30</v>
      </c>
      <c r="G27" s="87">
        <f>G32-G30</f>
        <v>12863898</v>
      </c>
      <c r="H27" s="215">
        <f>H32-G30</f>
        <v>3419126.45</v>
      </c>
    </row>
    <row r="28" spans="2:8" ht="15" customHeight="1" x14ac:dyDescent="0.35">
      <c r="B28" s="4" t="s">
        <v>6</v>
      </c>
      <c r="C28" s="19">
        <v>287697</v>
      </c>
      <c r="F28" s="216" t="s">
        <v>250</v>
      </c>
      <c r="G28" s="184">
        <v>-26962</v>
      </c>
      <c r="H28" s="215"/>
    </row>
    <row r="29" spans="2:8" ht="15" customHeight="1" x14ac:dyDescent="0.35">
      <c r="B29" s="4" t="s">
        <v>7</v>
      </c>
      <c r="C29" s="19">
        <v>0</v>
      </c>
      <c r="F29" s="217" t="s">
        <v>79</v>
      </c>
      <c r="G29" s="14">
        <f>G27-G28</f>
        <v>12890860</v>
      </c>
      <c r="H29" s="215">
        <f>H27-G28</f>
        <v>3446088.45</v>
      </c>
    </row>
    <row r="30" spans="2:8" ht="15" customHeight="1" x14ac:dyDescent="0.35">
      <c r="B30" s="2" t="s">
        <v>8</v>
      </c>
      <c r="C30" s="19">
        <v>0</v>
      </c>
      <c r="F30" s="214" t="s">
        <v>23</v>
      </c>
      <c r="G30" s="87">
        <f>C33+C42</f>
        <v>3990166</v>
      </c>
      <c r="H30" s="215"/>
    </row>
    <row r="31" spans="2:8" ht="15" customHeight="1" x14ac:dyDescent="0.35">
      <c r="B31" s="82" t="s">
        <v>207</v>
      </c>
      <c r="C31" s="83">
        <f>SUM(C27:C30)</f>
        <v>1715502</v>
      </c>
      <c r="F31" s="217" t="s">
        <v>80</v>
      </c>
      <c r="G31" s="218">
        <f>C31+C40</f>
        <v>2034922</v>
      </c>
      <c r="H31" s="215"/>
    </row>
    <row r="32" spans="2:8" ht="15" customHeight="1" x14ac:dyDescent="0.35">
      <c r="B32" s="4" t="s">
        <v>9</v>
      </c>
      <c r="C32" s="21">
        <f>C33-C31</f>
        <v>1801307</v>
      </c>
      <c r="F32" s="219" t="s">
        <v>78</v>
      </c>
      <c r="G32" s="220">
        <f>G35+G40</f>
        <v>16854064</v>
      </c>
      <c r="H32" s="215">
        <f>H35+H40</f>
        <v>7409292.4500000002</v>
      </c>
    </row>
    <row r="33" spans="2:8" ht="15" customHeight="1" x14ac:dyDescent="0.35">
      <c r="B33" s="85" t="s">
        <v>4</v>
      </c>
      <c r="C33" s="86">
        <v>3516809</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13930119</v>
      </c>
      <c r="H35" s="227">
        <f>D12+D24</f>
        <v>5518322.75</v>
      </c>
    </row>
    <row r="36" spans="2:8" ht="15" customHeight="1" x14ac:dyDescent="0.35">
      <c r="B36" s="4" t="s">
        <v>13</v>
      </c>
      <c r="C36" s="19">
        <v>0</v>
      </c>
      <c r="F36" s="217" t="s">
        <v>201</v>
      </c>
      <c r="G36" s="218">
        <f>C4+C15</f>
        <v>368823</v>
      </c>
      <c r="H36" s="222"/>
    </row>
    <row r="37" spans="2:8" ht="15" customHeight="1" x14ac:dyDescent="0.35">
      <c r="B37" s="4" t="s">
        <v>14</v>
      </c>
      <c r="C37" s="19">
        <v>0</v>
      </c>
      <c r="F37" s="217" t="s">
        <v>202</v>
      </c>
      <c r="G37" s="218">
        <f>C6</f>
        <v>9672256</v>
      </c>
      <c r="H37" s="222"/>
    </row>
    <row r="38" spans="2:8" ht="15" customHeight="1" x14ac:dyDescent="0.35">
      <c r="B38" s="4" t="s">
        <v>15</v>
      </c>
      <c r="C38" s="19">
        <v>319420</v>
      </c>
      <c r="F38" s="217" t="s">
        <v>203</v>
      </c>
      <c r="G38" s="218">
        <f>C7+C17</f>
        <v>0</v>
      </c>
      <c r="H38" s="222"/>
    </row>
    <row r="39" spans="2:8" ht="15" customHeight="1" x14ac:dyDescent="0.35">
      <c r="B39" s="2" t="s">
        <v>16</v>
      </c>
      <c r="C39" s="19">
        <v>0</v>
      </c>
      <c r="F39" s="217" t="s">
        <v>83</v>
      </c>
      <c r="G39" s="218">
        <f>C7+C17+C19+C20</f>
        <v>2522337</v>
      </c>
      <c r="H39" s="215">
        <f>C7*D7+C17*D17+C19*D19+C20*D20</f>
        <v>252233.7</v>
      </c>
    </row>
    <row r="40" spans="2:8" ht="15" customHeight="1" x14ac:dyDescent="0.35">
      <c r="B40" s="82" t="s">
        <v>208</v>
      </c>
      <c r="C40" s="83">
        <f>SUM(C36:C39)</f>
        <v>319420</v>
      </c>
      <c r="F40" s="226" t="s">
        <v>142</v>
      </c>
      <c r="G40" s="220">
        <f>G12+G24</f>
        <v>2923945</v>
      </c>
      <c r="H40" s="227">
        <f>H12+H24</f>
        <v>1890969.7000000002</v>
      </c>
    </row>
    <row r="41" spans="2:8" ht="15" customHeight="1" x14ac:dyDescent="0.35">
      <c r="B41" s="4" t="s">
        <v>17</v>
      </c>
      <c r="C41" s="21">
        <f>C42-C40</f>
        <v>153937</v>
      </c>
      <c r="F41" s="217" t="s">
        <v>195</v>
      </c>
      <c r="G41" s="218">
        <f>C70</f>
        <v>1998219</v>
      </c>
      <c r="H41" s="227">
        <f>H40-H42</f>
        <v>1798397.1</v>
      </c>
    </row>
    <row r="42" spans="2:8" ht="15" customHeight="1" x14ac:dyDescent="0.35">
      <c r="B42" s="85" t="s">
        <v>22</v>
      </c>
      <c r="C42" s="86">
        <v>473357</v>
      </c>
      <c r="F42" s="228" t="s">
        <v>196</v>
      </c>
      <c r="G42" s="229">
        <f>C82</f>
        <v>925726</v>
      </c>
      <c r="H42" s="230">
        <f>D82</f>
        <v>92572.6</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3" t="s">
        <v>62</v>
      </c>
    </row>
    <row r="46" spans="2:8" ht="15" customHeight="1" x14ac:dyDescent="0.35">
      <c r="B46" s="1" t="s">
        <v>289</v>
      </c>
      <c r="C46" s="191">
        <f>G29</f>
        <v>12890860</v>
      </c>
      <c r="D46" s="191">
        <f>H29</f>
        <v>3446088.45</v>
      </c>
      <c r="F46" s="289"/>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1.4550387206421544</v>
      </c>
      <c r="D50" s="98">
        <f>G31/Normalized_FCF!G8</f>
        <v>1.0842664509772892</v>
      </c>
      <c r="F50" s="289"/>
    </row>
    <row r="51" spans="2:8" ht="15" customHeight="1" x14ac:dyDescent="0.35">
      <c r="B51" s="1" t="s">
        <v>180</v>
      </c>
      <c r="C51" s="208"/>
      <c r="D51" s="94">
        <f>G29/G32</f>
        <v>0.76485172952944758</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0.10039645772788393</v>
      </c>
      <c r="D54" s="94">
        <f>Normalized_FCF!G8/G35</f>
        <v>0.13472770763839131</v>
      </c>
      <c r="F54" s="289"/>
    </row>
    <row r="55" spans="2:8" ht="15" customHeight="1" x14ac:dyDescent="0.35">
      <c r="B55" s="1" t="s">
        <v>145</v>
      </c>
      <c r="C55" s="94">
        <f>Normalized_FCF!C11/G40</f>
        <v>0</v>
      </c>
      <c r="D55" s="94">
        <f>Normalized_FCF!G11/G40</f>
        <v>2.1854036242131779E-4</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0.1837280268259158</v>
      </c>
      <c r="F58" s="5"/>
    </row>
    <row r="59" spans="2:8" ht="15" customHeight="1" x14ac:dyDescent="0.35">
      <c r="B59" s="1" t="s">
        <v>96</v>
      </c>
      <c r="C59" s="101"/>
      <c r="D59" s="94">
        <f>G39/G32</f>
        <v>0.14965749507062509</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0</v>
      </c>
      <c r="D62" s="94">
        <f>G28/G29</f>
        <v>-2.0915594459950692E-3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311</v>
      </c>
      <c r="F65" s="293" t="s">
        <v>62</v>
      </c>
    </row>
    <row r="66" spans="2:6" ht="15" customHeight="1" x14ac:dyDescent="0.35">
      <c r="B66" s="108" t="s">
        <v>191</v>
      </c>
      <c r="C66" s="20">
        <f>G4+G5+G15</f>
        <v>1998219</v>
      </c>
      <c r="D66" s="191">
        <f>C66-D75</f>
        <v>1050246.6606106577</v>
      </c>
      <c r="F66" s="5" t="s">
        <v>230</v>
      </c>
    </row>
    <row r="67" spans="2:6" ht="15" customHeight="1" x14ac:dyDescent="0.35">
      <c r="B67" s="108" t="s">
        <v>181</v>
      </c>
      <c r="C67" s="20">
        <f>G6+G16</f>
        <v>0</v>
      </c>
      <c r="F67" s="289"/>
    </row>
    <row r="68" spans="2:6" ht="15" customHeight="1" x14ac:dyDescent="0.35">
      <c r="B68" s="108" t="s">
        <v>185</v>
      </c>
      <c r="C68" s="20">
        <f>G18</f>
        <v>0</v>
      </c>
      <c r="F68" s="289"/>
    </row>
    <row r="69" spans="2:6" ht="15" customHeight="1" x14ac:dyDescent="0.35">
      <c r="B69" s="108" t="s">
        <v>183</v>
      </c>
      <c r="C69" s="20">
        <f>G8+G20</f>
        <v>0</v>
      </c>
      <c r="F69" s="289"/>
    </row>
    <row r="70" spans="2:6" ht="15" customHeight="1" x14ac:dyDescent="0.35">
      <c r="B70" s="82" t="s">
        <v>192</v>
      </c>
      <c r="C70" s="83">
        <f>SUM(C66:C69)</f>
        <v>1998219</v>
      </c>
      <c r="F70" s="289"/>
    </row>
    <row r="71" spans="2:6" ht="15" customHeight="1" x14ac:dyDescent="0.35">
      <c r="F71" s="289"/>
    </row>
    <row r="72" spans="2:6" ht="15" customHeight="1" x14ac:dyDescent="0.35">
      <c r="B72" s="291" t="s">
        <v>347</v>
      </c>
      <c r="C72" s="267" t="s">
        <v>99</v>
      </c>
      <c r="D72" s="209" t="s">
        <v>60</v>
      </c>
      <c r="F72" s="289"/>
    </row>
    <row r="73" spans="2:6" ht="15" customHeight="1" x14ac:dyDescent="0.35">
      <c r="B73" s="108" t="s">
        <v>346</v>
      </c>
      <c r="C73" s="191">
        <f>(Normalized_FCF!G25+Normalized_FCF!G35-Normalized_FCF!G91)/12</f>
        <v>-1187304.6396666665</v>
      </c>
      <c r="D73" s="191">
        <f>(Normalized_FCF!C25+Normalized_FCF!C35-Normalized_FCF!C91)/12</f>
        <v>-947972.33938934223</v>
      </c>
      <c r="F73" s="1" t="s">
        <v>385</v>
      </c>
    </row>
    <row r="74" spans="2:6" ht="15" customHeight="1" x14ac:dyDescent="0.35">
      <c r="B74" s="294" t="s">
        <v>351</v>
      </c>
      <c r="C74" s="295">
        <f>-$C$66/C73</f>
        <v>1.6829876118070222</v>
      </c>
      <c r="D74" s="295">
        <f>-$C$66/D73</f>
        <v>2.1078874530107048</v>
      </c>
      <c r="F74" s="289" t="s">
        <v>348</v>
      </c>
    </row>
    <row r="75" spans="2:6" ht="15" customHeight="1" x14ac:dyDescent="0.35">
      <c r="B75" s="82" t="s">
        <v>349</v>
      </c>
      <c r="C75" s="299"/>
      <c r="D75" s="298">
        <f>MAX(-D73*D76,G5)</f>
        <v>947972.33938934223</v>
      </c>
      <c r="F75" s="289" t="s">
        <v>386</v>
      </c>
    </row>
    <row r="76" spans="2:6" ht="15" customHeight="1" x14ac:dyDescent="0.35">
      <c r="B76" s="296" t="s">
        <v>352</v>
      </c>
      <c r="C76" s="297"/>
      <c r="D76" s="333">
        <f>IF(D74&lt;=3,1,IF(D74&gt;18,6,2))</f>
        <v>1</v>
      </c>
      <c r="F76" s="289" t="s">
        <v>353</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0</v>
      </c>
      <c r="D79" s="191">
        <f>G7*H7+G17*H17</f>
        <v>0</v>
      </c>
      <c r="F79" s="289"/>
    </row>
    <row r="80" spans="2:6" ht="15" customHeight="1" x14ac:dyDescent="0.35">
      <c r="B80" s="108" t="s">
        <v>186</v>
      </c>
      <c r="C80" s="20">
        <f>G19</f>
        <v>0</v>
      </c>
      <c r="D80" s="191">
        <f>G19*H19</f>
        <v>0</v>
      </c>
      <c r="F80" s="289"/>
    </row>
    <row r="81" spans="2:8" ht="15" customHeight="1" x14ac:dyDescent="0.35">
      <c r="B81" s="108" t="s">
        <v>184</v>
      </c>
      <c r="C81" s="20">
        <f>G9+G21</f>
        <v>925726</v>
      </c>
      <c r="D81" s="191">
        <f>G9*H9+G21*H21</f>
        <v>92572.6</v>
      </c>
      <c r="F81" s="289"/>
    </row>
    <row r="82" spans="2:8" ht="15" customHeight="1" x14ac:dyDescent="0.35">
      <c r="B82" s="82" t="s">
        <v>193</v>
      </c>
      <c r="C82" s="83">
        <f>SUM(C79:C81)</f>
        <v>925726</v>
      </c>
      <c r="D82" s="83">
        <f>SUM(D79:D81)</f>
        <v>92572.6</v>
      </c>
      <c r="F82" s="289"/>
    </row>
    <row r="84" spans="2:8" ht="15" customHeight="1" x14ac:dyDescent="0.35">
      <c r="B84" s="81" t="s">
        <v>314</v>
      </c>
      <c r="C84" s="37"/>
      <c r="D84" s="37"/>
      <c r="E84" s="37"/>
      <c r="F84" s="37"/>
      <c r="G84" s="37"/>
      <c r="H84" s="37"/>
    </row>
    <row r="85" spans="2:8" ht="15" customHeight="1" x14ac:dyDescent="0.35">
      <c r="B85" s="16" t="s">
        <v>315</v>
      </c>
      <c r="D85" s="276" t="s">
        <v>316</v>
      </c>
    </row>
    <row r="86" spans="2:8" ht="15" customHeight="1" x14ac:dyDescent="0.35">
      <c r="B86" s="273" t="s">
        <v>312</v>
      </c>
      <c r="C86" s="191">
        <f>-Valuation_Model!C7*Exchange_Rate</f>
        <v>-2034922</v>
      </c>
      <c r="D86" s="254">
        <f>C86*$H$1/Common_Shares</f>
        <v>-3.4660105464438944</v>
      </c>
      <c r="E86" s="275" t="str">
        <f>Market_currency</f>
        <v>HKD</v>
      </c>
    </row>
    <row r="87" spans="2:8" ht="15" customHeight="1" x14ac:dyDescent="0.35">
      <c r="B87" s="273" t="s">
        <v>313</v>
      </c>
      <c r="C87" s="191">
        <f>Valuation_Model!C8*Exchange_Rate</f>
        <v>1050246.6606106577</v>
      </c>
      <c r="D87" s="254">
        <f>C87*$H$1/Common_Shares</f>
        <v>1.7888479273623368</v>
      </c>
      <c r="E87" s="275" t="str">
        <f>Market_currency</f>
        <v>HKD</v>
      </c>
    </row>
    <row r="88" spans="2:8" ht="15" customHeight="1" x14ac:dyDescent="0.35">
      <c r="B88" s="274" t="s">
        <v>193</v>
      </c>
      <c r="C88" s="191">
        <f>Valuation_Model!C9*Exchange_Rate</f>
        <v>92572.6</v>
      </c>
      <c r="D88" s="254">
        <f>C88*$H$1/Common_Shares</f>
        <v>0.15767562978420405</v>
      </c>
      <c r="E88" s="275" t="str">
        <f>Market_currency</f>
        <v>HKD</v>
      </c>
    </row>
    <row r="89" spans="2:8" ht="15" customHeight="1" x14ac:dyDescent="0.35">
      <c r="B89" s="82" t="s">
        <v>317</v>
      </c>
      <c r="C89" s="190">
        <f>SUM(C86:C88)</f>
        <v>-892102.73938934237</v>
      </c>
      <c r="D89" s="277">
        <f>SUM(D86:D88)</f>
        <v>-1.5194869892973535</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60</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v>
      </c>
      <c r="D3" s="9"/>
      <c r="E3" s="308"/>
      <c r="F3" s="9"/>
      <c r="G3" s="9"/>
    </row>
    <row r="4" spans="1:17" ht="15.75" customHeight="1" x14ac:dyDescent="0.35">
      <c r="A4" s="10"/>
      <c r="B4" s="26" t="s">
        <v>2</v>
      </c>
      <c r="C4" s="196">
        <f>AVERAGE(G4:J4)</f>
        <v>11975736</v>
      </c>
      <c r="D4" s="57"/>
      <c r="E4" s="306"/>
      <c r="F4" s="57"/>
      <c r="G4" s="186">
        <f>Data!C36</f>
        <v>15325962</v>
      </c>
      <c r="H4" s="186">
        <f>Data!D36</f>
        <v>11977844</v>
      </c>
      <c r="I4" s="186">
        <f>Data!E36</f>
        <v>11737803</v>
      </c>
      <c r="J4" s="186">
        <f>Data!F36</f>
        <v>8861335</v>
      </c>
      <c r="K4" s="186">
        <f>Data!G36</f>
        <v>11233771</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-10274842.146672107</v>
      </c>
      <c r="E5" s="308"/>
      <c r="G5" s="186">
        <f t="shared" ref="G5:Q5" si="1">G25</f>
        <v>-13195082</v>
      </c>
      <c r="H5" s="186">
        <f t="shared" si="1"/>
        <v>-10265436</v>
      </c>
      <c r="I5" s="186">
        <f t="shared" si="1"/>
        <v>-9995269</v>
      </c>
      <c r="J5" s="186">
        <f t="shared" si="1"/>
        <v>-7641514</v>
      </c>
      <c r="K5" s="186">
        <f t="shared" si="1"/>
        <v>-9855851</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1700893.8533278927</v>
      </c>
      <c r="E6" s="308"/>
      <c r="G6" s="187">
        <f>IF(G4="","",G4+G5)</f>
        <v>2130880</v>
      </c>
      <c r="H6" s="187">
        <f t="shared" ref="H6:Q6" si="2">IF(H4="","",H4+H5)</f>
        <v>1712408</v>
      </c>
      <c r="I6" s="187">
        <f t="shared" si="2"/>
        <v>1742534</v>
      </c>
      <c r="J6" s="187">
        <f t="shared" si="2"/>
        <v>1219821</v>
      </c>
      <c r="K6" s="187">
        <f t="shared" si="2"/>
        <v>1377920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-302359.25</v>
      </c>
      <c r="E7" s="308"/>
      <c r="G7" s="197">
        <f t="shared" ref="G7:Q7" si="3">G35</f>
        <v>-254107</v>
      </c>
      <c r="H7" s="197">
        <f t="shared" si="3"/>
        <v>-349526</v>
      </c>
      <c r="I7" s="197">
        <f t="shared" si="3"/>
        <v>-323818</v>
      </c>
      <c r="J7" s="197">
        <f t="shared" si="3"/>
        <v>-281986</v>
      </c>
      <c r="K7" s="197">
        <f t="shared" si="3"/>
        <v>-173152</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1398534.6033278927</v>
      </c>
      <c r="D8" s="60"/>
      <c r="E8" s="314"/>
      <c r="F8" s="60"/>
      <c r="G8" s="187">
        <f>IF(G$4="","",G6+G7)</f>
        <v>1876773</v>
      </c>
      <c r="H8" s="187">
        <f t="shared" ref="H8:Q8" si="4">IF(H$4="","",H6+H7)</f>
        <v>1362882</v>
      </c>
      <c r="I8" s="187">
        <f t="shared" si="4"/>
        <v>1418716</v>
      </c>
      <c r="J8" s="187">
        <f t="shared" si="4"/>
        <v>937835</v>
      </c>
      <c r="K8" s="187">
        <f t="shared" si="4"/>
        <v>1204768</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463424</v>
      </c>
      <c r="E9" s="308"/>
      <c r="G9" s="197">
        <f>IF(Data!C61="","",-Data!C61)</f>
        <v>463424</v>
      </c>
      <c r="H9" s="197">
        <f>IF(Data!D61="","",-Data!D61)</f>
        <v>371724</v>
      </c>
      <c r="I9" s="197">
        <f>IF(Data!E61="","",-Data!E61)</f>
        <v>435672</v>
      </c>
      <c r="J9" s="197">
        <f>IF(Data!F61="","",-Data!F61)</f>
        <v>520888</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-463424.00000000006</v>
      </c>
      <c r="E10" s="308"/>
      <c r="G10" s="197">
        <f>Data!C62</f>
        <v>-676387</v>
      </c>
      <c r="H10" s="197">
        <f>Data!D62</f>
        <v>-107280</v>
      </c>
      <c r="I10" s="197">
        <f>Data!E62</f>
        <v>-455483</v>
      </c>
      <c r="J10" s="197">
        <f>Data!F62</f>
        <v>-138937</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0</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-45849.061111677467</v>
      </c>
      <c r="E12" s="308"/>
      <c r="G12" s="197">
        <f>G50</f>
        <v>-45849.061111677467</v>
      </c>
      <c r="H12" s="197">
        <f t="shared" ref="H12:Q12" si="6">H50</f>
        <v>-5048.2141120307824</v>
      </c>
      <c r="I12" s="197">
        <f t="shared" si="6"/>
        <v>18339.747429397234</v>
      </c>
      <c r="J12" s="197">
        <f t="shared" si="6"/>
        <v>1227.5583615236937</v>
      </c>
      <c r="K12" s="197">
        <f t="shared" si="6"/>
        <v>-41513.127740129785</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1352685.5422162153</v>
      </c>
      <c r="E13" s="308"/>
      <c r="G13" s="187">
        <f>IF(G$4="","",SUM(G8:G12))</f>
        <v>1618599.9388883226</v>
      </c>
      <c r="H13" s="187">
        <f t="shared" ref="H13:Q13" si="7">IF(H$4="","",SUM(H8:H12))</f>
        <v>1623204.7858879692</v>
      </c>
      <c r="I13" s="187">
        <f t="shared" si="7"/>
        <v>1417244.7474293972</v>
      </c>
      <c r="J13" s="187">
        <f t="shared" si="7"/>
        <v>1321013.5583615238</v>
      </c>
      <c r="K13" s="187">
        <f t="shared" si="7"/>
        <v>1163254.8722598702</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-338171.38555405382</v>
      </c>
      <c r="E14" s="308"/>
      <c r="G14" s="197">
        <f>Data!C46</f>
        <v>-327166</v>
      </c>
      <c r="H14" s="197">
        <f>Data!D46</f>
        <v>-280664</v>
      </c>
      <c r="I14" s="197">
        <f>Data!E46</f>
        <v>-291296</v>
      </c>
      <c r="J14" s="197">
        <f>Data!F46</f>
        <v>-236303</v>
      </c>
      <c r="K14" s="197">
        <f>Data!G46</f>
        <v>-223409</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0</v>
      </c>
      <c r="D15" s="61"/>
      <c r="E15" s="315"/>
      <c r="F15" s="61"/>
      <c r="G15" s="186">
        <f>Data!C48</f>
        <v>0</v>
      </c>
      <c r="H15" s="186">
        <f>Data!D48</f>
        <v>0</v>
      </c>
      <c r="I15" s="186">
        <f>Data!E48</f>
        <v>0</v>
      </c>
      <c r="J15" s="186">
        <f>Data!F48</f>
        <v>-1799</v>
      </c>
      <c r="K15" s="186">
        <f>Data!G48</f>
        <v>-1337</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1014514.1566621615</v>
      </c>
      <c r="D16" s="62"/>
      <c r="E16" s="316"/>
      <c r="F16" s="62"/>
      <c r="G16" s="187">
        <f>IF(G$4="","",SUM(G13:G15))</f>
        <v>1291433.9388883226</v>
      </c>
      <c r="H16" s="187">
        <f t="shared" ref="H16:Q16" si="8">IF(H$4="","",SUM(H13:H15))</f>
        <v>1342540.7858879692</v>
      </c>
      <c r="I16" s="187">
        <f t="shared" si="8"/>
        <v>1125948.7474293972</v>
      </c>
      <c r="J16" s="187">
        <f t="shared" si="8"/>
        <v>1082911.5583615238</v>
      </c>
      <c r="K16" s="187">
        <f t="shared" si="8"/>
        <v>938508.87225987017</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363</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364</v>
      </c>
      <c r="F18" s="59"/>
      <c r="G18" s="202"/>
      <c r="H18" s="202"/>
      <c r="I18" s="202"/>
      <c r="J18" s="202"/>
      <c r="K18" s="202"/>
      <c r="L18" s="202"/>
      <c r="M18" s="202"/>
      <c r="N18" s="202"/>
      <c r="O18" s="202"/>
      <c r="P18" s="202"/>
      <c r="Q18" s="202"/>
    </row>
    <row r="19" spans="1:17" ht="15.75" customHeight="1" x14ac:dyDescent="0.35">
      <c r="A19" s="10"/>
      <c r="B19" s="31" t="s">
        <v>69</v>
      </c>
      <c r="C19" s="187">
        <f>C16+C17</f>
        <v>1014514.1566621615</v>
      </c>
      <c r="D19" s="27"/>
      <c r="E19" s="305"/>
      <c r="F19" s="27"/>
      <c r="G19" s="189">
        <f>IF(G$4="","",G16+G17)</f>
        <v>1291433.9388883226</v>
      </c>
      <c r="H19" s="189">
        <f t="shared" ref="H19:Q19" si="9">IF(H$4="","",H16+H17)</f>
        <v>1342540.7858879692</v>
      </c>
      <c r="I19" s="189">
        <f t="shared" si="9"/>
        <v>1125948.7474293972</v>
      </c>
      <c r="J19" s="189">
        <f t="shared" si="9"/>
        <v>1082911.5583615238</v>
      </c>
      <c r="K19" s="189">
        <f t="shared" si="9"/>
        <v>938508.87225987017</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-8638608.2360938303</v>
      </c>
      <c r="D23" s="59"/>
      <c r="E23" s="307"/>
      <c r="F23" s="59"/>
      <c r="G23" s="186">
        <f>Data!C37</f>
        <v>-11151623</v>
      </c>
      <c r="H23" s="186">
        <f>Data!D37</f>
        <v>-8747447</v>
      </c>
      <c r="I23" s="186">
        <f>Data!E37</f>
        <v>-8503976</v>
      </c>
      <c r="J23" s="186">
        <f>Data!F37</f>
        <v>-6229020</v>
      </c>
      <c r="K23" s="186">
        <f>Data!G37</f>
        <v>-7910751</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-1636233.9105782772</v>
      </c>
      <c r="D24" s="27"/>
      <c r="E24" s="305"/>
      <c r="F24" s="27"/>
      <c r="G24" s="186">
        <f>Data!C40</f>
        <v>-2043459</v>
      </c>
      <c r="H24" s="186">
        <f>Data!D40</f>
        <v>-1517989</v>
      </c>
      <c r="I24" s="186">
        <f>Data!E40</f>
        <v>-1491293</v>
      </c>
      <c r="J24" s="186">
        <f>Data!F40</f>
        <v>-1412494</v>
      </c>
      <c r="K24" s="186">
        <f>Data!G40</f>
        <v>-1945100</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-10274842.146672107</v>
      </c>
      <c r="D25" s="9"/>
      <c r="E25" s="313"/>
      <c r="F25" s="9"/>
      <c r="G25" s="187">
        <f t="shared" ref="G25:Q25" si="10">IF(G$4="","",G23+G24)</f>
        <v>-13195082</v>
      </c>
      <c r="H25" s="187">
        <f t="shared" si="10"/>
        <v>-10265436</v>
      </c>
      <c r="I25" s="187">
        <f t="shared" si="10"/>
        <v>-9995269</v>
      </c>
      <c r="J25" s="187">
        <f t="shared" si="10"/>
        <v>-7641514</v>
      </c>
      <c r="K25" s="187">
        <f t="shared" si="10"/>
        <v>-9855851</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AVERAGE(G28:J28)</f>
        <v>0.72134257435984139</v>
      </c>
      <c r="D28" s="26"/>
      <c r="E28" s="306" t="s">
        <v>365</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06" t="s">
        <v>365</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0.85797166426114502</v>
      </c>
      <c r="E30" s="30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AVERAGE(G33:J33)</f>
        <v>-302359.25</v>
      </c>
      <c r="E33" s="306" t="s">
        <v>365</v>
      </c>
      <c r="G33" s="197">
        <f>Data!C41</f>
        <v>-254107</v>
      </c>
      <c r="H33" s="197">
        <f>Data!D41</f>
        <v>-349526</v>
      </c>
      <c r="I33" s="197">
        <f>Data!E41</f>
        <v>-323818</v>
      </c>
      <c r="J33" s="197">
        <f>Data!F41</f>
        <v>-281986</v>
      </c>
      <c r="K33" s="197">
        <f>Data!G41</f>
        <v>-173152</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365</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-302359.25</v>
      </c>
      <c r="D35" s="59"/>
      <c r="E35" s="307"/>
      <c r="F35" s="59"/>
      <c r="G35" s="187">
        <f t="shared" ref="G35:Q35" si="14">IF(G4="","",G33+G34)</f>
        <v>-254107</v>
      </c>
      <c r="H35" s="187">
        <f t="shared" si="14"/>
        <v>-349526</v>
      </c>
      <c r="I35" s="187">
        <f t="shared" si="14"/>
        <v>-323818</v>
      </c>
      <c r="J35" s="187">
        <f t="shared" si="14"/>
        <v>-281986</v>
      </c>
      <c r="K35" s="187">
        <f t="shared" si="14"/>
        <v>-173152</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2.5247654924924864E-2</v>
      </c>
      <c r="D38" s="27"/>
      <c r="E38" s="30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2.5247654924924864E-2</v>
      </c>
      <c r="E40" s="30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0.25</v>
      </c>
      <c r="D43" s="27"/>
      <c r="E43" s="305" t="s">
        <v>366</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-59596</v>
      </c>
      <c r="E47" s="308"/>
      <c r="G47" s="197">
        <f>Data!C51</f>
        <v>-59596</v>
      </c>
      <c r="H47" s="197">
        <f>Data!D51</f>
        <v>-20763</v>
      </c>
      <c r="I47" s="197">
        <f>Data!E51</f>
        <v>-23097</v>
      </c>
      <c r="J47" s="197">
        <f>Data!F51</f>
        <v>-28849</v>
      </c>
      <c r="K47" s="197">
        <f>Data!G51</f>
        <v>-63075</v>
      </c>
      <c r="L47" s="197" t="str">
        <f>Data!H51</f>
        <v/>
      </c>
      <c r="M47" s="197" t="str">
        <f>Data!I51</f>
        <v/>
      </c>
      <c r="N47" s="197" t="str">
        <f>Data!J51</f>
        <v/>
      </c>
      <c r="O47" s="197" t="str">
        <f>Data!K51</f>
        <v/>
      </c>
      <c r="P47" s="197" t="str">
        <f>Data!L51</f>
        <v/>
      </c>
      <c r="Q47" s="197" t="str">
        <f>Data!M51</f>
        <v/>
      </c>
    </row>
    <row r="48" spans="1:17" ht="15.75" customHeight="1" x14ac:dyDescent="0.35">
      <c r="A48" s="10"/>
      <c r="B48" s="2" t="s">
        <v>379</v>
      </c>
      <c r="C48" s="197">
        <f>BS!D75*C53</f>
        <v>13746.938888322537</v>
      </c>
      <c r="E48" s="308"/>
      <c r="G48" s="334">
        <f>IF(G$4="","",($C$48/$C$49)*G49)</f>
        <v>13746.938888322537</v>
      </c>
      <c r="H48" s="334">
        <f t="shared" ref="H48:Q48" si="19">IF(H$4="","",($C$48/$C$49)*H49)</f>
        <v>15714.785887969218</v>
      </c>
      <c r="I48" s="334">
        <f t="shared" si="19"/>
        <v>41436.747429397234</v>
      </c>
      <c r="J48" s="334">
        <f t="shared" si="19"/>
        <v>30076.558361523694</v>
      </c>
      <c r="K48" s="334">
        <f t="shared" si="19"/>
        <v>21561.872259870215</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374</v>
      </c>
      <c r="C49" s="330">
        <f>BS!$C$66*C53</f>
        <v>28977</v>
      </c>
      <c r="D49" s="331"/>
      <c r="E49" s="332"/>
      <c r="F49" s="331"/>
      <c r="G49" s="330">
        <f>Data!C52</f>
        <v>28977</v>
      </c>
      <c r="H49" s="330">
        <f>Data!D52</f>
        <v>33125</v>
      </c>
      <c r="I49" s="330">
        <f>Data!E52</f>
        <v>87344</v>
      </c>
      <c r="J49" s="330">
        <f>Data!F52</f>
        <v>63398</v>
      </c>
      <c r="K49" s="330">
        <f>Data!G52</f>
        <v>45450</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-45849.061111677467</v>
      </c>
      <c r="E50" s="308"/>
      <c r="G50" s="187">
        <f>IF(G$4="","",(G47+G48))</f>
        <v>-45849.061111677467</v>
      </c>
      <c r="H50" s="187">
        <f t="shared" ref="H50:Q50" si="20">IF(H$4="","",(H47+H48))</f>
        <v>-5048.2141120307824</v>
      </c>
      <c r="I50" s="187">
        <f t="shared" si="20"/>
        <v>18339.747429397234</v>
      </c>
      <c r="J50" s="187">
        <f t="shared" si="20"/>
        <v>1227.5583615236937</v>
      </c>
      <c r="K50" s="187">
        <f t="shared" si="20"/>
        <v>-41513.127740129785</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f>G53</f>
        <v>1.4501413508729523E-2</v>
      </c>
      <c r="E53" s="305" t="s">
        <v>367</v>
      </c>
      <c r="G53" s="6">
        <f>IF(Normalized_FCF!G4="","",Normalized_FCF!G49/BS!$C$66)</f>
        <v>1.4501413508729523E-2</v>
      </c>
      <c r="H53" s="173"/>
      <c r="I53" s="173"/>
      <c r="J53" s="173"/>
      <c r="K53" s="173"/>
      <c r="L53" s="173"/>
      <c r="M53" s="173"/>
      <c r="N53" s="173"/>
      <c r="O53" s="173"/>
      <c r="P53" s="173"/>
      <c r="Q53" s="173"/>
    </row>
    <row r="54" spans="1:17" ht="15.75" customHeight="1" x14ac:dyDescent="0.35">
      <c r="A54" s="10"/>
      <c r="B54" s="8" t="s">
        <v>91</v>
      </c>
      <c r="C54" s="84">
        <f>G54</f>
        <v>2.9286626219579916E-2</v>
      </c>
      <c r="E54" s="305" t="s">
        <v>368</v>
      </c>
      <c r="G54" s="23">
        <f>IFERROR(ABS(Normalized_FCF!G47/BS!$G$31),0)</f>
        <v>2.9286626219579916E-2</v>
      </c>
      <c r="H54" s="173"/>
      <c r="I54" s="173"/>
      <c r="J54" s="173"/>
      <c r="K54" s="173"/>
      <c r="L54" s="173"/>
      <c r="M54" s="173"/>
      <c r="N54" s="173"/>
      <c r="O54" s="173"/>
      <c r="P54" s="173"/>
      <c r="Q54" s="173"/>
    </row>
    <row r="55" spans="1:17" ht="15.75" customHeight="1" x14ac:dyDescent="0.35">
      <c r="A55" s="10"/>
      <c r="B55" s="26" t="s">
        <v>94</v>
      </c>
      <c r="C55" s="42">
        <f>-C8/C47</f>
        <v>23.466920654538772</v>
      </c>
      <c r="E55" s="30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0</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0</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369</v>
      </c>
      <c r="G62" s="197">
        <f>Data!C58</f>
        <v>247678</v>
      </c>
      <c r="H62" s="197">
        <f>Data!D58</f>
        <v>189250</v>
      </c>
      <c r="I62" s="197">
        <f>Data!E58</f>
        <v>200697</v>
      </c>
      <c r="J62" s="197">
        <f>Data!F58</f>
        <v>281254</v>
      </c>
      <c r="K62" s="197">
        <f>Data!G58</f>
        <v>-97419</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0</v>
      </c>
      <c r="E63" s="308"/>
      <c r="G63" s="187">
        <f t="shared" ref="G63:Q63" si="23">IF(G4="","",G61+G62)</f>
        <v>248317</v>
      </c>
      <c r="H63" s="187">
        <f t="shared" si="23"/>
        <v>190177</v>
      </c>
      <c r="I63" s="187">
        <f t="shared" si="23"/>
        <v>200697</v>
      </c>
      <c r="J63" s="187">
        <f t="shared" si="23"/>
        <v>281254</v>
      </c>
      <c r="K63" s="187">
        <f t="shared" si="23"/>
        <v>-97419</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0</v>
      </c>
      <c r="D69" s="9"/>
      <c r="E69" s="313"/>
      <c r="F69" s="9"/>
      <c r="G69" s="72">
        <f>G61/BS!C70</f>
        <v>3.197847683362034E-4</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0.85797166426114502</v>
      </c>
      <c r="D73" s="27"/>
      <c r="E73" s="30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0.14202833573885504</v>
      </c>
      <c r="D74" s="27"/>
      <c r="E74" s="305"/>
      <c r="F74" s="27"/>
      <c r="G74" s="66">
        <f t="shared" ref="G74:Q74" si="25">IF(G$4="","",ABS(G6/G$4))</f>
        <v>0.13903727544150246</v>
      </c>
      <c r="H74" s="66">
        <f t="shared" si="25"/>
        <v>0.14296462702302684</v>
      </c>
      <c r="I74" s="66">
        <f t="shared" si="25"/>
        <v>0.14845486842810363</v>
      </c>
      <c r="J74" s="66">
        <f t="shared" si="25"/>
        <v>0.13765657206278739</v>
      </c>
      <c r="K74" s="66">
        <f t="shared" si="25"/>
        <v>0.12265872252514316</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2.5247654924924864E-2</v>
      </c>
      <c r="D75" s="27"/>
      <c r="E75" s="30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0.11678068081393016</v>
      </c>
      <c r="D76" s="27"/>
      <c r="E76" s="305"/>
      <c r="F76" s="27"/>
      <c r="G76" s="66">
        <f t="shared" ref="G76:Q76" si="27">IF(G$4="","",ABS(G8/G$4))</f>
        <v>0.12245710905455723</v>
      </c>
      <c r="H76" s="66">
        <f t="shared" si="27"/>
        <v>0.11378358242100998</v>
      </c>
      <c r="I76" s="66">
        <f t="shared" si="27"/>
        <v>0.12086725258551366</v>
      </c>
      <c r="J76" s="66">
        <f t="shared" si="27"/>
        <v>0.10583450462035347</v>
      </c>
      <c r="K76" s="66">
        <f t="shared" si="27"/>
        <v>0.10724519842891581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3.8696911822371505E-2</v>
      </c>
      <c r="D77" s="27"/>
      <c r="E77" s="30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3.8696911822371505E-2</v>
      </c>
      <c r="D78" s="27"/>
      <c r="E78" s="306" t="s">
        <v>391</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0</v>
      </c>
      <c r="D79" s="27"/>
      <c r="E79" s="305"/>
      <c r="F79" s="27"/>
      <c r="G79" s="66">
        <f t="shared" ref="G79:Q79" si="30">IF(G$4="","",G11/G$4)</f>
        <v>4.1693956960091643E-5</v>
      </c>
      <c r="H79" s="66">
        <f t="shared" si="30"/>
        <v>7.7392893078253488E-5</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3.8284963121830232E-3</v>
      </c>
      <c r="D80" s="27"/>
      <c r="E80" s="30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0.11295218450174714</v>
      </c>
      <c r="D81" s="27"/>
      <c r="E81" s="305"/>
      <c r="F81" s="27"/>
      <c r="G81" s="66">
        <f t="shared" ref="G81:Q81" si="32">IF(G$4="","",G13/G$4)</f>
        <v>0.10561163722631718</v>
      </c>
      <c r="H81" s="66">
        <f t="shared" si="32"/>
        <v>0.13551727555376153</v>
      </c>
      <c r="I81" s="66">
        <f t="shared" si="32"/>
        <v>0.1207419094893139</v>
      </c>
      <c r="J81" s="66">
        <f t="shared" si="32"/>
        <v>0.14907613337736625</v>
      </c>
      <c r="K81" s="66">
        <f t="shared" si="32"/>
        <v>0.10354981174708565</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2.8238046125436785E-2</v>
      </c>
      <c r="D82" s="27"/>
      <c r="E82" s="30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0</v>
      </c>
      <c r="D83" s="27"/>
      <c r="E83" s="30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8.4714138376310352E-2</v>
      </c>
      <c r="D84" s="27"/>
      <c r="E84" s="305"/>
      <c r="F84" s="27"/>
      <c r="G84" s="66">
        <f t="shared" ref="G84:Q84" si="35">IF(G$4="","",ABS(G16/G$4))</f>
        <v>8.4264461760268139E-2</v>
      </c>
      <c r="H84" s="66">
        <f t="shared" si="35"/>
        <v>0.11208534573400432</v>
      </c>
      <c r="I84" s="66">
        <f t="shared" si="35"/>
        <v>9.5924999544582334E-2</v>
      </c>
      <c r="J84" s="66">
        <f t="shared" si="35"/>
        <v>0.12220636714011193</v>
      </c>
      <c r="K84" s="66">
        <f t="shared" si="35"/>
        <v>8.3543528905820688E-2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8.4714138376310352E-2</v>
      </c>
      <c r="D87" s="77"/>
      <c r="E87" s="305"/>
      <c r="F87" s="77"/>
      <c r="G87" s="66">
        <f t="shared" ref="G87:Q87" si="36">IF(G$4="","",ABS(G19/G$4))</f>
        <v>8.4264461760268139E-2</v>
      </c>
      <c r="H87" s="66">
        <f t="shared" si="36"/>
        <v>0.11208534573400432</v>
      </c>
      <c r="I87" s="66">
        <f t="shared" si="36"/>
        <v>9.5924999544582334E-2</v>
      </c>
      <c r="J87" s="66">
        <f t="shared" si="36"/>
        <v>0.12220636714011193</v>
      </c>
      <c r="K87" s="66">
        <f t="shared" si="36"/>
        <v>8.3543528905820688E-2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1.36</v>
      </c>
      <c r="E90" s="308"/>
      <c r="G90" s="116">
        <f>Data!C64</f>
        <v>1.36</v>
      </c>
      <c r="H90" s="116">
        <f>Data!D64</f>
        <v>1.1000000000000001</v>
      </c>
      <c r="I90" s="116">
        <f>Data!E64</f>
        <v>1.1000000000000001</v>
      </c>
      <c r="J90" s="116">
        <f>Data!F64</f>
        <v>1</v>
      </c>
      <c r="K90" s="116">
        <f>Data!G64</f>
        <v>1</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798466.67599999998</v>
      </c>
      <c r="E91" s="308"/>
      <c r="G91" s="76">
        <f t="shared" ref="G91:Q91" si="37">IF(G$4="","",G90*Common_Shares/$C$3)</f>
        <v>798466.67599999998</v>
      </c>
      <c r="H91" s="76">
        <f t="shared" si="37"/>
        <v>645818.63500000001</v>
      </c>
      <c r="I91" s="76">
        <f t="shared" si="37"/>
        <v>645818.63500000001</v>
      </c>
      <c r="J91" s="76">
        <f t="shared" si="37"/>
        <v>587107.85</v>
      </c>
      <c r="K91" s="76">
        <f t="shared" si="37"/>
        <v>587107.85</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0.7870434047239161</v>
      </c>
      <c r="E92" s="308"/>
      <c r="G92" s="174">
        <f t="shared" ref="G92:Q92" si="38">IF(G$4="","",G90/(G19*$C$3/Common_Shares))</f>
        <v>0.61827914843815168</v>
      </c>
      <c r="H92" s="174">
        <f t="shared" si="38"/>
        <v>0.48104209703606843</v>
      </c>
      <c r="I92" s="174">
        <f t="shared" si="38"/>
        <v>0.57357729334877761</v>
      </c>
      <c r="J92" s="174">
        <f t="shared" si="38"/>
        <v>0.54215678599673545</v>
      </c>
      <c r="K92" s="174">
        <f t="shared" si="38"/>
        <v>0.62557517286574116</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337</v>
      </c>
      <c r="C93" s="23">
        <f>C90/Market_Price</f>
        <v>9.1030789825970557E-2</v>
      </c>
      <c r="E93" s="308"/>
      <c r="G93" s="23">
        <f t="shared" ref="G93:Q93" si="39">IF(G$4="","",G90/Market_Price)</f>
        <v>9.1030789825970557E-2</v>
      </c>
      <c r="H93" s="23">
        <f t="shared" si="39"/>
        <v>7.3627844712182075E-2</v>
      </c>
      <c r="I93" s="23">
        <f t="shared" si="39"/>
        <v>7.3627844712182075E-2</v>
      </c>
      <c r="J93" s="23">
        <f t="shared" si="39"/>
        <v>6.6934404283801874E-2</v>
      </c>
      <c r="K93" s="23">
        <f t="shared" si="39"/>
        <v>6.6934404283801874E-2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-0.2185980886550547</v>
      </c>
      <c r="D96" s="27"/>
      <c r="E96" s="30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-0.16428667163718114</v>
      </c>
      <c r="D97" s="27"/>
      <c r="E97" s="30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16854064</v>
      </c>
      <c r="D101" s="26"/>
      <c r="E101" s="309"/>
      <c r="F101" s="26"/>
      <c r="G101" s="186">
        <f t="shared" ref="G101:Q101" si="42">IF(G$4="","",G105+G104)</f>
        <v>16854064</v>
      </c>
      <c r="H101" s="186">
        <f t="shared" si="42"/>
        <v>14687373</v>
      </c>
      <c r="I101" s="186">
        <f t="shared" si="42"/>
        <v>15987114</v>
      </c>
      <c r="J101" s="186">
        <f t="shared" si="42"/>
        <v>14270996</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265773</v>
      </c>
      <c r="D102" s="91"/>
      <c r="E102" s="310"/>
      <c r="F102" s="91"/>
      <c r="G102" s="188">
        <f>IF(G$4="","",Data!D76)</f>
        <v>213823</v>
      </c>
      <c r="H102" s="188">
        <f>IF(H$4="","",Data!E76)</f>
        <v>187711</v>
      </c>
      <c r="I102" s="188">
        <f>IF(I$4="","",Data!F76)</f>
        <v>277338</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9672256</v>
      </c>
      <c r="D103" s="91"/>
      <c r="E103" s="310"/>
      <c r="F103" s="91"/>
      <c r="G103" s="188">
        <f>IF(G$4="","",Data!D77)</f>
        <v>8852611</v>
      </c>
      <c r="H103" s="188">
        <f>IF(H$4="","",Data!E77)</f>
        <v>8769304</v>
      </c>
      <c r="I103" s="188">
        <f>IF(I$4="","",Data!F77)</f>
        <v>7321614</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3990166</v>
      </c>
      <c r="D104" s="26"/>
      <c r="E104" s="309"/>
      <c r="F104" s="26"/>
      <c r="G104" s="186">
        <f>Data!C78</f>
        <v>3990166</v>
      </c>
      <c r="H104" s="186">
        <f>Data!D78</f>
        <v>2466431</v>
      </c>
      <c r="I104" s="186">
        <f>Data!E78</f>
        <v>3908586</v>
      </c>
      <c r="J104" s="186">
        <f>Data!F78</f>
        <v>2946772</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12863898</v>
      </c>
      <c r="D105" s="26"/>
      <c r="E105" s="309"/>
      <c r="F105" s="26"/>
      <c r="G105" s="186">
        <f>Data!C79</f>
        <v>12863898</v>
      </c>
      <c r="H105" s="186">
        <f>Data!D79</f>
        <v>12220942</v>
      </c>
      <c r="I105" s="186">
        <f>Data!E79</f>
        <v>12078528</v>
      </c>
      <c r="J105" s="186">
        <f>Data!F79</f>
        <v>11324224</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2.2192623484686036E-2</v>
      </c>
      <c r="D108" s="26"/>
      <c r="E108" s="309"/>
      <c r="F108" s="26"/>
      <c r="G108" s="97">
        <f t="shared" ref="G108:Q108" si="43">IF(G$4="","",G102/G$4)</f>
        <v>1.3951685381968192E-2</v>
      </c>
      <c r="H108" s="97">
        <f t="shared" si="43"/>
        <v>1.5671518179732512E-2</v>
      </c>
      <c r="I108" s="97">
        <f t="shared" si="43"/>
        <v>2.3627760663558588E-2</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0.80765441055146836</v>
      </c>
      <c r="D109" s="26"/>
      <c r="E109" s="309"/>
      <c r="F109" s="26"/>
      <c r="G109" s="97">
        <f t="shared" ref="G109:Q109" si="44">IF(G$4="","",G103/G$4)</f>
        <v>0.57762188109301071</v>
      </c>
      <c r="H109" s="97">
        <f t="shared" si="44"/>
        <v>0.73212708397270831</v>
      </c>
      <c r="I109" s="97">
        <f t="shared" si="44"/>
        <v>0.62376357824373097</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0.11295218450174714</v>
      </c>
      <c r="E113" s="308"/>
      <c r="G113" s="23">
        <f t="shared" ref="G113:Q113" si="45">G81</f>
        <v>0.10561163722631718</v>
      </c>
      <c r="H113" s="23">
        <f t="shared" si="45"/>
        <v>0.13551727555376153</v>
      </c>
      <c r="I113" s="23">
        <f t="shared" si="45"/>
        <v>0.1207419094893139</v>
      </c>
      <c r="J113" s="23">
        <f t="shared" si="45"/>
        <v>0.14907613337736625</v>
      </c>
      <c r="K113" s="23">
        <f t="shared" si="45"/>
        <v>0.10354981174708565</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0.71055479556740742</v>
      </c>
      <c r="E114" s="308"/>
      <c r="G114" s="42">
        <f t="shared" ref="G114:Q114" si="46">IF(G4="","",G4/G101)</f>
        <v>0.90933332162498015</v>
      </c>
      <c r="H114" s="42">
        <f t="shared" si="46"/>
        <v>0.81551983462257005</v>
      </c>
      <c r="I114" s="42">
        <f t="shared" si="46"/>
        <v>0.73420399704411943</v>
      </c>
      <c r="J114" s="42">
        <f t="shared" si="46"/>
        <v>0.62093318504188499</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1.3101832741522048</v>
      </c>
      <c r="D115" s="11"/>
      <c r="E115" s="312"/>
      <c r="F115" s="11"/>
      <c r="G115" s="15">
        <f t="shared" ref="G115:Q115" si="47">IF(G$4="","",G101/G105)</f>
        <v>1.3101832741522048</v>
      </c>
      <c r="H115" s="15">
        <f t="shared" si="47"/>
        <v>1.2018200397317982</v>
      </c>
      <c r="I115" s="15">
        <f t="shared" si="47"/>
        <v>1.3235978755027102</v>
      </c>
      <c r="J115" s="15">
        <f t="shared" si="47"/>
        <v>1.2602184485223888</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0.10871779326358874</v>
      </c>
      <c r="D116" s="106"/>
      <c r="E116" s="311"/>
      <c r="F116" s="106"/>
      <c r="G116" s="105">
        <f t="shared" ref="G116:Q116" si="48">IF(G$4="","",G8/G105)</f>
        <v>0.14589458032083277</v>
      </c>
      <c r="H116" s="105">
        <f t="shared" si="48"/>
        <v>0.11152020850765841</v>
      </c>
      <c r="I116" s="105">
        <f t="shared" si="48"/>
        <v>0.1174576902086082</v>
      </c>
      <c r="J116" s="105">
        <f t="shared" si="48"/>
        <v>8.2816712209154458E-2</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1.7279860193696295</v>
      </c>
      <c r="D120" s="27"/>
      <c r="E120" s="305"/>
      <c r="F120" s="27"/>
      <c r="G120" s="181">
        <f t="shared" ref="G120:Q120" si="49">IF(G$4="","",G16*$C$3/Common_Shares*Exchange_Rate)</f>
        <v>2.1996536733213881</v>
      </c>
      <c r="H120" s="181">
        <f t="shared" si="49"/>
        <v>2.2867021551286859</v>
      </c>
      <c r="I120" s="181">
        <f t="shared" si="49"/>
        <v>1.9177886097578105</v>
      </c>
      <c r="J120" s="181">
        <f t="shared" si="49"/>
        <v>1.8444848904022044</v>
      </c>
      <c r="K120" s="181">
        <f t="shared" si="49"/>
        <v>1.5985289112722136</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0.11566171481724427</v>
      </c>
      <c r="D121" s="27"/>
      <c r="E121" s="305"/>
      <c r="F121" s="27"/>
      <c r="G121" s="79">
        <f t="shared" ref="G121" si="50">IF(G$4="","",G120/Market_Price)</f>
        <v>0.14723250825444364</v>
      </c>
      <c r="H121" s="79">
        <f t="shared" ref="H121" si="51">IF(H$4="","",H120/Market_Price)</f>
        <v>0.15305904652802449</v>
      </c>
      <c r="I121" s="79">
        <f t="shared" ref="I121" si="52">IF(I$4="","",I120/Market_Price)</f>
        <v>0.12836603813639963</v>
      </c>
      <c r="J121" s="79">
        <f t="shared" ref="J121" si="53">IF(J$4="","",J120/Market_Price)</f>
        <v>0.12345949734954514</v>
      </c>
      <c r="K121" s="79">
        <f t="shared" ref="K121" si="54">IF(K$4="","",K120/Market_Price)</f>
        <v>0.10699658040644</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v>
      </c>
      <c r="E3" s="112" t="s">
        <v>128</v>
      </c>
      <c r="H3" s="124"/>
    </row>
    <row r="4" spans="2:8" x14ac:dyDescent="0.35">
      <c r="B4" s="103" t="s">
        <v>132</v>
      </c>
      <c r="C4" s="113">
        <f>Normalized_FCF!C19</f>
        <v>1014514.1566621615</v>
      </c>
      <c r="D4" t="str">
        <f>Reporting_currency</f>
        <v>HKD</v>
      </c>
      <c r="E4" s="103" t="s">
        <v>256</v>
      </c>
      <c r="F4" s="138">
        <f>Thesis!C75</f>
        <v>0</v>
      </c>
      <c r="H4" s="124"/>
    </row>
    <row r="5" spans="2:8" x14ac:dyDescent="0.35">
      <c r="B5" s="233" t="s">
        <v>127</v>
      </c>
      <c r="C5" s="234">
        <f>Thesis!C70</f>
        <v>0.08</v>
      </c>
      <c r="E5" s="152"/>
      <c r="H5" s="124"/>
    </row>
    <row r="6" spans="2:8" ht="13.15" customHeight="1" x14ac:dyDescent="0.4">
      <c r="B6" s="153" t="s">
        <v>232</v>
      </c>
      <c r="C6" s="238">
        <f>(C4*(1+Terminal_Growth))/(Equity_Cost-Terminal_Growth)</f>
        <v>12681426.958277019</v>
      </c>
      <c r="D6" t="str">
        <f>Reporting_currency</f>
        <v>HKD</v>
      </c>
      <c r="E6" s="344" t="s">
        <v>255</v>
      </c>
      <c r="F6" s="344"/>
      <c r="H6" s="124"/>
    </row>
    <row r="7" spans="2:8" x14ac:dyDescent="0.35">
      <c r="B7" s="152" t="s">
        <v>228</v>
      </c>
      <c r="C7" s="232">
        <f>BS!G31</f>
        <v>2034922</v>
      </c>
      <c r="D7" t="str">
        <f>Reporting_currency</f>
        <v>HKD</v>
      </c>
      <c r="E7" s="344"/>
      <c r="F7" s="344"/>
      <c r="H7" s="124"/>
    </row>
    <row r="8" spans="2:8" x14ac:dyDescent="0.35">
      <c r="B8" s="152" t="s">
        <v>229</v>
      </c>
      <c r="C8" s="207">
        <f>BS!D66</f>
        <v>1050246.6606106577</v>
      </c>
      <c r="D8" t="str">
        <f>Reporting_currency</f>
        <v>HKD</v>
      </c>
      <c r="E8" s="344"/>
      <c r="F8" s="344"/>
      <c r="H8" s="124"/>
    </row>
    <row r="9" spans="2:8" x14ac:dyDescent="0.35">
      <c r="B9" s="233" t="s">
        <v>194</v>
      </c>
      <c r="C9" s="235">
        <f>BS!H42</f>
        <v>92572.6</v>
      </c>
      <c r="D9" t="str">
        <f>Reporting_currency</f>
        <v>HKD</v>
      </c>
      <c r="E9" s="344"/>
      <c r="F9" s="344"/>
      <c r="H9" s="124"/>
    </row>
    <row r="10" spans="2:8" ht="13.15" x14ac:dyDescent="0.4">
      <c r="B10" s="153" t="s">
        <v>231</v>
      </c>
      <c r="C10" s="238">
        <f>C6-C7+C8+C9</f>
        <v>11789324.218887676</v>
      </c>
      <c r="D10" t="str">
        <f>Reporting_currency</f>
        <v>HKD</v>
      </c>
      <c r="H10" s="124"/>
    </row>
    <row r="11" spans="2:8" ht="13.15" thickBot="1" x14ac:dyDescent="0.4">
      <c r="B11" s="236" t="s">
        <v>170</v>
      </c>
      <c r="C11" s="237">
        <f>Exchange_Rate</f>
        <v>1</v>
      </c>
      <c r="D11" t="str">
        <f>Thesis!D17</f>
        <v>HKD</v>
      </c>
      <c r="H11" s="124"/>
    </row>
    <row r="12" spans="2:8" ht="13.5" thickTop="1" x14ac:dyDescent="0.4">
      <c r="B12" s="153" t="s">
        <v>106</v>
      </c>
      <c r="C12" s="115">
        <f>(C10*C3)/Common_Shares*C11</f>
        <v>20.080338252823015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6.4006284479398504E-3</v>
      </c>
      <c r="H16" s="124"/>
    </row>
    <row r="17" spans="2:8" ht="13.25" customHeight="1" x14ac:dyDescent="0.35">
      <c r="B17" s="122" t="s">
        <v>138</v>
      </c>
      <c r="C17" s="166">
        <f>Scenarios!C64</f>
        <v>10</v>
      </c>
      <c r="H17" s="124"/>
    </row>
    <row r="18" spans="2:8" ht="13.25" customHeight="1" x14ac:dyDescent="0.4">
      <c r="B18" s="157" t="s">
        <v>110</v>
      </c>
      <c r="C18" s="144">
        <f>(F52-C7+C8+C9)*Exchange_Rate/Common_Shares*C3</f>
        <v>20.512359193543752</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1021007.684834131</v>
      </c>
      <c r="D21" s="142">
        <f>IF($C$17&lt;B21,0,Valuation_Model!$C$16)</f>
        <v>6.4006284479398504E-3</v>
      </c>
      <c r="E21" s="128">
        <f t="shared" ref="E21:E50" si="0">IF($C$17&lt;B21,0,1/(1+Equity_Cost)^B21)</f>
        <v>0.92592592592592582</v>
      </c>
      <c r="F21" s="129">
        <f t="shared" ref="F21:F51" si="1">C21*E21</f>
        <v>945377.48595752858</v>
      </c>
      <c r="H21" s="124"/>
    </row>
    <row r="22" spans="2:8" x14ac:dyDescent="0.35">
      <c r="B22" s="126">
        <v>2</v>
      </c>
      <c r="C22" s="127">
        <f t="shared" ref="C22:C50" si="2">IF(ROW()-ROW($C$21)&lt;$C$17, $C$21*(1+D22)^(ROW()-ROW($C$21)), 0)</f>
        <v>1027542.7756672456</v>
      </c>
      <c r="D22" s="142">
        <f>IF($C$17&lt;B22,0,Valuation_Model!$C$16)</f>
        <v>6.4006284479398504E-3</v>
      </c>
      <c r="E22" s="128">
        <f t="shared" si="0"/>
        <v>0.85733882030178321</v>
      </c>
      <c r="F22" s="129">
        <f t="shared" si="1"/>
        <v>880952.31110017619</v>
      </c>
      <c r="H22" s="124"/>
    </row>
    <row r="23" spans="2:8" x14ac:dyDescent="0.35">
      <c r="B23" s="126">
        <v>3</v>
      </c>
      <c r="C23" s="127">
        <f t="shared" si="2"/>
        <v>1034119.6951886564</v>
      </c>
      <c r="D23" s="142">
        <f>IF($C$17&lt;B23,0,Valuation_Model!$C$16)</f>
        <v>6.4006284479398504E-3</v>
      </c>
      <c r="E23" s="128">
        <f t="shared" si="0"/>
        <v>0.79383224102016958</v>
      </c>
      <c r="F23" s="129">
        <f t="shared" si="1"/>
        <v>820917.55511470581</v>
      </c>
      <c r="H23" s="124"/>
    </row>
    <row r="24" spans="2:8" x14ac:dyDescent="0.35">
      <c r="B24" s="126">
        <v>4</v>
      </c>
      <c r="C24" s="127">
        <f t="shared" si="2"/>
        <v>1040738.7111282558</v>
      </c>
      <c r="D24" s="142">
        <f>IF($C$17&lt;B24,0,Valuation_Model!$C$16)</f>
        <v>6.4006284479398504E-3</v>
      </c>
      <c r="E24" s="128">
        <f t="shared" si="0"/>
        <v>0.73502985279645328</v>
      </c>
      <c r="F24" s="129">
        <f t="shared" si="1"/>
        <v>764974.02164017234</v>
      </c>
      <c r="H24" s="124"/>
    </row>
    <row r="25" spans="2:8" x14ac:dyDescent="0.35">
      <c r="B25" s="126">
        <v>5</v>
      </c>
      <c r="C25" s="127">
        <f t="shared" si="2"/>
        <v>1047400.0929295756</v>
      </c>
      <c r="D25" s="142">
        <f>IF($C$17&lt;B25,0,Valuation_Model!$C$16)</f>
        <v>6.4006284479398504E-3</v>
      </c>
      <c r="E25" s="128">
        <f t="shared" si="0"/>
        <v>0.68058319703375303</v>
      </c>
      <c r="F25" s="129">
        <f t="shared" si="1"/>
        <v>712842.90381946054</v>
      </c>
      <c r="H25" s="124"/>
    </row>
    <row r="26" spans="2:8" x14ac:dyDescent="0.35">
      <c r="B26" s="126">
        <v>6</v>
      </c>
      <c r="C26" s="127">
        <f t="shared" si="2"/>
        <v>1054104.1117607555</v>
      </c>
      <c r="D26" s="142">
        <f>IF($C$17&lt;B26,0,Valuation_Model!$C$16)</f>
        <v>6.4006284479398504E-3</v>
      </c>
      <c r="E26" s="128">
        <f t="shared" si="0"/>
        <v>0.63016962688310452</v>
      </c>
      <c r="F26" s="129">
        <f t="shared" si="1"/>
        <v>664264.39480422158</v>
      </c>
      <c r="H26" s="124"/>
    </row>
    <row r="27" spans="2:8" x14ac:dyDescent="0.35">
      <c r="B27" s="126">
        <v>7</v>
      </c>
      <c r="C27" s="127">
        <f t="shared" si="2"/>
        <v>1060851.0405255819</v>
      </c>
      <c r="D27" s="142">
        <f>IF($C$17&lt;B27,0,Valuation_Model!$C$16)</f>
        <v>6.4006284479398504E-3</v>
      </c>
      <c r="E27" s="128">
        <f t="shared" si="0"/>
        <v>0.58349039526213387</v>
      </c>
      <c r="F27" s="129">
        <f t="shared" si="1"/>
        <v>618996.39295051782</v>
      </c>
      <c r="H27" s="124"/>
    </row>
    <row r="28" spans="2:8" x14ac:dyDescent="0.35">
      <c r="B28" s="126">
        <v>8</v>
      </c>
      <c r="C28" s="127">
        <f t="shared" si="2"/>
        <v>1067641.1538745963</v>
      </c>
      <c r="D28" s="142">
        <f>IF($C$17&lt;B28,0,Valuation_Model!$C$16)</f>
        <v>6.4006284479398504E-3</v>
      </c>
      <c r="E28" s="128">
        <f t="shared" si="0"/>
        <v>0.54026888450197574</v>
      </c>
      <c r="F28" s="129">
        <f t="shared" si="1"/>
        <v>576813.29525223037</v>
      </c>
      <c r="H28" s="124"/>
    </row>
    <row r="29" spans="2:8" x14ac:dyDescent="0.35">
      <c r="B29" s="126">
        <v>9</v>
      </c>
      <c r="C29" s="127">
        <f t="shared" si="2"/>
        <v>1074474.7282162774</v>
      </c>
      <c r="D29" s="142">
        <f>IF($C$17&lt;B29,0,Valuation_Model!$C$16)</f>
        <v>6.4006284479398504E-3</v>
      </c>
      <c r="E29" s="128">
        <f t="shared" si="0"/>
        <v>0.50024896713145905</v>
      </c>
      <c r="F29" s="129">
        <f t="shared" si="1"/>
        <v>537504.87299904798</v>
      </c>
      <c r="H29" s="124"/>
    </row>
    <row r="30" spans="2:8" x14ac:dyDescent="0.35">
      <c r="B30" s="126">
        <v>10</v>
      </c>
      <c r="C30" s="127">
        <f t="shared" si="2"/>
        <v>1081352.041728291</v>
      </c>
      <c r="D30" s="142">
        <f>IF($C$17&lt;B30,0,Valuation_Model!$C$16)</f>
        <v>6.4006284479398504E-3</v>
      </c>
      <c r="E30" s="128">
        <f t="shared" si="0"/>
        <v>0.46319348808468425</v>
      </c>
      <c r="F30" s="129">
        <f t="shared" si="1"/>
        <v>500875.22405562212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12762596.060426638</v>
      </c>
      <c r="D51" s="143">
        <f>Terminal_Growth</f>
        <v>0</v>
      </c>
      <c r="E51" s="128">
        <f>1/(1+Equity_Cost)^C17</f>
        <v>0.46319348808468425</v>
      </c>
      <c r="F51" s="129">
        <f t="shared" si="1"/>
        <v>5911551.3862448642</v>
      </c>
      <c r="H51" s="124"/>
    </row>
    <row r="52" spans="1:8" x14ac:dyDescent="0.35">
      <c r="C52" s="118"/>
      <c r="E52" s="131" t="s">
        <v>104</v>
      </c>
      <c r="F52" s="141">
        <f>SUM(F21:F51)</f>
        <v>12935069.843938548</v>
      </c>
      <c r="H52" s="124"/>
    </row>
    <row r="53" spans="1:8" x14ac:dyDescent="0.35">
      <c r="C53" s="118"/>
      <c r="H53" s="124"/>
    </row>
    <row r="54" spans="1:8" ht="13.15" x14ac:dyDescent="0.35">
      <c r="B54" s="123" t="s">
        <v>133</v>
      </c>
      <c r="C54" s="140"/>
      <c r="D54" s="140"/>
      <c r="E54" s="121"/>
      <c r="F54" s="121"/>
      <c r="H54" s="124"/>
    </row>
    <row r="55" spans="1:8" ht="13.15" x14ac:dyDescent="0.4">
      <c r="A55" s="137">
        <f>F52</f>
        <v>12935069.843938548</v>
      </c>
      <c r="B55" s="135">
        <f>C78</f>
        <v>-0.08</v>
      </c>
      <c r="C55" s="135">
        <f>C77</f>
        <v>-0.05</v>
      </c>
      <c r="D55" s="135">
        <f>C76</f>
        <v>0.02</v>
      </c>
      <c r="E55" s="135">
        <f>C75</f>
        <v>0.05</v>
      </c>
      <c r="F55" s="135">
        <f>C74</f>
        <v>0.06</v>
      </c>
      <c r="H55" s="124"/>
    </row>
    <row r="56" spans="1:8" ht="13.15" x14ac:dyDescent="0.4">
      <c r="A56" s="147">
        <v>5</v>
      </c>
      <c r="B56" s="127">
        <f t="dataTable" ref="B56:F61" dt2D="1" dtr="1" r1="C16" r2="C17"/>
        <v>11157107.119090568</v>
      </c>
      <c r="C56" s="127">
        <v>11708735.144023098</v>
      </c>
      <c r="D56" s="127">
        <v>13090596.175820205</v>
      </c>
      <c r="E56" s="127">
        <v>13727494.48028384</v>
      </c>
      <c r="F56" s="127">
        <v>13946235.693833362</v>
      </c>
      <c r="H56" s="124"/>
    </row>
    <row r="57" spans="1:8" ht="13.15" x14ac:dyDescent="0.4">
      <c r="A57" s="147">
        <v>10</v>
      </c>
      <c r="B57" s="127">
        <v>10063768.572107553</v>
      </c>
      <c r="C57" s="127">
        <v>10937948.860088741</v>
      </c>
      <c r="D57" s="127">
        <v>13500142.173553824</v>
      </c>
      <c r="E57" s="127">
        <v>14885099.921618555</v>
      </c>
      <c r="F57" s="127">
        <v>15393565.377023447</v>
      </c>
      <c r="H57" s="124"/>
    </row>
    <row r="58" spans="1:8" ht="13.15" x14ac:dyDescent="0.4">
      <c r="A58" s="147">
        <v>15</v>
      </c>
      <c r="B58" s="127">
        <v>8984867.6331286728</v>
      </c>
      <c r="C58" s="127">
        <v>10128816.477844289</v>
      </c>
      <c r="D58" s="127">
        <v>14007068.902213397</v>
      </c>
      <c r="E58" s="127">
        <v>16434903.248783203</v>
      </c>
      <c r="F58" s="127">
        <v>17384423.195884526</v>
      </c>
      <c r="H58" s="124"/>
    </row>
    <row r="59" spans="1:8" ht="13.15" x14ac:dyDescent="0.4">
      <c r="A59" s="148">
        <v>20</v>
      </c>
      <c r="B59" s="127">
        <v>8100411.0555533562</v>
      </c>
      <c r="C59" s="127">
        <v>9428285.1514076646</v>
      </c>
      <c r="D59" s="127">
        <v>14523545.944123272</v>
      </c>
      <c r="E59" s="127">
        <v>18151520.809223328</v>
      </c>
      <c r="F59" s="127">
        <v>19655450.824076422</v>
      </c>
      <c r="H59" s="124"/>
    </row>
    <row r="60" spans="1:8" ht="13.15" x14ac:dyDescent="0.4">
      <c r="A60" s="148">
        <v>25</v>
      </c>
      <c r="B60" s="127">
        <v>7431102.4232061561</v>
      </c>
      <c r="C60" s="127">
        <v>8872601.2532586548</v>
      </c>
      <c r="D60" s="127">
        <v>15003898.252415478</v>
      </c>
      <c r="E60" s="127">
        <v>19894713.025976568</v>
      </c>
      <c r="F60" s="127">
        <v>22035418.728058424</v>
      </c>
      <c r="H60" s="124"/>
    </row>
    <row r="61" spans="1:8" ht="13.15" x14ac:dyDescent="0.4">
      <c r="A61" s="148">
        <v>30</v>
      </c>
      <c r="B61" s="127">
        <v>6945366.1727540484</v>
      </c>
      <c r="C61" s="127">
        <v>8452854.2313205972</v>
      </c>
      <c r="D61" s="127">
        <v>15427635.809264299</v>
      </c>
      <c r="E61" s="127">
        <v>21580459.885555841</v>
      </c>
      <c r="F61" s="127">
        <v>24415084.184705544</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-0.08</v>
      </c>
      <c r="C64" s="136">
        <f>C55</f>
        <v>-0.05</v>
      </c>
      <c r="D64" s="136">
        <f>D55</f>
        <v>0.02</v>
      </c>
      <c r="E64" s="136">
        <f>E55</f>
        <v>0.05</v>
      </c>
      <c r="F64" s="136">
        <f>F55</f>
        <v>0.06</v>
      </c>
      <c r="H64" s="124"/>
    </row>
    <row r="65" spans="1:8" ht="13.15" x14ac:dyDescent="0.4">
      <c r="A65" s="147">
        <v>0</v>
      </c>
      <c r="B65" s="128">
        <f>C12</f>
        <v>20.080338252823015</v>
      </c>
      <c r="C65" s="128">
        <f>C12</f>
        <v>20.080338252823015</v>
      </c>
      <c r="D65" s="128">
        <f>C12</f>
        <v>20.080338252823015</v>
      </c>
      <c r="E65" s="145">
        <f>C12</f>
        <v>20.080338252823015</v>
      </c>
      <c r="F65" s="128">
        <f>C12</f>
        <v>20.080338252823015</v>
      </c>
      <c r="H65" s="124"/>
    </row>
    <row r="66" spans="1:8" ht="13.15" x14ac:dyDescent="0.4">
      <c r="A66" s="147">
        <f t="shared" ref="A66:A71" si="3">A56</f>
        <v>5</v>
      </c>
      <c r="B66" s="128">
        <f t="shared" ref="B66:F71" si="4">(B56-$C$7+$C$8+$C$9)/Common_Shares*$C$3*Exchange_Rate</f>
        <v>17.484018276541907</v>
      </c>
      <c r="C66" s="128">
        <f t="shared" si="4"/>
        <v>18.42358674753498</v>
      </c>
      <c r="D66" s="128">
        <f t="shared" si="4"/>
        <v>20.777261684426229</v>
      </c>
      <c r="E66" s="128">
        <f t="shared" si="4"/>
        <v>21.862068001465992</v>
      </c>
      <c r="F66" s="128">
        <f t="shared" si="4"/>
        <v>22.234642160625206</v>
      </c>
      <c r="H66" s="124"/>
    </row>
    <row r="67" spans="1:8" ht="13.15" x14ac:dyDescent="0.4">
      <c r="A67" s="147">
        <f t="shared" si="3"/>
        <v>10</v>
      </c>
      <c r="B67" s="128">
        <f t="shared" si="4"/>
        <v>15.621773465843134</v>
      </c>
      <c r="C67" s="128">
        <f t="shared" si="4"/>
        <v>17.110733778639474</v>
      </c>
      <c r="D67" s="128">
        <f t="shared" si="4"/>
        <v>21.474826872378696</v>
      </c>
      <c r="E67" s="128">
        <f t="shared" si="4"/>
        <v>23.833776336373653</v>
      </c>
      <c r="F67" s="128">
        <f t="shared" si="4"/>
        <v>24.69982753191616</v>
      </c>
      <c r="H67" s="124"/>
    </row>
    <row r="68" spans="1:8" ht="13.15" x14ac:dyDescent="0.4">
      <c r="A68" s="147">
        <f t="shared" si="3"/>
        <v>15</v>
      </c>
      <c r="B68" s="128">
        <f t="shared" si="4"/>
        <v>13.784119721341368</v>
      </c>
      <c r="C68" s="128">
        <f t="shared" si="4"/>
        <v>15.732567259073345</v>
      </c>
      <c r="D68" s="128">
        <f t="shared" si="4"/>
        <v>22.338257209172138</v>
      </c>
      <c r="E68" s="128">
        <f t="shared" si="4"/>
        <v>26.473501434862197</v>
      </c>
      <c r="F68" s="128">
        <f t="shared" si="4"/>
        <v>28.090785119795594</v>
      </c>
      <c r="H68" s="124"/>
    </row>
    <row r="69" spans="1:8" ht="13.15" x14ac:dyDescent="0.4">
      <c r="A69" s="148">
        <f t="shared" si="3"/>
        <v>20</v>
      </c>
      <c r="B69" s="128">
        <f t="shared" si="4"/>
        <v>12.277656168562579</v>
      </c>
      <c r="C69" s="128">
        <f t="shared" si="4"/>
        <v>14.539377070189611</v>
      </c>
      <c r="D69" s="128">
        <f t="shared" si="4"/>
        <v>23.217954256162525</v>
      </c>
      <c r="E69" s="128">
        <f t="shared" si="4"/>
        <v>29.397355306753241</v>
      </c>
      <c r="F69" s="128">
        <f t="shared" si="4"/>
        <v>31.958946017647488</v>
      </c>
      <c r="H69" s="124"/>
    </row>
    <row r="70" spans="1:8" ht="13.15" x14ac:dyDescent="0.4">
      <c r="A70" s="148">
        <f t="shared" si="3"/>
        <v>25</v>
      </c>
      <c r="B70" s="128">
        <f t="shared" si="4"/>
        <v>11.13764648831865</v>
      </c>
      <c r="C70" s="128">
        <f t="shared" si="4"/>
        <v>13.592900374044243</v>
      </c>
      <c r="D70" s="128">
        <f t="shared" si="4"/>
        <v>24.036121324261181</v>
      </c>
      <c r="E70" s="128">
        <f t="shared" si="4"/>
        <v>32.366472849217097</v>
      </c>
      <c r="F70" s="128">
        <f t="shared" si="4"/>
        <v>36.012661027559218</v>
      </c>
    </row>
    <row r="71" spans="1:8" ht="13.15" x14ac:dyDescent="0.4">
      <c r="A71" s="148">
        <f t="shared" si="3"/>
        <v>30</v>
      </c>
      <c r="B71" s="128">
        <f t="shared" si="4"/>
        <v>10.310309142289114</v>
      </c>
      <c r="C71" s="128">
        <f t="shared" si="4"/>
        <v>12.877960142980976</v>
      </c>
      <c r="D71" s="128">
        <f t="shared" si="4"/>
        <v>24.757858492055515</v>
      </c>
      <c r="E71" s="128">
        <f t="shared" si="4"/>
        <v>35.237745750063638</v>
      </c>
      <c r="F71" s="128">
        <f t="shared" si="4"/>
        <v>40.06586088964098</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0.06</v>
      </c>
      <c r="D74" s="149">
        <f>Scenarios!C55</f>
        <v>10</v>
      </c>
      <c r="E74" s="139">
        <f>INDEX(B$65:F$71, MATCH(D74, A$65:A$71, 0), MATCH(C74, B$64:F$64, 0))</f>
        <v>24.69982753191616</v>
      </c>
      <c r="F74" s="146">
        <f>Scenarios!C58</f>
        <v>0.02</v>
      </c>
    </row>
    <row r="75" spans="1:8" x14ac:dyDescent="0.35">
      <c r="B75" s="131" t="str">
        <f>Scenarios!B36</f>
        <v>Optimistic</v>
      </c>
      <c r="C75" s="146">
        <f>Scenarios!C38</f>
        <v>0.05</v>
      </c>
      <c r="D75" s="149">
        <f>Scenarios!C37</f>
        <v>5</v>
      </c>
      <c r="E75" s="139">
        <f>INDEX(B$65:F$71, MATCH(D75, A$65:A$71, 0), MATCH(C75, B$64:F$64, 0))</f>
        <v>21.862068001465992</v>
      </c>
      <c r="F75" s="146">
        <f>Scenarios!C40*(1-F$74-F$78)</f>
        <v>0.192</v>
      </c>
      <c r="H75" s="124"/>
    </row>
    <row r="76" spans="1:8" x14ac:dyDescent="0.35">
      <c r="B76" s="131" t="str">
        <f>Scenarios!B24</f>
        <v>Base</v>
      </c>
      <c r="C76" s="146">
        <f>Scenarios!C26</f>
        <v>0.02</v>
      </c>
      <c r="D76" s="149">
        <f>Scenarios!C25</f>
        <v>5</v>
      </c>
      <c r="E76" s="139">
        <f>INDEX(B$65:F$71, MATCH(D76, A$65:A$71, 0), MATCH(C76, B$64:F$64, 0))</f>
        <v>20.777261684426229</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18.42358674753498</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15.621773465843134</v>
      </c>
      <c r="F78" s="146">
        <f>Scenarios!C52</f>
        <v>0.02</v>
      </c>
    </row>
    <row r="79" spans="1:8" x14ac:dyDescent="0.35">
      <c r="B79" s="159"/>
      <c r="C79" s="159"/>
      <c r="D79" s="159"/>
      <c r="E79" s="159"/>
      <c r="F79" s="160"/>
    </row>
    <row r="80" spans="1:8" x14ac:dyDescent="0.35">
      <c r="B80" s="159" t="s">
        <v>338</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321</v>
      </c>
      <c r="I2" s="284"/>
    </row>
    <row r="3" spans="2:9" ht="13.15" x14ac:dyDescent="0.4">
      <c r="B3" s="163" t="s">
        <v>152</v>
      </c>
      <c r="H3" s="282">
        <v>0</v>
      </c>
      <c r="I3" s="270">
        <f>-Market_Price</f>
        <v>-14.94</v>
      </c>
    </row>
    <row r="4" spans="2:9" x14ac:dyDescent="0.35">
      <c r="B4" s="156" t="s">
        <v>150</v>
      </c>
      <c r="C4" s="124">
        <v>3</v>
      </c>
      <c r="D4" s="124"/>
      <c r="E4" s="159" t="s">
        <v>154</v>
      </c>
      <c r="F4" s="159"/>
      <c r="H4" s="282">
        <v>1</v>
      </c>
      <c r="I4" s="270">
        <f t="shared" ref="I4:I13" si="0">IF(ROW()-3 &lt; $C$76, $C$77, IF(ROW()-3 = $C$76, $C$77 + $C$60, ""))</f>
        <v>1.36</v>
      </c>
    </row>
    <row r="5" spans="2:9" x14ac:dyDescent="0.35">
      <c r="H5" s="282">
        <v>2</v>
      </c>
      <c r="I5" s="270">
        <f t="shared" si="0"/>
        <v>1.36</v>
      </c>
    </row>
    <row r="6" spans="2:9" ht="13.15" x14ac:dyDescent="0.4">
      <c r="B6" s="163" t="s">
        <v>99</v>
      </c>
      <c r="C6" s="110">
        <f>Valuation_Model!C3</f>
        <v>1000</v>
      </c>
      <c r="E6" s="103" t="s">
        <v>297</v>
      </c>
      <c r="F6" s="103"/>
      <c r="H6" s="282">
        <v>3</v>
      </c>
      <c r="I6" s="270">
        <f t="shared" si="0"/>
        <v>21.868980461992876</v>
      </c>
    </row>
    <row r="7" spans="2:9" ht="12.75" customHeight="1" x14ac:dyDescent="0.35">
      <c r="B7" s="103" t="s">
        <v>291</v>
      </c>
      <c r="C7" s="118">
        <f>Normalized_FCF!G8</f>
        <v>1876773</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6"/>
      <c r="H7" s="282">
        <v>4</v>
      </c>
      <c r="I7" s="270" t="str">
        <f t="shared" si="0"/>
        <v/>
      </c>
    </row>
    <row r="8" spans="2:9" x14ac:dyDescent="0.35">
      <c r="B8" s="103" t="s">
        <v>69</v>
      </c>
      <c r="C8" s="118">
        <f>Normalized_FCF!G19</f>
        <v>1291433.9388883226</v>
      </c>
      <c r="D8" t="str">
        <f>Reporting_currency</f>
        <v>HKD</v>
      </c>
      <c r="E8" s="346"/>
      <c r="F8" s="346"/>
      <c r="H8" s="282">
        <v>5</v>
      </c>
      <c r="I8" s="270" t="str">
        <f t="shared" si="0"/>
        <v/>
      </c>
    </row>
    <row r="9" spans="2:9" x14ac:dyDescent="0.35">
      <c r="B9" s="103" t="s">
        <v>60</v>
      </c>
      <c r="C9" s="207">
        <f>Normalized_FCF!C19</f>
        <v>1014514.1566621615</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f ca="1">(Normalized_FCF!G4/OFFSET(Normalized_FCF!G4, 0, $C$4))^(1/$C$4) - 1</f>
        <v>0.20035451325595277</v>
      </c>
      <c r="D12" s="162"/>
      <c r="E12" s="346"/>
      <c r="F12" s="346"/>
      <c r="H12" s="282">
        <v>9</v>
      </c>
      <c r="I12" s="270" t="str">
        <f t="shared" si="0"/>
        <v/>
      </c>
    </row>
    <row r="13" spans="2:9" x14ac:dyDescent="0.35">
      <c r="B13" s="152" t="s">
        <v>156</v>
      </c>
      <c r="C13" s="162">
        <f ca="1">(Normalized_FCF!G8/OFFSET(Normalized_FCF!G8, 0, $C$4))^(1/$C$4) - 1</f>
        <v>0.26016796976901468</v>
      </c>
      <c r="E13" s="346"/>
      <c r="F13" s="346"/>
      <c r="H13" s="282">
        <v>10</v>
      </c>
      <c r="I13" s="270" t="str">
        <f t="shared" si="0"/>
        <v/>
      </c>
    </row>
    <row r="14" spans="2:9" x14ac:dyDescent="0.35">
      <c r="B14" s="103" t="s">
        <v>69</v>
      </c>
      <c r="C14" s="162">
        <f ca="1">(Normalized_FCF!G19/OFFSET(Normalized_FCF!G19, 0, $C$4))^(1/$C$4) - 1</f>
        <v>6.0457013634429568E-2</v>
      </c>
      <c r="E14" s="346"/>
      <c r="F14" s="346"/>
    </row>
    <row r="16" spans="2:9" ht="13.9" x14ac:dyDescent="0.45">
      <c r="B16" s="36" t="s">
        <v>166</v>
      </c>
      <c r="C16" s="37"/>
      <c r="D16" s="37"/>
      <c r="E16" s="37"/>
      <c r="F16" s="37"/>
    </row>
    <row r="17" spans="2:6" ht="13.15" x14ac:dyDescent="0.4">
      <c r="B17" s="112" t="s">
        <v>155</v>
      </c>
      <c r="E17" s="163" t="s">
        <v>359</v>
      </c>
    </row>
    <row r="18" spans="2:6" x14ac:dyDescent="0.35">
      <c r="B18" s="156" t="s">
        <v>137</v>
      </c>
      <c r="C18" s="154">
        <v>5</v>
      </c>
      <c r="E18" s="346" t="s">
        <v>360</v>
      </c>
      <c r="F18" s="347"/>
    </row>
    <row r="19" spans="2:6" x14ac:dyDescent="0.35">
      <c r="E19" s="347"/>
      <c r="F19" s="347"/>
    </row>
    <row r="20" spans="2:6" ht="13.15" x14ac:dyDescent="0.4">
      <c r="B20" s="163" t="s">
        <v>329</v>
      </c>
      <c r="E20" s="347"/>
      <c r="F20" s="347"/>
    </row>
    <row r="21" spans="2:6" x14ac:dyDescent="0.35">
      <c r="B21" s="103" t="s">
        <v>295</v>
      </c>
      <c r="C21" s="164">
        <f>Market_Price</f>
        <v>14.94</v>
      </c>
      <c r="D21" t="str">
        <f>Market_currency</f>
        <v>HKD</v>
      </c>
      <c r="E21" s="347"/>
      <c r="F21" s="347"/>
    </row>
    <row r="22" spans="2:6" x14ac:dyDescent="0.35">
      <c r="B22" s="103" t="s">
        <v>296</v>
      </c>
      <c r="C22" s="164">
        <f>Valuation_Model!C12</f>
        <v>20.080338252823015</v>
      </c>
      <c r="D22" t="str">
        <f>Market_currency</f>
        <v>HKD</v>
      </c>
      <c r="E22" s="347"/>
      <c r="F22" s="347"/>
    </row>
    <row r="24" spans="2:6" ht="13.15" x14ac:dyDescent="0.4">
      <c r="B24" s="163" t="s">
        <v>119</v>
      </c>
      <c r="E24" s="163" t="s">
        <v>153</v>
      </c>
      <c r="F24" s="163"/>
    </row>
    <row r="25" spans="2:6" x14ac:dyDescent="0.35">
      <c r="B25" s="156" t="s">
        <v>137</v>
      </c>
      <c r="C25" s="170">
        <f>C18</f>
        <v>5</v>
      </c>
      <c r="D25" s="167"/>
      <c r="E25" s="345"/>
      <c r="F25" s="345"/>
    </row>
    <row r="26" spans="2:6" x14ac:dyDescent="0.35">
      <c r="B26" s="122" t="s">
        <v>138</v>
      </c>
      <c r="C26" s="168">
        <v>0.02</v>
      </c>
      <c r="D26" s="168"/>
      <c r="E26" s="345"/>
      <c r="F26" s="345"/>
    </row>
    <row r="27" spans="2:6" x14ac:dyDescent="0.35">
      <c r="B27" s="103" t="s">
        <v>117</v>
      </c>
      <c r="C27" s="164">
        <f>Valuation_Model!E76</f>
        <v>20.777261684426229</v>
      </c>
      <c r="D27" s="164" t="str">
        <f>Market_currency</f>
        <v>HKD</v>
      </c>
      <c r="E27" s="345"/>
      <c r="F27" s="345"/>
    </row>
    <row r="28" spans="2:6" x14ac:dyDescent="0.35">
      <c r="B28" s="103" t="s">
        <v>151</v>
      </c>
      <c r="C28" s="169">
        <v>0.6</v>
      </c>
      <c r="D28" s="169"/>
      <c r="E28" s="345"/>
      <c r="F28" s="345"/>
    </row>
    <row r="30" spans="2:6" ht="13.15" x14ac:dyDescent="0.4">
      <c r="B30" s="163" t="s">
        <v>120</v>
      </c>
      <c r="E30" s="163" t="s">
        <v>153</v>
      </c>
      <c r="F30" s="163"/>
    </row>
    <row r="31" spans="2:6" x14ac:dyDescent="0.35">
      <c r="B31" s="156" t="s">
        <v>137</v>
      </c>
      <c r="C31" s="170">
        <f>C18</f>
        <v>5</v>
      </c>
      <c r="D31" s="167"/>
      <c r="E31" s="345"/>
      <c r="F31" s="345"/>
    </row>
    <row r="32" spans="2:6" x14ac:dyDescent="0.35">
      <c r="B32" s="122" t="s">
        <v>138</v>
      </c>
      <c r="C32" s="168">
        <v>-0.05</v>
      </c>
      <c r="D32" s="168"/>
      <c r="E32" s="345"/>
      <c r="F32" s="345"/>
    </row>
    <row r="33" spans="2:6" x14ac:dyDescent="0.35">
      <c r="B33" s="103" t="s">
        <v>117</v>
      </c>
      <c r="C33" s="164">
        <f>Valuation_Model!E77</f>
        <v>18.42358674753498</v>
      </c>
      <c r="D33" t="str">
        <f>Market_currency</f>
        <v>HKD</v>
      </c>
      <c r="E33" s="345"/>
      <c r="F33" s="345"/>
    </row>
    <row r="34" spans="2:6" x14ac:dyDescent="0.35">
      <c r="B34" s="103" t="s">
        <v>151</v>
      </c>
      <c r="C34" s="169">
        <v>0.2</v>
      </c>
      <c r="D34" s="169"/>
      <c r="E34" s="345"/>
      <c r="F34" s="345"/>
    </row>
    <row r="36" spans="2:6" ht="13.15" x14ac:dyDescent="0.4">
      <c r="B36" s="163" t="s">
        <v>118</v>
      </c>
      <c r="E36" s="163" t="s">
        <v>153</v>
      </c>
      <c r="F36" s="163"/>
    </row>
    <row r="37" spans="2:6" x14ac:dyDescent="0.35">
      <c r="B37" s="156" t="s">
        <v>137</v>
      </c>
      <c r="C37" s="170">
        <f>C18</f>
        <v>5</v>
      </c>
      <c r="D37" s="167"/>
      <c r="E37" s="345"/>
      <c r="F37" s="345"/>
    </row>
    <row r="38" spans="2:6" x14ac:dyDescent="0.35">
      <c r="B38" s="122" t="s">
        <v>138</v>
      </c>
      <c r="C38" s="168">
        <v>0.05</v>
      </c>
      <c r="D38" s="168"/>
      <c r="E38" s="345"/>
      <c r="F38" s="345"/>
    </row>
    <row r="39" spans="2:6" x14ac:dyDescent="0.35">
      <c r="B39" s="103" t="s">
        <v>117</v>
      </c>
      <c r="C39" s="164">
        <f>Valuation_Model!E75</f>
        <v>21.862068001465992</v>
      </c>
      <c r="D39" t="str">
        <f>Market_currency</f>
        <v>HKD</v>
      </c>
      <c r="E39" s="345"/>
      <c r="F39" s="345"/>
    </row>
    <row r="40" spans="2:6" x14ac:dyDescent="0.35">
      <c r="B40" s="103" t="s">
        <v>151</v>
      </c>
      <c r="C40" s="171">
        <f>1-C28-C34</f>
        <v>0.2</v>
      </c>
      <c r="D40" s="169"/>
      <c r="E40" s="345"/>
      <c r="F40" s="345"/>
    </row>
    <row r="42" spans="2:6" ht="13.15" x14ac:dyDescent="0.4">
      <c r="B42" s="103" t="s">
        <v>124</v>
      </c>
      <c r="C42" s="158">
        <f>C27*C28+C33*C34+C39*C40</f>
        <v>20.523487960455931</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10</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10</v>
      </c>
      <c r="D49" s="167"/>
      <c r="E49" s="345"/>
      <c r="F49" s="345"/>
    </row>
    <row r="50" spans="2:6" x14ac:dyDescent="0.35">
      <c r="B50" s="122" t="s">
        <v>138</v>
      </c>
      <c r="C50" s="168">
        <v>-0.08</v>
      </c>
      <c r="D50" s="168"/>
      <c r="E50" s="345"/>
      <c r="F50" s="345"/>
    </row>
    <row r="51" spans="2:6" x14ac:dyDescent="0.35">
      <c r="B51" s="103" t="s">
        <v>117</v>
      </c>
      <c r="C51" s="164">
        <f>Valuation_Model!E78</f>
        <v>15.621773465843134</v>
      </c>
      <c r="D51" t="str">
        <f>Market_currency</f>
        <v>HKD</v>
      </c>
      <c r="E51" s="345"/>
      <c r="F51" s="345"/>
    </row>
    <row r="52" spans="2:6" x14ac:dyDescent="0.35">
      <c r="B52" s="103" t="s">
        <v>151</v>
      </c>
      <c r="C52" s="169">
        <v>0.02</v>
      </c>
      <c r="D52" s="169"/>
      <c r="E52" s="345"/>
      <c r="F52" s="345"/>
    </row>
    <row r="54" spans="2:6" ht="13.15" x14ac:dyDescent="0.4">
      <c r="B54" s="163" t="s">
        <v>345</v>
      </c>
      <c r="E54" s="163" t="s">
        <v>153</v>
      </c>
      <c r="F54" s="163"/>
    </row>
    <row r="55" spans="2:6" x14ac:dyDescent="0.35">
      <c r="B55" s="156" t="s">
        <v>137</v>
      </c>
      <c r="C55" s="170">
        <f>C46</f>
        <v>10</v>
      </c>
      <c r="D55" s="167"/>
      <c r="E55" s="345"/>
      <c r="F55" s="345"/>
    </row>
    <row r="56" spans="2:6" x14ac:dyDescent="0.35">
      <c r="B56" s="122" t="s">
        <v>138</v>
      </c>
      <c r="C56" s="168">
        <v>0.06</v>
      </c>
      <c r="D56" s="168"/>
      <c r="E56" s="345"/>
      <c r="F56" s="345"/>
    </row>
    <row r="57" spans="2:6" x14ac:dyDescent="0.35">
      <c r="B57" s="103" t="s">
        <v>117</v>
      </c>
      <c r="C57" s="164">
        <f>Valuation_Model!E74</f>
        <v>24.69982753191616</v>
      </c>
      <c r="D57" t="str">
        <f>Market_currency</f>
        <v>HKD</v>
      </c>
      <c r="E57" s="345"/>
      <c r="F57" s="345"/>
    </row>
    <row r="58" spans="2:6" x14ac:dyDescent="0.35">
      <c r="B58" s="103" t="s">
        <v>151</v>
      </c>
      <c r="C58" s="169">
        <v>0.02</v>
      </c>
      <c r="D58" s="169"/>
      <c r="E58" s="345"/>
      <c r="F58" s="345"/>
    </row>
    <row r="60" spans="2:6" ht="13.15" x14ac:dyDescent="0.4">
      <c r="B60" s="103" t="s">
        <v>124</v>
      </c>
      <c r="C60" s="158">
        <f>C51*C52+C57*C58+C42*(1-C52-C58)</f>
        <v>20.508980461992877</v>
      </c>
      <c r="D60" t="str">
        <f>Market_currency</f>
        <v>HKD</v>
      </c>
      <c r="E60" s="103" t="s">
        <v>322</v>
      </c>
      <c r="F60" s="318">
        <f>Thesis!E20</f>
        <v>3</v>
      </c>
    </row>
    <row r="62" spans="2:6" ht="13.9" x14ac:dyDescent="0.45">
      <c r="B62" s="36" t="s">
        <v>383</v>
      </c>
      <c r="C62" s="37"/>
      <c r="D62" s="37"/>
      <c r="E62" s="37"/>
      <c r="F62" s="37"/>
    </row>
    <row r="63" spans="2:6" ht="13.15" x14ac:dyDescent="0.4">
      <c r="B63" s="112" t="s">
        <v>330</v>
      </c>
      <c r="E63" s="288" t="s">
        <v>339</v>
      </c>
    </row>
    <row r="64" spans="2:6" x14ac:dyDescent="0.35">
      <c r="B64" s="156" t="s">
        <v>137</v>
      </c>
      <c r="C64" s="170">
        <v>10</v>
      </c>
      <c r="D64" s="154"/>
      <c r="E64" s="287" t="s">
        <v>340</v>
      </c>
    </row>
    <row r="65" spans="2:6" x14ac:dyDescent="0.35">
      <c r="B65" s="122" t="s">
        <v>138</v>
      </c>
      <c r="C65" s="155">
        <v>6.4006284479398504E-3</v>
      </c>
      <c r="D65" s="155"/>
      <c r="E65" s="287" t="s">
        <v>341</v>
      </c>
    </row>
    <row r="66" spans="2:6" x14ac:dyDescent="0.35">
      <c r="B66" s="103" t="s">
        <v>106</v>
      </c>
      <c r="C66" s="164">
        <f>Valuation_Model!C18</f>
        <v>20.512359193543752</v>
      </c>
      <c r="D66" s="164" t="str">
        <f>Market_currency</f>
        <v>HKD</v>
      </c>
      <c r="E66" s="287" t="s">
        <v>342</v>
      </c>
    </row>
    <row r="68" spans="2:6" ht="13.15" x14ac:dyDescent="0.4">
      <c r="B68" s="112" t="s">
        <v>384</v>
      </c>
      <c r="E68" s="288" t="s">
        <v>343</v>
      </c>
    </row>
    <row r="69" spans="2:6" x14ac:dyDescent="0.35">
      <c r="B69" s="103" t="s">
        <v>331</v>
      </c>
      <c r="C69" s="279" t="str">
        <f>IF(C60&lt;C22,"Y","N")</f>
        <v>N</v>
      </c>
      <c r="E69" s="138"/>
    </row>
    <row r="70" spans="2:6" x14ac:dyDescent="0.35">
      <c r="B70" s="103" t="s">
        <v>319</v>
      </c>
      <c r="C70" s="279" t="str">
        <f>IF(C69="Y","N",IF(C65&gt;8%,"N","Y"))</f>
        <v>Y</v>
      </c>
      <c r="E70" s="287" t="s">
        <v>320</v>
      </c>
    </row>
    <row r="71" spans="2:6" x14ac:dyDescent="0.35">
      <c r="B71" s="103" t="s">
        <v>318</v>
      </c>
      <c r="C71" s="279" t="str">
        <f>IF(C65&gt;8%,"Y","N")</f>
        <v>N</v>
      </c>
      <c r="E71" s="287"/>
    </row>
    <row r="72" spans="2:6" x14ac:dyDescent="0.35">
      <c r="B72" s="103" t="s">
        <v>310</v>
      </c>
      <c r="C72" s="278" t="str">
        <f>IF(F72&gt;50%,"Y","N")</f>
        <v>N</v>
      </c>
      <c r="E72" s="138" t="s">
        <v>380</v>
      </c>
      <c r="F72" s="335">
        <f>BS!D89/C60</f>
        <v>-7.4088860346483723E-2</v>
      </c>
    </row>
    <row r="74" spans="2:6" ht="13.9" x14ac:dyDescent="0.45">
      <c r="B74" s="36" t="s">
        <v>131</v>
      </c>
      <c r="C74" s="37"/>
      <c r="D74" s="37"/>
      <c r="E74" s="37"/>
      <c r="F74" s="37"/>
    </row>
    <row r="75" spans="2:6" ht="13.15" x14ac:dyDescent="0.4">
      <c r="B75" s="112" t="s">
        <v>129</v>
      </c>
    </row>
    <row r="76" spans="2:6" x14ac:dyDescent="0.35">
      <c r="B76" s="281" t="s">
        <v>323</v>
      </c>
      <c r="C76" s="280">
        <f>F60</f>
        <v>3</v>
      </c>
      <c r="D76" s="138"/>
    </row>
    <row r="77" spans="2:6" x14ac:dyDescent="0.35">
      <c r="B77" s="103" t="s">
        <v>115</v>
      </c>
      <c r="C77" s="177">
        <f>Normalized_FCF!C90</f>
        <v>1.36</v>
      </c>
      <c r="D77" t="str">
        <f>Market_currency</f>
        <v>HKD</v>
      </c>
    </row>
    <row r="79" spans="2:6" ht="13.15" x14ac:dyDescent="0.4">
      <c r="B79" s="112" t="s">
        <v>327</v>
      </c>
    </row>
    <row r="80" spans="2:6" x14ac:dyDescent="0.35">
      <c r="B80" s="152" t="s">
        <v>325</v>
      </c>
      <c r="C80" s="171">
        <f>Thesis!C121</f>
        <v>0.2</v>
      </c>
    </row>
    <row r="81" spans="2:8" x14ac:dyDescent="0.35">
      <c r="B81" s="103" t="s">
        <v>125</v>
      </c>
      <c r="C81" s="120">
        <f>PV(C80, C76, -C77, 0)</f>
        <v>2.8648148148148147</v>
      </c>
      <c r="D81" s="120"/>
      <c r="E81" s="103"/>
      <c r="F81" s="103"/>
    </row>
    <row r="82" spans="2:8" x14ac:dyDescent="0.35">
      <c r="B82" s="103" t="s">
        <v>126</v>
      </c>
      <c r="C82" s="120">
        <f>C60/(1+C80)^C76</f>
        <v>11.868622952542175</v>
      </c>
      <c r="D82" s="120"/>
    </row>
    <row r="83" spans="2:8" ht="13.15" x14ac:dyDescent="0.4">
      <c r="B83" s="114" t="s">
        <v>105</v>
      </c>
      <c r="C83" s="115">
        <f>C81+C82</f>
        <v>14.733437767356989</v>
      </c>
      <c r="D83" t="str">
        <f>Market_currency</f>
        <v>HKD</v>
      </c>
      <c r="E83" s="150" t="s">
        <v>130</v>
      </c>
      <c r="F83" s="335">
        <f>(1-C83/C60)</f>
        <v>0.28161042453275964</v>
      </c>
    </row>
    <row r="84" spans="2:8" x14ac:dyDescent="0.35">
      <c r="E84" s="124"/>
    </row>
    <row r="85" spans="2:8" ht="13.15" x14ac:dyDescent="0.4">
      <c r="B85" s="112" t="s">
        <v>328</v>
      </c>
    </row>
    <row r="86" spans="2:8" x14ac:dyDescent="0.35">
      <c r="B86" s="152" t="s">
        <v>326</v>
      </c>
      <c r="C86" s="272">
        <f>Market_Price</f>
        <v>14.94</v>
      </c>
      <c r="D86" t="str">
        <f>Market_currency</f>
        <v>HKD</v>
      </c>
    </row>
    <row r="87" spans="2:8" ht="13.15" x14ac:dyDescent="0.4">
      <c r="B87" s="103" t="s">
        <v>324</v>
      </c>
      <c r="C87" s="271">
        <f ca="1">IRR(OFFSET($I$3, 0, 0, $C$76 + 1, 1))</f>
        <v>0.19401142226230528</v>
      </c>
    </row>
    <row r="88" spans="2:8" x14ac:dyDescent="0.35">
      <c r="B88" s="103"/>
    </row>
    <row r="89" spans="2:8" ht="14.65" x14ac:dyDescent="0.5">
      <c r="E89" s="326" t="s">
        <v>354</v>
      </c>
      <c r="F89" s="323"/>
      <c r="G89" s="2"/>
      <c r="H89" s="322"/>
    </row>
    <row r="90" spans="2:8" ht="13.9" x14ac:dyDescent="0.45">
      <c r="E90" s="319" t="s">
        <v>355</v>
      </c>
      <c r="F90" s="324" t="s">
        <v>356</v>
      </c>
      <c r="G90" s="2"/>
      <c r="H90" s="322"/>
    </row>
    <row r="91" spans="2:8" ht="13.9" x14ac:dyDescent="0.45">
      <c r="E91" s="320" t="s">
        <v>355</v>
      </c>
      <c r="F91" s="324" t="s">
        <v>357</v>
      </c>
      <c r="G91" s="2"/>
      <c r="H91" s="322"/>
    </row>
    <row r="92" spans="2:8" ht="13.9" x14ac:dyDescent="0.45">
      <c r="E92" s="321" t="s">
        <v>355</v>
      </c>
      <c r="F92" s="325" t="s">
        <v>358</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2025-03-31T03:50:04Z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