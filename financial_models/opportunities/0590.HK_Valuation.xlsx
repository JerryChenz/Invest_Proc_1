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0A420D4-243D-4937-8AAA-54147DD405E7}"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72" i="10" l="1"/>
  <c r="F38" i="4"/>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P120" i="2"/>
  <c r="P117" i="2"/>
  <c r="P118" i="2"/>
  <c r="O120" i="2"/>
  <c r="O117" i="2"/>
  <c r="O118" i="2"/>
  <c r="Q120" i="2"/>
  <c r="Q117" i="2"/>
  <c r="Q118" i="2"/>
  <c r="L120" i="2"/>
  <c r="L118" i="2"/>
  <c r="L117" i="2"/>
  <c r="N120" i="2"/>
  <c r="N117" i="2"/>
  <c r="N118" i="2"/>
  <c r="M120" i="2"/>
  <c r="M117" i="2"/>
  <c r="M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<sst xmlns="http://schemas.openxmlformats.org/spreadsheetml/2006/main" count="685" uniqueCount="465">
  <si>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</si>
  <si>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</si>
  <si>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</si>
  <si>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</si>
  <si>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</si>
  <si>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</si>
  <si>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</si>
  <si>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</si>
  <si>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</si>
  <si>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</si>
  <si>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</si>
  <si>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</si>
  <si>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</si>
  <si>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</si>
  <si>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</si>
  <si>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</si>
  <si>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</si>
  <si>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</si>
  <si>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</si>
  <si>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</si>
  <si>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</si>
  <si>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</si>
  <si>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</si>
  <si>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</si>
  <si>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</si>
  <si>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</si>
  <si>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</si>
  <si>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</si>
  <si>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</si>
  <si>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</si>
  <si>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</si>
  <si>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</si>
  <si>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</si>
  <si>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</si>
  <si>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</si>
  <si>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</si>
  <si>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</si>
  <si>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</si>
  <si>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</si>
  <si>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</si>
  <si>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</si>
  <si>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</si>
  <si>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</si>
  <si>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</si>
  <si>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</si>
  <si>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</si>
  <si>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</si>
  <si>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</si>
  <si>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</si>
  <si>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</si>
  <si>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</si>
  <si>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</si>
  <si>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</si>
  <si>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</si>
  <si>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</si>
  <si>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</si>
  <si>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</si>
  <si>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</si>
  <si>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</si>
  <si>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</si>
  <si>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</si>
  <si>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</si>
  <si>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</si>
  <si>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</si>
  <si>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</si>
  <si>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</si>
  <si>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</si>
  <si>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</si>
  <si>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</si>
  <si>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</si>
  <si>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</si>
  <si>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</si>
  <si>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</si>
  <si>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</si>
  <si>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</si>
  <si>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</si>
  <si>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</si>
  <si>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</si>
  <si>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</si>
  <si>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</si>
  <si>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</si>
  <si>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</si>
  <si>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</si>
  <si>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</si>
  <si>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</si>
  <si>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</si>
  <si>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</si>
  <si>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</si>
  <si>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</si>
  <si>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</si>
  <si>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</si>
  <si>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</si>
  <si>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</si>
  <si>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</si>
  <si>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</si>
  <si>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</si>
  <si>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</si>
  <si>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</si>
  <si>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</si>
  <si>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</si>
  <si>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</si>
  <si>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</si>
  <si>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</si>
  <si>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</si>
  <si>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</si>
  <si>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</si>
  <si>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</si>
  <si>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</si>
  <si>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</si>
  <si>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</si>
  <si>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</si>
  <si>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</si>
  <si>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</si>
  <si>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</si>
  <si>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</si>
  <si>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</si>
  <si>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</si>
  <si>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</si>
  <si>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</si>
  <si>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</si>
  <si>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</si>
  <si>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</si>
  <si>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</si>
  <si>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</si>
  <si>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</si>
  <si>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</si>
  <si>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</si>
  <si>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</si>
  <si>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</si>
  <si>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</si>
  <si>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</si>
  <si>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</si>
  <si>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</si>
  <si>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</si>
  <si>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</si>
  <si>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</si>
  <si>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</si>
  <si>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</si>
  <si>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</si>
  <si>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</si>
  <si>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</si>
  <si>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</si>
  <si>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</si>
  <si>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</si>
  <si>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</si>
  <si>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</si>
  <si>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</si>
  <si>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</si>
  <si>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</si>
  <si>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</si>
  <si>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</si>
  <si>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</si>
  <si>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</si>
  <si>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</si>
  <si>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</si>
  <si>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</si>
  <si>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</si>
  <si>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</si>
  <si>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</si>
  <si>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</si>
  <si>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</si>
  <si>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</si>
  <si>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</si>
  <si>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</si>
  <si>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</si>
  <si>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</si>
  <si>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</si>
  <si>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</si>
  <si>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</si>
  <si>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</si>
  <si>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</si>
  <si>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</si>
  <si>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</si>
  <si>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</si>
  <si>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</si>
  <si>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</si>
  <si>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</si>
  <si>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</si>
  <si>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</si>
  <si>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</si>
  <si>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</si>
  <si>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</si>
  <si>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</si>
  <si>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</si>
  <si>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</si>
  <si>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</si>
  <si>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</si>
  <si>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</si>
  <si>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</si>
  <si>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</si>
  <si>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</si>
  <si>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</si>
  <si>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</si>
  <si>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</si>
  <si>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</si>
  <si>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</si>
  <si>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</si>
  <si>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</si>
  <si>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</si>
  <si>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</si>
  <si>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</si>
  <si>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</si>
  <si>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</si>
  <si>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</si>
  <si>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</si>
  <si>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</si>
  <si>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</si>
  <si>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</si>
  <si>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</si>
  <si>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</si>
  <si>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</si>
  <si>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</si>
  <si>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</si>
  <si>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</si>
  <si>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</si>
  <si>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</si>
  <si>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</si>
  <si>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</si>
  <si>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</si>
  <si>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</si>
  <si>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</si>
  <si>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</si>
  <si>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</si>
  <si>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</si>
  <si>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</si>
  <si>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</si>
  <si>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</si>
  <si>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</si>
  <si>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</si>
  <si>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</si>
  <si>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</si>
  <si>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</si>
  <si>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</si>
  <si>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</si>
  <si>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</si>
  <si>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</si>
  <si>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</si>
  <si>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</si>
  <si>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</si>
  <si>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</si>
  <si>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</si>
  <si>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</si>
  <si>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</si>
  <si>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</si>
  <si>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</si>
  <si>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</si>
  <si>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</si>
  <si>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</si>
  <si>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</si>
  <si>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</si>
  <si>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</si>
  <si>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</si>
  <si>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</si>
  <si>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</si>
  <si>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</si>
  <si>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</si>
  <si>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</si>
  <si>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</si>
  <si>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</si>
  <si>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</si>
  <si>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</si>
  <si>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</si>
  <si>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</si>
  <si>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</si>
  <si>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</si>
  <si>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</si>
  <si>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</si>
  <si>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</si>
  <si>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</si>
  <si>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</si>
  <si>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</si>
  <si>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</si>
  <si>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</si>
  <si>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</si>
  <si>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</si>
  <si>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</si>
  <si>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</si>
  <si>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</si>
  <si>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</si>
  <si>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</si>
  <si>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</si>
  <si>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</si>
  <si>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</si>
  <si>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</si>
  <si>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</si>
  <si>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</si>
  <si>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</si>
  <si>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</si>
  <si>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</si>
  <si>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</si>
  <si>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</si>
  <si>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</si>
  <si>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</si>
  <si>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</si>
  <si>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</si>
  <si>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</si>
  <si>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</si>
  <si>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</si>
  <si>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</si>
  <si>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</si>
  <si>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</si>
  <si>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</si>
  <si>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</si>
  <si>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</si>
  <si>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</si>
  <si>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</si>
  <si>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</si>
  <si>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</si>
  <si>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</si>
  <si>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</si>
  <si>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</si>
  <si>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</si>
  <si>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</si>
  <si>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</si>
  <si>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</si>
  <si>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</si>
  <si>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</si>
  <si>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</si>
  <si>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</si>
  <si>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</si>
  <si>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</si>
  <si>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</si>
  <si>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</si>
  <si>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</si>
  <si>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</si>
  <si>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</si>
  <si>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</si>
  <si>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</si>
  <si>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</si>
  <si>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</si>
  <si>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</si>
  <si>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</si>
  <si>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</si>
  <si>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</si>
  <si>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</si>
  <si>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</si>
  <si>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</si>
  <si>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</si>
  <si>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</si>
  <si>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</si>
  <si>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</si>
  <si>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</si>
  <si>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</si>
  <si>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</si>
  <si>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</si>
  <si>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</si>
  <si>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</si>
  <si>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</si>
  <si>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</si>
  <si>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</si>
  <si>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</si>
  <si>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</si>
  <si>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</si>
  <si>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</si>
  <si>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</si>
  <si>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</si>
  <si>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</si>
  <si>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</si>
  <si>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</si>
  <si>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</si>
  <si>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</si>
  <si>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</si>
  <si>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</si>
  <si>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</si>
  <si>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</si>
  <si>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</si>
  <si>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</si>
  <si>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</si>
  <si>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</si>
  <si>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</si>
  <si>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</si>
  <si>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</si>
  <si>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</si>
  <si>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</si>
  <si>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</si>
  <si>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</si>
  <si>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</si>
  <si>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</si>
  <si>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</si>
  <si>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</si>
  <si>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</si>
  <si>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</si>
  <si>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</si>
  <si>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</si>
  <si>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</si>
  <si>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</si>
  <si>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</si>
  <si>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</si>
  <si>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</si>
  <si>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</si>
  <si>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</si>
  <si>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</si>
  <si>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</si>
  <si>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</si>
  <si>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</si>
  <si>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</si>
  <si>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</si>
  <si>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</si>
  <si>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</si>
  <si>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</si>
  <si>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</si>
  <si>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</si>
  <si>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</si>
  <si>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</si>
  <si>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</si>
  <si>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</si>
  <si>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</si>
  <si>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</si>
  <si>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</si>
  <si>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</si>
  <si>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</si>
  <si>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</si>
  <si>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</si>
  <si>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</si>
  <si>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</si>
  <si>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</si>
  <si>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</si>
  <si>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</si>
  <si>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</si>
  <si>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</si>
  <si>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</si>
  <si>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</si>
  <si>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</si>
  <si>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</si>
  <si>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</si>
  <si>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</si>
  <si>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</si>
  <si>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</si>
  <si>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</si>
  <si>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</si>
  <si>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</si>
  <si>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</si>
  <si>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</si>
  <si>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</si>
  <si>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</si>
  <si>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</si>
  <si>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</si>
  <si>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</si>
  <si>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</si>
  <si>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</si>
  <si>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</si>
  <si>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</si>
  <si>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</si>
  <si>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</si>
  <si>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</si>
  <si>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</si>
  <si>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</si>
  <si>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</si>
  <si>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</si>
  <si>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</si>
  <si>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</si>
  <si>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</si>
  <si>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</si>
  <si>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</si>
  <si>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</si>
  <si>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</si>
  <si>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六福珠宝</t>
  </si>
  <si>
    <t>0590.HK</t>
  </si>
  <si>
    <t/>
  </si>
  <si>
    <t>CNS_05</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</si>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</sst>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587107850</v>
      </c>
      <c r="E6" s="48"/>
    </row>
    <row r="7" spans="1:10">
      <c r="B7" s="2" t="s">
        <v>307</v>
      </c>
      <c r="C7" s="250">
        <v>12</v>
      </c>
      <c r="D7" s="48"/>
      <c r="E7" s="48"/>
    </row>
    <row r="8" spans="1:10">
      <c r="B8" s="1" t="s">
        <v>268</v>
      </c>
      <c r="C8" s="33">
        <f>EOMONTH(EDATE(BS!C1,C7+2),0)</f>
        <v>45808</v>
      </c>
      <c r="E8" s="48"/>
    </row>
    <row r="9" spans="1:10">
      <c r="E9" s="34"/>
    </row>
    <row r="10" spans="1:10">
      <c r="B10" s="45" t="s">
        <v>417</v>
      </c>
      <c r="C10" s="46"/>
      <c r="E10" s="34"/>
    </row>
    <row r="11" spans="1:10">
      <c r="B11" s="1" t="s">
        <v>416</v>
      </c>
      <c r="C11" s="49" t="s">
        <v>457</v>
      </c>
      <c r="D11" s="49" t="s">
        <v>458</v>
      </c>
      <c r="E11" s="34"/>
    </row>
    <row r="12" spans="1:10">
      <c r="B12" s="4" t="s">
        <v>94</v>
      </c>
      <c r="C12" s="50">
        <v>19</v>
      </c>
      <c r="D12" s="50"/>
      <c r="E12" s="48"/>
    </row>
    <row r="13" spans="1:10">
      <c r="B13" s="1" t="s">
        <v>415</v>
      </c>
      <c r="C13" s="48" t="s">
        <v>396</v>
      </c>
      <c r="D13" s="48"/>
      <c r="E13" s="5"/>
    </row>
    <row r="14" spans="1:10">
      <c r="B14" s="4" t="s">
        <v>419</v>
      </c>
      <c r="C14" s="35">
        <f>Thesis!C12*Common_Shares/1000000</f>
        <v>11155.049150000001</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21.968758226348868</v>
      </c>
      <c r="D26" s="1" t="s">
        <v>399</v>
      </c>
      <c r="E26" s="301">
        <f ca="1">Scenarios!C87</f>
        <v>0.11797380818186931</v>
      </c>
    </row>
    <row r="27" spans="2:6">
      <c r="D27" s="5"/>
      <c r="E27" s="5"/>
    </row>
    <row r="28" spans="2:6">
      <c r="B28" s="45" t="s">
        <v>432</v>
      </c>
      <c r="C28" s="309" t="str">
        <f>C145&amp;" ("&amp;Market_currency&amp;")"</f>
        <v>0590.HK (HKD)</v>
      </c>
      <c r="D28" s="309" t="str">
        <f>IF(D11="","",D145&amp;" ("&amp;D13&amp;")")</f>
        <v/>
      </c>
      <c r="E28" s="305" t="s">
        <v>428</v>
      </c>
      <c r="F28" s="303">
        <v>3</v>
      </c>
    </row>
    <row r="29" spans="2:6">
      <c r="B29" s="1" t="s">
        <v>424</v>
      </c>
      <c r="C29" s="310">
        <f>C149</f>
        <v>10.846357673848024</v>
      </c>
      <c r="D29" s="310" t="str">
        <f>D149</f>
        <v/>
      </c>
      <c r="E29" s="306" t="s">
        <v>423</v>
      </c>
      <c r="F29" s="302">
        <v>0.3674</v>
      </c>
    </row>
    <row r="30" spans="2:6">
      <c r="B30" s="1" t="s">
        <v>425</v>
      </c>
      <c r="C30" s="311">
        <f>C157</f>
        <v>14.964572530067358</v>
      </c>
      <c r="D30" s="311" t="str">
        <f>D157</f>
        <v/>
      </c>
      <c r="E30" s="307" t="s">
        <v>436</v>
      </c>
      <c r="F30" s="312">
        <v>0.21740000000000001</v>
      </c>
    </row>
    <row r="31" spans="2:6">
      <c r="B31" s="1" t="s">
        <v>426</v>
      </c>
      <c r="C31" s="311">
        <f>C165</f>
        <v>21.220699139526428</v>
      </c>
      <c r="D31" s="311" t="str">
        <f>D165</f>
        <v/>
      </c>
      <c r="E31" s="307" t="s">
        <v>435</v>
      </c>
      <c r="F31" s="312">
        <v>7.4999999999999997E-2</v>
      </c>
    </row>
    <row r="32" spans="2:6">
      <c r="B32" s="1" t="s">
        <v>427</v>
      </c>
      <c r="C32" s="311">
        <f>C173</f>
        <v>19.027476031641555</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v>
      </c>
    </row>
    <row r="40" spans="1:6" ht="24.5" customHeight="1">
      <c r="B40" s="359" t="s">
        <v>231</v>
      </c>
      <c r="C40" s="359"/>
      <c r="D40" s="359"/>
      <c r="E40" s="359"/>
      <c r="F40" s="359"/>
    </row>
    <row r="41" spans="1:6">
      <c r="B41" s="47" t="s">
        <v>232</v>
      </c>
      <c r="C41" s="349">
        <f>Normalized_FCF!C8</f>
        <v>1398534.6033278927</v>
      </c>
      <c r="D41" s="1" t="str">
        <f>Reporting_currency</f>
        <v>HKD</v>
      </c>
    </row>
    <row r="42" spans="1:6">
      <c r="B42" s="47"/>
      <c r="C42" s="76"/>
    </row>
    <row r="43" spans="1:6" ht="24.5" customHeight="1">
      <c r="B43" s="359" t="s">
        <v>233</v>
      </c>
      <c r="C43" s="359"/>
      <c r="D43" s="359"/>
      <c r="E43" s="359"/>
      <c r="F43" s="359"/>
    </row>
    <row r="44" spans="1:6">
      <c r="B44" s="47" t="s">
        <v>234</v>
      </c>
      <c r="C44" s="349">
        <f>Normalized_FCF!C9</f>
        <v>463424</v>
      </c>
      <c r="D44" s="1" t="str">
        <f>Reporting_currency</f>
        <v>HKD</v>
      </c>
    </row>
    <row r="45" spans="1:6">
      <c r="B45" s="52" t="s">
        <v>235</v>
      </c>
      <c r="C45" s="349">
        <f>Normalized_FCF!C10</f>
        <v>-463424.00000000006</v>
      </c>
      <c r="D45" s="1" t="str">
        <f>Reporting_currency</f>
        <v>HKD</v>
      </c>
    </row>
    <row r="47" spans="1:6">
      <c r="B47" s="359" t="s">
        <v>236</v>
      </c>
      <c r="C47" s="359"/>
      <c r="D47" s="359"/>
      <c r="E47" s="359"/>
      <c r="F47" s="359"/>
    </row>
    <row r="48" spans="1:6">
      <c r="B48" s="47" t="s">
        <v>237</v>
      </c>
      <c r="C48" s="349">
        <f>Normalized_FCF!C11</f>
        <v>0</v>
      </c>
      <c r="D48" s="1" t="str">
        <f>Reporting_currency</f>
        <v>HKD</v>
      </c>
    </row>
    <row r="50" spans="2:6">
      <c r="B50" s="359" t="s">
        <v>240</v>
      </c>
      <c r="C50" s="359"/>
      <c r="D50" s="359"/>
      <c r="E50" s="359"/>
      <c r="F50" s="359"/>
    </row>
    <row r="51" spans="2:6">
      <c r="B51" s="47" t="s">
        <v>340</v>
      </c>
      <c r="C51" s="350">
        <f>Normalized_FCF!C48</f>
        <v>13746.938888322537</v>
      </c>
      <c r="D51" s="1" t="str">
        <f>Reporting_currency</f>
        <v>HKD</v>
      </c>
      <c r="E51" s="286"/>
      <c r="F51" s="286"/>
    </row>
    <row r="52" spans="2:6">
      <c r="B52" s="47" t="s">
        <v>341</v>
      </c>
      <c r="C52" s="350">
        <f>Normalized_FCF!C47</f>
        <v>-59596</v>
      </c>
      <c r="D52" s="1" t="str">
        <f>Reporting_currency</f>
        <v>HKD</v>
      </c>
      <c r="E52" s="286"/>
      <c r="F52" s="286"/>
    </row>
    <row r="53" spans="2:6">
      <c r="B53" s="47" t="s">
        <v>238</v>
      </c>
      <c r="C53" s="349">
        <f>Normalized_FCF!C12</f>
        <v>-45849.061111677467</v>
      </c>
      <c r="D53" s="1" t="str">
        <f>Reporting_currency</f>
        <v>HKD</v>
      </c>
    </row>
    <row r="55" spans="2:6">
      <c r="B55" s="1" t="s">
        <v>246</v>
      </c>
    </row>
    <row r="56" spans="2:6">
      <c r="B56" s="47" t="s">
        <v>265</v>
      </c>
      <c r="C56" s="349">
        <f>Normalized_FCF!C15</f>
        <v>0</v>
      </c>
      <c r="D56" s="1" t="str">
        <f>Reporting_currency</f>
        <v>HKD</v>
      </c>
    </row>
    <row r="58" spans="2:6">
      <c r="B58" s="359" t="s">
        <v>241</v>
      </c>
      <c r="C58" s="359"/>
      <c r="D58" s="359"/>
      <c r="E58" s="359"/>
      <c r="F58" s="359"/>
    </row>
    <row r="59" spans="2:6">
      <c r="B59" s="47" t="s">
        <v>239</v>
      </c>
      <c r="C59" s="349">
        <f>Normalized_FCF!C14</f>
        <v>-338171.38555405382</v>
      </c>
      <c r="D59" s="1" t="str">
        <f>Reporting_currency</f>
        <v>HKD</v>
      </c>
    </row>
    <row r="61" spans="2:6">
      <c r="B61" s="359" t="s">
        <v>338</v>
      </c>
      <c r="C61" s="360"/>
      <c r="D61" s="360"/>
      <c r="E61" s="360"/>
      <c r="F61" s="360"/>
    </row>
    <row r="62" spans="2:6">
      <c r="B62" s="47" t="s">
        <v>242</v>
      </c>
      <c r="C62" s="349">
        <f>Normalized_FCF!C17</f>
        <v>0</v>
      </c>
      <c r="D62" s="1" t="str">
        <f>Reporting_currency</f>
        <v>HKD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1291433.9388883226</v>
      </c>
      <c r="D67" s="1" t="str">
        <f>Reporting_currency</f>
        <v>HKD</v>
      </c>
    </row>
    <row r="68" spans="1:6">
      <c r="B68" s="47" t="s">
        <v>248</v>
      </c>
      <c r="C68" s="349">
        <f>Normalized_FCF!C19</f>
        <v>1014514.1566621615</v>
      </c>
      <c r="D68" s="1" t="str">
        <f>Reporting_currency</f>
        <v>HKD</v>
      </c>
    </row>
    <row r="69" spans="1:6">
      <c r="B69" s="227" t="s">
        <v>390</v>
      </c>
      <c r="C69" s="92">
        <f>Normalized_FCF!C125</f>
        <v>9.094663259840155E-2</v>
      </c>
      <c r="F69" s="314"/>
    </row>
    <row r="70" spans="1:6">
      <c r="B70" s="227" t="s">
        <v>308</v>
      </c>
      <c r="C70" s="92">
        <f>Normalized_FCF!C93</f>
        <v>7.1578947368421061E-2</v>
      </c>
      <c r="E70" s="47" t="s">
        <v>447</v>
      </c>
      <c r="F70" s="315">
        <f>Normalized_FCF!C92</f>
        <v>0.7870434047239161</v>
      </c>
    </row>
    <row r="72" spans="1:6">
      <c r="B72" s="210" t="s">
        <v>450</v>
      </c>
      <c r="C72" s="323" t="s">
        <v>452</v>
      </c>
      <c r="D72" s="323" t="s">
        <v>453</v>
      </c>
    </row>
    <row r="73" spans="1:6">
      <c r="B73" s="47" t="s">
        <v>451</v>
      </c>
      <c r="C73" s="92">
        <f>Normalized_FCF!C120</f>
        <v>0.10515362778966494</v>
      </c>
      <c r="D73" s="92">
        <f>Normalized_FCF!G120</f>
        <v>0.12582499790408183</v>
      </c>
    </row>
    <row r="74" spans="1:6">
      <c r="B74" s="259" t="str">
        <f>Normalized_FCF!B117</f>
        <v>Pre-tax Profit/Sales</v>
      </c>
      <c r="C74" s="322">
        <f>Normalized_FCF!C117</f>
        <v>0.11295218450174714</v>
      </c>
      <c r="D74" s="322">
        <f>Normalized_FCF!G117</f>
        <v>0.10561163722631718</v>
      </c>
    </row>
    <row r="75" spans="1:6">
      <c r="B75" s="259" t="str">
        <f>Normalized_FCF!B118</f>
        <v>Sales/Total Assets</v>
      </c>
      <c r="C75" s="324">
        <f>Normalized_FCF!C118</f>
        <v>0.71055479556740742</v>
      </c>
      <c r="D75" s="324">
        <f>Normalized_FCF!G118</f>
        <v>0.90933332162498015</v>
      </c>
    </row>
    <row r="76" spans="1:6">
      <c r="B76" s="259" t="str">
        <f>Normalized_FCF!B119</f>
        <v>Total Assets/Equity</v>
      </c>
      <c r="C76" s="324">
        <f>Normalized_FCF!C119</f>
        <v>1.3101832741522048</v>
      </c>
      <c r="D76" s="324">
        <f>Normalized_FCF!G119</f>
        <v>1.3101832741522048</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23.03981359159506</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2034922</v>
      </c>
      <c r="D102" s="1" t="str">
        <f>Reporting_currency</f>
        <v>HKD</v>
      </c>
    </row>
    <row r="103" spans="2:6">
      <c r="B103" s="47" t="s">
        <v>281</v>
      </c>
      <c r="C103" s="223">
        <f>C102*scaling_factor*Exchange_Rate/Common_Shares</f>
        <v>3.4660105464438944</v>
      </c>
      <c r="D103" s="1" t="str">
        <f>Market_currency</f>
        <v>HKD</v>
      </c>
    </row>
    <row r="104" spans="2:6">
      <c r="B104" s="296" t="s">
        <v>404</v>
      </c>
      <c r="C104" s="325">
        <f>IF(BS!G31/BS!G27&gt;300%,"nm",BS!G31/BS!G27)</f>
        <v>0.15818859882129041</v>
      </c>
    </row>
    <row r="105" spans="2:6">
      <c r="B105" s="296" t="s">
        <v>406</v>
      </c>
      <c r="C105" s="326">
        <f>IF(BS!C50&gt;30,"nm",BS!C50)</f>
        <v>1.4550387206421544</v>
      </c>
    </row>
    <row r="107" spans="2:6">
      <c r="B107" s="1" t="s">
        <v>254</v>
      </c>
    </row>
    <row r="108" spans="2:6">
      <c r="B108" s="47" t="s">
        <v>264</v>
      </c>
      <c r="C108" s="349">
        <f>BS!C66</f>
        <v>1998219</v>
      </c>
      <c r="D108" s="1" t="str">
        <f>Reporting_currency</f>
        <v>HKD</v>
      </c>
    </row>
    <row r="109" spans="2:6">
      <c r="B109" s="47" t="s">
        <v>266</v>
      </c>
      <c r="C109" s="349">
        <f>DCF!C8</f>
        <v>1050246.6606106577</v>
      </c>
      <c r="D109" s="1" t="str">
        <f>Reporting_currency</f>
        <v>HKD</v>
      </c>
    </row>
    <row r="110" spans="2:6">
      <c r="B110" s="47" t="s">
        <v>282</v>
      </c>
      <c r="C110" s="223">
        <f>C109*scaling_factor*Exchange_Rate/Common_Shares</f>
        <v>1.7888479273623368</v>
      </c>
      <c r="D110" s="1" t="str">
        <f>Market_currency</f>
        <v>HKD</v>
      </c>
    </row>
    <row r="112" spans="2:6">
      <c r="B112" s="1" t="s">
        <v>256</v>
      </c>
    </row>
    <row r="113" spans="1:6">
      <c r="B113" s="47" t="s">
        <v>257</v>
      </c>
      <c r="C113" s="349">
        <f>DCF!C9</f>
        <v>92572.6</v>
      </c>
      <c r="D113" s="1" t="str">
        <f>Reporting_currency</f>
        <v>HKD</v>
      </c>
    </row>
    <row r="114" spans="1:6">
      <c r="B114" s="47" t="s">
        <v>283</v>
      </c>
      <c r="C114" s="223">
        <f>C113*scaling_factor*Exchange_Rate/Common_Shares</f>
        <v>0.15767562978420405</v>
      </c>
      <c r="D114" s="1" t="str">
        <f>Market_currency</f>
        <v>HKD</v>
      </c>
    </row>
    <row r="116" spans="1:6" ht="24.5" customHeight="1">
      <c r="B116" s="358" t="s">
        <v>366</v>
      </c>
      <c r="C116" s="358"/>
      <c r="D116" s="358"/>
      <c r="E116" s="358"/>
      <c r="F116" s="358"/>
    </row>
    <row r="118" spans="1:6">
      <c r="B118" s="47" t="s">
        <v>448</v>
      </c>
      <c r="C118" s="223">
        <f>IF(valuation_method="DCF",DCF!C12,DDM!C7)</f>
        <v>21.520326602297704</v>
      </c>
      <c r="D118" s="1" t="str">
        <f>Market_currency</f>
        <v>HKD</v>
      </c>
    </row>
    <row r="119" spans="1:6">
      <c r="B119" s="296" t="s">
        <v>405</v>
      </c>
      <c r="C119" s="223">
        <f>BS!D47</f>
        <v>5.8696003638854428</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258</v>
      </c>
      <c r="C132" s="217">
        <f>Scenarios!C60</f>
        <v>21.968758226348868</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1.36</v>
      </c>
      <c r="D143" s="212" t="str">
        <f>Market_currency</f>
        <v>HKD</v>
      </c>
    </row>
    <row r="145" spans="2:4">
      <c r="B145" s="210" t="s">
        <v>408</v>
      </c>
      <c r="C145" s="241" t="str">
        <f>C11</f>
        <v>0590.HK</v>
      </c>
      <c r="D145" s="241" t="str">
        <f>IF(D11="","",D11)</f>
        <v/>
      </c>
    </row>
    <row r="146" spans="2:4">
      <c r="B146" s="1" t="s">
        <v>407</v>
      </c>
      <c r="C146" s="297">
        <f>F29</f>
        <v>0.3674</v>
      </c>
    </row>
    <row r="147" spans="2:4">
      <c r="B147" s="212" t="str">
        <f>"PV("&amp;C141&amp;" yrs of Dividends)"</f>
        <v>PV(3 yrs of Dividends)</v>
      </c>
      <c r="C147" s="216">
        <f>Scenarios!C81</f>
        <v>2.2538726743362081</v>
      </c>
    </row>
    <row r="148" spans="2:4">
      <c r="B148" s="212" t="str">
        <f>"+ PV(Equity Value realized at year "&amp;C141&amp;")"</f>
        <v>+ PV(Equity Value realized at year 3)</v>
      </c>
      <c r="C148" s="216">
        <f>Scenarios!C82</f>
        <v>8.5924849995118162</v>
      </c>
    </row>
    <row r="149" spans="2:4">
      <c r="B149" s="80" t="s">
        <v>260</v>
      </c>
      <c r="C149" s="215">
        <f>Scenarios!C83</f>
        <v>10.846357673848024</v>
      </c>
      <c r="D149" s="300" t="str">
        <f>IF($D$11="","",C149*$E$25)</f>
        <v/>
      </c>
    </row>
    <row r="150" spans="2:4">
      <c r="B150" s="259" t="s">
        <v>415</v>
      </c>
      <c r="C150" s="298" t="str">
        <f>Market_currency</f>
        <v>HKD</v>
      </c>
      <c r="D150" s="298" t="str">
        <f>IF($D$11="","",D$13)</f>
        <v/>
      </c>
    </row>
    <row r="151" spans="2:4">
      <c r="B151" s="214" t="s">
        <v>262</v>
      </c>
      <c r="C151" s="92">
        <f>Scenarios!F83</f>
        <v>0.50628262361961229</v>
      </c>
    </row>
    <row r="153" spans="2:4">
      <c r="B153" s="210" t="s">
        <v>411</v>
      </c>
    </row>
    <row r="154" spans="2:4">
      <c r="B154" s="1" t="s">
        <v>410</v>
      </c>
      <c r="C154" s="297">
        <f>Scenarios!C90</f>
        <v>0.21740000000000001</v>
      </c>
    </row>
    <row r="155" spans="2:4">
      <c r="B155" s="212" t="str">
        <f>"PV("&amp;C141&amp;" yrs of Dividends)"</f>
        <v>PV(3 yrs of Dividends)</v>
      </c>
      <c r="C155" s="216">
        <f>Scenarios!C91</f>
        <v>2.7885451204563143</v>
      </c>
    </row>
    <row r="156" spans="2:4">
      <c r="B156" s="212" t="str">
        <f>"+ PV(Equity Value realized at year "&amp;C141&amp;")"</f>
        <v>+ PV(Equity Value realized at year 3)</v>
      </c>
      <c r="C156" s="216">
        <f>Scenarios!C92</f>
        <v>12.176027409611043</v>
      </c>
    </row>
    <row r="157" spans="2:4">
      <c r="B157" s="80" t="s">
        <v>260</v>
      </c>
      <c r="C157" s="215">
        <f>Scenarios!C93</f>
        <v>14.964572530067358</v>
      </c>
      <c r="D157" s="300" t="str">
        <f>IF($D$11="","",C157*$E$25)</f>
        <v/>
      </c>
    </row>
    <row r="158" spans="2:4">
      <c r="B158" s="259" t="s">
        <v>415</v>
      </c>
      <c r="C158" s="298" t="str">
        <f>Market_currency</f>
        <v>HKD</v>
      </c>
      <c r="D158" s="298" t="str">
        <f>IF($D$11="","",D$13)</f>
        <v/>
      </c>
    </row>
    <row r="159" spans="2:4">
      <c r="B159" s="214" t="s">
        <v>262</v>
      </c>
      <c r="C159" s="92">
        <f>Scenarios!F93</f>
        <v>0.31882483407190654</v>
      </c>
    </row>
    <row r="161" spans="2:4">
      <c r="B161" s="210" t="s">
        <v>400</v>
      </c>
    </row>
    <row r="162" spans="2:4">
      <c r="B162" s="1" t="s">
        <v>409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401</v>
      </c>
      <c r="C165" s="215">
        <f>Scenarios!C99</f>
        <v>21.220699139526428</v>
      </c>
      <c r="D165" s="300" t="str">
        <f>IF($D$11="","",C165*$E$25)</f>
        <v/>
      </c>
    </row>
    <row r="166" spans="2:4">
      <c r="B166" s="259" t="s">
        <v>415</v>
      </c>
      <c r="C166" s="298" t="str">
        <f>Market_currency</f>
        <v>HKD</v>
      </c>
      <c r="D166" s="298" t="str">
        <f>IF($D$11="","",D$13)</f>
        <v/>
      </c>
    </row>
    <row r="167" spans="2:4">
      <c r="B167" s="214" t="s">
        <v>262</v>
      </c>
      <c r="C167" s="92">
        <f>Scenarios!F99</f>
        <v>3.4051040988071546E-2</v>
      </c>
    </row>
    <row r="169" spans="2:4">
      <c r="B169" s="210" t="s">
        <v>431</v>
      </c>
    </row>
    <row r="170" spans="2:4">
      <c r="B170" s="1" t="s">
        <v>422</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401</v>
      </c>
      <c r="C173" s="215">
        <f>Scenarios!C105</f>
        <v>19.027476031641555</v>
      </c>
      <c r="D173" s="300" t="str">
        <f>IF($D$11="","",C173*$E$25)</f>
        <v/>
      </c>
    </row>
    <row r="174" spans="2:4">
      <c r="B174" s="259" t="s">
        <v>415</v>
      </c>
      <c r="C174" s="298" t="str">
        <f>Market_currency</f>
        <v>HKD</v>
      </c>
      <c r="D174" s="298" t="str">
        <f>IF($D$11="","",D$13)</f>
        <v/>
      </c>
    </row>
    <row r="175" spans="2:4">
      <c r="B175" s="214" t="s">
        <v>262</v>
      </c>
      <c r="C175" s="92">
        <f>Scenarios!F105</f>
        <v>0.13397231740286097</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15325962</v>
      </c>
      <c r="D4" s="351">
        <v>11977844</v>
      </c>
      <c r="E4" s="351">
        <v>11737803</v>
      </c>
      <c r="F4" s="351">
        <v>8861335</v>
      </c>
      <c r="G4" s="351">
        <v>11233771</v>
      </c>
      <c r="H4" s="351"/>
      <c r="I4" s="351"/>
      <c r="J4" s="351"/>
      <c r="K4" s="351"/>
      <c r="L4" s="351"/>
      <c r="M4" s="351"/>
    </row>
    <row r="5" spans="2:13">
      <c r="B5" s="40" t="s">
        <v>43</v>
      </c>
      <c r="C5" s="351">
        <v>11151623</v>
      </c>
      <c r="D5" s="351">
        <v>8747447</v>
      </c>
      <c r="E5" s="351">
        <v>8503976</v>
      </c>
      <c r="F5" s="351">
        <v>6229020</v>
      </c>
      <c r="G5" s="351">
        <v>7910751</v>
      </c>
      <c r="H5" s="351"/>
      <c r="I5" s="351"/>
      <c r="J5" s="351"/>
      <c r="K5" s="351"/>
      <c r="L5" s="351"/>
      <c r="M5" s="351"/>
    </row>
    <row r="6" spans="2:13">
      <c r="B6" s="40" t="s">
        <v>54</v>
      </c>
      <c r="C6" s="351">
        <v>2297566</v>
      </c>
      <c r="D6" s="351">
        <v>1867515</v>
      </c>
      <c r="E6" s="351">
        <v>1815111</v>
      </c>
      <c r="F6" s="351">
        <v>1694480</v>
      </c>
      <c r="G6" s="351">
        <v>2118252</v>
      </c>
      <c r="H6" s="351"/>
      <c r="I6" s="351"/>
      <c r="J6" s="351"/>
      <c r="K6" s="351"/>
      <c r="L6" s="351"/>
      <c r="M6" s="351"/>
    </row>
    <row r="7" spans="2:13">
      <c r="B7" s="69" t="s">
        <v>61</v>
      </c>
      <c r="C7" s="352">
        <v>2043459</v>
      </c>
      <c r="D7" s="352">
        <v>1517989</v>
      </c>
      <c r="E7" s="352">
        <v>1491293</v>
      </c>
      <c r="F7" s="352">
        <v>1412494</v>
      </c>
      <c r="G7" s="352">
        <v>1945100</v>
      </c>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v>639</v>
      </c>
      <c r="D9" s="351">
        <v>927</v>
      </c>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59596</v>
      </c>
      <c r="D12" s="351">
        <v>20763</v>
      </c>
      <c r="E12" s="351">
        <v>23097</v>
      </c>
      <c r="F12" s="351">
        <v>28849</v>
      </c>
      <c r="G12" s="351">
        <v>63075</v>
      </c>
      <c r="H12" s="351"/>
      <c r="I12" s="351"/>
      <c r="J12" s="351"/>
      <c r="K12" s="351"/>
      <c r="L12" s="351"/>
      <c r="M12" s="351"/>
    </row>
    <row r="13" spans="2:13">
      <c r="B13" s="40" t="s">
        <v>67</v>
      </c>
      <c r="C13" s="351">
        <v>28977</v>
      </c>
      <c r="D13" s="351">
        <v>33125</v>
      </c>
      <c r="E13" s="351">
        <v>87344</v>
      </c>
      <c r="F13" s="351">
        <v>63398</v>
      </c>
      <c r="G13" s="351">
        <v>45450</v>
      </c>
      <c r="H13" s="351"/>
      <c r="I13" s="351"/>
      <c r="J13" s="351"/>
      <c r="K13" s="351"/>
      <c r="L13" s="351"/>
      <c r="M13" s="351"/>
    </row>
    <row r="14" spans="2:13">
      <c r="B14" s="40" t="s">
        <v>50</v>
      </c>
      <c r="C14" s="351">
        <v>327166</v>
      </c>
      <c r="D14" s="351">
        <v>280664</v>
      </c>
      <c r="E14" s="351">
        <v>291296</v>
      </c>
      <c r="F14" s="351">
        <v>236303</v>
      </c>
      <c r="G14" s="351">
        <v>223409</v>
      </c>
      <c r="H14" s="351"/>
      <c r="I14" s="351"/>
      <c r="J14" s="351"/>
      <c r="K14" s="351"/>
      <c r="L14" s="351"/>
      <c r="M14" s="351"/>
    </row>
    <row r="15" spans="2:13">
      <c r="B15" s="43" t="s">
        <v>42</v>
      </c>
      <c r="C15" s="353">
        <v>1767305</v>
      </c>
      <c r="D15" s="353">
        <v>1284757</v>
      </c>
      <c r="E15" s="353">
        <v>1392364</v>
      </c>
      <c r="F15" s="353">
        <v>1017335</v>
      </c>
      <c r="G15" s="353">
        <v>866315</v>
      </c>
      <c r="H15" s="353"/>
      <c r="I15" s="353"/>
      <c r="J15" s="353"/>
      <c r="K15" s="353"/>
      <c r="L15" s="353"/>
      <c r="M15" s="353"/>
    </row>
    <row r="16" spans="2:13">
      <c r="B16" s="28" t="s">
        <v>44</v>
      </c>
      <c r="C16" s="351">
        <v>-9467</v>
      </c>
      <c r="D16" s="351">
        <v>-30</v>
      </c>
      <c r="E16" s="351">
        <v>-27</v>
      </c>
      <c r="F16" s="351">
        <v>1799</v>
      </c>
      <c r="G16" s="351">
        <v>1337</v>
      </c>
      <c r="H16" s="351"/>
      <c r="I16" s="351"/>
      <c r="J16" s="351"/>
      <c r="K16" s="351"/>
      <c r="L16" s="351"/>
      <c r="M16" s="351"/>
    </row>
    <row r="18" spans="2:13">
      <c r="B18" s="16" t="s">
        <v>51</v>
      </c>
      <c r="C18" s="9"/>
    </row>
    <row r="19" spans="2:13">
      <c r="B19" s="27" t="s">
        <v>47</v>
      </c>
      <c r="C19" s="351">
        <v>463424</v>
      </c>
      <c r="D19" s="351">
        <v>371724</v>
      </c>
      <c r="E19" s="351">
        <v>435672</v>
      </c>
      <c r="F19" s="351">
        <v>520888</v>
      </c>
      <c r="G19" s="351"/>
      <c r="H19" s="351"/>
      <c r="I19" s="351"/>
      <c r="J19" s="351"/>
      <c r="K19" s="351"/>
      <c r="L19" s="351"/>
      <c r="M19" s="351"/>
    </row>
    <row r="20" spans="2:13">
      <c r="B20" s="27" t="s">
        <v>53</v>
      </c>
      <c r="C20" s="351">
        <v>676387</v>
      </c>
      <c r="D20" s="351">
        <v>107280</v>
      </c>
      <c r="E20" s="351">
        <v>455483</v>
      </c>
      <c r="F20" s="351">
        <v>138937</v>
      </c>
      <c r="G20" s="351"/>
      <c r="H20" s="351"/>
      <c r="I20" s="351"/>
      <c r="J20" s="351"/>
      <c r="K20" s="351"/>
      <c r="L20" s="351"/>
      <c r="M20" s="351"/>
    </row>
    <row r="21" spans="2:13">
      <c r="B21" s="27" t="s">
        <v>52</v>
      </c>
      <c r="C21" s="351">
        <v>626583</v>
      </c>
      <c r="D21" s="351">
        <v>352099</v>
      </c>
      <c r="E21" s="351">
        <v>1045251</v>
      </c>
      <c r="F21" s="351">
        <v>-818677</v>
      </c>
      <c r="G21" s="351"/>
      <c r="H21" s="351"/>
      <c r="I21" s="351"/>
      <c r="J21" s="351"/>
      <c r="K21" s="351"/>
      <c r="L21" s="351"/>
      <c r="M21" s="351"/>
    </row>
    <row r="22" spans="2:13">
      <c r="B22" s="27" t="s">
        <v>371</v>
      </c>
      <c r="C22" s="351"/>
      <c r="D22" s="351"/>
      <c r="E22" s="351"/>
      <c r="F22" s="351"/>
      <c r="G22" s="351"/>
      <c r="H22" s="351"/>
      <c r="I22" s="351"/>
      <c r="J22" s="351"/>
      <c r="K22" s="351"/>
      <c r="L22" s="351"/>
      <c r="M22" s="351"/>
    </row>
    <row r="23" spans="2:13">
      <c r="B23" s="27" t="s">
        <v>373</v>
      </c>
      <c r="C23" s="351"/>
      <c r="D23" s="351"/>
      <c r="E23" s="351"/>
      <c r="F23" s="351"/>
      <c r="G23" s="351"/>
      <c r="H23" s="351"/>
      <c r="I23" s="351"/>
      <c r="J23" s="351"/>
      <c r="K23" s="351"/>
      <c r="L23" s="351"/>
      <c r="M23" s="351"/>
    </row>
    <row r="24" spans="2:13">
      <c r="B24" s="27" t="s">
        <v>372</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462</v>
      </c>
    </row>
    <row r="28" spans="2:13">
      <c r="B28" s="26" t="s">
        <v>24</v>
      </c>
      <c r="C28" s="333">
        <f>BS!C4</f>
        <v>265773</v>
      </c>
      <c r="D28" s="351">
        <v>213823</v>
      </c>
      <c r="E28" s="351">
        <v>187711</v>
      </c>
      <c r="F28" s="351">
        <v>277338</v>
      </c>
      <c r="G28" s="351"/>
      <c r="H28" s="351"/>
      <c r="I28" s="351"/>
      <c r="J28" s="351"/>
      <c r="K28" s="351"/>
      <c r="L28" s="351"/>
      <c r="M28" s="351"/>
    </row>
    <row r="29" spans="2:13">
      <c r="B29" s="26" t="s">
        <v>32</v>
      </c>
      <c r="C29" s="333">
        <f>BS!C6</f>
        <v>9672256</v>
      </c>
      <c r="D29" s="351">
        <v>8852611</v>
      </c>
      <c r="E29" s="351">
        <v>8769304</v>
      </c>
      <c r="F29" s="351">
        <v>7321614</v>
      </c>
      <c r="G29" s="351"/>
      <c r="H29" s="351"/>
      <c r="I29" s="351"/>
      <c r="J29" s="351"/>
      <c r="K29" s="351"/>
      <c r="L29" s="351"/>
      <c r="M29" s="351"/>
    </row>
    <row r="30" spans="2:13">
      <c r="B30" s="29" t="s">
        <v>40</v>
      </c>
      <c r="C30" s="334">
        <f>BS!C33+BS!C42</f>
        <v>3990166</v>
      </c>
      <c r="D30" s="353">
        <v>2466431</v>
      </c>
      <c r="E30" s="353">
        <v>3908586</v>
      </c>
      <c r="F30" s="353">
        <v>2946772</v>
      </c>
      <c r="G30" s="353"/>
      <c r="H30" s="353"/>
      <c r="I30" s="353"/>
      <c r="J30" s="353"/>
      <c r="K30" s="353"/>
      <c r="L30" s="353"/>
      <c r="M30" s="353"/>
    </row>
    <row r="31" spans="2:13">
      <c r="B31" s="29" t="s">
        <v>30</v>
      </c>
      <c r="C31" s="334">
        <f>BS!G27</f>
        <v>12863898</v>
      </c>
      <c r="D31" s="353">
        <v>12220942</v>
      </c>
      <c r="E31" s="353">
        <v>12078528</v>
      </c>
      <c r="F31" s="353">
        <v>11324224</v>
      </c>
      <c r="G31" s="353"/>
      <c r="H31" s="353"/>
      <c r="I31" s="353"/>
      <c r="J31" s="353"/>
      <c r="K31" s="353"/>
      <c r="L31" s="353"/>
      <c r="M31" s="353"/>
    </row>
    <row r="32" spans="2:13">
      <c r="B32" s="26" t="s">
        <v>172</v>
      </c>
      <c r="C32" s="333">
        <f>BS!G28</f>
        <v>-26962</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86</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40</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45381</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265773</v>
      </c>
      <c r="D4" s="261">
        <v>0.6</v>
      </c>
      <c r="E4" s="25"/>
      <c r="F4" s="4" t="s">
        <v>77</v>
      </c>
      <c r="G4" s="19">
        <v>1998219</v>
      </c>
      <c r="H4" s="261">
        <v>0.9</v>
      </c>
    </row>
    <row r="5" spans="2:8" ht="15" customHeight="1">
      <c r="B5" s="1" t="s">
        <v>33</v>
      </c>
      <c r="C5" s="19">
        <v>0</v>
      </c>
      <c r="D5" s="261">
        <v>0.6</v>
      </c>
      <c r="E5" s="25"/>
      <c r="F5" s="1" t="s">
        <v>29</v>
      </c>
      <c r="G5" s="19">
        <v>0</v>
      </c>
      <c r="H5" s="261">
        <v>0.7</v>
      </c>
    </row>
    <row r="6" spans="2:8" ht="15" customHeight="1">
      <c r="B6" s="4" t="s">
        <v>10</v>
      </c>
      <c r="C6" s="19">
        <v>9672256</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366595</v>
      </c>
      <c r="D9" s="261">
        <v>0.1</v>
      </c>
      <c r="E9" s="25"/>
      <c r="F9" s="4" t="s">
        <v>180</v>
      </c>
      <c r="G9" s="19">
        <v>0</v>
      </c>
      <c r="H9" s="261">
        <v>0.6</v>
      </c>
    </row>
    <row r="10" spans="2:8" ht="15" customHeight="1">
      <c r="B10" s="4" t="s">
        <v>11</v>
      </c>
      <c r="C10" s="19">
        <v>29465</v>
      </c>
      <c r="D10" s="261">
        <v>0.9</v>
      </c>
      <c r="H10" s="262"/>
    </row>
    <row r="11" spans="2:8" ht="15" customHeight="1">
      <c r="B11" s="4" t="s">
        <v>12</v>
      </c>
      <c r="C11" s="19">
        <v>0</v>
      </c>
      <c r="D11" s="261">
        <v>0.05</v>
      </c>
      <c r="H11" s="262"/>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103050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v>2522337</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538321</v>
      </c>
      <c r="D21" s="261">
        <v>0.05</v>
      </c>
      <c r="F21" s="1" t="s">
        <v>180</v>
      </c>
      <c r="G21" s="19">
        <v>925726</v>
      </c>
      <c r="H21" s="261">
        <v>0.1</v>
      </c>
    </row>
    <row r="22" spans="2:8" ht="15" customHeight="1">
      <c r="B22" s="4" t="s">
        <v>20</v>
      </c>
      <c r="C22" s="19">
        <v>154648</v>
      </c>
      <c r="D22" s="261">
        <v>0.9</v>
      </c>
      <c r="H22" s="262"/>
    </row>
    <row r="23" spans="2:8" ht="15" customHeight="1">
      <c r="B23" s="4" t="s">
        <v>21</v>
      </c>
      <c r="C23" s="19">
        <v>277674</v>
      </c>
      <c r="D23" s="261">
        <v>0</v>
      </c>
      <c r="H23" s="262"/>
    </row>
    <row r="24" spans="2:8" ht="15" customHeight="1">
      <c r="B24" s="80" t="s">
        <v>73</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200</v>
      </c>
      <c r="C26" s="182" t="s">
        <v>136</v>
      </c>
      <c r="F26" s="184" t="s">
        <v>196</v>
      </c>
      <c r="G26" s="185" t="s">
        <v>136</v>
      </c>
      <c r="H26" s="186" t="s">
        <v>35</v>
      </c>
    </row>
    <row r="27" spans="2:8" ht="15" customHeight="1">
      <c r="B27" s="4" t="s">
        <v>5</v>
      </c>
      <c r="C27" s="19">
        <v>1427805</v>
      </c>
      <c r="F27" s="187" t="s">
        <v>30</v>
      </c>
      <c r="G27" s="85">
        <f>G32-G30</f>
        <v>12863898</v>
      </c>
      <c r="H27" s="188">
        <f>H32-G30</f>
        <v>3419126.45</v>
      </c>
    </row>
    <row r="28" spans="2:8" ht="15" customHeight="1">
      <c r="B28" s="4" t="s">
        <v>6</v>
      </c>
      <c r="C28" s="19">
        <v>287697</v>
      </c>
      <c r="F28" s="189" t="s">
        <v>244</v>
      </c>
      <c r="G28" s="12">
        <v>-26962</v>
      </c>
      <c r="H28" s="188"/>
    </row>
    <row r="29" spans="2:8" ht="15" customHeight="1">
      <c r="B29" s="4" t="s">
        <v>7</v>
      </c>
      <c r="C29" s="19">
        <v>0</v>
      </c>
      <c r="F29" s="190" t="s">
        <v>75</v>
      </c>
      <c r="G29" s="14">
        <f>G27-G28</f>
        <v>12890860</v>
      </c>
      <c r="H29" s="188">
        <f>H27-G28</f>
        <v>3446088.45</v>
      </c>
    </row>
    <row r="30" spans="2:8" ht="15" customHeight="1">
      <c r="B30" s="2" t="s">
        <v>8</v>
      </c>
      <c r="C30" s="19">
        <v>0</v>
      </c>
      <c r="F30" s="187" t="s">
        <v>23</v>
      </c>
      <c r="G30" s="85">
        <f>C33+C42</f>
        <v>3990166</v>
      </c>
      <c r="H30" s="188"/>
    </row>
    <row r="31" spans="2:8" ht="15" customHeight="1">
      <c r="B31" s="80" t="s">
        <v>203</v>
      </c>
      <c r="C31" s="81">
        <f>SUM(C27:C30)</f>
        <v>1715502</v>
      </c>
      <c r="F31" s="190" t="s">
        <v>76</v>
      </c>
      <c r="G31" s="191">
        <f>C31+C40</f>
        <v>2034922</v>
      </c>
      <c r="H31" s="188"/>
    </row>
    <row r="32" spans="2:8" ht="15" customHeight="1">
      <c r="B32" s="4" t="s">
        <v>9</v>
      </c>
      <c r="C32" s="21">
        <f>C33-C31</f>
        <v>1801307</v>
      </c>
      <c r="F32" s="192" t="s">
        <v>74</v>
      </c>
      <c r="G32" s="193">
        <f>G35+G40</f>
        <v>16854064</v>
      </c>
      <c r="H32" s="188">
        <f>H35+H40</f>
        <v>7409292.4500000002</v>
      </c>
    </row>
    <row r="33" spans="2:8" ht="15" customHeight="1">
      <c r="B33" s="83" t="s">
        <v>4</v>
      </c>
      <c r="C33" s="84">
        <v>3516809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13930119</v>
      </c>
      <c r="H35" s="200">
        <f>D12+D24</f>
        <v>5518322.75</v>
      </c>
    </row>
    <row r="36" spans="2:8" ht="15" customHeight="1">
      <c r="B36" s="4" t="s">
        <v>13</v>
      </c>
      <c r="C36" s="19">
        <v>0</v>
      </c>
      <c r="F36" s="190" t="s">
        <v>197</v>
      </c>
      <c r="G36" s="191">
        <f>C4+C15</f>
        <v>368823</v>
      </c>
      <c r="H36" s="195"/>
    </row>
    <row r="37" spans="2:8" ht="15" customHeight="1">
      <c r="B37" s="4" t="s">
        <v>14</v>
      </c>
      <c r="C37" s="19">
        <v>0</v>
      </c>
      <c r="F37" s="190" t="s">
        <v>198</v>
      </c>
      <c r="G37" s="191">
        <f>C6</f>
        <v>9672256</v>
      </c>
      <c r="H37" s="195"/>
    </row>
    <row r="38" spans="2:8" ht="15" customHeight="1">
      <c r="B38" s="4" t="s">
        <v>15</v>
      </c>
      <c r="C38" s="19">
        <v>319420</v>
      </c>
      <c r="F38" s="190" t="s">
        <v>199</v>
      </c>
      <c r="G38" s="191">
        <f>C7+C17</f>
        <v>0</v>
      </c>
      <c r="H38" s="195"/>
    </row>
    <row r="39" spans="2:8" ht="15" customHeight="1">
      <c r="B39" s="2" t="s">
        <v>16</v>
      </c>
      <c r="C39" s="19">
        <v>0</v>
      </c>
      <c r="F39" s="190" t="s">
        <v>79</v>
      </c>
      <c r="G39" s="191">
        <f>C7+C17+C19+C20</f>
        <v>2522337</v>
      </c>
      <c r="H39" s="188">
        <f>C7*D7+C17*D17+C19*D19+C20*D20</f>
        <v>252233.7</v>
      </c>
    </row>
    <row r="40" spans="2:8" ht="15" customHeight="1">
      <c r="B40" s="80" t="s">
        <v>204</v>
      </c>
      <c r="C40" s="81">
        <f>SUM(C36:C39)</f>
        <v>319420</v>
      </c>
      <c r="F40" s="199" t="s">
        <v>138</v>
      </c>
      <c r="G40" s="193">
        <f>G12+G24</f>
        <v>2923945</v>
      </c>
      <c r="H40" s="200">
        <f>H12+H24</f>
        <v>1890969.7000000002</v>
      </c>
    </row>
    <row r="41" spans="2:8" ht="15" customHeight="1">
      <c r="B41" s="4" t="s">
        <v>17</v>
      </c>
      <c r="C41" s="21">
        <f>C42-C40</f>
        <v>153937</v>
      </c>
      <c r="F41" s="190" t="s">
        <v>191</v>
      </c>
      <c r="G41" s="191">
        <f>C70</f>
        <v>1998219</v>
      </c>
      <c r="H41" s="200">
        <f>H40-H42</f>
        <v>1798397.1</v>
      </c>
    </row>
    <row r="42" spans="2:8" ht="15" customHeight="1">
      <c r="B42" s="83" t="s">
        <v>22</v>
      </c>
      <c r="C42" s="84">
        <v>473357</v>
      </c>
      <c r="F42" s="201" t="s">
        <v>192</v>
      </c>
      <c r="G42" s="202">
        <f>C82</f>
        <v>925726</v>
      </c>
      <c r="H42" s="203">
        <f>D82</f>
        <v>92572.6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1.4550387206421544</v>
      </c>
      <c r="D50" s="95">
        <f>G31/Normalized_FCF!G8</f>
        <v>1.0842664509772892</v>
      </c>
      <c r="F50" s="253"/>
    </row>
    <row r="51" spans="2:8" ht="15" customHeight="1">
      <c r="B51" s="1" t="s">
        <v>176</v>
      </c>
      <c r="C51" s="181"/>
      <c r="D51" s="92">
        <f>G29/G32</f>
        <v>0.76485172952944758</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0.10039645772788393</v>
      </c>
      <c r="D54" s="92">
        <f>Normalized_FCF!G8/G35</f>
        <v>0.13472770763839131</v>
      </c>
      <c r="F54" s="253"/>
    </row>
    <row r="55" spans="2:8" ht="15" customHeight="1">
      <c r="B55" s="1" t="s">
        <v>141</v>
      </c>
      <c r="C55" s="92">
        <f>Normalized_FCF!C11/G40</f>
        <v>0</v>
      </c>
      <c r="D55" s="92">
        <f>Normalized_FCF!G11/G40</f>
        <v>2.1854036242131779E-4</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0.1837280268259158</v>
      </c>
      <c r="F58" s="5"/>
    </row>
    <row r="59" spans="2:8" ht="15" customHeight="1">
      <c r="B59" s="1" t="s">
        <v>92</v>
      </c>
      <c r="C59" s="98"/>
      <c r="D59" s="92">
        <f>G39/G32</f>
        <v>0.14965749507062509</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-2.0915594459950692E-3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1998219</v>
      </c>
      <c r="D66" s="76">
        <f>C66-D75</f>
        <v>1050246.6606106577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1998219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-1187304.6396666665</v>
      </c>
      <c r="D73" s="349">
        <f>(Normalized_FCF!C25+Normalized_FCF!C35-Normalized_FCF!C91)/12</f>
        <v>-947972.33938934223</v>
      </c>
      <c r="F73" s="1" t="s">
        <v>351</v>
      </c>
    </row>
    <row r="74" spans="2:6" ht="15" customHeight="1">
      <c r="B74" s="257" t="s">
        <v>321</v>
      </c>
      <c r="C74" s="258">
        <f>-$C$66/C73</f>
        <v>1.6829876118070222</v>
      </c>
      <c r="D74" s="258">
        <f>-$C$66/D73</f>
        <v>2.1078874530107048</v>
      </c>
      <c r="F74" s="253" t="s">
        <v>319</v>
      </c>
    </row>
    <row r="75" spans="2:6" ht="15" customHeight="1">
      <c r="B75" s="80" t="s">
        <v>320</v>
      </c>
      <c r="C75" s="320"/>
      <c r="D75" s="321">
        <f>MAX(-D73*D76,G5)</f>
        <v>947972.33938934223</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925726</v>
      </c>
      <c r="D81" s="76">
        <f>G9*H9+G21*H21</f>
        <v>92572.6</v>
      </c>
      <c r="F81" s="253"/>
    </row>
    <row r="82" spans="2:8" ht="15" customHeight="1">
      <c r="B82" s="80" t="s">
        <v>189</v>
      </c>
      <c r="C82" s="81">
        <f>SUM(C79:C81)</f>
        <v>925726</v>
      </c>
      <c r="D82" s="81">
        <f>SUM(D79:D81)</f>
        <v>92572.6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-2034922</v>
      </c>
      <c r="D86" s="223">
        <f>C86*scaling_factor/Common_Shares</f>
        <v>-3.4660105464438944</v>
      </c>
      <c r="E86" s="240" t="str">
        <f>Market_currency</f>
        <v>HKD</v>
      </c>
    </row>
    <row r="87" spans="2:8" ht="15" customHeight="1">
      <c r="B87" s="238" t="s">
        <v>287</v>
      </c>
      <c r="C87" s="76">
        <f>DCF!C8*Exchange_Rate</f>
        <v>1050246.6606106577</v>
      </c>
      <c r="D87" s="223">
        <f>C87*scaling_factor/Common_Shares</f>
        <v>1.7888479273623368</v>
      </c>
      <c r="E87" s="240" t="str">
        <f>Market_currency</f>
        <v>HKD</v>
      </c>
    </row>
    <row r="88" spans="2:8" ht="15" customHeight="1">
      <c r="B88" s="239" t="s">
        <v>189</v>
      </c>
      <c r="C88" s="76">
        <f>DCF!C9*Exchange_Rate</f>
        <v>92572.6</v>
      </c>
      <c r="D88" s="223">
        <f>C88*scaling_factor/Common_Shares</f>
        <v>0.15767562978420405</v>
      </c>
      <c r="E88" s="240" t="str">
        <f>Market_currency</f>
        <v>HKD</v>
      </c>
    </row>
    <row r="89" spans="2:8" ht="15" customHeight="1">
      <c r="B89" s="80" t="s">
        <v>291</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46</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0.72134257435984139</v>
      </c>
      <c r="D28" s="26"/>
      <c r="E28" s="266" t="s">
        <v>333</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333</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-302359.25</v>
      </c>
      <c r="E33" s="266" t="s">
        <v>333</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1.4501413508729523E-2</v>
      </c>
      <c r="E53" s="265" t="s">
        <v>335</v>
      </c>
      <c r="G53" s="6">
        <f>IF(Normalized_FCF!G4="","",Normalized_FCF!G49/BS!$C$66)</f>
        <v>1.4501413508729523E-2</v>
      </c>
      <c r="H53" s="169"/>
      <c r="I53" s="169"/>
      <c r="J53" s="169"/>
      <c r="K53" s="169"/>
      <c r="L53" s="169"/>
      <c r="M53" s="169"/>
      <c r="N53" s="169"/>
      <c r="O53" s="169"/>
      <c r="P53" s="169"/>
      <c r="Q53" s="169"/>
    </row>
    <row r="54" spans="1:17" ht="15.75" customHeight="1">
      <c r="A54" s="10"/>
      <c r="B54" s="8" t="s">
        <v>87</v>
      </c>
      <c r="C54" s="82">
        <f>G54</f>
        <v>2.9286626219579916E-2</v>
      </c>
      <c r="E54" s="265" t="s">
        <v>336</v>
      </c>
      <c r="G54" s="23">
        <f>IFERROR(ABS(Normalized_FCF!G47/BS!$G$31),0)</f>
        <v>2.9286626219579916E-2</v>
      </c>
      <c r="H54" s="169"/>
      <c r="I54" s="169"/>
      <c r="J54" s="169"/>
      <c r="K54" s="169"/>
      <c r="L54" s="169"/>
      <c r="M54" s="169"/>
      <c r="N54" s="169"/>
      <c r="O54" s="169"/>
      <c r="P54" s="169"/>
      <c r="Q54" s="169"/>
    </row>
    <row r="55" spans="1:17" ht="15.75" customHeight="1">
      <c r="A55" s="10"/>
      <c r="B55" s="26" t="s">
        <v>90</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3.8696911822371505E-2</v>
      </c>
      <c r="D78" s="27"/>
      <c r="E78" s="266" t="s">
        <v>464</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7.1578947368421061E-2</v>
      </c>
      <c r="E93" s="268"/>
      <c r="G93" s="23">
        <f t="shared" ref="G93:Q93" si="39">IF(G$4="","",G90/Market_Price)</f>
        <v>7.1578947368421061E-2</v>
      </c>
      <c r="H93" s="23">
        <f t="shared" si="39"/>
        <v>5.789473684210527E-2</v>
      </c>
      <c r="I93" s="23">
        <f t="shared" si="39"/>
        <v>5.789473684210527E-2</v>
      </c>
      <c r="J93" s="23">
        <f t="shared" si="39"/>
        <v>5.2631578947368418E-2</v>
      </c>
      <c r="K93" s="23">
        <f t="shared" si="39"/>
        <v>5.2631578947368418E-2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-0.2185980886550547</v>
      </c>
      <c r="D96" s="27"/>
      <c r="E96" s="265"/>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-0.16428667163718114</v>
      </c>
      <c r="D97" s="27"/>
      <c r="E97" s="265"/>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16854064</v>
      </c>
      <c r="D101" s="26"/>
      <c r="E101" s="269"/>
      <c r="F101" s="26"/>
      <c r="G101" s="333">
        <f t="shared" ref="G101:Q101" si="42">IF(G$4="","",G105+G104)</f>
        <v>16854064</v>
      </c>
      <c r="H101" s="333">
        <f t="shared" si="42"/>
        <v>14687373</v>
      </c>
      <c r="I101" s="333">
        <f t="shared" si="42"/>
        <v>15987114</v>
      </c>
      <c r="J101" s="333">
        <f t="shared" si="42"/>
        <v>14270996</v>
      </c>
      <c r="K101" s="333">
        <f t="shared" si="42"/>
        <v>0</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265773</v>
      </c>
      <c r="D102" s="89"/>
      <c r="E102" s="270"/>
      <c r="F102" s="89"/>
      <c r="G102" s="346">
        <f>IF(G$4="","",Data!D77)</f>
        <v>213823</v>
      </c>
      <c r="H102" s="346">
        <f>IF(H$4="","",Data!E77)</f>
        <v>187711</v>
      </c>
      <c r="I102" s="346">
        <f>IF(I$4="","",Data!F77)</f>
        <v>277338</v>
      </c>
      <c r="J102" s="346">
        <f>IF(J$4="","",Data!G77)</f>
        <v>0</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9672256</v>
      </c>
      <c r="D103" s="89"/>
      <c r="E103" s="270"/>
      <c r="F103" s="89"/>
      <c r="G103" s="346">
        <f>IF(G$4="","",Data!D78)</f>
        <v>8852611</v>
      </c>
      <c r="H103" s="346">
        <f>IF(H$4="","",Data!E78)</f>
        <v>8769304</v>
      </c>
      <c r="I103" s="346">
        <f>IF(I$4="","",Data!F78)</f>
        <v>7321614</v>
      </c>
      <c r="J103" s="346">
        <f>IF(J$4="","",Data!G78)</f>
        <v>0</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3990166</v>
      </c>
      <c r="D104" s="26"/>
      <c r="E104" s="269"/>
      <c r="F104" s="26"/>
      <c r="G104" s="333">
        <f>Data!C79</f>
        <v>3990166</v>
      </c>
      <c r="H104" s="333">
        <f>Data!D79</f>
        <v>2466431</v>
      </c>
      <c r="I104" s="333">
        <f>Data!E79</f>
        <v>3908586</v>
      </c>
      <c r="J104" s="333">
        <f>Data!F79</f>
        <v>2946772</v>
      </c>
      <c r="K104" s="333">
        <f>Data!G79</f>
        <v>0</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12863898</v>
      </c>
      <c r="D105" s="26"/>
      <c r="E105" s="269"/>
      <c r="F105" s="26"/>
      <c r="G105" s="333">
        <f>Data!C80</f>
        <v>12863898</v>
      </c>
      <c r="H105" s="333">
        <f>Data!D80</f>
        <v>12220942</v>
      </c>
      <c r="I105" s="333">
        <f>Data!E80</f>
        <v>12078528</v>
      </c>
      <c r="J105" s="333">
        <f>Data!F80</f>
        <v>11324224</v>
      </c>
      <c r="K105" s="333">
        <f>Data!G80</f>
        <v>0</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2.2192623484686036E-2</v>
      </c>
      <c r="D108" s="26"/>
      <c r="E108" s="269"/>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0.80765441055146836</v>
      </c>
      <c r="D109" s="26"/>
      <c r="E109" s="269"/>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0</v>
      </c>
      <c r="I113" s="295">
        <f>IF(I$4="","",Data!E$22/Data!E15)</f>
        <v>0</v>
      </c>
      <c r="J113" s="295">
        <f>IF(J$4="","",Data!F$22/Data!F15)</f>
        <v>0</v>
      </c>
      <c r="K113" s="295">
        <f>IF(K$4="","",Data!G$22/Data!G15)</f>
        <v>0</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0</v>
      </c>
      <c r="H114" s="295">
        <f>IF(H$4="","",Data!D$22/H19)</f>
        <v>0</v>
      </c>
      <c r="I114" s="295">
        <f>IF(I$4="","",Data!E$22/I19)</f>
        <v>0</v>
      </c>
      <c r="J114" s="295">
        <f>IF(J$4="","",Data!F$22/J19)</f>
        <v>0</v>
      </c>
      <c r="K114" s="295">
        <f>IF(K$4="","",Data!G$22/K19)</f>
        <v>0</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0.11295218450174714</v>
      </c>
      <c r="E117" s="268"/>
      <c r="G117" s="23">
        <f t="shared" ref="G117:Q117" si="45">IF(G4="","",IF(valuation_method="DDM",G13/(G4+G12),G81))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0.71055479556740742</v>
      </c>
      <c r="E118" s="268"/>
      <c r="G118" s="42">
        <f t="shared" ref="G118:Q118" si="46">IF(G4="","",IF(valuation_method="DDM",(G4+G12)/G101,G4/G101))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1.3101832741522048</v>
      </c>
      <c r="D119" s="11"/>
      <c r="E119" s="272"/>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0.10515362778966494</v>
      </c>
      <c r="D120" s="103"/>
      <c r="E120" s="271"/>
      <c r="F120" s="103"/>
      <c r="G120" s="102">
        <f>IF(G$4="","",G13/G105)</f>
        <v>0.12582499790408183</v>
      </c>
      <c r="H120" s="102">
        <f t="shared" ref="H120:Q120" si="48">IF(H$4="","",H13/H105)</f>
        <v>0.13282157675635553</v>
      </c>
      <c r="I120" s="102">
        <f t="shared" si="48"/>
        <v>0.11733588293452622</v>
      </c>
      <c r="J120" s="102">
        <f t="shared" si="48"/>
        <v>0.11665378204824664</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1.7279860193696295</v>
      </c>
      <c r="D124" s="27"/>
      <c r="E124" s="265"/>
      <c r="F124" s="27"/>
      <c r="G124" s="177">
        <f t="shared" ref="G124:Q124" si="49">IF(G$4="","",G16*$C$3/Common_Shares*Exchange_Rate)</f>
        <v>2.1996536733213881</v>
      </c>
      <c r="H124" s="177">
        <f t="shared" si="49"/>
        <v>2.2867021551286859</v>
      </c>
      <c r="I124" s="177">
        <f t="shared" si="49"/>
        <v>1.9177886097578105</v>
      </c>
      <c r="J124" s="177">
        <f t="shared" si="49"/>
        <v>1.8444848904022044</v>
      </c>
      <c r="K124" s="177">
        <f t="shared" si="49"/>
        <v>1.5985289112722136</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9.094663259840155E-2</v>
      </c>
      <c r="D125" s="27"/>
      <c r="E125" s="265"/>
      <c r="F125" s="27"/>
      <c r="G125" s="77">
        <f t="shared" ref="G125" si="50">IF(G$4="","",G124/Market_Price)</f>
        <v>0.11577124596428358</v>
      </c>
      <c r="H125" s="77">
        <f t="shared" ref="H125" si="51">IF(H$4="","",H124/Market_Price)</f>
        <v>0.12035274500677294</v>
      </c>
      <c r="I125" s="77">
        <f t="shared" ref="I125" si="52">IF(I$4="","",I124/Market_Price)</f>
        <v>0.10093624261883213</v>
      </c>
      <c r="J125" s="77">
        <f t="shared" ref="J125" si="53">IF(J$4="","",J124/Market_Price)</f>
        <v>9.707815212643181E-2</v>
      </c>
      <c r="K125" s="77">
        <f t="shared" ref="K125" si="54">IF(K$4="","",K124/Market_Price)</f>
        <v>8.4133100593274404E-2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0.15843094694029206</v>
      </c>
      <c r="H126" s="23">
        <f>IF(H$4="","",(Data!D47*$C$3)/(Market_Price*Common_Shares))</f>
        <v>0.11517268841437601</v>
      </c>
      <c r="I126" s="23">
        <f>IF(I$4="","",(Data!E47*$C$3)/(Market_Price*Common_Shares))</f>
        <v>0.12481917213246882</v>
      </c>
      <c r="J126" s="23">
        <f>IF(J$4="","",(Data!F47*$C$3)/(Market_Price*Common_Shares))</f>
        <v>9.1199508520318801E-2</v>
      </c>
      <c r="K126" s="23">
        <f>IF(K$4="","",(Data!G47*$C$3)/(Market_Price*Common_Shares))</f>
        <v>7.7661244549514161E-2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1014514.1566621615</v>
      </c>
      <c r="D4" t="str">
        <f>Reporting_currency</f>
        <v>HKD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13526855.422162153</v>
      </c>
      <c r="D6" t="str">
        <f>Reporting_currency</f>
        <v>HKD</v>
      </c>
      <c r="E6" s="364" t="s">
        <v>249</v>
      </c>
      <c r="F6" s="364"/>
      <c r="H6" s="120"/>
    </row>
    <row r="7" spans="2:8">
      <c r="B7" s="148" t="s">
        <v>224</v>
      </c>
      <c r="C7" s="338">
        <f>BS!G31</f>
        <v>2034922</v>
      </c>
      <c r="D7" t="str">
        <f>Reporting_currency</f>
        <v>HKD</v>
      </c>
      <c r="E7" s="364"/>
      <c r="F7" s="364"/>
      <c r="H7" s="120"/>
    </row>
    <row r="8" spans="2:8">
      <c r="B8" s="148" t="s">
        <v>225</v>
      </c>
      <c r="C8" s="338">
        <f>BS!D66</f>
        <v>1050246.6606106577</v>
      </c>
      <c r="D8" t="str">
        <f>Reporting_currency</f>
        <v>HKD</v>
      </c>
      <c r="E8" s="364"/>
      <c r="F8" s="364"/>
      <c r="H8" s="120"/>
    </row>
    <row r="9" spans="2:8">
      <c r="B9" s="205" t="s">
        <v>190</v>
      </c>
      <c r="C9" s="348">
        <f>BS!H42</f>
        <v>92572.6</v>
      </c>
      <c r="D9" t="str">
        <f>Reporting_currency</f>
        <v>HKD</v>
      </c>
      <c r="E9" s="364"/>
      <c r="F9" s="364"/>
      <c r="H9" s="120"/>
    </row>
    <row r="10" spans="2:8" ht="13.15">
      <c r="B10" s="149" t="s">
        <v>227</v>
      </c>
      <c r="C10" s="347">
        <f>C6-C7+C8+C9</f>
        <v>12634752.68277281</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21.520326602297704</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1.24036923941947E-2</v>
      </c>
      <c r="H16" s="120"/>
    </row>
    <row r="17" spans="2:17" ht="13.25" customHeight="1">
      <c r="B17" s="118" t="s">
        <v>134</v>
      </c>
      <c r="C17" s="162">
        <f>Scenarios!C64</f>
        <v>5</v>
      </c>
      <c r="H17" s="120"/>
    </row>
    <row r="18" spans="2:17" ht="13.25" customHeight="1">
      <c r="B18" s="153" t="s">
        <v>106</v>
      </c>
      <c r="C18" s="140">
        <f>(F52-C7+C8+C9)*Exchange_Rate/Common_Shares*scaling_factor</f>
        <v>21.970979004481553</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13694638.375879399</v>
      </c>
      <c r="D51" s="139">
        <f>Terminal_Growth</f>
        <v>0</v>
      </c>
      <c r="E51" s="124">
        <f>1/(1+Equity_Cost)^C17</f>
        <v>0.69655863235011617</v>
      </c>
      <c r="F51" s="125">
        <f t="shared" si="1"/>
        <v>9539118.5776319709</v>
      </c>
      <c r="H51" s="120"/>
    </row>
    <row r="52" spans="1:17">
      <c r="C52" s="114"/>
      <c r="E52" s="127" t="s">
        <v>100</v>
      </c>
      <c r="F52" s="137">
        <f>SUM(F21:F51)</f>
        <v>13791436.985105649</v>
      </c>
      <c r="H52" s="120"/>
    </row>
    <row r="53" spans="1:17">
      <c r="C53" s="114"/>
      <c r="H53" s="120"/>
    </row>
    <row r="54" spans="1:17" ht="13.15">
      <c r="B54" s="119" t="s">
        <v>129</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v>
      </c>
      <c r="E3" s="109" t="s">
        <v>124</v>
      </c>
      <c r="H3" s="120"/>
    </row>
    <row r="4" spans="2:8">
      <c r="B4" s="100" t="s">
        <v>439</v>
      </c>
      <c r="C4" s="114">
        <f>Normalized_FCF!C91</f>
        <v>798466.67599999998</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10646222.346666668</v>
      </c>
      <c r="D6" t="str">
        <f>Reporting_currency</f>
        <v>HKD</v>
      </c>
      <c r="E6" s="364"/>
      <c r="F6" s="364"/>
      <c r="H6" s="120"/>
    </row>
    <row r="7" spans="2:8" ht="13.15">
      <c r="B7" s="149" t="s">
        <v>443</v>
      </c>
      <c r="C7" s="111">
        <f>(C6*scaling_factor)/Common_Shares*Exchange_Rate</f>
        <v>18.133333333333336</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1.24036923941947E-2</v>
      </c>
      <c r="H11" s="120"/>
    </row>
    <row r="12" spans="2:8" ht="13.25" customHeight="1">
      <c r="B12" s="118" t="s">
        <v>134</v>
      </c>
      <c r="C12" s="162">
        <f>Scenarios!C64</f>
        <v>5</v>
      </c>
      <c r="H12" s="120"/>
    </row>
    <row r="13" spans="2:8" ht="13.25" customHeight="1">
      <c r="B13" s="153" t="s">
        <v>106</v>
      </c>
      <c r="C13" s="140">
        <f>F47/Common_Shares*scaling_factor</f>
        <v>18.488016334295121</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10778274.813814923</v>
      </c>
      <c r="D46" s="139">
        <f>Terminal_Growth</f>
        <v>0</v>
      </c>
      <c r="E46" s="124">
        <f>1/(1+Equity_Cost)^C12</f>
        <v>0.69655863235011617</v>
      </c>
      <c r="F46" s="125">
        <f t="shared" si="1"/>
        <v>7507700.363404626</v>
      </c>
      <c r="H46" s="120"/>
    </row>
    <row r="47" spans="2:8">
      <c r="C47" s="114"/>
      <c r="E47" s="127" t="s">
        <v>100</v>
      </c>
      <c r="F47" s="137">
        <f>SUM(F16:F46)</f>
        <v>10854459.52079289</v>
      </c>
      <c r="H47" s="120"/>
    </row>
    <row r="48" spans="2:8">
      <c r="C48" s="114"/>
      <c r="H48" s="120"/>
    </row>
    <row r="49" spans="1:8" ht="13.15">
      <c r="B49" s="119" t="s">
        <v>129</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130</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-19</v>
      </c>
    </row>
    <row r="4" spans="2:9">
      <c r="B4" s="152" t="s">
        <v>146</v>
      </c>
      <c r="C4" s="120">
        <v>3</v>
      </c>
      <c r="D4" s="120"/>
      <c r="E4" s="155" t="s">
        <v>150</v>
      </c>
      <c r="F4" s="155"/>
      <c r="H4" s="247">
        <v>1</v>
      </c>
      <c r="I4" s="124">
        <f t="shared" ref="I4:I13" si="0">IF(ROW()-3 &lt; $C$76, $C$77, IF(ROW()-3 = $C$76, $C$77 + $C$60, ""))</f>
        <v>1.36</v>
      </c>
    </row>
    <row r="5" spans="2:9">
      <c r="H5" s="247">
        <v>2</v>
      </c>
      <c r="I5" s="124">
        <f t="shared" si="0"/>
        <v>1.36</v>
      </c>
    </row>
    <row r="6" spans="2:9" ht="13.15">
      <c r="B6" s="159" t="s">
        <v>95</v>
      </c>
      <c r="C6" s="107">
        <f>DCF!C3</f>
        <v>1000</v>
      </c>
      <c r="E6" s="100" t="s">
        <v>279</v>
      </c>
      <c r="F6" s="100"/>
      <c r="H6" s="247">
        <v>3</v>
      </c>
      <c r="I6" s="124">
        <f t="shared" si="0"/>
        <v>23.328758226348867</v>
      </c>
    </row>
    <row r="7" spans="2:9" ht="12.75" customHeight="1">
      <c r="B7" s="100" t="s">
        <v>275</v>
      </c>
      <c r="C7" s="338">
        <f>Normalized_FCF!G8</f>
        <v>1876773</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66"/>
      <c r="H7" s="247">
        <v>4</v>
      </c>
      <c r="I7" s="124" t="str">
        <f t="shared" si="0"/>
        <v/>
      </c>
    </row>
    <row r="8" spans="2:9">
      <c r="B8" s="100" t="s">
        <v>66</v>
      </c>
      <c r="C8" s="338">
        <f>Normalized_FCF!G19</f>
        <v>1291433.9388883226</v>
      </c>
      <c r="D8" t="str">
        <f>Reporting_currency</f>
        <v>HKD</v>
      </c>
      <c r="E8" s="366"/>
      <c r="F8" s="366"/>
      <c r="H8" s="247">
        <v>5</v>
      </c>
      <c r="I8" s="124" t="str">
        <f t="shared" si="0"/>
        <v/>
      </c>
    </row>
    <row r="9" spans="2:9">
      <c r="B9" s="100" t="s">
        <v>57</v>
      </c>
      <c r="C9" s="338">
        <f>Normalized_FCF!C19</f>
        <v>1014514.1566621615</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0.20035451325595277</v>
      </c>
      <c r="D12" s="158"/>
      <c r="E12" s="366"/>
      <c r="F12" s="366"/>
      <c r="H12" s="247">
        <v>9</v>
      </c>
      <c r="I12" s="124" t="str">
        <f t="shared" si="0"/>
        <v/>
      </c>
    </row>
    <row r="13" spans="2:9">
      <c r="B13" s="148" t="s">
        <v>152</v>
      </c>
      <c r="C13" s="158">
        <f ca="1">(Normalized_FCF!G8/OFFSET(Normalized_FCF!G8, 0, $C$4))^(1/$C$4) - 1</f>
        <v>0.26016796976901468</v>
      </c>
      <c r="E13" s="366"/>
      <c r="F13" s="366"/>
      <c r="H13" s="247">
        <v>10</v>
      </c>
      <c r="I13" s="124" t="str">
        <f t="shared" si="0"/>
        <v/>
      </c>
    </row>
    <row r="14" spans="2:9">
      <c r="B14" s="100" t="s">
        <v>66</v>
      </c>
      <c r="C14" s="158">
        <f ca="1">(Normalized_FCF!G19/OFFSET(Normalized_FCF!G19, 0, $C$4))^(1/$C$4) - 1</f>
        <v>6.0457013634429568E-2</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19</v>
      </c>
      <c r="D21" t="str">
        <f>Market_currency</f>
        <v>HKD</v>
      </c>
      <c r="E21" s="367"/>
      <c r="F21" s="367"/>
    </row>
    <row r="22" spans="2:6">
      <c r="B22" s="100" t="s">
        <v>278</v>
      </c>
      <c r="C22" s="160">
        <f>IF(valuation_method="DCF",DCF!C12,DDM!C7)</f>
        <v>21.520326602297704</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0.02</v>
      </c>
      <c r="D26" s="164"/>
      <c r="E26" s="365"/>
      <c r="F26" s="365"/>
    </row>
    <row r="27" spans="2:6">
      <c r="B27" s="100" t="s">
        <v>113</v>
      </c>
      <c r="C27" s="160">
        <f>IF(valuation_method="DCF",DCF!E76,DDM!E71)</f>
        <v>22.250930687579032</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-0.05</v>
      </c>
      <c r="D32" s="164"/>
      <c r="E32" s="365"/>
      <c r="F32" s="365"/>
    </row>
    <row r="33" spans="2:6">
      <c r="B33" s="100" t="s">
        <v>113</v>
      </c>
      <c r="C33" s="160">
        <f>IF(valuation_method="DCF",DCF!E77,DDM!E72)</f>
        <v>19.781049681312481</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0.05</v>
      </c>
      <c r="D38" s="164"/>
      <c r="E38" s="365"/>
      <c r="F38" s="365"/>
    </row>
    <row r="39" spans="2:6">
      <c r="B39" s="100" t="s">
        <v>113</v>
      </c>
      <c r="C39" s="160">
        <f>IF(valuation_method="DCF",DCF!E75,DDM!E70)</f>
        <v>23.387035431722254</v>
      </c>
      <c r="D39" t="str">
        <f>Market_currency</f>
        <v>HKD</v>
      </c>
      <c r="E39" s="365"/>
      <c r="F39" s="365"/>
    </row>
    <row r="40" spans="2:6">
      <c r="B40" s="100" t="s">
        <v>147</v>
      </c>
      <c r="C40" s="167">
        <f>1-C28-C34</f>
        <v>0.2</v>
      </c>
      <c r="D40" s="165"/>
      <c r="E40" s="365"/>
      <c r="F40" s="365"/>
    </row>
    <row r="42" spans="2:6" ht="13.15">
      <c r="B42" s="100" t="s">
        <v>120</v>
      </c>
      <c r="C42" s="154">
        <f>C27*C28+C33*C34+C39*C40</f>
        <v>21.98417543515437</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-0.08</v>
      </c>
      <c r="D50" s="164"/>
      <c r="E50" s="365"/>
      <c r="F50" s="365"/>
    </row>
    <row r="51" spans="2:6">
      <c r="B51" s="100" t="s">
        <v>113</v>
      </c>
      <c r="C51" s="160">
        <f>IF(valuation_method="DCF",DCF!E78,DDM!E73)</f>
        <v>16.85974867630091</v>
      </c>
      <c r="D51" t="str">
        <f>Market_currency</f>
        <v>HKD</v>
      </c>
      <c r="E51" s="365"/>
      <c r="F51" s="365"/>
    </row>
    <row r="52" spans="2:6">
      <c r="B52" s="100" t="s">
        <v>147</v>
      </c>
      <c r="C52" s="165">
        <v>0.02</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0.06</v>
      </c>
      <c r="D56" s="164"/>
      <c r="E56" s="365"/>
      <c r="F56" s="365"/>
    </row>
    <row r="57" spans="2:6">
      <c r="B57" s="100" t="s">
        <v>113</v>
      </c>
      <c r="C57" s="160">
        <f>IF(valuation_method="DCF",DCF!E74,DDM!E69)</f>
        <v>26.337741753732704</v>
      </c>
      <c r="D57" t="str">
        <f>Market_currency</f>
        <v>HKD</v>
      </c>
      <c r="E57" s="365"/>
      <c r="F57" s="365"/>
    </row>
    <row r="58" spans="2:6">
      <c r="B58" s="100" t="s">
        <v>147</v>
      </c>
      <c r="C58" s="165">
        <v>0.02</v>
      </c>
      <c r="D58" s="165"/>
      <c r="E58" s="365"/>
      <c r="F58" s="365"/>
    </row>
    <row r="60" spans="2:6" ht="13.15">
      <c r="B60" s="100" t="s">
        <v>120</v>
      </c>
      <c r="C60" s="154">
        <f>C51*C52+C57*C58+C42*(1-C52-C58)</f>
        <v>21.968758226348868</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1.24036923941947E-2</v>
      </c>
      <c r="D65" s="151"/>
      <c r="E65" s="251" t="s">
        <v>312</v>
      </c>
    </row>
    <row r="66" spans="2:6">
      <c r="B66" s="100" t="s">
        <v>102</v>
      </c>
      <c r="C66" s="160">
        <f>IF(valuation_method="DCF",DCF!C18,DDM!C13)</f>
        <v>21.970979004481553</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-6.9165811451050191E-2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1.36</v>
      </c>
      <c r="D77" t="str">
        <f>Market_currency</f>
        <v>HKD</v>
      </c>
    </row>
    <row r="79" spans="2:6" ht="13.15">
      <c r="B79" s="109" t="s">
        <v>301</v>
      </c>
    </row>
    <row r="80" spans="2:6">
      <c r="B80" s="148" t="s">
        <v>299</v>
      </c>
      <c r="C80" s="167">
        <f>Thesis!F29</f>
        <v>0.3674</v>
      </c>
    </row>
    <row r="81" spans="2:8">
      <c r="B81" s="100" t="s">
        <v>121</v>
      </c>
      <c r="C81" s="116">
        <f>PV(C80, C76, -C77, 0)</f>
        <v>2.2538726743362081</v>
      </c>
      <c r="D81" s="116"/>
      <c r="E81" s="100"/>
      <c r="F81" s="100"/>
    </row>
    <row r="82" spans="2:8">
      <c r="B82" s="100" t="s">
        <v>122</v>
      </c>
      <c r="C82" s="116">
        <f>C60/(1+C80)^C76</f>
        <v>8.5924849995118162</v>
      </c>
      <c r="D82" s="116"/>
    </row>
    <row r="83" spans="2:8" ht="13.15">
      <c r="B83" s="110" t="s">
        <v>101</v>
      </c>
      <c r="C83" s="111">
        <f>C81+C82</f>
        <v>10.846357673848024</v>
      </c>
      <c r="D83" t="str">
        <f>Market_currency</f>
        <v>HKD</v>
      </c>
      <c r="E83" s="146" t="s">
        <v>126</v>
      </c>
      <c r="F83" s="291">
        <f>(1-C83/C60)</f>
        <v>0.50628262361961229</v>
      </c>
    </row>
    <row r="84" spans="2:8">
      <c r="E84" s="120"/>
    </row>
    <row r="85" spans="2:8" ht="13.15">
      <c r="B85" s="109" t="s">
        <v>302</v>
      </c>
    </row>
    <row r="86" spans="2:8">
      <c r="B86" s="148" t="s">
        <v>300</v>
      </c>
      <c r="C86" s="116">
        <f>Market_Price</f>
        <v>19</v>
      </c>
      <c r="D86" t="str">
        <f>Market_currency</f>
        <v>HKD</v>
      </c>
    </row>
    <row r="87" spans="2:8" ht="13.15">
      <c r="B87" s="100" t="s">
        <v>298</v>
      </c>
      <c r="C87" s="237">
        <f ca="1">IRR(OFFSET($I$3, 0, 0, $C$76 + 1, 1))</f>
        <v>0.11797380818186931</v>
      </c>
    </row>
    <row r="88" spans="2:8">
      <c r="B88" s="100"/>
    </row>
    <row r="89" spans="2:8" ht="13.15">
      <c r="B89" s="109" t="s">
        <v>412</v>
      </c>
    </row>
    <row r="90" spans="2:8">
      <c r="B90" s="148" t="s">
        <v>413</v>
      </c>
      <c r="C90" s="167">
        <f>Thesis!F30</f>
        <v>0.21740000000000001</v>
      </c>
    </row>
    <row r="91" spans="2:8">
      <c r="B91" s="100" t="s">
        <v>121</v>
      </c>
      <c r="C91" s="116">
        <f>PV(C90, C76, -C77, 0)</f>
        <v>2.7885451204563143</v>
      </c>
      <c r="D91" s="116"/>
      <c r="E91" s="100"/>
      <c r="F91" s="100"/>
    </row>
    <row r="92" spans="2:8">
      <c r="B92" s="100" t="s">
        <v>122</v>
      </c>
      <c r="C92" s="116">
        <f>C60/(1+C90)^C76</f>
        <v>12.176027409611043</v>
      </c>
      <c r="D92" s="116"/>
    </row>
    <row r="93" spans="2:8" ht="13.15">
      <c r="B93" s="110" t="s">
        <v>101</v>
      </c>
      <c r="C93" s="111">
        <f>C91+C92</f>
        <v>14.964572530067358</v>
      </c>
      <c r="D93" t="str">
        <f>Market_currency</f>
        <v>HKD</v>
      </c>
      <c r="E93" s="146" t="s">
        <v>126</v>
      </c>
      <c r="F93" s="291">
        <f>(1-C93/C60)</f>
        <v>0.31882483407190654</v>
      </c>
    </row>
    <row r="95" spans="2:8" ht="13.15">
      <c r="B95" s="109" t="s">
        <v>397</v>
      </c>
      <c r="G95" s="2"/>
      <c r="H95" s="281"/>
    </row>
    <row r="96" spans="2:8">
      <c r="B96" s="148" t="s">
        <v>403</v>
      </c>
      <c r="C96" s="134">
        <f>Thesis!F31</f>
        <v>7.4999999999999997E-2</v>
      </c>
      <c r="G96" s="2"/>
      <c r="H96" s="281"/>
    </row>
    <row r="97" spans="2:8">
      <c r="B97" s="100" t="s">
        <v>121</v>
      </c>
      <c r="C97" s="116">
        <f>PV(C96, C76, -C77, 0)</f>
        <v>3.5367150062258652</v>
      </c>
      <c r="D97" s="116"/>
      <c r="G97" s="2"/>
      <c r="H97" s="281"/>
    </row>
    <row r="98" spans="2:8">
      <c r="B98" s="100" t="s">
        <v>122</v>
      </c>
      <c r="C98" s="116">
        <f>C60/(1+C96)^C76</f>
        <v>17.683984133300562</v>
      </c>
      <c r="D98" s="116"/>
      <c r="G98" s="2"/>
      <c r="H98" s="281"/>
    </row>
    <row r="99" spans="2:8" ht="13.15">
      <c r="B99" s="110" t="s">
        <v>398</v>
      </c>
      <c r="C99" s="111">
        <f>C97+C98</f>
        <v>21.220699139526428</v>
      </c>
      <c r="D99" t="s">
        <v>396</v>
      </c>
      <c r="E99" s="146" t="s">
        <v>126</v>
      </c>
      <c r="F99" s="291">
        <f>(1-C99/C60)</f>
        <v>3.4051040988071546E-2</v>
      </c>
    </row>
    <row r="100" spans="2:8">
      <c r="B100" s="100"/>
    </row>
    <row r="101" spans="2:8" ht="13.15">
      <c r="B101" s="109" t="s">
        <v>421</v>
      </c>
    </row>
    <row r="102" spans="2:8">
      <c r="B102" s="148" t="s">
        <v>420</v>
      </c>
      <c r="C102" s="134">
        <f>Thesis!F32</f>
        <v>0.1174</v>
      </c>
    </row>
    <row r="103" spans="2:8">
      <c r="B103" s="100" t="s">
        <v>121</v>
      </c>
      <c r="C103" s="116">
        <f>PV(C102, C76, -C77, 0)</f>
        <v>3.2811402512765628</v>
      </c>
      <c r="D103" s="116"/>
    </row>
    <row r="104" spans="2:8">
      <c r="B104" s="100" t="s">
        <v>122</v>
      </c>
      <c r="C104" s="116">
        <f>C60/(1+C102)^C76</f>
        <v>15.746335780364992</v>
      </c>
      <c r="D104" s="116"/>
    </row>
    <row r="105" spans="2:8" ht="13.15">
      <c r="B105" s="110" t="s">
        <v>398</v>
      </c>
      <c r="C105" s="111">
        <f>C103+C104</f>
        <v>19.027476031641555</v>
      </c>
      <c r="D105" t="s">
        <v>396</v>
      </c>
      <c r="E105" s="146" t="s">
        <v>126</v>
      </c>
      <c r="F105" s="291">
        <f>(1-C105/C66)</f>
        <v>0.13397231740286097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2025-06-09T09:23:37Z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