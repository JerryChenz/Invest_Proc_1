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75807D5-B00D-478C-92B2-6E048766B6D0}"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Q92" i="2"/>
  <c r="Q94" i="2"/>
  <c r="O92" i="2"/>
  <c r="O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<sst xmlns="http://schemas.openxmlformats.org/spreadsheetml/2006/main" count="836" uniqueCount="560">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</sst>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3CE0411-ED83-4146-B2C1-9B533827B8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587107850</v>
          </cell>
        </row>
        <row r="12">
          <cell r="C12">
            <v>21.1</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20.52</v>
      </c>
      <c r="D12" s="50"/>
      <c r="E12" s="48"/>
    </row>
    <row r="13" spans="1:10">
      <c r="B13" s="1" t="s">
        <v>485</v>
      </c>
      <c r="C13" s="32" t="str">
        <f>Market_currency</f>
        <v>HKD</v>
      </c>
      <c r="D13" s="48"/>
      <c r="E13" s="5"/>
    </row>
    <row r="14" spans="1:10">
      <c r="B14" s="4" t="s">
        <v>486</v>
      </c>
      <c r="C14" s="35">
        <f>投资主题!C12*Common_Shares/1000000</f>
        <v>12047.453082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8.785914791671523E-2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495</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8.4209844998519953E-2</v>
      </c>
      <c r="F69" s="314"/>
    </row>
    <row r="70" spans="1:6">
      <c r="B70" s="227" t="s">
        <v>434</v>
      </c>
      <c r="C70" s="92">
        <f>Normalized_FCF!C94</f>
        <v>6.6276803118908392E-2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1" t="s">
        <v>516</v>
      </c>
      <c r="C116" s="371"/>
      <c r="D116" s="371"/>
      <c r="E116" s="371"/>
      <c r="F116" s="371"/>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20.52</v>
      </c>
      <c r="D12" s="50"/>
      <c r="E12" s="48"/>
    </row>
    <row r="13" spans="1:10">
      <c r="B13" s="1" t="s">
        <v>464</v>
      </c>
      <c r="C13" s="48" t="s">
        <v>377</v>
      </c>
      <c r="D13" s="48"/>
      <c r="E13" s="5"/>
    </row>
    <row r="14" spans="1:10">
      <c r="B14" s="4" t="s">
        <v>465</v>
      </c>
      <c r="C14" s="35">
        <f>Thesis!C12*Common_Shares/1000000</f>
        <v>12047.453082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8.785914791671523E-2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229</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8.4209844998519953E-2</v>
      </c>
      <c r="F69" s="314"/>
    </row>
    <row r="70" spans="1:6">
      <c r="B70" s="227" t="s">
        <v>434</v>
      </c>
      <c r="C70" s="92">
        <f>Normalized_FCF!C94</f>
        <v>6.6276803118908392E-2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1" t="s">
        <v>352</v>
      </c>
      <c r="C116" s="371"/>
      <c r="D116" s="371"/>
      <c r="E116" s="371"/>
      <c r="F116" s="371"/>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6.6276803118908392E-2</v>
      </c>
      <c r="E94" s="268"/>
      <c r="G94" s="23">
        <f t="shared" ref="G94:Q94" si="39">IF(G$4="","",(G90*(1-dividend_tax_rate))/Market_Price)</f>
        <v>6.6276803118908392E-2</v>
      </c>
      <c r="H94" s="23">
        <f t="shared" si="39"/>
        <v>5.3606237816764137E-2</v>
      </c>
      <c r="I94" s="23">
        <f t="shared" si="39"/>
        <v>5.3606237816764137E-2</v>
      </c>
      <c r="J94" s="23">
        <f t="shared" si="39"/>
        <v>4.8732943469785579E-2</v>
      </c>
      <c r="K94" s="23">
        <f t="shared" si="39"/>
        <v>4.8732943469785579E-2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8.4209844998519953E-2</v>
      </c>
      <c r="D126" s="27"/>
      <c r="E126" s="265"/>
      <c r="F126" s="27"/>
      <c r="G126" s="77">
        <f t="shared" ref="G126" si="50">IF(G$4="","",G125/Market_Price)</f>
        <v>0.1071955981150774</v>
      </c>
      <c r="H126" s="77">
        <f t="shared" ref="H126" si="51">IF(H$4="","",H125/Market_Price)</f>
        <v>0.1114377268581231</v>
      </c>
      <c r="I126" s="77">
        <f t="shared" ref="I126" si="52">IF(I$4="","",I125/Market_Price)</f>
        <v>9.3459483906326052E-2</v>
      </c>
      <c r="J126" s="77">
        <f t="shared" ref="J126" si="53">IF(J$4="","",J125/Market_Price)</f>
        <v>8.9887177894844267E-2</v>
      </c>
      <c r="K126" s="77">
        <f t="shared" ref="K126" si="54">IF(K$4="","",K125/Market_Price)</f>
        <v>7.7901019067846675E-2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0.14669532124101117</v>
      </c>
      <c r="H127" s="23">
        <f>IF(H$4="","",(Data!D47*$C$3)/(Market_Price*Common_Shares))</f>
        <v>0.10664137816145927</v>
      </c>
      <c r="I127" s="23">
        <f>IF(I$4="","",(Data!E47*$C$3)/(Market_Price*Common_Shares))</f>
        <v>0.11557330753006373</v>
      </c>
      <c r="J127" s="23">
        <f>IF(J$4="","",(Data!F47*$C$3)/(Market_Price*Common_Shares))</f>
        <v>8.4443989370665551E-2</v>
      </c>
      <c r="K127" s="23">
        <f>IF(K$4="","",(Data!G47*$C$3)/(Market_Price*Common_Shares))</f>
        <v>7.1908559768068661E-2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8" t="s">
        <v>245</v>
      </c>
      <c r="F6" s="378"/>
      <c r="H6" s="120"/>
    </row>
    <row r="7" spans="2:8">
      <c r="B7" s="148" t="s">
        <v>220</v>
      </c>
      <c r="C7" s="338">
        <f>BS!G31</f>
        <v>2034922</v>
      </c>
      <c r="D7" t="str">
        <f>Reporting_currency</f>
        <v>HKD</v>
      </c>
      <c r="E7" s="378"/>
      <c r="F7" s="378"/>
      <c r="H7" s="120"/>
    </row>
    <row r="8" spans="2:8">
      <c r="B8" s="148" t="s">
        <v>221</v>
      </c>
      <c r="C8" s="338">
        <f>BS!D66</f>
        <v>1050246.6606106577</v>
      </c>
      <c r="D8" t="str">
        <f>Reporting_currency</f>
        <v>HKD</v>
      </c>
      <c r="E8" s="378"/>
      <c r="F8" s="378"/>
      <c r="H8" s="120"/>
    </row>
    <row r="9" spans="2:8">
      <c r="B9" s="205" t="s">
        <v>186</v>
      </c>
      <c r="C9" s="348">
        <f>BS!H42</f>
        <v>92572.6</v>
      </c>
      <c r="D9" t="str">
        <f>Reporting_currency</f>
        <v>HKD</v>
      </c>
      <c r="E9" s="378"/>
      <c r="F9" s="378"/>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8"/>
      <c r="F6" s="378"/>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-20.52</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c r="B8" s="100" t="s">
        <v>64</v>
      </c>
      <c r="C8" s="338">
        <f>Normalized_FCF!G19</f>
        <v>1291433.9388883226</v>
      </c>
      <c r="D8" t="str">
        <f>Reporting_currency</f>
        <v>HKD</v>
      </c>
      <c r="E8" s="380"/>
      <c r="F8" s="380"/>
      <c r="H8" s="247">
        <v>5</v>
      </c>
      <c r="I8" s="124" t="str">
        <f t="shared" si="0"/>
        <v/>
      </c>
    </row>
    <row r="9" spans="2:9">
      <c r="B9" s="100" t="s">
        <v>55</v>
      </c>
      <c r="C9" s="338">
        <f>Normalized_FCF!C19</f>
        <v>1014514.1566621615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0.20035451325595277</v>
      </c>
      <c r="D12" s="158"/>
      <c r="E12" s="380"/>
      <c r="F12" s="380"/>
      <c r="H12" s="247">
        <v>9</v>
      </c>
      <c r="I12" s="124" t="str">
        <f t="shared" si="0"/>
        <v/>
      </c>
    </row>
    <row r="13" spans="2:9">
      <c r="B13" s="148" t="s">
        <v>148</v>
      </c>
      <c r="C13" s="158">
        <f ca="1">(Normalized_FCF!G8/OFFSET(Normalized_FCF!G8, 0, $C$4))^(1/$C$4) - 1</f>
        <v>0.26016796976901468</v>
      </c>
      <c r="E13" s="380"/>
      <c r="F13" s="380"/>
      <c r="H13" s="247">
        <v>10</v>
      </c>
      <c r="I13" s="124" t="str">
        <f t="shared" si="0"/>
        <v/>
      </c>
    </row>
    <row r="14" spans="2:9">
      <c r="B14" s="100" t="s">
        <v>64</v>
      </c>
      <c r="C14" s="158">
        <f ca="1">(Normalized_FCF!G19/OFFSET(Normalized_FCF!G19, 0, $C$4))^(1/$C$4) - 1</f>
        <v>6.0457013634429568E-2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20.52</v>
      </c>
      <c r="D21" t="str">
        <f>Market_currency</f>
        <v>HKD</v>
      </c>
      <c r="E21" s="381"/>
      <c r="F21" s="381"/>
    </row>
    <row r="22" spans="2:6">
      <c r="B22" s="100" t="s">
        <v>273</v>
      </c>
      <c r="C22" s="160">
        <f>IF(valuation_method="DCF",DCF!C12,DDM!C7)</f>
        <v>21.520326602297704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22.250930687579032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-0.05</v>
      </c>
      <c r="D32" s="164"/>
      <c r="E32" s="379"/>
      <c r="F32" s="379"/>
    </row>
    <row r="33" spans="2:6">
      <c r="B33" s="100" t="s">
        <v>109</v>
      </c>
      <c r="C33" s="160">
        <f>IF(valuation_method="DCF",DCF!E77,DDM!E72)</f>
        <v>19.781049681312481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23.387035431722254</v>
      </c>
      <c r="D39" t="str">
        <f>Market_currency</f>
        <v>HKD</v>
      </c>
      <c r="E39" s="379"/>
      <c r="F39" s="379"/>
    </row>
    <row r="40" spans="2:6">
      <c r="B40" s="100" t="s">
        <v>143</v>
      </c>
      <c r="C40" s="167">
        <f>1-C28-C34</f>
        <v>0.2</v>
      </c>
      <c r="D40" s="165"/>
      <c r="E40" s="379"/>
      <c r="F40" s="379"/>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-0.08</v>
      </c>
      <c r="D50" s="164"/>
      <c r="E50" s="379"/>
      <c r="F50" s="379"/>
    </row>
    <row r="51" spans="2:6">
      <c r="B51" s="100" t="s">
        <v>109</v>
      </c>
      <c r="C51" s="160">
        <f>IF(valuation_method="DCF",DCF!E78,DDM!E73)</f>
        <v>16.85974867630091</v>
      </c>
      <c r="D51" t="str">
        <f>Market_currency</f>
        <v>HKD</v>
      </c>
      <c r="E51" s="379"/>
      <c r="F51" s="379"/>
    </row>
    <row r="52" spans="2:6">
      <c r="B52" s="100" t="s">
        <v>143</v>
      </c>
      <c r="C52" s="165">
        <v>0.02</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26.337741753732704</v>
      </c>
      <c r="D57" t="str">
        <f>Market_currency</f>
        <v>HKD</v>
      </c>
      <c r="E57" s="379"/>
      <c r="F57" s="379"/>
    </row>
    <row r="58" spans="2:6">
      <c r="B58" s="100" t="s">
        <v>143</v>
      </c>
      <c r="C58" s="165">
        <v>0.02</v>
      </c>
      <c r="D58" s="165"/>
      <c r="E58" s="379"/>
      <c r="F58" s="379"/>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20.52</v>
      </c>
      <c r="D86" t="str">
        <f>Market_currency</f>
        <v>HKD</v>
      </c>
    </row>
    <row r="87" spans="2:8" ht="13.15">
      <c r="B87" s="100" t="s">
        <v>293</v>
      </c>
      <c r="C87" s="237">
        <f ca="1">IRR(OFFSET($I$3, 0, 0, $C$76 + 1, 1))</f>
        <v>8.785914791671523E-2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34CE2-CD95-4BBE-BDB3-9C2C706EB97F}">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