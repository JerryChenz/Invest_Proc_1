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DE05C35-2376-446C-A2FF-7632CEC556C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<sst xmlns="http://schemas.openxmlformats.org/spreadsheetml/2006/main" count="589" uniqueCount="416">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</sst>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367</v>
      </c>
      <c r="F1" s="284" t="s">
        <v>291</v>
      </c>
    </row>
    <row r="2" spans="1:10" ht="13.9" x14ac:dyDescent="0.45">
      <c r="A2" s="247"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328</v>
      </c>
      <c r="C5" s="333" t="s">
        <v>413</v>
      </c>
      <c r="D5" s="49" t="s">
        <v>414</v>
      </c>
    </row>
    <row r="6" spans="1:10" x14ac:dyDescent="0.35">
      <c r="B6" s="4" t="s">
        <v>96</v>
      </c>
      <c r="C6" s="50">
        <v>14.44</v>
      </c>
      <c r="D6" s="48" t="s">
        <v>41</v>
      </c>
      <c r="E6" s="48"/>
    </row>
    <row r="7" spans="1:10" x14ac:dyDescent="0.35">
      <c r="B7" s="4" t="s">
        <v>0</v>
      </c>
      <c r="C7" s="51">
        <v>587107850</v>
      </c>
      <c r="D7" s="34"/>
      <c r="E7" s="34"/>
    </row>
    <row r="8" spans="1:10" x14ac:dyDescent="0.35">
      <c r="B8" s="2" t="s">
        <v>318</v>
      </c>
      <c r="C8" s="279">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8477.8373539999993</v>
      </c>
      <c r="D10" s="32"/>
      <c r="E10" s="5"/>
    </row>
    <row r="11" spans="1:10" x14ac:dyDescent="0.35">
      <c r="D11" s="5"/>
      <c r="E11" s="5"/>
    </row>
    <row r="12" spans="1:10" ht="24.4" customHeight="1" x14ac:dyDescent="0.35">
      <c r="B12" s="338" t="s">
        <v>377</v>
      </c>
      <c r="C12" s="338"/>
      <c r="D12" s="338"/>
      <c r="E12" s="338"/>
      <c r="F12" s="338"/>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368</v>
      </c>
      <c r="E18" s="5"/>
    </row>
    <row r="19" spans="1:6" x14ac:dyDescent="0.35">
      <c r="B19" s="2" t="s">
        <v>280</v>
      </c>
      <c r="C19" s="249">
        <v>0.25</v>
      </c>
      <c r="E19" s="5"/>
    </row>
    <row r="20" spans="1:6" x14ac:dyDescent="0.35">
      <c r="B20" s="2" t="str">
        <f>"Target Buy Price ("&amp;Market_currency&amp;"):"</f>
        <v>Target Buy Price (HKD):</v>
      </c>
      <c r="C20" s="252">
        <f>C129</f>
        <v>13.155317996540354</v>
      </c>
      <c r="D20" s="1" t="s">
        <v>319</v>
      </c>
      <c r="E20" s="330">
        <v>3</v>
      </c>
    </row>
    <row r="21" spans="1:6" x14ac:dyDescent="0.35">
      <c r="B21" s="1" t="s">
        <v>376</v>
      </c>
      <c r="C21" s="280">
        <f ca="1">Scenarios!C87</f>
        <v>0.20871253483792285</v>
      </c>
      <c r="D21" s="5"/>
      <c r="E21" s="5"/>
    </row>
    <row r="22" spans="1:6" x14ac:dyDescent="0.35">
      <c r="D22" s="5"/>
      <c r="E22" s="5"/>
    </row>
    <row r="23" spans="1:6" ht="13.9" x14ac:dyDescent="0.45">
      <c r="A23" s="247" t="s">
        <v>370</v>
      </c>
      <c r="B23" s="36"/>
      <c r="C23" s="36"/>
      <c r="D23" s="36"/>
      <c r="E23" s="36"/>
      <c r="F23" s="36"/>
    </row>
    <row r="25" spans="1:6" ht="24.4" customHeight="1" x14ac:dyDescent="0.35">
      <c r="B25" s="338" t="s">
        <v>378</v>
      </c>
      <c r="C25" s="338"/>
      <c r="D25" s="338"/>
      <c r="E25" s="338"/>
      <c r="F25" s="338"/>
    </row>
    <row r="26" spans="1:6" ht="24.4" customHeight="1" x14ac:dyDescent="0.35">
      <c r="B26" s="341" t="s">
        <v>353</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9" t="s">
        <v>238</v>
      </c>
      <c r="C36" s="339"/>
      <c r="D36" s="339"/>
      <c r="E36" s="339"/>
      <c r="F36" s="339"/>
    </row>
    <row r="37" spans="2:6" x14ac:dyDescent="0.35">
      <c r="B37" s="47" t="s">
        <v>239</v>
      </c>
      <c r="C37" s="188">
        <f>Normalized_FCF!C11</f>
        <v>0</v>
      </c>
      <c r="D37" s="1" t="str">
        <f>Reporting_currency</f>
        <v>HKD</v>
      </c>
    </row>
    <row r="39" spans="2:6" x14ac:dyDescent="0.35">
      <c r="B39" s="339" t="s">
        <v>242</v>
      </c>
      <c r="C39" s="339"/>
      <c r="D39" s="339"/>
      <c r="E39" s="339"/>
      <c r="F39" s="339"/>
    </row>
    <row r="40" spans="2:6" x14ac:dyDescent="0.35">
      <c r="B40" s="47" t="s">
        <v>354</v>
      </c>
      <c r="C40" s="322">
        <f>Normalized_FCF!C48</f>
        <v>13746.938888322537</v>
      </c>
      <c r="D40" s="1" t="str">
        <f>Reporting_currency</f>
        <v>HKD</v>
      </c>
      <c r="E40" s="321"/>
      <c r="F40" s="321"/>
    </row>
    <row r="41" spans="2:6" x14ac:dyDescent="0.35">
      <c r="B41" s="47" t="s">
        <v>355</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268</v>
      </c>
      <c r="C45" s="188">
        <f>Normalized_FCF!C15</f>
        <v>0</v>
      </c>
      <c r="D45" s="1" t="str">
        <f>Reporting_currency</f>
        <v>HKD</v>
      </c>
    </row>
    <row r="47" spans="2:6" x14ac:dyDescent="0.35">
      <c r="B47" s="339" t="s">
        <v>243</v>
      </c>
      <c r="C47" s="339"/>
      <c r="D47" s="339"/>
      <c r="E47" s="339"/>
      <c r="F47" s="339"/>
    </row>
    <row r="48" spans="2:6" x14ac:dyDescent="0.35">
      <c r="B48" s="47" t="s">
        <v>241</v>
      </c>
      <c r="C48" s="188">
        <f>Normalized_FCF!C14</f>
        <v>-338171.38555405382</v>
      </c>
      <c r="D48" s="1" t="str">
        <f>Reporting_currency</f>
        <v>HKD</v>
      </c>
    </row>
    <row r="50" spans="1:6" x14ac:dyDescent="0.35">
      <c r="B50" s="339" t="s">
        <v>352</v>
      </c>
      <c r="C50" s="340"/>
      <c r="D50" s="340"/>
      <c r="E50" s="340"/>
      <c r="F50" s="340"/>
    </row>
    <row r="51" spans="1:6" x14ac:dyDescent="0.35">
      <c r="B51" s="47" t="s">
        <v>244</v>
      </c>
      <c r="C51" s="1">
        <f>Normalized_FCF!C17</f>
        <v>0</v>
      </c>
      <c r="D51" s="1" t="str">
        <f>Reporting_currency</f>
        <v>HKD</v>
      </c>
    </row>
    <row r="53" spans="1:6" ht="24.4" customHeight="1" x14ac:dyDescent="0.35">
      <c r="B53" s="338" t="s">
        <v>357</v>
      </c>
      <c r="C53" s="338"/>
      <c r="D53" s="338"/>
      <c r="E53" s="338"/>
      <c r="F53" s="338"/>
    </row>
    <row r="54" spans="1:6" ht="24.4" customHeight="1" x14ac:dyDescent="0.35">
      <c r="B54" s="338" t="s">
        <v>379</v>
      </c>
      <c r="C54" s="338"/>
      <c r="D54" s="338"/>
      <c r="E54" s="338"/>
      <c r="F54" s="338"/>
    </row>
    <row r="56" spans="1:6" x14ac:dyDescent="0.35">
      <c r="B56" s="47" t="s">
        <v>273</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408</v>
      </c>
      <c r="C58" s="92">
        <f>Normalized_FCF!C125</f>
        <v>0.11966662184000204</v>
      </c>
    </row>
    <row r="59" spans="1:6" x14ac:dyDescent="0.35">
      <c r="B59" s="254" t="s">
        <v>320</v>
      </c>
      <c r="C59" s="92">
        <f>Normalized_FCF!C93</f>
        <v>9.418282548476456E-2</v>
      </c>
    </row>
    <row r="61" spans="1:6" ht="13.9" x14ac:dyDescent="0.45">
      <c r="A61" s="247" t="s">
        <v>371</v>
      </c>
      <c r="B61" s="36"/>
      <c r="C61" s="36"/>
      <c r="D61" s="36"/>
      <c r="E61" s="36"/>
      <c r="F61" s="36"/>
    </row>
    <row r="62" spans="1:6" x14ac:dyDescent="0.35">
      <c r="A62" s="233"/>
    </row>
    <row r="63" spans="1:6" ht="24.4" customHeight="1" x14ac:dyDescent="0.35">
      <c r="A63" s="17"/>
      <c r="B63" s="338" t="s">
        <v>380</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334</v>
      </c>
    </row>
    <row r="69" spans="1:6" x14ac:dyDescent="0.35">
      <c r="B69" s="1" t="s">
        <v>293</v>
      </c>
      <c r="C69" s="263">
        <f>IF(D69="Y",1%,0)</f>
        <v>0</v>
      </c>
      <c r="D69" s="286" t="s">
        <v>334</v>
      </c>
    </row>
    <row r="70" spans="1:6" x14ac:dyDescent="0.35">
      <c r="B70" s="80" t="s">
        <v>249</v>
      </c>
      <c r="C70" s="263">
        <f>SUM(C67:C69)</f>
        <v>0.08</v>
      </c>
    </row>
    <row r="71" spans="1:6" x14ac:dyDescent="0.35">
      <c r="C71" s="122"/>
    </row>
    <row r="72" spans="1:6" x14ac:dyDescent="0.35">
      <c r="B72" s="332" t="s">
        <v>372</v>
      </c>
      <c r="C72" s="122"/>
    </row>
    <row r="73" spans="1:6" ht="24.4" customHeight="1" x14ac:dyDescent="0.35">
      <c r="B73" s="338" t="s">
        <v>381</v>
      </c>
      <c r="C73" s="338"/>
      <c r="D73" s="338"/>
      <c r="E73" s="338"/>
      <c r="F73" s="338"/>
    </row>
    <row r="74" spans="1:6" ht="24.4" customHeight="1" x14ac:dyDescent="0.35">
      <c r="B74" s="338" t="s">
        <v>382</v>
      </c>
      <c r="C74" s="338"/>
      <c r="D74" s="338"/>
      <c r="E74" s="338"/>
      <c r="F74" s="338"/>
    </row>
    <row r="76" spans="1:6" x14ac:dyDescent="0.35">
      <c r="B76" s="47" t="s">
        <v>253</v>
      </c>
      <c r="C76" s="263">
        <v>0</v>
      </c>
    </row>
    <row r="77" spans="1:6" x14ac:dyDescent="0.35">
      <c r="B77" s="47" t="s">
        <v>287</v>
      </c>
      <c r="C77" s="248">
        <f>Valuation_Model!C6*C28*Exchange_Rate/Common_Shares</f>
        <v>21.599825242120371</v>
      </c>
      <c r="D77" s="1" t="str">
        <f>Market_currency</f>
        <v>HKD</v>
      </c>
    </row>
    <row r="79" spans="1:6" ht="13.9" x14ac:dyDescent="0.45">
      <c r="A79" s="247" t="s">
        <v>373</v>
      </c>
      <c r="B79" s="36"/>
      <c r="C79" s="36"/>
      <c r="D79" s="36"/>
      <c r="E79" s="36"/>
      <c r="F79" s="36"/>
    </row>
    <row r="80" spans="1:6" x14ac:dyDescent="0.35">
      <c r="A80" s="233"/>
    </row>
    <row r="81" spans="2:6" x14ac:dyDescent="0.35">
      <c r="B81" s="338" t="s">
        <v>383</v>
      </c>
      <c r="C81" s="338"/>
      <c r="D81" s="338"/>
      <c r="E81" s="338"/>
      <c r="F81" s="338"/>
    </row>
    <row r="82" spans="2:6" x14ac:dyDescent="0.35">
      <c r="B82" s="1" t="s">
        <v>255</v>
      </c>
    </row>
    <row r="84" spans="2:6" x14ac:dyDescent="0.35">
      <c r="B84" s="234" t="s">
        <v>232</v>
      </c>
    </row>
    <row r="85" spans="2:6" ht="24.4" customHeight="1" x14ac:dyDescent="0.35">
      <c r="B85" s="338" t="s">
        <v>358</v>
      </c>
      <c r="C85" s="338"/>
      <c r="D85" s="338"/>
      <c r="E85" s="338"/>
      <c r="F85" s="338"/>
    </row>
    <row r="86" spans="2:6" x14ac:dyDescent="0.35">
      <c r="B86" s="47" t="s">
        <v>257</v>
      </c>
      <c r="C86" s="188">
        <f>Valuation_Model!C7</f>
        <v>2034922</v>
      </c>
      <c r="D86" s="1" t="str">
        <f>Reporting_currency</f>
        <v>HKD</v>
      </c>
    </row>
    <row r="87" spans="2:6" x14ac:dyDescent="0.35">
      <c r="B87" s="47" t="s">
        <v>288</v>
      </c>
      <c r="C87" s="248">
        <f>C86*C28*Exchange_Rate/Common_Shares</f>
        <v>3.4660105464438944</v>
      </c>
      <c r="D87" s="1" t="str">
        <f>Market_currency</f>
        <v>HKD</v>
      </c>
    </row>
    <row r="89" spans="2:6" x14ac:dyDescent="0.35">
      <c r="B89" s="1" t="s">
        <v>256</v>
      </c>
    </row>
    <row r="90" spans="2:6" x14ac:dyDescent="0.35">
      <c r="B90" s="47" t="s">
        <v>267</v>
      </c>
      <c r="C90" s="188">
        <f>BS!C66</f>
        <v>1998219</v>
      </c>
      <c r="D90" s="1" t="str">
        <f>Reporting_currency</f>
        <v>HKD</v>
      </c>
    </row>
    <row r="91" spans="2:6" x14ac:dyDescent="0.35">
      <c r="B91" s="47" t="s">
        <v>269</v>
      </c>
      <c r="C91" s="188">
        <f>Valuation_Model!C8</f>
        <v>1050246.6606106577</v>
      </c>
      <c r="D91" s="1" t="str">
        <f>Reporting_currency</f>
        <v>HKD</v>
      </c>
    </row>
    <row r="92" spans="2:6" x14ac:dyDescent="0.35">
      <c r="B92" s="47" t="s">
        <v>289</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290</v>
      </c>
      <c r="C96" s="248">
        <f>C95*C28*Exchange_Rate/Common_Shares</f>
        <v>0.15767562978420405</v>
      </c>
      <c r="D96" s="1" t="str">
        <f>Market_currency</f>
        <v>HKD</v>
      </c>
    </row>
    <row r="98" spans="1:6" ht="24.4" customHeight="1" x14ac:dyDescent="0.35">
      <c r="B98" s="338" t="s">
        <v>384</v>
      </c>
      <c r="C98" s="338"/>
      <c r="D98" s="338"/>
      <c r="E98" s="338"/>
      <c r="F98" s="338"/>
    </row>
    <row r="100" spans="1:6" x14ac:dyDescent="0.35">
      <c r="B100" s="47" t="s">
        <v>286</v>
      </c>
      <c r="C100" s="248">
        <f>Valuation_Model!C12</f>
        <v>20.080338252823015</v>
      </c>
      <c r="D100" s="1" t="str">
        <f>Market_currency</f>
        <v>HKD</v>
      </c>
    </row>
    <row r="102" spans="1:6" ht="13.9" x14ac:dyDescent="0.45">
      <c r="A102" s="247" t="s">
        <v>374</v>
      </c>
      <c r="B102" s="36"/>
      <c r="C102" s="36"/>
      <c r="D102" s="36"/>
      <c r="E102" s="36"/>
      <c r="F102" s="36"/>
    </row>
    <row r="104" spans="1:6" ht="24.4" customHeight="1" x14ac:dyDescent="0.35">
      <c r="B104" s="339" t="s">
        <v>385</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2" t="s">
        <v>388</v>
      </c>
      <c r="C115" s="342"/>
      <c r="D115" s="342"/>
      <c r="E115" s="342"/>
      <c r="F115" s="342"/>
    </row>
    <row r="117" spans="1:6" ht="13.9" x14ac:dyDescent="0.45">
      <c r="A117" s="247" t="s">
        <v>375</v>
      </c>
      <c r="B117" s="36"/>
      <c r="C117" s="36"/>
      <c r="D117" s="36"/>
      <c r="E117" s="36"/>
      <c r="F117" s="36"/>
    </row>
    <row r="119" spans="1:6" x14ac:dyDescent="0.35">
      <c r="B119" s="343" t="s">
        <v>386</v>
      </c>
      <c r="C119" s="343"/>
      <c r="D119" s="343"/>
      <c r="E119" s="343"/>
      <c r="F119" s="343"/>
    </row>
    <row r="120" spans="1:6" ht="24.4" customHeight="1" x14ac:dyDescent="0.35">
      <c r="B120" s="338" t="s">
        <v>387</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1.36</v>
      </c>
      <c r="D124" s="236" t="str">
        <f>Market_currency</f>
        <v>HKD</v>
      </c>
    </row>
    <row r="126" spans="1:6" x14ac:dyDescent="0.35">
      <c r="B126" s="234" t="s">
        <v>265</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ht="13.9" x14ac:dyDescent="0.45">
      <c r="A132" s="247" t="s">
        <v>392</v>
      </c>
      <c r="B132" s="36"/>
      <c r="C132" s="36"/>
      <c r="D132" s="36"/>
      <c r="E132" s="36"/>
      <c r="F132" s="36"/>
    </row>
    <row r="134" spans="1:6" x14ac:dyDescent="0.35">
      <c r="B134" s="337" t="s">
        <v>394</v>
      </c>
      <c r="C134" s="338"/>
      <c r="D134" s="338"/>
      <c r="E134" s="338"/>
      <c r="F134" s="338"/>
    </row>
    <row r="136" spans="1:6" x14ac:dyDescent="0.35">
      <c r="B136" s="234" t="s">
        <v>393</v>
      </c>
    </row>
    <row r="137" spans="1:6" x14ac:dyDescent="0.35">
      <c r="B137" s="340" t="s">
        <v>398</v>
      </c>
      <c r="C137" s="340"/>
      <c r="D137" s="340"/>
      <c r="E137" s="340"/>
      <c r="F137" s="340"/>
    </row>
    <row r="138" spans="1:6" x14ac:dyDescent="0.35">
      <c r="B138" s="238" t="s">
        <v>395</v>
      </c>
    </row>
    <row r="139" spans="1:6" x14ac:dyDescent="0.35">
      <c r="B139" s="238" t="s">
        <v>396</v>
      </c>
    </row>
    <row r="140" spans="1:6" x14ac:dyDescent="0.35">
      <c r="B140" s="238" t="s">
        <v>397</v>
      </c>
    </row>
    <row r="142" spans="1:6" x14ac:dyDescent="0.35">
      <c r="B142" s="1" t="s">
        <v>402</v>
      </c>
    </row>
    <row r="143" spans="1:6" ht="46.5" customHeight="1" x14ac:dyDescent="0.35">
      <c r="B143" s="339" t="s">
        <v>399</v>
      </c>
      <c r="C143" s="339"/>
      <c r="D143" s="339"/>
      <c r="E143" s="339"/>
      <c r="F143" s="339"/>
    </row>
    <row r="145" spans="2:6" x14ac:dyDescent="0.35">
      <c r="B145" s="1" t="s">
        <v>403</v>
      </c>
    </row>
    <row r="146" spans="2:6" ht="24.4" customHeight="1" x14ac:dyDescent="0.35">
      <c r="B146" s="336" t="s">
        <v>400</v>
      </c>
      <c r="C146" s="336"/>
      <c r="D146" s="336"/>
      <c r="E146" s="336"/>
      <c r="F146" s="336"/>
    </row>
    <row r="147" spans="2:6" ht="24.4" customHeight="1" x14ac:dyDescent="0.35">
      <c r="B147" s="336" t="s">
        <v>401</v>
      </c>
      <c r="C147" s="336"/>
      <c r="D147" s="336"/>
      <c r="E147" s="336"/>
      <c r="F147" s="336"/>
    </row>
    <row r="149" spans="2:6" x14ac:dyDescent="0.35">
      <c r="B149" s="1" t="s">
        <v>407</v>
      </c>
    </row>
    <row r="150" spans="2:6" x14ac:dyDescent="0.35">
      <c r="B150" s="238" t="s">
        <v>404</v>
      </c>
    </row>
    <row r="151" spans="2:6" x14ac:dyDescent="0.35">
      <c r="B151" s="238" t="s">
        <v>405</v>
      </c>
    </row>
    <row r="152" spans="2:6" x14ac:dyDescent="0.35">
      <c r="B152" s="238" t="s">
        <v>406</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389</v>
      </c>
      <c r="C22" s="181"/>
      <c r="D22" s="181"/>
      <c r="E22" s="181"/>
      <c r="F22" s="181"/>
      <c r="G22" s="181"/>
      <c r="H22" s="181"/>
      <c r="I22" s="181"/>
      <c r="J22" s="181"/>
      <c r="K22" s="181"/>
      <c r="L22" s="181"/>
      <c r="M22" s="181"/>
    </row>
    <row r="23" spans="2:13" x14ac:dyDescent="0.35">
      <c r="B23" s="27" t="s">
        <v>391</v>
      </c>
      <c r="C23" s="181"/>
      <c r="D23" s="181"/>
      <c r="E23" s="181"/>
      <c r="F23" s="181"/>
      <c r="G23" s="181"/>
      <c r="H23" s="181"/>
      <c r="I23" s="181"/>
      <c r="J23" s="181"/>
      <c r="K23" s="181"/>
      <c r="L23" s="181"/>
      <c r="M23" s="181"/>
    </row>
    <row r="24" spans="2:13" x14ac:dyDescent="0.35">
      <c r="B24" s="27" t="s">
        <v>390</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415</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-2.0915594459950692E-3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331</v>
      </c>
      <c r="C72" s="261" t="s">
        <v>97</v>
      </c>
      <c r="D72" s="203" t="s">
        <v>58</v>
      </c>
      <c r="F72" s="283"/>
    </row>
    <row r="73" spans="2:6" ht="15" customHeight="1" x14ac:dyDescent="0.35">
      <c r="B73" s="105" t="s">
        <v>330</v>
      </c>
      <c r="C73" s="188">
        <f>(Normalized_FCF!G25+Normalized_FCF!G35-Normalized_FCF!G91)/12</f>
        <v>-1187304.6396666665</v>
      </c>
      <c r="D73" s="188">
        <f>(Normalized_FCF!C25+Normalized_FCF!C35-Normalized_FCF!C91)/12</f>
        <v>-947972.33938934223</v>
      </c>
      <c r="F73" s="1" t="s">
        <v>365</v>
      </c>
    </row>
    <row r="74" spans="2:6" ht="15" customHeight="1" x14ac:dyDescent="0.35">
      <c r="B74" s="288" t="s">
        <v>335</v>
      </c>
      <c r="C74" s="289">
        <f>-$C$66/C73</f>
        <v>1.6829876118070222</v>
      </c>
      <c r="D74" s="289">
        <f>-$C$66/D73</f>
        <v>2.1078874530107048</v>
      </c>
      <c r="F74" s="283" t="s">
        <v>332</v>
      </c>
    </row>
    <row r="75" spans="2:6" ht="15" customHeight="1" x14ac:dyDescent="0.35">
      <c r="B75" s="80" t="s">
        <v>333</v>
      </c>
      <c r="C75" s="293"/>
      <c r="D75" s="292">
        <f>MAX(-D73*D76,G5)</f>
        <v>947972.33938934223</v>
      </c>
      <c r="F75" s="283" t="s">
        <v>366</v>
      </c>
    </row>
    <row r="76" spans="2:6" ht="15" customHeight="1" x14ac:dyDescent="0.35">
      <c r="B76" s="290" t="s">
        <v>336</v>
      </c>
      <c r="C76" s="291"/>
      <c r="D76" s="327">
        <f>IF(D74&lt;=3,1,IF(D74&gt;18,6,2))</f>
        <v>1</v>
      </c>
      <c r="F76" s="283" t="s">
        <v>337</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-2034922</v>
      </c>
      <c r="D86" s="248">
        <f>C86*$H$1/Common_Shares</f>
        <v>-3.4660105464438944</v>
      </c>
      <c r="E86" s="269" t="str">
        <f>Market_currency</f>
        <v>HKD</v>
      </c>
    </row>
    <row r="87" spans="2:8" ht="15" customHeight="1" x14ac:dyDescent="0.35">
      <c r="B87" s="267" t="s">
        <v>298</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302</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345</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346</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347</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347</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359</v>
      </c>
      <c r="C48" s="191">
        <f>BS!D75*C53</f>
        <v>13746.938888322537</v>
      </c>
      <c r="E48" s="302"/>
      <c r="G48" s="328">
        <f>IF(G$4="","",($C$48/$C$49)*G49)</f>
        <v>13746.938888322537</v>
      </c>
      <c r="H48" s="328">
        <f t="shared" ref="H48:Q48" si="19">IF(H$4="","",($C$48/$C$49)*H49)</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356</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349</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350</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351</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9.418282548476456E-2</v>
      </c>
      <c r="E93" s="302"/>
      <c r="G93" s="23">
        <f t="shared" ref="G93:Q93" si="39">IF(G$4="","",G90/Market_Price)</f>
        <v>9.418282548476456E-2</v>
      </c>
      <c r="H93" s="23">
        <f t="shared" si="39"/>
        <v>7.6177285318559565E-2</v>
      </c>
      <c r="I93" s="23">
        <f t="shared" si="39"/>
        <v>7.6177285318559565E-2</v>
      </c>
      <c r="J93" s="23">
        <f t="shared" si="39"/>
        <v>6.9252077562326875E-2</v>
      </c>
      <c r="K93" s="23">
        <f t="shared" si="39"/>
        <v>6.9252077562326875E-2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0.11966662184000204</v>
      </c>
      <c r="D125" s="27"/>
      <c r="E125" s="299"/>
      <c r="F125" s="27"/>
      <c r="G125" s="77">
        <f t="shared" ref="G125" si="50">IF(G$4="","",G124/Market_Price)</f>
        <v>0.15233058679510997</v>
      </c>
      <c r="H125" s="77">
        <f t="shared" ref="H125" si="51">IF(H$4="","",H124/Market_Price)</f>
        <v>0.15835887500891177</v>
      </c>
      <c r="I125" s="77">
        <f t="shared" ref="I125" si="52">IF(I$4="","",I124/Market_Price)</f>
        <v>0.1328108455510949</v>
      </c>
      <c r="J125" s="77">
        <f t="shared" ref="J125" si="53">IF(J$4="","",J124/Market_Price)</f>
        <v>0.12773441069267344</v>
      </c>
      <c r="K125" s="77">
        <f t="shared" ref="K125" si="54">IF(K$4="","",K124/Market_Price)</f>
        <v>0.11070144814904527</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0.20846177228985796</v>
      </c>
      <c r="H126" s="23">
        <f>IF(H$4="","",(Data!D47*$C$3)/(Market_Price*Common_Shares))</f>
        <v>0.15154301107154738</v>
      </c>
      <c r="I126" s="23">
        <f>IF(I$4="","",(Data!E47*$C$3)/(Market_Price*Common_Shares))</f>
        <v>0.16423575280588001</v>
      </c>
      <c r="J126" s="23">
        <f>IF(J$4="","",(Data!F47*$C$3)/(Market_Price*Common_Shares))</f>
        <v>0.11999935331620895</v>
      </c>
      <c r="K126" s="23">
        <f>IF(K$4="","",(Data!G47*$C$3)/(Market_Price*Common_Shares))</f>
        <v>0.102185848091466</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4" t="s">
        <v>251</v>
      </c>
      <c r="F6" s="344"/>
      <c r="H6" s="121"/>
    </row>
    <row r="7" spans="2:8" x14ac:dyDescent="0.35">
      <c r="B7" s="149" t="s">
        <v>226</v>
      </c>
      <c r="C7" s="226">
        <f>BS!G31</f>
        <v>2034922</v>
      </c>
      <c r="D7" t="str">
        <f>Reporting_currency</f>
        <v>HKD</v>
      </c>
      <c r="E7" s="344"/>
      <c r="F7" s="344"/>
      <c r="H7" s="121"/>
    </row>
    <row r="8" spans="2:8" x14ac:dyDescent="0.35">
      <c r="B8" s="149" t="s">
        <v>227</v>
      </c>
      <c r="C8" s="201">
        <f>BS!D66</f>
        <v>1050246.6606106577</v>
      </c>
      <c r="D8" t="str">
        <f>Reporting_currency</f>
        <v>HKD</v>
      </c>
      <c r="E8" s="344"/>
      <c r="F8" s="344"/>
      <c r="H8" s="121"/>
    </row>
    <row r="9" spans="2:8" x14ac:dyDescent="0.35">
      <c r="B9" s="227" t="s">
        <v>192</v>
      </c>
      <c r="C9" s="229">
        <f>BS!H42</f>
        <v>92572.6</v>
      </c>
      <c r="D9" t="str">
        <f>Reporting_currency</f>
        <v>HKD</v>
      </c>
      <c r="E9" s="344"/>
      <c r="F9" s="344"/>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6.4006284479398504E-3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20.512359193543752</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1021007.684834131</v>
      </c>
      <c r="D21" s="139">
        <f>IF($C$17&lt;B21,0,Valuation_Model!$C$16)</f>
        <v>6.4006284479398504E-3</v>
      </c>
      <c r="E21" s="125">
        <f t="shared" ref="E21:E50" si="0">IF($C$17&lt;B21,0,1/(1+Equity_Cost)^B21)</f>
        <v>0.92592592592592582</v>
      </c>
      <c r="F21" s="126">
        <f t="shared" ref="F21:F51" si="1">C21*E21</f>
        <v>945377.48595752858</v>
      </c>
      <c r="H21" s="121"/>
    </row>
    <row r="22" spans="2:8" x14ac:dyDescent="0.35">
      <c r="B22" s="123">
        <v>2</v>
      </c>
      <c r="C22" s="124">
        <f t="shared" ref="C22:C50" si="2">IF(ROW()-ROW($C$21)&lt;$C$17, $C$21*(1+D22)^(ROW()-ROW($C$21)), 0)</f>
        <v>1027542.7756672456</v>
      </c>
      <c r="D22" s="139">
        <f>IF($C$17&lt;B22,0,Valuation_Model!$C$16)</f>
        <v>6.4006284479398504E-3</v>
      </c>
      <c r="E22" s="125">
        <f t="shared" si="0"/>
        <v>0.85733882030178321</v>
      </c>
      <c r="F22" s="126">
        <f t="shared" si="1"/>
        <v>880952.31110017619</v>
      </c>
      <c r="H22" s="121"/>
    </row>
    <row r="23" spans="2:8" x14ac:dyDescent="0.35">
      <c r="B23" s="123">
        <v>3</v>
      </c>
      <c r="C23" s="124">
        <f t="shared" si="2"/>
        <v>1034119.6951886564</v>
      </c>
      <c r="D23" s="139">
        <f>IF($C$17&lt;B23,0,Valuation_Model!$C$16)</f>
        <v>6.4006284479398504E-3</v>
      </c>
      <c r="E23" s="125">
        <f t="shared" si="0"/>
        <v>0.79383224102016958</v>
      </c>
      <c r="F23" s="126">
        <f t="shared" si="1"/>
        <v>820917.55511470581</v>
      </c>
      <c r="H23" s="121"/>
    </row>
    <row r="24" spans="2:8" x14ac:dyDescent="0.35">
      <c r="B24" s="123">
        <v>4</v>
      </c>
      <c r="C24" s="124">
        <f t="shared" si="2"/>
        <v>1040738.7111282558</v>
      </c>
      <c r="D24" s="139">
        <f>IF($C$17&lt;B24,0,Valuation_Model!$C$16)</f>
        <v>6.4006284479398504E-3</v>
      </c>
      <c r="E24" s="125">
        <f t="shared" si="0"/>
        <v>0.73502985279645328</v>
      </c>
      <c r="F24" s="126">
        <f t="shared" si="1"/>
        <v>764974.02164017234</v>
      </c>
      <c r="H24" s="121"/>
    </row>
    <row r="25" spans="2:8" x14ac:dyDescent="0.35">
      <c r="B25" s="123">
        <v>5</v>
      </c>
      <c r="C25" s="124">
        <f t="shared" si="2"/>
        <v>1047400.0929295756</v>
      </c>
      <c r="D25" s="139">
        <f>IF($C$17&lt;B25,0,Valuation_Model!$C$16)</f>
        <v>6.4006284479398504E-3</v>
      </c>
      <c r="E25" s="125">
        <f t="shared" si="0"/>
        <v>0.68058319703375303</v>
      </c>
      <c r="F25" s="126">
        <f t="shared" si="1"/>
        <v>712842.90381946054</v>
      </c>
      <c r="H25" s="121"/>
    </row>
    <row r="26" spans="2:8" x14ac:dyDescent="0.35">
      <c r="B26" s="123">
        <v>6</v>
      </c>
      <c r="C26" s="124">
        <f t="shared" si="2"/>
        <v>1054104.1117607555</v>
      </c>
      <c r="D26" s="139">
        <f>IF($C$17&lt;B26,0,Valuation_Model!$C$16)</f>
        <v>6.4006284479398504E-3</v>
      </c>
      <c r="E26" s="125">
        <f t="shared" si="0"/>
        <v>0.63016962688310452</v>
      </c>
      <c r="F26" s="126">
        <f t="shared" si="1"/>
        <v>664264.39480422158</v>
      </c>
      <c r="H26" s="121"/>
    </row>
    <row r="27" spans="2:8" x14ac:dyDescent="0.35">
      <c r="B27" s="123">
        <v>7</v>
      </c>
      <c r="C27" s="124">
        <f t="shared" si="2"/>
        <v>1060851.0405255819</v>
      </c>
      <c r="D27" s="139">
        <f>IF($C$17&lt;B27,0,Valuation_Model!$C$16)</f>
        <v>6.4006284479398504E-3</v>
      </c>
      <c r="E27" s="125">
        <f t="shared" si="0"/>
        <v>0.58349039526213387</v>
      </c>
      <c r="F27" s="126">
        <f t="shared" si="1"/>
        <v>618996.39295051782</v>
      </c>
      <c r="H27" s="121"/>
    </row>
    <row r="28" spans="2:8" x14ac:dyDescent="0.35">
      <c r="B28" s="123">
        <v>8</v>
      </c>
      <c r="C28" s="124">
        <f t="shared" si="2"/>
        <v>1067641.1538745963</v>
      </c>
      <c r="D28" s="139">
        <f>IF($C$17&lt;B28,0,Valuation_Model!$C$16)</f>
        <v>6.4006284479398504E-3</v>
      </c>
      <c r="E28" s="125">
        <f t="shared" si="0"/>
        <v>0.54026888450197574</v>
      </c>
      <c r="F28" s="126">
        <f t="shared" si="1"/>
        <v>576813.29525223037</v>
      </c>
      <c r="H28" s="121"/>
    </row>
    <row r="29" spans="2:8" x14ac:dyDescent="0.35">
      <c r="B29" s="123">
        <v>9</v>
      </c>
      <c r="C29" s="124">
        <f t="shared" si="2"/>
        <v>1074474.7282162774</v>
      </c>
      <c r="D29" s="139">
        <f>IF($C$17&lt;B29,0,Valuation_Model!$C$16)</f>
        <v>6.4006284479398504E-3</v>
      </c>
      <c r="E29" s="125">
        <f t="shared" si="0"/>
        <v>0.50024896713145905</v>
      </c>
      <c r="F29" s="126">
        <f t="shared" si="1"/>
        <v>537504.87299904798</v>
      </c>
      <c r="H29" s="121"/>
    </row>
    <row r="30" spans="2:8" x14ac:dyDescent="0.35">
      <c r="B30" s="123">
        <v>10</v>
      </c>
      <c r="C30" s="124">
        <f t="shared" si="2"/>
        <v>1081352.041728291</v>
      </c>
      <c r="D30" s="139">
        <f>IF($C$17&lt;B30,0,Valuation_Model!$C$16)</f>
        <v>6.4006284479398504E-3</v>
      </c>
      <c r="E30" s="125">
        <f t="shared" si="0"/>
        <v>0.46319348808468425</v>
      </c>
      <c r="F30" s="126">
        <f t="shared" si="1"/>
        <v>500875.22405562212</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12762596.060426638</v>
      </c>
      <c r="D51" s="140">
        <f>Terminal_Growth</f>
        <v>0</v>
      </c>
      <c r="E51" s="125">
        <f>1/(1+Equity_Cost)^C17</f>
        <v>0.46319348808468425</v>
      </c>
      <c r="F51" s="126">
        <f t="shared" si="1"/>
        <v>5911551.3862448642</v>
      </c>
      <c r="H51" s="121"/>
    </row>
    <row r="52" spans="1:8" x14ac:dyDescent="0.35">
      <c r="C52" s="115"/>
      <c r="E52" s="128" t="s">
        <v>102</v>
      </c>
      <c r="F52" s="138">
        <f>SUM(F21:F51)</f>
        <v>12935069.843938548</v>
      </c>
      <c r="H52" s="121"/>
    </row>
    <row r="53" spans="1:8" x14ac:dyDescent="0.35">
      <c r="C53" s="115"/>
      <c r="H53" s="121"/>
    </row>
    <row r="54" spans="1:8" ht="13.15" x14ac:dyDescent="0.35">
      <c r="B54" s="120" t="s">
        <v>131</v>
      </c>
      <c r="C54" s="137"/>
      <c r="D54" s="137"/>
      <c r="E54" s="118"/>
      <c r="F54" s="118"/>
      <c r="H54" s="121"/>
    </row>
    <row r="55" spans="1:8" ht="13.15" x14ac:dyDescent="0.4">
      <c r="A55" s="134">
        <f>F52</f>
        <v>12935069.843938548</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-14.44</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285</v>
      </c>
      <c r="F6" s="100"/>
      <c r="H6" s="276">
        <v>3</v>
      </c>
      <c r="I6" s="264">
        <f t="shared" si="0"/>
        <v>21.868980461992876</v>
      </c>
    </row>
    <row r="7" spans="2:9" ht="12.75" customHeight="1" x14ac:dyDescent="0.35">
      <c r="B7" s="100" t="s">
        <v>279</v>
      </c>
      <c r="C7" s="115">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76">
        <v>4</v>
      </c>
      <c r="I7" s="264" t="str">
        <f t="shared" si="0"/>
        <v/>
      </c>
    </row>
    <row r="8" spans="2:9" x14ac:dyDescent="0.35">
      <c r="B8" s="100" t="s">
        <v>67</v>
      </c>
      <c r="C8" s="115">
        <f>Normalized_FCF!G19</f>
        <v>1291433.9388883226</v>
      </c>
      <c r="D8" t="str">
        <f>Reporting_currency</f>
        <v>HKD</v>
      </c>
      <c r="E8" s="346"/>
      <c r="F8" s="346"/>
      <c r="H8" s="276">
        <v>5</v>
      </c>
      <c r="I8" s="264" t="str">
        <f t="shared" si="0"/>
        <v/>
      </c>
    </row>
    <row r="9" spans="2:9" x14ac:dyDescent="0.35">
      <c r="B9" s="100" t="s">
        <v>58</v>
      </c>
      <c r="C9" s="201">
        <f>Normalized_FCF!C19</f>
        <v>1014514.1566621615</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0.20035451325595277</v>
      </c>
      <c r="D12" s="159"/>
      <c r="E12" s="346"/>
      <c r="F12" s="346"/>
      <c r="H12" s="276">
        <v>9</v>
      </c>
      <c r="I12" s="264" t="str">
        <f t="shared" si="0"/>
        <v/>
      </c>
    </row>
    <row r="13" spans="2:9" x14ac:dyDescent="0.35">
      <c r="B13" s="149" t="s">
        <v>154</v>
      </c>
      <c r="C13" s="159">
        <f ca="1">(Normalized_FCF!G8/OFFSET(Normalized_FCF!G8, 0, $C$4))^(1/$C$4) - 1</f>
        <v>0.26016796976901468</v>
      </c>
      <c r="E13" s="346"/>
      <c r="F13" s="346"/>
      <c r="H13" s="276">
        <v>10</v>
      </c>
      <c r="I13" s="264" t="str">
        <f t="shared" si="0"/>
        <v/>
      </c>
    </row>
    <row r="14" spans="2:9" x14ac:dyDescent="0.35">
      <c r="B14" s="100" t="s">
        <v>67</v>
      </c>
      <c r="C14" s="159">
        <f ca="1">(Normalized_FCF!G19/OFFSET(Normalized_FCF!G19, 0, $C$4))^(1/$C$4) - 1</f>
        <v>6.0457013634429568E-2</v>
      </c>
      <c r="E14" s="346"/>
      <c r="F14" s="346"/>
    </row>
    <row r="16" spans="2:9" ht="13.9" x14ac:dyDescent="0.45">
      <c r="B16" s="36" t="s">
        <v>164</v>
      </c>
      <c r="C16" s="37"/>
      <c r="D16" s="37"/>
      <c r="E16" s="37"/>
      <c r="F16" s="37"/>
    </row>
    <row r="17" spans="2:6" ht="13.15" x14ac:dyDescent="0.4">
      <c r="B17" s="109" t="s">
        <v>153</v>
      </c>
      <c r="E17" s="160" t="s">
        <v>343</v>
      </c>
    </row>
    <row r="18" spans="2:6" x14ac:dyDescent="0.35">
      <c r="B18" s="153" t="s">
        <v>135</v>
      </c>
      <c r="C18" s="151">
        <v>5</v>
      </c>
      <c r="E18" s="346" t="s">
        <v>344</v>
      </c>
      <c r="F18" s="347"/>
    </row>
    <row r="19" spans="2:6" x14ac:dyDescent="0.35">
      <c r="E19" s="347"/>
      <c r="F19" s="347"/>
    </row>
    <row r="20" spans="2:6" ht="13.15" x14ac:dyDescent="0.4">
      <c r="B20" s="160" t="s">
        <v>314</v>
      </c>
      <c r="E20" s="347"/>
      <c r="F20" s="347"/>
    </row>
    <row r="21" spans="2:6" x14ac:dyDescent="0.35">
      <c r="B21" s="100" t="s">
        <v>283</v>
      </c>
      <c r="C21" s="161">
        <f>Market_Price</f>
        <v>14.44</v>
      </c>
      <c r="D21" t="str">
        <f>Market_currency</f>
        <v>HKD</v>
      </c>
      <c r="E21" s="347"/>
      <c r="F21" s="347"/>
    </row>
    <row r="22" spans="2:6" x14ac:dyDescent="0.35">
      <c r="B22" s="100" t="s">
        <v>284</v>
      </c>
      <c r="C22" s="161">
        <f>Valuation_Model!C12</f>
        <v>20.080338252823015</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0.02</v>
      </c>
      <c r="D26" s="165"/>
      <c r="E26" s="345"/>
      <c r="F26" s="345"/>
    </row>
    <row r="27" spans="2:6" x14ac:dyDescent="0.35">
      <c r="B27" s="100" t="s">
        <v>115</v>
      </c>
      <c r="C27" s="161">
        <f>Valuation_Model!E76</f>
        <v>20.777261684426229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-0.05</v>
      </c>
      <c r="D32" s="165"/>
      <c r="E32" s="345"/>
      <c r="F32" s="345"/>
    </row>
    <row r="33" spans="2:6" x14ac:dyDescent="0.35">
      <c r="B33" s="100" t="s">
        <v>115</v>
      </c>
      <c r="C33" s="161">
        <f>Valuation_Model!E77</f>
        <v>18.42358674753498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0.05</v>
      </c>
      <c r="D38" s="165"/>
      <c r="E38" s="345"/>
      <c r="F38" s="345"/>
    </row>
    <row r="39" spans="2:6" x14ac:dyDescent="0.35">
      <c r="B39" s="100" t="s">
        <v>115</v>
      </c>
      <c r="C39" s="161">
        <f>Valuation_Model!E75</f>
        <v>21.862068001465992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-0.08</v>
      </c>
      <c r="D50" s="165"/>
      <c r="E50" s="345"/>
      <c r="F50" s="345"/>
    </row>
    <row r="51" spans="2:6" x14ac:dyDescent="0.35">
      <c r="B51" s="100" t="s">
        <v>115</v>
      </c>
      <c r="C51" s="161">
        <f>Valuation_Model!E78</f>
        <v>15.621773465843134</v>
      </c>
      <c r="D51" t="str">
        <f>Market_currency</f>
        <v>HKD</v>
      </c>
      <c r="E51" s="345"/>
      <c r="F51" s="345"/>
    </row>
    <row r="52" spans="2:6" x14ac:dyDescent="0.35">
      <c r="B52" s="100" t="s">
        <v>149</v>
      </c>
      <c r="C52" s="166">
        <v>0.02</v>
      </c>
      <c r="D52" s="166"/>
      <c r="E52" s="345"/>
      <c r="F52" s="345"/>
    </row>
    <row r="54" spans="2:6" ht="13.15" x14ac:dyDescent="0.4">
      <c r="B54" s="160" t="s">
        <v>329</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24.69982753191616</v>
      </c>
      <c r="D57" t="str">
        <f>Market_currency</f>
        <v>HKD</v>
      </c>
      <c r="E57" s="345"/>
      <c r="F57" s="345"/>
    </row>
    <row r="58" spans="2:6" x14ac:dyDescent="0.35">
      <c r="B58" s="100" t="s">
        <v>149</v>
      </c>
      <c r="C58" s="166">
        <v>0.02</v>
      </c>
      <c r="D58" s="166"/>
      <c r="E58" s="345"/>
      <c r="F58" s="345"/>
    </row>
    <row r="60" spans="2:6" ht="13.15" x14ac:dyDescent="0.4">
      <c r="B60" s="100" t="s">
        <v>122</v>
      </c>
      <c r="C60" s="155">
        <f>C51*C52+C57*C58+C42*(1-C52-C58)</f>
        <v>20.508980461992877</v>
      </c>
      <c r="D60" t="str">
        <f>Market_currency</f>
        <v>HKD</v>
      </c>
      <c r="E60" s="100" t="s">
        <v>307</v>
      </c>
      <c r="F60" s="312">
        <f>Thesis!E20</f>
        <v>3</v>
      </c>
    </row>
    <row r="62" spans="2:6" ht="13.9" x14ac:dyDescent="0.45">
      <c r="B62" s="36" t="s">
        <v>363</v>
      </c>
      <c r="C62" s="37"/>
      <c r="D62" s="37"/>
      <c r="E62" s="37"/>
      <c r="F62" s="37"/>
    </row>
    <row r="63" spans="2:6" ht="13.15" x14ac:dyDescent="0.4">
      <c r="B63" s="109" t="s">
        <v>315</v>
      </c>
      <c r="E63" s="282" t="s">
        <v>323</v>
      </c>
    </row>
    <row r="64" spans="2:6" x14ac:dyDescent="0.35">
      <c r="B64" s="153" t="s">
        <v>135</v>
      </c>
      <c r="C64" s="167">
        <v>10</v>
      </c>
      <c r="D64" s="151"/>
      <c r="E64" s="281" t="s">
        <v>324</v>
      </c>
    </row>
    <row r="65" spans="2:6" x14ac:dyDescent="0.35">
      <c r="B65" s="119" t="s">
        <v>136</v>
      </c>
      <c r="C65" s="152">
        <v>6.4006284479398504E-3</v>
      </c>
      <c r="D65" s="152"/>
      <c r="E65" s="281" t="s">
        <v>325</v>
      </c>
    </row>
    <row r="66" spans="2:6" x14ac:dyDescent="0.35">
      <c r="B66" s="100" t="s">
        <v>104</v>
      </c>
      <c r="C66" s="161">
        <f>Valuation_Model!C18</f>
        <v>20.512359193543752</v>
      </c>
      <c r="D66" s="161" t="str">
        <f>Market_currency</f>
        <v>HKD</v>
      </c>
      <c r="E66" s="281" t="s">
        <v>326</v>
      </c>
    </row>
    <row r="68" spans="2:6" ht="13.15" x14ac:dyDescent="0.4">
      <c r="B68" s="109" t="s">
        <v>364</v>
      </c>
      <c r="E68" s="282" t="s">
        <v>327</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360</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1.36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313</v>
      </c>
    </row>
    <row r="86" spans="2:8" x14ac:dyDescent="0.35">
      <c r="B86" s="149" t="s">
        <v>311</v>
      </c>
      <c r="C86" s="266">
        <f>Market_Price</f>
        <v>14.44</v>
      </c>
      <c r="D86" t="str">
        <f>Market_currency</f>
        <v>HKD</v>
      </c>
    </row>
    <row r="87" spans="2:8" ht="13.15" x14ac:dyDescent="0.4">
      <c r="B87" s="100" t="s">
        <v>309</v>
      </c>
      <c r="C87" s="265">
        <f ca="1">IRR(OFFSET($I$3, 0, 0, $C$76 + 1, 1))</f>
        <v>0.20871253483792285</v>
      </c>
    </row>
    <row r="88" spans="2:8" x14ac:dyDescent="0.35">
      <c r="B88" s="100"/>
    </row>
    <row r="89" spans="2:8" ht="14.65" x14ac:dyDescent="0.5">
      <c r="E89" s="320" t="s">
        <v>338</v>
      </c>
      <c r="F89" s="317"/>
      <c r="G89" s="2"/>
      <c r="H89" s="316"/>
    </row>
    <row r="90" spans="2:8" ht="13.9" x14ac:dyDescent="0.45">
      <c r="E90" s="313" t="s">
        <v>339</v>
      </c>
      <c r="F90" s="318" t="s">
        <v>340</v>
      </c>
      <c r="G90" s="2"/>
      <c r="H90" s="316"/>
    </row>
    <row r="91" spans="2:8" ht="13.9" x14ac:dyDescent="0.45">
      <c r="E91" s="314" t="s">
        <v>339</v>
      </c>
      <c r="F91" s="318" t="s">
        <v>341</v>
      </c>
      <c r="G91" s="2"/>
      <c r="H91" s="316"/>
    </row>
    <row r="92" spans="2:8" ht="13.9" x14ac:dyDescent="0.45">
      <c r="E92" s="315" t="s">
        <v>339</v>
      </c>
      <c r="F92" s="319" t="s">
        <v>342</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