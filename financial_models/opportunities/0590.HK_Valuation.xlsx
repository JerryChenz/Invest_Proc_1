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02490B2-94E2-4766-9A58-D2E1C310E9AC}" xr6:coauthVersionLast="47" xr6:coauthVersionMax="47" xr10:uidLastSave="{00000000-0000-0000-0000-000000000000}"/>
  <bookViews>
    <workbookView xWindow="1470" yWindow="1470" windowWidth="12690" windowHeight="7643"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2" i="2"/>
  <c r="O94" i="2"/>
  <c r="Q92" i="2"/>
  <c r="Q94" i="2"/>
  <c r="C44" i="6"/>
  <c r="C44" i="12"/>
  <c r="J94" i="2"/>
  <c r="K94" i="2"/>
  <c r="N92" i="2"/>
  <c r="N94" i="2"/>
  <c r="P92" i="2"/>
  <c r="P94" i="2"/>
  <c r="L92" i="2"/>
  <c r="L94" i="2"/>
  <c r="I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<sst xmlns="http://schemas.openxmlformats.org/spreadsheetml/2006/main" count="836" uniqueCount="560">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</sst>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DE6F388-8499-487A-A3A3-CCC2E0FD7E94}"/>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590.HK_Valuation_backup.xlsx" TargetMode="External"/><Relationship Id="rId1" Type="http://schemas.openxmlformats.org/officeDocument/2006/relationships/externalLinkPath" Target="059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587107850</v>
          </cell>
        </row>
        <row r="12">
          <cell r="C12">
            <v>20.52</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587107850</v>
      </c>
      <c r="E6" s="48"/>
    </row>
    <row r="7" spans="1:10">
      <c r="B7" s="2" t="s">
        <v>460</v>
      </c>
      <c r="C7" s="250">
        <v>12</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21</v>
      </c>
      <c r="D12" s="50"/>
      <c r="E12" s="48"/>
    </row>
    <row r="13" spans="1:10">
      <c r="B13" s="1" t="s">
        <v>464</v>
      </c>
      <c r="C13" s="48" t="s">
        <v>377</v>
      </c>
      <c r="D13" s="48"/>
      <c r="E13" s="5"/>
    </row>
    <row r="14" spans="1:10">
      <c r="B14" s="4" t="s">
        <v>465</v>
      </c>
      <c r="C14" s="35">
        <f>Thesis!C12*Common_Shares/1000000</f>
        <v>12329.26485</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21.968758226348868</v>
      </c>
      <c r="D26" s="1" t="s">
        <v>380</v>
      </c>
      <c r="E26" s="301">
        <f ca="1">Scenarios!C87</f>
        <v>7.8985940428072388E-2</v>
      </c>
    </row>
    <row r="27" spans="2:6">
      <c r="D27" s="5"/>
      <c r="E27" s="5"/>
    </row>
    <row r="28" spans="2:6">
      <c r="B28" s="45" t="s">
        <v>409</v>
      </c>
      <c r="C28" s="309" t="str">
        <f>C145&amp;" ("&amp;Market_currency&amp;")"</f>
        <v>0590.HK (HKD)</v>
      </c>
      <c r="D28" s="309" t="str">
        <f>IF(D11="","",D145&amp;" ("&amp;D13&amp;")")</f>
        <v/>
      </c>
      <c r="E28" s="305" t="s">
        <v>405</v>
      </c>
      <c r="F28" s="303">
        <v>3</v>
      </c>
    </row>
    <row r="29" spans="2:6">
      <c r="B29" s="1" t="s">
        <v>401</v>
      </c>
      <c r="C29" s="310">
        <f>C149</f>
        <v>11.235424773194682</v>
      </c>
      <c r="D29" s="310" t="str">
        <f>D149</f>
        <v/>
      </c>
      <c r="E29" s="306" t="s">
        <v>400</v>
      </c>
      <c r="F29" s="302">
        <v>0.35</v>
      </c>
    </row>
    <row r="30" spans="2:6">
      <c r="B30" s="1" t="s">
        <v>402</v>
      </c>
      <c r="C30" s="311">
        <f>C157</f>
        <v>13.902724211890622</v>
      </c>
      <c r="D30" s="311" t="str">
        <f>D157</f>
        <v/>
      </c>
      <c r="E30" s="307" t="s">
        <v>413</v>
      </c>
      <c r="F30" s="312">
        <v>0.25</v>
      </c>
    </row>
    <row r="31" spans="2:6">
      <c r="B31" s="1" t="s">
        <v>403</v>
      </c>
      <c r="C31" s="311">
        <f>C165</f>
        <v>21.220699139526428</v>
      </c>
      <c r="D31" s="311" t="str">
        <f>D165</f>
        <v/>
      </c>
      <c r="E31" s="307" t="s">
        <v>412</v>
      </c>
      <c r="F31" s="312">
        <v>7.4999999999999997E-2</v>
      </c>
    </row>
    <row r="32" spans="2:6">
      <c r="B32" s="1" t="s">
        <v>404</v>
      </c>
      <c r="C32" s="311">
        <f>C173</f>
        <v>19.027476031641555</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v>
      </c>
    </row>
    <row r="40" spans="1:6" ht="24.6" customHeight="1">
      <c r="B40" s="373" t="s">
        <v>227</v>
      </c>
      <c r="C40" s="373"/>
      <c r="D40" s="373"/>
      <c r="E40" s="373"/>
      <c r="F40" s="373"/>
    </row>
    <row r="41" spans="1:6">
      <c r="B41" s="47" t="s">
        <v>228</v>
      </c>
      <c r="C41" s="349">
        <f>Normalized_FCF!C8</f>
        <v>1398534.6033278927</v>
      </c>
      <c r="D41" s="1" t="str">
        <f>Reporting_currency</f>
        <v>HKD</v>
      </c>
    </row>
    <row r="42" spans="1:6">
      <c r="B42" s="47"/>
      <c r="C42" s="76"/>
    </row>
    <row r="43" spans="1:6" ht="24.6" customHeight="1">
      <c r="B43" s="373" t="s">
        <v>229</v>
      </c>
      <c r="C43" s="373"/>
      <c r="D43" s="373"/>
      <c r="E43" s="373"/>
      <c r="F43" s="373"/>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3" t="s">
        <v>232</v>
      </c>
      <c r="C47" s="373"/>
      <c r="D47" s="373"/>
      <c r="E47" s="373"/>
      <c r="F47" s="373"/>
    </row>
    <row r="48" spans="1:6">
      <c r="B48" s="47" t="s">
        <v>233</v>
      </c>
      <c r="C48" s="349">
        <f>Normalized_FCF!C11</f>
        <v>0</v>
      </c>
      <c r="D48" s="1" t="str">
        <f>Reporting_currency</f>
        <v>HKD</v>
      </c>
    </row>
    <row r="50" spans="2:6">
      <c r="B50" s="373" t="s">
        <v>236</v>
      </c>
      <c r="C50" s="373"/>
      <c r="D50" s="373"/>
      <c r="E50" s="373"/>
      <c r="F50" s="373"/>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242</v>
      </c>
    </row>
    <row r="56" spans="2:6">
      <c r="B56" s="47" t="s">
        <v>261</v>
      </c>
      <c r="C56" s="349">
        <f>Normalized_FCF!C15</f>
        <v>0</v>
      </c>
      <c r="D56" s="1" t="str">
        <f>Reporting_currency</f>
        <v>HKD</v>
      </c>
    </row>
    <row r="58" spans="2:6">
      <c r="B58" s="373" t="s">
        <v>237</v>
      </c>
      <c r="C58" s="373"/>
      <c r="D58" s="373"/>
      <c r="E58" s="373"/>
      <c r="F58" s="373"/>
    </row>
    <row r="59" spans="2:6">
      <c r="B59" s="47" t="s">
        <v>235</v>
      </c>
      <c r="C59" s="349">
        <f>Normalized_FCF!C14</f>
        <v>-338171.38555405382</v>
      </c>
      <c r="D59" s="1" t="str">
        <f>Reporting_currency</f>
        <v>HKD</v>
      </c>
    </row>
    <row r="61" spans="2:6">
      <c r="B61" s="373" t="s">
        <v>329</v>
      </c>
      <c r="C61" s="374"/>
      <c r="D61" s="374"/>
      <c r="E61" s="374"/>
      <c r="F61" s="374"/>
    </row>
    <row r="62" spans="2:6">
      <c r="B62" s="47" t="s">
        <v>238</v>
      </c>
      <c r="C62" s="349">
        <f>Normalized_FCF!C17</f>
        <v>0</v>
      </c>
      <c r="D62" s="1" t="str">
        <f>Reporting_currency</f>
        <v>HKD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8.228504854141093E-2</v>
      </c>
      <c r="F69" s="314"/>
    </row>
    <row r="70" spans="1:6">
      <c r="B70" s="227" t="s">
        <v>434</v>
      </c>
      <c r="C70" s="92">
        <f>Normalized_FCF!C94</f>
        <v>6.4761904761904771E-2</v>
      </c>
      <c r="E70" s="47" t="s">
        <v>424</v>
      </c>
      <c r="F70" s="315">
        <f>Normalized_FCF!C92</f>
        <v>0.7870434047239161</v>
      </c>
    </row>
    <row r="72" spans="1:6">
      <c r="B72" s="210" t="s">
        <v>427</v>
      </c>
      <c r="C72" s="323" t="s">
        <v>429</v>
      </c>
      <c r="D72" s="323" t="s">
        <v>430</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23.03981359159506</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250</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252</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ht="24.6" customHeight="1">
      <c r="B116" s="372" t="s">
        <v>352</v>
      </c>
      <c r="C116" s="372"/>
      <c r="D116" s="372"/>
      <c r="E116" s="372"/>
      <c r="F116" s="372"/>
    </row>
    <row r="118" spans="1:6">
      <c r="B118" s="47" t="s">
        <v>425</v>
      </c>
      <c r="C118" s="223">
        <f>IF(valuation_method="DCF",DCF!C12,DDM!C7)</f>
        <v>21.520326602297704</v>
      </c>
      <c r="D118" s="1" t="str">
        <f>Market_currency</f>
        <v>HKD</v>
      </c>
    </row>
    <row r="119" spans="1:6">
      <c r="B119" s="296" t="s">
        <v>549</v>
      </c>
      <c r="C119" s="223">
        <f>BS!D47</f>
        <v>5.8696003638854428</v>
      </c>
      <c r="D119" s="1" t="str">
        <f>Market_currency</f>
        <v>HKD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1.36</v>
      </c>
      <c r="D143" s="212" t="str">
        <f>Market_currency</f>
        <v>HKD</v>
      </c>
    </row>
    <row r="145" spans="2:4">
      <c r="B145" s="210" t="s">
        <v>388</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395</v>
      </c>
      <c r="C150" s="298" t="str">
        <f>Market_currency</f>
        <v>HKD</v>
      </c>
      <c r="D150" s="298" t="str">
        <f>IF($D$11="","",D$13)</f>
        <v/>
      </c>
    </row>
    <row r="151" spans="2:4">
      <c r="B151" s="214" t="s">
        <v>258</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395</v>
      </c>
      <c r="C158" s="298" t="str">
        <f>Market_currency</f>
        <v>HKD</v>
      </c>
      <c r="D158" s="298" t="str">
        <f>IF($D$11="","",D$13)</f>
        <v/>
      </c>
    </row>
    <row r="159" spans="2:4">
      <c r="B159" s="214" t="s">
        <v>258</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395</v>
      </c>
      <c r="C166" s="298" t="str">
        <f>Market_currency</f>
        <v>HKD</v>
      </c>
      <c r="D166" s="298" t="str">
        <f>IF($D$11="","",D$13)</f>
        <v/>
      </c>
    </row>
    <row r="167" spans="2:4">
      <c r="B167" s="214" t="s">
        <v>258</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395</v>
      </c>
      <c r="C174" s="298" t="str">
        <f>Market_currency</f>
        <v>HKD</v>
      </c>
      <c r="D174" s="298" t="str">
        <f>IF($D$11="","",D$13)</f>
        <v/>
      </c>
    </row>
    <row r="175" spans="2:4">
      <c r="B175" s="214" t="s">
        <v>258</v>
      </c>
      <c r="C175" s="92">
        <f>Scenarios!F105</f>
        <v>0.13397231740286097</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15325962</v>
      </c>
      <c r="D4" s="351">
        <v>11977844</v>
      </c>
      <c r="E4" s="351">
        <v>11737803</v>
      </c>
      <c r="F4" s="351">
        <v>8861335</v>
      </c>
      <c r="G4" s="351">
        <v>11233771</v>
      </c>
      <c r="H4" s="351"/>
      <c r="I4" s="351"/>
      <c r="J4" s="351"/>
      <c r="K4" s="351"/>
      <c r="L4" s="351"/>
      <c r="M4" s="351"/>
    </row>
    <row r="5" spans="2:13">
      <c r="B5" s="40" t="s">
        <v>41</v>
      </c>
      <c r="C5" s="351">
        <v>11151623</v>
      </c>
      <c r="D5" s="351">
        <v>8747447</v>
      </c>
      <c r="E5" s="351">
        <v>8503976</v>
      </c>
      <c r="F5" s="351">
        <v>6229020</v>
      </c>
      <c r="G5" s="351">
        <v>7910751</v>
      </c>
      <c r="H5" s="351"/>
      <c r="I5" s="351"/>
      <c r="J5" s="351"/>
      <c r="K5" s="351"/>
      <c r="L5" s="351"/>
      <c r="M5" s="351"/>
    </row>
    <row r="6" spans="2:13">
      <c r="B6" s="40" t="s">
        <v>52</v>
      </c>
      <c r="C6" s="351">
        <v>2297566</v>
      </c>
      <c r="D6" s="351">
        <v>1867515</v>
      </c>
      <c r="E6" s="351">
        <v>1815111</v>
      </c>
      <c r="F6" s="351">
        <v>1694480</v>
      </c>
      <c r="G6" s="351">
        <v>2118252</v>
      </c>
      <c r="H6" s="351"/>
      <c r="I6" s="351"/>
      <c r="J6" s="351"/>
      <c r="K6" s="351"/>
      <c r="L6" s="351"/>
      <c r="M6" s="351"/>
    </row>
    <row r="7" spans="2:13">
      <c r="B7" s="69" t="s">
        <v>59</v>
      </c>
      <c r="C7" s="352">
        <v>2043459</v>
      </c>
      <c r="D7" s="352">
        <v>1517989</v>
      </c>
      <c r="E7" s="352">
        <v>1491293</v>
      </c>
      <c r="F7" s="352">
        <v>1412494</v>
      </c>
      <c r="G7" s="352">
        <v>1945100</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59596</v>
      </c>
      <c r="D12" s="351">
        <v>20763</v>
      </c>
      <c r="E12" s="351">
        <v>23097</v>
      </c>
      <c r="F12" s="351">
        <v>28849</v>
      </c>
      <c r="G12" s="351">
        <v>63075</v>
      </c>
      <c r="H12" s="351"/>
      <c r="I12" s="351"/>
      <c r="J12" s="351"/>
      <c r="K12" s="351"/>
      <c r="L12" s="351"/>
      <c r="M12" s="351"/>
    </row>
    <row r="13" spans="2:13">
      <c r="B13" s="40" t="s">
        <v>65</v>
      </c>
      <c r="C13" s="351">
        <v>28977</v>
      </c>
      <c r="D13" s="351">
        <v>33125</v>
      </c>
      <c r="E13" s="351">
        <v>87344</v>
      </c>
      <c r="F13" s="351">
        <v>63398</v>
      </c>
      <c r="G13" s="351">
        <v>45450</v>
      </c>
      <c r="H13" s="351"/>
      <c r="I13" s="351"/>
      <c r="J13" s="351"/>
      <c r="K13" s="351"/>
      <c r="L13" s="351"/>
      <c r="M13" s="351"/>
    </row>
    <row r="14" spans="2:13">
      <c r="B14" s="40" t="s">
        <v>48</v>
      </c>
      <c r="C14" s="351">
        <v>327166</v>
      </c>
      <c r="D14" s="351">
        <v>280664</v>
      </c>
      <c r="E14" s="351">
        <v>291296</v>
      </c>
      <c r="F14" s="351">
        <v>236303</v>
      </c>
      <c r="G14" s="351">
        <v>223409</v>
      </c>
      <c r="H14" s="351"/>
      <c r="I14" s="351"/>
      <c r="J14" s="351"/>
      <c r="K14" s="351"/>
      <c r="L14" s="351"/>
      <c r="M14" s="351"/>
    </row>
    <row r="15" spans="2:13">
      <c r="B15" s="43" t="s">
        <v>40</v>
      </c>
      <c r="C15" s="353">
        <v>1767305</v>
      </c>
      <c r="D15" s="353">
        <v>1284757</v>
      </c>
      <c r="E15" s="353">
        <v>1392364</v>
      </c>
      <c r="F15" s="353">
        <v>1017335</v>
      </c>
      <c r="G15" s="353">
        <v>866315</v>
      </c>
      <c r="H15" s="353"/>
      <c r="I15" s="353"/>
      <c r="J15" s="353"/>
      <c r="K15" s="353"/>
      <c r="L15" s="353"/>
      <c r="M15" s="353"/>
    </row>
    <row r="16" spans="2:13">
      <c r="B16" s="28" t="s">
        <v>42</v>
      </c>
      <c r="C16" s="351">
        <v>-9467</v>
      </c>
      <c r="D16" s="351">
        <v>-30</v>
      </c>
      <c r="E16" s="351">
        <v>-27</v>
      </c>
      <c r="F16" s="351">
        <v>1799</v>
      </c>
      <c r="G16" s="351">
        <v>1337</v>
      </c>
      <c r="H16" s="351"/>
      <c r="I16" s="351"/>
      <c r="J16" s="351"/>
      <c r="K16" s="351"/>
      <c r="L16" s="351"/>
      <c r="M16" s="351"/>
    </row>
    <row r="18" spans="2:13">
      <c r="B18" s="16" t="s">
        <v>49</v>
      </c>
      <c r="C18" s="9"/>
    </row>
    <row r="19" spans="2:13">
      <c r="B19" s="27" t="s">
        <v>45</v>
      </c>
      <c r="C19" s="351">
        <v>463424</v>
      </c>
      <c r="D19" s="351">
        <v>371724</v>
      </c>
      <c r="E19" s="351">
        <v>435672</v>
      </c>
      <c r="F19" s="351">
        <v>520888</v>
      </c>
      <c r="G19" s="351"/>
      <c r="H19" s="351"/>
      <c r="I19" s="351"/>
      <c r="J19" s="351"/>
      <c r="K19" s="351"/>
      <c r="L19" s="351"/>
      <c r="M19" s="351"/>
    </row>
    <row r="20" spans="2:13">
      <c r="B20" s="27" t="s">
        <v>51</v>
      </c>
      <c r="C20" s="351">
        <v>676387</v>
      </c>
      <c r="D20" s="351">
        <v>107280</v>
      </c>
      <c r="E20" s="351">
        <v>455483</v>
      </c>
      <c r="F20" s="351">
        <v>138937</v>
      </c>
      <c r="G20" s="351"/>
      <c r="H20" s="351"/>
      <c r="I20" s="351"/>
      <c r="J20" s="351"/>
      <c r="K20" s="351"/>
      <c r="L20" s="351"/>
      <c r="M20" s="351"/>
    </row>
    <row r="21" spans="2:13">
      <c r="B21" s="27" t="s">
        <v>50</v>
      </c>
      <c r="C21" s="351">
        <v>626583</v>
      </c>
      <c r="D21" s="351">
        <v>352099</v>
      </c>
      <c r="E21" s="351">
        <v>1045251</v>
      </c>
      <c r="F21" s="351">
        <v>-818677</v>
      </c>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26</v>
      </c>
      <c r="C27" s="97" t="s">
        <v>558</v>
      </c>
    </row>
    <row r="28" spans="2:13">
      <c r="B28" s="26" t="s">
        <v>22</v>
      </c>
      <c r="C28" s="333">
        <f>BS!C4</f>
        <v>265773</v>
      </c>
      <c r="D28" s="351">
        <v>213823</v>
      </c>
      <c r="E28" s="351">
        <v>187711</v>
      </c>
      <c r="F28" s="351">
        <v>277338</v>
      </c>
      <c r="G28" s="351"/>
      <c r="H28" s="351"/>
      <c r="I28" s="351"/>
      <c r="J28" s="351"/>
      <c r="K28" s="351"/>
      <c r="L28" s="351"/>
      <c r="M28" s="351"/>
    </row>
    <row r="29" spans="2:13">
      <c r="B29" s="26" t="s">
        <v>30</v>
      </c>
      <c r="C29" s="333">
        <f>BS!C6</f>
        <v>9672256</v>
      </c>
      <c r="D29" s="351">
        <v>8852611</v>
      </c>
      <c r="E29" s="351">
        <v>8769304</v>
      </c>
      <c r="F29" s="351">
        <v>7321614</v>
      </c>
      <c r="G29" s="351"/>
      <c r="H29" s="351"/>
      <c r="I29" s="351"/>
      <c r="J29" s="351"/>
      <c r="K29" s="351"/>
      <c r="L29" s="351"/>
      <c r="M29" s="351"/>
    </row>
    <row r="30" spans="2:13">
      <c r="B30" s="29" t="s">
        <v>38</v>
      </c>
      <c r="C30" s="334">
        <f>BS!C33+BS!C42</f>
        <v>3990166</v>
      </c>
      <c r="D30" s="353">
        <v>2466431</v>
      </c>
      <c r="E30" s="353">
        <v>3908586</v>
      </c>
      <c r="F30" s="353">
        <v>2946772</v>
      </c>
      <c r="G30" s="353"/>
      <c r="H30" s="353"/>
      <c r="I30" s="353"/>
      <c r="J30" s="353"/>
      <c r="K30" s="353"/>
      <c r="L30" s="353"/>
      <c r="M30" s="353"/>
    </row>
    <row r="31" spans="2:13">
      <c r="B31" s="29" t="s">
        <v>28</v>
      </c>
      <c r="C31" s="334">
        <f>BS!G27</f>
        <v>12863898</v>
      </c>
      <c r="D31" s="353">
        <v>12220942</v>
      </c>
      <c r="E31" s="353">
        <v>12078528</v>
      </c>
      <c r="F31" s="353">
        <v>11324224</v>
      </c>
      <c r="G31" s="353"/>
      <c r="H31" s="353"/>
      <c r="I31" s="353"/>
      <c r="J31" s="353"/>
      <c r="K31" s="353"/>
      <c r="L31" s="353"/>
      <c r="M31" s="353"/>
    </row>
    <row r="32" spans="2:13">
      <c r="B32" s="26" t="s">
        <v>168</v>
      </c>
      <c r="C32" s="333">
        <f>BS!G28</f>
        <v>-26962</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84</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38</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45381</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265773</v>
      </c>
      <c r="D4" s="261">
        <v>0.6</v>
      </c>
      <c r="E4" s="25"/>
      <c r="F4" s="4" t="s">
        <v>75</v>
      </c>
      <c r="G4" s="19">
        <v>1998219</v>
      </c>
      <c r="H4" s="261">
        <v>0.9</v>
      </c>
    </row>
    <row r="5" spans="2:8" ht="15" customHeight="1">
      <c r="B5" s="1" t="s">
        <v>31</v>
      </c>
      <c r="C5" s="19">
        <v>0</v>
      </c>
      <c r="D5" s="261">
        <v>0.6</v>
      </c>
      <c r="E5" s="25"/>
      <c r="F5" s="1" t="s">
        <v>27</v>
      </c>
      <c r="G5" s="19">
        <v>0</v>
      </c>
      <c r="H5" s="261">
        <v>0.7</v>
      </c>
    </row>
    <row r="6" spans="2:8" ht="15" customHeight="1">
      <c r="B6" s="4" t="s">
        <v>8</v>
      </c>
      <c r="C6" s="19">
        <v>9672256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366595</v>
      </c>
      <c r="D9" s="261">
        <v>0.1</v>
      </c>
      <c r="E9" s="25"/>
      <c r="F9" s="4" t="s">
        <v>176</v>
      </c>
      <c r="G9" s="19">
        <v>0</v>
      </c>
      <c r="H9" s="261">
        <v>0.6</v>
      </c>
    </row>
    <row r="10" spans="2:8" ht="15" customHeight="1">
      <c r="B10" s="4" t="s">
        <v>9</v>
      </c>
      <c r="C10" s="19">
        <v>29465</v>
      </c>
      <c r="D10" s="261">
        <v>0.9</v>
      </c>
      <c r="H10" s="262"/>
    </row>
    <row r="11" spans="2:8" ht="15" customHeight="1">
      <c r="B11" s="4" t="s">
        <v>10</v>
      </c>
      <c r="C11" s="19">
        <v>0</v>
      </c>
      <c r="D11" s="261">
        <v>0.05</v>
      </c>
      <c r="H11" s="262"/>
    </row>
    <row r="12" spans="2:8" ht="15" customHeight="1">
      <c r="B12" s="80" t="s">
        <v>70</v>
      </c>
      <c r="C12" s="81">
        <f>SUM(C4:C11)</f>
        <v>10334089</v>
      </c>
      <c r="D12" s="20">
        <f>C4*D4+C5*D5+C9*D9+C6*D6+C8*D8+C7*D7+C10*D10+C11*D11</f>
        <v>5058769.8</v>
      </c>
      <c r="F12" s="80" t="s">
        <v>68</v>
      </c>
      <c r="G12" s="81">
        <f>SUM(G4:G9)</f>
        <v>1998219</v>
      </c>
      <c r="H12" s="20">
        <f>G4*H4+G5*H5+G6*H6+G7*H7+G8*H8+G9*H9</f>
        <v>1798397.1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103050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2522337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538321</v>
      </c>
      <c r="D21" s="261">
        <v>0.05</v>
      </c>
      <c r="F21" s="1" t="s">
        <v>176</v>
      </c>
      <c r="G21" s="19">
        <v>925726</v>
      </c>
      <c r="H21" s="261">
        <v>0.1</v>
      </c>
    </row>
    <row r="22" spans="2:8" ht="15" customHeight="1">
      <c r="B22" s="4" t="s">
        <v>18</v>
      </c>
      <c r="C22" s="19">
        <v>154648</v>
      </c>
      <c r="D22" s="261">
        <v>0.9</v>
      </c>
      <c r="H22" s="262"/>
    </row>
    <row r="23" spans="2:8" ht="15" customHeight="1">
      <c r="B23" s="4" t="s">
        <v>19</v>
      </c>
      <c r="C23" s="19">
        <v>277674</v>
      </c>
      <c r="D23" s="261">
        <v>0</v>
      </c>
      <c r="H23" s="262"/>
    </row>
    <row r="24" spans="2:8" ht="15" customHeight="1">
      <c r="B24" s="80" t="s">
        <v>71</v>
      </c>
      <c r="C24" s="81">
        <f>SUM(C15:C23)</f>
        <v>3596030</v>
      </c>
      <c r="D24" s="20">
        <f>C15*D15+C16*D16+C18*D18+C17*D17+C19*D19+C20*D20+C21*D21+C22*D22+C23*D23</f>
        <v>459552.95</v>
      </c>
      <c r="F24" s="80" t="s">
        <v>69</v>
      </c>
      <c r="G24" s="81">
        <f>SUM(G15:G21)</f>
        <v>925726</v>
      </c>
      <c r="H24" s="20">
        <f>G15*H15+G16*H16+G17*H17+G18*H18+G19*H19+G20*H20+G21*H21</f>
        <v>92572.6</v>
      </c>
    </row>
    <row r="26" spans="2:8" ht="15" customHeight="1">
      <c r="B26" s="16" t="s">
        <v>196</v>
      </c>
      <c r="C26" s="182" t="s">
        <v>132</v>
      </c>
      <c r="F26" s="184" t="s">
        <v>192</v>
      </c>
      <c r="G26" s="185" t="s">
        <v>132</v>
      </c>
      <c r="H26" s="186" t="s">
        <v>33</v>
      </c>
    </row>
    <row r="27" spans="2:8" ht="15" customHeight="1">
      <c r="B27" s="4" t="s">
        <v>3</v>
      </c>
      <c r="C27" s="19">
        <v>1427805</v>
      </c>
      <c r="F27" s="187" t="s">
        <v>28</v>
      </c>
      <c r="G27" s="85">
        <f>G32-G30</f>
        <v>12863898</v>
      </c>
      <c r="H27" s="188">
        <f>H32-G30</f>
        <v>3419126.45</v>
      </c>
    </row>
    <row r="28" spans="2:8" ht="15" customHeight="1">
      <c r="B28" s="4" t="s">
        <v>4</v>
      </c>
      <c r="C28" s="19">
        <v>287697</v>
      </c>
      <c r="F28" s="189" t="s">
        <v>240</v>
      </c>
      <c r="G28" s="12">
        <v>-26962</v>
      </c>
      <c r="H28" s="188"/>
    </row>
    <row r="29" spans="2:8" ht="15" customHeight="1">
      <c r="B29" s="4" t="s">
        <v>5</v>
      </c>
      <c r="C29" s="19">
        <v>0</v>
      </c>
      <c r="F29" s="190" t="s">
        <v>73</v>
      </c>
      <c r="G29" s="14">
        <f>G27-G28</f>
        <v>12890860</v>
      </c>
      <c r="H29" s="188">
        <f>H27-G28</f>
        <v>3446088.45</v>
      </c>
    </row>
    <row r="30" spans="2:8" ht="15" customHeight="1">
      <c r="B30" s="2" t="s">
        <v>6</v>
      </c>
      <c r="C30" s="19">
        <v>0</v>
      </c>
      <c r="F30" s="187" t="s">
        <v>21</v>
      </c>
      <c r="G30" s="85">
        <f>C33+C42</f>
        <v>3990166</v>
      </c>
      <c r="H30" s="188"/>
    </row>
    <row r="31" spans="2:8" ht="15" customHeight="1">
      <c r="B31" s="80" t="s">
        <v>199</v>
      </c>
      <c r="C31" s="81">
        <f>SUM(C27:C30)</f>
        <v>1715502</v>
      </c>
      <c r="F31" s="190" t="s">
        <v>74</v>
      </c>
      <c r="G31" s="191">
        <f>C31+C40</f>
        <v>2034922</v>
      </c>
      <c r="H31" s="188"/>
    </row>
    <row r="32" spans="2:8" ht="15" customHeight="1">
      <c r="B32" s="4" t="s">
        <v>7</v>
      </c>
      <c r="C32" s="21">
        <f>C33-C31</f>
        <v>1801307</v>
      </c>
      <c r="F32" s="192" t="s">
        <v>72</v>
      </c>
      <c r="G32" s="193">
        <f>G35+G40</f>
        <v>16854064</v>
      </c>
      <c r="H32" s="188">
        <f>H35+H40</f>
        <v>7409292.4500000002</v>
      </c>
    </row>
    <row r="33" spans="2:8" ht="15" customHeight="1">
      <c r="B33" s="83" t="s">
        <v>2</v>
      </c>
      <c r="C33" s="84">
        <v>3516809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13930119</v>
      </c>
      <c r="H35" s="200">
        <f>D12+D24</f>
        <v>5518322.75</v>
      </c>
    </row>
    <row r="36" spans="2:8" ht="15" customHeight="1">
      <c r="B36" s="4" t="s">
        <v>11</v>
      </c>
      <c r="C36" s="19">
        <v>0</v>
      </c>
      <c r="F36" s="190" t="s">
        <v>193</v>
      </c>
      <c r="G36" s="191">
        <f>C4+C15</f>
        <v>368823</v>
      </c>
      <c r="H36" s="195"/>
    </row>
    <row r="37" spans="2:8" ht="15" customHeight="1">
      <c r="B37" s="4" t="s">
        <v>12</v>
      </c>
      <c r="C37" s="19">
        <v>0</v>
      </c>
      <c r="F37" s="190" t="s">
        <v>194</v>
      </c>
      <c r="G37" s="191">
        <f>C6</f>
        <v>9672256</v>
      </c>
      <c r="H37" s="195"/>
    </row>
    <row r="38" spans="2:8" ht="15" customHeight="1">
      <c r="B38" s="4" t="s">
        <v>13</v>
      </c>
      <c r="C38" s="19">
        <v>319420</v>
      </c>
      <c r="F38" s="190" t="s">
        <v>195</v>
      </c>
      <c r="G38" s="191">
        <f>C7+C17</f>
        <v>0</v>
      </c>
      <c r="H38" s="195"/>
    </row>
    <row r="39" spans="2:8" ht="15" customHeight="1">
      <c r="B39" s="2" t="s">
        <v>14</v>
      </c>
      <c r="C39" s="19">
        <v>0</v>
      </c>
      <c r="F39" s="190" t="s">
        <v>77</v>
      </c>
      <c r="G39" s="191">
        <f>C7+C17+C19+C20</f>
        <v>2522337</v>
      </c>
      <c r="H39" s="188">
        <f>C7*D7+C17*D17+C19*D19+C20*D20</f>
        <v>252233.7</v>
      </c>
    </row>
    <row r="40" spans="2:8" ht="15" customHeight="1">
      <c r="B40" s="80" t="s">
        <v>200</v>
      </c>
      <c r="C40" s="81">
        <f>SUM(C36:C39)</f>
        <v>319420</v>
      </c>
      <c r="F40" s="199" t="s">
        <v>134</v>
      </c>
      <c r="G40" s="193">
        <f>G12+G24</f>
        <v>2923945</v>
      </c>
      <c r="H40" s="200">
        <f>H12+H24</f>
        <v>1890969.7000000002</v>
      </c>
    </row>
    <row r="41" spans="2:8" ht="15" customHeight="1">
      <c r="B41" s="4" t="s">
        <v>15</v>
      </c>
      <c r="C41" s="21">
        <f>C42-C40</f>
        <v>153937</v>
      </c>
      <c r="F41" s="190" t="s">
        <v>187</v>
      </c>
      <c r="G41" s="191">
        <f>C70</f>
        <v>1998219</v>
      </c>
      <c r="H41" s="200">
        <f>H40-H42</f>
        <v>1798397.1</v>
      </c>
    </row>
    <row r="42" spans="2:8" ht="15" customHeight="1">
      <c r="B42" s="83" t="s">
        <v>20</v>
      </c>
      <c r="C42" s="84">
        <v>473357</v>
      </c>
      <c r="F42" s="201" t="s">
        <v>188</v>
      </c>
      <c r="G42" s="202">
        <f>C82</f>
        <v>925726</v>
      </c>
      <c r="H42" s="203">
        <f>D82</f>
        <v>92572.6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1.4550387206421544</v>
      </c>
      <c r="D50" s="95">
        <f>G31/Normalized_FCF!G8</f>
        <v>1.0842664509772892</v>
      </c>
      <c r="F50" s="253"/>
    </row>
    <row r="51" spans="2:8" ht="15" customHeight="1">
      <c r="B51" s="1" t="s">
        <v>172</v>
      </c>
      <c r="C51" s="181"/>
      <c r="D51" s="92">
        <f>G29/G32</f>
        <v>0.76485172952944758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0.10039645772788393</v>
      </c>
      <c r="D54" s="92">
        <f>Normalized_FCF!G8/G35</f>
        <v>0.13472770763839131</v>
      </c>
      <c r="F54" s="253"/>
    </row>
    <row r="55" spans="2:8" ht="15" customHeight="1">
      <c r="B55" s="1" t="s">
        <v>137</v>
      </c>
      <c r="C55" s="92">
        <f>Normalized_FCF!C11/G40</f>
        <v>0</v>
      </c>
      <c r="D55" s="92">
        <f>Normalized_FCF!G11/G40</f>
        <v>2.1854036242131779E-4</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0.1837280268259158</v>
      </c>
      <c r="F58" s="5"/>
    </row>
    <row r="59" spans="2:8" ht="15" customHeight="1">
      <c r="B59" s="1" t="s">
        <v>90</v>
      </c>
      <c r="C59" s="98"/>
      <c r="D59" s="92">
        <f>G39/G32</f>
        <v>0.14965749507062509</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-2.0915594459950692E-3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1998219</v>
      </c>
      <c r="D66" s="76">
        <f>C66-D75</f>
        <v>1050246.6606106577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1998219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-1187304.6396666665</v>
      </c>
      <c r="D73" s="349">
        <f>(Normalized_FCF!C25+Normalized_FCF!C35-Normalized_FCF!C91)/12</f>
        <v>-947972.33938934223</v>
      </c>
      <c r="F73" s="1" t="s">
        <v>342</v>
      </c>
    </row>
    <row r="74" spans="2:6" ht="15" customHeight="1">
      <c r="B74" s="257" t="s">
        <v>312</v>
      </c>
      <c r="C74" s="258">
        <f>-$C$66/C73</f>
        <v>1.6829876118070222</v>
      </c>
      <c r="D74" s="258">
        <f>-$C$66/D73</f>
        <v>2.1078874530107048</v>
      </c>
      <c r="F74" s="253" t="s">
        <v>310</v>
      </c>
    </row>
    <row r="75" spans="2:6" ht="15" customHeight="1">
      <c r="B75" s="80" t="s">
        <v>311</v>
      </c>
      <c r="C75" s="320"/>
      <c r="D75" s="321">
        <f>MAX(-D73*D76,G5)</f>
        <v>947972.33938934223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925726</v>
      </c>
      <c r="D81" s="76">
        <f>G9*H9+G21*H21</f>
        <v>92572.6</v>
      </c>
      <c r="F81" s="253"/>
    </row>
    <row r="82" spans="2:8" ht="15" customHeight="1">
      <c r="B82" s="80" t="s">
        <v>185</v>
      </c>
      <c r="C82" s="81">
        <f>SUM(C79:C81)</f>
        <v>925726</v>
      </c>
      <c r="D82" s="81">
        <f>SUM(D79:D81)</f>
        <v>92572.6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-2034922</v>
      </c>
      <c r="D86" s="223">
        <f>C86*scaling_factor/Common_Shares</f>
        <v>-3.4660105464438944</v>
      </c>
      <c r="E86" s="240" t="str">
        <f>Market_currency</f>
        <v>HKD</v>
      </c>
    </row>
    <row r="87" spans="2:8" ht="15" customHeight="1">
      <c r="B87" s="238" t="s">
        <v>282</v>
      </c>
      <c r="C87" s="76">
        <f>DCF!C8*Exchange_Rate</f>
        <v>1050246.6606106577</v>
      </c>
      <c r="D87" s="223">
        <f>C87*scaling_factor/Common_Shares</f>
        <v>1.7888479273623368</v>
      </c>
      <c r="E87" s="240" t="str">
        <f>Market_currency</f>
        <v>HKD</v>
      </c>
    </row>
    <row r="88" spans="2:8" ht="15" customHeight="1">
      <c r="B88" s="239" t="s">
        <v>185</v>
      </c>
      <c r="C88" s="76">
        <f>DCF!C9*Exchange_Rate</f>
        <v>92572.6</v>
      </c>
      <c r="D88" s="223">
        <f>C88*scaling_factor/Common_Shares</f>
        <v>0.15767562978420405</v>
      </c>
      <c r="E88" s="240" t="str">
        <f>Market_currency</f>
        <v>HKD</v>
      </c>
    </row>
    <row r="89" spans="2:8" ht="15" customHeight="1">
      <c r="B89" s="80" t="s">
        <v>286</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44</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0.72134257435984139</v>
      </c>
      <c r="D28" s="26"/>
      <c r="E28" s="266" t="s">
        <v>324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324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-302359.25</v>
      </c>
      <c r="E33" s="266" t="s">
        <v>324</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1.4501413508729523E-2</v>
      </c>
      <c r="E53" s="265" t="s">
        <v>326</v>
      </c>
      <c r="G53" s="6">
        <f>IF(Normalized_FCF!G4="","",Normalized_FCF!G49/BS!$C$66)</f>
        <v>1.4501413508729523E-2</v>
      </c>
      <c r="H53" s="169"/>
      <c r="I53" s="169"/>
      <c r="J53" s="169"/>
      <c r="K53" s="169"/>
      <c r="L53" s="169"/>
      <c r="M53" s="169"/>
      <c r="N53" s="169"/>
      <c r="O53" s="169"/>
      <c r="P53" s="169"/>
      <c r="Q53" s="169"/>
    </row>
    <row r="54" spans="1:17" ht="15.75" customHeight="1">
      <c r="A54" s="10"/>
      <c r="B54" s="8" t="s">
        <v>85</v>
      </c>
      <c r="C54" s="82">
        <f>G54</f>
        <v>2.9286626219579916E-2</v>
      </c>
      <c r="E54" s="265" t="s">
        <v>327</v>
      </c>
      <c r="G54" s="23">
        <f>IFERROR(ABS(Normalized_FCF!G47/BS!$G$31),0)</f>
        <v>2.9286626219579916E-2</v>
      </c>
      <c r="H54" s="169"/>
      <c r="I54" s="169"/>
      <c r="J54" s="169"/>
      <c r="K54" s="169"/>
      <c r="L54" s="169"/>
      <c r="M54" s="169"/>
      <c r="N54" s="169"/>
      <c r="O54" s="169"/>
      <c r="P54" s="169"/>
      <c r="Q54" s="169"/>
    </row>
    <row r="55" spans="1:17" ht="15.75" customHeight="1">
      <c r="A55" s="10"/>
      <c r="B55" s="26" t="s">
        <v>88</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3.8696911822371505E-2</v>
      </c>
      <c r="D78" s="27"/>
      <c r="E78" s="266" t="s">
        <v>559</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6.4761904761904771E-2</v>
      </c>
      <c r="E94" s="268"/>
      <c r="G94" s="23">
        <f t="shared" ref="G94:Q94" si="39">IF(G$4="","",(G90*(1-dividend_tax_rate))/Market_Price)</f>
        <v>6.4761904761904771E-2</v>
      </c>
      <c r="H94" s="23">
        <f t="shared" si="39"/>
        <v>5.2380952380952382E-2</v>
      </c>
      <c r="I94" s="23">
        <f t="shared" si="39"/>
        <v>5.2380952380952382E-2</v>
      </c>
      <c r="J94" s="23">
        <f t="shared" si="39"/>
        <v>4.7619047619047616E-2</v>
      </c>
      <c r="K94" s="23">
        <f t="shared" si="39"/>
        <v>4.7619047619047616E-2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8.228504854141093E-2</v>
      </c>
      <c r="D126" s="27"/>
      <c r="E126" s="265"/>
      <c r="F126" s="27"/>
      <c r="G126" s="77">
        <f t="shared" ref="G126" si="50">IF(G$4="","",G125/Market_Price)</f>
        <v>0.1047454130153042</v>
      </c>
      <c r="H126" s="77">
        <f t="shared" ref="H126" si="51">IF(H$4="","",H125/Market_Price)</f>
        <v>0.10889057881565171</v>
      </c>
      <c r="I126" s="77">
        <f t="shared" ref="I126" si="52">IF(I$4="","",I125/Market_Price)</f>
        <v>9.1323267131324312E-2</v>
      </c>
      <c r="J126" s="77">
        <f t="shared" ref="J126" si="53">IF(J$4="","",J125/Market_Price)</f>
        <v>8.7832613828676395E-2</v>
      </c>
      <c r="K126" s="77">
        <f t="shared" ref="K126" si="54">IF(K$4="","",K125/Market_Price)</f>
        <v>7.6120424346295887E-2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0.14334228532693091</v>
      </c>
      <c r="H127" s="23">
        <f>IF(H$4="","",(Data!D47*$C$3)/(Market_Price*Common_Shares))</f>
        <v>0.1042038609463402</v>
      </c>
      <c r="I127" s="23">
        <f>IF(I$4="","",(Data!E47*$C$3)/(Market_Price*Common_Shares))</f>
        <v>0.11293163192937655</v>
      </c>
      <c r="J127" s="23">
        <f>IF(J$4="","",(Data!F47*$C$3)/(Market_Price*Common_Shares))</f>
        <v>8.2513841042193198E-2</v>
      </c>
      <c r="K127" s="23">
        <f>IF(K$4="","",(Data!G47*$C$3)/(Market_Price*Common_Shares))</f>
        <v>7.0264935544798526E-2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1014514.1566621615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13526855.422162153</v>
      </c>
      <c r="D6" t="str">
        <f>Reporting_currency</f>
        <v>HKD</v>
      </c>
      <c r="E6" s="378" t="s">
        <v>245</v>
      </c>
      <c r="F6" s="378"/>
      <c r="H6" s="120"/>
    </row>
    <row r="7" spans="2:8">
      <c r="B7" s="148" t="s">
        <v>220</v>
      </c>
      <c r="C7" s="338">
        <f>BS!G31</f>
        <v>2034922</v>
      </c>
      <c r="D7" t="str">
        <f>Reporting_currency</f>
        <v>HKD</v>
      </c>
      <c r="E7" s="378"/>
      <c r="F7" s="378"/>
      <c r="H7" s="120"/>
    </row>
    <row r="8" spans="2:8">
      <c r="B8" s="148" t="s">
        <v>221</v>
      </c>
      <c r="C8" s="338">
        <f>BS!D66</f>
        <v>1050246.6606106577</v>
      </c>
      <c r="D8" t="str">
        <f>Reporting_currency</f>
        <v>HKD</v>
      </c>
      <c r="E8" s="378"/>
      <c r="F8" s="378"/>
      <c r="H8" s="120"/>
    </row>
    <row r="9" spans="2:8">
      <c r="B9" s="205" t="s">
        <v>186</v>
      </c>
      <c r="C9" s="348">
        <f>BS!H42</f>
        <v>92572.6</v>
      </c>
      <c r="D9" t="str">
        <f>Reporting_currency</f>
        <v>HKD</v>
      </c>
      <c r="E9" s="378"/>
      <c r="F9" s="378"/>
      <c r="H9" s="120"/>
    </row>
    <row r="10" spans="2:8" ht="13.15">
      <c r="B10" s="149" t="s">
        <v>223</v>
      </c>
      <c r="C10" s="347">
        <f>C6-C7+C8+C9</f>
        <v>12634752.68277281</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21.520326602297704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1.24036923941947E-2</v>
      </c>
      <c r="H16" s="120"/>
    </row>
    <row r="17" spans="2:17" ht="13.35" customHeight="1">
      <c r="B17" s="118" t="s">
        <v>130</v>
      </c>
      <c r="C17" s="162">
        <f>Scenarios!C64</f>
        <v>5</v>
      </c>
      <c r="H17" s="120"/>
    </row>
    <row r="18" spans="2:17" ht="13.35" customHeight="1">
      <c r="B18" s="153" t="s">
        <v>103</v>
      </c>
      <c r="C18" s="140">
        <f>(F52-C7+C8+C9)*Exchange_Rate/Common_Shares*scaling_factor</f>
        <v>21.970979004481553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13694638.375879399</v>
      </c>
      <c r="D51" s="139">
        <f>Terminal_Growth</f>
        <v>0</v>
      </c>
      <c r="E51" s="124">
        <f>1/(1+Equity_Cost)^C17</f>
        <v>0.69655863235011617</v>
      </c>
      <c r="F51" s="125">
        <f t="shared" si="1"/>
        <v>9539118.5776319709</v>
      </c>
      <c r="H51" s="120"/>
    </row>
    <row r="52" spans="1:17">
      <c r="C52" s="114"/>
      <c r="E52" s="127" t="s">
        <v>97</v>
      </c>
      <c r="F52" s="137">
        <f>SUM(F21:F51)</f>
        <v>13791436.985105649</v>
      </c>
      <c r="H52" s="120"/>
    </row>
    <row r="53" spans="1:17">
      <c r="C53" s="114"/>
      <c r="H53" s="120"/>
    </row>
    <row r="54" spans="1:17" ht="13.15">
      <c r="B54" s="119" t="s">
        <v>125</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798466.67599999998</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10646222.346666668</v>
      </c>
      <c r="D6" t="str">
        <f>Reporting_currency</f>
        <v>HKD</v>
      </c>
      <c r="E6" s="378"/>
      <c r="F6" s="378"/>
      <c r="H6" s="120"/>
    </row>
    <row r="7" spans="2:8" ht="13.15">
      <c r="B7" s="149" t="s">
        <v>420</v>
      </c>
      <c r="C7" s="111">
        <f>(C6*scaling_factor)/Common_Shares*Exchange_Rate</f>
        <v>18.133333333333336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1.24036923941947E-2</v>
      </c>
      <c r="H11" s="120"/>
    </row>
    <row r="12" spans="2:8" ht="13.35" customHeight="1">
      <c r="B12" s="118" t="s">
        <v>130</v>
      </c>
      <c r="C12" s="162">
        <f>Scenarios!C64</f>
        <v>5</v>
      </c>
      <c r="H12" s="120"/>
    </row>
    <row r="13" spans="2:8" ht="13.35" customHeight="1">
      <c r="B13" s="153" t="s">
        <v>103</v>
      </c>
      <c r="C13" s="140">
        <f>F47/Common_Shares*scaling_factor</f>
        <v>18.488016334295121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10778274.813814923</v>
      </c>
      <c r="D46" s="139">
        <f>Terminal_Growth</f>
        <v>0</v>
      </c>
      <c r="E46" s="124">
        <f>1/(1+Equity_Cost)^C12</f>
        <v>0.69655863235011617</v>
      </c>
      <c r="F46" s="125">
        <f t="shared" si="1"/>
        <v>7507700.363404626</v>
      </c>
      <c r="H46" s="120"/>
    </row>
    <row r="47" spans="2:8">
      <c r="C47" s="114"/>
      <c r="E47" s="127" t="s">
        <v>97</v>
      </c>
      <c r="F47" s="137">
        <f>SUM(F16:F46)</f>
        <v>10854459.52079289</v>
      </c>
      <c r="H47" s="120"/>
    </row>
    <row r="48" spans="2:8">
      <c r="C48" s="114"/>
      <c r="H48" s="120"/>
    </row>
    <row r="49" spans="1:8" ht="13.15">
      <c r="B49" s="119" t="s">
        <v>125</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126</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v>
      </c>
    </row>
    <row r="4" spans="2:9">
      <c r="B4" s="152" t="s">
        <v>142</v>
      </c>
      <c r="C4" s="120">
        <v>3</v>
      </c>
      <c r="D4" s="120"/>
      <c r="E4" s="155" t="s">
        <v>146</v>
      </c>
      <c r="F4" s="155"/>
      <c r="H4" s="247">
        <v>1</v>
      </c>
      <c r="I4" s="124">
        <f t="shared" ref="I4:I13" si="0">IF(ROW()-3 &lt; $C$76, $C$77, IF(ROW()-3 = $C$76, $C$77 + $C$60, ""))</f>
        <v>1.36</v>
      </c>
    </row>
    <row r="5" spans="2:9">
      <c r="H5" s="247">
        <v>2</v>
      </c>
      <c r="I5" s="124">
        <f t="shared" si="0"/>
        <v>1.36</v>
      </c>
    </row>
    <row r="6" spans="2:9" ht="13.15">
      <c r="B6" s="159" t="s">
        <v>92</v>
      </c>
      <c r="C6" s="107">
        <f>DCF!C3</f>
        <v>1000</v>
      </c>
      <c r="E6" s="100" t="s">
        <v>274</v>
      </c>
      <c r="F6" s="100"/>
      <c r="H6" s="247">
        <v>3</v>
      </c>
      <c r="I6" s="124">
        <f t="shared" si="0"/>
        <v>23.328758226348867</v>
      </c>
    </row>
    <row r="7" spans="2:9" ht="12.75" customHeight="1">
      <c r="B7" s="100" t="s">
        <v>270</v>
      </c>
      <c r="C7" s="338">
        <f>Normalized_FCF!G8</f>
        <v>1876773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80"/>
      <c r="H7" s="247">
        <v>4</v>
      </c>
      <c r="I7" s="124" t="str">
        <f t="shared" si="0"/>
        <v/>
      </c>
    </row>
    <row r="8" spans="2:9">
      <c r="B8" s="100" t="s">
        <v>64</v>
      </c>
      <c r="C8" s="338">
        <f>Normalized_FCF!G19</f>
        <v>1291433.9388883226</v>
      </c>
      <c r="D8" t="str">
        <f>Reporting_currency</f>
        <v>HKD</v>
      </c>
      <c r="E8" s="380"/>
      <c r="F8" s="380"/>
      <c r="H8" s="247">
        <v>5</v>
      </c>
      <c r="I8" s="124" t="str">
        <f t="shared" si="0"/>
        <v/>
      </c>
    </row>
    <row r="9" spans="2:9">
      <c r="B9" s="100" t="s">
        <v>55</v>
      </c>
      <c r="C9" s="338">
        <f>Normalized_FCF!C19</f>
        <v>1014514.1566621615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0.20035451325595277</v>
      </c>
      <c r="D12" s="158"/>
      <c r="E12" s="380"/>
      <c r="F12" s="380"/>
      <c r="H12" s="247">
        <v>9</v>
      </c>
      <c r="I12" s="124" t="str">
        <f t="shared" si="0"/>
        <v/>
      </c>
    </row>
    <row r="13" spans="2:9">
      <c r="B13" s="148" t="s">
        <v>148</v>
      </c>
      <c r="C13" s="158">
        <f ca="1">(Normalized_FCF!G8/OFFSET(Normalized_FCF!G8, 0, $C$4))^(1/$C$4) - 1</f>
        <v>0.26016796976901468</v>
      </c>
      <c r="E13" s="380"/>
      <c r="F13" s="380"/>
      <c r="H13" s="247">
        <v>10</v>
      </c>
      <c r="I13" s="124" t="str">
        <f t="shared" si="0"/>
        <v/>
      </c>
    </row>
    <row r="14" spans="2:9">
      <c r="B14" s="100" t="s">
        <v>64</v>
      </c>
      <c r="C14" s="158">
        <f ca="1">(Normalized_FCF!G19/OFFSET(Normalized_FCF!G19, 0, $C$4))^(1/$C$4) - 1</f>
        <v>6.0457013634429568E-2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21</v>
      </c>
      <c r="D21" t="str">
        <f>Market_currency</f>
        <v>HKD</v>
      </c>
      <c r="E21" s="381"/>
      <c r="F21" s="381"/>
    </row>
    <row r="22" spans="2:6">
      <c r="B22" s="100" t="s">
        <v>273</v>
      </c>
      <c r="C22" s="160">
        <f>IF(valuation_method="DCF",DCF!C12,DDM!C7)</f>
        <v>21.520326602297704</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22.250930687579032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-0.05</v>
      </c>
      <c r="D32" s="164"/>
      <c r="E32" s="379"/>
      <c r="F32" s="379"/>
    </row>
    <row r="33" spans="2:6">
      <c r="B33" s="100" t="s">
        <v>109</v>
      </c>
      <c r="C33" s="160">
        <f>IF(valuation_method="DCF",DCF!E77,DDM!E72)</f>
        <v>19.781049681312481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23.387035431722254</v>
      </c>
      <c r="D39" t="str">
        <f>Market_currency</f>
        <v>HKD</v>
      </c>
      <c r="E39" s="379"/>
      <c r="F39" s="379"/>
    </row>
    <row r="40" spans="2:6">
      <c r="B40" s="100" t="s">
        <v>143</v>
      </c>
      <c r="C40" s="167">
        <f>1-C28-C34</f>
        <v>0.2</v>
      </c>
      <c r="D40" s="165"/>
      <c r="E40" s="379"/>
      <c r="F40" s="379"/>
    </row>
    <row r="42" spans="2:6" ht="13.15">
      <c r="B42" s="100" t="s">
        <v>116</v>
      </c>
      <c r="C42" s="154">
        <f>C27*C28+C33*C34+C39*C40</f>
        <v>21.98417543515437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-0.08</v>
      </c>
      <c r="D50" s="164"/>
      <c r="E50" s="379"/>
      <c r="F50" s="379"/>
    </row>
    <row r="51" spans="2:6">
      <c r="B51" s="100" t="s">
        <v>109</v>
      </c>
      <c r="C51" s="160">
        <f>IF(valuation_method="DCF",DCF!E78,DDM!E73)</f>
        <v>16.85974867630091</v>
      </c>
      <c r="D51" t="str">
        <f>Market_currency</f>
        <v>HKD</v>
      </c>
      <c r="E51" s="379"/>
      <c r="F51" s="379"/>
    </row>
    <row r="52" spans="2:6">
      <c r="B52" s="100" t="s">
        <v>143</v>
      </c>
      <c r="C52" s="165">
        <v>0.02</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26.337741753732704</v>
      </c>
      <c r="D57" t="str">
        <f>Market_currency</f>
        <v>HKD</v>
      </c>
      <c r="E57" s="379"/>
      <c r="F57" s="379"/>
    </row>
    <row r="58" spans="2:6">
      <c r="B58" s="100" t="s">
        <v>143</v>
      </c>
      <c r="C58" s="165">
        <v>0.02</v>
      </c>
      <c r="D58" s="165"/>
      <c r="E58" s="379"/>
      <c r="F58" s="379"/>
    </row>
    <row r="60" spans="2:6" ht="13.15">
      <c r="B60" s="100" t="s">
        <v>116</v>
      </c>
      <c r="C60" s="154">
        <f>C51*C52+C57*C58+C42*(1-C52-C58)</f>
        <v>21.968758226348868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1.24036923941947E-2</v>
      </c>
      <c r="D65" s="151"/>
      <c r="E65" s="251" t="s">
        <v>304</v>
      </c>
    </row>
    <row r="66" spans="2:6">
      <c r="B66" s="100" t="s">
        <v>99</v>
      </c>
      <c r="C66" s="160">
        <f>IF(valuation_method="DCF",DCF!C18,DDM!C13)</f>
        <v>21.970979004481553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-6.9165811451050191E-2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1.36</v>
      </c>
      <c r="D77" t="str">
        <f>Market_currency</f>
        <v>HKD</v>
      </c>
    </row>
    <row r="79" spans="2:6" ht="13.15">
      <c r="B79" s="109" t="s">
        <v>296</v>
      </c>
    </row>
    <row r="80" spans="2:6">
      <c r="B80" s="148" t="s">
        <v>294</v>
      </c>
      <c r="C80" s="167">
        <f>Thesis!F29</f>
        <v>0.35</v>
      </c>
    </row>
    <row r="81" spans="2:8">
      <c r="B81" s="100" t="s">
        <v>117</v>
      </c>
      <c r="C81" s="116">
        <f>PV(C80, C76, -C77, 0)</f>
        <v>2.3063963826652443</v>
      </c>
      <c r="D81" s="116"/>
      <c r="E81" s="100"/>
      <c r="F81" s="100"/>
    </row>
    <row r="82" spans="2:8">
      <c r="B82" s="100" t="s">
        <v>118</v>
      </c>
      <c r="C82" s="116">
        <f>C60/(1+C80)^C76</f>
        <v>8.929028390529437</v>
      </c>
      <c r="D82" s="116"/>
    </row>
    <row r="83" spans="2:8" ht="13.15">
      <c r="B83" s="110" t="s">
        <v>98</v>
      </c>
      <c r="C83" s="111">
        <f>C81+C82</f>
        <v>11.235424773194682</v>
      </c>
      <c r="D83" t="str">
        <f>Market_currency</f>
        <v>HKD</v>
      </c>
      <c r="E83" s="146" t="s">
        <v>122</v>
      </c>
      <c r="F83" s="291">
        <f>(1-C83/C60)</f>
        <v>0.48857260581441742</v>
      </c>
    </row>
    <row r="84" spans="2:8">
      <c r="E84" s="120"/>
    </row>
    <row r="85" spans="2:8" ht="13.15">
      <c r="B85" s="109" t="s">
        <v>297</v>
      </c>
    </row>
    <row r="86" spans="2:8">
      <c r="B86" s="148" t="s">
        <v>295</v>
      </c>
      <c r="C86" s="116">
        <f>Market_Price</f>
        <v>21</v>
      </c>
      <c r="D86" t="str">
        <f>Market_currency</f>
        <v>HKD</v>
      </c>
    </row>
    <row r="87" spans="2:8" ht="13.15">
      <c r="B87" s="100" t="s">
        <v>293</v>
      </c>
      <c r="C87" s="237">
        <f ca="1">IRR(OFFSET($I$3, 0, 0, $C$76 + 1, 1))</f>
        <v>7.8985940428072388E-2</v>
      </c>
    </row>
    <row r="88" spans="2:8">
      <c r="B88" s="100"/>
    </row>
    <row r="89" spans="2:8" ht="13.15">
      <c r="B89" s="109" t="s">
        <v>392</v>
      </c>
    </row>
    <row r="90" spans="2:8">
      <c r="B90" s="148" t="s">
        <v>393</v>
      </c>
      <c r="C90" s="167">
        <f>Thesis!F30</f>
        <v>0.25</v>
      </c>
    </row>
    <row r="91" spans="2:8">
      <c r="B91" s="100" t="s">
        <v>117</v>
      </c>
      <c r="C91" s="116">
        <f>PV(C90, C76, -C77, 0)</f>
        <v>2.6547200000000002</v>
      </c>
      <c r="D91" s="116"/>
      <c r="E91" s="100"/>
      <c r="F91" s="100"/>
    </row>
    <row r="92" spans="2:8">
      <c r="B92" s="100" t="s">
        <v>118</v>
      </c>
      <c r="C92" s="116">
        <f>C60/(1+C90)^C76</f>
        <v>11.24800421189062</v>
      </c>
      <c r="D92" s="116"/>
    </row>
    <row r="93" spans="2:8" ht="13.15">
      <c r="B93" s="110" t="s">
        <v>98</v>
      </c>
      <c r="C93" s="111">
        <f>C91+C92</f>
        <v>13.902724211890622</v>
      </c>
      <c r="D93" t="str">
        <f>Market_currency</f>
        <v>HKD</v>
      </c>
      <c r="E93" s="146" t="s">
        <v>122</v>
      </c>
      <c r="F93" s="291">
        <f>(1-C93/C60)</f>
        <v>0.36715930556256993</v>
      </c>
    </row>
    <row r="95" spans="2:8" ht="13.15">
      <c r="B95" s="109" t="s">
        <v>378</v>
      </c>
      <c r="G95" s="2"/>
      <c r="H95" s="281"/>
    </row>
    <row r="96" spans="2:8">
      <c r="B96" s="148" t="s">
        <v>383</v>
      </c>
      <c r="C96" s="134">
        <f>Thesis!F31</f>
        <v>7.4999999999999997E-2</v>
      </c>
      <c r="G96" s="2"/>
      <c r="H96" s="281"/>
    </row>
    <row r="97" spans="2:8">
      <c r="B97" s="100" t="s">
        <v>117</v>
      </c>
      <c r="C97" s="116">
        <f>PV(C96, C76, -C77, 0)</f>
        <v>3.5367150062258652</v>
      </c>
      <c r="D97" s="116"/>
      <c r="G97" s="2"/>
      <c r="H97" s="281"/>
    </row>
    <row r="98" spans="2:8">
      <c r="B98" s="100" t="s">
        <v>118</v>
      </c>
      <c r="C98" s="116">
        <f>C60/(1+C96)^C76</f>
        <v>17.683984133300562</v>
      </c>
      <c r="D98" s="116"/>
      <c r="G98" s="2"/>
      <c r="H98" s="281"/>
    </row>
    <row r="99" spans="2:8" ht="13.15">
      <c r="B99" s="110" t="s">
        <v>379</v>
      </c>
      <c r="C99" s="111">
        <f>C97+C98</f>
        <v>21.220699139526428</v>
      </c>
      <c r="D99" t="s">
        <v>377</v>
      </c>
      <c r="E99" s="146" t="s">
        <v>122</v>
      </c>
      <c r="F99" s="291">
        <f>(1-C99/C60)</f>
        <v>3.4051040988071546E-2</v>
      </c>
    </row>
    <row r="100" spans="2:8">
      <c r="B100" s="100"/>
    </row>
    <row r="101" spans="2:8" ht="13.15">
      <c r="B101" s="109" t="s">
        <v>398</v>
      </c>
    </row>
    <row r="102" spans="2:8">
      <c r="B102" s="148" t="s">
        <v>397</v>
      </c>
      <c r="C102" s="134">
        <f>Thesis!F32</f>
        <v>0.1174</v>
      </c>
    </row>
    <row r="103" spans="2:8">
      <c r="B103" s="100" t="s">
        <v>117</v>
      </c>
      <c r="C103" s="116">
        <f>PV(C102, C76, -C77, 0)</f>
        <v>3.2811402512765628</v>
      </c>
      <c r="D103" s="116"/>
    </row>
    <row r="104" spans="2:8">
      <c r="B104" s="100" t="s">
        <v>118</v>
      </c>
      <c r="C104" s="116">
        <f>C60/(1+C102)^C76</f>
        <v>15.746335780364992</v>
      </c>
      <c r="D104" s="116"/>
    </row>
    <row r="105" spans="2:8" ht="13.15">
      <c r="B105" s="110" t="s">
        <v>379</v>
      </c>
      <c r="C105" s="111">
        <f>C103+C104</f>
        <v>19.027476031641555</v>
      </c>
      <c r="D105" t="s">
        <v>377</v>
      </c>
      <c r="E105" s="146" t="s">
        <v>122</v>
      </c>
      <c r="F105" s="291">
        <f>(1-C105/C66)</f>
        <v>0.13397231740286097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六福珠宝</v>
      </c>
    </row>
    <row r="6" spans="1:10">
      <c r="B6" s="4" t="s">
        <v>480</v>
      </c>
      <c r="C6" s="34">
        <f>Common_Shares</f>
        <v>587107850</v>
      </c>
      <c r="E6" s="48"/>
    </row>
    <row r="7" spans="1:10">
      <c r="B7" s="2" t="s">
        <v>481</v>
      </c>
      <c r="C7" s="360">
        <f>Thesis!C7</f>
        <v>12</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0590.HK</v>
      </c>
      <c r="D11" s="49"/>
      <c r="E11" s="34"/>
    </row>
    <row r="12" spans="1:10">
      <c r="B12" s="4" t="s">
        <v>484</v>
      </c>
      <c r="C12" s="366">
        <f>Market_Price</f>
        <v>21</v>
      </c>
      <c r="D12" s="50"/>
      <c r="E12" s="48"/>
    </row>
    <row r="13" spans="1:10">
      <c r="B13" s="1" t="s">
        <v>485</v>
      </c>
      <c r="C13" s="32" t="str">
        <f>Market_currency</f>
        <v>HKD</v>
      </c>
      <c r="D13" s="48"/>
      <c r="E13" s="5"/>
    </row>
    <row r="14" spans="1:10">
      <c r="B14" s="4" t="s">
        <v>486</v>
      </c>
      <c r="C14" s="35">
        <f>投资主题!C12*Common_Shares/1000000</f>
        <v>12329.26485</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21.968758226348868</v>
      </c>
      <c r="D26" s="1" t="s">
        <v>446</v>
      </c>
      <c r="E26" s="301">
        <f ca="1">Scenarios!C87</f>
        <v>7.8985940428072388E-2</v>
      </c>
    </row>
    <row r="27" spans="2:6">
      <c r="D27" s="5"/>
      <c r="E27" s="5"/>
    </row>
    <row r="28" spans="2:6">
      <c r="B28" s="45" t="s">
        <v>448</v>
      </c>
      <c r="C28" s="309" t="str">
        <f>C145&amp;" ("&amp;Market_currency&amp;")"</f>
        <v>0590.HK (HKD)</v>
      </c>
      <c r="D28" s="309" t="str">
        <f>IF(D11="","",D145&amp;" ("&amp;D13&amp;")")</f>
        <v/>
      </c>
      <c r="E28" s="305" t="s">
        <v>453</v>
      </c>
      <c r="F28" s="361">
        <f>Thesis!F28</f>
        <v>3</v>
      </c>
    </row>
    <row r="29" spans="2:6">
      <c r="B29" s="1" t="s">
        <v>449</v>
      </c>
      <c r="C29" s="310">
        <f>C149</f>
        <v>11.235424773194682</v>
      </c>
      <c r="D29" s="310" t="str">
        <f>D149</f>
        <v/>
      </c>
      <c r="E29" s="306" t="s">
        <v>455</v>
      </c>
      <c r="F29" s="362">
        <f>Thesis!F29</f>
        <v>0.35</v>
      </c>
    </row>
    <row r="30" spans="2:6">
      <c r="B30" s="1" t="s">
        <v>450</v>
      </c>
      <c r="C30" s="311">
        <f>C157</f>
        <v>13.902724211890622</v>
      </c>
      <c r="D30" s="311" t="str">
        <f>D157</f>
        <v/>
      </c>
      <c r="E30" s="307" t="s">
        <v>454</v>
      </c>
      <c r="F30" s="224">
        <f>Thesis!F30</f>
        <v>0.25</v>
      </c>
    </row>
    <row r="31" spans="2:6">
      <c r="B31" s="1" t="s">
        <v>451</v>
      </c>
      <c r="C31" s="311">
        <f>C165</f>
        <v>21.220699139526428</v>
      </c>
      <c r="D31" s="311" t="str">
        <f>D165</f>
        <v/>
      </c>
      <c r="E31" s="307" t="s">
        <v>491</v>
      </c>
      <c r="F31" s="224">
        <f>Thesis!F31</f>
        <v>7.4999999999999997E-2</v>
      </c>
    </row>
    <row r="32" spans="2:6">
      <c r="B32" s="1" t="s">
        <v>452</v>
      </c>
      <c r="C32" s="311">
        <f>C173</f>
        <v>19.027476031641555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v>
      </c>
    </row>
    <row r="40" spans="1:6">
      <c r="B40" s="373" t="s">
        <v>494</v>
      </c>
      <c r="C40" s="373"/>
      <c r="D40" s="373"/>
      <c r="E40" s="373"/>
      <c r="F40" s="373"/>
    </row>
    <row r="41" spans="1:6">
      <c r="B41" s="47" t="s">
        <v>228</v>
      </c>
      <c r="C41" s="349">
        <f>Normalized_FCF!C8</f>
        <v>1398534.6033278927</v>
      </c>
      <c r="D41" s="1" t="str">
        <f>Reporting_currency</f>
        <v>HKD</v>
      </c>
    </row>
    <row r="42" spans="1:6">
      <c r="B42" s="47"/>
      <c r="C42" s="76"/>
    </row>
    <row r="43" spans="1:6" ht="24.6" customHeight="1">
      <c r="B43" s="373" t="s">
        <v>495</v>
      </c>
      <c r="C43" s="373"/>
      <c r="D43" s="373"/>
      <c r="E43" s="373"/>
      <c r="F43" s="373"/>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3" t="s">
        <v>496</v>
      </c>
      <c r="C47" s="373"/>
      <c r="D47" s="373"/>
      <c r="E47" s="373"/>
      <c r="F47" s="373"/>
    </row>
    <row r="48" spans="1:6">
      <c r="B48" s="47" t="s">
        <v>233</v>
      </c>
      <c r="C48" s="349">
        <f>Normalized_FCF!C11</f>
        <v>0</v>
      </c>
      <c r="D48" s="1" t="str">
        <f>Reporting_currency</f>
        <v>HKD</v>
      </c>
    </row>
    <row r="50" spans="2:6">
      <c r="B50" s="373" t="s">
        <v>497</v>
      </c>
      <c r="C50" s="373"/>
      <c r="D50" s="373"/>
      <c r="E50" s="373"/>
      <c r="F50" s="373"/>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498</v>
      </c>
    </row>
    <row r="56" spans="2:6">
      <c r="B56" s="47" t="s">
        <v>261</v>
      </c>
      <c r="C56" s="349">
        <f>Normalized_FCF!C15</f>
        <v>0</v>
      </c>
      <c r="D56" s="1" t="str">
        <f>Reporting_currency</f>
        <v>HKD</v>
      </c>
    </row>
    <row r="58" spans="2:6">
      <c r="B58" s="373" t="s">
        <v>237</v>
      </c>
      <c r="C58" s="373"/>
      <c r="D58" s="373"/>
      <c r="E58" s="373"/>
      <c r="F58" s="373"/>
    </row>
    <row r="59" spans="2:6">
      <c r="B59" s="47" t="s">
        <v>235</v>
      </c>
      <c r="C59" s="349">
        <f>Normalized_FCF!C14</f>
        <v>-338171.38555405382</v>
      </c>
      <c r="D59" s="1" t="str">
        <f>Reporting_currency</f>
        <v>HKD</v>
      </c>
    </row>
    <row r="61" spans="2:6">
      <c r="B61" s="373" t="s">
        <v>499</v>
      </c>
      <c r="C61" s="374"/>
      <c r="D61" s="374"/>
      <c r="E61" s="374"/>
      <c r="F61" s="374"/>
    </row>
    <row r="62" spans="2:6">
      <c r="B62" s="47" t="s">
        <v>238</v>
      </c>
      <c r="C62" s="349">
        <f>Normalized_FCF!C17</f>
        <v>0</v>
      </c>
      <c r="D62" s="1" t="str">
        <f>Reporting_currency</f>
        <v>HKD</v>
      </c>
    </row>
    <row r="64" spans="2:6">
      <c r="B64" s="372" t="s">
        <v>500</v>
      </c>
      <c r="C64" s="372"/>
      <c r="D64" s="372"/>
      <c r="E64" s="372"/>
      <c r="F64" s="372"/>
    </row>
    <row r="65" spans="1:6">
      <c r="B65" s="372" t="s">
        <v>501</v>
      </c>
      <c r="C65" s="372"/>
      <c r="D65" s="372"/>
      <c r="E65" s="372"/>
      <c r="F65" s="372"/>
    </row>
    <row r="67" spans="1:6">
      <c r="B67" s="47" t="s">
        <v>502</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8.228504854141093E-2</v>
      </c>
      <c r="F69" s="314"/>
    </row>
    <row r="70" spans="1:6">
      <c r="B70" s="227" t="s">
        <v>434</v>
      </c>
      <c r="C70" s="92">
        <f>Normalized_FCF!C94</f>
        <v>6.4761904761904771E-2</v>
      </c>
      <c r="E70" s="47" t="s">
        <v>503</v>
      </c>
      <c r="F70" s="315">
        <f>Normalized_FCF!C92</f>
        <v>0.7870434047239161</v>
      </c>
    </row>
    <row r="72" spans="1:6">
      <c r="B72" s="210" t="s">
        <v>513</v>
      </c>
      <c r="C72" s="323" t="s">
        <v>429</v>
      </c>
      <c r="D72" s="323" t="s">
        <v>504</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23.03981359159506</v>
      </c>
      <c r="D93" s="1" t="str">
        <f>Market_currency</f>
        <v>HKD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514</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515</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c r="B116" s="372" t="s">
        <v>516</v>
      </c>
      <c r="C116" s="372"/>
      <c r="D116" s="372"/>
      <c r="E116" s="372"/>
      <c r="F116" s="372"/>
    </row>
    <row r="118" spans="1:6">
      <c r="B118" s="47" t="s">
        <v>517</v>
      </c>
      <c r="C118" s="223">
        <f>IF(valuation_method="DCF",DCF!C12,DDM!C7)</f>
        <v>21.520326602297704</v>
      </c>
      <c r="D118" s="1" t="str">
        <f>Market_currency</f>
        <v>HKD</v>
      </c>
    </row>
    <row r="119" spans="1:6">
      <c r="B119" s="296" t="s">
        <v>550</v>
      </c>
      <c r="C119" s="223">
        <f>BS!D47</f>
        <v>5.8696003638854428</v>
      </c>
      <c r="D119" s="1" t="str">
        <f>Market_currency</f>
        <v>HKD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1.36</v>
      </c>
      <c r="D143" s="212" t="str">
        <f>Market_currency</f>
        <v>HKD</v>
      </c>
    </row>
    <row r="145" spans="2:4">
      <c r="B145" s="210" t="s">
        <v>531</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532</v>
      </c>
      <c r="C150" s="298" t="str">
        <f>Market_currency</f>
        <v>HKD</v>
      </c>
      <c r="D150" s="298" t="str">
        <f>IF($D$11="","",D$13)</f>
        <v/>
      </c>
    </row>
    <row r="151" spans="2:4">
      <c r="B151" s="214" t="s">
        <v>533</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532</v>
      </c>
      <c r="C158" s="298" t="str">
        <f>Market_currency</f>
        <v>HKD</v>
      </c>
      <c r="D158" s="298" t="str">
        <f>IF($D$11="","",D$13)</f>
        <v/>
      </c>
    </row>
    <row r="159" spans="2:4">
      <c r="B159" s="214" t="s">
        <v>533</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532</v>
      </c>
      <c r="C166" s="298" t="str">
        <f>Market_currency</f>
        <v>HKD</v>
      </c>
      <c r="D166" s="298" t="str">
        <f>IF($D$11="","",D$13)</f>
        <v/>
      </c>
    </row>
    <row r="167" spans="2:4">
      <c r="B167" s="214" t="s">
        <v>533</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532</v>
      </c>
      <c r="C174" s="298" t="str">
        <f>Market_currency</f>
        <v>HKD</v>
      </c>
      <c r="D174" s="298" t="str">
        <f>IF($D$11="","",D$13)</f>
        <v/>
      </c>
    </row>
    <row r="175" spans="2:4">
      <c r="B175" s="214" t="s">
        <v>533</v>
      </c>
      <c r="C175" s="92">
        <f>Scenarios!F105</f>
        <v>0.13397231740286097</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25A983-6D95-44B3-8FB7-2C2DC82A8F5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2025-08-06T08:50:53Z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