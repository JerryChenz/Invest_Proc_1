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25DF7AD-85F0-45A9-81FA-C1C47E69151B}"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<sst xmlns="http://schemas.openxmlformats.org/spreadsheetml/2006/main" count="836" uniqueCount="560">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</sst>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20.46</v>
      </c>
      <c r="D12" s="50"/>
      <c r="E12" s="48"/>
    </row>
    <row r="13" spans="1:10">
      <c r="B13" s="1" t="s">
        <v>485</v>
      </c>
      <c r="C13" s="32" t="str">
        <f>Market_currency</f>
        <v>HKD</v>
      </c>
      <c r="D13" s="48"/>
      <c r="E13" s="5"/>
    </row>
    <row r="14" spans="1:10">
      <c r="B14" s="4" t="s">
        <v>486</v>
      </c>
      <c r="C14" s="35">
        <f>投资主题!C12*Common_Shares/1000000</f>
        <v>12012.226611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8.8988551616408396E-2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8.445679469059772E-2</v>
      </c>
      <c r="F69" s="314"/>
    </row>
    <row r="70" spans="1:6">
      <c r="B70" s="227" t="s">
        <v>434</v>
      </c>
      <c r="C70" s="92">
        <f>Normalized_FCF!C94</f>
        <v>6.647116324535679E-2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4" t="s">
        <v>516</v>
      </c>
      <c r="C116" s="374"/>
      <c r="D116" s="374"/>
      <c r="E116" s="374"/>
      <c r="F116" s="374"/>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20.46</v>
      </c>
      <c r="D12" s="50"/>
      <c r="E12" s="48"/>
    </row>
    <row r="13" spans="1:10">
      <c r="B13" s="1" t="s">
        <v>464</v>
      </c>
      <c r="C13" s="48" t="s">
        <v>377</v>
      </c>
      <c r="D13" s="48"/>
      <c r="E13" s="5"/>
    </row>
    <row r="14" spans="1:10">
      <c r="B14" s="4" t="s">
        <v>465</v>
      </c>
      <c r="C14" s="35">
        <f>Thesis!C12*Common_Shares/1000000</f>
        <v>12012.226611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8.8988551616408396E-2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8.445679469059772E-2</v>
      </c>
      <c r="F69" s="314"/>
    </row>
    <row r="70" spans="1:6">
      <c r="B70" s="227" t="s">
        <v>434</v>
      </c>
      <c r="C70" s="92">
        <f>Normalized_FCF!C94</f>
        <v>6.647116324535679E-2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4" t="s">
        <v>352</v>
      </c>
      <c r="C116" s="374"/>
      <c r="D116" s="374"/>
      <c r="E116" s="374"/>
      <c r="F116" s="374"/>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6.647116324535679E-2</v>
      </c>
      <c r="E94" s="268"/>
      <c r="G94" s="23">
        <f t="shared" ref="G94:Q94" si="39">IF(G$4="","",(G90*(1-dividend_tax_rate))/Market_Price)</f>
        <v>6.647116324535679E-2</v>
      </c>
      <c r="H94" s="23">
        <f t="shared" si="39"/>
        <v>5.3763440860215055E-2</v>
      </c>
      <c r="I94" s="23">
        <f t="shared" si="39"/>
        <v>5.3763440860215055E-2</v>
      </c>
      <c r="J94" s="23">
        <f t="shared" si="39"/>
        <v>4.8875855327468229E-2</v>
      </c>
      <c r="K94" s="23">
        <f t="shared" si="39"/>
        <v>4.8875855327468229E-2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8.445679469059772E-2</v>
      </c>
      <c r="D126" s="27"/>
      <c r="E126" s="265"/>
      <c r="F126" s="27"/>
      <c r="G126" s="77">
        <f t="shared" ref="G126" si="50">IF(G$4="","",G125/Market_Price)</f>
        <v>0.10750995470779022</v>
      </c>
      <c r="H126" s="77">
        <f t="shared" ref="H126" si="51">IF(H$4="","",H125/Market_Price)</f>
        <v>0.11176452371107946</v>
      </c>
      <c r="I126" s="77">
        <f t="shared" ref="I126" si="52">IF(I$4="","",I125/Market_Price)</f>
        <v>9.3733558639189168E-2</v>
      </c>
      <c r="J126" s="77">
        <f t="shared" ref="J126" si="53">IF(J$4="","",J125/Market_Price)</f>
        <v>9.0150776656999235E-2</v>
      </c>
      <c r="K126" s="77">
        <f t="shared" ref="K126" si="54">IF(K$4="","",K125/Market_Price)</f>
        <v>7.8129467804116004E-2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0.14712551279890268</v>
      </c>
      <c r="H127" s="23">
        <f>IF(H$4="","",(Data!D47*$C$3)/(Market_Price*Common_Shares))</f>
        <v>0.10695410947571575</v>
      </c>
      <c r="I127" s="23">
        <f>IF(I$4="","",(Data!E47*$C$3)/(Market_Price*Common_Shares))</f>
        <v>0.1159122321855771</v>
      </c>
      <c r="J127" s="23">
        <f>IF(J$4="","",(Data!F47*$C$3)/(Market_Price*Common_Shares))</f>
        <v>8.4691625703130852E-2</v>
      </c>
      <c r="K127" s="23">
        <f>IF(K$4="","",(Data!G47*$C$3)/(Market_Price*Common_Shares))</f>
        <v>7.211943530991051E-2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-20.46</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20.46</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20.46</v>
      </c>
      <c r="D86" t="str">
        <f>Market_currency</f>
        <v>HKD</v>
      </c>
    </row>
    <row r="87" spans="2:8" ht="13.15">
      <c r="B87" s="100" t="s">
        <v>293</v>
      </c>
      <c r="C87" s="237">
        <f ca="1">IRR(OFFSET($I$3, 0, 0, $C$76 + 1, 1))</f>
        <v>8.8988551616408396E-2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