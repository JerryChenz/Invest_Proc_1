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6004FD-8A5D-4791-8BFE-10DF2383F383}"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2" i="2"/>
  <c r="O94" i="2"/>
  <c r="Q92" i="2"/>
  <c r="Q94" i="2"/>
  <c r="C44" i="6"/>
  <c r="C44" i="12"/>
  <c r="J94" i="2"/>
  <c r="K94" i="2"/>
  <c r="N92" i="2"/>
  <c r="N94" i="2"/>
  <c r="P92" i="2"/>
  <c r="P94" i="2"/>
  <c r="L92" i="2"/>
  <c r="L94" i="2"/>
  <c r="I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<sst xmlns="http://schemas.openxmlformats.org/spreadsheetml/2006/main" count="836" uniqueCount="560">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</sst>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DE6F388-8499-487A-A3A3-CCC2E0FD7E9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587107850</v>
          </cell>
        </row>
        <row r="12">
          <cell r="C12">
            <v>20.52</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24.78</v>
      </c>
      <c r="D12" s="50"/>
      <c r="E12" s="48"/>
    </row>
    <row r="13" spans="1:10">
      <c r="B13" s="1" t="s">
        <v>464</v>
      </c>
      <c r="C13" s="48" t="s">
        <v>377</v>
      </c>
      <c r="D13" s="48"/>
      <c r="E13" s="5"/>
    </row>
    <row r="14" spans="1:10">
      <c r="B14" s="4" t="s">
        <v>465</v>
      </c>
      <c r="C14" s="35">
        <f>Thesis!C12*Common_Shares/1000000</f>
        <v>14548.532523</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1.7729572409298955E-2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1398534.6033278927</v>
      </c>
      <c r="D41" s="1" t="str">
        <f>Reporting_currency</f>
        <v>HKD</v>
      </c>
    </row>
    <row r="42" spans="1:6">
      <c r="B42" s="47"/>
      <c r="C42" s="76"/>
    </row>
    <row r="43" spans="1:6" ht="24.6" customHeight="1">
      <c r="B43" s="371" t="s">
        <v>229</v>
      </c>
      <c r="C43" s="371"/>
      <c r="D43" s="371"/>
      <c r="E43" s="371"/>
      <c r="F43" s="371"/>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1" t="s">
        <v>232</v>
      </c>
      <c r="C47" s="371"/>
      <c r="D47" s="371"/>
      <c r="E47" s="371"/>
      <c r="F47" s="371"/>
    </row>
    <row r="48" spans="1:6">
      <c r="B48" s="47" t="s">
        <v>233</v>
      </c>
      <c r="C48" s="349">
        <f>Normalized_FCF!C11</f>
        <v>0</v>
      </c>
      <c r="D48" s="1" t="str">
        <f>Reporting_currency</f>
        <v>HKD</v>
      </c>
    </row>
    <row r="50" spans="2:6">
      <c r="B50" s="371" t="s">
        <v>236</v>
      </c>
      <c r="C50" s="371"/>
      <c r="D50" s="371"/>
      <c r="E50" s="371"/>
      <c r="F50" s="371"/>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1" t="s">
        <v>237</v>
      </c>
      <c r="C58" s="371"/>
      <c r="D58" s="371"/>
      <c r="E58" s="371"/>
      <c r="F58" s="371"/>
    </row>
    <row r="59" spans="2:6">
      <c r="B59" s="47" t="s">
        <v>235</v>
      </c>
      <c r="C59" s="349">
        <f>Normalized_FCF!C14</f>
        <v>-338171.38555405382</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6.9733091984246542E-2</v>
      </c>
      <c r="F69" s="314"/>
    </row>
    <row r="70" spans="1:6">
      <c r="B70" s="227" t="s">
        <v>434</v>
      </c>
      <c r="C70" s="92">
        <f>Normalized_FCF!C94</f>
        <v>5.4882970137207429E-2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0" t="s">
        <v>352</v>
      </c>
      <c r="C116" s="370"/>
      <c r="D116" s="370"/>
      <c r="E116" s="370"/>
      <c r="F116" s="370"/>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5.4882970137207429E-2</v>
      </c>
      <c r="E94" s="268"/>
      <c r="G94" s="23">
        <f t="shared" ref="G94:Q94" si="39">IF(G$4="","",(G90*(1-dividend_tax_rate))/Market_Price)</f>
        <v>5.4882970137207429E-2</v>
      </c>
      <c r="H94" s="23">
        <f t="shared" si="39"/>
        <v>4.4390637610976592E-2</v>
      </c>
      <c r="I94" s="23">
        <f t="shared" si="39"/>
        <v>4.4390637610976592E-2</v>
      </c>
      <c r="J94" s="23">
        <f t="shared" si="39"/>
        <v>4.0355125100887811E-2</v>
      </c>
      <c r="K94" s="23">
        <f t="shared" si="39"/>
        <v>4.0355125100887811E-2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6.9733091984246542E-2</v>
      </c>
      <c r="D126" s="27"/>
      <c r="E126" s="265"/>
      <c r="F126" s="27"/>
      <c r="G126" s="77">
        <f t="shared" ref="G126" si="50">IF(G$4="","",G125/Market_Price)</f>
        <v>8.8767299165512029E-2</v>
      </c>
      <c r="H126" s="77">
        <f t="shared" ref="H126" si="51">IF(H$4="","",H125/Market_Price)</f>
        <v>9.2280151538687891E-2</v>
      </c>
      <c r="I126" s="77">
        <f t="shared" ref="I126" si="52">IF(I$4="","",I125/Market_Price)</f>
        <v>7.7392599263834155E-2</v>
      </c>
      <c r="J126" s="77">
        <f t="shared" ref="J126" si="53">IF(J$4="","",J125/Market_Price)</f>
        <v>7.4434418498878302E-2</v>
      </c>
      <c r="K126" s="77">
        <f t="shared" ref="K126" si="54">IF(K$4="","",K125/Market_Price)</f>
        <v>6.4508834191776179E-2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0.12147651298892449</v>
      </c>
      <c r="H127" s="23">
        <f>IF(H$4="","",(Data!D47*$C$3)/(Market_Price*Common_Shares))</f>
        <v>8.8308356734186619E-2</v>
      </c>
      <c r="I127" s="23">
        <f>IF(I$4="","",(Data!E47*$C$3)/(Market_Price*Common_Shares))</f>
        <v>9.5704772821505552E-2</v>
      </c>
      <c r="J127" s="23">
        <f>IF(J$4="","",(Data!F47*$C$3)/(Market_Price*Common_Shares))</f>
        <v>6.9926983934062034E-2</v>
      </c>
      <c r="K127" s="23">
        <f>IF(K$4="","",(Data!G47*$C$3)/(Market_Price*Common_Shares))</f>
        <v>5.9546555546439423E-2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-24.78</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24.78</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24.78</v>
      </c>
      <c r="D86" t="str">
        <f>Market_currency</f>
        <v>HKD</v>
      </c>
    </row>
    <row r="87" spans="2:8" ht="13.15">
      <c r="B87" s="100" t="s">
        <v>293</v>
      </c>
      <c r="C87" s="237">
        <f ca="1">IRR(OFFSET($I$3, 0, 0, $C$76 + 1, 1))</f>
        <v>1.7729572409298955E-2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24.78</v>
      </c>
      <c r="D12" s="50"/>
      <c r="E12" s="48"/>
    </row>
    <row r="13" spans="1:10">
      <c r="B13" s="1" t="s">
        <v>485</v>
      </c>
      <c r="C13" s="32" t="str">
        <f>Market_currency</f>
        <v>HKD</v>
      </c>
      <c r="D13" s="48"/>
      <c r="E13" s="5"/>
    </row>
    <row r="14" spans="1:10">
      <c r="B14" s="4" t="s">
        <v>486</v>
      </c>
      <c r="C14" s="35">
        <f>投资主题!C12*Common_Shares/1000000</f>
        <v>14548.532523</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1.7729572409298955E-2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v>
      </c>
    </row>
    <row r="40" spans="1:6">
      <c r="B40" s="371" t="s">
        <v>494</v>
      </c>
      <c r="C40" s="371"/>
      <c r="D40" s="371"/>
      <c r="E40" s="371"/>
      <c r="F40" s="371"/>
    </row>
    <row r="41" spans="1:6">
      <c r="B41" s="47" t="s">
        <v>228</v>
      </c>
      <c r="C41" s="349">
        <f>Normalized_FCF!C8</f>
        <v>1398534.6033278927</v>
      </c>
      <c r="D41" s="1" t="str">
        <f>Reporting_currency</f>
        <v>HKD</v>
      </c>
    </row>
    <row r="42" spans="1:6">
      <c r="B42" s="47"/>
      <c r="C42" s="76"/>
    </row>
    <row r="43" spans="1:6" ht="24.6" customHeight="1">
      <c r="B43" s="371" t="s">
        <v>495</v>
      </c>
      <c r="C43" s="371"/>
      <c r="D43" s="371"/>
      <c r="E43" s="371"/>
      <c r="F43" s="371"/>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1" t="s">
        <v>496</v>
      </c>
      <c r="C47" s="371"/>
      <c r="D47" s="371"/>
      <c r="E47" s="371"/>
      <c r="F47" s="371"/>
    </row>
    <row r="48" spans="1:6">
      <c r="B48" s="47" t="s">
        <v>233</v>
      </c>
      <c r="C48" s="349">
        <f>Normalized_FCF!C11</f>
        <v>0</v>
      </c>
      <c r="D48" s="1" t="str">
        <f>Reporting_currency</f>
        <v>HKD</v>
      </c>
    </row>
    <row r="50" spans="2:6">
      <c r="B50" s="371" t="s">
        <v>497</v>
      </c>
      <c r="C50" s="371"/>
      <c r="D50" s="371"/>
      <c r="E50" s="371"/>
      <c r="F50" s="371"/>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1" t="s">
        <v>237</v>
      </c>
      <c r="C58" s="371"/>
      <c r="D58" s="371"/>
      <c r="E58" s="371"/>
      <c r="F58" s="371"/>
    </row>
    <row r="59" spans="2:6">
      <c r="B59" s="47" t="s">
        <v>235</v>
      </c>
      <c r="C59" s="349">
        <f>Normalized_FCF!C14</f>
        <v>-338171.38555405382</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6.9733091984246542E-2</v>
      </c>
      <c r="F69" s="314"/>
    </row>
    <row r="70" spans="1:6">
      <c r="B70" s="227" t="s">
        <v>434</v>
      </c>
      <c r="C70" s="92">
        <f>Normalized_FCF!C94</f>
        <v>5.4882970137207429E-2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0" t="s">
        <v>516</v>
      </c>
      <c r="C116" s="370"/>
      <c r="D116" s="370"/>
      <c r="E116" s="370"/>
      <c r="F116" s="370"/>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25A983-6D95-44B3-8FB7-2C2DC82A8F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