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12E14B7-9A07-4DE2-B43A-4778637D64FF}"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62" i="4"/>
  <c r="E62" i="4"/>
  <c r="F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D68" i="8"/>
  <c r="F70" i="8"/>
  <c r="E67" i="8"/>
  <c r="B70" i="8"/>
  <c r="C66" i="8"/>
  <c r="E70" i="8"/>
  <c r="F71" i="8"/>
  <c r="E69" i="8"/>
  <c r="C69" i="8"/>
  <c r="B68" i="8"/>
  <c r="B67" i="8"/>
  <c r="D66" i="8"/>
  <c r="B66" i="8"/>
  <c r="G54" i="2"/>
  <c r="E66" i="8" l="1"/>
  <c r="F69" i="8"/>
  <c r="C70" i="8"/>
  <c r="C71" i="8"/>
  <c r="C68"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<sst xmlns="http://schemas.openxmlformats.org/spreadsheetml/2006/main" count="626" uniqueCount="439">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</sst>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587107850</v>
      </c>
      <c r="E6" s="48"/>
    </row>
    <row r="7" spans="1:10">
      <c r="B7" s="2" t="s">
        <v>314</v>
      </c>
      <c r="C7" s="279">
        <v>12</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17.64</v>
      </c>
      <c r="D12" s="50"/>
      <c r="E12" s="48"/>
    </row>
    <row r="13" spans="1:10">
      <c r="B13" s="1" t="s">
        <v>425</v>
      </c>
      <c r="C13" s="48" t="s">
        <v>404</v>
      </c>
      <c r="D13" s="48"/>
      <c r="E13" s="5"/>
    </row>
    <row r="14" spans="1:10">
      <c r="B14" s="4" t="s">
        <v>429</v>
      </c>
      <c r="C14" s="35">
        <f>Thesis!C12*Common_Shares/1000000</f>
        <v>10356.582474000001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9.6350511887729162</v>
      </c>
      <c r="D25" s="1" t="s">
        <v>315</v>
      </c>
      <c r="E25" s="330">
        <v>3</v>
      </c>
    </row>
    <row r="26" spans="1:6">
      <c r="B26" s="1" t="s">
        <v>407</v>
      </c>
      <c r="C26" s="280">
        <f ca="1">Scenarios!C87</f>
        <v>0.12506237700703315</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1398534.6033278927</v>
      </c>
      <c r="D35" s="1" t="str">
        <f>Reporting_currency</f>
        <v>HKD</v>
      </c>
    </row>
    <row r="36" spans="2:6">
      <c r="B36" s="47"/>
      <c r="C36" s="76"/>
    </row>
    <row r="37" spans="2:6" ht="24.4" customHeight="1">
      <c r="B37" s="344" t="s">
        <v>234</v>
      </c>
      <c r="C37" s="344"/>
      <c r="D37" s="344"/>
      <c r="E37" s="344"/>
      <c r="F37" s="344"/>
    </row>
    <row r="38" spans="2:6">
      <c r="B38" s="47" t="s">
        <v>235</v>
      </c>
      <c r="C38" s="188">
        <f>Normalized_FCF!C9</f>
        <v>463424</v>
      </c>
      <c r="D38" s="1" t="str">
        <f>Reporting_currency</f>
        <v>HKD</v>
      </c>
    </row>
    <row r="39" spans="2:6">
      <c r="B39" s="52" t="s">
        <v>236</v>
      </c>
      <c r="C39" s="188">
        <f>Normalized_FCF!C10</f>
        <v>-463424.00000000006</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13746.938888322537</v>
      </c>
      <c r="D45" s="1" t="str">
        <f>Reporting_currency</f>
        <v>HKD</v>
      </c>
      <c r="E45" s="321"/>
      <c r="F45" s="321"/>
    </row>
    <row r="46" spans="2:6">
      <c r="B46" s="47" t="s">
        <v>349</v>
      </c>
      <c r="C46" s="322">
        <f>Normalized_FCF!C47</f>
        <v>-59596</v>
      </c>
      <c r="D46" s="1" t="str">
        <f>Reporting_currency</f>
        <v>HKD</v>
      </c>
      <c r="E46" s="321"/>
      <c r="F46" s="321"/>
    </row>
    <row r="47" spans="2:6">
      <c r="B47" s="47" t="s">
        <v>239</v>
      </c>
      <c r="C47" s="188">
        <f>Normalized_FCF!C12</f>
        <v>-45849.061111677467</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-338171.38555405382</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1291433.9388883226</v>
      </c>
      <c r="D61" s="1" t="str">
        <f>Reporting_currency</f>
        <v>HKD</v>
      </c>
    </row>
    <row r="62" spans="2:6">
      <c r="B62" s="47" t="s">
        <v>249</v>
      </c>
      <c r="C62" s="188">
        <f>Normalized_FCF!C19</f>
        <v>1014514.1566621615</v>
      </c>
      <c r="D62" s="1" t="str">
        <f>Reporting_currency</f>
        <v>HKD</v>
      </c>
    </row>
    <row r="63" spans="2:6">
      <c r="B63" s="254" t="s">
        <v>398</v>
      </c>
      <c r="C63" s="92">
        <f>Normalized_FCF!C125</f>
        <v>9.7958391120727295E-2</v>
      </c>
    </row>
    <row r="64" spans="2:6">
      <c r="B64" s="254" t="s">
        <v>316</v>
      </c>
      <c r="C64" s="92">
        <f>Normalized_FCF!C93</f>
        <v>7.7097505668934238E-2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21.599825242120371</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2034922</v>
      </c>
      <c r="D91" s="1" t="str">
        <f>Reporting_currency</f>
        <v>HKD</v>
      </c>
    </row>
    <row r="92" spans="1:6">
      <c r="B92" s="47" t="s">
        <v>285</v>
      </c>
      <c r="C92" s="248">
        <f>C91*scaling_factor*Exchange_Rate/Common_Shares</f>
        <v>3.4660105464438944</v>
      </c>
      <c r="D92" s="1" t="str">
        <f>Market_currency</f>
        <v>HKD</v>
      </c>
    </row>
    <row r="93" spans="1:6">
      <c r="B93" s="336" t="s">
        <v>412</v>
      </c>
      <c r="C93" s="337">
        <f>BS!G30/BS!G27</f>
        <v>0.31018327415220487</v>
      </c>
    </row>
    <row r="94" spans="1:6">
      <c r="B94" s="336" t="s">
        <v>413</v>
      </c>
      <c r="C94" s="337">
        <f>BS!G31/BS!G27</f>
        <v>0.15818859882129041</v>
      </c>
    </row>
    <row r="95" spans="1:6">
      <c r="B95" s="336" t="s">
        <v>415</v>
      </c>
      <c r="C95" s="338">
        <f>BS!C50</f>
        <v>1.4550387206421544</v>
      </c>
    </row>
    <row r="97" spans="1:6">
      <c r="B97" s="1" t="s">
        <v>255</v>
      </c>
    </row>
    <row r="98" spans="1:6">
      <c r="B98" s="47" t="s">
        <v>265</v>
      </c>
      <c r="C98" s="188">
        <f>BS!C66</f>
        <v>1998219</v>
      </c>
      <c r="D98" s="1" t="str">
        <f>Reporting_currency</f>
        <v>HKD</v>
      </c>
    </row>
    <row r="99" spans="1:6">
      <c r="B99" s="47" t="s">
        <v>267</v>
      </c>
      <c r="C99" s="188">
        <f>Valuation_Model!C8</f>
        <v>1050246.6606106577</v>
      </c>
      <c r="D99" s="1" t="str">
        <f>Reporting_currency</f>
        <v>HKD</v>
      </c>
    </row>
    <row r="100" spans="1:6">
      <c r="B100" s="47" t="s">
        <v>286</v>
      </c>
      <c r="C100" s="248">
        <f>C99*scaling_factor*Exchange_Rate/Common_Shares</f>
        <v>1.7888479273623368</v>
      </c>
      <c r="D100" s="1" t="str">
        <f>Market_currency</f>
        <v>HKD</v>
      </c>
    </row>
    <row r="102" spans="1:6">
      <c r="B102" s="1" t="s">
        <v>257</v>
      </c>
    </row>
    <row r="103" spans="1:6">
      <c r="B103" s="47" t="s">
        <v>258</v>
      </c>
      <c r="C103" s="188">
        <f>Valuation_Model!C9</f>
        <v>92572.6</v>
      </c>
      <c r="D103" s="1" t="str">
        <f>Reporting_currency</f>
        <v>HKD</v>
      </c>
    </row>
    <row r="104" spans="1:6">
      <c r="B104" s="47" t="s">
        <v>287</v>
      </c>
      <c r="C104" s="248">
        <f>C103*scaling_factor*Exchange_Rate/Common_Shares</f>
        <v>0.15767562978420405</v>
      </c>
      <c r="D104" s="1" t="str">
        <f>Market_currency</f>
        <v>HKD</v>
      </c>
    </row>
    <row r="106" spans="1:6" ht="24.4" customHeight="1">
      <c r="B106" s="343" t="s">
        <v>374</v>
      </c>
      <c r="C106" s="343"/>
      <c r="D106" s="343"/>
      <c r="E106" s="343"/>
      <c r="F106" s="343"/>
    </row>
    <row r="108" spans="1:6">
      <c r="B108" s="47" t="s">
        <v>283</v>
      </c>
      <c r="C108" s="248">
        <f>Valuation_Model!C12</f>
        <v>20.080338252823015</v>
      </c>
      <c r="D108" s="1" t="str">
        <f>Market_currency</f>
        <v>HKD</v>
      </c>
    </row>
    <row r="109" spans="1:6">
      <c r="B109" s="336" t="s">
        <v>414</v>
      </c>
      <c r="C109" s="248">
        <f>BS!D47</f>
        <v>5.8696003638854428</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24.7 HKD</v>
      </c>
      <c r="F116" s="259">
        <f>Valuation_Model!F74</f>
        <v>0.02</v>
      </c>
    </row>
    <row r="117" spans="1:6">
      <c r="B117" s="242" t="str">
        <f>Valuation_Model!B75</f>
        <v>Optimistic</v>
      </c>
      <c r="C117" s="243">
        <f>Valuation_Model!C75</f>
        <v>0.05</v>
      </c>
      <c r="D117" s="244">
        <f>Valuation_Model!D75</f>
        <v>5</v>
      </c>
      <c r="E117" s="245" t="str">
        <f>ROUND(Valuation_Model!E75,2)&amp;" "&amp;Market_currency</f>
        <v>21.86 HKD</v>
      </c>
      <c r="F117" s="246">
        <f>Valuation_Model!F75</f>
        <v>0.192</v>
      </c>
    </row>
    <row r="118" spans="1:6">
      <c r="B118" s="242" t="str">
        <f>Valuation_Model!B76</f>
        <v>Base</v>
      </c>
      <c r="C118" s="243">
        <f>Valuation_Model!C76</f>
        <v>0.02</v>
      </c>
      <c r="D118" s="244">
        <f>Valuation_Model!D76</f>
        <v>5</v>
      </c>
      <c r="E118" s="245" t="str">
        <f>ROUND(Valuation_Model!E76,2)&amp;" "&amp;Market_currency</f>
        <v>20.78 HKD</v>
      </c>
      <c r="F118" s="246">
        <f>Valuation_Model!F76</f>
        <v>0.57599999999999996</v>
      </c>
    </row>
    <row r="119" spans="1:6">
      <c r="B119" s="242" t="str">
        <f>Valuation_Model!B77</f>
        <v>Pessimistic</v>
      </c>
      <c r="C119" s="243">
        <f>Valuation_Model!C77</f>
        <v>-0.05</v>
      </c>
      <c r="D119" s="244">
        <f>Valuation_Model!D77</f>
        <v>5</v>
      </c>
      <c r="E119" s="245" t="str">
        <f>ROUND(Valuation_Model!E77,2)&amp;" "&amp;Market_currency</f>
        <v>18.42 HKD</v>
      </c>
      <c r="F119" s="246">
        <f>Valuation_Model!F77</f>
        <v>0.192</v>
      </c>
    </row>
    <row r="120" spans="1:6">
      <c r="B120" s="242" t="str">
        <f>Valuation_Model!B78</f>
        <v>Devil's advocate</v>
      </c>
      <c r="C120" s="243">
        <f>Valuation_Model!C78</f>
        <v>-0.08</v>
      </c>
      <c r="D120" s="244">
        <f>Valuation_Model!D78</f>
        <v>10</v>
      </c>
      <c r="E120" s="245" t="str">
        <f>ROUND(Valuation_Model!E78,2)&amp;" "&amp;Market_currency</f>
        <v>15.62 HKD</v>
      </c>
      <c r="F120" s="246">
        <f>Valuation_Model!F78</f>
        <v>0.02</v>
      </c>
    </row>
    <row r="122" spans="1:6">
      <c r="B122" s="235" t="s">
        <v>259</v>
      </c>
      <c r="C122" s="241">
        <f>Scenarios!C60</f>
        <v>20.508980461992877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1.36</v>
      </c>
      <c r="D133" s="236" t="str">
        <f>Market_currency</f>
        <v>HKD</v>
      </c>
    </row>
    <row r="135" spans="2:6">
      <c r="B135" s="234" t="s">
        <v>418</v>
      </c>
      <c r="C135" s="270" t="str">
        <f>C11</f>
        <v>0590.HK</v>
      </c>
      <c r="D135" s="270" t="str">
        <f>IF(D11="","",D11)</f>
        <v/>
      </c>
    </row>
    <row r="136" spans="2:6">
      <c r="B136" s="1" t="s">
        <v>416</v>
      </c>
      <c r="C136" s="337">
        <f>C24</f>
        <v>0.4</v>
      </c>
    </row>
    <row r="137" spans="2:6">
      <c r="B137" s="236" t="str">
        <f>"PV("&amp;C131&amp;" yrs of Dividends)"</f>
        <v>PV(3 yrs of Dividends)</v>
      </c>
      <c r="C137" s="240">
        <f>Scenarios!C81</f>
        <v>2.1609329446064134</v>
      </c>
    </row>
    <row r="138" spans="2:6">
      <c r="B138" s="236" t="str">
        <f>"+ PV(Equity Value realized at year "&amp;C131&amp;")"</f>
        <v>+ PV(Equity Value realized at year 3)</v>
      </c>
      <c r="C138" s="240">
        <f>Scenarios!C82</f>
        <v>7.4741182441665019</v>
      </c>
    </row>
    <row r="139" spans="2:6">
      <c r="B139" s="80" t="s">
        <v>261</v>
      </c>
      <c r="C139" s="239">
        <f>Scenarios!C83</f>
        <v>9.6350511887729162</v>
      </c>
      <c r="D139" s="342" t="str">
        <f>IF($D$11="","",C139*$E$22)</f>
        <v/>
      </c>
    </row>
    <row r="140" spans="2:6">
      <c r="B140" s="290" t="s">
        <v>425</v>
      </c>
      <c r="C140" s="340" t="str">
        <f>Market_currency</f>
        <v>HKD</v>
      </c>
      <c r="D140" s="340" t="str">
        <f>IF($D$11="","",D$13)</f>
        <v/>
      </c>
    </row>
    <row r="141" spans="2:6">
      <c r="B141" s="238" t="s">
        <v>263</v>
      </c>
      <c r="C141" s="92">
        <f>Scenarios!F83</f>
        <v>0.53020330744238908</v>
      </c>
    </row>
    <row r="143" spans="2:6">
      <c r="B143" s="234" t="s">
        <v>421</v>
      </c>
    </row>
    <row r="144" spans="2:6">
      <c r="B144" s="1" t="s">
        <v>420</v>
      </c>
      <c r="C144" s="337">
        <f>Scenarios!C90</f>
        <v>0.2</v>
      </c>
    </row>
    <row r="145" spans="1:6">
      <c r="B145" s="236" t="str">
        <f>"PV("&amp;C131&amp;" yrs of Dividends)"</f>
        <v>PV(3 yrs of Dividends)</v>
      </c>
      <c r="C145" s="240">
        <f>Scenarios!C91</f>
        <v>2.8648148148148147</v>
      </c>
    </row>
    <row r="146" spans="1:6">
      <c r="B146" s="236" t="str">
        <f>"+ PV(Equity Value realized at year "&amp;C131&amp;")"</f>
        <v>+ PV(Equity Value realized at year 3)</v>
      </c>
      <c r="C146" s="240">
        <f>Scenarios!C92</f>
        <v>11.868622952542175</v>
      </c>
    </row>
    <row r="147" spans="1:6">
      <c r="B147" s="80" t="s">
        <v>261</v>
      </c>
      <c r="C147" s="239">
        <f>Scenarios!C93</f>
        <v>14.733437767356989</v>
      </c>
      <c r="D147" s="342" t="str">
        <f>IF($D$11="","",C147*$E$22)</f>
        <v/>
      </c>
    </row>
    <row r="148" spans="1:6">
      <c r="B148" s="290" t="s">
        <v>425</v>
      </c>
      <c r="C148" s="340" t="str">
        <f>Market_currency</f>
        <v>HKD</v>
      </c>
      <c r="D148" s="340" t="str">
        <f>IF($D$11="","",D$13)</f>
        <v/>
      </c>
    </row>
    <row r="149" spans="1:6">
      <c r="B149" s="238" t="s">
        <v>263</v>
      </c>
      <c r="C149" s="92">
        <f>Scenarios!F93</f>
        <v>0.28161042453275964</v>
      </c>
    </row>
    <row r="151" spans="1:6">
      <c r="B151" s="234" t="s">
        <v>408</v>
      </c>
    </row>
    <row r="152" spans="1:6">
      <c r="B152" s="1" t="s">
        <v>419</v>
      </c>
      <c r="C152" s="92">
        <f>Scenarios!C96</f>
        <v>0.08</v>
      </c>
    </row>
    <row r="153" spans="1:6">
      <c r="B153" s="236" t="str">
        <f>"PV("&amp;C131&amp;" yrs of Dividends)"</f>
        <v>PV(3 yrs of Dividends)</v>
      </c>
      <c r="C153" s="240">
        <f>Scenarios!C97</f>
        <v>3.5048519026571174</v>
      </c>
    </row>
    <row r="154" spans="1:6">
      <c r="B154" s="236" t="str">
        <f>"+ PV(Equity Value realized at year "&amp;C131&amp;")"</f>
        <v>+ PV(Equity Value realized at year 3)</v>
      </c>
      <c r="C154" s="240">
        <f>Scenarios!C98</f>
        <v>16.280689921182677</v>
      </c>
    </row>
    <row r="155" spans="1:6">
      <c r="B155" s="80" t="s">
        <v>409</v>
      </c>
      <c r="C155" s="239">
        <f>Scenarios!C99</f>
        <v>19.785541823839793</v>
      </c>
      <c r="D155" s="342" t="str">
        <f>IF($D$11="","",C155*$E$22)</f>
        <v/>
      </c>
    </row>
    <row r="156" spans="1:6">
      <c r="B156" s="290" t="s">
        <v>425</v>
      </c>
      <c r="C156" s="340" t="str">
        <f>Market_currency</f>
        <v>HKD</v>
      </c>
      <c r="D156" s="340" t="str">
        <f>IF($D$11="","",D$13)</f>
        <v/>
      </c>
    </row>
    <row r="157" spans="1:6">
      <c r="B157" s="238" t="s">
        <v>263</v>
      </c>
      <c r="C157" s="92">
        <f>Scenarios!F99</f>
        <v>3.5274237034539913E-2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436</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7.7097505668934238E-2</v>
      </c>
      <c r="E93" s="302"/>
      <c r="G93" s="23">
        <f t="shared" ref="G93:Q93" si="39">IF(G$4="","",G90/Market_Price)</f>
        <v>7.7097505668934238E-2</v>
      </c>
      <c r="H93" s="23">
        <f t="shared" si="39"/>
        <v>6.2358276643990934E-2</v>
      </c>
      <c r="I93" s="23">
        <f t="shared" si="39"/>
        <v>6.2358276643990934E-2</v>
      </c>
      <c r="J93" s="23">
        <f t="shared" si="39"/>
        <v>5.6689342403628114E-2</v>
      </c>
      <c r="K93" s="23">
        <f t="shared" si="39"/>
        <v>5.6689342403628114E-2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9.7958391120727295E-2</v>
      </c>
      <c r="D125" s="27"/>
      <c r="E125" s="299"/>
      <c r="F125" s="27"/>
      <c r="G125" s="77">
        <f t="shared" ref="G125" si="50">IF(G$4="","",G124/Market_Price)</f>
        <v>0.12469692025631451</v>
      </c>
      <c r="H125" s="77">
        <f t="shared" ref="H125" si="51">IF(H$4="","",H124/Market_Price)</f>
        <v>0.1296316414472044</v>
      </c>
      <c r="I125" s="77">
        <f t="shared" ref="I125" si="52">IF(I$4="","",I124/Market_Price)</f>
        <v>0.10871817515633846</v>
      </c>
      <c r="J125" s="77">
        <f t="shared" ref="J125" si="53">IF(J$4="","",J124/Market_Price)</f>
        <v>0.10456263551032904</v>
      </c>
      <c r="K125" s="77">
        <f t="shared" ref="K125" si="54">IF(K$4="","",K124/Market_Price)</f>
        <v>9.0619552793209393E-2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0.17064557777015585</v>
      </c>
      <c r="H126" s="23">
        <f>IF(H$4="","",(Data!D47*$C$3)/(Market_Price*Common_Shares))</f>
        <v>0.12405221541230976</v>
      </c>
      <c r="I126" s="23">
        <f>IF(I$4="","",(Data!E47*$C$3)/(Market_Price*Common_Shares))</f>
        <v>0.1344424189635435</v>
      </c>
      <c r="J126" s="23">
        <f>IF(J$4="","",(Data!F47*$C$3)/(Market_Price*Common_Shares))</f>
        <v>9.8230763145468095E-2</v>
      </c>
      <c r="K126" s="23">
        <f>IF(K$4="","",(Data!G47*$C$3)/(Market_Price*Common_Shares))</f>
        <v>8.3648732791426816E-2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12681426.958277019</v>
      </c>
      <c r="D6" t="str">
        <f>Reporting_currency</f>
        <v>HKD</v>
      </c>
      <c r="E6" s="351" t="s">
        <v>250</v>
      </c>
      <c r="F6" s="351"/>
      <c r="H6" s="121"/>
    </row>
    <row r="7" spans="2:8">
      <c r="B7" s="149" t="s">
        <v>225</v>
      </c>
      <c r="C7" s="226">
        <f>BS!G31</f>
        <v>2034922</v>
      </c>
      <c r="D7" t="str">
        <f>Reporting_currency</f>
        <v>HKD</v>
      </c>
      <c r="E7" s="351"/>
      <c r="F7" s="351"/>
      <c r="H7" s="121"/>
    </row>
    <row r="8" spans="2:8">
      <c r="B8" s="149" t="s">
        <v>226</v>
      </c>
      <c r="C8" s="201">
        <f>BS!D66</f>
        <v>1050246.6606106577</v>
      </c>
      <c r="D8" t="str">
        <f>Reporting_currency</f>
        <v>HKD</v>
      </c>
      <c r="E8" s="351"/>
      <c r="F8" s="351"/>
      <c r="H8" s="121"/>
    </row>
    <row r="9" spans="2:8">
      <c r="B9" s="227" t="s">
        <v>191</v>
      </c>
      <c r="C9" s="229">
        <f>BS!H42</f>
        <v>92572.6</v>
      </c>
      <c r="D9" t="str">
        <f>Reporting_currency</f>
        <v>HKD</v>
      </c>
      <c r="E9" s="351"/>
      <c r="F9" s="351"/>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-17.64</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3"/>
      <c r="H7" s="276">
        <v>4</v>
      </c>
      <c r="I7" s="264" t="str">
        <f t="shared" si="0"/>
        <v/>
      </c>
    </row>
    <row r="8" spans="2:9">
      <c r="B8" s="100" t="s">
        <v>66</v>
      </c>
      <c r="C8" s="115">
        <f>Normalized_FCF!G19</f>
        <v>1291433.9388883226</v>
      </c>
      <c r="D8" t="str">
        <f>Reporting_currency</f>
        <v>HKD</v>
      </c>
      <c r="E8" s="353"/>
      <c r="F8" s="353"/>
      <c r="H8" s="276">
        <v>5</v>
      </c>
      <c r="I8" s="264" t="str">
        <f t="shared" si="0"/>
        <v/>
      </c>
    </row>
    <row r="9" spans="2:9">
      <c r="B9" s="100" t="s">
        <v>57</v>
      </c>
      <c r="C9" s="201">
        <f>Normalized_FCF!C19</f>
        <v>1014514.1566621615</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0.20035451325595277</v>
      </c>
      <c r="D12" s="159"/>
      <c r="E12" s="353"/>
      <c r="F12" s="353"/>
      <c r="H12" s="276">
        <v>9</v>
      </c>
      <c r="I12" s="264" t="str">
        <f t="shared" si="0"/>
        <v/>
      </c>
    </row>
    <row r="13" spans="2:9">
      <c r="B13" s="149" t="s">
        <v>153</v>
      </c>
      <c r="C13" s="159">
        <f ca="1">(Normalized_FCF!G8/OFFSET(Normalized_FCF!G8, 0, $C$4))^(1/$C$4) - 1</f>
        <v>0.26016796976901468</v>
      </c>
      <c r="E13" s="353"/>
      <c r="F13" s="353"/>
      <c r="H13" s="276">
        <v>10</v>
      </c>
      <c r="I13" s="264" t="str">
        <f t="shared" si="0"/>
        <v/>
      </c>
    </row>
    <row r="14" spans="2:9">
      <c r="B14" s="100" t="s">
        <v>66</v>
      </c>
      <c r="C14" s="159">
        <f ca="1">(Normalized_FCF!G19/OFFSET(Normalized_FCF!G19, 0, $C$4))^(1/$C$4) - 1</f>
        <v>6.0457013634429568E-2</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17.64</v>
      </c>
      <c r="D21" t="str">
        <f>Market_currency</f>
        <v>HKD</v>
      </c>
      <c r="E21" s="354"/>
      <c r="F21" s="354"/>
    </row>
    <row r="22" spans="2:6">
      <c r="B22" s="100" t="s">
        <v>281</v>
      </c>
      <c r="C22" s="161">
        <f>Valuation_Model!C12</f>
        <v>20.080338252823015</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0.02</v>
      </c>
      <c r="D26" s="165"/>
      <c r="E26" s="352"/>
      <c r="F26" s="352"/>
    </row>
    <row r="27" spans="2:6">
      <c r="B27" s="100" t="s">
        <v>114</v>
      </c>
      <c r="C27" s="161">
        <f>Valuation_Model!E76</f>
        <v>20.777261684426229</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-0.05</v>
      </c>
      <c r="D32" s="165"/>
      <c r="E32" s="352"/>
      <c r="F32" s="352"/>
    </row>
    <row r="33" spans="2:6">
      <c r="B33" s="100" t="s">
        <v>114</v>
      </c>
      <c r="C33" s="161">
        <f>Valuation_Model!E77</f>
        <v>18.42358674753498</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0.05</v>
      </c>
      <c r="D38" s="165"/>
      <c r="E38" s="352"/>
      <c r="F38" s="352"/>
    </row>
    <row r="39" spans="2:6">
      <c r="B39" s="100" t="s">
        <v>114</v>
      </c>
      <c r="C39" s="161">
        <f>Valuation_Model!E75</f>
        <v>21.862068001465992</v>
      </c>
      <c r="D39" t="str">
        <f>Market_currency</f>
        <v>HKD</v>
      </c>
      <c r="E39" s="352"/>
      <c r="F39" s="352"/>
    </row>
    <row r="40" spans="2:6">
      <c r="B40" s="100" t="s">
        <v>148</v>
      </c>
      <c r="C40" s="168">
        <f>1-C28-C34</f>
        <v>0.2</v>
      </c>
      <c r="D40" s="166"/>
      <c r="E40" s="352"/>
      <c r="F40" s="352"/>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-0.08</v>
      </c>
      <c r="D50" s="165"/>
      <c r="E50" s="352"/>
      <c r="F50" s="352"/>
    </row>
    <row r="51" spans="2:6">
      <c r="B51" s="100" t="s">
        <v>114</v>
      </c>
      <c r="C51" s="161">
        <f>Valuation_Model!E78</f>
        <v>15.621773465843134</v>
      </c>
      <c r="D51" t="str">
        <f>Market_currency</f>
        <v>HKD</v>
      </c>
      <c r="E51" s="352"/>
      <c r="F51" s="352"/>
    </row>
    <row r="52" spans="2:6">
      <c r="B52" s="100" t="s">
        <v>148</v>
      </c>
      <c r="C52" s="166">
        <v>0.02</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24.69982753191616</v>
      </c>
      <c r="D57" t="str">
        <f>Market_currency</f>
        <v>HKD</v>
      </c>
      <c r="E57" s="352"/>
      <c r="F57" s="352"/>
    </row>
    <row r="58" spans="2:6">
      <c r="B58" s="100" t="s">
        <v>148</v>
      </c>
      <c r="C58" s="166">
        <v>0.02</v>
      </c>
      <c r="D58" s="166"/>
      <c r="E58" s="352"/>
      <c r="F58" s="352"/>
    </row>
    <row r="60" spans="2:6" ht="13.15">
      <c r="B60" s="100" t="s">
        <v>121</v>
      </c>
      <c r="C60" s="155">
        <f>C51*C52+C57*C58+C42*(1-C52-C58)</f>
        <v>20.508980461992877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Thesis!C132</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9">
        <f>(1-C83/C60)</f>
        <v>0.53020330744238908</v>
      </c>
    </row>
    <row r="84" spans="2:8">
      <c r="E84" s="121"/>
    </row>
    <row r="85" spans="2:8" ht="13.15">
      <c r="B85" s="109" t="s">
        <v>309</v>
      </c>
    </row>
    <row r="86" spans="2:8">
      <c r="B86" s="149" t="s">
        <v>307</v>
      </c>
      <c r="C86" s="266">
        <f>Market_Price</f>
        <v>17.64</v>
      </c>
      <c r="D86" t="str">
        <f>Market_currency</f>
        <v>HKD</v>
      </c>
    </row>
    <row r="87" spans="2:8" ht="13.15">
      <c r="B87" s="100" t="s">
        <v>305</v>
      </c>
      <c r="C87" s="265">
        <f ca="1">IRR(OFFSET($I$3, 0, 0, $C$76 + 1, 1))</f>
        <v>0.12506237700703315</v>
      </c>
    </row>
    <row r="88" spans="2:8">
      <c r="B88" s="100"/>
    </row>
    <row r="89" spans="2:8" ht="13.15">
      <c r="B89" s="109" t="s">
        <v>422</v>
      </c>
    </row>
    <row r="90" spans="2:8">
      <c r="B90" s="149" t="s">
        <v>423</v>
      </c>
      <c r="C90" s="168">
        <f>Thesis!E24</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Thesis!C72</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