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86920ED-204C-4009-9E11-1594CA078AE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<sst xmlns="http://schemas.openxmlformats.org/spreadsheetml/2006/main" count="586" uniqueCount="415">
  <si>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</si>
  <si>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</si>
  <si>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</si>
  <si>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</si>
  <si>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</si>
  <si>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</si>
  <si>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</si>
  <si>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</si>
  <si>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</si>
  <si>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</si>
  <si>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</si>
  <si>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</si>
  <si>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</si>
  <si>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</si>
  <si>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</si>
  <si>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</si>
  <si>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</si>
  <si>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</si>
  <si>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</si>
  <si>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</si>
  <si>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</si>
  <si>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</si>
  <si>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</si>
  <si>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</si>
  <si>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</si>
  <si>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</si>
  <si>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</si>
  <si>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</si>
  <si>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</si>
  <si>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</si>
  <si>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</si>
  <si>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</si>
  <si>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</si>
  <si>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</si>
  <si>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</si>
  <si>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</si>
  <si>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</si>
  <si>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</si>
  <si>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</si>
  <si>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</si>
  <si>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</si>
  <si>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</si>
  <si>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</si>
  <si>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</si>
  <si>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</si>
  <si>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</si>
  <si>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</si>
  <si>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</si>
  <si>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</si>
  <si>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</si>
  <si>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</si>
  <si>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</si>
  <si>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</si>
  <si>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</si>
  <si>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</si>
  <si>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</si>
  <si>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</si>
  <si>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</si>
  <si>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</si>
  <si>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</si>
  <si>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</si>
  <si>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</si>
  <si>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</si>
  <si>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</si>
  <si>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</si>
  <si>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</si>
  <si>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</si>
  <si>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</si>
  <si>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</si>
  <si>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</si>
  <si>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</si>
  <si>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</si>
  <si>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</si>
  <si>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</si>
  <si>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</si>
  <si>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</si>
  <si>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</si>
  <si>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</si>
  <si>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</si>
  <si>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</si>
  <si>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</si>
  <si>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</si>
  <si>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</si>
  <si>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</si>
  <si>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</si>
  <si>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</si>
  <si>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</si>
  <si>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</si>
  <si>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</si>
  <si>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</si>
  <si>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</si>
  <si>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</si>
  <si>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</si>
  <si>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</si>
  <si>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</si>
  <si>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</si>
  <si>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</si>
  <si>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</si>
  <si>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</si>
  <si>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</si>
  <si>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</si>
  <si>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</si>
  <si>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</si>
  <si>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</si>
  <si>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</si>
  <si>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</si>
  <si>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</si>
  <si>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</si>
  <si>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</si>
  <si>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</si>
  <si>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</si>
  <si>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</si>
  <si>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</si>
  <si>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</si>
  <si>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</si>
  <si>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</si>
  <si>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</si>
  <si>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</si>
  <si>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</si>
  <si>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</si>
  <si>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</si>
  <si>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</si>
  <si>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</si>
  <si>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</si>
  <si>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</si>
  <si>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</si>
  <si>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</si>
  <si>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</si>
  <si>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</si>
  <si>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</si>
  <si>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</si>
  <si>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</si>
  <si>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</si>
  <si>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</si>
  <si>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</si>
  <si>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</si>
  <si>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</si>
  <si>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</si>
  <si>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</si>
  <si>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</si>
  <si>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</si>
  <si>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</si>
  <si>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</si>
  <si>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</si>
  <si>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</si>
  <si>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</si>
  <si>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</si>
  <si>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</si>
  <si>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</si>
  <si>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</si>
  <si>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</si>
  <si>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</si>
  <si>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</si>
  <si>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</si>
  <si>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</si>
  <si>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</si>
  <si>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</si>
  <si>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</si>
  <si>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</si>
  <si>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</si>
  <si>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</si>
  <si>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</si>
  <si>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</si>
  <si>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</si>
  <si>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</si>
  <si>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</si>
  <si>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</si>
  <si>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</si>
  <si>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</si>
  <si>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</si>
  <si>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</si>
  <si>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</si>
  <si>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</si>
  <si>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</si>
  <si>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</si>
  <si>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</si>
  <si>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</si>
  <si>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</si>
  <si>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</si>
  <si>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</si>
  <si>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</si>
  <si>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</si>
  <si>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</si>
  <si>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</si>
  <si>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</si>
  <si>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</si>
  <si>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</si>
  <si>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</si>
  <si>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</si>
  <si>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</si>
  <si>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</si>
  <si>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</si>
  <si>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</si>
  <si>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</si>
  <si>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</si>
  <si>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</si>
  <si>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</si>
  <si>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</si>
  <si>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</si>
  <si>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</si>
  <si>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</si>
  <si>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</si>
  <si>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</si>
  <si>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</si>
  <si>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</si>
  <si>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</si>
  <si>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</si>
  <si>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</si>
  <si>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</si>
  <si>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</si>
  <si>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</si>
  <si>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</si>
  <si>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</si>
  <si>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</si>
  <si>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</si>
  <si>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</si>
  <si>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</si>
  <si>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</si>
  <si>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</si>
  <si>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</si>
  <si>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</si>
  <si>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</si>
  <si>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</si>
  <si>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</si>
  <si>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</si>
  <si>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</si>
  <si>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</si>
  <si>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</si>
  <si>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</si>
  <si>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</si>
  <si>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</si>
  <si>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</si>
  <si>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</si>
  <si>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</si>
  <si>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</si>
  <si>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</si>
  <si>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</si>
  <si>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</si>
  <si>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</si>
  <si>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</si>
  <si>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</si>
  <si>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</si>
  <si>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</si>
  <si>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</si>
  <si>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</si>
  <si>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</si>
  <si>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</si>
  <si>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</si>
  <si>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</si>
  <si>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</si>
  <si>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</si>
  <si>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</si>
  <si>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</si>
  <si>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</si>
  <si>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</si>
  <si>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</si>
  <si>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</si>
  <si>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</si>
  <si>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</si>
  <si>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</si>
  <si>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</si>
  <si>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</si>
  <si>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</si>
  <si>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</si>
  <si>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</si>
  <si>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</si>
  <si>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</si>
  <si>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</si>
  <si>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</si>
  <si>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</si>
  <si>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</si>
  <si>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</si>
  <si>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</si>
  <si>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</si>
  <si>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</si>
  <si>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</si>
  <si>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</si>
  <si>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</si>
  <si>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</si>
  <si>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</si>
  <si>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</si>
  <si>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</si>
  <si>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</si>
  <si>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</si>
  <si>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</si>
  <si>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</si>
  <si>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</si>
  <si>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</si>
  <si>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</si>
  <si>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</si>
  <si>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</si>
  <si>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</si>
  <si>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</si>
  <si>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</si>
  <si>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</si>
  <si>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</si>
  <si>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</si>
  <si>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</si>
  <si>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</si>
  <si>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</si>
  <si>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</si>
  <si>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</si>
  <si>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</si>
  <si>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</si>
  <si>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</si>
  <si>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</si>
  <si>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</si>
  <si>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</si>
  <si>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</si>
  <si>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</si>
  <si>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</si>
  <si>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</si>
  <si>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</si>
  <si>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</si>
  <si>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</si>
  <si>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</si>
  <si>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</si>
  <si>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</si>
  <si>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</si>
  <si>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</si>
  <si>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</si>
  <si>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</si>
  <si>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</si>
  <si>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</si>
  <si>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</si>
  <si>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</si>
  <si>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</si>
  <si>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</si>
  <si>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</si>
  <si>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</si>
  <si>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</si>
  <si>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</si>
  <si>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</si>
  <si>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</si>
  <si>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</si>
  <si>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</si>
  <si>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</si>
  <si>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</si>
  <si>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</si>
  <si>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</si>
  <si>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</si>
  <si>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</si>
  <si>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</si>
  <si>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</si>
  <si>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</si>
  <si>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</si>
  <si>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</si>
  <si>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</si>
  <si>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</si>
  <si>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</si>
  <si>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</si>
  <si>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</si>
  <si>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</si>
  <si>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</si>
  <si>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</si>
  <si>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</si>
  <si>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</si>
  <si>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</si>
  <si>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</si>
  <si>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</si>
  <si>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</si>
  <si>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</si>
  <si>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</si>
  <si>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</si>
  <si>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</si>
  <si>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</si>
  <si>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</si>
  <si>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</si>
  <si>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</si>
  <si>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</si>
  <si>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</si>
  <si>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</si>
  <si>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</si>
  <si>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</si>
  <si>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</si>
  <si>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</si>
  <si>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</si>
  <si>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</si>
  <si>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</si>
  <si>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</si>
  <si>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</si>
  <si>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</si>
  <si>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</si>
  <si>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</si>
  <si>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</si>
  <si>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</si>
  <si>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</si>
  <si>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</si>
  <si>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</si>
  <si>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</si>
  <si>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</si>
  <si>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</si>
  <si>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</si>
  <si>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</si>
  <si>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</si>
  <si>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</si>
  <si>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</si>
  <si>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</si>
  <si>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</si>
  <si>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</si>
  <si>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</si>
  <si>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</si>
  <si>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</si>
  <si>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</si>
  <si>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</si>
  <si>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</si>
  <si>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</si>
  <si>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</si>
  <si>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</si>
  <si>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</si>
  <si>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</si>
  <si>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</si>
  <si>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</si>
  <si>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六福珠宝</t>
    <phoneticPr fontId="2" type="noConversion"/>
  </si>
  <si>
    <t>0590.HK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</si>
</sst>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328</v>
      </c>
      <c r="C5" s="339" t="s">
        <v>413</v>
      </c>
      <c r="D5" s="49" t="s">
        <v>414</v>
      </c>
    </row>
    <row r="6" spans="1:10" x14ac:dyDescent="0.35">
      <c r="B6" s="4" t="s">
        <v>96</v>
      </c>
      <c r="C6" s="50">
        <v>14.44</v>
      </c>
      <c r="D6" s="48" t="s">
        <v>41</v>
      </c>
      <c r="E6" s="48"/>
    </row>
    <row r="7" spans="1:10" x14ac:dyDescent="0.35">
      <c r="B7" s="4" t="s">
        <v>0</v>
      </c>
      <c r="C7" s="51">
        <v>587107850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8477.8373539999993</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14.733437767356989</v>
      </c>
      <c r="D20" s="1" t="s">
        <v>319</v>
      </c>
      <c r="E20" s="336">
        <v>3</v>
      </c>
    </row>
    <row r="21" spans="1:6" x14ac:dyDescent="0.35">
      <c r="B21" s="1" t="s">
        <v>376</v>
      </c>
      <c r="C21" s="286">
        <f ca="1">Scenarios!C87</f>
        <v>0.20871253483792285</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1398534.6033278927</v>
      </c>
      <c r="D30" s="1" t="str">
        <f>Reporting_currency</f>
        <v>HKD</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463424</v>
      </c>
      <c r="D33" s="1" t="str">
        <f>Reporting_currency</f>
        <v>HKD</v>
      </c>
    </row>
    <row r="34" spans="2:6" x14ac:dyDescent="0.35">
      <c r="B34" s="52" t="s">
        <v>237</v>
      </c>
      <c r="C34" s="191">
        <f>Normalized_FCF!C10</f>
        <v>-463424.00000000006</v>
      </c>
      <c r="D34" s="1" t="str">
        <f>Reporting_currency</f>
        <v>HKD</v>
      </c>
    </row>
    <row r="36" spans="2:6" x14ac:dyDescent="0.35">
      <c r="B36" s="342" t="s">
        <v>238</v>
      </c>
      <c r="C36" s="342"/>
      <c r="D36" s="342"/>
      <c r="E36" s="342"/>
      <c r="F36" s="342"/>
    </row>
    <row r="37" spans="2:6" x14ac:dyDescent="0.35">
      <c r="B37" s="47" t="s">
        <v>239</v>
      </c>
      <c r="C37" s="191">
        <f>Normalized_FCF!C11</f>
        <v>0</v>
      </c>
      <c r="D37" s="1" t="str">
        <f>Reporting_currency</f>
        <v>HKD</v>
      </c>
    </row>
    <row r="39" spans="2:6" x14ac:dyDescent="0.35">
      <c r="B39" s="342" t="s">
        <v>242</v>
      </c>
      <c r="C39" s="342"/>
      <c r="D39" s="342"/>
      <c r="E39" s="342"/>
      <c r="F39" s="342"/>
    </row>
    <row r="40" spans="2:6" x14ac:dyDescent="0.35">
      <c r="B40" s="47" t="s">
        <v>354</v>
      </c>
      <c r="C40" s="328">
        <f>Normalized_FCF!C48</f>
        <v>13746.938888322537</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-45849.061111677467</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2" t="s">
        <v>243</v>
      </c>
      <c r="C47" s="342"/>
      <c r="D47" s="342"/>
      <c r="E47" s="342"/>
      <c r="F47" s="342"/>
    </row>
    <row r="48" spans="2:6" x14ac:dyDescent="0.35">
      <c r="B48" s="47" t="s">
        <v>241</v>
      </c>
      <c r="C48" s="191">
        <f>Normalized_FCF!C14</f>
        <v>-338171.38555405382</v>
      </c>
      <c r="D48" s="1" t="str">
        <f>Reporting_currency</f>
        <v>HKD</v>
      </c>
    </row>
    <row r="50" spans="1:6" x14ac:dyDescent="0.35">
      <c r="B50" s="342" t="s">
        <v>352</v>
      </c>
      <c r="C50" s="345"/>
      <c r="D50" s="345"/>
      <c r="E50" s="345"/>
      <c r="F50" s="345"/>
    </row>
    <row r="51" spans="1:6" x14ac:dyDescent="0.35">
      <c r="B51" s="47" t="s">
        <v>244</v>
      </c>
      <c r="C51" s="1">
        <f>Normalized_FCF!C17</f>
        <v>0</v>
      </c>
      <c r="D51" s="1" t="str">
        <f>Reporting_currency</f>
        <v>HKD</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1291433.9388883226</v>
      </c>
      <c r="D56" s="1" t="str">
        <f>Reporting_currency</f>
        <v>HKD</v>
      </c>
    </row>
    <row r="57" spans="1:6" x14ac:dyDescent="0.35">
      <c r="B57" s="47" t="s">
        <v>250</v>
      </c>
      <c r="C57" s="191">
        <f>Normalized_FCF!C19</f>
        <v>1014514.1566621615</v>
      </c>
      <c r="D57" s="1" t="str">
        <f>Reporting_currency</f>
        <v>HKD</v>
      </c>
    </row>
    <row r="58" spans="1:6" x14ac:dyDescent="0.35">
      <c r="B58" s="260" t="s">
        <v>408</v>
      </c>
      <c r="C58" s="94">
        <f>Normalized_FCF!C125</f>
        <v>0.11966662184000204</v>
      </c>
    </row>
    <row r="59" spans="1:6" x14ac:dyDescent="0.35">
      <c r="B59" s="260" t="s">
        <v>320</v>
      </c>
      <c r="C59" s="94">
        <f>Normalized_FCF!C93</f>
        <v>9.418282548476456E-2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21.599825242120371</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1050246.6606106577</v>
      </c>
      <c r="D91" s="1" t="str">
        <f>Reporting_currency</f>
        <v>HKD</v>
      </c>
    </row>
    <row r="92" spans="2:6" x14ac:dyDescent="0.35">
      <c r="B92" s="47" t="s">
        <v>289</v>
      </c>
      <c r="C92" s="254">
        <f>C91*C28*Exchange_Rate/Common_Shares</f>
        <v>1.7888479273623368</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41" t="s">
        <v>384</v>
      </c>
      <c r="C98" s="341"/>
      <c r="D98" s="341"/>
      <c r="E98" s="341"/>
      <c r="F98" s="341"/>
    </row>
    <row r="100" spans="1:6" x14ac:dyDescent="0.35">
      <c r="B100" s="47" t="s">
        <v>286</v>
      </c>
      <c r="C100" s="254">
        <f>Valuation_Model!C12</f>
        <v>20.080338252823015</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260</v>
      </c>
      <c r="C113" s="247">
        <f>Scenarios!C60</f>
        <v>20.508980461992877</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11.868622952542175</v>
      </c>
    </row>
    <row r="129" spans="1:6" x14ac:dyDescent="0.35">
      <c r="B129" s="82" t="s">
        <v>262</v>
      </c>
      <c r="C129" s="245">
        <f>Scenarios!C83</f>
        <v>14.733437767356989</v>
      </c>
      <c r="D129" s="47" t="str">
        <f>Reporting_currency</f>
        <v>HKD</v>
      </c>
    </row>
    <row r="130" spans="1:6" x14ac:dyDescent="0.35">
      <c r="B130" s="244" t="s">
        <v>264</v>
      </c>
      <c r="C130" s="94">
        <f>Scenarios!F83</f>
        <v>0.28161042453275964</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44</v>
      </c>
      <c r="C5" s="193">
        <v>11151623</v>
      </c>
      <c r="D5" s="184">
        <v>8747447</v>
      </c>
      <c r="E5" s="184">
        <v>8503976</v>
      </c>
      <c r="F5" s="184">
        <v>6229020</v>
      </c>
      <c r="G5" s="184">
        <v>7910751</v>
      </c>
      <c r="H5" s="184"/>
      <c r="I5" s="184"/>
      <c r="J5" s="184"/>
      <c r="K5" s="184"/>
      <c r="L5" s="184"/>
      <c r="M5" s="184"/>
    </row>
    <row r="6" spans="2:13" x14ac:dyDescent="0.35">
      <c r="B6" s="40" t="s">
        <v>55</v>
      </c>
      <c r="C6" s="193">
        <v>2297566</v>
      </c>
      <c r="D6" s="184">
        <v>1867515</v>
      </c>
      <c r="E6" s="184">
        <v>1815111</v>
      </c>
      <c r="F6" s="184">
        <v>1694480</v>
      </c>
      <c r="G6" s="184">
        <v>2118252</v>
      </c>
      <c r="H6" s="184"/>
      <c r="I6" s="184"/>
      <c r="J6" s="184"/>
      <c r="K6" s="184"/>
      <c r="L6" s="184"/>
      <c r="M6" s="184"/>
    </row>
    <row r="7" spans="2:13" x14ac:dyDescent="0.35">
      <c r="B7" s="70" t="s">
        <v>62</v>
      </c>
      <c r="C7" s="194">
        <v>2043459</v>
      </c>
      <c r="D7" s="192">
        <v>1517989</v>
      </c>
      <c r="E7" s="192">
        <v>1491293</v>
      </c>
      <c r="F7" s="192">
        <v>1412494</v>
      </c>
      <c r="G7" s="192">
        <v>1945100</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68</v>
      </c>
      <c r="C13" s="193">
        <v>28977</v>
      </c>
      <c r="D13" s="184">
        <v>33125</v>
      </c>
      <c r="E13" s="184">
        <v>87344</v>
      </c>
      <c r="F13" s="184">
        <v>63398</v>
      </c>
      <c r="G13" s="184">
        <v>45450</v>
      </c>
      <c r="H13" s="184"/>
      <c r="I13" s="184"/>
      <c r="J13" s="184"/>
      <c r="K13" s="184"/>
      <c r="L13" s="184"/>
      <c r="M13" s="184"/>
    </row>
    <row r="14" spans="2:13" x14ac:dyDescent="0.35">
      <c r="B14" s="40" t="s">
        <v>51</v>
      </c>
      <c r="C14" s="193">
        <v>327166</v>
      </c>
      <c r="D14" s="184">
        <v>280664</v>
      </c>
      <c r="E14" s="184">
        <v>291296</v>
      </c>
      <c r="F14" s="184">
        <v>236303</v>
      </c>
      <c r="G14" s="184">
        <v>223409</v>
      </c>
      <c r="H14" s="184"/>
      <c r="I14" s="184"/>
      <c r="J14" s="184"/>
      <c r="K14" s="184"/>
      <c r="L14" s="184"/>
      <c r="M14" s="184"/>
    </row>
    <row r="15" spans="2:13" x14ac:dyDescent="0.35">
      <c r="B15" s="43" t="s">
        <v>43</v>
      </c>
      <c r="C15" s="195">
        <v>1767305</v>
      </c>
      <c r="D15" s="185">
        <v>1284757</v>
      </c>
      <c r="E15" s="185">
        <v>1392364</v>
      </c>
      <c r="F15" s="185">
        <v>1017335</v>
      </c>
      <c r="G15" s="185">
        <v>866315</v>
      </c>
      <c r="H15" s="185"/>
      <c r="I15" s="185"/>
      <c r="J15" s="185"/>
      <c r="K15" s="185"/>
      <c r="L15" s="185"/>
      <c r="M15" s="185"/>
    </row>
    <row r="16" spans="2:13" x14ac:dyDescent="0.35">
      <c r="B16" s="28" t="s">
        <v>45</v>
      </c>
      <c r="C16" s="193">
        <v>-9467</v>
      </c>
      <c r="D16" s="184">
        <v>-30</v>
      </c>
      <c r="E16" s="184">
        <v>-27</v>
      </c>
      <c r="F16" s="184">
        <v>1799</v>
      </c>
      <c r="G16" s="184">
        <v>1337</v>
      </c>
      <c r="H16" s="184"/>
      <c r="I16" s="184"/>
      <c r="J16" s="184"/>
      <c r="K16" s="184"/>
      <c r="L16" s="184"/>
      <c r="M16" s="184"/>
    </row>
    <row r="18" spans="2:13" x14ac:dyDescent="0.35">
      <c r="B18" s="16" t="s">
        <v>52</v>
      </c>
      <c r="C18" s="9"/>
    </row>
    <row r="19" spans="2:13" x14ac:dyDescent="0.35">
      <c r="B19" s="27" t="s">
        <v>48</v>
      </c>
      <c r="C19" s="184">
        <v>463424</v>
      </c>
      <c r="D19" s="184">
        <v>371724</v>
      </c>
      <c r="E19" s="184">
        <v>435672</v>
      </c>
      <c r="F19" s="184">
        <v>520888</v>
      </c>
      <c r="G19" s="184"/>
      <c r="H19" s="184"/>
      <c r="I19" s="184"/>
      <c r="J19" s="184"/>
      <c r="K19" s="184"/>
      <c r="L19" s="184"/>
      <c r="M19" s="184"/>
    </row>
    <row r="20" spans="2:13" x14ac:dyDescent="0.35">
      <c r="B20" s="27" t="s">
        <v>54</v>
      </c>
      <c r="C20" s="184">
        <v>676387</v>
      </c>
      <c r="D20" s="184">
        <v>107280</v>
      </c>
      <c r="E20" s="184">
        <v>455483</v>
      </c>
      <c r="F20" s="184">
        <v>138937</v>
      </c>
      <c r="G20" s="184"/>
      <c r="H20" s="184"/>
      <c r="I20" s="184"/>
      <c r="J20" s="184"/>
      <c r="K20" s="184"/>
      <c r="L20" s="184"/>
      <c r="M20" s="184"/>
    </row>
    <row r="21" spans="2:13" x14ac:dyDescent="0.35">
      <c r="B21" s="27" t="s">
        <v>53</v>
      </c>
      <c r="C21" s="184">
        <v>626583</v>
      </c>
      <c r="D21" s="184">
        <v>352099</v>
      </c>
      <c r="E21" s="184">
        <v>1045251</v>
      </c>
      <c r="F21" s="184">
        <v>-818677</v>
      </c>
      <c r="G21" s="184"/>
      <c r="H21" s="184"/>
      <c r="I21" s="184"/>
      <c r="J21" s="184"/>
      <c r="K21" s="184"/>
      <c r="L21" s="184"/>
      <c r="M21" s="184"/>
    </row>
    <row r="22" spans="2:13" x14ac:dyDescent="0.35">
      <c r="B22" s="27" t="s">
        <v>389</v>
      </c>
      <c r="C22" s="184"/>
      <c r="D22" s="184"/>
      <c r="E22" s="184"/>
      <c r="F22" s="184"/>
      <c r="G22" s="184"/>
      <c r="H22" s="184"/>
      <c r="I22" s="184"/>
      <c r="J22" s="184"/>
      <c r="K22" s="184"/>
      <c r="L22" s="184"/>
      <c r="M22" s="184"/>
    </row>
    <row r="23" spans="2:13" x14ac:dyDescent="0.35">
      <c r="B23" s="27" t="s">
        <v>391</v>
      </c>
      <c r="C23" s="184"/>
      <c r="D23" s="184"/>
      <c r="E23" s="184"/>
      <c r="F23" s="184"/>
      <c r="G23" s="184"/>
      <c r="H23" s="184"/>
      <c r="I23" s="184"/>
      <c r="J23" s="184"/>
      <c r="K23" s="184"/>
      <c r="L23" s="184"/>
      <c r="M23" s="184"/>
    </row>
    <row r="24" spans="2:13" x14ac:dyDescent="0.35">
      <c r="B24" s="27" t="s">
        <v>390</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100"/>
    </row>
    <row r="28" spans="2:13" x14ac:dyDescent="0.35">
      <c r="B28" s="26" t="s">
        <v>24</v>
      </c>
      <c r="C28" s="186"/>
      <c r="D28" s="184">
        <v>213823</v>
      </c>
      <c r="E28" s="184">
        <v>187711</v>
      </c>
      <c r="F28" s="184">
        <v>277338</v>
      </c>
      <c r="G28" s="184"/>
      <c r="H28" s="184"/>
      <c r="I28" s="184"/>
      <c r="J28" s="184"/>
      <c r="K28" s="184"/>
      <c r="L28" s="184"/>
      <c r="M28" s="184"/>
    </row>
    <row r="29" spans="2:13" x14ac:dyDescent="0.35">
      <c r="B29" s="26" t="s">
        <v>32</v>
      </c>
      <c r="C29" s="186"/>
      <c r="D29" s="184">
        <v>8852611</v>
      </c>
      <c r="E29" s="184">
        <v>8769304</v>
      </c>
      <c r="F29" s="184">
        <v>7321614</v>
      </c>
      <c r="G29" s="184"/>
      <c r="H29" s="184"/>
      <c r="I29" s="184"/>
      <c r="J29" s="184"/>
      <c r="K29" s="184"/>
      <c r="L29" s="184"/>
      <c r="M29" s="184"/>
    </row>
    <row r="30" spans="2:13" x14ac:dyDescent="0.35">
      <c r="B30" s="29" t="s">
        <v>40</v>
      </c>
      <c r="C30" s="189">
        <v>3990166</v>
      </c>
      <c r="D30" s="185">
        <v>2466431</v>
      </c>
      <c r="E30" s="185">
        <v>3908586</v>
      </c>
      <c r="F30" s="185">
        <v>2946772</v>
      </c>
      <c r="G30" s="185"/>
      <c r="H30" s="185"/>
      <c r="I30" s="185"/>
      <c r="J30" s="185"/>
      <c r="K30" s="185"/>
      <c r="L30" s="185"/>
      <c r="M30" s="185"/>
    </row>
    <row r="31" spans="2:13" x14ac:dyDescent="0.35">
      <c r="B31" s="29" t="s">
        <v>30</v>
      </c>
      <c r="C31" s="189">
        <v>12863898</v>
      </c>
      <c r="D31" s="185">
        <v>12220942</v>
      </c>
      <c r="E31" s="185">
        <v>12078528</v>
      </c>
      <c r="F31" s="185">
        <v>11324224</v>
      </c>
      <c r="G31" s="185"/>
      <c r="H31" s="185"/>
      <c r="I31" s="185"/>
      <c r="J31" s="185"/>
      <c r="K31" s="185"/>
      <c r="L31" s="185"/>
      <c r="M31" s="185"/>
    </row>
    <row r="32" spans="2:13" x14ac:dyDescent="0.35">
      <c r="B32" s="26" t="s">
        <v>174</v>
      </c>
      <c r="C32" s="186"/>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1.36</v>
      </c>
      <c r="D65" s="75">
        <f t="shared" si="33"/>
        <v>1.1000000000000001</v>
      </c>
      <c r="E65" s="75">
        <f t="shared" si="33"/>
        <v>1.1000000000000001</v>
      </c>
      <c r="F65" s="75">
        <f t="shared" si="33"/>
        <v>1</v>
      </c>
      <c r="G65" s="75">
        <f t="shared" si="33"/>
        <v>1</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0.27952593137796744</v>
      </c>
      <c r="D68" s="94">
        <f t="shared" si="34"/>
        <v>2.0450249505806095E-2</v>
      </c>
      <c r="E68" s="94">
        <f t="shared" si="34"/>
        <v>0.32460887665346139</v>
      </c>
      <c r="F68" s="94">
        <f t="shared" si="34"/>
        <v>-0.21118785490642455</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0.27484316281081789</v>
      </c>
      <c r="D69" s="104">
        <f t="shared" si="35"/>
        <v>2.8630254836090829E-2</v>
      </c>
      <c r="E69" s="104">
        <f t="shared" si="35"/>
        <v>0.36521892689379709</v>
      </c>
      <c r="F69" s="104">
        <f t="shared" si="35"/>
        <v>-0.21258803367720713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0.29220619013700166</v>
      </c>
      <c r="D70" s="94">
        <f t="shared" si="36"/>
        <v>-1.0606627998344109E-3</v>
      </c>
      <c r="E70" s="94">
        <f t="shared" si="36"/>
        <v>0.22851064557243328</v>
      </c>
      <c r="F70" s="94">
        <f t="shared" si="36"/>
        <v>-0.20785460213901807</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0.23027981033619538</v>
      </c>
      <c r="D71" s="104">
        <f t="shared" si="37"/>
        <v>2.88709616106122E-2</v>
      </c>
      <c r="E71" s="104">
        <f t="shared" si="37"/>
        <v>7.1190571738822594E-2</v>
      </c>
      <c r="F71" s="104">
        <f t="shared" si="37"/>
        <v>-0.20005740582329201</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0.23636363636363633</v>
      </c>
      <c r="D72" s="94">
        <f t="shared" ref="D72:M72" si="38">IF(E$36="","",D65/E65-1)</f>
        <v>0</v>
      </c>
      <c r="E72" s="94">
        <f t="shared" si="38"/>
        <v>0.10000000000000009</v>
      </c>
      <c r="F72" s="94">
        <f t="shared" si="38"/>
        <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16854064</v>
      </c>
      <c r="D76" s="78">
        <f t="shared" ref="D76:M76" si="39">IF(D$4="","",D79+D80)</f>
        <v>14687373</v>
      </c>
      <c r="E76" s="78">
        <f t="shared" si="39"/>
        <v>15987114</v>
      </c>
      <c r="F76" s="78">
        <f t="shared" si="39"/>
        <v>14270996</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213823</v>
      </c>
      <c r="E77" s="74">
        <f t="shared" si="40"/>
        <v>187711</v>
      </c>
      <c r="F77" s="74">
        <f t="shared" si="40"/>
        <v>277338</v>
      </c>
      <c r="G77" s="74">
        <f t="shared" si="40"/>
        <v>0</v>
      </c>
      <c r="H77" s="74" t="str">
        <f t="shared" si="40"/>
        <v/>
      </c>
      <c r="I77" s="96"/>
      <c r="J77" s="96"/>
      <c r="K77" s="96"/>
      <c r="L77" s="96"/>
      <c r="M77" s="96"/>
    </row>
    <row r="78" spans="2:13" x14ac:dyDescent="0.35">
      <c r="B78" s="95" t="s">
        <v>88</v>
      </c>
      <c r="C78" s="74">
        <f t="shared" si="40"/>
        <v>0</v>
      </c>
      <c r="D78" s="74">
        <f t="shared" si="40"/>
        <v>8852611</v>
      </c>
      <c r="E78" s="74">
        <f t="shared" si="40"/>
        <v>8769304</v>
      </c>
      <c r="F78" s="74">
        <f t="shared" si="40"/>
        <v>7321614</v>
      </c>
      <c r="G78" s="74">
        <f t="shared" si="40"/>
        <v>0</v>
      </c>
      <c r="H78" s="74" t="str">
        <f t="shared" si="40"/>
        <v/>
      </c>
      <c r="I78" s="96"/>
      <c r="J78" s="96"/>
      <c r="K78" s="96"/>
      <c r="L78" s="96"/>
      <c r="M78" s="96"/>
    </row>
    <row r="79" spans="2:13" x14ac:dyDescent="0.35">
      <c r="B79" s="26" t="s">
        <v>40</v>
      </c>
      <c r="C79" s="58">
        <f t="shared" ref="C79:M79" si="41">IF(C$4="","",C30)</f>
        <v>3990166</v>
      </c>
      <c r="D79" s="58">
        <f t="shared" si="41"/>
        <v>2466431</v>
      </c>
      <c r="E79" s="58">
        <f t="shared" si="41"/>
        <v>3908586</v>
      </c>
      <c r="F79" s="58">
        <f t="shared" si="41"/>
        <v>2946772</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12863898</v>
      </c>
      <c r="D80" s="58">
        <f t="shared" si="42"/>
        <v>12220942</v>
      </c>
      <c r="E80" s="58">
        <f t="shared" si="42"/>
        <v>12078528</v>
      </c>
      <c r="F80" s="58">
        <f t="shared" si="42"/>
        <v>11324224</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1.4550387206421544</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0.10039645772788393</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1050246.6606106577</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-947972.33938934223</v>
      </c>
      <c r="F73" s="1" t="s">
        <v>365</v>
      </c>
    </row>
    <row r="74" spans="2:6" ht="15" customHeight="1" x14ac:dyDescent="0.35">
      <c r="B74" s="294" t="s">
        <v>335</v>
      </c>
      <c r="C74" s="295">
        <f>-$C$66/C73</f>
        <v>1.6829876118070222</v>
      </c>
      <c r="D74" s="295">
        <f>-$C$66/D73</f>
        <v>2.1078874530107048</v>
      </c>
      <c r="F74" s="289" t="s">
        <v>332</v>
      </c>
    </row>
    <row r="75" spans="2:6" ht="15" customHeight="1" x14ac:dyDescent="0.35">
      <c r="B75" s="82" t="s">
        <v>333</v>
      </c>
      <c r="C75" s="299"/>
      <c r="D75" s="298">
        <f>MAX(-D73*D76,G5)</f>
        <v>947972.33938934223</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1050246.6606106577</v>
      </c>
      <c r="D87" s="254">
        <f>C87*$H$1/Common_Shares</f>
        <v>1.7888479273623368</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0.72134257435984139</v>
      </c>
      <c r="D28" s="26"/>
      <c r="E28" s="306"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-302359.25</v>
      </c>
      <c r="E33" s="306" t="s">
        <v>347</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3.8696911822371505E-2</v>
      </c>
      <c r="D78" s="27"/>
      <c r="E78" s="306" t="s">
        <v>369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Data!C65</f>
        <v>1.36</v>
      </c>
      <c r="H90" s="116">
        <f>Data!D65</f>
        <v>1.1000000000000001</v>
      </c>
      <c r="I90" s="116">
        <f>Data!E65</f>
        <v>1.1000000000000001</v>
      </c>
      <c r="J90" s="116">
        <f>Data!F65</f>
        <v>1</v>
      </c>
      <c r="K90" s="116">
        <f>Data!G65</f>
        <v>1</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9.418282548476456E-2</v>
      </c>
      <c r="E93" s="308"/>
      <c r="G93" s="23">
        <f t="shared" ref="G93:Q93" si="39">IF(G$4="","",G90/Market_Price)</f>
        <v>9.418282548476456E-2</v>
      </c>
      <c r="H93" s="23">
        <f t="shared" si="39"/>
        <v>7.6177285318559565E-2</v>
      </c>
      <c r="I93" s="23">
        <f t="shared" si="39"/>
        <v>7.6177285318559565E-2</v>
      </c>
      <c r="J93" s="23">
        <f t="shared" si="39"/>
        <v>6.9252077562326875E-2</v>
      </c>
      <c r="K93" s="23">
        <f t="shared" si="39"/>
        <v>6.9252077562326875E-2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f>IF(G$4="","",Data!D77)</f>
        <v>213823</v>
      </c>
      <c r="H102" s="188">
        <f>IF(H$4="","",Data!E77)</f>
        <v>187711</v>
      </c>
      <c r="I102" s="188">
        <f>IF(I$4="","",Data!F77)</f>
        <v>277338</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9672256</v>
      </c>
      <c r="D103" s="91"/>
      <c r="E103" s="310"/>
      <c r="F103" s="91"/>
      <c r="G103" s="188">
        <f>IF(G$4="","",Data!D78)</f>
        <v>8852611</v>
      </c>
      <c r="H103" s="188">
        <f>IF(H$4="","",Data!E78)</f>
        <v>8769304</v>
      </c>
      <c r="I103" s="188">
        <f>IF(I$4="","",Data!F78)</f>
        <v>7321614</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3990166</v>
      </c>
      <c r="D104" s="26"/>
      <c r="E104" s="309"/>
      <c r="F104" s="26"/>
      <c r="G104" s="186">
        <f>Data!C79</f>
        <v>3990166</v>
      </c>
      <c r="H104" s="186">
        <f>Data!D79</f>
        <v>2466431</v>
      </c>
      <c r="I104" s="186">
        <f>Data!E79</f>
        <v>3908586</v>
      </c>
      <c r="J104" s="186">
        <f>Data!F79</f>
        <v>2946772</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12863898</v>
      </c>
      <c r="D105" s="26"/>
      <c r="E105" s="309"/>
      <c r="F105" s="26"/>
      <c r="G105" s="186">
        <f>Data!C80</f>
        <v>12863898</v>
      </c>
      <c r="H105" s="186">
        <f>Data!D80</f>
        <v>12220942</v>
      </c>
      <c r="I105" s="186">
        <f>Data!E80</f>
        <v>12078528</v>
      </c>
      <c r="J105" s="186">
        <f>Data!F80</f>
        <v>11324224</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0</v>
      </c>
      <c r="H113" s="340">
        <f>IF(H$4="","",Data!D$22/Data!D15)</f>
        <v>0</v>
      </c>
      <c r="I113" s="340">
        <f>IF(I$4="","",Data!E$22/Data!E15)</f>
        <v>0</v>
      </c>
      <c r="J113" s="340">
        <f>IF(J$4="","",Data!F$22/Data!F15)</f>
        <v>0</v>
      </c>
      <c r="K113" s="340">
        <f>IF(K$4="","",Data!G$22/Data!G15)</f>
        <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1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0.10871779326358874</v>
      </c>
      <c r="D120" s="106"/>
      <c r="E120" s="311"/>
      <c r="F120" s="106"/>
      <c r="G120" s="105">
        <f t="shared" ref="G120:Q120" si="48">IF(G$4="","",G8/G105)</f>
        <v>0.14589458032083277</v>
      </c>
      <c r="H120" s="105">
        <f t="shared" si="48"/>
        <v>0.11152020850765841</v>
      </c>
      <c r="I120" s="105">
        <f t="shared" si="48"/>
        <v>0.1174576902086082</v>
      </c>
      <c r="J120" s="105">
        <f t="shared" si="48"/>
        <v>8.2816712209154458E-2</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1.7279860193696295</v>
      </c>
      <c r="D124" s="27"/>
      <c r="E124" s="305"/>
      <c r="F124" s="27"/>
      <c r="G124" s="181">
        <f t="shared" ref="G124:Q124" si="49">IF(G$4="","",G16*$C$3/Common_Shares*Exchange_Rate)</f>
        <v>2.1996536733213881</v>
      </c>
      <c r="H124" s="181">
        <f t="shared" si="49"/>
        <v>2.2867021551286859</v>
      </c>
      <c r="I124" s="181">
        <f t="shared" si="49"/>
        <v>1.9177886097578105</v>
      </c>
      <c r="J124" s="181">
        <f t="shared" si="49"/>
        <v>1.8444848904022044</v>
      </c>
      <c r="K124" s="181">
        <f t="shared" si="49"/>
        <v>1.5985289112722136</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0.11966662184000204</v>
      </c>
      <c r="D125" s="27"/>
      <c r="E125" s="305"/>
      <c r="F125" s="27"/>
      <c r="G125" s="79">
        <f t="shared" ref="G125" si="50">IF(G$4="","",G124/Market_Price)</f>
        <v>0.15233058679510997</v>
      </c>
      <c r="H125" s="79">
        <f t="shared" ref="H125" si="51">IF(H$4="","",H124/Market_Price)</f>
        <v>0.15835887500891177</v>
      </c>
      <c r="I125" s="79">
        <f t="shared" ref="I125" si="52">IF(I$4="","",I124/Market_Price)</f>
        <v>0.1328108455510949</v>
      </c>
      <c r="J125" s="79">
        <f t="shared" ref="J125" si="53">IF(J$4="","",J124/Market_Price)</f>
        <v>0.12773441069267344</v>
      </c>
      <c r="K125" s="79">
        <f t="shared" ref="K125" si="54">IF(K$4="","",K124/Market_Price)</f>
        <v>0.11070144814904527</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412</v>
      </c>
      <c r="C126" s="173"/>
      <c r="G126" s="23">
        <f>IF(G$4="","",(Data!C47*$C$3)/(Market_Price*Common_Shares))</f>
        <v>0.20846177228985796</v>
      </c>
      <c r="H126" s="23">
        <f>IF(H$4="","",(Data!D47*$C$3)/(Market_Price*Common_Shares))</f>
        <v>0.15154301107154738</v>
      </c>
      <c r="I126" s="23">
        <f>IF(I$4="","",(Data!E47*$C$3)/(Market_Price*Common_Shares))</f>
        <v>0.16423575280588001</v>
      </c>
      <c r="J126" s="23">
        <f>IF(J$4="","",(Data!F47*$C$3)/(Market_Price*Common_Shares))</f>
        <v>0.11999935331620895</v>
      </c>
      <c r="K126" s="23">
        <f>IF(K$4="","",(Data!G47*$C$3)/(Market_Price*Common_Shares))</f>
        <v>0.102185848091466</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1014514.1566621615</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12681426.958277019</v>
      </c>
      <c r="D6" t="str">
        <f>Reporting_currency</f>
        <v>HKD</v>
      </c>
      <c r="E6" s="349" t="s">
        <v>251</v>
      </c>
      <c r="F6" s="349"/>
      <c r="H6" s="124"/>
    </row>
    <row r="7" spans="2:8" x14ac:dyDescent="0.35">
      <c r="B7" s="152" t="s">
        <v>226</v>
      </c>
      <c r="C7" s="232">
        <f>BS!G31</f>
        <v>2034922</v>
      </c>
      <c r="D7" t="str">
        <f>Reporting_currency</f>
        <v>HKD</v>
      </c>
      <c r="E7" s="349"/>
      <c r="F7" s="349"/>
      <c r="H7" s="124"/>
    </row>
    <row r="8" spans="2:8" x14ac:dyDescent="0.35">
      <c r="B8" s="152" t="s">
        <v>227</v>
      </c>
      <c r="C8" s="207">
        <f>BS!D66</f>
        <v>1050246.6606106577</v>
      </c>
      <c r="D8" t="str">
        <f>Reporting_currency</f>
        <v>HKD</v>
      </c>
      <c r="E8" s="349"/>
      <c r="F8" s="349"/>
      <c r="H8" s="124"/>
    </row>
    <row r="9" spans="2:8" x14ac:dyDescent="0.35">
      <c r="B9" s="233" t="s">
        <v>192</v>
      </c>
      <c r="C9" s="235">
        <f>BS!H42</f>
        <v>92572.6</v>
      </c>
      <c r="D9" t="str">
        <f>Reporting_currency</f>
        <v>HKD</v>
      </c>
      <c r="E9" s="349"/>
      <c r="F9" s="349"/>
      <c r="H9" s="124"/>
    </row>
    <row r="10" spans="2:8" ht="13.15" x14ac:dyDescent="0.4">
      <c r="B10" s="153" t="s">
        <v>229</v>
      </c>
      <c r="C10" s="238">
        <f>C6-C7+C8+C9</f>
        <v>11789324.218887676</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20.080338252823015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20.512359193543752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102</v>
      </c>
      <c r="F52" s="141">
        <f>SUM(F21:F51)</f>
        <v>12935069.843938548</v>
      </c>
      <c r="H52" s="124"/>
    </row>
    <row r="53" spans="1:8" x14ac:dyDescent="0.35">
      <c r="C53" s="118"/>
      <c r="H53" s="124"/>
    </row>
    <row r="54" spans="1:8" ht="13.15" x14ac:dyDescent="0.35">
      <c r="B54" s="123" t="s">
        <v>131</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-14.44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21.868980461992876</v>
      </c>
    </row>
    <row r="7" spans="2:9" ht="12.75" customHeight="1" x14ac:dyDescent="0.35">
      <c r="B7" s="103" t="s">
        <v>279</v>
      </c>
      <c r="C7" s="118">
        <f>Normalized_FCF!G8</f>
        <v>1876773</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1"/>
      <c r="H7" s="282">
        <v>4</v>
      </c>
      <c r="I7" s="270" t="str">
        <f t="shared" si="0"/>
        <v/>
      </c>
    </row>
    <row r="8" spans="2:9" x14ac:dyDescent="0.35">
      <c r="B8" s="103" t="s">
        <v>67</v>
      </c>
      <c r="C8" s="118">
        <f>Normalized_FCF!G19</f>
        <v>1291433.9388883226</v>
      </c>
      <c r="D8" t="str">
        <f>Reporting_currency</f>
        <v>HKD</v>
      </c>
      <c r="E8" s="351"/>
      <c r="F8" s="351"/>
      <c r="H8" s="282">
        <v>5</v>
      </c>
      <c r="I8" s="270" t="str">
        <f t="shared" si="0"/>
        <v/>
      </c>
    </row>
    <row r="9" spans="2:9" x14ac:dyDescent="0.35">
      <c r="B9" s="103" t="s">
        <v>58</v>
      </c>
      <c r="C9" s="207">
        <f>Normalized_FCF!C19</f>
        <v>1014514.1566621615</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0.20035451325595277</v>
      </c>
      <c r="D12" s="162"/>
      <c r="E12" s="351"/>
      <c r="F12" s="351"/>
      <c r="H12" s="282">
        <v>9</v>
      </c>
      <c r="I12" s="270" t="str">
        <f t="shared" si="0"/>
        <v/>
      </c>
    </row>
    <row r="13" spans="2:9" x14ac:dyDescent="0.35">
      <c r="B13" s="152" t="s">
        <v>154</v>
      </c>
      <c r="C13" s="162">
        <f ca="1">(Normalized_FCF!G8/OFFSET(Normalized_FCF!G8, 0, $C$4))^(1/$C$4) - 1</f>
        <v>0.26016796976901468</v>
      </c>
      <c r="E13" s="351"/>
      <c r="F13" s="351"/>
      <c r="H13" s="282">
        <v>10</v>
      </c>
      <c r="I13" s="270" t="str">
        <f t="shared" si="0"/>
        <v/>
      </c>
    </row>
    <row r="14" spans="2:9" x14ac:dyDescent="0.35">
      <c r="B14" s="103" t="s">
        <v>67</v>
      </c>
      <c r="C14" s="162">
        <f ca="1">(Normalized_FCF!G19/OFFSET(Normalized_FCF!G19, 0, $C$4))^(1/$C$4) - 1</f>
        <v>6.0457013634429568E-2</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14.44</v>
      </c>
      <c r="D21" t="str">
        <f>Market_currency</f>
        <v>HKD</v>
      </c>
      <c r="E21" s="352"/>
      <c r="F21" s="352"/>
    </row>
    <row r="22" spans="2:6" x14ac:dyDescent="0.35">
      <c r="B22" s="103" t="s">
        <v>284</v>
      </c>
      <c r="C22" s="164">
        <f>Valuation_Model!C12</f>
        <v>20.080338252823015</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0.02</v>
      </c>
      <c r="D26" s="168"/>
      <c r="E26" s="350"/>
      <c r="F26" s="350"/>
    </row>
    <row r="27" spans="2:6" x14ac:dyDescent="0.35">
      <c r="B27" s="103" t="s">
        <v>115</v>
      </c>
      <c r="C27" s="164">
        <f>Valuation_Model!E76</f>
        <v>20.777261684426229</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-0.05</v>
      </c>
      <c r="D32" s="168"/>
      <c r="E32" s="350"/>
      <c r="F32" s="350"/>
    </row>
    <row r="33" spans="2:6" x14ac:dyDescent="0.35">
      <c r="B33" s="103" t="s">
        <v>115</v>
      </c>
      <c r="C33" s="164">
        <f>Valuation_Model!E77</f>
        <v>18.42358674753498</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0.05</v>
      </c>
      <c r="D38" s="168"/>
      <c r="E38" s="350"/>
      <c r="F38" s="350"/>
    </row>
    <row r="39" spans="2:6" x14ac:dyDescent="0.35">
      <c r="B39" s="103" t="s">
        <v>115</v>
      </c>
      <c r="C39" s="164">
        <f>Valuation_Model!E75</f>
        <v>21.862068001465992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20.523487960455931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-0.08</v>
      </c>
      <c r="D50" s="168"/>
      <c r="E50" s="350"/>
      <c r="F50" s="350"/>
    </row>
    <row r="51" spans="2:6" x14ac:dyDescent="0.35">
      <c r="B51" s="103" t="s">
        <v>115</v>
      </c>
      <c r="C51" s="164">
        <f>Valuation_Model!E78</f>
        <v>15.621773465843134</v>
      </c>
      <c r="D51" t="str">
        <f>Market_currency</f>
        <v>HKD</v>
      </c>
      <c r="E51" s="350"/>
      <c r="F51" s="350"/>
    </row>
    <row r="52" spans="2:6" x14ac:dyDescent="0.35">
      <c r="B52" s="103" t="s">
        <v>149</v>
      </c>
      <c r="C52" s="169">
        <v>0.02</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24.69982753191616</v>
      </c>
      <c r="D57" t="str">
        <f>Market_currency</f>
        <v>HKD</v>
      </c>
      <c r="E57" s="350"/>
      <c r="F57" s="350"/>
    </row>
    <row r="58" spans="2:6" x14ac:dyDescent="0.35">
      <c r="B58" s="103" t="s">
        <v>149</v>
      </c>
      <c r="C58" s="169">
        <v>0.02</v>
      </c>
      <c r="D58" s="169"/>
      <c r="E58" s="350"/>
      <c r="F58" s="350"/>
    </row>
    <row r="60" spans="2:6" ht="13.15" x14ac:dyDescent="0.4">
      <c r="B60" s="103" t="s">
        <v>122</v>
      </c>
      <c r="C60" s="158">
        <f>C51*C52+C57*C58+C42*(1-C52-C58)</f>
        <v>20.508980461992877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20.512359193543752</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-7.4088860346483723E-2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2.8648148148148147</v>
      </c>
      <c r="D81" s="120"/>
      <c r="E81" s="103"/>
      <c r="F81" s="103"/>
    </row>
    <row r="82" spans="2:8" x14ac:dyDescent="0.35">
      <c r="B82" s="103" t="s">
        <v>124</v>
      </c>
      <c r="C82" s="120">
        <f>C60/(1+C80)^C76</f>
        <v>11.868622952542175</v>
      </c>
      <c r="D82" s="120"/>
    </row>
    <row r="83" spans="2:8" ht="13.15" x14ac:dyDescent="0.4">
      <c r="B83" s="114" t="s">
        <v>103</v>
      </c>
      <c r="C83" s="115">
        <f>C81+C82</f>
        <v>14.733437767356989</v>
      </c>
      <c r="D83" t="str">
        <f>Market_currency</f>
        <v>HKD</v>
      </c>
      <c r="E83" s="150" t="s">
        <v>128</v>
      </c>
      <c r="F83" s="335">
        <f>(1-C83/C60)</f>
        <v>0.28161042453275964</v>
      </c>
    </row>
    <row r="84" spans="2:8" x14ac:dyDescent="0.35">
      <c r="E84" s="124"/>
    </row>
    <row r="85" spans="2:8" ht="13.15" x14ac:dyDescent="0.4">
      <c r="B85" s="112" t="s">
        <v>313</v>
      </c>
    </row>
    <row r="86" spans="2:8" x14ac:dyDescent="0.35">
      <c r="B86" s="152" t="s">
        <v>311</v>
      </c>
      <c r="C86" s="272">
        <f>Market_Price</f>
        <v>14.44</v>
      </c>
      <c r="D86" t="str">
        <f>Market_currency</f>
        <v>HKD</v>
      </c>
    </row>
    <row r="87" spans="2:8" ht="13.15" x14ac:dyDescent="0.4">
      <c r="B87" s="103" t="s">
        <v>309</v>
      </c>
      <c r="C87" s="271">
        <f ca="1">IRR(OFFSET($I$3, 0, 0, $C$76 + 1, 1))</f>
        <v>0.20871253483792285</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2025-04-07T14:20:33Z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