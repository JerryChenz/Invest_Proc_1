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13708FB-1C68-415D-8E82-D914BFB0521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F60" i="9"/>
  <c r="B10" i="6"/>
  <c r="B20" i="6"/>
  <c r="C40" i="3" l="1"/>
  <c r="C3" i="2" l="1"/>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93" i="3" s="1"/>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I4" i="9"/>
  <c r="I5" i="9"/>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81" i="9" l="1"/>
  <c r="C121"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M43" i="2"/>
  <c r="M92" i="2"/>
  <c r="N43" i="2"/>
  <c r="N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D74"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6" i="3" l="1"/>
  <c r="D75" i="3" s="1"/>
  <c r="D66" i="3" s="1"/>
  <c r="C8" i="8" s="1"/>
  <c r="C30" i="2"/>
  <c r="C5" i="2"/>
  <c r="C6" i="2" s="1"/>
  <c r="C8" i="2" s="1"/>
  <c r="C34" i="6"/>
  <c r="I54" i="2"/>
  <c r="I43" i="2"/>
  <c r="H54" i="2"/>
  <c r="H43" i="2"/>
  <c r="J54" i="2"/>
  <c r="J43" i="2"/>
  <c r="G54" i="2"/>
  <c r="C7" i="9"/>
  <c r="K54" i="2"/>
  <c r="C13" i="9"/>
  <c r="G78" i="2"/>
  <c r="L73" i="2"/>
  <c r="I73" i="2"/>
  <c r="H73" i="2"/>
  <c r="G73" i="2"/>
  <c r="K73" i="2"/>
  <c r="J73" i="2"/>
  <c r="C103" i="2"/>
  <c r="C86" i="6" l="1"/>
  <c r="C87" i="6" s="1"/>
  <c r="C87" i="3"/>
  <c r="D87" i="3"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<sst xmlns="http://schemas.openxmlformats.org/spreadsheetml/2006/main" count="558" uniqueCount="387">
  <si>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</si>
  <si>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</si>
  <si>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</si>
  <si>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</si>
  <si>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</si>
  <si>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</si>
  <si>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</si>
  <si>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</si>
  <si>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</si>
  <si>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</si>
  <si>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</si>
  <si>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</si>
  <si>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</si>
  <si>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</si>
  <si>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</si>
  <si>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</si>
  <si>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</si>
  <si>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</si>
  <si>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</si>
  <si>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</si>
  <si>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</si>
  <si>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</si>
  <si>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</si>
  <si>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</si>
  <si>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</si>
  <si>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</si>
  <si>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</si>
  <si>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</si>
  <si>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</si>
  <si>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</si>
  <si>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</si>
  <si>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</si>
  <si>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</si>
  <si>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</si>
  <si>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</si>
  <si>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</si>
  <si>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</si>
  <si>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</si>
  <si>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</si>
  <si>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</si>
  <si>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</si>
  <si>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</si>
  <si>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</si>
  <si>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</si>
  <si>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</si>
  <si>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</si>
  <si>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</si>
  <si>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</si>
  <si>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</si>
  <si>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</si>
  <si>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</si>
  <si>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</si>
  <si>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</si>
  <si>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</si>
  <si>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</si>
  <si>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</si>
  <si>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</si>
  <si>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</si>
  <si>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</si>
  <si>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</si>
  <si>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</si>
  <si>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</si>
  <si>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</si>
  <si>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</si>
  <si>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</si>
  <si>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</si>
  <si>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</si>
  <si>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</si>
  <si>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</si>
  <si>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</si>
  <si>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</si>
  <si>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</si>
  <si>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</si>
  <si>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</si>
  <si>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</si>
  <si>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</si>
  <si>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</si>
  <si>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</si>
  <si>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</si>
  <si>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</si>
  <si>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</si>
  <si>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</si>
  <si>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</si>
  <si>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</si>
  <si>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</si>
  <si>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</si>
  <si>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</si>
  <si>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</si>
  <si>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</si>
  <si>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</si>
  <si>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</si>
  <si>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</si>
  <si>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</si>
  <si>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</si>
  <si>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</si>
  <si>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</si>
  <si>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</si>
  <si>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</si>
  <si>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</si>
  <si>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</si>
  <si>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</si>
  <si>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</si>
  <si>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</si>
  <si>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</si>
  <si>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</si>
  <si>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</si>
  <si>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</si>
  <si>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</si>
  <si>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</si>
  <si>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</si>
  <si>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</si>
  <si>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</si>
  <si>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</si>
  <si>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</si>
  <si>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</si>
  <si>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</si>
  <si>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</si>
  <si>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</si>
  <si>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</si>
  <si>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</si>
  <si>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</si>
  <si>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</si>
  <si>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</si>
  <si>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</si>
  <si>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</si>
  <si>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</si>
  <si>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</si>
  <si>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</si>
  <si>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</si>
  <si>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</si>
  <si>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</si>
  <si>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</si>
  <si>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</si>
  <si>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</si>
  <si>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</si>
  <si>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</si>
  <si>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</si>
  <si>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</si>
  <si>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</si>
  <si>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</si>
  <si>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</si>
  <si>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</si>
  <si>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</si>
  <si>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</si>
  <si>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</si>
  <si>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</si>
  <si>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</si>
  <si>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</si>
  <si>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</si>
  <si>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</si>
  <si>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</si>
  <si>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</si>
  <si>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</si>
  <si>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</si>
  <si>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</si>
  <si>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</si>
  <si>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</si>
  <si>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</si>
  <si>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</si>
  <si>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</si>
  <si>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</si>
  <si>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</si>
  <si>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</si>
  <si>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</si>
  <si>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</si>
  <si>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</si>
  <si>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</si>
  <si>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</si>
  <si>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</si>
  <si>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</si>
  <si>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</si>
  <si>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</si>
  <si>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</si>
  <si>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</si>
  <si>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</si>
  <si>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</si>
  <si>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</si>
  <si>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</si>
  <si>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</si>
  <si>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</si>
  <si>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</si>
  <si>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</si>
  <si>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</si>
  <si>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</si>
  <si>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</si>
  <si>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</si>
  <si>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</si>
  <si>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</si>
  <si>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</si>
  <si>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</si>
  <si>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</si>
  <si>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</si>
  <si>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</si>
  <si>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</si>
  <si>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</si>
  <si>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</si>
  <si>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</si>
  <si>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</si>
  <si>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</si>
  <si>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</si>
  <si>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</si>
  <si>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</si>
  <si>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</si>
  <si>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</si>
  <si>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</si>
  <si>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</si>
  <si>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</si>
  <si>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</si>
  <si>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</si>
  <si>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</si>
  <si>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</si>
  <si>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</si>
  <si>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</si>
  <si>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</si>
  <si>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</si>
  <si>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</si>
  <si>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</si>
  <si>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</si>
  <si>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</si>
  <si>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</si>
  <si>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</si>
  <si>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</si>
  <si>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</si>
  <si>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</si>
  <si>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</si>
  <si>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</si>
  <si>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</si>
  <si>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</si>
  <si>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</si>
  <si>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</si>
  <si>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</si>
  <si>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</si>
  <si>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</si>
  <si>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</si>
  <si>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</si>
  <si>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</si>
  <si>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</si>
  <si>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</si>
  <si>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</si>
  <si>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</si>
  <si>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</si>
  <si>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</si>
  <si>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</si>
  <si>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</si>
  <si>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</si>
  <si>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</si>
  <si>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</si>
  <si>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</si>
  <si>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</si>
  <si>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</si>
  <si>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</si>
  <si>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</si>
  <si>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</si>
  <si>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</si>
  <si>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</si>
  <si>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</si>
  <si>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</si>
  <si>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</si>
  <si>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</si>
  <si>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</si>
  <si>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</si>
  <si>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</si>
  <si>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</si>
  <si>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</si>
  <si>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</si>
  <si>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</si>
  <si>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</si>
  <si>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</si>
  <si>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</si>
  <si>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</si>
  <si>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</si>
  <si>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</si>
  <si>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</si>
  <si>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</si>
  <si>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</si>
  <si>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</si>
  <si>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</si>
  <si>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</si>
  <si>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</si>
  <si>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</si>
  <si>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</si>
  <si>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</si>
  <si>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</si>
  <si>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</si>
  <si>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</si>
  <si>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</si>
  <si>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</si>
  <si>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</si>
  <si>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</si>
  <si>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</si>
  <si>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</si>
  <si>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</si>
  <si>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</si>
  <si>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</si>
  <si>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</si>
  <si>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</si>
  <si>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</si>
  <si>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</si>
  <si>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</si>
  <si>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</si>
  <si>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</si>
  <si>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</si>
  <si>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</si>
  <si>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</si>
  <si>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</si>
  <si>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</si>
  <si>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</si>
  <si>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</si>
  <si>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</si>
  <si>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</si>
  <si>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</si>
  <si>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</si>
  <si>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</si>
  <si>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</si>
  <si>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</si>
  <si>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</si>
  <si>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</si>
  <si>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</si>
  <si>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</si>
  <si>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</si>
  <si>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</si>
  <si>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</si>
  <si>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</si>
  <si>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</si>
  <si>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</si>
  <si>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</si>
  <si>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</si>
  <si>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</si>
  <si>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</si>
  <si>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</si>
  <si>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</si>
  <si>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</si>
  <si>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</si>
  <si>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</si>
  <si>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</si>
  <si>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</si>
  <si>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</si>
  <si>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</si>
  <si>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</si>
  <si>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</si>
  <si>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</si>
  <si>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</si>
  <si>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</si>
  <si>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</si>
  <si>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</si>
  <si>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</si>
  <si>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</si>
  <si>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</si>
  <si>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</si>
  <si>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</si>
  <si>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</si>
  <si>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</si>
  <si>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</si>
  <si>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</si>
  <si>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</si>
  <si>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</si>
  <si>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</si>
  <si>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</si>
  <si>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</si>
  <si>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</si>
  <si>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</si>
  <si>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</si>
  <si>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</si>
  <si>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</si>
  <si>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</si>
  <si>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</si>
  <si>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</si>
  <si>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</si>
  <si>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</si>
  <si>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</si>
  <si>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</si>
  <si>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</si>
  <si>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</si>
  <si>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</si>
  <si>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</si>
  <si>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AI Prompt</t>
    <phoneticPr fontId="2" type="noConversion"/>
  </si>
  <si>
    <t>I need to categorize the balance sheet items from the provided financial statements into the exact structure below. Follow these steps:
1.	Identify Line Items: Extract all assets, liabilities, and equity line items from the text. Preserve their exact wording (e.g., ‘Trade Receivables’ vs. ‘Accounts Receivable’).
2.	Map to Categories: Classify each item into the pre-defined structure below. Use the descriptions to resolve ambiguities.
3.	Flag Uncertainties: Note items that don’t fit cleanly or require assumptions.
4.	Format Output: Provide a table with columns: PDF Line Item | Category | Subcategory | Amount. 
STRUCTURE TO FOLLOW (use exact names):
•	ST Operating Assets: ST AR, Operating ST Financial Assets, Inventory, Prepayments and Contract Assets, ST DTA, Other ST Assets, Operating ST Assets
•	LT Operating Assets: LT AR, Operating LT Financial Assets, PP&amp;E &amp; Right of Use Assets, Biological assets, Intangible assets, LT DTA, Other assets &amp; Goodwill
•	ST Non-Operating Assets: Cash and cash equivalents, Restricted cash, Securities with stable income, Other Securities, Properties with stable income, Other Properties
•	LT Non-Operating Assets: LT Deposits, Securities with stable income, Other Securities, JV or associate with stable income, Other JV or associate, Properties with stable income, Other Properties
•	ST Liabilities: ST Borrowing, ST Lease liabilities, ST SH Loan, ST Financial Liabilities, ST Interest-bearing Debt, Other ST liabilities
•	LT Liabilities: LT Borrowing, LT Lease liabilities, LT SH Loan, LT Financial Liabilities, LT Interest-bearing Debt, Other LT liabilities
•	Equity: Minority Interest (NCI), Common Equity
EXAMPLE:
•	If the PDF says “Property, Plant, and Equipment – $50M”, map to:
PP&amp;E &amp; Right of Use Assets | LT Operating Assets | PP&amp;E &amp; Right of Use Assets | \$50,000,000
•	If the PDF says “Marketable Securities – $10M”, map to:
Other Securities | ST Non-Operating Assets | Other Securities | \$10,000,000</t>
    <phoneticPr fontId="2" type="noConversion"/>
  </si>
  <si>
    <t>六福珠宝</t>
    <phoneticPr fontId="2" type="noConversion"/>
  </si>
  <si>
    <t>0590.HK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</si>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</sst>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zoomScale="86" zoomScaleNormal="100" workbookViewId="0">
      <selection activeCell="C11" sqref="C11"/>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353</v>
      </c>
      <c r="F1" s="293" t="s">
        <v>355</v>
      </c>
    </row>
    <row r="2" spans="1:10" ht="13.9" x14ac:dyDescent="0.45">
      <c r="A2" s="254" t="s">
        <v>285</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352</v>
      </c>
      <c r="C5" s="48" t="s">
        <v>377</v>
      </c>
      <c r="D5" s="49" t="s">
        <v>378</v>
      </c>
    </row>
    <row r="6" spans="1:10" x14ac:dyDescent="0.35">
      <c r="B6" s="4" t="s">
        <v>99</v>
      </c>
      <c r="C6" s="50">
        <v>14.86</v>
      </c>
      <c r="D6" s="48" t="s">
        <v>43</v>
      </c>
      <c r="E6" s="48"/>
    </row>
    <row r="7" spans="1:10" x14ac:dyDescent="0.35">
      <c r="B7" s="4" t="s">
        <v>0</v>
      </c>
      <c r="C7" s="51">
        <v>587107850</v>
      </c>
      <c r="D7" s="34"/>
      <c r="E7" s="34"/>
    </row>
    <row r="8" spans="1:10" x14ac:dyDescent="0.35">
      <c r="B8" s="2" t="s">
        <v>341</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8724.4226510000008</v>
      </c>
      <c r="D10" s="32"/>
      <c r="E10" s="5"/>
    </row>
    <row r="11" spans="1:10" x14ac:dyDescent="0.35">
      <c r="D11" s="5"/>
      <c r="E11" s="5"/>
    </row>
    <row r="12" spans="1:10" ht="24.4" customHeight="1" x14ac:dyDescent="0.35">
      <c r="B12" s="332" t="s">
        <v>290</v>
      </c>
      <c r="C12" s="332"/>
      <c r="D12" s="332"/>
      <c r="E12" s="332"/>
      <c r="F12" s="332"/>
    </row>
    <row r="14" spans="1:10" x14ac:dyDescent="0.35">
      <c r="B14" s="45" t="s">
        <v>340</v>
      </c>
      <c r="C14" s="46"/>
      <c r="D14" s="5"/>
    </row>
    <row r="15" spans="1:10" x14ac:dyDescent="0.35">
      <c r="B15" s="2" t="s">
        <v>339</v>
      </c>
      <c r="C15" s="32" t="str">
        <f>IF(Scenarios!C69="Y",Scenarios!B69,"")&amp;IF(Scenarios!C70="Y",Scenarios!B70,"")&amp;IF(Scenarios!C71="Y",Scenarios!B71,"")&amp;" "&amp;IF(Scenarios!C72="Y",Scenarios!B72,"")</f>
        <v>Low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356</v>
      </c>
      <c r="E18" s="5"/>
    </row>
    <row r="19" spans="1:6" x14ac:dyDescent="0.35">
      <c r="B19" s="2" t="s">
        <v>297</v>
      </c>
      <c r="C19" s="256">
        <v>0.2</v>
      </c>
      <c r="E19" s="5"/>
    </row>
    <row r="20" spans="1:6" x14ac:dyDescent="0.35">
      <c r="B20" s="2" t="str">
        <f>"Target Buy Price ("&amp;Market_currency&amp;"):"</f>
        <v>Target Buy Price (HKD):</v>
      </c>
      <c r="C20" s="259">
        <f>C123</f>
        <v>14.964393533646771</v>
      </c>
      <c r="D20" s="1" t="s">
        <v>343</v>
      </c>
      <c r="E20" s="323">
        <v>3</v>
      </c>
    </row>
    <row r="21" spans="1:6" x14ac:dyDescent="0.35">
      <c r="B21" s="1" t="s">
        <v>342</v>
      </c>
      <c r="C21" s="288">
        <f ca="1">Scenarios!C87</f>
        <v>0.20302018521144283</v>
      </c>
      <c r="D21" s="5"/>
      <c r="E21" s="5"/>
    </row>
    <row r="22" spans="1:6" x14ac:dyDescent="0.35">
      <c r="D22" s="5"/>
      <c r="E22" s="5"/>
    </row>
    <row r="23" spans="1:6" ht="13.9" x14ac:dyDescent="0.45">
      <c r="A23" s="254" t="s">
        <v>235</v>
      </c>
      <c r="B23" s="36"/>
      <c r="C23" s="36"/>
      <c r="D23" s="36"/>
      <c r="E23" s="36"/>
      <c r="F23" s="36"/>
    </row>
    <row r="25" spans="1:6" x14ac:dyDescent="0.35">
      <c r="B25" s="332" t="s">
        <v>236</v>
      </c>
      <c r="C25" s="332"/>
      <c r="D25" s="332"/>
      <c r="E25" s="332"/>
      <c r="F25" s="332"/>
    </row>
    <row r="26" spans="1:6" ht="24.4" customHeight="1" x14ac:dyDescent="0.35">
      <c r="B26" s="336" t="s">
        <v>256</v>
      </c>
      <c r="C26" s="336"/>
      <c r="D26" s="336"/>
      <c r="E26" s="336"/>
      <c r="F26" s="336"/>
    </row>
    <row r="28" spans="1:6" x14ac:dyDescent="0.35">
      <c r="B28" s="241" t="s">
        <v>237</v>
      </c>
      <c r="C28" s="111">
        <f>Data!C3</f>
        <v>1000</v>
      </c>
    </row>
    <row r="29" spans="1:6" ht="24.4" customHeight="1" x14ac:dyDescent="0.35">
      <c r="B29" s="334" t="s">
        <v>238</v>
      </c>
      <c r="C29" s="334"/>
      <c r="D29" s="334"/>
      <c r="E29" s="334"/>
      <c r="F29" s="334"/>
    </row>
    <row r="30" spans="1:6" x14ac:dyDescent="0.35">
      <c r="B30" s="47" t="s">
        <v>239</v>
      </c>
      <c r="C30" s="192">
        <f>Normalized_FCF!C8</f>
        <v>1398534.6033278927</v>
      </c>
      <c r="D30" s="1" t="str">
        <f>Reporting_currency</f>
        <v>HKD</v>
      </c>
    </row>
    <row r="31" spans="1:6" x14ac:dyDescent="0.35">
      <c r="B31" s="47"/>
      <c r="C31" s="78"/>
    </row>
    <row r="32" spans="1:6" ht="24.4" customHeight="1" x14ac:dyDescent="0.35">
      <c r="B32" s="334" t="s">
        <v>240</v>
      </c>
      <c r="C32" s="334"/>
      <c r="D32" s="334"/>
      <c r="E32" s="334"/>
      <c r="F32" s="334"/>
    </row>
    <row r="33" spans="2:6" x14ac:dyDescent="0.35">
      <c r="B33" s="47" t="s">
        <v>241</v>
      </c>
      <c r="C33" s="192">
        <f>Normalized_FCF!C9</f>
        <v>463424</v>
      </c>
      <c r="D33" s="1" t="str">
        <f>Reporting_currency</f>
        <v>HKD</v>
      </c>
    </row>
    <row r="34" spans="2:6" x14ac:dyDescent="0.35">
      <c r="B34" s="52" t="s">
        <v>242</v>
      </c>
      <c r="C34" s="192">
        <f>Normalized_FCF!C10</f>
        <v>-463424.00000000006</v>
      </c>
      <c r="D34" s="1" t="str">
        <f>Reporting_currency</f>
        <v>HKD</v>
      </c>
    </row>
    <row r="36" spans="2:6" x14ac:dyDescent="0.35">
      <c r="B36" s="334" t="s">
        <v>243</v>
      </c>
      <c r="C36" s="334"/>
      <c r="D36" s="334"/>
      <c r="E36" s="334"/>
      <c r="F36" s="334"/>
    </row>
    <row r="37" spans="2:6" x14ac:dyDescent="0.35">
      <c r="B37" s="47" t="s">
        <v>244</v>
      </c>
      <c r="C37" s="192">
        <f>Normalized_FCF!C11</f>
        <v>0</v>
      </c>
      <c r="D37" s="1" t="str">
        <f>Reporting_currency</f>
        <v>HKD</v>
      </c>
    </row>
    <row r="39" spans="2:6" x14ac:dyDescent="0.35">
      <c r="B39" s="334" t="s">
        <v>247</v>
      </c>
      <c r="C39" s="334"/>
      <c r="D39" s="334"/>
      <c r="E39" s="334"/>
      <c r="F39" s="334"/>
    </row>
    <row r="40" spans="2:6" x14ac:dyDescent="0.35">
      <c r="B40" s="47" t="s">
        <v>245</v>
      </c>
      <c r="C40" s="192">
        <f>Normalized_FCF!C12</f>
        <v>-30619</v>
      </c>
      <c r="D40" s="1" t="str">
        <f>Reporting_currency</f>
        <v>HKD</v>
      </c>
    </row>
    <row r="42" spans="2:6" x14ac:dyDescent="0.35">
      <c r="B42" s="1" t="s">
        <v>255</v>
      </c>
    </row>
    <row r="43" spans="2:6" x14ac:dyDescent="0.35">
      <c r="B43" s="47" t="s">
        <v>283</v>
      </c>
      <c r="C43" s="192">
        <f>Normalized_FCF!C15</f>
        <v>0</v>
      </c>
      <c r="D43" s="1" t="str">
        <f>Reporting_currency</f>
        <v>HKD</v>
      </c>
    </row>
    <row r="45" spans="2:6" x14ac:dyDescent="0.35">
      <c r="B45" s="334" t="s">
        <v>248</v>
      </c>
      <c r="C45" s="334"/>
      <c r="D45" s="334"/>
      <c r="E45" s="334"/>
      <c r="F45" s="334"/>
    </row>
    <row r="46" spans="2:6" x14ac:dyDescent="0.35">
      <c r="B46" s="47" t="s">
        <v>246</v>
      </c>
      <c r="C46" s="192">
        <f>Normalized_FCF!C14</f>
        <v>-341978.90083197318</v>
      </c>
      <c r="D46" s="1" t="str">
        <f>Reporting_currency</f>
        <v>HKD</v>
      </c>
    </row>
    <row r="48" spans="2:6" ht="24.4" customHeight="1" x14ac:dyDescent="0.35">
      <c r="B48" s="334" t="s">
        <v>251</v>
      </c>
      <c r="C48" s="335"/>
      <c r="D48" s="335"/>
      <c r="E48" s="335"/>
      <c r="F48" s="335"/>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32" t="s">
        <v>272</v>
      </c>
      <c r="C52" s="332"/>
      <c r="D52" s="332"/>
      <c r="E52" s="332"/>
      <c r="F52" s="332"/>
    </row>
    <row r="53" spans="1:6" x14ac:dyDescent="0.35">
      <c r="B53" s="47" t="s">
        <v>289</v>
      </c>
      <c r="C53" s="192">
        <f>Normalized_FCF!G19</f>
        <v>1306664</v>
      </c>
      <c r="D53" s="1" t="str">
        <f>Reporting_currency</f>
        <v>HKD</v>
      </c>
    </row>
    <row r="54" spans="1:6" x14ac:dyDescent="0.35">
      <c r="B54" s="47" t="s">
        <v>258</v>
      </c>
      <c r="C54" s="192">
        <f>Normalized_FCF!C19</f>
        <v>1025936.7024959195</v>
      </c>
      <c r="D54" s="1" t="str">
        <f>Reporting_currency</f>
        <v>HKD</v>
      </c>
    </row>
    <row r="55" spans="1:6" x14ac:dyDescent="0.35">
      <c r="B55" s="261" t="s">
        <v>288</v>
      </c>
      <c r="C55" s="94">
        <f>Normalized_FCF!C120</f>
        <v>0.11759364986499432</v>
      </c>
    </row>
    <row r="56" spans="1:6" x14ac:dyDescent="0.35">
      <c r="B56" s="261" t="s">
        <v>344</v>
      </c>
      <c r="C56" s="94">
        <f>Normalized_FCF!C92</f>
        <v>9.1520861372812928E-2</v>
      </c>
    </row>
    <row r="58" spans="1:6" ht="13.9" x14ac:dyDescent="0.45">
      <c r="A58" s="254" t="s">
        <v>306</v>
      </c>
      <c r="B58" s="36"/>
      <c r="C58" s="36"/>
      <c r="D58" s="36"/>
      <c r="E58" s="36"/>
      <c r="F58" s="36"/>
    </row>
    <row r="59" spans="1:6" x14ac:dyDescent="0.35">
      <c r="A59" s="240"/>
    </row>
    <row r="60" spans="1:6" ht="24.4" customHeight="1" x14ac:dyDescent="0.35">
      <c r="A60" s="17"/>
      <c r="B60" s="334" t="s">
        <v>307</v>
      </c>
      <c r="C60" s="334"/>
      <c r="D60" s="334"/>
      <c r="E60" s="334"/>
      <c r="F60" s="334"/>
    </row>
    <row r="61" spans="1:6" x14ac:dyDescent="0.35">
      <c r="B61" s="336" t="s">
        <v>263</v>
      </c>
      <c r="C61" s="336"/>
      <c r="D61" s="336"/>
      <c r="E61" s="336"/>
      <c r="F61" s="336"/>
    </row>
    <row r="63" spans="1:6" x14ac:dyDescent="0.35">
      <c r="B63" s="241" t="s">
        <v>237</v>
      </c>
    </row>
    <row r="64" spans="1:6" x14ac:dyDescent="0.35">
      <c r="B64" s="1" t="s">
        <v>311</v>
      </c>
      <c r="C64" s="321">
        <v>0.08</v>
      </c>
    </row>
    <row r="65" spans="1:6" x14ac:dyDescent="0.35">
      <c r="B65" s="1" t="s">
        <v>313</v>
      </c>
      <c r="C65" s="271">
        <f>IF(D65="Y",1%,0)</f>
        <v>0</v>
      </c>
      <c r="D65" s="295" t="s">
        <v>361</v>
      </c>
    </row>
    <row r="66" spans="1:6" x14ac:dyDescent="0.35">
      <c r="B66" s="1" t="s">
        <v>312</v>
      </c>
      <c r="C66" s="271">
        <f>IF(D66="Y",1%,0)</f>
        <v>0</v>
      </c>
      <c r="D66" s="295" t="s">
        <v>361</v>
      </c>
    </row>
    <row r="67" spans="1:6" x14ac:dyDescent="0.35">
      <c r="B67" s="82" t="s">
        <v>257</v>
      </c>
      <c r="C67" s="271">
        <f>SUM(C64:C66)</f>
        <v>0.08</v>
      </c>
    </row>
    <row r="68" spans="1:6" x14ac:dyDescent="0.35">
      <c r="C68" s="125"/>
    </row>
    <row r="69" spans="1:6" ht="24.4" customHeight="1" x14ac:dyDescent="0.35">
      <c r="B69" s="332" t="s">
        <v>314</v>
      </c>
      <c r="C69" s="332"/>
      <c r="D69" s="332"/>
      <c r="E69" s="332"/>
      <c r="F69" s="332"/>
    </row>
    <row r="70" spans="1:6" ht="24.4" customHeight="1" x14ac:dyDescent="0.35">
      <c r="B70" s="332" t="s">
        <v>262</v>
      </c>
      <c r="C70" s="332"/>
      <c r="D70" s="332"/>
      <c r="E70" s="332"/>
      <c r="F70" s="332"/>
    </row>
    <row r="71" spans="1:6" x14ac:dyDescent="0.35">
      <c r="B71" s="47" t="s">
        <v>261</v>
      </c>
      <c r="C71" s="271">
        <v>0</v>
      </c>
    </row>
    <row r="73" spans="1:6" x14ac:dyDescent="0.35">
      <c r="B73" s="47" t="s">
        <v>305</v>
      </c>
      <c r="C73" s="255">
        <f>Valuation_Model!C6*C28*Exchange_Rate/Common_Shares</f>
        <v>21.843020462422693</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2" t="s">
        <v>265</v>
      </c>
      <c r="C77" s="332"/>
      <c r="D77" s="332"/>
      <c r="E77" s="332"/>
      <c r="F77" s="332"/>
    </row>
    <row r="78" spans="1:6" x14ac:dyDescent="0.35">
      <c r="B78" s="1" t="s">
        <v>266</v>
      </c>
    </row>
    <row r="80" spans="1:6" x14ac:dyDescent="0.35">
      <c r="B80" s="241" t="s">
        <v>237</v>
      </c>
    </row>
    <row r="81" spans="2:6" x14ac:dyDescent="0.35">
      <c r="B81" s="47" t="s">
        <v>268</v>
      </c>
      <c r="C81" s="192">
        <f>Valuation_Model!C7</f>
        <v>2034922</v>
      </c>
      <c r="D81" s="1" t="str">
        <f>Reporting_currency</f>
        <v>HKD</v>
      </c>
    </row>
    <row r="82" spans="2:6" x14ac:dyDescent="0.35">
      <c r="B82" s="47" t="s">
        <v>308</v>
      </c>
      <c r="C82" s="255">
        <f>C81*C28*Exchange_Rate/Common_Shares</f>
        <v>3.4660105464438944</v>
      </c>
      <c r="D82" s="1" t="str">
        <f>Market_currency</f>
        <v>HKD</v>
      </c>
    </row>
    <row r="84" spans="2:6" x14ac:dyDescent="0.35">
      <c r="B84" s="1" t="s">
        <v>267</v>
      </c>
    </row>
    <row r="85" spans="2:6" x14ac:dyDescent="0.35">
      <c r="B85" s="47" t="s">
        <v>282</v>
      </c>
      <c r="C85" s="192">
        <f>BS!C66</f>
        <v>1998219</v>
      </c>
      <c r="D85" s="1" t="str">
        <f>Reporting_currency</f>
        <v>HKD</v>
      </c>
    </row>
    <row r="86" spans="2:6" x14ac:dyDescent="0.35">
      <c r="B86" s="47" t="s">
        <v>284</v>
      </c>
      <c r="C86" s="192">
        <f>Valuation_Model!C8</f>
        <v>1116785.5502773244</v>
      </c>
      <c r="D86" s="1" t="str">
        <f>Reporting_currency</f>
        <v>HKD</v>
      </c>
    </row>
    <row r="87" spans="2:6" x14ac:dyDescent="0.35">
      <c r="B87" s="47" t="s">
        <v>309</v>
      </c>
      <c r="C87" s="255">
        <f>C86*C28*Exchange_Rate/Common_Shares</f>
        <v>1.9021812606956703</v>
      </c>
      <c r="D87" s="1" t="str">
        <f>Market_currency</f>
        <v>HKD</v>
      </c>
    </row>
    <row r="89" spans="2:6" x14ac:dyDescent="0.35">
      <c r="B89" s="1" t="s">
        <v>269</v>
      </c>
    </row>
    <row r="90" spans="2:6" x14ac:dyDescent="0.35">
      <c r="B90" s="47" t="s">
        <v>270</v>
      </c>
      <c r="C90" s="192">
        <f>Valuation_Model!C9</f>
        <v>92572.6</v>
      </c>
      <c r="D90" s="1" t="str">
        <f>Reporting_currency</f>
        <v>HKD</v>
      </c>
    </row>
    <row r="91" spans="2:6" x14ac:dyDescent="0.35">
      <c r="B91" s="47" t="s">
        <v>310</v>
      </c>
      <c r="C91" s="255">
        <f>C90*C28*Exchange_Rate/Common_Shares</f>
        <v>0.15767562978420405</v>
      </c>
      <c r="D91" s="1" t="str">
        <f>Market_currency</f>
        <v>HKD</v>
      </c>
    </row>
    <row r="93" spans="2:6" ht="24.4" customHeight="1" x14ac:dyDescent="0.35">
      <c r="B93" s="332" t="s">
        <v>271</v>
      </c>
      <c r="C93" s="332"/>
      <c r="D93" s="332"/>
      <c r="E93" s="332"/>
      <c r="F93" s="332"/>
    </row>
    <row r="95" spans="2:6" x14ac:dyDescent="0.35">
      <c r="B95" s="47" t="s">
        <v>304</v>
      </c>
      <c r="C95" s="255">
        <f>Valuation_Model!C12</f>
        <v>20.436866806458671</v>
      </c>
      <c r="D95" s="1" t="str">
        <f>Market_currency</f>
        <v>HKD</v>
      </c>
    </row>
    <row r="97" spans="1:6" ht="13.9" x14ac:dyDescent="0.45">
      <c r="A97" s="254" t="s">
        <v>281</v>
      </c>
      <c r="B97" s="36"/>
      <c r="C97" s="36"/>
      <c r="D97" s="36"/>
      <c r="E97" s="36"/>
      <c r="F97" s="36"/>
    </row>
    <row r="99" spans="1:6" ht="24.4" customHeight="1" x14ac:dyDescent="0.35">
      <c r="B99" s="334" t="s">
        <v>373</v>
      </c>
      <c r="C99" s="334"/>
      <c r="D99" s="334"/>
      <c r="E99" s="334"/>
      <c r="F99" s="334"/>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0.08</v>
      </c>
      <c r="D102" s="264">
        <f>Valuation_Model!D74</f>
        <v>10</v>
      </c>
      <c r="E102" s="265" t="str">
        <f>ROUND(Valuation_Model!E74,2)&amp;" "&amp;Market_currency</f>
        <v>27 HKD</v>
      </c>
      <c r="F102" s="266">
        <f>Valuation_Model!F74</f>
        <v>0.02</v>
      </c>
    </row>
    <row r="103" spans="1:6" x14ac:dyDescent="0.35">
      <c r="B103" s="249" t="str">
        <f>Valuation_Model!B75</f>
        <v>Optimistic</v>
      </c>
      <c r="C103" s="250">
        <f>Valuation_Model!C75</f>
        <v>0.05</v>
      </c>
      <c r="D103" s="251">
        <f>Valuation_Model!D75</f>
        <v>5</v>
      </c>
      <c r="E103" s="252" t="str">
        <f>ROUND(Valuation_Model!E75,2)&amp;" "&amp;Market_currency</f>
        <v>22.24 HKD</v>
      </c>
      <c r="F103" s="253">
        <f>Valuation_Model!F75</f>
        <v>0.192</v>
      </c>
    </row>
    <row r="104" spans="1:6" x14ac:dyDescent="0.35">
      <c r="B104" s="249" t="str">
        <f>Valuation_Model!B76</f>
        <v>Base</v>
      </c>
      <c r="C104" s="250">
        <f>Valuation_Model!C76</f>
        <v>0.02</v>
      </c>
      <c r="D104" s="251">
        <f>Valuation_Model!D76</f>
        <v>5</v>
      </c>
      <c r="E104" s="252" t="str">
        <f>ROUND(Valuation_Model!E76,2)&amp;" "&amp;Market_currency</f>
        <v>21.14 HKD</v>
      </c>
      <c r="F104" s="253">
        <f>Valuation_Model!F76</f>
        <v>0.57599999999999996</v>
      </c>
    </row>
    <row r="105" spans="1:6" x14ac:dyDescent="0.35">
      <c r="B105" s="249" t="str">
        <f>Valuation_Model!B77</f>
        <v>Pessimistic</v>
      </c>
      <c r="C105" s="250">
        <f>Valuation_Model!C77</f>
        <v>-0.05</v>
      </c>
      <c r="D105" s="251">
        <f>Valuation_Model!D77</f>
        <v>5</v>
      </c>
      <c r="E105" s="252" t="str">
        <f>ROUND(Valuation_Model!E77,2)&amp;" "&amp;Market_currency</f>
        <v>18.76 HKD</v>
      </c>
      <c r="F105" s="253">
        <f>Valuation_Model!F77</f>
        <v>0.192</v>
      </c>
    </row>
    <row r="106" spans="1:6" x14ac:dyDescent="0.35">
      <c r="B106" s="249" t="str">
        <f>Valuation_Model!B78</f>
        <v>Devil's advocate</v>
      </c>
      <c r="C106" s="250">
        <f>Valuation_Model!C78</f>
        <v>-0.08</v>
      </c>
      <c r="D106" s="251">
        <f>Valuation_Model!D78</f>
        <v>10</v>
      </c>
      <c r="E106" s="252" t="str">
        <f>ROUND(Valuation_Model!E78,2)&amp;" "&amp;Market_currency</f>
        <v>15.93 HKD</v>
      </c>
      <c r="F106" s="253">
        <f>Valuation_Model!F78</f>
        <v>0.02</v>
      </c>
    </row>
    <row r="108" spans="1:6" x14ac:dyDescent="0.35">
      <c r="B108" s="242" t="s">
        <v>273</v>
      </c>
      <c r="C108" s="248">
        <f>Scenarios!C60</f>
        <v>20.908072026141618</v>
      </c>
      <c r="D108" s="243" t="str">
        <f>Market_currency</f>
        <v>HKD</v>
      </c>
    </row>
    <row r="110" spans="1:6" ht="24.4" customHeight="1" x14ac:dyDescent="0.35">
      <c r="B110" s="337" t="s">
        <v>374</v>
      </c>
      <c r="C110" s="337"/>
      <c r="D110" s="337"/>
      <c r="E110" s="337"/>
      <c r="F110" s="337"/>
    </row>
    <row r="112" spans="1:6" ht="13.9" x14ac:dyDescent="0.45">
      <c r="A112" s="254" t="s">
        <v>303</v>
      </c>
      <c r="B112" s="36"/>
      <c r="C112" s="36"/>
      <c r="D112" s="36"/>
      <c r="E112" s="36"/>
      <c r="F112" s="36"/>
    </row>
    <row r="114" spans="2:6" x14ac:dyDescent="0.35">
      <c r="B114" s="333" t="s">
        <v>279</v>
      </c>
      <c r="C114" s="333"/>
      <c r="D114" s="333"/>
      <c r="E114" s="333"/>
      <c r="F114" s="333"/>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1.36</v>
      </c>
      <c r="D118" s="243" t="str">
        <f>Market_currency</f>
        <v>HKD</v>
      </c>
    </row>
    <row r="120" spans="2:6" x14ac:dyDescent="0.35">
      <c r="B120" s="241" t="s">
        <v>278</v>
      </c>
    </row>
    <row r="121" spans="2:6" x14ac:dyDescent="0.35">
      <c r="B121" s="243" t="str">
        <f>"PV("&amp;C116&amp;" yrs of Dividends)"</f>
        <v>PV(3 yrs of Dividends)</v>
      </c>
      <c r="C121" s="247">
        <f>Scenarios!C81</f>
        <v>2.8648148148148147</v>
      </c>
    </row>
    <row r="122" spans="2:6" x14ac:dyDescent="0.35">
      <c r="B122" s="243" t="str">
        <f>"+ PV(Equity Value realized at year "&amp;C116&amp;")"</f>
        <v>+ PV(Equity Value realized at year 3)</v>
      </c>
      <c r="C122" s="247">
        <f>Scenarios!C82</f>
        <v>12.099578718831955</v>
      </c>
    </row>
    <row r="123" spans="2:6" x14ac:dyDescent="0.35">
      <c r="B123" s="82" t="s">
        <v>275</v>
      </c>
      <c r="C123" s="246">
        <f>Scenarios!C83</f>
        <v>14.964393533646771</v>
      </c>
      <c r="D123" s="47" t="str">
        <f>Reporting_currency</f>
        <v>HKD</v>
      </c>
    </row>
    <row r="124" spans="2:6" x14ac:dyDescent="0.35">
      <c r="B124" s="245" t="s">
        <v>277</v>
      </c>
      <c r="C124" s="158">
        <f>Scenarios!F83</f>
        <v>-0.28427673699724165</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46</v>
      </c>
      <c r="C5" s="194">
        <v>11151623</v>
      </c>
      <c r="D5" s="185">
        <v>8747447</v>
      </c>
      <c r="E5" s="185">
        <v>8503976</v>
      </c>
      <c r="F5" s="185">
        <v>6229020</v>
      </c>
      <c r="G5" s="185">
        <v>7910751</v>
      </c>
      <c r="H5" s="185"/>
      <c r="I5" s="185"/>
      <c r="J5" s="185"/>
      <c r="K5" s="185"/>
      <c r="L5" s="185"/>
      <c r="M5" s="185"/>
    </row>
    <row r="6" spans="2:13" x14ac:dyDescent="0.35">
      <c r="B6" s="40" t="s">
        <v>58</v>
      </c>
      <c r="C6" s="194">
        <v>2297566</v>
      </c>
      <c r="D6" s="185">
        <v>1867515</v>
      </c>
      <c r="E6" s="185">
        <v>1815111</v>
      </c>
      <c r="F6" s="185">
        <v>1694480</v>
      </c>
      <c r="G6" s="185">
        <v>2118252</v>
      </c>
      <c r="H6" s="185"/>
      <c r="I6" s="185"/>
      <c r="J6" s="185"/>
      <c r="K6" s="185"/>
      <c r="L6" s="185"/>
      <c r="M6" s="185"/>
    </row>
    <row r="7" spans="2:13" x14ac:dyDescent="0.35">
      <c r="B7" s="70" t="s">
        <v>65</v>
      </c>
      <c r="C7" s="195">
        <v>2043459</v>
      </c>
      <c r="D7" s="193">
        <v>1517989</v>
      </c>
      <c r="E7" s="193">
        <v>1491293</v>
      </c>
      <c r="F7" s="193">
        <v>1412494</v>
      </c>
      <c r="G7" s="193">
        <v>1945100</v>
      </c>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59596</v>
      </c>
      <c r="D12" s="185">
        <v>20763</v>
      </c>
      <c r="E12" s="185">
        <v>23097</v>
      </c>
      <c r="F12" s="185">
        <v>28849</v>
      </c>
      <c r="G12" s="185">
        <v>63075</v>
      </c>
      <c r="H12" s="185"/>
      <c r="I12" s="185"/>
      <c r="J12" s="185"/>
      <c r="K12" s="185"/>
      <c r="L12" s="185"/>
      <c r="M12" s="185"/>
    </row>
    <row r="13" spans="2:13" x14ac:dyDescent="0.35">
      <c r="B13" s="40" t="s">
        <v>71</v>
      </c>
      <c r="C13" s="194">
        <v>28977</v>
      </c>
      <c r="D13" s="185">
        <v>33125</v>
      </c>
      <c r="E13" s="185">
        <v>87344</v>
      </c>
      <c r="F13" s="185">
        <v>63398</v>
      </c>
      <c r="G13" s="185">
        <v>45450</v>
      </c>
      <c r="H13" s="185"/>
      <c r="I13" s="185"/>
      <c r="J13" s="185"/>
      <c r="K13" s="185"/>
      <c r="L13" s="185"/>
      <c r="M13" s="185"/>
    </row>
    <row r="14" spans="2:13" x14ac:dyDescent="0.35">
      <c r="B14" s="40" t="s">
        <v>53</v>
      </c>
      <c r="C14" s="194">
        <v>327166</v>
      </c>
      <c r="D14" s="185">
        <v>280664</v>
      </c>
      <c r="E14" s="185">
        <v>291296</v>
      </c>
      <c r="F14" s="185">
        <v>236303</v>
      </c>
      <c r="G14" s="185">
        <v>223409</v>
      </c>
      <c r="H14" s="185"/>
      <c r="I14" s="185"/>
      <c r="J14" s="185"/>
      <c r="K14" s="185"/>
      <c r="L14" s="185"/>
      <c r="M14" s="185"/>
    </row>
    <row r="15" spans="2:13" x14ac:dyDescent="0.35">
      <c r="B15" s="43" t="s">
        <v>45</v>
      </c>
      <c r="C15" s="196">
        <v>1767305</v>
      </c>
      <c r="D15" s="186">
        <v>1284757</v>
      </c>
      <c r="E15" s="186">
        <v>1392364</v>
      </c>
      <c r="F15" s="186">
        <v>1017335</v>
      </c>
      <c r="G15" s="186">
        <v>866315</v>
      </c>
      <c r="H15" s="186"/>
      <c r="I15" s="186"/>
      <c r="J15" s="186"/>
      <c r="K15" s="186"/>
      <c r="L15" s="186"/>
      <c r="M15" s="186"/>
    </row>
    <row r="16" spans="2:13" x14ac:dyDescent="0.35">
      <c r="B16" s="28" t="s">
        <v>47</v>
      </c>
      <c r="C16" s="194">
        <v>-9467</v>
      </c>
      <c r="D16" s="185">
        <v>-30</v>
      </c>
      <c r="E16" s="185">
        <v>-27</v>
      </c>
      <c r="F16" s="185">
        <v>1799</v>
      </c>
      <c r="G16" s="185">
        <v>1337</v>
      </c>
      <c r="H16" s="185"/>
      <c r="I16" s="185"/>
      <c r="J16" s="185"/>
      <c r="K16" s="185"/>
      <c r="L16" s="185"/>
      <c r="M16" s="185"/>
    </row>
    <row r="18" spans="2:13" x14ac:dyDescent="0.35">
      <c r="B18" s="16" t="s">
        <v>54</v>
      </c>
      <c r="C18" s="9"/>
    </row>
    <row r="19" spans="2:13" x14ac:dyDescent="0.35">
      <c r="B19" s="27" t="s">
        <v>50</v>
      </c>
      <c r="C19" s="185">
        <v>463424</v>
      </c>
      <c r="D19" s="185">
        <v>371724</v>
      </c>
      <c r="E19" s="185">
        <v>435672</v>
      </c>
      <c r="F19" s="185">
        <v>520888</v>
      </c>
      <c r="G19" s="185"/>
      <c r="H19" s="185"/>
      <c r="I19" s="185"/>
      <c r="J19" s="185"/>
      <c r="K19" s="185"/>
      <c r="L19" s="185"/>
      <c r="M19" s="185"/>
    </row>
    <row r="20" spans="2:13" x14ac:dyDescent="0.35">
      <c r="B20" s="27" t="s">
        <v>56</v>
      </c>
      <c r="C20" s="185">
        <v>676387</v>
      </c>
      <c r="D20" s="185">
        <v>107280</v>
      </c>
      <c r="E20" s="185">
        <v>455483</v>
      </c>
      <c r="F20" s="185">
        <v>138937</v>
      </c>
      <c r="G20" s="185"/>
      <c r="H20" s="185"/>
      <c r="I20" s="185"/>
      <c r="J20" s="185"/>
      <c r="K20" s="185"/>
      <c r="L20" s="185"/>
      <c r="M20" s="185"/>
    </row>
    <row r="21" spans="2:13" x14ac:dyDescent="0.35">
      <c r="B21" s="27" t="s">
        <v>55</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7"/>
      <c r="D25" s="185">
        <v>213823</v>
      </c>
      <c r="E25" s="185">
        <v>187711</v>
      </c>
      <c r="F25" s="185">
        <v>277338</v>
      </c>
      <c r="G25" s="185"/>
      <c r="H25" s="185"/>
      <c r="I25" s="185"/>
      <c r="J25" s="185"/>
      <c r="K25" s="185"/>
      <c r="L25" s="185"/>
      <c r="M25" s="185"/>
    </row>
    <row r="26" spans="2:13" x14ac:dyDescent="0.35">
      <c r="B26" s="26" t="s">
        <v>33</v>
      </c>
      <c r="C26" s="187"/>
      <c r="D26" s="185">
        <v>8852611</v>
      </c>
      <c r="E26" s="185">
        <v>8769304</v>
      </c>
      <c r="F26" s="185">
        <v>7321614</v>
      </c>
      <c r="G26" s="185"/>
      <c r="H26" s="185"/>
      <c r="I26" s="185"/>
      <c r="J26" s="185"/>
      <c r="K26" s="185"/>
      <c r="L26" s="185"/>
      <c r="M26" s="185"/>
    </row>
    <row r="27" spans="2:13" x14ac:dyDescent="0.35">
      <c r="B27" s="29" t="s">
        <v>41</v>
      </c>
      <c r="C27" s="186">
        <v>3990166</v>
      </c>
      <c r="D27" s="186">
        <v>2466431</v>
      </c>
      <c r="E27" s="186">
        <v>3908586</v>
      </c>
      <c r="F27" s="186">
        <v>2946772</v>
      </c>
      <c r="G27" s="186"/>
      <c r="H27" s="186"/>
      <c r="I27" s="186"/>
      <c r="J27" s="186"/>
      <c r="K27" s="186"/>
      <c r="L27" s="186"/>
      <c r="M27" s="186"/>
    </row>
    <row r="28" spans="2:13" x14ac:dyDescent="0.35">
      <c r="B28" s="29" t="s">
        <v>31</v>
      </c>
      <c r="C28" s="186">
        <v>12863898</v>
      </c>
      <c r="D28" s="186">
        <v>12220942</v>
      </c>
      <c r="E28" s="186">
        <v>12078528</v>
      </c>
      <c r="F28" s="186">
        <v>11324224</v>
      </c>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v>1095356</v>
      </c>
      <c r="D32" s="185">
        <v>1099308</v>
      </c>
      <c r="E32" s="185">
        <v>1107736</v>
      </c>
      <c r="F32" s="185">
        <v>1122325</v>
      </c>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93"/>
  <sheetViews>
    <sheetView showGridLines="0" topLeftCell="A93" zoomScaleNormal="100" workbookViewId="0">
      <selection activeCell="B93" sqref="B93"/>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265773</v>
      </c>
      <c r="D4" s="304">
        <v>0.6</v>
      </c>
      <c r="E4" s="25"/>
      <c r="F4" s="4" t="s">
        <v>82</v>
      </c>
      <c r="G4" s="19">
        <v>1998219</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9672256</v>
      </c>
      <c r="D6" s="304">
        <v>0.5</v>
      </c>
      <c r="E6" s="25"/>
      <c r="F6" s="4" t="s">
        <v>182</v>
      </c>
      <c r="G6" s="19">
        <v>0</v>
      </c>
      <c r="H6" s="304">
        <v>0.6</v>
      </c>
    </row>
    <row r="7" spans="2:8" ht="15" customHeight="1" x14ac:dyDescent="0.35">
      <c r="B7" s="1" t="s">
        <v>73</v>
      </c>
      <c r="C7" s="19">
        <v>0</v>
      </c>
      <c r="D7" s="304">
        <v>0.6</v>
      </c>
      <c r="E7" s="25"/>
      <c r="F7" s="4" t="s">
        <v>183</v>
      </c>
      <c r="G7" s="19">
        <v>0</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366595</v>
      </c>
      <c r="D9" s="304">
        <v>0.1</v>
      </c>
      <c r="E9" s="25"/>
      <c r="F9" s="4" t="s">
        <v>185</v>
      </c>
      <c r="G9" s="19">
        <v>0</v>
      </c>
      <c r="H9" s="304">
        <v>0.6</v>
      </c>
    </row>
    <row r="10" spans="2:8" ht="15" customHeight="1" x14ac:dyDescent="0.35">
      <c r="B10" s="4" t="s">
        <v>12</v>
      </c>
      <c r="C10" s="19">
        <v>29465</v>
      </c>
      <c r="D10" s="304">
        <v>0.9</v>
      </c>
      <c r="H10" s="305"/>
    </row>
    <row r="11" spans="2:8" ht="15" customHeight="1" x14ac:dyDescent="0.35">
      <c r="B11" s="4" t="s">
        <v>13</v>
      </c>
      <c r="C11" s="19">
        <v>0</v>
      </c>
      <c r="D11" s="304">
        <v>0.05</v>
      </c>
      <c r="H11" s="305"/>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103050</v>
      </c>
      <c r="D15" s="304">
        <v>0.4</v>
      </c>
      <c r="F15" s="4" t="s">
        <v>83</v>
      </c>
      <c r="G15" s="19">
        <v>0</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0</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2522337</v>
      </c>
      <c r="D19" s="304">
        <v>0.1</v>
      </c>
      <c r="F19" s="4" t="s">
        <v>187</v>
      </c>
      <c r="G19" s="19">
        <v>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538321</v>
      </c>
      <c r="D21" s="304">
        <v>0.05</v>
      </c>
      <c r="F21" s="1" t="s">
        <v>185</v>
      </c>
      <c r="G21" s="19">
        <v>925726</v>
      </c>
      <c r="H21" s="304">
        <v>0.1</v>
      </c>
    </row>
    <row r="22" spans="2:8" ht="15" customHeight="1" x14ac:dyDescent="0.35">
      <c r="B22" s="4" t="s">
        <v>21</v>
      </c>
      <c r="C22" s="19">
        <v>154648</v>
      </c>
      <c r="D22" s="304">
        <v>0.9</v>
      </c>
      <c r="H22" s="305"/>
    </row>
    <row r="23" spans="2:8" ht="15" customHeight="1" x14ac:dyDescent="0.35">
      <c r="B23" s="4" t="s">
        <v>22</v>
      </c>
      <c r="C23" s="19">
        <v>277674</v>
      </c>
      <c r="D23" s="304">
        <v>0</v>
      </c>
      <c r="H23" s="305"/>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10" t="s">
        <v>141</v>
      </c>
      <c r="F26" s="212" t="s">
        <v>201</v>
      </c>
      <c r="G26" s="213" t="s">
        <v>141</v>
      </c>
      <c r="H26" s="214" t="s">
        <v>36</v>
      </c>
    </row>
    <row r="27" spans="2:8" ht="15" customHeight="1" x14ac:dyDescent="0.35">
      <c r="B27" s="4" t="s">
        <v>6</v>
      </c>
      <c r="C27" s="19">
        <v>1427805</v>
      </c>
      <c r="F27" s="215" t="s">
        <v>31</v>
      </c>
      <c r="G27" s="87">
        <f>G32-G30</f>
        <v>12863898</v>
      </c>
      <c r="H27" s="216">
        <f>H32-G30</f>
        <v>3419126.45</v>
      </c>
    </row>
    <row r="28" spans="2:8" ht="15" customHeight="1" x14ac:dyDescent="0.35">
      <c r="B28" s="4" t="s">
        <v>7</v>
      </c>
      <c r="C28" s="19">
        <v>287697</v>
      </c>
      <c r="F28" s="217" t="s">
        <v>253</v>
      </c>
      <c r="G28" s="185">
        <v>-26962</v>
      </c>
      <c r="H28" s="216"/>
    </row>
    <row r="29" spans="2:8" ht="15" customHeight="1" x14ac:dyDescent="0.35">
      <c r="B29" s="4" t="s">
        <v>8</v>
      </c>
      <c r="C29" s="19">
        <v>0</v>
      </c>
      <c r="F29" s="218" t="s">
        <v>80</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208</v>
      </c>
      <c r="C31" s="83">
        <f>SUM(C27:C30)</f>
        <v>1715502</v>
      </c>
      <c r="F31" s="218" t="s">
        <v>81</v>
      </c>
      <c r="G31" s="219">
        <f>C31+C40</f>
        <v>2034922</v>
      </c>
      <c r="H31" s="216"/>
    </row>
    <row r="32" spans="2:8" ht="15" customHeight="1" x14ac:dyDescent="0.35">
      <c r="B32" s="4" t="s">
        <v>10</v>
      </c>
      <c r="C32" s="21">
        <f>C33-C31</f>
        <v>1801307</v>
      </c>
      <c r="F32" s="220" t="s">
        <v>79</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13930119</v>
      </c>
      <c r="H35" s="228">
        <f>D12+D24</f>
        <v>5518322.75</v>
      </c>
    </row>
    <row r="36" spans="2:8" ht="15" customHeight="1" x14ac:dyDescent="0.35">
      <c r="B36" s="4" t="s">
        <v>14</v>
      </c>
      <c r="C36" s="19">
        <v>0</v>
      </c>
      <c r="F36" s="218" t="s">
        <v>202</v>
      </c>
      <c r="G36" s="219">
        <f>C4+C15</f>
        <v>368823</v>
      </c>
      <c r="H36" s="223"/>
    </row>
    <row r="37" spans="2:8" ht="15" customHeight="1" x14ac:dyDescent="0.35">
      <c r="B37" s="4" t="s">
        <v>15</v>
      </c>
      <c r="C37" s="19">
        <v>0</v>
      </c>
      <c r="F37" s="218" t="s">
        <v>203</v>
      </c>
      <c r="G37" s="219">
        <f>C6</f>
        <v>9672256</v>
      </c>
      <c r="H37" s="223"/>
    </row>
    <row r="38" spans="2:8" ht="15" customHeight="1" x14ac:dyDescent="0.35">
      <c r="B38" s="4" t="s">
        <v>16</v>
      </c>
      <c r="C38" s="19">
        <v>319420</v>
      </c>
      <c r="F38" s="218" t="s">
        <v>204</v>
      </c>
      <c r="G38" s="219">
        <f>C7+C17</f>
        <v>0</v>
      </c>
      <c r="H38" s="223"/>
    </row>
    <row r="39" spans="2:8" ht="15" customHeight="1" x14ac:dyDescent="0.35">
      <c r="B39" s="2" t="s">
        <v>17</v>
      </c>
      <c r="C39" s="19">
        <v>0</v>
      </c>
      <c r="F39" s="218" t="s">
        <v>84</v>
      </c>
      <c r="G39" s="219">
        <f>C7+C17+C19+C20</f>
        <v>2522337</v>
      </c>
      <c r="H39" s="216">
        <f>C7*D7+C17*D17+C19*D19+C20*D20</f>
        <v>252233.7</v>
      </c>
    </row>
    <row r="40" spans="2:8" ht="15" customHeight="1" x14ac:dyDescent="0.35">
      <c r="B40" s="82" t="s">
        <v>209</v>
      </c>
      <c r="C40" s="83">
        <f>SUM(C36:C39)</f>
        <v>319420</v>
      </c>
      <c r="F40" s="227" t="s">
        <v>143</v>
      </c>
      <c r="G40" s="221">
        <f>G12+G24</f>
        <v>2923945</v>
      </c>
      <c r="H40" s="228">
        <f>H12+H24</f>
        <v>1890969.7000000002</v>
      </c>
    </row>
    <row r="41" spans="2:8" ht="15" customHeight="1" x14ac:dyDescent="0.35">
      <c r="B41" s="4" t="s">
        <v>18</v>
      </c>
      <c r="C41" s="21">
        <f>C42-C40</f>
        <v>153937</v>
      </c>
      <c r="F41" s="218" t="s">
        <v>196</v>
      </c>
      <c r="G41" s="219">
        <f>C70</f>
        <v>1998219</v>
      </c>
      <c r="H41" s="228">
        <f>H40-H42</f>
        <v>1798397.1</v>
      </c>
    </row>
    <row r="42" spans="2:8" ht="15" customHeight="1" x14ac:dyDescent="0.35">
      <c r="B42" s="85" t="s">
        <v>23</v>
      </c>
      <c r="C42" s="86">
        <v>473357</v>
      </c>
      <c r="F42" s="229" t="s">
        <v>197</v>
      </c>
      <c r="G42" s="230">
        <f>C82</f>
        <v>925726</v>
      </c>
      <c r="H42" s="231">
        <f>D82</f>
        <v>92572.6</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12890860</v>
      </c>
      <c r="D46" s="192">
        <f>H29</f>
        <v>3446088.45</v>
      </c>
      <c r="F46" s="291"/>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1.4550387206421544</v>
      </c>
      <c r="D50" s="98">
        <f>G31/Normalized_FCF!G8</f>
        <v>1.0842664509772892</v>
      </c>
      <c r="F50" s="291"/>
    </row>
    <row r="51" spans="2:8" ht="15" customHeight="1" x14ac:dyDescent="0.35">
      <c r="B51" s="1" t="s">
        <v>181</v>
      </c>
      <c r="C51" s="209"/>
      <c r="D51" s="94">
        <f>G29/G32</f>
        <v>0.76485172952944758</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0.10039645772788393</v>
      </c>
      <c r="D54" s="94">
        <f>Normalized_FCF!G8/G35</f>
        <v>0.13472770763839131</v>
      </c>
      <c r="F54" s="291"/>
    </row>
    <row r="55" spans="2:8" ht="15" customHeight="1" x14ac:dyDescent="0.35">
      <c r="B55" s="1" t="s">
        <v>146</v>
      </c>
      <c r="C55" s="94">
        <f>Normalized_FCF!C11/G40</f>
        <v>0</v>
      </c>
      <c r="D55" s="94">
        <f>Normalized_FCF!G11/G40</f>
        <v>2.1854036242131779E-4</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0</v>
      </c>
      <c r="D62" s="94">
        <f>G28/G29</f>
        <v>-2.0915594459950692E-3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317</v>
      </c>
      <c r="F65" s="296" t="s">
        <v>63</v>
      </c>
    </row>
    <row r="66" spans="2:6" ht="15" customHeight="1" x14ac:dyDescent="0.35">
      <c r="B66" s="108" t="s">
        <v>192</v>
      </c>
      <c r="C66" s="20">
        <f>G4+G5+G15</f>
        <v>1998219</v>
      </c>
      <c r="D66" s="192">
        <f>C66+D75</f>
        <v>1116785.5502773244</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1998219</v>
      </c>
      <c r="F70" s="291"/>
    </row>
    <row r="71" spans="2:6" ht="15" customHeight="1" x14ac:dyDescent="0.35">
      <c r="F71" s="291"/>
    </row>
    <row r="72" spans="2:6" ht="15" customHeight="1" x14ac:dyDescent="0.35">
      <c r="B72" s="294" t="s">
        <v>358</v>
      </c>
      <c r="C72" s="268" t="s">
        <v>100</v>
      </c>
      <c r="D72" s="210" t="s">
        <v>61</v>
      </c>
      <c r="F72" s="291"/>
    </row>
    <row r="73" spans="2:6" ht="15" customHeight="1" x14ac:dyDescent="0.35">
      <c r="B73" s="108" t="s">
        <v>357</v>
      </c>
      <c r="C73" s="192">
        <f>(Normalized_FCF!G25+Normalized_FCF!G35)/12</f>
        <v>-1120765.75</v>
      </c>
      <c r="D73" s="192">
        <f>(Normalized_FCF!C25+Normalized_FCF!C35)/12</f>
        <v>-881433.44972267561</v>
      </c>
    </row>
    <row r="74" spans="2:6" ht="15" customHeight="1" x14ac:dyDescent="0.35">
      <c r="B74" s="297" t="s">
        <v>363</v>
      </c>
      <c r="C74" s="298">
        <f>-$C$66/C73</f>
        <v>1.7829051253573729</v>
      </c>
      <c r="D74" s="298">
        <f>-$C$66/D73</f>
        <v>2.2670106298197523</v>
      </c>
      <c r="F74" s="291" t="s">
        <v>359</v>
      </c>
    </row>
    <row r="75" spans="2:6" ht="15" customHeight="1" x14ac:dyDescent="0.35">
      <c r="B75" s="82" t="s">
        <v>360</v>
      </c>
      <c r="C75" s="303"/>
      <c r="D75" s="302">
        <f>MIN(D73*D76,-G5)</f>
        <v>-881433.44972267561</v>
      </c>
      <c r="F75" s="291" t="s">
        <v>362</v>
      </c>
    </row>
    <row r="76" spans="2:6" ht="15" customHeight="1" x14ac:dyDescent="0.35">
      <c r="B76" s="299" t="s">
        <v>364</v>
      </c>
      <c r="C76" s="300"/>
      <c r="D76" s="301">
        <f>IF(D74&lt;=3,1,IF(D74&gt;10,5,2))</f>
        <v>1</v>
      </c>
      <c r="F76" s="291" t="s">
        <v>365</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0</v>
      </c>
      <c r="D79" s="192">
        <f>G7*H7+G17*H17</f>
        <v>0</v>
      </c>
      <c r="F79" s="291"/>
    </row>
    <row r="80" spans="2:6" ht="15" customHeight="1" x14ac:dyDescent="0.35">
      <c r="B80" s="108" t="s">
        <v>187</v>
      </c>
      <c r="C80" s="20">
        <f>G19</f>
        <v>0</v>
      </c>
      <c r="D80" s="192">
        <f>G19*H19</f>
        <v>0</v>
      </c>
      <c r="F80" s="291"/>
    </row>
    <row r="81" spans="2:8" ht="15" customHeight="1" x14ac:dyDescent="0.35">
      <c r="B81" s="108" t="s">
        <v>185</v>
      </c>
      <c r="C81" s="20">
        <f>G9+G21</f>
        <v>925726</v>
      </c>
      <c r="D81" s="192">
        <f>G9*H9+G21*H21</f>
        <v>92572.6</v>
      </c>
      <c r="F81" s="291"/>
    </row>
    <row r="82" spans="2:8" ht="15" customHeight="1" x14ac:dyDescent="0.35">
      <c r="B82" s="82" t="s">
        <v>194</v>
      </c>
      <c r="C82" s="83">
        <f>SUM(C79:C81)</f>
        <v>925726</v>
      </c>
      <c r="D82" s="83">
        <f>SUM(D79:D81)</f>
        <v>92572.6</v>
      </c>
      <c r="F82" s="291"/>
    </row>
    <row r="84" spans="2:8" ht="15" customHeight="1" x14ac:dyDescent="0.35">
      <c r="B84" s="81" t="s">
        <v>320</v>
      </c>
      <c r="C84" s="37"/>
      <c r="D84" s="37"/>
      <c r="E84" s="37"/>
      <c r="F84" s="37"/>
      <c r="G84" s="37"/>
      <c r="H84" s="37"/>
    </row>
    <row r="85" spans="2:8" ht="15" customHeight="1" x14ac:dyDescent="0.35">
      <c r="B85" s="16" t="s">
        <v>321</v>
      </c>
      <c r="D85" s="278" t="s">
        <v>322</v>
      </c>
    </row>
    <row r="86" spans="2:8" ht="15" customHeight="1" x14ac:dyDescent="0.35">
      <c r="B86" s="275" t="s">
        <v>318</v>
      </c>
      <c r="C86" s="192">
        <f>-Valuation_Model!C7*Exchange_Rate</f>
        <v>-2034922</v>
      </c>
      <c r="D86" s="255">
        <f>C86*$H$1/Common_Shares</f>
        <v>-3.4660105464438944</v>
      </c>
      <c r="E86" s="277" t="str">
        <f>Market_currency</f>
        <v>HKD</v>
      </c>
    </row>
    <row r="87" spans="2:8" ht="15" customHeight="1" x14ac:dyDescent="0.35">
      <c r="B87" s="275" t="s">
        <v>319</v>
      </c>
      <c r="C87" s="192">
        <f>Valuation_Model!C8*Exchange_Rate</f>
        <v>1116785.5502773244</v>
      </c>
      <c r="D87" s="255">
        <f>C87*$H$1/Common_Shares</f>
        <v>1.9021812606956703</v>
      </c>
      <c r="E87" s="277" t="str">
        <f>Market_currency</f>
        <v>HKD</v>
      </c>
    </row>
    <row r="88" spans="2:8" ht="15" customHeight="1" x14ac:dyDescent="0.35">
      <c r="B88" s="276" t="s">
        <v>194</v>
      </c>
      <c r="C88" s="192">
        <f>Valuation_Model!C9*Exchange_Rate</f>
        <v>92572.6</v>
      </c>
      <c r="D88" s="255">
        <f>C88*$H$1/Common_Shares</f>
        <v>0.15767562978420405</v>
      </c>
      <c r="E88" s="277" t="str">
        <f>Market_currency</f>
        <v>HKD</v>
      </c>
    </row>
    <row r="89" spans="2:8" ht="15" customHeight="1" x14ac:dyDescent="0.35">
      <c r="B89" s="82" t="s">
        <v>323</v>
      </c>
      <c r="C89" s="191">
        <f>SUM(C86:C88)</f>
        <v>-825563.84972267563</v>
      </c>
      <c r="D89" s="279">
        <f>SUM(D86:D88)</f>
        <v>-1.40615365596402</v>
      </c>
      <c r="E89" s="277" t="str">
        <f>Market_currency</f>
        <v>HKD</v>
      </c>
    </row>
    <row r="91" spans="2:8" ht="15" customHeight="1" x14ac:dyDescent="0.35">
      <c r="B91" s="81" t="s">
        <v>375</v>
      </c>
      <c r="C91" s="37"/>
      <c r="D91" s="37"/>
      <c r="E91" s="37"/>
      <c r="F91" s="37"/>
      <c r="G91" s="37"/>
      <c r="H91" s="37"/>
    </row>
    <row r="92" spans="2:8" ht="212" customHeight="1" x14ac:dyDescent="0.35">
      <c r="B92" s="334" t="s">
        <v>376</v>
      </c>
      <c r="C92" s="334"/>
      <c r="D92" s="334"/>
      <c r="E92" s="334"/>
      <c r="F92" s="334"/>
      <c r="G92" s="334"/>
      <c r="H92" s="334"/>
    </row>
    <row r="93" spans="2:8" ht="15" customHeight="1" x14ac:dyDescent="0.35">
      <c r="B93" s="1" t="str">
        <f>"Please find the financial statement text below. The output should use a scaling factor of "&amp;H1</f>
        <v>Please find the financial statement text below. The output should use a scaling factor of 1000</v>
      </c>
    </row>
  </sheetData>
  <mergeCells count="1">
    <mergeCell ref="B92:H92"/>
  </mergeCells>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AVERAGE(G4:J4)</f>
        <v>11975736</v>
      </c>
      <c r="D4" s="57"/>
      <c r="E4" s="310"/>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-10274842.146672107</v>
      </c>
      <c r="E5" s="312"/>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1700893.8533278927</v>
      </c>
      <c r="E6" s="312"/>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-302359.25</v>
      </c>
      <c r="E7" s="312"/>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1398534.6033278927</v>
      </c>
      <c r="D8" s="60"/>
      <c r="E8" s="318"/>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463424</v>
      </c>
      <c r="E9" s="312"/>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-463424.00000000006</v>
      </c>
      <c r="E10" s="312"/>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-30619</v>
      </c>
      <c r="E12" s="312"/>
      <c r="G12" s="198">
        <f t="shared" ref="G12:Q12" si="6">G49</f>
        <v>-30619</v>
      </c>
      <c r="H12" s="198">
        <f t="shared" si="6"/>
        <v>12362</v>
      </c>
      <c r="I12" s="198">
        <f t="shared" si="6"/>
        <v>64247</v>
      </c>
      <c r="J12" s="198">
        <f t="shared" si="6"/>
        <v>34549</v>
      </c>
      <c r="K12" s="198">
        <f t="shared" si="6"/>
        <v>-17625</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1367915.6033278927</v>
      </c>
      <c r="E13" s="312"/>
      <c r="G13" s="188">
        <f>IF(G$4="","",SUM(G8:G12))</f>
        <v>1633830</v>
      </c>
      <c r="H13" s="188">
        <f t="shared" ref="H13:Q13" si="7">IF(H$4="","",SUM(H8:H12))</f>
        <v>1640615</v>
      </c>
      <c r="I13" s="188">
        <f t="shared" si="7"/>
        <v>1463152</v>
      </c>
      <c r="J13" s="188">
        <f t="shared" si="7"/>
        <v>1354335</v>
      </c>
      <c r="K13" s="188">
        <f t="shared" si="7"/>
        <v>1187143</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-341978.90083197318</v>
      </c>
      <c r="E14" s="312"/>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0</v>
      </c>
      <c r="D15" s="61"/>
      <c r="E15" s="319"/>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1025936.7024959195</v>
      </c>
      <c r="D16" s="62"/>
      <c r="E16" s="320"/>
      <c r="F16" s="62"/>
      <c r="G16" s="188">
        <f>IF(G$4="","",SUM(G13:G15))</f>
        <v>1306664</v>
      </c>
      <c r="H16" s="188">
        <f t="shared" ref="H16:Q16" si="8">IF(H$4="","",SUM(H13:H15))</f>
        <v>1359951</v>
      </c>
      <c r="I16" s="188">
        <f t="shared" si="8"/>
        <v>1171856</v>
      </c>
      <c r="J16" s="188">
        <f t="shared" si="8"/>
        <v>1116233</v>
      </c>
      <c r="K16" s="188">
        <f t="shared" si="8"/>
        <v>962397</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379</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380</v>
      </c>
      <c r="F18" s="59"/>
      <c r="G18" s="203"/>
      <c r="H18" s="203"/>
      <c r="I18" s="203"/>
      <c r="J18" s="203"/>
      <c r="K18" s="203"/>
      <c r="L18" s="203"/>
      <c r="M18" s="203"/>
      <c r="N18" s="203"/>
      <c r="O18" s="203"/>
      <c r="P18" s="203"/>
      <c r="Q18" s="203"/>
    </row>
    <row r="19" spans="1:17" ht="15.75" customHeight="1" x14ac:dyDescent="0.35">
      <c r="A19" s="10"/>
      <c r="B19" s="31" t="s">
        <v>70</v>
      </c>
      <c r="C19" s="188">
        <f>SUM(C16:C18)</f>
        <v>1025936.7024959195</v>
      </c>
      <c r="D19" s="27"/>
      <c r="E19" s="309"/>
      <c r="F19" s="27"/>
      <c r="G19" s="190">
        <f t="shared" ref="G19:Q19" si="9">IF(G$4="","",SUM(G16:G18))</f>
        <v>1306664</v>
      </c>
      <c r="H19" s="190">
        <f t="shared" si="9"/>
        <v>1359951</v>
      </c>
      <c r="I19" s="190">
        <f t="shared" si="9"/>
        <v>1171856</v>
      </c>
      <c r="J19" s="190">
        <f t="shared" si="9"/>
        <v>1116233</v>
      </c>
      <c r="K19" s="190">
        <f t="shared" si="9"/>
        <v>962397</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-8638608.2360938303</v>
      </c>
      <c r="D23" s="59"/>
      <c r="E23" s="311"/>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-1636233.9105782772</v>
      </c>
      <c r="D24" s="27"/>
      <c r="E24" s="309"/>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-10274842.146672107</v>
      </c>
      <c r="D25" s="9"/>
      <c r="E25" s="317"/>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AVERAGE(G28:J28)</f>
        <v>0.72134257435984139</v>
      </c>
      <c r="D28" s="26"/>
      <c r="E28" s="310" t="s">
        <v>381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10" t="s">
        <v>381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1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AVERAGE(G33:J33)</f>
        <v>-302359.25</v>
      </c>
      <c r="E33" s="310" t="s">
        <v>381</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381</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-302359.25</v>
      </c>
      <c r="D35" s="59"/>
      <c r="E35" s="311"/>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2.5247654924924864E-2</v>
      </c>
      <c r="D38" s="27"/>
      <c r="E38" s="30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1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382</v>
      </c>
      <c r="F43" s="27"/>
      <c r="G43" s="6">
        <f>IF(G$4="","",-G14/SUM(G8+G11,G12))</f>
        <v>0.17715358461939157</v>
      </c>
      <c r="H43" s="6">
        <f t="shared" ref="H43:Q43" si="18">IF(H$4="","",-H14/SUM(H8+H11,H12))</f>
        <v>0.20394558525067016</v>
      </c>
      <c r="I43" s="6">
        <f t="shared" si="18"/>
        <v>0.19642836672256828</v>
      </c>
      <c r="J43" s="6">
        <f t="shared" si="18"/>
        <v>0.24301407674334419</v>
      </c>
      <c r="K43" s="6">
        <f t="shared" si="18"/>
        <v>0.18819047073520206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-59596</v>
      </c>
      <c r="E47" s="312"/>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28977</v>
      </c>
      <c r="E48" s="312"/>
      <c r="G48" s="198">
        <f>Data!C52</f>
        <v>28977</v>
      </c>
      <c r="H48" s="198">
        <f>Data!D52</f>
        <v>33125</v>
      </c>
      <c r="I48" s="198">
        <f>Data!E52</f>
        <v>87344</v>
      </c>
      <c r="J48" s="198">
        <f>Data!F52</f>
        <v>63398</v>
      </c>
      <c r="K48" s="198">
        <f>Data!G52</f>
        <v>45450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-30619</v>
      </c>
      <c r="E49" s="312"/>
      <c r="G49" s="188">
        <f t="shared" ref="G49:Q49" si="19">IF(G4="","",G47+G48)</f>
        <v>-30619</v>
      </c>
      <c r="H49" s="188">
        <f t="shared" si="19"/>
        <v>12362</v>
      </c>
      <c r="I49" s="188">
        <f t="shared" si="19"/>
        <v>64247</v>
      </c>
      <c r="J49" s="188">
        <f t="shared" si="19"/>
        <v>34549</v>
      </c>
      <c r="K49" s="188">
        <f t="shared" si="19"/>
        <v>-17625</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1.4501413508729523E-2</v>
      </c>
      <c r="E52" s="309" t="s">
        <v>383</v>
      </c>
      <c r="G52" s="6">
        <f>IF(Normalized_FCF!G4="","",Normalized_FCF!G48/BS!$C$66)</f>
        <v>1.4501413508729523E-2</v>
      </c>
      <c r="H52" s="174"/>
      <c r="I52" s="174"/>
      <c r="J52" s="174"/>
      <c r="K52" s="174"/>
      <c r="L52" s="174"/>
      <c r="M52" s="174"/>
      <c r="N52" s="174"/>
      <c r="O52" s="174"/>
      <c r="P52" s="174"/>
      <c r="Q52" s="174"/>
    </row>
    <row r="53" spans="1:17" ht="15.75" customHeight="1" x14ac:dyDescent="0.35">
      <c r="A53" s="10"/>
      <c r="B53" s="8" t="s">
        <v>92</v>
      </c>
      <c r="C53" s="84">
        <f>Normalized_FCF!G53</f>
        <v>2.9286626219579916E-2</v>
      </c>
      <c r="E53" s="309" t="s">
        <v>384</v>
      </c>
      <c r="G53" s="23">
        <f>IFERROR(ABS(Normalized_FCF!G47/BS!$G$31),0)</f>
        <v>2.9286626219579916E-2</v>
      </c>
      <c r="H53" s="174"/>
      <c r="I53" s="174"/>
      <c r="J53" s="174"/>
      <c r="K53" s="174"/>
      <c r="L53" s="174"/>
      <c r="M53" s="174"/>
      <c r="N53" s="174"/>
      <c r="O53" s="174"/>
      <c r="P53" s="174"/>
      <c r="Q53" s="174"/>
    </row>
    <row r="54" spans="1:17" ht="15.75" customHeight="1" x14ac:dyDescent="0.35">
      <c r="A54" s="10"/>
      <c r="B54" s="26" t="s">
        <v>95</v>
      </c>
      <c r="C54" s="42">
        <f>-C8/C47</f>
        <v>23.466920654538772</v>
      </c>
      <c r="E54" s="312"/>
      <c r="G54" s="42">
        <f>IF(G4="","",-G8/G47)</f>
        <v>31.4915933955299</v>
      </c>
      <c r="H54" s="42">
        <f t="shared" ref="H54:Q54" si="20">IF(H4="","",-H8/H47)</f>
        <v>65.639936425372056</v>
      </c>
      <c r="I54" s="42">
        <f t="shared" si="20"/>
        <v>61.424254232151362</v>
      </c>
      <c r="J54" s="42">
        <f t="shared" si="20"/>
        <v>32.508405837290724</v>
      </c>
      <c r="K54" s="42">
        <f t="shared" si="20"/>
        <v>19.100562822037258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385</v>
      </c>
      <c r="G61" s="198">
        <f>Data!C58</f>
        <v>247678</v>
      </c>
      <c r="H61" s="198">
        <f>Data!D58</f>
        <v>189250</v>
      </c>
      <c r="I61" s="198">
        <f>Data!E58</f>
        <v>200697</v>
      </c>
      <c r="J61" s="198">
        <f>Data!F58</f>
        <v>281254</v>
      </c>
      <c r="K61" s="198">
        <f>Data!G58</f>
        <v>-97419</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248317</v>
      </c>
      <c r="H62" s="188">
        <f t="shared" si="22"/>
        <v>190177</v>
      </c>
      <c r="I62" s="188">
        <f t="shared" si="22"/>
        <v>200697</v>
      </c>
      <c r="J62" s="188">
        <f t="shared" si="22"/>
        <v>281254</v>
      </c>
      <c r="K62" s="188">
        <f t="shared" si="22"/>
        <v>-97419</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3.197847683362034E-4</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0.85797166426114502</v>
      </c>
      <c r="D72" s="27"/>
      <c r="E72" s="309"/>
      <c r="F72" s="27"/>
      <c r="G72" s="6">
        <f t="shared" ref="G72:Q72" si="23">IF(G$4="","",ABS(G5/G$4))</f>
        <v>0.86096272455849754</v>
      </c>
      <c r="H72" s="6">
        <f t="shared" si="23"/>
        <v>0.85703537297697319</v>
      </c>
      <c r="I72" s="6">
        <f t="shared" si="23"/>
        <v>0.85154513157189637</v>
      </c>
      <c r="J72" s="6">
        <f t="shared" si="23"/>
        <v>0.86234342793721264</v>
      </c>
      <c r="K72" s="6">
        <f t="shared" si="23"/>
        <v>0.8773412774748568</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0.14202833573885504</v>
      </c>
      <c r="D73" s="27"/>
      <c r="E73" s="309"/>
      <c r="F73" s="27"/>
      <c r="G73" s="66">
        <f t="shared" ref="G73:Q73" si="24">IF(G$4="","",ABS(G6/G$4))</f>
        <v>0.13903727544150246</v>
      </c>
      <c r="H73" s="66">
        <f t="shared" si="24"/>
        <v>0.14296462702302684</v>
      </c>
      <c r="I73" s="66">
        <f t="shared" si="24"/>
        <v>0.14845486842810363</v>
      </c>
      <c r="J73" s="66">
        <f t="shared" si="24"/>
        <v>0.13765657206278739</v>
      </c>
      <c r="K73" s="66">
        <f t="shared" si="24"/>
        <v>0.12265872252514316</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2.5247654924924864E-2</v>
      </c>
      <c r="D74" s="27"/>
      <c r="E74" s="309"/>
      <c r="F74" s="27"/>
      <c r="G74" s="6">
        <f t="shared" ref="G74:Q74" si="25">IF(G$4="","",ABS(G7/G$4))</f>
        <v>1.6580166386945237E-2</v>
      </c>
      <c r="H74" s="6">
        <f t="shared" si="25"/>
        <v>2.9181044602016856E-2</v>
      </c>
      <c r="I74" s="6">
        <f t="shared" si="25"/>
        <v>2.7587615842589962E-2</v>
      </c>
      <c r="J74" s="6">
        <f t="shared" si="25"/>
        <v>3.1822067442433898E-2</v>
      </c>
      <c r="K74" s="6">
        <f t="shared" si="25"/>
        <v>1.5413524096227349E-2</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0.11678068081393016</v>
      </c>
      <c r="D75" s="27"/>
      <c r="E75" s="309"/>
      <c r="F75" s="27"/>
      <c r="G75" s="66">
        <f t="shared" ref="G75:Q75" si="26">IF(G$4="","",ABS(G8/G$4))</f>
        <v>0.12245710905455723</v>
      </c>
      <c r="H75" s="66">
        <f t="shared" si="26"/>
        <v>0.11378358242100998</v>
      </c>
      <c r="I75" s="66">
        <f t="shared" si="26"/>
        <v>0.12086725258551366</v>
      </c>
      <c r="J75" s="66">
        <f t="shared" si="26"/>
        <v>0.10583450462035347</v>
      </c>
      <c r="K75" s="66">
        <f t="shared" si="26"/>
        <v>0.10724519842891581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3.8696911822371505E-2</v>
      </c>
      <c r="D76" s="27"/>
      <c r="E76" s="309"/>
      <c r="F76" s="27"/>
      <c r="G76" s="6">
        <f t="shared" ref="G76:Q76" si="27">IF(G$4="","",G9/G$4)</f>
        <v>3.0237840861147901E-2</v>
      </c>
      <c r="H76" s="6">
        <f t="shared" si="27"/>
        <v>3.1034299661942499E-2</v>
      </c>
      <c r="I76" s="6">
        <f t="shared" si="27"/>
        <v>3.7116997107550703E-2</v>
      </c>
      <c r="J76" s="6">
        <f t="shared" si="27"/>
        <v>5.8782113530297636E-2</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3.8696911822371505E-2</v>
      </c>
      <c r="D77" s="27"/>
      <c r="E77" s="310" t="s">
        <v>386</v>
      </c>
      <c r="F77" s="27"/>
      <c r="G77" s="6">
        <f t="shared" ref="G77:Q77" si="28">IF(G$4="","",-G10/G$4)</f>
        <v>4.413341231043115E-2</v>
      </c>
      <c r="H77" s="6">
        <f t="shared" si="28"/>
        <v>8.9565367523571013E-3</v>
      </c>
      <c r="I77" s="6">
        <f t="shared" si="28"/>
        <v>3.8804791663312119E-2</v>
      </c>
      <c r="J77" s="6">
        <f t="shared" si="28"/>
        <v>1.5679014505150749E-2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4.1693956960091643E-5</v>
      </c>
      <c r="H78" s="66">
        <f t="shared" si="29"/>
        <v>7.7392893078253488E-5</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2.5567530880774257E-3</v>
      </c>
      <c r="D79" s="27"/>
      <c r="E79" s="309"/>
      <c r="F79" s="27"/>
      <c r="G79" s="6">
        <f t="shared" ref="G79:Q79" si="30">IF(G$4="","",ABS(G12/G$4))</f>
        <v>1.9978517498607917E-3</v>
      </c>
      <c r="H79" s="6">
        <f t="shared" si="30"/>
        <v>1.0320722160014773E-3</v>
      </c>
      <c r="I79" s="6">
        <f t="shared" si="30"/>
        <v>5.4735115251124938E-3</v>
      </c>
      <c r="J79" s="6">
        <f t="shared" si="30"/>
        <v>3.8988481983809435E-3</v>
      </c>
      <c r="K79" s="6">
        <f t="shared" si="30"/>
        <v>1.5689299701765328E-3</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0.11422392772585273</v>
      </c>
      <c r="D80" s="27"/>
      <c r="E80" s="309"/>
      <c r="F80" s="27"/>
      <c r="G80" s="66">
        <f>IF(G$4="","",G13/G$4)</f>
        <v>0.10660537981237328</v>
      </c>
      <c r="H80" s="66">
        <f t="shared" ref="H80:Q80" si="31">IF(H$4="","",H13/H$4)</f>
        <v>0.13697081043967513</v>
      </c>
      <c r="I80" s="66">
        <f t="shared" si="31"/>
        <v>0.12465296955486474</v>
      </c>
      <c r="J80" s="66">
        <f t="shared" si="31"/>
        <v>0.15283645184388131</v>
      </c>
      <c r="K80" s="66">
        <f t="shared" si="31"/>
        <v>0.10567626845873927</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2.8555981931463182E-2</v>
      </c>
      <c r="D81" s="27"/>
      <c r="E81" s="309"/>
      <c r="F81" s="27"/>
      <c r="G81" s="6">
        <f t="shared" ref="G81:Q81" si="32">IF(G$4="","",ABS(G14/G$4))</f>
        <v>2.134717546604905E-2</v>
      </c>
      <c r="H81" s="6">
        <f t="shared" si="32"/>
        <v>2.3431929819757211E-2</v>
      </c>
      <c r="I81" s="6">
        <f t="shared" si="32"/>
        <v>2.4816909944731565E-2</v>
      </c>
      <c r="J81" s="6">
        <f t="shared" si="32"/>
        <v>2.6666749423196391E-2</v>
      </c>
      <c r="K81" s="6">
        <f t="shared" si="32"/>
        <v>1.9887266706789732E-2</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0</v>
      </c>
      <c r="D82" s="27"/>
      <c r="E82" s="309"/>
      <c r="F82" s="27"/>
      <c r="G82" s="6">
        <f t="shared" ref="G82:Q82" si="33">IF(G$4="","",-G15/G$4)</f>
        <v>0</v>
      </c>
      <c r="H82" s="6">
        <f t="shared" si="33"/>
        <v>0</v>
      </c>
      <c r="I82" s="6">
        <f t="shared" si="33"/>
        <v>0</v>
      </c>
      <c r="J82" s="6">
        <f t="shared" si="33"/>
        <v>2.0301681405792693E-4</v>
      </c>
      <c r="K82" s="6">
        <f t="shared" si="33"/>
        <v>1.1901613447523543E-4</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8.5667945794389549E-2</v>
      </c>
      <c r="D83" s="27"/>
      <c r="E83" s="309"/>
      <c r="F83" s="27"/>
      <c r="G83" s="66">
        <f t="shared" ref="G83:Q83" si="34">IF(G$4="","",ABS(G16/G$4))</f>
        <v>8.5258204346324237E-2</v>
      </c>
      <c r="H83" s="66">
        <f t="shared" si="34"/>
        <v>0.1135388806199179</v>
      </c>
      <c r="I83" s="66">
        <f t="shared" si="34"/>
        <v>9.9836059610133171E-2</v>
      </c>
      <c r="J83" s="66">
        <f t="shared" si="34"/>
        <v>0.12596668560662699</v>
      </c>
      <c r="K83" s="66">
        <f t="shared" si="34"/>
        <v>8.5669985617474312E-2</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8.5667945794389549E-2</v>
      </c>
      <c r="D86" s="77"/>
      <c r="E86" s="309"/>
      <c r="F86" s="77"/>
      <c r="G86" s="66">
        <f t="shared" ref="G86:Q86" si="35">IF(G$4="","",ABS(G19/G$4))</f>
        <v>8.5258204346324237E-2</v>
      </c>
      <c r="H86" s="66">
        <f t="shared" si="35"/>
        <v>0.1135388806199179</v>
      </c>
      <c r="I86" s="66">
        <f t="shared" si="35"/>
        <v>9.9836059610133171E-2</v>
      </c>
      <c r="J86" s="66">
        <f t="shared" si="35"/>
        <v>0.12596668560662699</v>
      </c>
      <c r="K86" s="66">
        <f t="shared" si="35"/>
        <v>8.5669985617474312E-2</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1.36</v>
      </c>
      <c r="E89" s="312"/>
      <c r="G89" s="116">
        <f>Data!C64</f>
        <v>1.36</v>
      </c>
      <c r="H89" s="116">
        <f>Data!D64</f>
        <v>1.1000000000000001</v>
      </c>
      <c r="I89" s="116">
        <f>Data!E64</f>
        <v>1.1000000000000001</v>
      </c>
      <c r="J89" s="116">
        <f>Data!F64</f>
        <v>1</v>
      </c>
      <c r="K89" s="116">
        <f>Data!G64</f>
        <v>1</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798466.67599999998</v>
      </c>
      <c r="E90" s="312"/>
      <c r="G90" s="76">
        <f t="shared" ref="G90:Q90" si="36">IF(G$4="","",G89*Common_Shares/$C$3)</f>
        <v>798466.67599999998</v>
      </c>
      <c r="H90" s="76">
        <f t="shared" si="36"/>
        <v>645818.63500000001</v>
      </c>
      <c r="I90" s="76">
        <f t="shared" si="36"/>
        <v>645818.63500000001</v>
      </c>
      <c r="J90" s="76">
        <f t="shared" si="36"/>
        <v>587107.85</v>
      </c>
      <c r="K90" s="76">
        <f t="shared" si="36"/>
        <v>587107.85</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0.77828064251671092</v>
      </c>
      <c r="E91" s="312"/>
      <c r="G91" s="175">
        <f t="shared" ref="G91:Q91" si="37">IF(G$4="","",G89/(G19*$C$3/Common_Shares))</f>
        <v>0.61107268280139349</v>
      </c>
      <c r="H91" s="175">
        <f t="shared" si="37"/>
        <v>0.4748837531646361</v>
      </c>
      <c r="I91" s="175">
        <f t="shared" si="37"/>
        <v>0.55110750382299534</v>
      </c>
      <c r="J91" s="175">
        <f t="shared" si="37"/>
        <v>0.52597248961462351</v>
      </c>
      <c r="K91" s="175">
        <f t="shared" si="37"/>
        <v>0.61004746481961181</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345</v>
      </c>
      <c r="C92" s="23">
        <f>C89/Market_Price</f>
        <v>9.1520861372812928E-2</v>
      </c>
      <c r="E92" s="312"/>
      <c r="G92" s="23">
        <f t="shared" ref="G92:Q92" si="38">IF(G$4="","",G89/Market_Price)</f>
        <v>9.1520861372812928E-2</v>
      </c>
      <c r="H92" s="23">
        <f t="shared" si="38"/>
        <v>7.4024226110363398E-2</v>
      </c>
      <c r="I92" s="23">
        <f t="shared" si="38"/>
        <v>7.4024226110363398E-2</v>
      </c>
      <c r="J92" s="23">
        <f t="shared" si="38"/>
        <v>6.7294751009421269E-2</v>
      </c>
      <c r="K92" s="23">
        <f t="shared" si="38"/>
        <v>6.7294751009421269E-2</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-0.2185980886550547</v>
      </c>
      <c r="D95" s="27"/>
      <c r="E95" s="309"/>
      <c r="F95" s="27"/>
      <c r="G95" s="6">
        <f t="shared" ref="G95:Q95" si="39">IF(H4="","",G4/H4-1)</f>
        <v>0.27952593137796744</v>
      </c>
      <c r="H95" s="6">
        <f t="shared" si="39"/>
        <v>2.0450249505806095E-2</v>
      </c>
      <c r="I95" s="6">
        <f t="shared" si="39"/>
        <v>0.32460887665346139</v>
      </c>
      <c r="J95" s="6">
        <f t="shared" si="39"/>
        <v>-0.21118785490642455</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-0.16275524177674994</v>
      </c>
      <c r="D96" s="27"/>
      <c r="E96" s="309"/>
      <c r="F96" s="27"/>
      <c r="G96" s="6">
        <f t="shared" ref="G96:Q96" si="40">IF(H5="","",G13/H13-1)</f>
        <v>-4.1356442553555084E-3</v>
      </c>
      <c r="H96" s="6">
        <f t="shared" si="40"/>
        <v>0.12128815051341224</v>
      </c>
      <c r="I96" s="6">
        <f t="shared" si="40"/>
        <v>8.0347181458058747E-2</v>
      </c>
      <c r="J96" s="6">
        <f t="shared" si="40"/>
        <v>0.14083560278753282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16854064</v>
      </c>
      <c r="D100" s="26"/>
      <c r="E100" s="313"/>
      <c r="F100" s="26"/>
      <c r="G100" s="187">
        <f t="shared" ref="G100:Q100" si="41">IF(G$4="","",G104+G103)</f>
        <v>16854064</v>
      </c>
      <c r="H100" s="187">
        <f t="shared" si="41"/>
        <v>14687373</v>
      </c>
      <c r="I100" s="187">
        <f t="shared" si="41"/>
        <v>15987114</v>
      </c>
      <c r="J100" s="187">
        <f t="shared" si="41"/>
        <v>14270996</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265773</v>
      </c>
      <c r="D101" s="91"/>
      <c r="E101" s="314"/>
      <c r="F101" s="91"/>
      <c r="G101" s="189">
        <f>IF(G$4="","",Data!D76)</f>
        <v>213823</v>
      </c>
      <c r="H101" s="189">
        <f>IF(H$4="","",Data!E76)</f>
        <v>187711</v>
      </c>
      <c r="I101" s="189">
        <f>IF(I$4="","",Data!F76)</f>
        <v>277338</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9672256</v>
      </c>
      <c r="D102" s="91"/>
      <c r="E102" s="314"/>
      <c r="F102" s="91"/>
      <c r="G102" s="189">
        <f>IF(G$4="","",Data!D77)</f>
        <v>8852611</v>
      </c>
      <c r="H102" s="189">
        <f>IF(H$4="","",Data!E77)</f>
        <v>8769304</v>
      </c>
      <c r="I102" s="189">
        <f>IF(I$4="","",Data!F77)</f>
        <v>7321614</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3990166</v>
      </c>
      <c r="D103" s="26"/>
      <c r="E103" s="313"/>
      <c r="F103" s="26"/>
      <c r="G103" s="187">
        <f>Data!C78</f>
        <v>3990166</v>
      </c>
      <c r="H103" s="187">
        <f>Data!D78</f>
        <v>2466431</v>
      </c>
      <c r="I103" s="187">
        <f>Data!E78</f>
        <v>3908586</v>
      </c>
      <c r="J103" s="187">
        <f>Data!F78</f>
        <v>2946772</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12863898</v>
      </c>
      <c r="D104" s="26"/>
      <c r="E104" s="313"/>
      <c r="F104" s="26"/>
      <c r="G104" s="187">
        <f>Data!C79</f>
        <v>12863898</v>
      </c>
      <c r="H104" s="187">
        <f>Data!D79</f>
        <v>12220942</v>
      </c>
      <c r="I104" s="187">
        <f>Data!E79</f>
        <v>12078528</v>
      </c>
      <c r="J104" s="187">
        <f>Data!F79</f>
        <v>11324224</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2.2192623484686036E-2</v>
      </c>
      <c r="D107" s="26"/>
      <c r="E107" s="313"/>
      <c r="F107" s="26"/>
      <c r="G107" s="97">
        <f t="shared" ref="G107:Q107" si="42">IF(G$4="","",G101/G$4)</f>
        <v>1.3951685381968192E-2</v>
      </c>
      <c r="H107" s="97">
        <f t="shared" si="42"/>
        <v>1.5671518179732512E-2</v>
      </c>
      <c r="I107" s="97">
        <f t="shared" si="42"/>
        <v>2.3627760663558588E-2</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0.80765441055146836</v>
      </c>
      <c r="D108" s="26"/>
      <c r="E108" s="313"/>
      <c r="F108" s="26"/>
      <c r="G108" s="97">
        <f t="shared" ref="G108:Q108" si="43">IF(G$4="","",G102/G$4)</f>
        <v>0.57762188109301071</v>
      </c>
      <c r="H108" s="97">
        <f t="shared" si="43"/>
        <v>0.73212708397270831</v>
      </c>
      <c r="I108" s="97">
        <f t="shared" si="43"/>
        <v>0.62376357824373097</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0.11422392772585273</v>
      </c>
      <c r="E112" s="312"/>
      <c r="G112" s="23">
        <f t="shared" ref="G112:Q112" si="44">G80</f>
        <v>0.10660537981237328</v>
      </c>
      <c r="H112" s="23">
        <f t="shared" si="44"/>
        <v>0.13697081043967513</v>
      </c>
      <c r="I112" s="23">
        <f t="shared" si="44"/>
        <v>0.12465296955486474</v>
      </c>
      <c r="J112" s="23">
        <f t="shared" si="44"/>
        <v>0.15283645184388131</v>
      </c>
      <c r="K112" s="23">
        <f t="shared" si="44"/>
        <v>0.10567626845873927</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0.71055479556740742</v>
      </c>
      <c r="E113" s="312"/>
      <c r="G113" s="42">
        <f t="shared" ref="G113:Q113" si="45">IF(G4="","",G4/G100)</f>
        <v>0.90933332162498015</v>
      </c>
      <c r="H113" s="42">
        <f t="shared" si="45"/>
        <v>0.81551983462257005</v>
      </c>
      <c r="I113" s="42">
        <f t="shared" si="45"/>
        <v>0.73420399704411943</v>
      </c>
      <c r="J113" s="42">
        <f t="shared" si="45"/>
        <v>0.62093318504188499</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1.3101832741522048</v>
      </c>
      <c r="D114" s="11"/>
      <c r="E114" s="316"/>
      <c r="F114" s="11"/>
      <c r="G114" s="15">
        <f t="shared" ref="G114:Q114" si="46">IF(G$4="","",G100/G104)</f>
        <v>1.3101832741522048</v>
      </c>
      <c r="H114" s="15">
        <f t="shared" si="46"/>
        <v>1.2018200397317982</v>
      </c>
      <c r="I114" s="15">
        <f t="shared" si="46"/>
        <v>1.3235978755027102</v>
      </c>
      <c r="J114" s="15">
        <f t="shared" si="46"/>
        <v>1.2602184485223888</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0.10871779326358874</v>
      </c>
      <c r="D115" s="106"/>
      <c r="E115" s="315"/>
      <c r="F115" s="106"/>
      <c r="G115" s="105">
        <f t="shared" ref="G115:Q115" si="47">IF(G$4="","",G8/G104)</f>
        <v>0.14589458032083277</v>
      </c>
      <c r="H115" s="105">
        <f t="shared" si="47"/>
        <v>0.11152020850765841</v>
      </c>
      <c r="I115" s="105">
        <f t="shared" si="47"/>
        <v>0.1174576902086082</v>
      </c>
      <c r="J115" s="105">
        <f t="shared" si="47"/>
        <v>8.2816712209154458E-2</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1.7474416369938157</v>
      </c>
      <c r="D119" s="27"/>
      <c r="E119" s="309"/>
      <c r="F119" s="27"/>
      <c r="G119" s="182">
        <f t="shared" ref="G119:Q119" si="48">IF(G$4="","",G16*$C$3/Common_Shares*Exchange_Rate)</f>
        <v>2.2255944968203032</v>
      </c>
      <c r="H119" s="182">
        <f t="shared" si="48"/>
        <v>2.316356355991493</v>
      </c>
      <c r="I119" s="182">
        <f t="shared" si="48"/>
        <v>1.9959808065928601</v>
      </c>
      <c r="J119" s="182">
        <f t="shared" si="48"/>
        <v>1.9012401213848529</v>
      </c>
      <c r="K119" s="182">
        <f t="shared" si="48"/>
        <v>1.6392167129088804</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0.11759364986499432</v>
      </c>
      <c r="D120" s="27"/>
      <c r="E120" s="309"/>
      <c r="F120" s="27"/>
      <c r="G120" s="79">
        <f t="shared" ref="G120" si="49">IF(G$4="","",G119/Market_Price)</f>
        <v>0.14977082751146051</v>
      </c>
      <c r="H120" s="79">
        <f t="shared" ref="H120" si="50">IF(H$4="","",H119/Market_Price)</f>
        <v>0.15587862422553789</v>
      </c>
      <c r="I120" s="79">
        <f t="shared" ref="I120" si="51">IF(I$4="","",I119/Market_Price)</f>
        <v>0.13431903139925036</v>
      </c>
      <c r="J120" s="79">
        <f t="shared" ref="J120" si="52">IF(J$4="","",J119/Market_Price)</f>
        <v>0.12794348057771554</v>
      </c>
      <c r="K120" s="79">
        <f t="shared" ref="K120" si="53">IF(K$4="","",K119/Market_Price)</f>
        <v>0.11031068054568509</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1025936.7024959195</v>
      </c>
      <c r="D4" t="str">
        <f>Reporting_currency</f>
        <v>HKD</v>
      </c>
      <c r="E4" s="103" t="s">
        <v>260</v>
      </c>
      <c r="F4" s="138">
        <f>Thesis!C71</f>
        <v>0</v>
      </c>
      <c r="H4" s="124"/>
    </row>
    <row r="5" spans="2:8" x14ac:dyDescent="0.35">
      <c r="B5" s="234" t="s">
        <v>128</v>
      </c>
      <c r="C5" s="235">
        <f>Thesis!C67</f>
        <v>0.08</v>
      </c>
      <c r="E5" s="152"/>
      <c r="H5" s="124"/>
    </row>
    <row r="6" spans="2:8" ht="13.15" customHeight="1" x14ac:dyDescent="0.4">
      <c r="B6" s="153" t="s">
        <v>233</v>
      </c>
      <c r="C6" s="239">
        <f>(C4*(1+Terminal_Growth))/(Equity_Cost-Terminal_Growth)</f>
        <v>12824208.781198993</v>
      </c>
      <c r="D6" t="str">
        <f>Reporting_currency</f>
        <v>HKD</v>
      </c>
      <c r="E6" s="338" t="s">
        <v>259</v>
      </c>
      <c r="F6" s="338"/>
      <c r="H6" s="124"/>
    </row>
    <row r="7" spans="2:8" x14ac:dyDescent="0.35">
      <c r="B7" s="152" t="s">
        <v>229</v>
      </c>
      <c r="C7" s="233">
        <f>BS!G31</f>
        <v>2034922</v>
      </c>
      <c r="D7" t="str">
        <f>Reporting_currency</f>
        <v>HKD</v>
      </c>
      <c r="E7" s="338"/>
      <c r="F7" s="338"/>
      <c r="H7" s="124"/>
    </row>
    <row r="8" spans="2:8" x14ac:dyDescent="0.35">
      <c r="B8" s="152" t="s">
        <v>230</v>
      </c>
      <c r="C8" s="208">
        <f>BS!D66</f>
        <v>1116785.5502773244</v>
      </c>
      <c r="D8" t="str">
        <f>Reporting_currency</f>
        <v>HKD</v>
      </c>
      <c r="E8" s="338"/>
      <c r="F8" s="338"/>
      <c r="H8" s="124"/>
    </row>
    <row r="9" spans="2:8" x14ac:dyDescent="0.35">
      <c r="B9" s="234" t="s">
        <v>195</v>
      </c>
      <c r="C9" s="236">
        <f>BS!H42</f>
        <v>92572.6</v>
      </c>
      <c r="D9" t="str">
        <f>Reporting_currency</f>
        <v>HKD</v>
      </c>
      <c r="E9" s="338"/>
      <c r="F9" s="338"/>
      <c r="H9" s="124"/>
    </row>
    <row r="10" spans="2:8" ht="13.15" x14ac:dyDescent="0.4">
      <c r="B10" s="153" t="s">
        <v>232</v>
      </c>
      <c r="C10" s="239">
        <f>C6-C7+C8+C9</f>
        <v>11998644.931476317</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20.436866806458671</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6.9371044268871302E-3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20.910971233890763</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1033053.73253651</v>
      </c>
      <c r="D21" s="142">
        <f>IF($C$17&lt;B21,0,Valuation_Model!$C$16)</f>
        <v>6.9371044268871302E-3</v>
      </c>
      <c r="E21" s="128">
        <f t="shared" ref="E21:E50" si="0">IF($C$17&lt;B21,0,1/(1+Equity_Cost)^B21)</f>
        <v>0.92592592592592582</v>
      </c>
      <c r="F21" s="129">
        <f t="shared" ref="F21:F51" si="1">C21*E21</f>
        <v>956531.23383010167</v>
      </c>
      <c r="H21" s="124"/>
    </row>
    <row r="22" spans="2:8" x14ac:dyDescent="0.35">
      <c r="B22" s="126">
        <v>2</v>
      </c>
      <c r="C22" s="127">
        <f t="shared" ref="C22:C50" si="2">IF(ROW()-ROW($C$21)&lt;$C$17, $C$21*(1+D22)^(ROW()-ROW($C$21)), 0)</f>
        <v>1040220.1341577013</v>
      </c>
      <c r="D22" s="142">
        <f>IF($C$17&lt;B22,0,Valuation_Model!$C$16)</f>
        <v>6.9371044268871302E-3</v>
      </c>
      <c r="E22" s="128">
        <f t="shared" si="0"/>
        <v>0.85733882030178321</v>
      </c>
      <c r="F22" s="129">
        <f t="shared" si="1"/>
        <v>891821.10267292627</v>
      </c>
      <c r="H22" s="124"/>
    </row>
    <row r="23" spans="2:8" x14ac:dyDescent="0.35">
      <c r="B23" s="126">
        <v>3</v>
      </c>
      <c r="C23" s="127">
        <f t="shared" si="2"/>
        <v>1047436.2498553038</v>
      </c>
      <c r="D23" s="142">
        <f>IF($C$17&lt;B23,0,Valuation_Model!$C$16)</f>
        <v>6.9371044268871302E-3</v>
      </c>
      <c r="E23" s="128">
        <f t="shared" si="0"/>
        <v>0.79383224102016958</v>
      </c>
      <c r="F23" s="129">
        <f t="shared" si="1"/>
        <v>831488.66554839804</v>
      </c>
      <c r="H23" s="124"/>
    </row>
    <row r="24" spans="2:8" x14ac:dyDescent="0.35">
      <c r="B24" s="126">
        <v>4</v>
      </c>
      <c r="C24" s="127">
        <f t="shared" si="2"/>
        <v>1054702.424501057</v>
      </c>
      <c r="D24" s="142">
        <f>IF($C$17&lt;B24,0,Valuation_Model!$C$16)</f>
        <v>6.9371044268871302E-3</v>
      </c>
      <c r="E24" s="128">
        <f t="shared" si="0"/>
        <v>0.73502985279645328</v>
      </c>
      <c r="F24" s="129">
        <f t="shared" si="1"/>
        <v>775237.76782507426</v>
      </c>
      <c r="H24" s="124"/>
    </row>
    <row r="25" spans="2:8" x14ac:dyDescent="0.35">
      <c r="B25" s="126">
        <v>5</v>
      </c>
      <c r="C25" s="127">
        <f t="shared" si="2"/>
        <v>1062019.0053591118</v>
      </c>
      <c r="D25" s="142">
        <f>IF($C$17&lt;B25,0,Valuation_Model!$C$16)</f>
        <v>6.9371044268871302E-3</v>
      </c>
      <c r="E25" s="128">
        <f t="shared" si="0"/>
        <v>0.68058319703375303</v>
      </c>
      <c r="F25" s="129">
        <f t="shared" si="1"/>
        <v>722792.28997791081</v>
      </c>
      <c r="H25" s="124"/>
    </row>
    <row r="26" spans="2:8" x14ac:dyDescent="0.35">
      <c r="B26" s="126">
        <v>6</v>
      </c>
      <c r="C26" s="127">
        <f t="shared" si="2"/>
        <v>1069386.3421026268</v>
      </c>
      <c r="D26" s="142">
        <f>IF($C$17&lt;B26,0,Valuation_Model!$C$16)</f>
        <v>6.9371044268871302E-3</v>
      </c>
      <c r="E26" s="128">
        <f t="shared" si="0"/>
        <v>0.63016962688310452</v>
      </c>
      <c r="F26" s="129">
        <f t="shared" si="1"/>
        <v>673894.79219670035</v>
      </c>
      <c r="H26" s="124"/>
    </row>
    <row r="27" spans="2:8" x14ac:dyDescent="0.35">
      <c r="B27" s="126">
        <v>7</v>
      </c>
      <c r="C27" s="127">
        <f t="shared" si="2"/>
        <v>1076804.7868304797</v>
      </c>
      <c r="D27" s="142">
        <f>IF($C$17&lt;B27,0,Valuation_Model!$C$16)</f>
        <v>6.9371044268871302E-3</v>
      </c>
      <c r="E27" s="128">
        <f t="shared" si="0"/>
        <v>0.58349039526213387</v>
      </c>
      <c r="F27" s="129">
        <f t="shared" si="1"/>
        <v>628305.25068787439</v>
      </c>
      <c r="H27" s="124"/>
    </row>
    <row r="28" spans="2:8" x14ac:dyDescent="0.35">
      <c r="B28" s="126">
        <v>8</v>
      </c>
      <c r="C28" s="127">
        <f t="shared" si="2"/>
        <v>1084274.6940840944</v>
      </c>
      <c r="D28" s="142">
        <f>IF($C$17&lt;B28,0,Valuation_Model!$C$16)</f>
        <v>6.9371044268871302E-3</v>
      </c>
      <c r="E28" s="128">
        <f t="shared" si="0"/>
        <v>0.54026888450197574</v>
      </c>
      <c r="F28" s="129">
        <f t="shared" si="1"/>
        <v>585799.87946653471</v>
      </c>
      <c r="H28" s="124"/>
    </row>
    <row r="29" spans="2:8" x14ac:dyDescent="0.35">
      <c r="B29" s="126">
        <v>9</v>
      </c>
      <c r="C29" s="127">
        <f t="shared" si="2"/>
        <v>1091796.4208643869</v>
      </c>
      <c r="D29" s="142">
        <f>IF($C$17&lt;B29,0,Valuation_Model!$C$16)</f>
        <v>6.9371044268871302E-3</v>
      </c>
      <c r="E29" s="128">
        <f t="shared" si="0"/>
        <v>0.50024896713145905</v>
      </c>
      <c r="F29" s="129">
        <f t="shared" si="1"/>
        <v>546170.03185523336</v>
      </c>
      <c r="H29" s="124"/>
    </row>
    <row r="30" spans="2:8" x14ac:dyDescent="0.35">
      <c r="B30" s="126">
        <v>10</v>
      </c>
      <c r="C30" s="127">
        <f t="shared" si="2"/>
        <v>1099370.3266488248</v>
      </c>
      <c r="D30" s="142">
        <f>IF($C$17&lt;B30,0,Valuation_Model!$C$16)</f>
        <v>6.9371044268871302E-3</v>
      </c>
      <c r="E30" s="128">
        <f t="shared" si="0"/>
        <v>0.46319348808468425</v>
      </c>
      <c r="F30" s="129">
        <f t="shared" si="1"/>
        <v>509221.1762972679</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12913171.656706374</v>
      </c>
      <c r="D51" s="143">
        <f>Terminal_Growth</f>
        <v>0</v>
      </c>
      <c r="E51" s="128">
        <f>1/(1+Equity_Cost)^C17</f>
        <v>0.46319348808468425</v>
      </c>
      <c r="F51" s="129">
        <f t="shared" si="1"/>
        <v>5981297.0219061058</v>
      </c>
      <c r="H51" s="124"/>
    </row>
    <row r="52" spans="1:8" x14ac:dyDescent="0.35">
      <c r="C52" s="118"/>
      <c r="E52" s="131" t="s">
        <v>105</v>
      </c>
      <c r="F52" s="141">
        <f>SUM(F21:F51)</f>
        <v>13102559.212264128</v>
      </c>
      <c r="H52" s="124"/>
    </row>
    <row r="53" spans="1:8" x14ac:dyDescent="0.35">
      <c r="C53" s="118"/>
      <c r="H53" s="124"/>
    </row>
    <row r="54" spans="1:8" ht="13.15" x14ac:dyDescent="0.35">
      <c r="B54" s="123" t="s">
        <v>134</v>
      </c>
      <c r="C54" s="140"/>
      <c r="D54" s="140"/>
      <c r="E54" s="121"/>
      <c r="F54" s="121"/>
      <c r="H54" s="124"/>
    </row>
    <row r="55" spans="1:8" ht="13.15" x14ac:dyDescent="0.4">
      <c r="A55" s="137">
        <f>F52</f>
        <v>13102559.212264128</v>
      </c>
      <c r="B55" s="135">
        <f>C78</f>
        <v>-0.08</v>
      </c>
      <c r="C55" s="135">
        <f>C77</f>
        <v>-0.05</v>
      </c>
      <c r="D55" s="135">
        <f>C76</f>
        <v>0.02</v>
      </c>
      <c r="E55" s="135">
        <f>C75</f>
        <v>0.05</v>
      </c>
      <c r="F55" s="135">
        <f>C74</f>
        <v>0.08</v>
      </c>
      <c r="H55" s="124"/>
    </row>
    <row r="56" spans="1:8" ht="13.15" x14ac:dyDescent="0.4">
      <c r="A56" s="147">
        <v>5</v>
      </c>
      <c r="B56" s="127">
        <f t="dataTable" ref="B56:F61" dt2D="1" dtr="1" r1="C16" r2="C17"/>
        <v>11282726.428198345</v>
      </c>
      <c r="C56" s="127">
        <v>11840565.304262523</v>
      </c>
      <c r="D56" s="127">
        <v>13237984.887774194</v>
      </c>
      <c r="E56" s="127">
        <v>13882054.1124526</v>
      </c>
      <c r="F56" s="127">
        <v>14555859.805155281</v>
      </c>
      <c r="H56" s="124"/>
    </row>
    <row r="57" spans="1:8" ht="13.15" x14ac:dyDescent="0.4">
      <c r="A57" s="147">
        <v>10</v>
      </c>
      <c r="B57" s="127">
        <v>10177077.841397041</v>
      </c>
      <c r="C57" s="127">
        <v>11061100.638071539</v>
      </c>
      <c r="D57" s="127">
        <v>13652142.016756626</v>
      </c>
      <c r="E57" s="127">
        <v>15052693.18286407</v>
      </c>
      <c r="F57" s="127">
        <v>16674664.222032182</v>
      </c>
      <c r="H57" s="124"/>
    </row>
    <row r="58" spans="1:8" ht="13.15" x14ac:dyDescent="0.4">
      <c r="A58" s="147">
        <v>15</v>
      </c>
      <c r="B58" s="127">
        <v>9086029.4174918626</v>
      </c>
      <c r="C58" s="127">
        <v>10242858.129900236</v>
      </c>
      <c r="D58" s="127">
        <v>14164776.298883488</v>
      </c>
      <c r="E58" s="127">
        <v>16619945.945723236</v>
      </c>
      <c r="F58" s="127">
        <v>19755194.013744399</v>
      </c>
      <c r="H58" s="124"/>
    </row>
    <row r="59" spans="1:8" ht="13.15" x14ac:dyDescent="0.4">
      <c r="A59" s="148">
        <v>20</v>
      </c>
      <c r="B59" s="127">
        <v>8191614.6291523315</v>
      </c>
      <c r="C59" s="127">
        <v>9534439.4308413006</v>
      </c>
      <c r="D59" s="127">
        <v>14687068.422470205</v>
      </c>
      <c r="E59" s="127">
        <v>18355891.124841124</v>
      </c>
      <c r="F59" s="127">
        <v>23490257.935730524</v>
      </c>
      <c r="H59" s="124"/>
    </row>
    <row r="60" spans="1:8" ht="13.15" x14ac:dyDescent="0.4">
      <c r="A60" s="148">
        <v>25</v>
      </c>
      <c r="B60" s="127">
        <v>7514770.1645255014</v>
      </c>
      <c r="C60" s="127">
        <v>8972499.0159606077</v>
      </c>
      <c r="D60" s="127">
        <v>15172829.079400806</v>
      </c>
      <c r="E60" s="127">
        <v>20118710.16775756</v>
      </c>
      <c r="F60" s="127">
        <v>27670786.788666163</v>
      </c>
      <c r="H60" s="124"/>
    </row>
    <row r="61" spans="1:8" ht="13.15" x14ac:dyDescent="0.4">
      <c r="A61" s="148">
        <v>30</v>
      </c>
      <c r="B61" s="127">
        <v>7023564.9469353091</v>
      </c>
      <c r="C61" s="127">
        <v>8548026.0081255715</v>
      </c>
      <c r="D61" s="127">
        <v>15601337.552094221</v>
      </c>
      <c r="E61" s="127">
        <v>21823437.068809107</v>
      </c>
      <c r="F61" s="127">
        <v>32154491.58847386</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0.08</v>
      </c>
      <c r="H64" s="124"/>
    </row>
    <row r="65" spans="1:8" ht="13.15" x14ac:dyDescent="0.4">
      <c r="A65" s="147">
        <v>0</v>
      </c>
      <c r="B65" s="128">
        <f>C12</f>
        <v>20.436866806458671</v>
      </c>
      <c r="C65" s="128">
        <f>C12</f>
        <v>20.436866806458671</v>
      </c>
      <c r="D65" s="128">
        <f>C12</f>
        <v>20.436866806458671</v>
      </c>
      <c r="E65" s="145">
        <f>C12</f>
        <v>20.436866806458671</v>
      </c>
      <c r="F65" s="128">
        <f>C12</f>
        <v>20.436866806458671</v>
      </c>
      <c r="H65" s="124"/>
    </row>
    <row r="66" spans="1:8" ht="13.15" x14ac:dyDescent="0.4">
      <c r="A66" s="147">
        <f t="shared" ref="A66:A71" si="3">A56</f>
        <v>5</v>
      </c>
      <c r="B66" s="128">
        <f t="shared" ref="B66:F71" si="4">(B56-$C$7+$C$8+$C$9)/Common_Shares*$C$3*Exchange_Rate</f>
        <v>17.811314528456176</v>
      </c>
      <c r="C66" s="128">
        <f t="shared" si="4"/>
        <v>18.761461722134779</v>
      </c>
      <c r="D66" s="128">
        <f t="shared" si="4"/>
        <v>21.1416369889306</v>
      </c>
      <c r="E66" s="128">
        <f t="shared" si="4"/>
        <v>22.238657280310463</v>
      </c>
      <c r="F66" s="128">
        <f t="shared" si="4"/>
        <v>23.386326644129532</v>
      </c>
      <c r="H66" s="124"/>
    </row>
    <row r="67" spans="1:8" ht="13.15" x14ac:dyDescent="0.4">
      <c r="A67" s="147">
        <f t="shared" si="3"/>
        <v>10</v>
      </c>
      <c r="B67" s="128">
        <f t="shared" si="4"/>
        <v>15.928102463072781</v>
      </c>
      <c r="C67" s="128">
        <f t="shared" si="4"/>
        <v>17.433827172211824</v>
      </c>
      <c r="D67" s="128">
        <f t="shared" si="4"/>
        <v>21.847056153369351</v>
      </c>
      <c r="E67" s="128">
        <f t="shared" si="4"/>
        <v>24.232565333850321</v>
      </c>
      <c r="F67" s="128">
        <f t="shared" si="4"/>
        <v>26.995211139332419</v>
      </c>
      <c r="H67" s="124"/>
    </row>
    <row r="68" spans="1:8" ht="13.15" x14ac:dyDescent="0.4">
      <c r="A68" s="147">
        <f t="shared" si="3"/>
        <v>15</v>
      </c>
      <c r="B68" s="128">
        <f t="shared" si="4"/>
        <v>14.069758337874697</v>
      </c>
      <c r="C68" s="128">
        <f t="shared" si="4"/>
        <v>16.040143697921188</v>
      </c>
      <c r="D68" s="128">
        <f t="shared" si="4"/>
        <v>22.720207963768175</v>
      </c>
      <c r="E68" s="128">
        <f t="shared" si="4"/>
        <v>26.902011437933524</v>
      </c>
      <c r="F68" s="128">
        <f t="shared" si="4"/>
        <v>32.242168392096481</v>
      </c>
      <c r="H68" s="124"/>
    </row>
    <row r="69" spans="1:8" ht="13.15" x14ac:dyDescent="0.4">
      <c r="A69" s="148">
        <f t="shared" si="3"/>
        <v>20</v>
      </c>
      <c r="B69" s="128">
        <f t="shared" si="4"/>
        <v>12.546333317515096</v>
      </c>
      <c r="C69" s="128">
        <f t="shared" si="4"/>
        <v>14.833519226695104</v>
      </c>
      <c r="D69" s="128">
        <f t="shared" si="4"/>
        <v>23.609809633353613</v>
      </c>
      <c r="E69" s="128">
        <f t="shared" si="4"/>
        <v>29.858785357951604</v>
      </c>
      <c r="F69" s="128">
        <f t="shared" si="4"/>
        <v>38.603970439175441</v>
      </c>
      <c r="H69" s="124"/>
    </row>
    <row r="70" spans="1:8" ht="13.15" x14ac:dyDescent="0.4">
      <c r="A70" s="148">
        <f t="shared" si="3"/>
        <v>25</v>
      </c>
      <c r="B70" s="128">
        <f t="shared" si="4"/>
        <v>11.393488121139626</v>
      </c>
      <c r="C70" s="128">
        <f t="shared" si="4"/>
        <v>13.876386027265573</v>
      </c>
      <c r="D70" s="128">
        <f t="shared" si="4"/>
        <v>24.437188550073259</v>
      </c>
      <c r="E70" s="128">
        <f t="shared" si="4"/>
        <v>32.861332578051694</v>
      </c>
      <c r="F70" s="128">
        <f t="shared" si="4"/>
        <v>45.72451712056565</v>
      </c>
    </row>
    <row r="71" spans="1:8" ht="13.15" x14ac:dyDescent="0.4">
      <c r="A71" s="148">
        <f t="shared" si="3"/>
        <v>30</v>
      </c>
      <c r="B71" s="128">
        <f t="shared" si="4"/>
        <v>10.556835677146257</v>
      </c>
      <c r="C71" s="128">
        <f t="shared" si="4"/>
        <v>13.153396191863036</v>
      </c>
      <c r="D71" s="128">
        <f t="shared" si="4"/>
        <v>25.167051849794795</v>
      </c>
      <c r="E71" s="128">
        <f t="shared" si="4"/>
        <v>35.764933511085623</v>
      </c>
      <c r="F71" s="128">
        <f t="shared" si="4"/>
        <v>53.361452650907644</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0.08</v>
      </c>
      <c r="D74" s="149">
        <f>Scenarios!C55</f>
        <v>10</v>
      </c>
      <c r="E74" s="139">
        <f>INDEX(B$65:F$71, MATCH(D74, A$65:A$71, 0), MATCH(C74, B$64:F$64, 0))</f>
        <v>26.995211139332419</v>
      </c>
      <c r="F74" s="146">
        <f>Scenarios!C58</f>
        <v>0.02</v>
      </c>
    </row>
    <row r="75" spans="1:8" x14ac:dyDescent="0.35">
      <c r="B75" s="131" t="str">
        <f>Scenarios!B36</f>
        <v>Optimistic</v>
      </c>
      <c r="C75" s="146">
        <f>Scenarios!C38</f>
        <v>0.05</v>
      </c>
      <c r="D75" s="149">
        <f>Scenarios!C37</f>
        <v>5</v>
      </c>
      <c r="E75" s="139">
        <f>INDEX(B$65:F$71, MATCH(D75, A$65:A$71, 0), MATCH(C75, B$64:F$64, 0))</f>
        <v>22.238657280310463</v>
      </c>
      <c r="F75" s="146">
        <f>Scenarios!C40*(1-F$74-F$78)</f>
        <v>0.192</v>
      </c>
      <c r="H75" s="124"/>
    </row>
    <row r="76" spans="1:8" x14ac:dyDescent="0.35">
      <c r="B76" s="131" t="str">
        <f>Scenarios!B24</f>
        <v>Base</v>
      </c>
      <c r="C76" s="146">
        <f>Scenarios!C26</f>
        <v>0.02</v>
      </c>
      <c r="D76" s="149">
        <f>Scenarios!C25</f>
        <v>5</v>
      </c>
      <c r="E76" s="139">
        <f>INDEX(B$65:F$71, MATCH(D76, A$65:A$71, 0), MATCH(C76, B$64:F$64, 0))</f>
        <v>21.1416369889306</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18.761461722134779</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15.928102463072781</v>
      </c>
      <c r="F78" s="146">
        <f>Scenarios!C52</f>
        <v>0.02</v>
      </c>
    </row>
    <row r="79" spans="1:8" x14ac:dyDescent="0.35">
      <c r="B79" s="160"/>
      <c r="C79" s="160"/>
      <c r="D79" s="160"/>
      <c r="E79" s="160"/>
      <c r="F79" s="161"/>
    </row>
    <row r="80" spans="1:8" x14ac:dyDescent="0.35">
      <c r="B80" s="160" t="s">
        <v>346</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zoomScale="75" zoomScaleNormal="100" workbookViewId="0">
      <selection activeCell="E25" sqref="E25:F2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328</v>
      </c>
      <c r="I2" s="286"/>
    </row>
    <row r="3" spans="2:9" ht="13.15" x14ac:dyDescent="0.4">
      <c r="B3" s="164" t="s">
        <v>153</v>
      </c>
      <c r="H3" s="284">
        <v>0</v>
      </c>
      <c r="I3" s="272">
        <f>-Market_Price</f>
        <v>-14.86</v>
      </c>
    </row>
    <row r="4" spans="2:9" x14ac:dyDescent="0.35">
      <c r="B4" s="156" t="s">
        <v>151</v>
      </c>
      <c r="C4" s="124">
        <v>3</v>
      </c>
      <c r="D4" s="124"/>
      <c r="E4" s="160" t="s">
        <v>155</v>
      </c>
      <c r="F4" s="160"/>
      <c r="H4" s="284">
        <v>1</v>
      </c>
      <c r="I4" s="272">
        <f t="shared" ref="I4:I13" si="0">IF(ROW()-3 &lt; $C$76, $C$77, IF(ROW()-3 = $C$76, $C$77 + $C$60, ""))</f>
        <v>1.36</v>
      </c>
    </row>
    <row r="5" spans="2:9" x14ac:dyDescent="0.35">
      <c r="H5" s="284">
        <v>2</v>
      </c>
      <c r="I5" s="272">
        <f t="shared" si="0"/>
        <v>1.36</v>
      </c>
    </row>
    <row r="6" spans="2:9" ht="13.15" x14ac:dyDescent="0.4">
      <c r="B6" s="164" t="s">
        <v>100</v>
      </c>
      <c r="C6" s="110">
        <f>Valuation_Model!C3</f>
        <v>1000</v>
      </c>
      <c r="E6" s="103" t="s">
        <v>302</v>
      </c>
      <c r="F6" s="103"/>
      <c r="H6" s="284">
        <v>3</v>
      </c>
      <c r="I6" s="272">
        <f t="shared" si="0"/>
        <v>22.268072026141617</v>
      </c>
    </row>
    <row r="7" spans="2:9" ht="12.75" customHeight="1" x14ac:dyDescent="0.35">
      <c r="B7" s="103" t="s">
        <v>296</v>
      </c>
      <c r="C7" s="118">
        <f>Normalized_FCF!G8</f>
        <v>1876773</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0"/>
      <c r="H7" s="284">
        <v>4</v>
      </c>
      <c r="I7" s="272" t="str">
        <f t="shared" si="0"/>
        <v/>
      </c>
    </row>
    <row r="8" spans="2:9" x14ac:dyDescent="0.35">
      <c r="B8" s="103" t="s">
        <v>70</v>
      </c>
      <c r="C8" s="118">
        <f>Normalized_FCF!G19</f>
        <v>1306664</v>
      </c>
      <c r="D8" t="str">
        <f>Reporting_currency</f>
        <v>HKD</v>
      </c>
      <c r="E8" s="340"/>
      <c r="F8" s="340"/>
      <c r="H8" s="284">
        <v>5</v>
      </c>
      <c r="I8" s="272" t="str">
        <f t="shared" si="0"/>
        <v/>
      </c>
    </row>
    <row r="9" spans="2:9" x14ac:dyDescent="0.35">
      <c r="B9" s="103" t="s">
        <v>61</v>
      </c>
      <c r="C9" s="208">
        <f>Normalized_FCF!C19</f>
        <v>1025936.7024959195</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0.20035451325595277</v>
      </c>
      <c r="D12" s="163"/>
      <c r="E12" s="340"/>
      <c r="F12" s="340"/>
      <c r="H12" s="284">
        <v>9</v>
      </c>
      <c r="I12" s="272" t="str">
        <f t="shared" si="0"/>
        <v/>
      </c>
    </row>
    <row r="13" spans="2:9" x14ac:dyDescent="0.35">
      <c r="B13" s="152" t="s">
        <v>157</v>
      </c>
      <c r="C13" s="163">
        <f ca="1">(Normalized_FCF!G8/OFFSET(Normalized_FCF!G8, 0, $C$4))^(1/$C$4) - 1</f>
        <v>0.26016796976901468</v>
      </c>
      <c r="E13" s="340"/>
      <c r="F13" s="340"/>
      <c r="H13" s="284">
        <v>10</v>
      </c>
      <c r="I13" s="272" t="str">
        <f t="shared" si="0"/>
        <v/>
      </c>
    </row>
    <row r="14" spans="2:9" x14ac:dyDescent="0.35">
      <c r="B14" s="103" t="s">
        <v>70</v>
      </c>
      <c r="C14" s="163">
        <f ca="1">(Normalized_FCF!G19/OFFSET(Normalized_FCF!G19, 0, $C$4))^(1/$C$4) - 1</f>
        <v>5.3908780398304268E-2</v>
      </c>
      <c r="E14" s="340"/>
      <c r="F14" s="340"/>
    </row>
    <row r="16" spans="2:9" ht="13.9" x14ac:dyDescent="0.45">
      <c r="B16" s="36" t="s">
        <v>167</v>
      </c>
      <c r="C16" s="37"/>
      <c r="D16" s="37"/>
      <c r="E16" s="37"/>
      <c r="F16" s="37"/>
    </row>
    <row r="17" spans="2:6" ht="13.15" x14ac:dyDescent="0.4">
      <c r="B17" s="112" t="s">
        <v>156</v>
      </c>
      <c r="E17" s="164" t="s">
        <v>371</v>
      </c>
    </row>
    <row r="18" spans="2:6" x14ac:dyDescent="0.35">
      <c r="B18" s="156" t="s">
        <v>138</v>
      </c>
      <c r="C18" s="154">
        <v>5</v>
      </c>
      <c r="E18" s="340" t="s">
        <v>372</v>
      </c>
      <c r="F18" s="341"/>
    </row>
    <row r="19" spans="2:6" x14ac:dyDescent="0.35">
      <c r="E19" s="341"/>
      <c r="F19" s="341"/>
    </row>
    <row r="20" spans="2:6" ht="13.15" x14ac:dyDescent="0.4">
      <c r="B20" s="164" t="s">
        <v>336</v>
      </c>
      <c r="E20" s="341"/>
      <c r="F20" s="341"/>
    </row>
    <row r="21" spans="2:6" x14ac:dyDescent="0.35">
      <c r="B21" s="103" t="s">
        <v>300</v>
      </c>
      <c r="C21" s="165">
        <f>Market_Price</f>
        <v>14.86</v>
      </c>
      <c r="D21" t="str">
        <f>Market_currency</f>
        <v>HKD</v>
      </c>
      <c r="E21" s="341"/>
      <c r="F21" s="341"/>
    </row>
    <row r="22" spans="2:6" x14ac:dyDescent="0.35">
      <c r="B22" s="103" t="s">
        <v>301</v>
      </c>
      <c r="C22" s="165">
        <f>Valuation_Model!C12</f>
        <v>20.436866806458671</v>
      </c>
      <c r="D22" t="str">
        <f>Market_currency</f>
        <v>HKD</v>
      </c>
      <c r="E22" s="341"/>
      <c r="F22" s="341"/>
    </row>
    <row r="24" spans="2:6" ht="13.15" x14ac:dyDescent="0.4">
      <c r="B24" s="164" t="s">
        <v>120</v>
      </c>
      <c r="E24" s="164" t="s">
        <v>154</v>
      </c>
      <c r="F24" s="164"/>
    </row>
    <row r="25" spans="2:6" x14ac:dyDescent="0.35">
      <c r="B25" s="156" t="s">
        <v>138</v>
      </c>
      <c r="C25" s="171">
        <f>C18</f>
        <v>5</v>
      </c>
      <c r="D25" s="168"/>
      <c r="E25" s="339"/>
      <c r="F25" s="339"/>
    </row>
    <row r="26" spans="2:6" x14ac:dyDescent="0.35">
      <c r="B26" s="122" t="s">
        <v>139</v>
      </c>
      <c r="C26" s="169">
        <v>0.02</v>
      </c>
      <c r="D26" s="169"/>
      <c r="E26" s="339"/>
      <c r="F26" s="339"/>
    </row>
    <row r="27" spans="2:6" x14ac:dyDescent="0.35">
      <c r="B27" s="103" t="s">
        <v>118</v>
      </c>
      <c r="C27" s="165">
        <f>Valuation_Model!E76</f>
        <v>21.1416369889306</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5</v>
      </c>
      <c r="D31" s="168"/>
      <c r="E31" s="339"/>
      <c r="F31" s="339"/>
    </row>
    <row r="32" spans="2:6" x14ac:dyDescent="0.35">
      <c r="B32" s="122" t="s">
        <v>139</v>
      </c>
      <c r="C32" s="169">
        <v>-0.05</v>
      </c>
      <c r="D32" s="169"/>
      <c r="E32" s="339"/>
      <c r="F32" s="339"/>
    </row>
    <row r="33" spans="2:6" x14ac:dyDescent="0.35">
      <c r="B33" s="103" t="s">
        <v>118</v>
      </c>
      <c r="C33" s="165">
        <f>Valuation_Model!E77</f>
        <v>18.761461722134779</v>
      </c>
      <c r="D33" t="str">
        <f>Market_currency</f>
        <v>HKD</v>
      </c>
      <c r="E33" s="339"/>
      <c r="F33" s="339"/>
    </row>
    <row r="34" spans="2:6" x14ac:dyDescent="0.35">
      <c r="B34" s="103" t="s">
        <v>152</v>
      </c>
      <c r="C34" s="170">
        <v>0.2</v>
      </c>
      <c r="D34" s="170"/>
      <c r="E34" s="339"/>
      <c r="F34" s="339"/>
    </row>
    <row r="36" spans="2:6" ht="13.15" x14ac:dyDescent="0.4">
      <c r="B36" s="164" t="s">
        <v>119</v>
      </c>
      <c r="E36" s="164" t="s">
        <v>154</v>
      </c>
      <c r="F36" s="164"/>
    </row>
    <row r="37" spans="2:6" x14ac:dyDescent="0.35">
      <c r="B37" s="156" t="s">
        <v>138</v>
      </c>
      <c r="C37" s="171">
        <f>C18</f>
        <v>5</v>
      </c>
      <c r="D37" s="168"/>
      <c r="E37" s="339"/>
      <c r="F37" s="339"/>
    </row>
    <row r="38" spans="2:6" x14ac:dyDescent="0.35">
      <c r="B38" s="122" t="s">
        <v>139</v>
      </c>
      <c r="C38" s="169">
        <v>0.05</v>
      </c>
      <c r="D38" s="169"/>
      <c r="E38" s="339"/>
      <c r="F38" s="339"/>
    </row>
    <row r="39" spans="2:6" x14ac:dyDescent="0.35">
      <c r="B39" s="103" t="s">
        <v>118</v>
      </c>
      <c r="C39" s="165">
        <f>Valuation_Model!E75</f>
        <v>22.238657280310463</v>
      </c>
      <c r="D39" t="str">
        <f>Market_currency</f>
        <v>HKD</v>
      </c>
      <c r="E39" s="339"/>
      <c r="F39" s="339"/>
    </row>
    <row r="40" spans="2:6" x14ac:dyDescent="0.35">
      <c r="B40" s="103" t="s">
        <v>152</v>
      </c>
      <c r="C40" s="172">
        <f>1-C28-C34</f>
        <v>0.2</v>
      </c>
      <c r="D40" s="170"/>
      <c r="E40" s="339"/>
      <c r="F40" s="339"/>
    </row>
    <row r="42" spans="2:6" ht="13.15" x14ac:dyDescent="0.4">
      <c r="B42" s="103" t="s">
        <v>125</v>
      </c>
      <c r="C42" s="159">
        <f>C27*C28+C33*C34+C39*C40</f>
        <v>20.885005993847411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10</v>
      </c>
      <c r="D49" s="168"/>
      <c r="E49" s="339"/>
      <c r="F49" s="339"/>
    </row>
    <row r="50" spans="2:6" x14ac:dyDescent="0.35">
      <c r="B50" s="122" t="s">
        <v>139</v>
      </c>
      <c r="C50" s="169">
        <v>-0.08</v>
      </c>
      <c r="D50" s="169"/>
      <c r="E50" s="339"/>
      <c r="F50" s="339"/>
    </row>
    <row r="51" spans="2:6" x14ac:dyDescent="0.35">
      <c r="B51" s="103" t="s">
        <v>118</v>
      </c>
      <c r="C51" s="165">
        <f>Valuation_Model!E78</f>
        <v>15.928102463072781</v>
      </c>
      <c r="D51" t="str">
        <f>Market_currency</f>
        <v>HKD</v>
      </c>
      <c r="E51" s="339"/>
      <c r="F51" s="339"/>
    </row>
    <row r="52" spans="2:6" x14ac:dyDescent="0.35">
      <c r="B52" s="103" t="s">
        <v>152</v>
      </c>
      <c r="C52" s="170">
        <v>0.02</v>
      </c>
      <c r="D52" s="170"/>
      <c r="E52" s="339"/>
      <c r="F52" s="339"/>
    </row>
    <row r="54" spans="2:6" ht="13.15" x14ac:dyDescent="0.4">
      <c r="B54" s="164" t="s">
        <v>354</v>
      </c>
      <c r="E54" s="164" t="s">
        <v>154</v>
      </c>
      <c r="F54" s="164"/>
    </row>
    <row r="55" spans="2:6" x14ac:dyDescent="0.35">
      <c r="B55" s="156" t="s">
        <v>138</v>
      </c>
      <c r="C55" s="171">
        <f>C46</f>
        <v>10</v>
      </c>
      <c r="D55" s="168"/>
      <c r="E55" s="339"/>
      <c r="F55" s="339"/>
    </row>
    <row r="56" spans="2:6" x14ac:dyDescent="0.35">
      <c r="B56" s="122" t="s">
        <v>139</v>
      </c>
      <c r="C56" s="169">
        <v>0.08</v>
      </c>
      <c r="D56" s="169"/>
      <c r="E56" s="339"/>
      <c r="F56" s="339"/>
    </row>
    <row r="57" spans="2:6" x14ac:dyDescent="0.35">
      <c r="B57" s="103" t="s">
        <v>118</v>
      </c>
      <c r="C57" s="165">
        <f>Valuation_Model!E74</f>
        <v>26.995211139332419</v>
      </c>
      <c r="D57" t="str">
        <f>Market_currency</f>
        <v>HKD</v>
      </c>
      <c r="E57" s="339"/>
      <c r="F57" s="339"/>
    </row>
    <row r="58" spans="2:6" x14ac:dyDescent="0.35">
      <c r="B58" s="103" t="s">
        <v>152</v>
      </c>
      <c r="C58" s="170">
        <v>0.02</v>
      </c>
      <c r="D58" s="170"/>
      <c r="E58" s="339"/>
      <c r="F58" s="339"/>
    </row>
    <row r="60" spans="2:6" ht="13.15" x14ac:dyDescent="0.4">
      <c r="B60" s="103" t="s">
        <v>125</v>
      </c>
      <c r="C60" s="159">
        <f>C51*C52+C57*C58+C42*(1-C52-C58)</f>
        <v>20.908072026141618</v>
      </c>
      <c r="D60" t="str">
        <f>Market_currency</f>
        <v>HKD</v>
      </c>
      <c r="E60" s="103" t="s">
        <v>329</v>
      </c>
      <c r="F60" s="322">
        <f>Thesis!E20</f>
        <v>3</v>
      </c>
    </row>
    <row r="62" spans="2:6" ht="13.9" x14ac:dyDescent="0.45">
      <c r="B62" s="36" t="s">
        <v>315</v>
      </c>
      <c r="C62" s="37"/>
      <c r="D62" s="37"/>
      <c r="E62" s="37"/>
      <c r="F62" s="37"/>
    </row>
    <row r="63" spans="2:6" ht="13.15" x14ac:dyDescent="0.4">
      <c r="B63" s="112" t="s">
        <v>337</v>
      </c>
      <c r="E63" s="290" t="s">
        <v>347</v>
      </c>
    </row>
    <row r="64" spans="2:6" x14ac:dyDescent="0.35">
      <c r="B64" s="156" t="s">
        <v>138</v>
      </c>
      <c r="C64" s="171">
        <v>10</v>
      </c>
      <c r="D64" s="154"/>
      <c r="E64" s="289" t="s">
        <v>348</v>
      </c>
    </row>
    <row r="65" spans="2:6" x14ac:dyDescent="0.35">
      <c r="B65" s="122" t="s">
        <v>139</v>
      </c>
      <c r="C65" s="155">
        <v>6.9371044268871302E-3</v>
      </c>
      <c r="D65" s="155"/>
      <c r="E65" s="289" t="s">
        <v>349</v>
      </c>
    </row>
    <row r="66" spans="2:6" x14ac:dyDescent="0.35">
      <c r="B66" s="103" t="s">
        <v>107</v>
      </c>
      <c r="C66" s="165">
        <f>Valuation_Model!C18</f>
        <v>20.910971233890763</v>
      </c>
      <c r="D66" s="165" t="str">
        <f>Market_currency</f>
        <v>HKD</v>
      </c>
      <c r="E66" s="289" t="s">
        <v>350</v>
      </c>
    </row>
    <row r="68" spans="2:6" ht="13.15" x14ac:dyDescent="0.4">
      <c r="B68" s="112" t="s">
        <v>324</v>
      </c>
      <c r="E68" s="290" t="s">
        <v>351</v>
      </c>
    </row>
    <row r="69" spans="2:6" x14ac:dyDescent="0.35">
      <c r="B69" s="103" t="s">
        <v>338</v>
      </c>
      <c r="C69" s="281" t="str">
        <f>IF(C60&lt;C22,"Y","N")</f>
        <v>N</v>
      </c>
      <c r="E69" s="138"/>
    </row>
    <row r="70" spans="2:6" x14ac:dyDescent="0.35">
      <c r="B70" s="103" t="s">
        <v>326</v>
      </c>
      <c r="C70" s="281" t="str">
        <f>IF(C69="Y","N",IF(C65&gt;8%,"N","Y"))</f>
        <v>Y</v>
      </c>
      <c r="E70" s="289" t="s">
        <v>327</v>
      </c>
    </row>
    <row r="71" spans="2:6" x14ac:dyDescent="0.35">
      <c r="B71" s="103" t="s">
        <v>325</v>
      </c>
      <c r="C71" s="281" t="str">
        <f>IF(C65&gt;8%,"Y","N")</f>
        <v>N</v>
      </c>
      <c r="E71" s="289"/>
    </row>
    <row r="72" spans="2:6" x14ac:dyDescent="0.35">
      <c r="B72" s="103" t="s">
        <v>316</v>
      </c>
      <c r="C72" s="280" t="str">
        <f>IF(E72&gt;50%,"Y","N")</f>
        <v>Y</v>
      </c>
      <c r="E72" s="138" t="str">
        <f>"Non-FCF Value is "&amp;ROUND(BS!D89/C60*100,0)&amp;"% of the Expected Equity Value"</f>
        <v>Non-FCF Value is -7% of the Expected Equity Value</v>
      </c>
    </row>
    <row r="74" spans="2:6" ht="13.9" x14ac:dyDescent="0.45">
      <c r="B74" s="36" t="s">
        <v>132</v>
      </c>
      <c r="C74" s="37"/>
      <c r="D74" s="37"/>
      <c r="E74" s="37"/>
      <c r="F74" s="37"/>
    </row>
    <row r="75" spans="2:6" ht="13.15" x14ac:dyDescent="0.4">
      <c r="B75" s="112" t="s">
        <v>130</v>
      </c>
    </row>
    <row r="76" spans="2:6" x14ac:dyDescent="0.35">
      <c r="B76" s="283" t="s">
        <v>330</v>
      </c>
      <c r="C76" s="282">
        <f>F60</f>
        <v>3</v>
      </c>
      <c r="D76" s="138"/>
    </row>
    <row r="77" spans="2:6" x14ac:dyDescent="0.35">
      <c r="B77" s="103" t="s">
        <v>116</v>
      </c>
      <c r="C77" s="178">
        <f>Normalized_FCF!C89</f>
        <v>1.36</v>
      </c>
      <c r="D77" t="str">
        <f>Market_currency</f>
        <v>HKD</v>
      </c>
    </row>
    <row r="79" spans="2:6" ht="13.15" x14ac:dyDescent="0.4">
      <c r="B79" s="112" t="s">
        <v>334</v>
      </c>
    </row>
    <row r="80" spans="2:6" x14ac:dyDescent="0.35">
      <c r="B80" s="152" t="s">
        <v>332</v>
      </c>
      <c r="C80" s="172">
        <f>Thesis!C117</f>
        <v>0.2</v>
      </c>
    </row>
    <row r="81" spans="2:8" x14ac:dyDescent="0.35">
      <c r="B81" s="103" t="s">
        <v>126</v>
      </c>
      <c r="C81" s="120">
        <f>PV(C80, C76, -C77, 0)</f>
        <v>2.8648148148148147</v>
      </c>
      <c r="D81" s="120"/>
      <c r="E81" s="103"/>
      <c r="F81" s="103"/>
    </row>
    <row r="82" spans="2:8" x14ac:dyDescent="0.35">
      <c r="B82" s="103" t="s">
        <v>127</v>
      </c>
      <c r="C82" s="120">
        <f>C60/(1+C80)^C76</f>
        <v>12.099578718831955</v>
      </c>
      <c r="D82" s="120"/>
    </row>
    <row r="83" spans="2:8" ht="13.15" x14ac:dyDescent="0.4">
      <c r="B83" s="114" t="s">
        <v>106</v>
      </c>
      <c r="C83" s="115">
        <f>C81+C82</f>
        <v>14.964393533646771</v>
      </c>
      <c r="D83" t="str">
        <f>Market_currency</f>
        <v>HKD</v>
      </c>
      <c r="E83" s="150" t="s">
        <v>131</v>
      </c>
      <c r="F83" s="270">
        <f>(C83/C60-1)</f>
        <v>-0.28427673699724165</v>
      </c>
    </row>
    <row r="84" spans="2:8" x14ac:dyDescent="0.35">
      <c r="E84" s="124"/>
    </row>
    <row r="85" spans="2:8" ht="13.15" x14ac:dyDescent="0.4">
      <c r="B85" s="112" t="s">
        <v>335</v>
      </c>
    </row>
    <row r="86" spans="2:8" x14ac:dyDescent="0.35">
      <c r="B86" s="152" t="s">
        <v>333</v>
      </c>
      <c r="C86" s="274">
        <f>Market_Price</f>
        <v>14.86</v>
      </c>
      <c r="D86" t="str">
        <f>Market_currency</f>
        <v>HKD</v>
      </c>
    </row>
    <row r="87" spans="2:8" ht="13.15" x14ac:dyDescent="0.4">
      <c r="B87" s="103" t="s">
        <v>331</v>
      </c>
      <c r="C87" s="273">
        <f ca="1">IRR(OFFSET($I$3, 0, 0, $C$76 + 1, 1))</f>
        <v>0.20302018521144283</v>
      </c>
    </row>
    <row r="88" spans="2:8" x14ac:dyDescent="0.35">
      <c r="B88" s="103"/>
    </row>
    <row r="89" spans="2:8" ht="14.65" x14ac:dyDescent="0.5">
      <c r="E89" s="331" t="s">
        <v>366</v>
      </c>
      <c r="F89" s="328"/>
      <c r="G89" s="2"/>
      <c r="H89" s="327"/>
    </row>
    <row r="90" spans="2:8" ht="13.9" x14ac:dyDescent="0.45">
      <c r="E90" s="324" t="s">
        <v>367</v>
      </c>
      <c r="F90" s="329" t="s">
        <v>368</v>
      </c>
      <c r="G90" s="2"/>
      <c r="H90" s="327"/>
    </row>
    <row r="91" spans="2:8" ht="13.9" x14ac:dyDescent="0.45">
      <c r="E91" s="325" t="s">
        <v>367</v>
      </c>
      <c r="F91" s="329" t="s">
        <v>369</v>
      </c>
      <c r="G91" s="2"/>
      <c r="H91" s="327"/>
    </row>
    <row r="92" spans="2:8" ht="13.9" x14ac:dyDescent="0.45">
      <c r="E92" s="326" t="s">
        <v>367</v>
      </c>
      <c r="F92" s="330" t="s">
        <v>370</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2025-03-24T14:55:37Z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