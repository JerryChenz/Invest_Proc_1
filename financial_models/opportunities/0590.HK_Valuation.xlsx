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9E4D40E-7143-47D3-8313-44EB183A6378}"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O19" i="2"/>
  <c r="O50" i="2"/>
  <c r="O48" i="2"/>
  <c r="L19" i="2"/>
  <c r="L48" i="2"/>
  <c r="L50" i="2"/>
  <c r="M19" i="2"/>
  <c r="M48" i="2"/>
  <c r="M50" i="2"/>
  <c r="N19" i="2"/>
  <c r="N50" i="2"/>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c r="C6" i="9"/>
  <c r="C48" i="2" l="1"/>
  <c r="D66" i="3"/>
  <c r="C8" i="8" s="1"/>
  <c r="Q112" i="2"/>
  <c r="O112" i="2"/>
  <c r="P112" i="2"/>
  <c r="J48" i="2" l="1"/>
  <c r="J50" i="2" s="1"/>
  <c r="J12" i="2" s="1"/>
  <c r="K48" i="2"/>
  <c r="K50" i="2" s="1"/>
  <c r="K12" i="2" s="1"/>
  <c r="I48" i="2"/>
  <c r="I50" i="2" s="1"/>
  <c r="I12" i="2" s="1"/>
  <c r="C90" i="6"/>
  <c r="C91"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<sst xmlns="http://schemas.openxmlformats.org/spreadsheetml/2006/main" count="562" uniqueCount="392">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</sst>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387</v>
      </c>
      <c r="F1" s="290" t="s">
        <v>306</v>
      </c>
    </row>
    <row r="2" spans="1:10" ht="13.9" x14ac:dyDescent="0.45">
      <c r="A2" s="253" t="s">
        <v>280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344</v>
      </c>
      <c r="C5" s="48" t="s">
        <v>388</v>
      </c>
      <c r="D5" s="49" t="s">
        <v>389</v>
      </c>
    </row>
    <row r="6" spans="1:10" x14ac:dyDescent="0.35">
      <c r="B6" s="4" t="s">
        <v>98</v>
      </c>
      <c r="C6" s="50">
        <v>14.96</v>
      </c>
      <c r="D6" s="48" t="s">
        <v>42</v>
      </c>
      <c r="E6" s="48"/>
    </row>
    <row r="7" spans="1:10" x14ac:dyDescent="0.35">
      <c r="B7" s="4" t="s">
        <v>0</v>
      </c>
      <c r="C7" s="51">
        <v>587107850</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8783.1334360000001</v>
      </c>
      <c r="D10" s="32"/>
      <c r="E10" s="5"/>
    </row>
    <row r="11" spans="1:10" x14ac:dyDescent="0.35">
      <c r="D11" s="5"/>
      <c r="E11" s="5"/>
    </row>
    <row r="12" spans="1:10" ht="24.4" customHeight="1" x14ac:dyDescent="0.35">
      <c r="B12" s="338" t="s">
        <v>285</v>
      </c>
      <c r="C12" s="338"/>
      <c r="D12" s="338"/>
      <c r="E12" s="338"/>
      <c r="F12" s="338"/>
    </row>
    <row r="14" spans="1:10" x14ac:dyDescent="0.35">
      <c r="B14" s="45" t="s">
        <v>332</v>
      </c>
      <c r="C14" s="46"/>
      <c r="D14" s="5"/>
    </row>
    <row r="15" spans="1:10" x14ac:dyDescent="0.35">
      <c r="B15" s="2" t="s">
        <v>382</v>
      </c>
      <c r="C15" s="32" t="str">
        <f>IF(Scenarios!C69="Y",Scenarios!B69,"")&amp;IF(Scenarios!C70="Y",Scenarios!B70,"")&amp;IF(Scenarios!C71="Y",Scenarios!B71,"")&amp;" "&amp;IF(Scenarios!C72="Y",Scenarios!B72,"")</f>
        <v xml:space="preserve">Low Growth </v>
      </c>
      <c r="E15" s="5"/>
    </row>
    <row r="16" spans="1:10" x14ac:dyDescent="0.35">
      <c r="B16" s="4" t="s">
        <v>381</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14.733437767356989</v>
      </c>
      <c r="D20" s="1" t="s">
        <v>335</v>
      </c>
      <c r="E20" s="336">
        <v>3</v>
      </c>
    </row>
    <row r="21" spans="1:6" x14ac:dyDescent="0.35">
      <c r="B21" s="1" t="s">
        <v>334</v>
      </c>
      <c r="C21" s="286">
        <f ca="1">Scenarios!C87</f>
        <v>0.19343775079136272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371</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1398534.6033278927</v>
      </c>
      <c r="D30" s="1" t="str">
        <f>Reporting_currency</f>
        <v>HKD</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463424</v>
      </c>
      <c r="D33" s="1" t="str">
        <f>Reporting_currency</f>
        <v>HKD</v>
      </c>
    </row>
    <row r="34" spans="2:6" x14ac:dyDescent="0.35">
      <c r="B34" s="52" t="s">
        <v>241</v>
      </c>
      <c r="C34" s="191">
        <f>Normalized_FCF!C10</f>
        <v>-463424.00000000006</v>
      </c>
      <c r="D34" s="1" t="str">
        <f>Reporting_currency</f>
        <v>HKD</v>
      </c>
    </row>
    <row r="36" spans="2:6" x14ac:dyDescent="0.35">
      <c r="B36" s="340" t="s">
        <v>242</v>
      </c>
      <c r="C36" s="340"/>
      <c r="D36" s="340"/>
      <c r="E36" s="340"/>
      <c r="F36" s="340"/>
    </row>
    <row r="37" spans="2:6" x14ac:dyDescent="0.35">
      <c r="B37" s="47" t="s">
        <v>243</v>
      </c>
      <c r="C37" s="191">
        <f>Normalized_FCF!C11</f>
        <v>0</v>
      </c>
      <c r="D37" s="1" t="str">
        <f>Reporting_currency</f>
        <v>HKD</v>
      </c>
    </row>
    <row r="39" spans="2:6" x14ac:dyDescent="0.35">
      <c r="B39" s="340" t="s">
        <v>246</v>
      </c>
      <c r="C39" s="340"/>
      <c r="D39" s="340"/>
      <c r="E39" s="340"/>
      <c r="F39" s="340"/>
    </row>
    <row r="40" spans="2:6" x14ac:dyDescent="0.35">
      <c r="B40" s="47" t="s">
        <v>372</v>
      </c>
      <c r="C40" s="328">
        <f>Normalized_FCF!C48</f>
        <v>13746.938888322537</v>
      </c>
      <c r="D40" s="1" t="str">
        <f>Reporting_currency</f>
        <v>HKD</v>
      </c>
      <c r="E40" s="327"/>
      <c r="F40" s="327"/>
    </row>
    <row r="41" spans="2:6" x14ac:dyDescent="0.35">
      <c r="B41" s="47" t="s">
        <v>373</v>
      </c>
      <c r="C41" s="328">
        <f>Normalized_FCF!C47</f>
        <v>-59596</v>
      </c>
      <c r="D41" s="1" t="str">
        <f>Reporting_currency</f>
        <v>HKD</v>
      </c>
      <c r="E41" s="327"/>
      <c r="F41" s="327"/>
    </row>
    <row r="42" spans="2:6" x14ac:dyDescent="0.35">
      <c r="B42" s="47" t="s">
        <v>244</v>
      </c>
      <c r="C42" s="191">
        <f>Normalized_FCF!C12</f>
        <v>-45849.061111677467</v>
      </c>
      <c r="D42" s="1" t="str">
        <f>Reporting_currency</f>
        <v>HKD</v>
      </c>
    </row>
    <row r="44" spans="2:6" x14ac:dyDescent="0.35">
      <c r="B44" s="1" t="s">
        <v>252</v>
      </c>
    </row>
    <row r="45" spans="2:6" x14ac:dyDescent="0.35">
      <c r="B45" s="47" t="s">
        <v>278</v>
      </c>
      <c r="C45" s="191">
        <f>Normalized_FCF!C15</f>
        <v>0</v>
      </c>
      <c r="D45" s="1" t="str">
        <f>Reporting_currency</f>
        <v>HKD</v>
      </c>
    </row>
    <row r="47" spans="2:6" x14ac:dyDescent="0.35">
      <c r="B47" s="340" t="s">
        <v>247</v>
      </c>
      <c r="C47" s="340"/>
      <c r="D47" s="340"/>
      <c r="E47" s="340"/>
      <c r="F47" s="340"/>
    </row>
    <row r="48" spans="2:6" x14ac:dyDescent="0.35">
      <c r="B48" s="47" t="s">
        <v>245</v>
      </c>
      <c r="C48" s="191">
        <f>Normalized_FCF!C14</f>
        <v>-338171.38555405382</v>
      </c>
      <c r="D48" s="1" t="str">
        <f>Reporting_currency</f>
        <v>HKD</v>
      </c>
    </row>
    <row r="50" spans="1:6" x14ac:dyDescent="0.35">
      <c r="B50" s="340" t="s">
        <v>370</v>
      </c>
      <c r="C50" s="341"/>
      <c r="D50" s="341"/>
      <c r="E50" s="341"/>
      <c r="F50" s="341"/>
    </row>
    <row r="51" spans="1:6" x14ac:dyDescent="0.35">
      <c r="B51" s="47" t="s">
        <v>248</v>
      </c>
      <c r="C51" s="1">
        <f>Normalized_FCF!C17</f>
        <v>0</v>
      </c>
      <c r="D51" s="1" t="str">
        <f>Reporting_currency</f>
        <v>HKD</v>
      </c>
    </row>
    <row r="53" spans="1:6" ht="24.4" customHeight="1" x14ac:dyDescent="0.35">
      <c r="B53" s="338" t="s">
        <v>375</v>
      </c>
      <c r="C53" s="338"/>
      <c r="D53" s="338"/>
      <c r="E53" s="338"/>
      <c r="F53" s="338"/>
    </row>
    <row r="54" spans="1:6" ht="24.4" customHeight="1" x14ac:dyDescent="0.35">
      <c r="B54" s="338" t="s">
        <v>267</v>
      </c>
      <c r="C54" s="338"/>
      <c r="D54" s="338"/>
      <c r="E54" s="338"/>
      <c r="F54" s="338"/>
    </row>
    <row r="56" spans="1:6" x14ac:dyDescent="0.35">
      <c r="B56" s="47" t="s">
        <v>284</v>
      </c>
      <c r="C56" s="191">
        <f>Normalized_FCF!G19</f>
        <v>1291433.9388883226</v>
      </c>
      <c r="D56" s="1" t="str">
        <f>Reporting_currency</f>
        <v>HKD</v>
      </c>
    </row>
    <row r="57" spans="1:6" x14ac:dyDescent="0.35">
      <c r="B57" s="47" t="s">
        <v>254</v>
      </c>
      <c r="C57" s="191">
        <f>Normalized_FCF!C19</f>
        <v>1014514.1566621615</v>
      </c>
      <c r="D57" s="1" t="str">
        <f>Reporting_currency</f>
        <v>HKD</v>
      </c>
    </row>
    <row r="58" spans="1:6" x14ac:dyDescent="0.35">
      <c r="B58" s="260" t="s">
        <v>283</v>
      </c>
      <c r="C58" s="94">
        <f>Normalized_FCF!C121</f>
        <v>0.11550708685625866</v>
      </c>
    </row>
    <row r="59" spans="1:6" x14ac:dyDescent="0.35">
      <c r="B59" s="260" t="s">
        <v>336</v>
      </c>
      <c r="C59" s="94">
        <f>Normalized_FCF!C93</f>
        <v>9.0909090909090912E-2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307</v>
      </c>
      <c r="C67" s="317">
        <v>0.08</v>
      </c>
    </row>
    <row r="68" spans="1:6" x14ac:dyDescent="0.35">
      <c r="B68" s="1" t="s">
        <v>309</v>
      </c>
      <c r="C68" s="269">
        <f>IF(D68="Y",1%,0)</f>
        <v>0</v>
      </c>
      <c r="D68" s="292" t="s">
        <v>350</v>
      </c>
    </row>
    <row r="69" spans="1:6" x14ac:dyDescent="0.35">
      <c r="B69" s="1" t="s">
        <v>308</v>
      </c>
      <c r="C69" s="269">
        <f>IF(D69="Y",1%,0)</f>
        <v>0</v>
      </c>
      <c r="D69" s="292" t="s">
        <v>350</v>
      </c>
    </row>
    <row r="70" spans="1:6" x14ac:dyDescent="0.35">
      <c r="B70" s="82" t="s">
        <v>253</v>
      </c>
      <c r="C70" s="269">
        <f>SUM(C67:C69)</f>
        <v>0.08</v>
      </c>
    </row>
    <row r="71" spans="1:6" x14ac:dyDescent="0.35">
      <c r="C71" s="125"/>
    </row>
    <row r="72" spans="1:6" x14ac:dyDescent="0.35">
      <c r="B72" s="338" t="s">
        <v>376</v>
      </c>
      <c r="C72" s="338"/>
      <c r="D72" s="338"/>
      <c r="E72" s="338"/>
      <c r="F72" s="338"/>
    </row>
    <row r="73" spans="1:6" ht="24.4" customHeight="1" x14ac:dyDescent="0.35">
      <c r="B73" s="338" t="s">
        <v>377</v>
      </c>
      <c r="C73" s="338"/>
      <c r="D73" s="338"/>
      <c r="E73" s="338"/>
      <c r="F73" s="338"/>
    </row>
    <row r="75" spans="1:6" x14ac:dyDescent="0.35">
      <c r="B75" s="47" t="s">
        <v>257</v>
      </c>
      <c r="C75" s="269">
        <v>0</v>
      </c>
    </row>
    <row r="76" spans="1:6" x14ac:dyDescent="0.35">
      <c r="B76" s="47" t="s">
        <v>300</v>
      </c>
      <c r="C76" s="254">
        <f>Valuation_Model!C6*C28*Exchange_Rate/Common_Shares</f>
        <v>21.599825242120371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378</v>
      </c>
      <c r="C84" s="338"/>
      <c r="D84" s="338"/>
      <c r="E84" s="338"/>
      <c r="F84" s="338"/>
    </row>
    <row r="85" spans="2:6" x14ac:dyDescent="0.35">
      <c r="B85" s="47" t="s">
        <v>263</v>
      </c>
      <c r="C85" s="191">
        <f>Valuation_Model!C7</f>
        <v>2034922</v>
      </c>
      <c r="D85" s="1" t="str">
        <f>Reporting_currency</f>
        <v>HKD</v>
      </c>
    </row>
    <row r="86" spans="2:6" x14ac:dyDescent="0.35">
      <c r="B86" s="47" t="s">
        <v>303</v>
      </c>
      <c r="C86" s="254">
        <f>C85*C28*Exchange_Rate/Common_Shares</f>
        <v>3.4660105464438944</v>
      </c>
      <c r="D86" s="1" t="str">
        <f>Market_currency</f>
        <v>HKD</v>
      </c>
    </row>
    <row r="88" spans="2:6" x14ac:dyDescent="0.35">
      <c r="B88" s="1" t="s">
        <v>262</v>
      </c>
    </row>
    <row r="89" spans="2:6" x14ac:dyDescent="0.35">
      <c r="B89" s="47" t="s">
        <v>277</v>
      </c>
      <c r="C89" s="191">
        <f>BS!C66</f>
        <v>1998219</v>
      </c>
      <c r="D89" s="1" t="str">
        <f>Reporting_currency</f>
        <v>HKD</v>
      </c>
    </row>
    <row r="90" spans="2:6" x14ac:dyDescent="0.35">
      <c r="B90" s="47" t="s">
        <v>279</v>
      </c>
      <c r="C90" s="191">
        <f>Valuation_Model!C8</f>
        <v>1050246.6606106577</v>
      </c>
      <c r="D90" s="1" t="str">
        <f>Reporting_currency</f>
        <v>HKD</v>
      </c>
    </row>
    <row r="91" spans="2:6" x14ac:dyDescent="0.35">
      <c r="B91" s="47" t="s">
        <v>304</v>
      </c>
      <c r="C91" s="254">
        <f>C90*C28*Exchange_Rate/Common_Shares</f>
        <v>1.7888479273623368</v>
      </c>
      <c r="D91" s="1" t="str">
        <f>Market_currency</f>
        <v>HKD</v>
      </c>
    </row>
    <row r="93" spans="2:6" x14ac:dyDescent="0.35">
      <c r="B93" s="1" t="s">
        <v>264</v>
      </c>
    </row>
    <row r="94" spans="2:6" x14ac:dyDescent="0.35">
      <c r="B94" s="47" t="s">
        <v>265</v>
      </c>
      <c r="C94" s="191">
        <f>Valuation_Model!C9</f>
        <v>92572.6</v>
      </c>
      <c r="D94" s="1" t="str">
        <f>Reporting_currency</f>
        <v>HKD</v>
      </c>
    </row>
    <row r="95" spans="2:6" x14ac:dyDescent="0.35">
      <c r="B95" s="47" t="s">
        <v>305</v>
      </c>
      <c r="C95" s="254">
        <f>C94*C28*Exchange_Rate/Common_Shares</f>
        <v>0.15767562978420405</v>
      </c>
      <c r="D95" s="1" t="str">
        <f>Market_currency</f>
        <v>HKD</v>
      </c>
    </row>
    <row r="97" spans="1:6" ht="24.4" customHeight="1" x14ac:dyDescent="0.35">
      <c r="B97" s="338" t="s">
        <v>266</v>
      </c>
      <c r="C97" s="338"/>
      <c r="D97" s="338"/>
      <c r="E97" s="338"/>
      <c r="F97" s="338"/>
    </row>
    <row r="99" spans="1:6" x14ac:dyDescent="0.35">
      <c r="B99" s="47" t="s">
        <v>299</v>
      </c>
      <c r="C99" s="254">
        <f>Valuation_Model!C12</f>
        <v>20.080338252823015</v>
      </c>
      <c r="D99" s="1" t="str">
        <f>Market_currency</f>
        <v>HKD</v>
      </c>
    </row>
    <row r="101" spans="1:6" ht="13.9" x14ac:dyDescent="0.45">
      <c r="A101" s="253" t="s">
        <v>276</v>
      </c>
      <c r="B101" s="36"/>
      <c r="C101" s="36"/>
      <c r="D101" s="36"/>
      <c r="E101" s="36"/>
      <c r="F101" s="36"/>
    </row>
    <row r="103" spans="1:6" ht="24.4" customHeight="1" x14ac:dyDescent="0.35">
      <c r="B103" s="340" t="s">
        <v>361</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268</v>
      </c>
      <c r="C112" s="247">
        <f>Scenarios!C60</f>
        <v>20.508980461992877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1.36</v>
      </c>
      <c r="D122" s="242" t="str">
        <f>Market_currency</f>
        <v>HKD</v>
      </c>
    </row>
    <row r="124" spans="1:6" x14ac:dyDescent="0.35">
      <c r="B124" s="240" t="s">
        <v>273</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270</v>
      </c>
      <c r="C127" s="245">
        <f>Scenarios!C83</f>
        <v>14.733437767356989</v>
      </c>
      <c r="D127" s="47" t="str">
        <f>Reporting_currency</f>
        <v>HKD</v>
      </c>
    </row>
    <row r="128" spans="1:6" x14ac:dyDescent="0.35">
      <c r="B128" s="244" t="s">
        <v>272</v>
      </c>
      <c r="C128" s="94">
        <f>Scenarios!F83</f>
        <v>0.28161042453275964</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250</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0</v>
      </c>
      <c r="D62" s="94">
        <f>G28/G29</f>
        <v>-2.0915594459950692E-3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-1187304.6396666665</v>
      </c>
      <c r="D73" s="191">
        <f>(Normalized_FCF!C25+Normalized_FCF!C35-Normalized_FCF!C91)/12</f>
        <v>-947972.33938934223</v>
      </c>
      <c r="F73" s="1" t="s">
        <v>385</v>
      </c>
    </row>
    <row r="74" spans="2:6" ht="15" customHeight="1" x14ac:dyDescent="0.35">
      <c r="B74" s="294" t="s">
        <v>351</v>
      </c>
      <c r="C74" s="295">
        <f>-$C$66/C73</f>
        <v>1.6829876118070222</v>
      </c>
      <c r="D74" s="295">
        <f>-$C$66/D73</f>
        <v>2.1078874530107048</v>
      </c>
      <c r="F74" s="289" t="s">
        <v>348</v>
      </c>
    </row>
    <row r="75" spans="2:6" ht="15" customHeight="1" x14ac:dyDescent="0.35">
      <c r="B75" s="82" t="s">
        <v>349</v>
      </c>
      <c r="C75" s="299"/>
      <c r="D75" s="298">
        <f>MAX(-D73*D76,G5)</f>
        <v>947972.33938934223</v>
      </c>
      <c r="F75" s="289" t="s">
        <v>386</v>
      </c>
    </row>
    <row r="76" spans="2:6" ht="15" customHeight="1" x14ac:dyDescent="0.35">
      <c r="B76" s="296" t="s">
        <v>352</v>
      </c>
      <c r="C76" s="297"/>
      <c r="D76" s="333">
        <f>IF(D74&lt;=3,1,IF(D74&gt;18,6,2))</f>
        <v>1</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-2034922</v>
      </c>
      <c r="D86" s="254">
        <f>C86*$H$1/Common_Shares</f>
        <v>-3.4660105464438944</v>
      </c>
      <c r="E86" s="275" t="str">
        <f>Market_currency</f>
        <v>HKD</v>
      </c>
    </row>
    <row r="87" spans="2:8" ht="15" customHeight="1" x14ac:dyDescent="0.35">
      <c r="B87" s="273" t="s">
        <v>313</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317</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363</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364</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365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365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365</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379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374</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367</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368</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369</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391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9.0909090909090912E-2</v>
      </c>
      <c r="E93" s="308"/>
      <c r="G93" s="23">
        <f t="shared" ref="G93:Q93" si="39">IF(G$4="","",G90/Market_Price)</f>
        <v>9.0909090909090912E-2</v>
      </c>
      <c r="H93" s="23">
        <f t="shared" si="39"/>
        <v>7.3529411764705885E-2</v>
      </c>
      <c r="I93" s="23">
        <f t="shared" si="39"/>
        <v>7.3529411764705885E-2</v>
      </c>
      <c r="J93" s="23">
        <f t="shared" si="39"/>
        <v>6.6844919786096246E-2</v>
      </c>
      <c r="K93" s="23">
        <f t="shared" si="39"/>
        <v>6.6844919786096246E-2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0.11550708685625866</v>
      </c>
      <c r="D121" s="27"/>
      <c r="E121" s="305"/>
      <c r="F121" s="27"/>
      <c r="G121" s="79">
        <f t="shared" ref="G121" si="50">IF(G$4="","",G120/Market_Price)</f>
        <v>0.14703567335036016</v>
      </c>
      <c r="H121" s="79">
        <f t="shared" ref="H121" si="51">IF(H$4="","",H120/Market_Price)</f>
        <v>0.15285442213427045</v>
      </c>
      <c r="I121" s="79">
        <f t="shared" ref="I121" si="52">IF(I$4="","",I120/Market_Price)</f>
        <v>0.12819442578594989</v>
      </c>
      <c r="J121" s="79">
        <f t="shared" ref="J121" si="53">IF(J$4="","",J120/Market_Price)</f>
        <v>0.12329444454560189</v>
      </c>
      <c r="K121" s="79">
        <f t="shared" ref="K121" si="54">IF(K$4="","",K120/Market_Price)</f>
        <v>0.1068535368497469</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255</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-14.96</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297</v>
      </c>
      <c r="F6" s="103"/>
      <c r="H6" s="282">
        <v>3</v>
      </c>
      <c r="I6" s="270">
        <f t="shared" si="0"/>
        <v>21.868980461992876</v>
      </c>
    </row>
    <row r="7" spans="2:9" ht="12.75" customHeight="1" x14ac:dyDescent="0.35">
      <c r="B7" s="103" t="s">
        <v>291</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5</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14.96</v>
      </c>
      <c r="D21" t="str">
        <f>Market_currency</f>
        <v>HKD</v>
      </c>
      <c r="E21" s="347"/>
      <c r="F21" s="347"/>
    </row>
    <row r="22" spans="2:6" x14ac:dyDescent="0.35">
      <c r="B22" s="103" t="s">
        <v>296</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345</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322</v>
      </c>
      <c r="F60" s="318">
        <f>Thesis!E20</f>
        <v>3</v>
      </c>
    </row>
    <row r="62" spans="2:6" ht="13.9" x14ac:dyDescent="0.45">
      <c r="B62" s="36" t="s">
        <v>383</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6.4006284479398504E-3</v>
      </c>
      <c r="D65" s="155"/>
      <c r="E65" s="287" t="s">
        <v>341</v>
      </c>
    </row>
    <row r="66" spans="2:6" x14ac:dyDescent="0.35">
      <c r="B66" s="103" t="s">
        <v>106</v>
      </c>
      <c r="C66" s="164">
        <f>Valuation_Model!C18</f>
        <v>20.512359193543752</v>
      </c>
      <c r="D66" s="164" t="str">
        <f>Market_currency</f>
        <v>HKD</v>
      </c>
      <c r="E66" s="287" t="s">
        <v>342</v>
      </c>
    </row>
    <row r="68" spans="2:6" ht="13.15" x14ac:dyDescent="0.4">
      <c r="B68" s="112" t="s">
        <v>384</v>
      </c>
      <c r="E68" s="288" t="s">
        <v>343</v>
      </c>
    </row>
    <row r="69" spans="2:6" x14ac:dyDescent="0.35">
      <c r="B69" s="103" t="s">
        <v>331</v>
      </c>
      <c r="C69" s="279" t="str">
        <f>IF(C60&lt;C22,"Y","N")</f>
        <v>N</v>
      </c>
      <c r="E69" s="138"/>
    </row>
    <row r="70" spans="2:6" x14ac:dyDescent="0.35">
      <c r="B70" s="103" t="s">
        <v>319</v>
      </c>
      <c r="C70" s="279" t="str">
        <f>IF(C69="Y","N",IF(C65&gt;8%,"N","Y"))</f>
        <v>Y</v>
      </c>
      <c r="E70" s="287" t="s">
        <v>320</v>
      </c>
    </row>
    <row r="71" spans="2:6" x14ac:dyDescent="0.35">
      <c r="B71" s="103" t="s">
        <v>318</v>
      </c>
      <c r="C71" s="279" t="str">
        <f>IF(C65&gt;8%,"Y","N")</f>
        <v>N</v>
      </c>
      <c r="E71" s="287"/>
    </row>
    <row r="72" spans="2:6" x14ac:dyDescent="0.35">
      <c r="B72" s="103" t="s">
        <v>310</v>
      </c>
      <c r="C72" s="278" t="str">
        <f>IF(F72&gt;50%,"Y","N")</f>
        <v>N</v>
      </c>
      <c r="E72" s="138" t="s">
        <v>380</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1.36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328</v>
      </c>
    </row>
    <row r="86" spans="2:8" x14ac:dyDescent="0.35">
      <c r="B86" s="152" t="s">
        <v>326</v>
      </c>
      <c r="C86" s="272">
        <f>Market_Price</f>
        <v>14.96</v>
      </c>
      <c r="D86" t="str">
        <f>Market_currency</f>
        <v>HKD</v>
      </c>
    </row>
    <row r="87" spans="2:8" ht="13.15" x14ac:dyDescent="0.4">
      <c r="B87" s="103" t="s">
        <v>324</v>
      </c>
      <c r="C87" s="271">
        <f ca="1">IRR(OFFSET($I$3, 0, 0, $C$76 + 1, 1))</f>
        <v>0.19343775079136272</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2025-03-28T05:32:31Z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