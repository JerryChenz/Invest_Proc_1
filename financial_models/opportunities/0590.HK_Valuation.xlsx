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D5EC84A-604F-46C8-BCA1-A901ADB17C1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26" i="6"/>
  <c r="C80" i="9"/>
  <c r="C78" i="6"/>
  <c r="C79" i="6"/>
  <c r="C80" i="6" s="1"/>
  <c r="C165" i="6"/>
  <c r="D169" i="6"/>
  <c r="C169" i="6"/>
  <c r="C102" i="9"/>
  <c r="D62" i="4"/>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F70" i="8"/>
  <c r="E67" i="8"/>
  <c r="B70" i="8"/>
  <c r="C66" i="8"/>
  <c r="E70" i="8"/>
  <c r="B68" i="8"/>
  <c r="B67" i="8"/>
  <c r="D66" i="8"/>
  <c r="B66" i="8"/>
  <c r="G54" i="2"/>
  <c r="F71" i="8" l="1"/>
  <c r="E66" i="8"/>
  <c r="F69" i="8"/>
  <c r="C70" i="8"/>
  <c r="C71" i="8"/>
  <c r="C68" i="8"/>
  <c r="D67" i="8"/>
  <c r="E71" i="8"/>
  <c r="C69"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<sst xmlns="http://schemas.openxmlformats.org/spreadsheetml/2006/main" count="648" uniqueCount="453">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</sst>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587107850</v>
      </c>
      <c r="E6" s="48"/>
    </row>
    <row r="7" spans="1:10">
      <c r="B7" s="2" t="s">
        <v>310</v>
      </c>
      <c r="C7" s="277">
        <v>12</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17.420000000000002</v>
      </c>
      <c r="D12" s="50"/>
      <c r="E12" s="48"/>
    </row>
    <row r="13" spans="1:10">
      <c r="B13" s="1" t="s">
        <v>419</v>
      </c>
      <c r="C13" s="48" t="s">
        <v>399</v>
      </c>
      <c r="D13" s="48"/>
      <c r="E13" s="5"/>
    </row>
    <row r="14" spans="1:10">
      <c r="B14" s="4" t="s">
        <v>423</v>
      </c>
      <c r="C14" s="35">
        <f>Thesis!C12*Common_Shares/1000000</f>
        <v>10227.418747000002</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20.508980461992877</v>
      </c>
      <c r="D26" s="1" t="s">
        <v>402</v>
      </c>
      <c r="E26" s="336">
        <f ca="1">Scenarios!C87</f>
        <v>0.13011393728241316</v>
      </c>
    </row>
    <row r="27" spans="2:6">
      <c r="D27" s="5"/>
      <c r="E27" s="5"/>
    </row>
    <row r="28" spans="2:6">
      <c r="B28" s="45" t="s">
        <v>436</v>
      </c>
      <c r="C28" s="344" t="str">
        <f>C140&amp;" ("&amp;Market_currency&amp;")"</f>
        <v>0590.HK (HKD)</v>
      </c>
      <c r="D28" s="344" t="str">
        <f>IF(D11="","",D140&amp;" ("&amp;D13&amp;")")</f>
        <v/>
      </c>
      <c r="E28" s="340" t="s">
        <v>432</v>
      </c>
      <c r="F28" s="338">
        <v>3</v>
      </c>
    </row>
    <row r="29" spans="2:6">
      <c r="B29" s="1" t="s">
        <v>428</v>
      </c>
      <c r="C29" s="345">
        <f>C144</f>
        <v>9.6350511887729162</v>
      </c>
      <c r="D29" s="345" t="str">
        <f>D144</f>
        <v/>
      </c>
      <c r="E29" s="341" t="s">
        <v>427</v>
      </c>
      <c r="F29" s="337">
        <v>0.4</v>
      </c>
    </row>
    <row r="30" spans="2:6">
      <c r="B30" s="1" t="s">
        <v>429</v>
      </c>
      <c r="C30" s="346">
        <f>C152</f>
        <v>14.155501125684513</v>
      </c>
      <c r="D30" s="346" t="str">
        <f>D152</f>
        <v/>
      </c>
      <c r="E30" s="342" t="s">
        <v>440</v>
      </c>
      <c r="F30" s="347">
        <v>0.21740000000000001</v>
      </c>
    </row>
    <row r="31" spans="2:6">
      <c r="B31" s="1" t="s">
        <v>430</v>
      </c>
      <c r="C31" s="346">
        <f>C160</f>
        <v>19.785541823839793</v>
      </c>
      <c r="D31" s="346" t="str">
        <f>D160</f>
        <v/>
      </c>
      <c r="E31" s="342" t="s">
        <v>439</v>
      </c>
      <c r="F31" s="347">
        <v>0.08</v>
      </c>
    </row>
    <row r="32" spans="2:6">
      <c r="B32" s="1" t="s">
        <v>431</v>
      </c>
      <c r="C32" s="346">
        <f>C168</f>
        <v>17.981165147547486</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1398534.6033278927</v>
      </c>
      <c r="D41" s="1" t="str">
        <f>Reporting_currency</f>
        <v>HKD</v>
      </c>
    </row>
    <row r="42" spans="1:6">
      <c r="B42" s="47"/>
      <c r="C42" s="76"/>
    </row>
    <row r="43" spans="1:6" ht="24.4" customHeight="1">
      <c r="B43" s="349" t="s">
        <v>234</v>
      </c>
      <c r="C43" s="349"/>
      <c r="D43" s="349"/>
      <c r="E43" s="349"/>
      <c r="F43" s="349"/>
    </row>
    <row r="44" spans="1:6">
      <c r="B44" s="47" t="s">
        <v>235</v>
      </c>
      <c r="C44" s="188">
        <f>Normalized_FCF!C9</f>
        <v>463424</v>
      </c>
      <c r="D44" s="1" t="str">
        <f>Reporting_currency</f>
        <v>HKD</v>
      </c>
    </row>
    <row r="45" spans="1:6">
      <c r="B45" s="52" t="s">
        <v>236</v>
      </c>
      <c r="C45" s="188">
        <f>Normalized_FCF!C10</f>
        <v>-463424.00000000006</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13746.938888322537</v>
      </c>
      <c r="D51" s="1" t="str">
        <f>Reporting_currency</f>
        <v>HKD</v>
      </c>
      <c r="E51" s="316"/>
      <c r="F51" s="316"/>
    </row>
    <row r="52" spans="2:6">
      <c r="B52" s="47" t="s">
        <v>344</v>
      </c>
      <c r="C52" s="317">
        <f>Normalized_FCF!C47</f>
        <v>-59596</v>
      </c>
      <c r="D52" s="1" t="str">
        <f>Reporting_currency</f>
        <v>HKD</v>
      </c>
      <c r="E52" s="316"/>
      <c r="F52" s="316"/>
    </row>
    <row r="53" spans="2:6">
      <c r="B53" s="47" t="s">
        <v>239</v>
      </c>
      <c r="C53" s="188">
        <f>Normalized_FCF!C12</f>
        <v>-45849.061111677467</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-338171.38555405382</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1291433.9388883226</v>
      </c>
      <c r="D67" s="1" t="str">
        <f>Reporting_currency</f>
        <v>HKD</v>
      </c>
    </row>
    <row r="68" spans="1:6">
      <c r="B68" s="47" t="s">
        <v>249</v>
      </c>
      <c r="C68" s="188">
        <f>Normalized_FCF!C19</f>
        <v>1014514.1566621615</v>
      </c>
      <c r="D68" s="1" t="str">
        <f>Reporting_currency</f>
        <v>HKD</v>
      </c>
    </row>
    <row r="69" spans="1:6">
      <c r="B69" s="252" t="s">
        <v>393</v>
      </c>
      <c r="C69" s="92">
        <f>Normalized_FCF!C125</f>
        <v>9.9195523499978705E-2</v>
      </c>
    </row>
    <row r="70" spans="1:6">
      <c r="B70" s="252" t="s">
        <v>311</v>
      </c>
      <c r="C70" s="92">
        <f>Normalized_FCF!C93</f>
        <v>7.8071182548794485E-2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21.599825242120371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2034922</v>
      </c>
      <c r="D96" s="1" t="str">
        <f>Reporting_currency</f>
        <v>HKD</v>
      </c>
    </row>
    <row r="97" spans="2:6">
      <c r="B97" s="47" t="s">
        <v>284</v>
      </c>
      <c r="C97" s="248">
        <f>C96*scaling_factor*Exchange_Rate/Common_Shares</f>
        <v>3.4660105464438944</v>
      </c>
      <c r="D97" s="1" t="str">
        <f>Market_currency</f>
        <v>HKD</v>
      </c>
    </row>
    <row r="98" spans="2:6">
      <c r="B98" s="330" t="s">
        <v>407</v>
      </c>
      <c r="C98" s="331">
        <f>BS!G30/BS!G27</f>
        <v>0.31018327415220487</v>
      </c>
    </row>
    <row r="99" spans="2:6">
      <c r="B99" s="330" t="s">
        <v>408</v>
      </c>
      <c r="C99" s="331">
        <f>BS!G31/BS!G27</f>
        <v>0.15818859882129041</v>
      </c>
    </row>
    <row r="100" spans="2:6">
      <c r="B100" s="330" t="s">
        <v>410</v>
      </c>
      <c r="C100" s="332">
        <f>BS!C50</f>
        <v>1.4550387206421544</v>
      </c>
    </row>
    <row r="102" spans="2:6">
      <c r="B102" s="1" t="s">
        <v>255</v>
      </c>
    </row>
    <row r="103" spans="2:6">
      <c r="B103" s="47" t="s">
        <v>265</v>
      </c>
      <c r="C103" s="188">
        <f>BS!C66</f>
        <v>1998219</v>
      </c>
      <c r="D103" s="1" t="str">
        <f>Reporting_currency</f>
        <v>HKD</v>
      </c>
    </row>
    <row r="104" spans="2:6">
      <c r="B104" s="47" t="s">
        <v>267</v>
      </c>
      <c r="C104" s="188">
        <f>DCF!C8</f>
        <v>1050246.6606106577</v>
      </c>
      <c r="D104" s="1" t="str">
        <f>Reporting_currency</f>
        <v>HKD</v>
      </c>
    </row>
    <row r="105" spans="2:6">
      <c r="B105" s="47" t="s">
        <v>285</v>
      </c>
      <c r="C105" s="248">
        <f>C104*scaling_factor*Exchange_Rate/Common_Shares</f>
        <v>1.7888479273623368</v>
      </c>
      <c r="D105" s="1" t="str">
        <f>Market_currency</f>
        <v>HKD</v>
      </c>
    </row>
    <row r="107" spans="2:6">
      <c r="B107" s="1" t="s">
        <v>257</v>
      </c>
    </row>
    <row r="108" spans="2:6">
      <c r="B108" s="47" t="s">
        <v>258</v>
      </c>
      <c r="C108" s="188">
        <f>DCF!C9</f>
        <v>92572.6</v>
      </c>
      <c r="D108" s="1" t="str">
        <f>Reporting_currency</f>
        <v>HKD</v>
      </c>
    </row>
    <row r="109" spans="2:6">
      <c r="B109" s="47" t="s">
        <v>286</v>
      </c>
      <c r="C109" s="248">
        <f>C108*scaling_factor*Exchange_Rate/Common_Shares</f>
        <v>0.15767562978420405</v>
      </c>
      <c r="D109" s="1" t="str">
        <f>Market_currency</f>
        <v>HKD</v>
      </c>
    </row>
    <row r="111" spans="2:6" ht="24.4" customHeight="1">
      <c r="B111" s="348" t="s">
        <v>369</v>
      </c>
      <c r="C111" s="348"/>
      <c r="D111" s="348"/>
      <c r="E111" s="348"/>
      <c r="F111" s="348"/>
    </row>
    <row r="113" spans="1:6">
      <c r="B113" s="47" t="s">
        <v>282</v>
      </c>
      <c r="C113" s="248">
        <f>DCF!C12</f>
        <v>20.080338252823015</v>
      </c>
      <c r="D113" s="1" t="str">
        <f>Market_currency</f>
        <v>HKD</v>
      </c>
    </row>
    <row r="114" spans="1:6">
      <c r="B114" s="330" t="s">
        <v>409</v>
      </c>
      <c r="C114" s="248">
        <f>BS!D47</f>
        <v>5.8696003638854428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0.06</v>
      </c>
      <c r="D121" s="255">
        <f>DCF!D74</f>
        <v>10</v>
      </c>
      <c r="E121" s="256" t="str">
        <f>ROUND(DCF!E74,2)&amp;" "&amp;Market_currency</f>
        <v>24.7 HKD</v>
      </c>
      <c r="F121" s="257">
        <f>DCF!F74</f>
        <v>0.02</v>
      </c>
    </row>
    <row r="122" spans="1:6">
      <c r="B122" s="242" t="str">
        <f>DCF!B75</f>
        <v>Optimistic</v>
      </c>
      <c r="C122" s="243">
        <f>DCF!C75</f>
        <v>0.05</v>
      </c>
      <c r="D122" s="244">
        <f>DCF!D75</f>
        <v>5</v>
      </c>
      <c r="E122" s="245" t="str">
        <f>ROUND(DCF!E75,2)&amp;" "&amp;Market_currency</f>
        <v>21.86 HKD</v>
      </c>
      <c r="F122" s="246">
        <f>DCF!F75</f>
        <v>0.192</v>
      </c>
    </row>
    <row r="123" spans="1:6">
      <c r="B123" s="242" t="str">
        <f>DCF!B76</f>
        <v>Base</v>
      </c>
      <c r="C123" s="243">
        <f>DCF!C76</f>
        <v>0.02</v>
      </c>
      <c r="D123" s="244">
        <f>DCF!D76</f>
        <v>5</v>
      </c>
      <c r="E123" s="245" t="str">
        <f>ROUND(DCF!E76,2)&amp;" "&amp;Market_currency</f>
        <v>20.78 HKD</v>
      </c>
      <c r="F123" s="246">
        <f>DCF!F76</f>
        <v>0.57599999999999996</v>
      </c>
    </row>
    <row r="124" spans="1:6">
      <c r="B124" s="242" t="str">
        <f>DCF!B77</f>
        <v>Pessimistic</v>
      </c>
      <c r="C124" s="243">
        <f>DCF!C77</f>
        <v>-0.05</v>
      </c>
      <c r="D124" s="244">
        <f>DCF!D77</f>
        <v>5</v>
      </c>
      <c r="E124" s="245" t="str">
        <f>ROUND(DCF!E77,2)&amp;" "&amp;Market_currency</f>
        <v>18.42 HKD</v>
      </c>
      <c r="F124" s="246">
        <f>DCF!F77</f>
        <v>0.192</v>
      </c>
    </row>
    <row r="125" spans="1:6">
      <c r="B125" s="242" t="str">
        <f>DCF!B78</f>
        <v>Devil's advocate</v>
      </c>
      <c r="C125" s="243">
        <f>DCF!C78</f>
        <v>-0.08</v>
      </c>
      <c r="D125" s="244">
        <f>DCF!D78</f>
        <v>10</v>
      </c>
      <c r="E125" s="245" t="str">
        <f>ROUND(DCF!E78,2)&amp;" "&amp;Market_currency</f>
        <v>15.62 HKD</v>
      </c>
      <c r="F125" s="246">
        <f>DCF!F78</f>
        <v>0.02</v>
      </c>
    </row>
    <row r="127" spans="1:6">
      <c r="B127" s="235" t="s">
        <v>259</v>
      </c>
      <c r="C127" s="241">
        <f>Scenarios!C60</f>
        <v>20.508980461992877</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1.36</v>
      </c>
      <c r="D138" s="236" t="str">
        <f>Market_currency</f>
        <v>HKD</v>
      </c>
    </row>
    <row r="140" spans="1:6">
      <c r="B140" s="234" t="s">
        <v>412</v>
      </c>
      <c r="C140" s="268" t="str">
        <f>C11</f>
        <v>0590.HK</v>
      </c>
      <c r="D140" s="268" t="str">
        <f>IF(D11="","",D11)</f>
        <v/>
      </c>
    </row>
    <row r="141" spans="1:6">
      <c r="B141" s="1" t="s">
        <v>411</v>
      </c>
      <c r="C141" s="331">
        <f>F29</f>
        <v>0.4</v>
      </c>
    </row>
    <row r="142" spans="1:6">
      <c r="B142" s="236" t="str">
        <f>"PV("&amp;C136&amp;" yrs of Dividends)"</f>
        <v>PV(3 yrs of Dividends)</v>
      </c>
      <c r="C142" s="240">
        <f>Scenarios!C81</f>
        <v>2.1609329446064134</v>
      </c>
    </row>
    <row r="143" spans="1:6">
      <c r="B143" s="236" t="str">
        <f>"+ PV(Equity Value realized at year "&amp;C136&amp;")"</f>
        <v>+ PV(Equity Value realized at year 3)</v>
      </c>
      <c r="C143" s="240">
        <f>Scenarios!C82</f>
        <v>7.4741182441665019</v>
      </c>
    </row>
    <row r="144" spans="1:6">
      <c r="B144" s="80" t="s">
        <v>261</v>
      </c>
      <c r="C144" s="239">
        <f>Scenarios!C83</f>
        <v>9.6350511887729162</v>
      </c>
      <c r="D144" s="335" t="str">
        <f>IF($D$11="","",C144*$E$25)</f>
        <v/>
      </c>
    </row>
    <row r="145" spans="2:4">
      <c r="B145" s="286" t="s">
        <v>419</v>
      </c>
      <c r="C145" s="333" t="str">
        <f>Market_currency</f>
        <v>HKD</v>
      </c>
      <c r="D145" s="333" t="str">
        <f>IF($D$11="","",D$13)</f>
        <v/>
      </c>
    </row>
    <row r="146" spans="2:4">
      <c r="B146" s="238" t="s">
        <v>263</v>
      </c>
      <c r="C146" s="92">
        <f>Scenarios!F83</f>
        <v>0.53020330744238908</v>
      </c>
    </row>
    <row r="148" spans="2:4">
      <c r="B148" s="234" t="s">
        <v>415</v>
      </c>
    </row>
    <row r="149" spans="2:4">
      <c r="B149" s="1" t="s">
        <v>414</v>
      </c>
      <c r="C149" s="331">
        <f>Scenarios!C90</f>
        <v>0.21740000000000001</v>
      </c>
    </row>
    <row r="150" spans="2:4">
      <c r="B150" s="236" t="str">
        <f>"PV("&amp;C136&amp;" yrs of Dividends)"</f>
        <v>PV(3 yrs of Dividends)</v>
      </c>
      <c r="C150" s="240">
        <f>Scenarios!C91</f>
        <v>2.7885451204563143</v>
      </c>
    </row>
    <row r="151" spans="2:4">
      <c r="B151" s="236" t="str">
        <f>"+ PV(Equity Value realized at year "&amp;C136&amp;")"</f>
        <v>+ PV(Equity Value realized at year 3)</v>
      </c>
      <c r="C151" s="240">
        <f>Scenarios!C92</f>
        <v>11.366956005228198</v>
      </c>
    </row>
    <row r="152" spans="2:4">
      <c r="B152" s="80" t="s">
        <v>261</v>
      </c>
      <c r="C152" s="239">
        <f>Scenarios!C93</f>
        <v>14.155501125684513</v>
      </c>
      <c r="D152" s="335" t="str">
        <f>IF($D$11="","",C152*$E$25)</f>
        <v/>
      </c>
    </row>
    <row r="153" spans="2:4">
      <c r="B153" s="286" t="s">
        <v>419</v>
      </c>
      <c r="C153" s="333" t="str">
        <f>Market_currency</f>
        <v>HKD</v>
      </c>
      <c r="D153" s="333" t="str">
        <f>IF($D$11="","",D$13)</f>
        <v/>
      </c>
    </row>
    <row r="154" spans="2:4">
      <c r="B154" s="238" t="s">
        <v>263</v>
      </c>
      <c r="C154" s="92">
        <f>Scenarios!F93</f>
        <v>0.30979011112144728</v>
      </c>
    </row>
    <row r="156" spans="2:4">
      <c r="B156" s="234" t="s">
        <v>403</v>
      </c>
    </row>
    <row r="157" spans="2:4">
      <c r="B157" s="1" t="s">
        <v>413</v>
      </c>
      <c r="C157" s="92">
        <f>Scenarios!C96</f>
        <v>0.08</v>
      </c>
    </row>
    <row r="158" spans="2:4">
      <c r="B158" s="236" t="str">
        <f>"PV("&amp;C136&amp;" yrs of Dividends)"</f>
        <v>PV(3 yrs of Dividends)</v>
      </c>
      <c r="C158" s="240">
        <f>Scenarios!C97</f>
        <v>3.5048519026571174</v>
      </c>
    </row>
    <row r="159" spans="2:4">
      <c r="B159" s="236" t="str">
        <f>"+ PV(Equity Value realized at year "&amp;C136&amp;")"</f>
        <v>+ PV(Equity Value realized at year 3)</v>
      </c>
      <c r="C159" s="240">
        <f>Scenarios!C98</f>
        <v>16.280689921182677</v>
      </c>
    </row>
    <row r="160" spans="2:4">
      <c r="B160" s="80" t="s">
        <v>404</v>
      </c>
      <c r="C160" s="239">
        <f>Scenarios!C99</f>
        <v>19.785541823839793</v>
      </c>
      <c r="D160" s="335" t="str">
        <f>IF($D$11="","",C160*$E$25)</f>
        <v/>
      </c>
    </row>
    <row r="161" spans="1:6">
      <c r="B161" s="286" t="s">
        <v>419</v>
      </c>
      <c r="C161" s="333" t="str">
        <f>Market_currency</f>
        <v>HKD</v>
      </c>
      <c r="D161" s="333" t="str">
        <f>IF($D$11="","",D$13)</f>
        <v/>
      </c>
    </row>
    <row r="162" spans="1:6">
      <c r="B162" s="238" t="s">
        <v>263</v>
      </c>
      <c r="C162" s="92">
        <f>Scenarios!F99</f>
        <v>3.5274237034539913E-2</v>
      </c>
    </row>
    <row r="164" spans="1:6">
      <c r="B164" s="234" t="s">
        <v>435</v>
      </c>
    </row>
    <row r="165" spans="1:6">
      <c r="B165" s="1" t="s">
        <v>426</v>
      </c>
      <c r="C165" s="92">
        <f>F32</f>
        <v>0.1174</v>
      </c>
    </row>
    <row r="166" spans="1:6">
      <c r="B166" s="236" t="str">
        <f>"PV("&amp;C136&amp;" yrs of Dividends)"</f>
        <v>PV(3 yrs of Dividends)</v>
      </c>
      <c r="C166" s="240">
        <f>Scenarios!C103</f>
        <v>3.2811402512765628</v>
      </c>
    </row>
    <row r="167" spans="1:6">
      <c r="B167" s="236" t="str">
        <f>"+ PV(Equity Value realized at year "&amp;C136&amp;")"</f>
        <v>+ PV(Equity Value realized at year 3)</v>
      </c>
      <c r="C167" s="240">
        <f>Scenarios!C104</f>
        <v>14.700024896270923</v>
      </c>
    </row>
    <row r="168" spans="1:6">
      <c r="B168" s="80" t="s">
        <v>404</v>
      </c>
      <c r="C168" s="239">
        <f>Scenarios!C105</f>
        <v>17.981165147547486</v>
      </c>
      <c r="D168" s="335" t="str">
        <f>IF($D$11="","",C168*$E$25)</f>
        <v/>
      </c>
    </row>
    <row r="169" spans="1:6">
      <c r="B169" s="286" t="s">
        <v>419</v>
      </c>
      <c r="C169" s="333" t="str">
        <f>Market_currency</f>
        <v>HKD</v>
      </c>
      <c r="D169" s="333" t="str">
        <f>IF($D$11="","",D$13)</f>
        <v/>
      </c>
    </row>
    <row r="170" spans="1:6">
      <c r="B170" s="238" t="s">
        <v>263</v>
      </c>
      <c r="C170" s="92">
        <f>Scenarios!F105</f>
        <v>0.12330405719024684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450</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29"/>
      <c r="J77" s="329"/>
      <c r="K77" s="329"/>
      <c r="L77" s="329"/>
      <c r="M77" s="329"/>
    </row>
    <row r="78" spans="2:13">
      <c r="B78" s="93" t="s">
        <v>87</v>
      </c>
      <c r="C78" s="185">
        <f t="shared" si="40"/>
        <v>9672256</v>
      </c>
      <c r="D78" s="185">
        <f t="shared" si="40"/>
        <v>8852611</v>
      </c>
      <c r="E78" s="185">
        <f t="shared" si="40"/>
        <v>8769304</v>
      </c>
      <c r="F78" s="185">
        <f t="shared" si="40"/>
        <v>7321614</v>
      </c>
      <c r="G78" s="185">
        <f t="shared" si="40"/>
        <v>0</v>
      </c>
      <c r="H78" s="185" t="str">
        <f t="shared" si="40"/>
        <v/>
      </c>
      <c r="I78" s="329"/>
      <c r="J78" s="329"/>
      <c r="K78" s="329"/>
      <c r="L78" s="329"/>
      <c r="M78" s="329"/>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0">
        <v>0.6</v>
      </c>
      <c r="E4" s="25"/>
      <c r="F4" s="4" t="s">
        <v>78</v>
      </c>
      <c r="G4" s="19">
        <v>1998219</v>
      </c>
      <c r="H4" s="290">
        <v>0.9</v>
      </c>
    </row>
    <row r="5" spans="2:8" ht="15" customHeight="1">
      <c r="B5" s="1" t="s">
        <v>33</v>
      </c>
      <c r="C5" s="19">
        <v>0</v>
      </c>
      <c r="D5" s="290">
        <v>0.6</v>
      </c>
      <c r="E5" s="25"/>
      <c r="F5" s="1" t="s">
        <v>29</v>
      </c>
      <c r="G5" s="19">
        <v>0</v>
      </c>
      <c r="H5" s="290">
        <v>0.7</v>
      </c>
    </row>
    <row r="6" spans="2:8" ht="15" customHeight="1">
      <c r="B6" s="4" t="s">
        <v>10</v>
      </c>
      <c r="C6" s="19">
        <v>9672256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366595</v>
      </c>
      <c r="D9" s="290">
        <v>0.1</v>
      </c>
      <c r="E9" s="25"/>
      <c r="F9" s="4" t="s">
        <v>181</v>
      </c>
      <c r="G9" s="19">
        <v>0</v>
      </c>
      <c r="H9" s="290">
        <v>0.6</v>
      </c>
    </row>
    <row r="10" spans="2:8" ht="15" customHeight="1">
      <c r="B10" s="4" t="s">
        <v>11</v>
      </c>
      <c r="C10" s="19">
        <v>29465</v>
      </c>
      <c r="D10" s="290">
        <v>0.9</v>
      </c>
      <c r="H10" s="291"/>
    </row>
    <row r="11" spans="2:8" ht="15" customHeight="1">
      <c r="B11" s="4" t="s">
        <v>12</v>
      </c>
      <c r="C11" s="19">
        <v>0</v>
      </c>
      <c r="D11" s="290">
        <v>0.05</v>
      </c>
      <c r="H11" s="291"/>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2522337</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538321</v>
      </c>
      <c r="D21" s="290">
        <v>0.05</v>
      </c>
      <c r="F21" s="1" t="s">
        <v>181</v>
      </c>
      <c r="G21" s="19">
        <v>925726</v>
      </c>
      <c r="H21" s="290">
        <v>0.1</v>
      </c>
    </row>
    <row r="22" spans="2:8" ht="15" customHeight="1">
      <c r="B22" s="4" t="s">
        <v>20</v>
      </c>
      <c r="C22" s="19">
        <v>154648</v>
      </c>
      <c r="D22" s="290">
        <v>0.9</v>
      </c>
      <c r="H22" s="291"/>
    </row>
    <row r="23" spans="2:8" ht="15" customHeight="1">
      <c r="B23" s="4" t="s">
        <v>21</v>
      </c>
      <c r="C23" s="19">
        <v>277674</v>
      </c>
      <c r="D23" s="290">
        <v>0</v>
      </c>
      <c r="H23" s="291"/>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12890860</v>
      </c>
      <c r="D46" s="188">
        <f>H29</f>
        <v>3446088.45</v>
      </c>
      <c r="F46" s="280"/>
    </row>
    <row r="47" spans="2:8" ht="15" customHeight="1">
      <c r="B47" s="1" t="str">
        <f>"Equity per share ("&amp;Market_currency&amp;")"</f>
        <v>Equity per share (HKD)</v>
      </c>
      <c r="C47" s="148">
        <f>C46*H1/Common_Shares*Exchange_Rate</f>
        <v>21.956545121990789</v>
      </c>
      <c r="D47" s="148">
        <f>D46*H1/Common_Shares*Exchange_Rate</f>
        <v>5.8696003638854428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1.4550387206421544</v>
      </c>
      <c r="D50" s="95">
        <f>G31/Normalized_FCF!G8</f>
        <v>1.0842664509772892</v>
      </c>
      <c r="F50" s="280"/>
    </row>
    <row r="51" spans="2:8" ht="15" customHeight="1">
      <c r="B51" s="1" t="s">
        <v>177</v>
      </c>
      <c r="C51" s="202"/>
      <c r="D51" s="92">
        <f>G29/G32</f>
        <v>0.76485172952944758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0.10039645772788393</v>
      </c>
      <c r="D54" s="92">
        <f>Normalized_FCF!G8/G35</f>
        <v>0.13472770763839131</v>
      </c>
      <c r="F54" s="280"/>
    </row>
    <row r="55" spans="2:8" ht="15" customHeight="1">
      <c r="B55" s="1" t="s">
        <v>142</v>
      </c>
      <c r="C55" s="92">
        <f>Normalized_FCF!C11/G40</f>
        <v>0</v>
      </c>
      <c r="D55" s="92">
        <f>Normalized_FCF!G11/G40</f>
        <v>2.1854036242131779E-4</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0.1837280268259158</v>
      </c>
      <c r="F58" s="5"/>
    </row>
    <row r="59" spans="2:8" ht="15" customHeight="1">
      <c r="B59" s="1" t="s">
        <v>93</v>
      </c>
      <c r="C59" s="98"/>
      <c r="D59" s="92">
        <f>G39/G32</f>
        <v>0.14965749507062509</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-2.0915594459950692E-3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1998219</v>
      </c>
      <c r="D66" s="188">
        <f>C66-D75</f>
        <v>1050246.6606106577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1998219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-1187304.6396666665</v>
      </c>
      <c r="D73" s="188">
        <f>(Normalized_FCF!C25+Normalized_FCF!C35-Normalized_FCF!C91)/12</f>
        <v>-947972.33938934223</v>
      </c>
      <c r="F73" s="1" t="s">
        <v>354</v>
      </c>
    </row>
    <row r="74" spans="2:6" ht="15" customHeight="1">
      <c r="B74" s="284" t="s">
        <v>324</v>
      </c>
      <c r="C74" s="285">
        <f>-$C$66/C73</f>
        <v>1.6829876118070222</v>
      </c>
      <c r="D74" s="285">
        <f>-$C$66/D73</f>
        <v>2.1078874530107048</v>
      </c>
      <c r="F74" s="280" t="s">
        <v>322</v>
      </c>
    </row>
    <row r="75" spans="2:6" ht="15" customHeight="1">
      <c r="B75" s="80" t="s">
        <v>323</v>
      </c>
      <c r="C75" s="289"/>
      <c r="D75" s="288">
        <f>MAX(-D73*D76,G5)</f>
        <v>947972.33938934223</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925726</v>
      </c>
      <c r="D81" s="188">
        <f>G9*H9+G21*H21</f>
        <v>92572.6</v>
      </c>
      <c r="F81" s="280"/>
    </row>
    <row r="82" spans="2:8" ht="15" customHeight="1">
      <c r="B82" s="80" t="s">
        <v>190</v>
      </c>
      <c r="C82" s="81">
        <f>SUM(C79:C81)</f>
        <v>925726</v>
      </c>
      <c r="D82" s="81">
        <f>SUM(D79:D81)</f>
        <v>92572.6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-2034922</v>
      </c>
      <c r="D86" s="248">
        <f>C86*scaling_factor/Common_Shares</f>
        <v>-3.4660105464438944</v>
      </c>
      <c r="E86" s="267" t="str">
        <f>Market_currency</f>
        <v>HKD</v>
      </c>
    </row>
    <row r="87" spans="2:8" ht="15" customHeight="1">
      <c r="B87" s="265" t="s">
        <v>290</v>
      </c>
      <c r="C87" s="188">
        <f>DCF!C8*Exchange_Rate</f>
        <v>1050246.6606106577</v>
      </c>
      <c r="D87" s="248">
        <f>C87*scaling_factor/Common_Shares</f>
        <v>1.7888479273623368</v>
      </c>
      <c r="E87" s="267" t="str">
        <f>Market_currency</f>
        <v>HKD</v>
      </c>
    </row>
    <row r="88" spans="2:8" ht="15" customHeight="1">
      <c r="B88" s="266" t="s">
        <v>190</v>
      </c>
      <c r="C88" s="188">
        <f>DCF!C9*Exchange_Rate</f>
        <v>92572.6</v>
      </c>
      <c r="D88" s="248">
        <f>C88*scaling_factor/Common_Shares</f>
        <v>0.15767562978420405</v>
      </c>
      <c r="E88" s="267" t="str">
        <f>Market_currency</f>
        <v>HKD</v>
      </c>
    </row>
    <row r="89" spans="2:8" ht="15" customHeight="1">
      <c r="B89" s="80" t="s">
        <v>294</v>
      </c>
      <c r="C89" s="187">
        <f>SUM(C86:C88)</f>
        <v>-892102.73938934237</v>
      </c>
      <c r="D89" s="269">
        <f>SUM(D86:D88)</f>
        <v>-1.5194869892973535</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11975736</v>
      </c>
      <c r="D4" s="57"/>
      <c r="E4" s="296"/>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298"/>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8"/>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298"/>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4"/>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298"/>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298"/>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298"/>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298"/>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298"/>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06"/>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5"/>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-8638608.2360938303</v>
      </c>
      <c r="D23" s="58"/>
      <c r="E23" s="297"/>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5"/>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3"/>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0.72134257435984139</v>
      </c>
      <c r="D28" s="26"/>
      <c r="E28" s="296" t="s">
        <v>336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6" t="s">
        <v>336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-302359.25</v>
      </c>
      <c r="E33" s="296" t="s">
        <v>336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7"/>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2.5247654924924864E-2</v>
      </c>
      <c r="D38" s="27"/>
      <c r="E38" s="29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-59596</v>
      </c>
      <c r="E47" s="298"/>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13746.938888322537</v>
      </c>
      <c r="E48" s="298"/>
      <c r="G48" s="323">
        <f>IFERROR(IF(G$4="","",($C$48/$C$49)*G49),0)</f>
        <v>13746.938888322537</v>
      </c>
      <c r="H48" s="323">
        <f t="shared" ref="H48:Q48" si="19">IFERROR(IF(H$4="","",($C$48/$C$49)*H49),0)</f>
        <v>15714.785887969218</v>
      </c>
      <c r="I48" s="323">
        <f t="shared" si="19"/>
        <v>41436.747429397234</v>
      </c>
      <c r="J48" s="323">
        <f t="shared" si="19"/>
        <v>30076.558361523694</v>
      </c>
      <c r="K48" s="323">
        <f t="shared" si="19"/>
        <v>21561.872259870215</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28977</v>
      </c>
      <c r="D49" s="320"/>
      <c r="E49" s="321"/>
      <c r="F49" s="320"/>
      <c r="G49" s="319">
        <f>Data!C52</f>
        <v>28977</v>
      </c>
      <c r="H49" s="319">
        <f>Data!D52</f>
        <v>33125</v>
      </c>
      <c r="I49" s="319">
        <f>Data!E52</f>
        <v>87344</v>
      </c>
      <c r="J49" s="319">
        <f>Data!F52</f>
        <v>63398</v>
      </c>
      <c r="K49" s="319">
        <f>Data!G52</f>
        <v>45450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-45849.061111677467</v>
      </c>
      <c r="E50" s="298"/>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1.4501413508729523E-2</v>
      </c>
      <c r="E53" s="295" t="s">
        <v>338</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5" t="s">
        <v>339</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0.85797166426114502</v>
      </c>
      <c r="D73" s="27"/>
      <c r="E73" s="29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6" t="s">
        <v>452</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1.36</v>
      </c>
      <c r="E90" s="298"/>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8"/>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7.8071182548794485E-2</v>
      </c>
      <c r="E93" s="298"/>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-0.2185980886550547</v>
      </c>
      <c r="D96" s="27"/>
      <c r="E96" s="29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16854064</v>
      </c>
      <c r="D101" s="26"/>
      <c r="E101" s="299"/>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0"/>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0"/>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299"/>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299"/>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f>IF(J$4="","",Data!F$22/Data!F15)</f>
        <v>0</v>
      </c>
      <c r="K113" s="328">
        <f>IF(K$4="","",Data!G$22/Data!G15)</f>
        <v>0</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f>IF(J$4="","",Data!F$22/J19)</f>
        <v>0</v>
      </c>
      <c r="K114" s="328">
        <f>IF(K$4="","",Data!G$22/K19)</f>
        <v>0</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1"/>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5"/>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5"/>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12681426.958277019</v>
      </c>
      <c r="D6" t="str">
        <f>Reporting_currency</f>
        <v>HKD</v>
      </c>
      <c r="E6" s="356" t="s">
        <v>250</v>
      </c>
      <c r="F6" s="356"/>
      <c r="H6" s="121"/>
    </row>
    <row r="7" spans="2:8">
      <c r="B7" s="149" t="s">
        <v>225</v>
      </c>
      <c r="C7" s="226">
        <f>BS!G31</f>
        <v>2034922</v>
      </c>
      <c r="D7" t="str">
        <f>Reporting_currency</f>
        <v>HKD</v>
      </c>
      <c r="E7" s="356"/>
      <c r="F7" s="356"/>
      <c r="H7" s="121"/>
    </row>
    <row r="8" spans="2:8">
      <c r="B8" s="149" t="s">
        <v>226</v>
      </c>
      <c r="C8" s="201">
        <f>BS!D66</f>
        <v>1050246.6606106577</v>
      </c>
      <c r="D8" t="str">
        <f>Reporting_currency</f>
        <v>HKD</v>
      </c>
      <c r="E8" s="356"/>
      <c r="F8" s="356"/>
      <c r="H8" s="121"/>
    </row>
    <row r="9" spans="2:8">
      <c r="B9" s="227" t="s">
        <v>191</v>
      </c>
      <c r="C9" s="229">
        <f>BS!H42</f>
        <v>92572.6</v>
      </c>
      <c r="D9" t="str">
        <f>Reporting_currency</f>
        <v>HKD</v>
      </c>
      <c r="E9" s="356"/>
      <c r="F9" s="356"/>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1.24036923941947E-2</v>
      </c>
      <c r="H16" s="121"/>
    </row>
    <row r="17" spans="2:8" ht="13.35" customHeight="1">
      <c r="B17" s="119" t="s">
        <v>135</v>
      </c>
      <c r="C17" s="163">
        <f>Scenarios!C64</f>
        <v>5</v>
      </c>
      <c r="H17" s="121"/>
    </row>
    <row r="18" spans="2:8" ht="13.3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IF($C$17&lt;B21,0,DCF!$C$16)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IF($C$17&lt;B22,0,DCF!$C$16)</f>
        <v>1.24036923941947E-2</v>
      </c>
      <c r="E22" s="125">
        <f t="shared" si="0"/>
        <v>0.85733882030178321</v>
      </c>
      <c r="F22" s="126">
        <f t="shared" si="1"/>
        <v>891493.21358947677</v>
      </c>
      <c r="H22" s="121"/>
    </row>
    <row r="23" spans="2:8">
      <c r="B23" s="123">
        <v>3</v>
      </c>
      <c r="C23" s="124">
        <f t="shared" si="2"/>
        <v>1052735.5111070964</v>
      </c>
      <c r="D23" s="139">
        <f>IF($C$17&lt;B23,0,DCF!$C$16)</f>
        <v>1.24036923941947E-2</v>
      </c>
      <c r="E23" s="125">
        <f t="shared" si="0"/>
        <v>0.79383224102016958</v>
      </c>
      <c r="F23" s="126">
        <f t="shared" si="1"/>
        <v>835695.38998365996</v>
      </c>
      <c r="H23" s="121"/>
    </row>
    <row r="24" spans="2:8">
      <c r="B24" s="123">
        <v>4</v>
      </c>
      <c r="C24" s="124">
        <f t="shared" si="2"/>
        <v>1065793.3185593141</v>
      </c>
      <c r="D24" s="139">
        <f>IF($C$17&lt;B24,0,DCF!$C$16)</f>
        <v>1.24036923941947E-2</v>
      </c>
      <c r="E24" s="125">
        <f t="shared" si="0"/>
        <v>0.73502985279645328</v>
      </c>
      <c r="F24" s="126">
        <f t="shared" si="1"/>
        <v>783389.90605209605</v>
      </c>
      <c r="H24" s="121"/>
    </row>
    <row r="25" spans="2:8">
      <c r="B25" s="123">
        <v>5</v>
      </c>
      <c r="C25" s="124">
        <f t="shared" si="2"/>
        <v>1079013.0910385123</v>
      </c>
      <c r="D25" s="139">
        <f>IF($C$17&lt;B25,0,DCF!$C$16)</f>
        <v>1.24036923941947E-2</v>
      </c>
      <c r="E25" s="125">
        <f t="shared" si="0"/>
        <v>0.68058319703375303</v>
      </c>
      <c r="F25" s="126">
        <f t="shared" si="1"/>
        <v>734358.17914026265</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-17.420000000000002</v>
      </c>
    </row>
    <row r="4" spans="2:9">
      <c r="B4" s="153" t="s">
        <v>147</v>
      </c>
      <c r="C4" s="121">
        <v>3</v>
      </c>
      <c r="D4" s="121"/>
      <c r="E4" s="156" t="s">
        <v>151</v>
      </c>
      <c r="F4" s="156"/>
      <c r="H4" s="274">
        <v>1</v>
      </c>
      <c r="I4" s="262">
        <f t="shared" ref="I4:I13" si="0">IF(ROW()-3 &lt; $C$76, $C$77, IF(ROW()-3 = $C$76, $C$77 + $C$60, ""))</f>
        <v>1.36</v>
      </c>
    </row>
    <row r="5" spans="2:9">
      <c r="H5" s="274">
        <v>2</v>
      </c>
      <c r="I5" s="262">
        <f t="shared" si="0"/>
        <v>1.36</v>
      </c>
    </row>
    <row r="6" spans="2:9" ht="13.15">
      <c r="B6" s="160" t="s">
        <v>96</v>
      </c>
      <c r="C6" s="107">
        <f>DCF!C3</f>
        <v>1000</v>
      </c>
      <c r="E6" s="100" t="s">
        <v>281</v>
      </c>
      <c r="F6" s="100"/>
      <c r="H6" s="274">
        <v>3</v>
      </c>
      <c r="I6" s="262">
        <f t="shared" si="0"/>
        <v>21.868980461992876</v>
      </c>
    </row>
    <row r="7" spans="2:9" ht="12.75" customHeight="1">
      <c r="B7" s="100" t="s">
        <v>276</v>
      </c>
      <c r="C7" s="115">
        <f>Normalized_FCF!G8</f>
        <v>1876773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8"/>
      <c r="H7" s="274">
        <v>4</v>
      </c>
      <c r="I7" s="262" t="str">
        <f t="shared" si="0"/>
        <v/>
      </c>
    </row>
    <row r="8" spans="2:9">
      <c r="B8" s="100" t="s">
        <v>66</v>
      </c>
      <c r="C8" s="115">
        <f>Normalized_FCF!G19</f>
        <v>1291433.9388883226</v>
      </c>
      <c r="D8" t="str">
        <f>Reporting_currency</f>
        <v>HKD</v>
      </c>
      <c r="E8" s="358"/>
      <c r="F8" s="358"/>
      <c r="H8" s="274">
        <v>5</v>
      </c>
      <c r="I8" s="262" t="str">
        <f t="shared" si="0"/>
        <v/>
      </c>
    </row>
    <row r="9" spans="2:9">
      <c r="B9" s="100" t="s">
        <v>57</v>
      </c>
      <c r="C9" s="201">
        <f>Normalized_FCF!C19</f>
        <v>1014514.1566621615</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0.20035451325595277</v>
      </c>
      <c r="D12" s="159"/>
      <c r="E12" s="358"/>
      <c r="F12" s="358"/>
      <c r="H12" s="274">
        <v>9</v>
      </c>
      <c r="I12" s="262" t="str">
        <f t="shared" si="0"/>
        <v/>
      </c>
    </row>
    <row r="13" spans="2:9">
      <c r="B13" s="149" t="s">
        <v>153</v>
      </c>
      <c r="C13" s="159">
        <f ca="1">(Normalized_FCF!G8/OFFSET(Normalized_FCF!G8, 0, $C$4))^(1/$C$4) - 1</f>
        <v>0.26016796976901468</v>
      </c>
      <c r="E13" s="358"/>
      <c r="F13" s="358"/>
      <c r="H13" s="274">
        <v>10</v>
      </c>
      <c r="I13" s="262" t="str">
        <f t="shared" si="0"/>
        <v/>
      </c>
    </row>
    <row r="14" spans="2:9">
      <c r="B14" s="100" t="s">
        <v>66</v>
      </c>
      <c r="C14" s="159">
        <f ca="1">(Normalized_FCF!G19/OFFSET(Normalized_FCF!G19, 0, $C$4))^(1/$C$4) - 1</f>
        <v>6.0457013634429568E-2</v>
      </c>
      <c r="E14" s="358"/>
      <c r="F14" s="358"/>
    </row>
    <row r="16" spans="2:9" ht="13.9">
      <c r="B16" s="36" t="s">
        <v>163</v>
      </c>
      <c r="C16" s="37"/>
      <c r="D16" s="37"/>
      <c r="E16" s="37"/>
      <c r="F16" s="37"/>
    </row>
    <row r="17" spans="2:6" ht="13.15">
      <c r="B17" s="109" t="s">
        <v>152</v>
      </c>
      <c r="E17" s="160" t="s">
        <v>332</v>
      </c>
    </row>
    <row r="18" spans="2:6">
      <c r="B18" s="153" t="s">
        <v>134</v>
      </c>
      <c r="C18" s="151">
        <v>5</v>
      </c>
      <c r="E18" s="358" t="s">
        <v>333</v>
      </c>
      <c r="F18" s="359"/>
    </row>
    <row r="19" spans="2:6">
      <c r="E19" s="359"/>
      <c r="F19" s="359"/>
    </row>
    <row r="20" spans="2:6" ht="13.15">
      <c r="B20" s="160" t="s">
        <v>306</v>
      </c>
      <c r="E20" s="359"/>
      <c r="F20" s="359"/>
    </row>
    <row r="21" spans="2:6">
      <c r="B21" s="100" t="s">
        <v>279</v>
      </c>
      <c r="C21" s="161">
        <f>Market_Price</f>
        <v>17.420000000000002</v>
      </c>
      <c r="D21" t="str">
        <f>Market_currency</f>
        <v>HKD</v>
      </c>
      <c r="E21" s="359"/>
      <c r="F21" s="359"/>
    </row>
    <row r="22" spans="2:6">
      <c r="B22" s="100" t="s">
        <v>280</v>
      </c>
      <c r="C22" s="161">
        <f>DCF!C12</f>
        <v>20.080338252823015</v>
      </c>
      <c r="D22" t="str">
        <f>Market_currency</f>
        <v>HKD</v>
      </c>
      <c r="E22" s="359"/>
      <c r="F22" s="359"/>
    </row>
    <row r="24" spans="2:6" ht="13.15">
      <c r="B24" s="160" t="s">
        <v>116</v>
      </c>
      <c r="E24" s="160" t="s">
        <v>150</v>
      </c>
      <c r="F24" s="160"/>
    </row>
    <row r="25" spans="2:6">
      <c r="B25" s="153" t="s">
        <v>134</v>
      </c>
      <c r="C25" s="167">
        <f>C18</f>
        <v>5</v>
      </c>
      <c r="D25" s="164"/>
      <c r="E25" s="357"/>
      <c r="F25" s="357"/>
    </row>
    <row r="26" spans="2:6">
      <c r="B26" s="119" t="s">
        <v>135</v>
      </c>
      <c r="C26" s="165">
        <v>0.02</v>
      </c>
      <c r="D26" s="165"/>
      <c r="E26" s="357"/>
      <c r="F26" s="357"/>
    </row>
    <row r="27" spans="2:6">
      <c r="B27" s="100" t="s">
        <v>114</v>
      </c>
      <c r="C27" s="161">
        <f>DCF!E76</f>
        <v>20.777261684426229</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5</v>
      </c>
      <c r="D31" s="164"/>
      <c r="E31" s="357"/>
      <c r="F31" s="357"/>
    </row>
    <row r="32" spans="2:6">
      <c r="B32" s="119" t="s">
        <v>135</v>
      </c>
      <c r="C32" s="165">
        <v>-0.05</v>
      </c>
      <c r="D32" s="165"/>
      <c r="E32" s="357"/>
      <c r="F32" s="357"/>
    </row>
    <row r="33" spans="2:6">
      <c r="B33" s="100" t="s">
        <v>114</v>
      </c>
      <c r="C33" s="161">
        <f>DCF!E77</f>
        <v>18.42358674753498</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5</v>
      </c>
      <c r="D37" s="164"/>
      <c r="E37" s="357"/>
      <c r="F37" s="357"/>
    </row>
    <row r="38" spans="2:6">
      <c r="B38" s="119" t="s">
        <v>135</v>
      </c>
      <c r="C38" s="165">
        <v>0.05</v>
      </c>
      <c r="D38" s="165"/>
      <c r="E38" s="357"/>
      <c r="F38" s="357"/>
    </row>
    <row r="39" spans="2:6">
      <c r="B39" s="100" t="s">
        <v>114</v>
      </c>
      <c r="C39" s="161">
        <f>DCF!E75</f>
        <v>21.862068001465992</v>
      </c>
      <c r="D39" t="str">
        <f>Market_currency</f>
        <v>HKD</v>
      </c>
      <c r="E39" s="357"/>
      <c r="F39" s="357"/>
    </row>
    <row r="40" spans="2:6">
      <c r="B40" s="100" t="s">
        <v>148</v>
      </c>
      <c r="C40" s="168">
        <f>1-C28-C34</f>
        <v>0.2</v>
      </c>
      <c r="D40" s="166"/>
      <c r="E40" s="357"/>
      <c r="F40" s="357"/>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7"/>
      <c r="F49" s="357"/>
    </row>
    <row r="50" spans="2:6">
      <c r="B50" s="119" t="s">
        <v>135</v>
      </c>
      <c r="C50" s="165">
        <v>-0.08</v>
      </c>
      <c r="D50" s="165"/>
      <c r="E50" s="357"/>
      <c r="F50" s="357"/>
    </row>
    <row r="51" spans="2:6">
      <c r="B51" s="100" t="s">
        <v>114</v>
      </c>
      <c r="C51" s="161">
        <f>DCF!E78</f>
        <v>15.621773465843134</v>
      </c>
      <c r="D51" t="str">
        <f>Market_currency</f>
        <v>HKD</v>
      </c>
      <c r="E51" s="357"/>
      <c r="F51" s="357"/>
    </row>
    <row r="52" spans="2:6">
      <c r="B52" s="100" t="s">
        <v>148</v>
      </c>
      <c r="C52" s="166">
        <v>0.02</v>
      </c>
      <c r="D52" s="166"/>
      <c r="E52" s="357"/>
      <c r="F52" s="357"/>
    </row>
    <row r="54" spans="2:6" ht="13.15">
      <c r="B54" s="160" t="s">
        <v>319</v>
      </c>
      <c r="E54" s="160" t="s">
        <v>150</v>
      </c>
      <c r="F54" s="160"/>
    </row>
    <row r="55" spans="2:6">
      <c r="B55" s="153" t="s">
        <v>134</v>
      </c>
      <c r="C55" s="167">
        <f>C46</f>
        <v>10</v>
      </c>
      <c r="D55" s="164"/>
      <c r="E55" s="357"/>
      <c r="F55" s="357"/>
    </row>
    <row r="56" spans="2:6">
      <c r="B56" s="119" t="s">
        <v>135</v>
      </c>
      <c r="C56" s="165">
        <v>0.06</v>
      </c>
      <c r="D56" s="165"/>
      <c r="E56" s="357"/>
      <c r="F56" s="357"/>
    </row>
    <row r="57" spans="2:6">
      <c r="B57" s="100" t="s">
        <v>114</v>
      </c>
      <c r="C57" s="161">
        <f>DCF!E74</f>
        <v>24.69982753191616</v>
      </c>
      <c r="D57" t="str">
        <f>Market_currency</f>
        <v>HKD</v>
      </c>
      <c r="E57" s="357"/>
      <c r="F57" s="357"/>
    </row>
    <row r="58" spans="2:6">
      <c r="B58" s="100" t="s">
        <v>148</v>
      </c>
      <c r="C58" s="166">
        <v>0.02</v>
      </c>
      <c r="D58" s="166"/>
      <c r="E58" s="357"/>
      <c r="F58" s="357"/>
    </row>
    <row r="60" spans="2:6" ht="13.15">
      <c r="B60" s="100" t="s">
        <v>121</v>
      </c>
      <c r="C60" s="155">
        <f>C51*C52+C57*C58+C42*(1-C52-C58)</f>
        <v>20.508980461992877</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1.24036923941947E-2</v>
      </c>
      <c r="D65" s="152"/>
      <c r="E65" s="278" t="s">
        <v>315</v>
      </c>
    </row>
    <row r="66" spans="2:6">
      <c r="B66" s="100" t="s">
        <v>103</v>
      </c>
      <c r="C66" s="161">
        <f>DCF!C18</f>
        <v>20.510149835892964</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-7.4088860346483723E-2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1.36</v>
      </c>
      <c r="D77" t="str">
        <f>Market_currency</f>
        <v>HKD</v>
      </c>
    </row>
    <row r="79" spans="2:6" ht="13.15">
      <c r="B79" s="109" t="s">
        <v>304</v>
      </c>
    </row>
    <row r="80" spans="2:6">
      <c r="B80" s="149" t="s">
        <v>302</v>
      </c>
      <c r="C80" s="168">
        <f>Thesis!F29</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4">
        <f>(1-C83/C60)</f>
        <v>0.53020330744238908</v>
      </c>
    </row>
    <row r="84" spans="2:8">
      <c r="E84" s="121"/>
    </row>
    <row r="85" spans="2:8" ht="13.15">
      <c r="B85" s="109" t="s">
        <v>305</v>
      </c>
    </row>
    <row r="86" spans="2:8">
      <c r="B86" s="149" t="s">
        <v>303</v>
      </c>
      <c r="C86" s="264">
        <f>Market_Price</f>
        <v>17.420000000000002</v>
      </c>
      <c r="D86" t="str">
        <f>Market_currency</f>
        <v>HKD</v>
      </c>
    </row>
    <row r="87" spans="2:8" ht="13.15">
      <c r="B87" s="100" t="s">
        <v>301</v>
      </c>
      <c r="C87" s="263">
        <f ca="1">IRR(OFFSET($I$3, 0, 0, $C$76 + 1, 1))</f>
        <v>0.13011393728241316</v>
      </c>
    </row>
    <row r="88" spans="2:8">
      <c r="B88" s="100"/>
    </row>
    <row r="89" spans="2:8" ht="13.15">
      <c r="B89" s="109" t="s">
        <v>416</v>
      </c>
    </row>
    <row r="90" spans="2:8">
      <c r="B90" s="149" t="s">
        <v>417</v>
      </c>
      <c r="C90" s="168">
        <f>Thesis!F30</f>
        <v>0.21740000000000001</v>
      </c>
    </row>
    <row r="91" spans="2:8">
      <c r="B91" s="100" t="s">
        <v>122</v>
      </c>
      <c r="C91" s="117">
        <f>PV(C90, C76, -C77, 0)</f>
        <v>2.7885451204563143</v>
      </c>
      <c r="D91" s="117"/>
      <c r="E91" s="100"/>
      <c r="F91" s="100"/>
    </row>
    <row r="92" spans="2:8">
      <c r="B92" s="100" t="s">
        <v>123</v>
      </c>
      <c r="C92" s="117">
        <f>C60/(1+C90)^C76</f>
        <v>11.366956005228198</v>
      </c>
      <c r="D92" s="117"/>
    </row>
    <row r="93" spans="2:8" ht="13.15">
      <c r="B93" s="111" t="s">
        <v>102</v>
      </c>
      <c r="C93" s="112">
        <f>C91+C92</f>
        <v>14.155501125684513</v>
      </c>
      <c r="D93" t="str">
        <f>Market_currency</f>
        <v>HKD</v>
      </c>
      <c r="E93" s="147" t="s">
        <v>127</v>
      </c>
      <c r="F93" s="324">
        <f>(1-C93/C60)</f>
        <v>0.30979011112144728</v>
      </c>
    </row>
    <row r="95" spans="2:8" ht="13.15">
      <c r="B95" s="109" t="s">
        <v>400</v>
      </c>
      <c r="G95" s="2"/>
      <c r="H95" s="311"/>
    </row>
    <row r="96" spans="2:8">
      <c r="B96" s="149" t="s">
        <v>406</v>
      </c>
      <c r="C96" s="135">
        <f>Thesis!F31</f>
        <v>0.08</v>
      </c>
      <c r="G96" s="2"/>
      <c r="H96" s="311"/>
    </row>
    <row r="97" spans="2:8">
      <c r="B97" s="100" t="s">
        <v>122</v>
      </c>
      <c r="C97" s="117">
        <f>PV(C96, C76, -C77, 0)</f>
        <v>3.5048519026571174</v>
      </c>
      <c r="D97" s="117"/>
      <c r="G97" s="2"/>
      <c r="H97" s="311"/>
    </row>
    <row r="98" spans="2:8">
      <c r="B98" s="100" t="s">
        <v>123</v>
      </c>
      <c r="C98" s="117">
        <f>C60/(1+C96)^C76</f>
        <v>16.280689921182677</v>
      </c>
      <c r="D98" s="117"/>
      <c r="G98" s="2"/>
      <c r="H98" s="311"/>
    </row>
    <row r="99" spans="2:8" ht="13.15">
      <c r="B99" s="111" t="s">
        <v>401</v>
      </c>
      <c r="C99" s="112">
        <f>C97+C98</f>
        <v>19.785541823839793</v>
      </c>
      <c r="D99" t="s">
        <v>399</v>
      </c>
      <c r="E99" s="147" t="s">
        <v>127</v>
      </c>
      <c r="F99" s="324">
        <f>(1-C99/C60)</f>
        <v>3.5274237034539913E-2</v>
      </c>
    </row>
    <row r="100" spans="2:8">
      <c r="B100" s="100"/>
    </row>
    <row r="101" spans="2:8" ht="13.15">
      <c r="B101" s="109" t="s">
        <v>425</v>
      </c>
    </row>
    <row r="102" spans="2:8">
      <c r="B102" s="149" t="s">
        <v>424</v>
      </c>
      <c r="C102" s="135">
        <f>Thesis!F32</f>
        <v>0.1174</v>
      </c>
    </row>
    <row r="103" spans="2:8">
      <c r="B103" s="100" t="s">
        <v>122</v>
      </c>
      <c r="C103" s="117">
        <f>PV(C102, C76, -C77, 0)</f>
        <v>3.2811402512765628</v>
      </c>
      <c r="D103" s="117"/>
    </row>
    <row r="104" spans="2:8">
      <c r="B104" s="100" t="s">
        <v>123</v>
      </c>
      <c r="C104" s="117">
        <f>C60/(1+C102)^C76</f>
        <v>14.700024896270923</v>
      </c>
      <c r="D104" s="117"/>
    </row>
    <row r="105" spans="2:8" ht="13.15">
      <c r="B105" s="111" t="s">
        <v>401</v>
      </c>
      <c r="C105" s="112">
        <f>C103+C104</f>
        <v>17.981165147547486</v>
      </c>
      <c r="D105" t="s">
        <v>399</v>
      </c>
      <c r="E105" s="147" t="s">
        <v>127</v>
      </c>
      <c r="F105" s="324">
        <f>(1-C105/C66)</f>
        <v>0.12330405719024684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