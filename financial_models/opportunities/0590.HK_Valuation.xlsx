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DF48691-9D84-4554-AEE2-E0C1A3DB449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<sst xmlns="http://schemas.openxmlformats.org/spreadsheetml/2006/main" count="686" uniqueCount="465">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</sst>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20.95</v>
      </c>
      <c r="D12" s="50"/>
      <c r="E12" s="48"/>
    </row>
    <row r="13" spans="1:10">
      <c r="B13" s="1" t="s">
        <v>412</v>
      </c>
      <c r="C13" s="48" t="s">
        <v>393</v>
      </c>
      <c r="D13" s="48"/>
      <c r="E13" s="5"/>
    </row>
    <row r="14" spans="1:10">
      <c r="B14" s="4" t="s">
        <v>416</v>
      </c>
      <c r="C14" s="35">
        <f>Thesis!C12*Common_Shares/1000000</f>
        <v>12299.9094575</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7.9897046619476608E-2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1398534.6033278927</v>
      </c>
      <c r="D41" s="1" t="str">
        <f>Reporting_currency</f>
        <v>HKD</v>
      </c>
    </row>
    <row r="42" spans="1:6">
      <c r="B42" s="47"/>
      <c r="C42" s="76"/>
    </row>
    <row r="43" spans="1:6" ht="24.6" customHeight="1">
      <c r="B43" s="359" t="s">
        <v>232</v>
      </c>
      <c r="C43" s="359"/>
      <c r="D43" s="359"/>
      <c r="E43" s="359"/>
      <c r="F43" s="359"/>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-338171.38555405382</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8.2481432905471566E-2</v>
      </c>
      <c r="F69" s="314"/>
    </row>
    <row r="70" spans="1:6">
      <c r="B70" s="227" t="s">
        <v>454</v>
      </c>
      <c r="C70" s="92">
        <f>Normalized_FCF!C94</f>
        <v>6.4916467780429601E-2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58" t="s">
        <v>363</v>
      </c>
      <c r="C116" s="358"/>
      <c r="D116" s="358"/>
      <c r="E116" s="358"/>
      <c r="F116" s="358"/>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6.4916467780429601E-2</v>
      </c>
      <c r="E94" s="268"/>
      <c r="G94" s="23">
        <f t="shared" ref="G94:Q94" si="39">IF(G$4="","",(G90*(1-dividend_tax_rate))/Market_Price)</f>
        <v>6.4916467780429601E-2</v>
      </c>
      <c r="H94" s="23">
        <f t="shared" si="39"/>
        <v>5.2505966587112179E-2</v>
      </c>
      <c r="I94" s="23">
        <f t="shared" si="39"/>
        <v>5.2505966587112179E-2</v>
      </c>
      <c r="J94" s="23">
        <f t="shared" si="39"/>
        <v>4.77326968973747E-2</v>
      </c>
      <c r="K94" s="23">
        <f t="shared" si="39"/>
        <v>4.77326968973747E-2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8.2481432905471566E-2</v>
      </c>
      <c r="D126" s="27"/>
      <c r="E126" s="265"/>
      <c r="F126" s="27"/>
      <c r="G126" s="77">
        <f t="shared" ref="G126" si="50">IF(G$4="","",G125/Market_Price)</f>
        <v>0.10499540206784669</v>
      </c>
      <c r="H126" s="77">
        <f t="shared" ref="H126" si="51">IF(H$4="","",H125/Market_Price)</f>
        <v>0.10915046086533108</v>
      </c>
      <c r="I126" s="77">
        <f t="shared" ref="I126" si="52">IF(I$4="","",I125/Market_Price)</f>
        <v>9.1541222422807184E-2</v>
      </c>
      <c r="J126" s="77">
        <f t="shared" ref="J126" si="53">IF(J$4="","",J125/Market_Price)</f>
        <v>8.8042238205355824E-2</v>
      </c>
      <c r="K126" s="77">
        <f t="shared" ref="K126" si="54">IF(K$4="","",K125/Market_Price)</f>
        <v>7.6302096003446951E-2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0.14368439101983527</v>
      </c>
      <c r="H127" s="23">
        <f>IF(H$4="","",(Data!D47*$C$3)/(Market_Price*Common_Shares))</f>
        <v>0.1044525575118446</v>
      </c>
      <c r="I127" s="23">
        <f>IF(I$4="","",(Data!E47*$C$3)/(Market_Price*Common_Shares))</f>
        <v>0.11320115849722709</v>
      </c>
      <c r="J127" s="23">
        <f>IF(J$4="","",(Data!F47*$C$3)/(Market_Price*Common_Shares))</f>
        <v>8.2710771450408463E-2</v>
      </c>
      <c r="K127" s="23">
        <f>IF(K$4="","",(Data!G47*$C$3)/(Market_Price*Common_Shares))</f>
        <v>7.0432632288342192E-2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-20.95</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20.95</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20.95</v>
      </c>
      <c r="D86" t="str">
        <f>Market_currency</f>
        <v>HKD</v>
      </c>
    </row>
    <row r="87" spans="2:8" ht="13.15">
      <c r="B87" s="100" t="s">
        <v>297</v>
      </c>
      <c r="C87" s="237">
        <f ca="1">IRR(OFFSET($I$3, 0, 0, $C$76 + 1, 1))</f>
        <v>7.9897046619476608E-2</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