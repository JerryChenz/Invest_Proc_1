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748E987-1DD8-43E0-B9BC-AFB0BFEB6B8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48" i="2"/>
  <c r="N91" i="2"/>
  <c r="N92" i="2"/>
  <c r="I91" i="2"/>
  <c r="D70" i="4"/>
  <c r="F69" i="4"/>
  <c r="Q126" i="2"/>
  <c r="Q92" i="2"/>
  <c r="Q48" i="2"/>
  <c r="Q91" i="2"/>
  <c r="D69" i="4"/>
  <c r="O126" i="2"/>
  <c r="O48" i="2"/>
  <c r="O91" i="2"/>
  <c r="O92" i="2"/>
  <c r="J91" i="2"/>
  <c r="K126" i="2"/>
  <c r="K91" i="2"/>
  <c r="P126" i="2"/>
  <c r="P92" i="2"/>
  <c r="P48" i="2"/>
  <c r="P91" i="2"/>
  <c r="L126" i="2"/>
  <c r="L48" i="2"/>
  <c r="L92" i="2"/>
  <c r="L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H48" i="2"/>
  <c r="H50" i="2" s="1"/>
  <c r="H12" i="2" s="1"/>
  <c r="H80" i="2" s="1"/>
  <c r="J48" i="2"/>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<sst xmlns="http://schemas.openxmlformats.org/spreadsheetml/2006/main" count="612" uniqueCount="430">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</sst>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422</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423</v>
      </c>
      <c r="D5" s="49" t="s">
        <v>424</v>
      </c>
    </row>
    <row r="6" spans="1:10">
      <c r="B6" s="4" t="s">
        <v>95</v>
      </c>
      <c r="C6" s="50">
        <v>16.440000000000001</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9652.053054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425</v>
      </c>
      <c r="E18" s="5"/>
    </row>
    <row r="19" spans="1:6">
      <c r="B19" s="2" t="s">
        <v>277</v>
      </c>
      <c r="C19" s="249">
        <v>0.25</v>
      </c>
      <c r="D19" s="1" t="s">
        <v>419</v>
      </c>
      <c r="E19" s="339">
        <v>0.2</v>
      </c>
    </row>
    <row r="20" spans="1:6">
      <c r="B20" s="2" t="str">
        <f>"Target Buy Price ("&amp;Market_currency&amp;"):"</f>
        <v>Target Buy Price (HKD):</v>
      </c>
      <c r="C20" s="252">
        <f>C133</f>
        <v>13.155317996540354</v>
      </c>
      <c r="D20" s="1" t="s">
        <v>315</v>
      </c>
      <c r="E20" s="330">
        <v>3</v>
      </c>
    </row>
    <row r="21" spans="1:6">
      <c r="B21" s="1" t="s">
        <v>407</v>
      </c>
      <c r="C21" s="280">
        <f ca="1">Scenarios!C87</f>
        <v>0.15374754303551685</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1398534.6033278927</v>
      </c>
      <c r="D30" s="1" t="str">
        <f>Reporting_currency</f>
        <v>HKD</v>
      </c>
    </row>
    <row r="31" spans="1:6">
      <c r="B31" s="47"/>
      <c r="C31" s="76"/>
    </row>
    <row r="32" spans="1:6" ht="24.4" customHeight="1">
      <c r="B32" s="341" t="s">
        <v>234</v>
      </c>
      <c r="C32" s="341"/>
      <c r="D32" s="341"/>
      <c r="E32" s="341"/>
      <c r="F32" s="341"/>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1" t="s">
        <v>242</v>
      </c>
      <c r="C47" s="341"/>
      <c r="D47" s="341"/>
      <c r="E47" s="341"/>
      <c r="F47" s="341"/>
    </row>
    <row r="48" spans="2:6">
      <c r="B48" s="47" t="s">
        <v>240</v>
      </c>
      <c r="C48" s="188">
        <f>Normalized_FCF!C14</f>
        <v>-338171.38555405382</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0.10510863864778767</v>
      </c>
    </row>
    <row r="59" spans="1:6">
      <c r="B59" s="254" t="s">
        <v>316</v>
      </c>
      <c r="C59" s="92">
        <f>Normalized_FCF!C93</f>
        <v>8.2725060827250604E-2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426</v>
      </c>
    </row>
    <row r="69" spans="1:6">
      <c r="B69" s="1" t="s">
        <v>289</v>
      </c>
      <c r="C69" s="263">
        <f>IF(D69="Y",1%,0)</f>
        <v>0</v>
      </c>
      <c r="D69" s="286" t="s">
        <v>426</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413</v>
      </c>
      <c r="C88" s="337">
        <f>BS!G30/BS!G27</f>
        <v>0.31018327415220487</v>
      </c>
    </row>
    <row r="89" spans="2:6">
      <c r="B89" s="336" t="s">
        <v>414</v>
      </c>
      <c r="C89" s="337">
        <f>BS!G31/BS!G27</f>
        <v>0.15818859882129041</v>
      </c>
    </row>
    <row r="90" spans="2:6">
      <c r="B90" s="336" t="s">
        <v>416</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0" t="s">
        <v>374</v>
      </c>
      <c r="C101" s="340"/>
      <c r="D101" s="340"/>
      <c r="E101" s="340"/>
      <c r="F101" s="340"/>
    </row>
    <row r="103" spans="1:6">
      <c r="B103" s="47" t="s">
        <v>283</v>
      </c>
      <c r="C103" s="248">
        <f>Valuation_Model!C12</f>
        <v>20.080338252823015</v>
      </c>
      <c r="D103" s="1" t="str">
        <f>Market_currency</f>
        <v>HKD</v>
      </c>
    </row>
    <row r="104" spans="1:6">
      <c r="B104" s="336" t="s">
        <v>415</v>
      </c>
      <c r="C104" s="248">
        <f>BS!D47</f>
        <v>5.8696003638854428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1.36</v>
      </c>
      <c r="D128" s="236" t="str">
        <f>Market_currency</f>
        <v>HKD</v>
      </c>
    </row>
    <row r="130" spans="1:6">
      <c r="B130" s="234" t="s">
        <v>408</v>
      </c>
      <c r="C130" s="337">
        <f>C19</f>
        <v>0.25</v>
      </c>
      <c r="D130" s="1" t="s">
        <v>418</v>
      </c>
    </row>
    <row r="131" spans="1:6">
      <c r="B131" s="236" t="str">
        <f>"PV("&amp;C126&amp;" yrs of Dividends)"</f>
        <v>PV(3 yrs of Dividends)</v>
      </c>
      <c r="C131" s="240">
        <f>Scenarios!C81</f>
        <v>2.6547200000000002</v>
      </c>
    </row>
    <row r="132" spans="1:6">
      <c r="B132" s="236" t="str">
        <f>"+ PV(Equity Value realized at year "&amp;C126&amp;")"</f>
        <v>+ PV(Equity Value realized at year 3)</v>
      </c>
      <c r="C132" s="240">
        <f>Scenarios!C82</f>
        <v>10.500597996540353</v>
      </c>
    </row>
    <row r="133" spans="1:6">
      <c r="B133" s="80" t="s">
        <v>261</v>
      </c>
      <c r="C133" s="239">
        <f>Scenarios!C83</f>
        <v>13.155317996540354</v>
      </c>
      <c r="D133" s="47" t="str">
        <f>Reporting_currency</f>
        <v>HKD</v>
      </c>
    </row>
    <row r="134" spans="1:6">
      <c r="B134" s="238" t="s">
        <v>263</v>
      </c>
      <c r="C134" s="92">
        <f>Scenarios!F83</f>
        <v>0.35855816816834396</v>
      </c>
    </row>
    <row r="136" spans="1:6">
      <c r="B136" s="234" t="s">
        <v>409</v>
      </c>
      <c r="C136" s="92">
        <f>Scenarios!C96</f>
        <v>0.08</v>
      </c>
      <c r="D136" s="1" t="s">
        <v>417</v>
      </c>
    </row>
    <row r="137" spans="1:6">
      <c r="B137" s="236" t="str">
        <f>"PV("&amp;C126&amp;" yrs of Dividends)"</f>
        <v>PV(3 yrs of Dividends)</v>
      </c>
      <c r="C137" s="240">
        <f>Scenarios!C97</f>
        <v>3.5048519026571174</v>
      </c>
    </row>
    <row r="138" spans="1:6">
      <c r="B138" s="236" t="str">
        <f>"+ PV(Equity Value realized at year "&amp;C126&amp;")"</f>
        <v>+ PV(Equity Value realized at year 3)</v>
      </c>
      <c r="C138" s="240">
        <f>Scenarios!C98</f>
        <v>16.280689921182677</v>
      </c>
    </row>
    <row r="139" spans="1:6">
      <c r="B139" s="80" t="s">
        <v>410</v>
      </c>
      <c r="C139" s="239">
        <f>Scenarios!C99</f>
        <v>19.785541823839793</v>
      </c>
      <c r="D139" s="101" t="str">
        <f>Reporting_currency</f>
        <v>HKD</v>
      </c>
    </row>
    <row r="140" spans="1:6">
      <c r="B140" s="238" t="s">
        <v>263</v>
      </c>
      <c r="C140" s="92">
        <f>Scenarios!F99</f>
        <v>3.5274237034539913E-2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427</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429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-16.440000000000001</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16.440000000000001</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0.25</v>
      </c>
    </row>
    <row r="81" spans="2:8">
      <c r="B81" s="100" t="s">
        <v>122</v>
      </c>
      <c r="C81" s="117">
        <f>PV(C80, C76, -C77, 0)</f>
        <v>2.6547200000000002</v>
      </c>
      <c r="D81" s="117"/>
      <c r="E81" s="100"/>
      <c r="F81" s="100"/>
    </row>
    <row r="82" spans="2:8">
      <c r="B82" s="100" t="s">
        <v>123</v>
      </c>
      <c r="C82" s="117">
        <f>C60/(1+C80)^C76</f>
        <v>10.500597996540353</v>
      </c>
      <c r="D82" s="117"/>
    </row>
    <row r="83" spans="2:8" ht="13.15">
      <c r="B83" s="111" t="s">
        <v>102</v>
      </c>
      <c r="C83" s="112">
        <f>C81+C82</f>
        <v>13.155317996540354</v>
      </c>
      <c r="D83" t="str">
        <f>Market_currency</f>
        <v>HKD</v>
      </c>
      <c r="E83" s="147" t="s">
        <v>127</v>
      </c>
      <c r="F83" s="329">
        <f>(1-C83/C60)</f>
        <v>0.35855816816834396</v>
      </c>
    </row>
    <row r="84" spans="2:8">
      <c r="E84" s="121"/>
    </row>
    <row r="85" spans="2:8" ht="13.15">
      <c r="B85" s="109" t="s">
        <v>309</v>
      </c>
    </row>
    <row r="86" spans="2:8">
      <c r="B86" s="149" t="s">
        <v>307</v>
      </c>
      <c r="C86" s="266">
        <f>Market_Price</f>
        <v>16.440000000000001</v>
      </c>
      <c r="D86" t="str">
        <f>Market_currency</f>
        <v>HKD</v>
      </c>
    </row>
    <row r="87" spans="2:8" ht="13.15">
      <c r="B87" s="100" t="s">
        <v>305</v>
      </c>
      <c r="C87" s="265">
        <f ca="1">IRR(OFFSET($I$3, 0, 0, $C$76 + 1, 1))</f>
        <v>0.15374754303551685</v>
      </c>
    </row>
    <row r="88" spans="2:8">
      <c r="B88" s="100"/>
    </row>
    <row r="89" spans="2:8" ht="13.15">
      <c r="B89" s="109" t="s">
        <v>420</v>
      </c>
    </row>
    <row r="90" spans="2:8">
      <c r="B90" s="149" t="s">
        <v>421</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412</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