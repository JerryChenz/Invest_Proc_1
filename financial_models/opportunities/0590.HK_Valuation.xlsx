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7AFF90-2DAA-4655-8699-06EF9395BA9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<sst xmlns="http://schemas.openxmlformats.org/spreadsheetml/2006/main" count="685" uniqueCount="465">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</sst>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18.38</v>
      </c>
      <c r="D12" s="50"/>
      <c r="E12" s="48"/>
    </row>
    <row r="13" spans="1:10">
      <c r="B13" s="1" t="s">
        <v>415</v>
      </c>
      <c r="C13" s="48" t="s">
        <v>396</v>
      </c>
      <c r="D13" s="48"/>
      <c r="E13" s="5"/>
    </row>
    <row r="14" spans="1:10">
      <c r="B14" s="4" t="s">
        <v>419</v>
      </c>
      <c r="C14" s="35">
        <f>Thesis!C12*Common_Shares/1000000</f>
        <v>10791.042283000001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0.13123687007508478</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1398534.6033278927</v>
      </c>
      <c r="D41" s="1" t="str">
        <f>Reporting_currency</f>
        <v>HKD</v>
      </c>
    </row>
    <row r="42" spans="1:6">
      <c r="B42" s="47"/>
      <c r="C42" s="76"/>
    </row>
    <row r="43" spans="1:6" ht="24.5" customHeight="1">
      <c r="B43" s="357" t="s">
        <v>233</v>
      </c>
      <c r="C43" s="357"/>
      <c r="D43" s="357"/>
      <c r="E43" s="357"/>
      <c r="F43" s="357"/>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-338171.38555405382</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9.4014473306291049E-2</v>
      </c>
      <c r="F69" s="314"/>
    </row>
    <row r="70" spans="1:6">
      <c r="B70" s="227" t="s">
        <v>308</v>
      </c>
      <c r="C70" s="92">
        <f>Normalized_FCF!C93</f>
        <v>7.3993471164309044E-2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6" t="s">
        <v>366</v>
      </c>
      <c r="C116" s="356"/>
      <c r="D116" s="356"/>
      <c r="E116" s="356"/>
      <c r="F116" s="356"/>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7.3993471164309044E-2</v>
      </c>
      <c r="E93" s="268"/>
      <c r="G93" s="23">
        <f t="shared" ref="G93:Q93" si="39">IF(G$4="","",G90/Market_Price)</f>
        <v>7.3993471164309044E-2</v>
      </c>
      <c r="H93" s="23">
        <f t="shared" si="39"/>
        <v>5.9847660500544075E-2</v>
      </c>
      <c r="I93" s="23">
        <f t="shared" si="39"/>
        <v>5.9847660500544075E-2</v>
      </c>
      <c r="J93" s="23">
        <f t="shared" si="39"/>
        <v>5.4406964091403699E-2</v>
      </c>
      <c r="K93" s="23">
        <f t="shared" si="39"/>
        <v>5.4406964091403699E-2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9.4014473306291049E-2</v>
      </c>
      <c r="D125" s="27"/>
      <c r="E125" s="265"/>
      <c r="F125" s="27"/>
      <c r="G125" s="77">
        <f t="shared" ref="G125" si="50">IF(G$4="","",G124/Market_Price)</f>
        <v>0.11967647841792101</v>
      </c>
      <c r="H125" s="77">
        <f t="shared" ref="H125" si="51">IF(H$4="","",H124/Market_Price)</f>
        <v>0.12441252204182188</v>
      </c>
      <c r="I125" s="77">
        <f t="shared" ref="I125" si="52">IF(I$4="","",I124/Market_Price)</f>
        <v>0.10434105602599622</v>
      </c>
      <c r="J125" s="77">
        <f t="shared" ref="J125" si="53">IF(J$4="","",J124/Market_Price)</f>
        <v>0.10035282319924943</v>
      </c>
      <c r="K125" s="77">
        <f t="shared" ref="K125" si="54">IF(K$4="","",K124/Market_Price)</f>
        <v>8.6971105074657981E-2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0.16377518998180354</v>
      </c>
      <c r="H126" s="23">
        <f>IF(H$4="","",(Data!D47*$C$3)/(Market_Price*Common_Shares))</f>
        <v>0.11905773013455627</v>
      </c>
      <c r="I126" s="23">
        <f>IF(I$4="","",(Data!E47*$C$3)/(Market_Price*Common_Shares))</f>
        <v>0.1290296121064694</v>
      </c>
      <c r="J126" s="23">
        <f>IF(J$4="","",(Data!F47*$C$3)/(Market_Price*Common_Shares))</f>
        <v>9.4275879319154363E-2</v>
      </c>
      <c r="K126" s="23">
        <f>IF(K$4="","",(Data!G47*$C$3)/(Market_Price*Common_Shares))</f>
        <v>8.0280938326483614E-2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-18.38</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18.38</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18.38</v>
      </c>
      <c r="D86" t="str">
        <f>Market_currency</f>
        <v>HKD</v>
      </c>
    </row>
    <row r="87" spans="2:8" ht="13.15">
      <c r="B87" s="100" t="s">
        <v>298</v>
      </c>
      <c r="C87" s="237">
        <f ca="1">IRR(OFFSET($I$3, 0, 0, $C$76 + 1, 1))</f>
        <v>0.13123687007508478</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