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B8F349B-5A59-4E11-90DF-21D93D81098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0" i="4"/>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<sst xmlns="http://schemas.openxmlformats.org/spreadsheetml/2006/main" count="627" uniqueCount="440">
  <si>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</si>
  <si>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</si>
  <si>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</si>
  <si>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</si>
  <si>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</si>
  <si>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</si>
  <si>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</si>
  <si>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</si>
  <si>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</si>
  <si>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</si>
  <si>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</si>
  <si>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</si>
  <si>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</si>
  <si>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</si>
  <si>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</si>
  <si>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</si>
  <si>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</si>
  <si>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</si>
  <si>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</si>
  <si>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</si>
  <si>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</si>
  <si>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</si>
  <si>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</si>
  <si>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</si>
  <si>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</si>
  <si>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</si>
  <si>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</si>
  <si>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</si>
  <si>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</si>
  <si>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</si>
  <si>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</si>
  <si>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</si>
  <si>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</si>
  <si>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</si>
  <si>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</si>
  <si>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</si>
  <si>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</si>
  <si>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</si>
  <si>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</si>
  <si>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</si>
  <si>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</si>
  <si>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</si>
  <si>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</si>
  <si>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</si>
  <si>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</si>
  <si>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</si>
  <si>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</si>
  <si>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</si>
  <si>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</si>
  <si>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</si>
  <si>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</si>
  <si>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</si>
  <si>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</si>
  <si>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</si>
  <si>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</si>
  <si>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</si>
  <si>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</si>
  <si>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</si>
  <si>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</si>
  <si>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</si>
  <si>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</si>
  <si>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</si>
  <si>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</si>
  <si>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</si>
  <si>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</si>
  <si>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</si>
  <si>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</si>
  <si>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</si>
  <si>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</si>
  <si>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</si>
  <si>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</si>
  <si>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</si>
  <si>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</si>
  <si>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</si>
  <si>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</si>
  <si>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</si>
  <si>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</si>
  <si>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</si>
  <si>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</si>
  <si>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</si>
  <si>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</si>
  <si>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</si>
  <si>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</si>
  <si>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</si>
  <si>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</si>
  <si>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</si>
  <si>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</si>
  <si>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</si>
  <si>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</si>
  <si>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</si>
  <si>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</si>
  <si>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</si>
  <si>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</si>
  <si>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</si>
  <si>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</si>
  <si>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</si>
  <si>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</si>
  <si>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</si>
  <si>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</si>
  <si>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</si>
  <si>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</si>
  <si>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</si>
  <si>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</si>
  <si>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</si>
  <si>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</si>
  <si>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</si>
  <si>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</si>
  <si>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</si>
  <si>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</si>
  <si>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</si>
  <si>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</si>
  <si>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</si>
  <si>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</si>
  <si>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</si>
  <si>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</si>
  <si>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</si>
  <si>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</si>
  <si>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</si>
  <si>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</si>
  <si>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</si>
  <si>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</si>
  <si>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</si>
  <si>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</si>
  <si>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</si>
  <si>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</si>
  <si>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</si>
  <si>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</si>
  <si>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</si>
  <si>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</si>
  <si>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</si>
  <si>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</si>
  <si>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</si>
  <si>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</si>
  <si>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</si>
  <si>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</si>
  <si>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</si>
  <si>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</si>
  <si>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</si>
  <si>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</si>
  <si>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</si>
  <si>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</si>
  <si>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</si>
  <si>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</si>
  <si>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</si>
  <si>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</si>
  <si>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</si>
  <si>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</si>
  <si>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</si>
  <si>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</si>
  <si>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</si>
  <si>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</si>
  <si>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</si>
  <si>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</si>
  <si>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</si>
  <si>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</si>
  <si>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</si>
  <si>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</si>
  <si>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</si>
  <si>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</si>
  <si>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</si>
  <si>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</si>
  <si>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</si>
  <si>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</si>
  <si>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</si>
  <si>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</si>
  <si>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</si>
  <si>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</si>
  <si>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</si>
  <si>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</si>
  <si>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</si>
  <si>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</si>
  <si>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</si>
  <si>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</si>
  <si>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</si>
  <si>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</si>
  <si>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</si>
  <si>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</si>
  <si>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</si>
  <si>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</si>
  <si>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</si>
  <si>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</si>
  <si>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</si>
  <si>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</si>
  <si>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</si>
  <si>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</si>
  <si>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</si>
  <si>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</si>
  <si>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</si>
  <si>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</si>
  <si>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</si>
  <si>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</si>
  <si>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</si>
  <si>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</si>
  <si>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</si>
  <si>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</si>
  <si>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</si>
  <si>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</si>
  <si>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</si>
  <si>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</si>
  <si>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</si>
  <si>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</si>
  <si>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</si>
  <si>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</si>
  <si>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</si>
  <si>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</si>
  <si>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</si>
  <si>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</si>
  <si>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</si>
  <si>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</si>
  <si>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</si>
  <si>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</si>
  <si>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</si>
  <si>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</si>
  <si>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</si>
  <si>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</si>
  <si>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</si>
  <si>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</si>
  <si>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</si>
  <si>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</si>
  <si>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</si>
  <si>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</si>
  <si>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</si>
  <si>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</si>
  <si>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</si>
  <si>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</si>
  <si>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</si>
  <si>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</si>
  <si>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</si>
  <si>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</si>
  <si>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</si>
  <si>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</si>
  <si>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</si>
  <si>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</si>
  <si>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</si>
  <si>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</si>
  <si>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</si>
  <si>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</si>
  <si>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</si>
  <si>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</si>
  <si>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</si>
  <si>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</si>
  <si>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</si>
  <si>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</si>
  <si>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</si>
  <si>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</si>
  <si>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</si>
  <si>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</si>
  <si>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</si>
  <si>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</si>
  <si>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</si>
  <si>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</si>
  <si>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</si>
  <si>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</si>
  <si>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</si>
  <si>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</si>
  <si>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</si>
  <si>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</si>
  <si>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</si>
  <si>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</si>
  <si>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</si>
  <si>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</si>
  <si>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</si>
  <si>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</si>
  <si>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</si>
  <si>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</si>
  <si>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</si>
  <si>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</si>
  <si>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</si>
  <si>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</si>
  <si>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</si>
  <si>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</si>
  <si>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</si>
  <si>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</si>
  <si>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</si>
  <si>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</si>
  <si>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</si>
  <si>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</si>
  <si>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</si>
  <si>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</si>
  <si>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</si>
  <si>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</si>
  <si>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</si>
  <si>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</si>
  <si>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</si>
  <si>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</si>
  <si>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</si>
  <si>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</si>
  <si>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</si>
  <si>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</si>
  <si>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</si>
  <si>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</si>
  <si>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</si>
  <si>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</si>
  <si>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</si>
  <si>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</si>
  <si>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</si>
  <si>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</si>
  <si>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</si>
  <si>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</si>
  <si>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</si>
  <si>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</si>
  <si>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</si>
  <si>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</si>
  <si>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</si>
  <si>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</si>
  <si>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</si>
  <si>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</si>
  <si>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</si>
  <si>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</si>
  <si>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</si>
  <si>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</si>
  <si>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</si>
  <si>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</si>
  <si>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</si>
  <si>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</si>
  <si>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</si>
  <si>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</si>
  <si>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</si>
  <si>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</si>
  <si>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</si>
  <si>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</si>
  <si>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</si>
  <si>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</si>
  <si>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</si>
  <si>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</si>
  <si>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</si>
  <si>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</si>
  <si>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</si>
  <si>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</si>
  <si>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</si>
  <si>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</si>
  <si>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</si>
  <si>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</si>
  <si>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</si>
  <si>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</si>
  <si>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</si>
  <si>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</si>
  <si>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</si>
  <si>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</si>
  <si>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</si>
  <si>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</si>
  <si>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</si>
  <si>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</si>
  <si>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</si>
  <si>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</si>
  <si>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</si>
  <si>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</si>
  <si>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</si>
  <si>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</si>
  <si>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</si>
  <si>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</si>
  <si>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</si>
  <si>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</si>
  <si>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</si>
  <si>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</si>
  <si>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</si>
  <si>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</si>
  <si>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</si>
  <si>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</si>
  <si>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</si>
  <si>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</si>
  <si>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</si>
  <si>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</si>
  <si>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</si>
  <si>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</si>
  <si>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</si>
  <si>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</si>
  <si>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</si>
  <si>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</si>
  <si>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</si>
  <si>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</si>
  <si>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</si>
  <si>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</si>
  <si>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</si>
  <si>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</si>
  <si>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</si>
  <si>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</si>
  <si>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</si>
  <si>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</si>
  <si>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</si>
  <si>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</si>
  <si>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</si>
  <si>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</si>
  <si>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</si>
  <si>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</si>
  <si>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</si>
  <si>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</si>
  <si>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</si>
  <si>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</si>
  <si>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</si>
  <si>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</si>
  <si>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</si>
  <si>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</si>
  <si>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</si>
  <si>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</si>
  <si>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</si>
  <si>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</si>
  <si>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</si>
  <si>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</si>
  <si>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</si>
  <si>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</si>
  <si>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</si>
  <si>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</si>
  <si>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</si>
  <si>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</si>
  <si>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</si>
  <si>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</si>
  <si>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</si>
  <si>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</si>
  <si>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</si>
  <si>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</si>
  <si>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</si>
  <si>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</si>
  <si>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</si>
  <si>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</si>
  <si>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</si>
  <si>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</si>
  <si>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</si>
  <si>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</si>
  <si>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</si>
  <si>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</si>
  <si>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</si>
  <si>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</si>
  <si>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</si>
  <si>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</si>
  <si>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</si>
  <si>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</si>
  <si>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</si>
  <si>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</si>
  <si>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</si>
  <si>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</si>
  <si>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</si>
  <si>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</si>
  <si>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</si>
  <si>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</si>
  <si>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Y</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</si>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</sst>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435</v>
      </c>
    </row>
    <row r="2" spans="1:10" ht="13.9">
      <c r="A2" s="247" t="s">
        <v>268</v>
      </c>
      <c r="B2" s="36"/>
      <c r="C2" s="36"/>
      <c r="D2" s="36"/>
      <c r="E2" s="36"/>
      <c r="F2" s="36"/>
      <c r="G2" s="22"/>
      <c r="H2" s="22"/>
      <c r="I2" s="22"/>
      <c r="J2" s="22"/>
    </row>
    <row r="4" spans="1:10">
      <c r="B4" s="45" t="s">
        <v>428</v>
      </c>
      <c r="C4" s="46"/>
      <c r="D4" s="5"/>
      <c r="E4" s="2"/>
      <c r="F4" s="2"/>
    </row>
    <row r="5" spans="1:10" ht="12.4">
      <c r="B5" s="4" t="s">
        <v>323</v>
      </c>
      <c r="C5" s="333" t="s">
        <v>425</v>
      </c>
    </row>
    <row r="6" spans="1:10">
      <c r="B6" s="4" t="s">
        <v>0</v>
      </c>
      <c r="C6" s="51">
        <v>121281555698</v>
      </c>
      <c r="E6" s="48"/>
    </row>
    <row r="7" spans="1:10">
      <c r="B7" s="2" t="s">
        <v>314</v>
      </c>
      <c r="C7" s="279">
        <v>6</v>
      </c>
      <c r="D7" s="48"/>
      <c r="E7" s="48"/>
    </row>
    <row r="8" spans="1:10">
      <c r="B8" s="1" t="s">
        <v>269</v>
      </c>
      <c r="C8" s="33">
        <f>EOMONTH(EDATE(BS!C1,C7+2),0)</f>
        <v>45900</v>
      </c>
      <c r="E8" s="48"/>
    </row>
    <row r="9" spans="1:10">
      <c r="E9" s="34"/>
    </row>
    <row r="10" spans="1:10">
      <c r="B10" s="45" t="s">
        <v>431</v>
      </c>
      <c r="C10" s="46"/>
      <c r="E10" s="34"/>
    </row>
    <row r="11" spans="1:10">
      <c r="B11" s="1" t="s">
        <v>430</v>
      </c>
      <c r="C11" s="49" t="s">
        <v>424</v>
      </c>
      <c r="D11" s="49" t="s">
        <v>432</v>
      </c>
      <c r="E11" s="34"/>
    </row>
    <row r="12" spans="1:10">
      <c r="B12" s="4" t="s">
        <v>95</v>
      </c>
      <c r="C12" s="50">
        <v>3.99</v>
      </c>
      <c r="D12" s="50">
        <v>5.69</v>
      </c>
      <c r="E12" s="48"/>
    </row>
    <row r="13" spans="1:10">
      <c r="B13" s="1" t="s">
        <v>429</v>
      </c>
      <c r="C13" s="48" t="s">
        <v>404</v>
      </c>
      <c r="D13" s="48" t="s">
        <v>426</v>
      </c>
      <c r="E13" s="5"/>
    </row>
    <row r="14" spans="1:10">
      <c r="B14" s="4" t="s">
        <v>434</v>
      </c>
      <c r="C14" s="35">
        <f>Thesis!C12*Common_Shares/1000000</f>
        <v>483913.40723502001</v>
      </c>
      <c r="D14" s="35">
        <f>IF(D11="","",Thesis!D12*Common_Shares/1000000)</f>
        <v>690092.05192162003</v>
      </c>
      <c r="E14" s="5"/>
    </row>
    <row r="15" spans="1:10">
      <c r="B15" s="4" t="s">
        <v>433</v>
      </c>
      <c r="C15" s="32" t="str">
        <f>IF(C22=C13,C13,C22&amp;"/"&amp;C13)</f>
        <v>CNY/HKD</v>
      </c>
      <c r="D15" s="32" t="str">
        <f>IF(D11="","",IF(C22=D13,D13,C22&amp;"/"&amp;D13))</f>
        <v>CNY</v>
      </c>
      <c r="E15" s="5"/>
    </row>
    <row r="16" spans="1:10">
      <c r="B16" s="4" t="s">
        <v>1</v>
      </c>
      <c r="C16" s="50">
        <v>1.06</v>
      </c>
      <c r="D16" s="50">
        <v>1</v>
      </c>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426</v>
      </c>
      <c r="D22" s="32" t="str">
        <f>IF(D11="","",Market_currency&amp;"/"&amp;D13&amp;":")</f>
        <v>HKD/CNY:</v>
      </c>
      <c r="E22" s="341">
        <f>IF(D11="","",1/Exchange_Rate*D16)</f>
        <v>0.94339622641509424</v>
      </c>
    </row>
    <row r="23" spans="1:6">
      <c r="B23" s="2" t="s">
        <v>56</v>
      </c>
      <c r="C23" s="48" t="s">
        <v>427</v>
      </c>
      <c r="E23" s="5"/>
    </row>
    <row r="24" spans="1:6">
      <c r="B24" s="2" t="s">
        <v>277</v>
      </c>
      <c r="C24" s="249">
        <v>0.3</v>
      </c>
      <c r="D24" s="1" t="s">
        <v>417</v>
      </c>
      <c r="E24" s="339">
        <v>0.2</v>
      </c>
    </row>
    <row r="25" spans="1:6">
      <c r="B25" s="2" t="str">
        <f>"Target Buy Price ("&amp;Market_currency&amp;"):"</f>
        <v>Target Buy Price (HKD):</v>
      </c>
      <c r="C25" s="252">
        <f>C139</f>
        <v>17.696787580712193</v>
      </c>
      <c r="D25" s="1" t="s">
        <v>315</v>
      </c>
      <c r="E25" s="330">
        <v>3</v>
      </c>
    </row>
    <row r="26" spans="1:6">
      <c r="B26" s="1" t="s">
        <v>407</v>
      </c>
      <c r="C26" s="280">
        <f ca="1">Scenarios!C87</f>
        <v>1.2976894231064677</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370950.79977478832</v>
      </c>
      <c r="D35" s="1" t="str">
        <f>Reporting_currency</f>
        <v>CNY</v>
      </c>
    </row>
    <row r="36" spans="2:6">
      <c r="B36" s="47"/>
      <c r="C36" s="76"/>
    </row>
    <row r="37" spans="2:6" ht="24.4" customHeight="1">
      <c r="B37" s="344" t="s">
        <v>234</v>
      </c>
      <c r="C37" s="344"/>
      <c r="D37" s="344"/>
      <c r="E37" s="344"/>
      <c r="F37" s="344"/>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0</v>
      </c>
      <c r="D45" s="1" t="str">
        <f>Reporting_currency</f>
        <v>CNY</v>
      </c>
      <c r="E45" s="321"/>
      <c r="F45" s="321"/>
    </row>
    <row r="46" spans="2:6">
      <c r="B46" s="47" t="s">
        <v>349</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-92737.69994369708</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398</v>
      </c>
      <c r="C63" s="92">
        <f>Normalized_FCF!C125</f>
        <v>0.60941871295938521</v>
      </c>
    </row>
    <row r="64" spans="2:6">
      <c r="B64" s="254" t="s">
        <v>316</v>
      </c>
      <c r="C64" s="92">
        <f>Normalized_FCF!C93</f>
        <v>0.52016834539178136</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30.39475830884934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0</v>
      </c>
      <c r="D91" s="1" t="str">
        <f>Reporting_currency</f>
        <v>CNY</v>
      </c>
    </row>
    <row r="92" spans="1:6">
      <c r="B92" s="47" t="s">
        <v>285</v>
      </c>
      <c r="C92" s="248">
        <f>C91*scaling_factor*Exchange_Rate/Common_Shares</f>
        <v>0</v>
      </c>
      <c r="D92" s="1" t="str">
        <f>Market_currency</f>
        <v>HKD</v>
      </c>
    </row>
    <row r="93" spans="1:6">
      <c r="B93" s="336" t="s">
        <v>412</v>
      </c>
      <c r="C93" s="337">
        <f>BS!G30/BS!G27</f>
        <v>0.5</v>
      </c>
    </row>
    <row r="94" spans="1:6">
      <c r="B94" s="336" t="s">
        <v>413</v>
      </c>
      <c r="C94" s="337">
        <f>BS!G31/BS!G27</f>
        <v>0</v>
      </c>
    </row>
    <row r="95" spans="1:6">
      <c r="B95" s="336" t="s">
        <v>415</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HKD</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HKD</v>
      </c>
    </row>
    <row r="106" spans="1:6" ht="24.4" customHeight="1">
      <c r="B106" s="343" t="s">
        <v>374</v>
      </c>
      <c r="C106" s="343"/>
      <c r="D106" s="343"/>
      <c r="E106" s="343"/>
      <c r="F106" s="343"/>
    </row>
    <row r="108" spans="1:6">
      <c r="B108" s="47" t="s">
        <v>283</v>
      </c>
      <c r="C108" s="248">
        <f>Valuation_Model!C12</f>
        <v>28.233641337632509</v>
      </c>
      <c r="D108" s="1" t="str">
        <f>Market_currency</f>
        <v>HKD</v>
      </c>
    </row>
    <row r="109" spans="1:6">
      <c r="B109" s="336" t="s">
        <v>414</v>
      </c>
      <c r="C109" s="248">
        <f>BS!D47</f>
        <v>5.243996058095486E-6</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HKD</v>
      </c>
      <c r="F116" s="259">
        <f>Valuation_Model!F74</f>
        <v>0.05</v>
      </c>
    </row>
    <row r="117" spans="1:6">
      <c r="B117" s="242" t="str">
        <f>Valuation_Model!B75</f>
        <v>Optimistic</v>
      </c>
      <c r="C117" s="243">
        <f>Valuation_Model!C75</f>
        <v>0.04</v>
      </c>
      <c r="D117" s="244">
        <f>Valuation_Model!D75</f>
        <v>10</v>
      </c>
      <c r="E117" s="245" t="str">
        <f>ROUND(Valuation_Model!E75,2)&amp;" "&amp;Market_currency</f>
        <v>32.35 HKD</v>
      </c>
      <c r="F117" s="246">
        <f>Valuation_Model!F75</f>
        <v>0.18</v>
      </c>
    </row>
    <row r="118" spans="1:6">
      <c r="B118" s="242" t="str">
        <f>Valuation_Model!B76</f>
        <v>Base</v>
      </c>
      <c r="C118" s="243">
        <f>Valuation_Model!C76</f>
        <v>0.02</v>
      </c>
      <c r="D118" s="244">
        <f>Valuation_Model!D76</f>
        <v>10</v>
      </c>
      <c r="E118" s="245" t="str">
        <f>ROUND(Valuation_Model!E76,2)&amp;" "&amp;Market_currency</f>
        <v>30.2 HKD</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HKD</v>
      </c>
      <c r="F120" s="246">
        <f>Valuation_Model!F78</f>
        <v>0.05</v>
      </c>
    </row>
    <row r="122" spans="1:6">
      <c r="B122" s="235" t="s">
        <v>259</v>
      </c>
      <c r="C122" s="241">
        <f>Scenarios!C60</f>
        <v>30.598710239352997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2.0754716981132075</v>
      </c>
      <c r="D133" s="236" t="str">
        <f>Market_currency</f>
        <v>HKD</v>
      </c>
    </row>
    <row r="135" spans="2:6">
      <c r="B135" s="234" t="s">
        <v>418</v>
      </c>
      <c r="C135" s="270" t="str">
        <f>C11</f>
        <v>0386.HK</v>
      </c>
      <c r="D135" s="270" t="str">
        <f>IF(D11="","",D11)</f>
        <v>600028.SS</v>
      </c>
    </row>
    <row r="136" spans="2:6">
      <c r="B136" s="1" t="s">
        <v>416</v>
      </c>
      <c r="C136" s="337">
        <f>C24</f>
        <v>0.3</v>
      </c>
    </row>
    <row r="137" spans="2:6">
      <c r="B137" s="236" t="str">
        <f>"PV("&amp;C131&amp;" yrs of Dividends)"</f>
        <v>PV(3 yrs of Dividends)</v>
      </c>
      <c r="C137" s="240">
        <f>Scenarios!C81</f>
        <v>3.7692908855128362</v>
      </c>
    </row>
    <row r="138" spans="2:6">
      <c r="B138" s="236" t="str">
        <f>"+ PV(Equity Value realized at year "&amp;C131&amp;")"</f>
        <v>+ PV(Equity Value realized at year 3)</v>
      </c>
      <c r="C138" s="240">
        <f>Scenarios!C82</f>
        <v>13.927496695199357</v>
      </c>
    </row>
    <row r="139" spans="2:6">
      <c r="B139" s="80" t="s">
        <v>261</v>
      </c>
      <c r="C139" s="239">
        <f>Scenarios!C83</f>
        <v>17.696787580712193</v>
      </c>
      <c r="D139" s="342">
        <f>IF($D$11="","",C139*$E$22)</f>
        <v>16.69508262331339</v>
      </c>
    </row>
    <row r="140" spans="2:6">
      <c r="B140" s="290" t="s">
        <v>429</v>
      </c>
      <c r="C140" s="340" t="str">
        <f>Market_currency</f>
        <v>HKD</v>
      </c>
      <c r="D140" s="340" t="str">
        <f>IF($D$11="","",D$13)</f>
        <v>CNY</v>
      </c>
    </row>
    <row r="141" spans="2:6">
      <c r="B141" s="238" t="s">
        <v>263</v>
      </c>
      <c r="C141" s="92">
        <f>Scenarios!F83</f>
        <v>0.42164923154334921</v>
      </c>
    </row>
    <row r="143" spans="2:6">
      <c r="B143" s="234" t="s">
        <v>421</v>
      </c>
    </row>
    <row r="144" spans="2:6">
      <c r="B144" s="1" t="s">
        <v>420</v>
      </c>
      <c r="C144" s="337">
        <f>Scenarios!C90</f>
        <v>0.2</v>
      </c>
    </row>
    <row r="145" spans="1:6">
      <c r="B145" s="236" t="str">
        <f>"PV("&amp;C131&amp;" yrs of Dividends)"</f>
        <v>PV(3 yrs of Dividends)</v>
      </c>
      <c r="C145" s="240">
        <f>Scenarios!C91</f>
        <v>4.3719426974143953</v>
      </c>
    </row>
    <row r="146" spans="1:6">
      <c r="B146" s="236" t="str">
        <f>"+ PV(Equity Value realized at year "&amp;C131&amp;")"</f>
        <v>+ PV(Equity Value realized at year 3)</v>
      </c>
      <c r="C146" s="240">
        <f>Scenarios!C92</f>
        <v>17.707586944070023</v>
      </c>
    </row>
    <row r="147" spans="1:6">
      <c r="B147" s="80" t="s">
        <v>261</v>
      </c>
      <c r="C147" s="239">
        <f>Scenarios!C93</f>
        <v>22.07952964148442</v>
      </c>
      <c r="D147" s="342">
        <f>IF($D$11="","",C147*$E$22)</f>
        <v>20.829744944796619</v>
      </c>
    </row>
    <row r="148" spans="1:6">
      <c r="B148" s="290" t="s">
        <v>429</v>
      </c>
      <c r="C148" s="340" t="str">
        <f>Market_currency</f>
        <v>HKD</v>
      </c>
      <c r="D148" s="340" t="str">
        <f>IF($D$11="","",D$13)</f>
        <v>CNY</v>
      </c>
    </row>
    <row r="149" spans="1:6">
      <c r="B149" s="238" t="s">
        <v>263</v>
      </c>
      <c r="C149" s="92">
        <f>Scenarios!F93</f>
        <v>0.27841632968281327</v>
      </c>
    </row>
    <row r="151" spans="1:6">
      <c r="B151" s="234" t="s">
        <v>408</v>
      </c>
    </row>
    <row r="152" spans="1:6">
      <c r="B152" s="1" t="s">
        <v>419</v>
      </c>
      <c r="C152" s="92">
        <f>Scenarios!C96</f>
        <v>0.08</v>
      </c>
    </row>
    <row r="153" spans="1:6">
      <c r="B153" s="236" t="str">
        <f>"PV("&amp;C131&amp;" yrs of Dividends)"</f>
        <v>PV(3 yrs of Dividends)</v>
      </c>
      <c r="C153" s="240">
        <f>Scenarios!C97</f>
        <v>5.3486918603257889</v>
      </c>
    </row>
    <row r="154" spans="1:6">
      <c r="B154" s="236" t="str">
        <f>"+ PV(Equity Value realized at year "&amp;C131&amp;")"</f>
        <v>+ PV(Equity Value realized at year 3)</v>
      </c>
      <c r="C154" s="240">
        <f>Scenarios!C98</f>
        <v>24.290242721632399</v>
      </c>
    </row>
    <row r="155" spans="1:6">
      <c r="B155" s="80" t="s">
        <v>409</v>
      </c>
      <c r="C155" s="239">
        <f>Scenarios!C99</f>
        <v>29.638934581958189</v>
      </c>
      <c r="D155" s="342">
        <f>IF($D$11="","",C155*$E$22)</f>
        <v>27.961259039583194</v>
      </c>
    </row>
    <row r="156" spans="1:6">
      <c r="B156" s="290" t="s">
        <v>429</v>
      </c>
      <c r="C156" s="340" t="str">
        <f>Market_currency</f>
        <v>HKD</v>
      </c>
      <c r="D156" s="340" t="str">
        <f>IF($D$11="","",D$13)</f>
        <v>CNY</v>
      </c>
    </row>
    <row r="157" spans="1:6">
      <c r="B157" s="238" t="s">
        <v>263</v>
      </c>
      <c r="C157" s="92">
        <f>Scenarios!F99</f>
        <v>3.1366539631478951E-2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379</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381</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380</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(HKD)</v>
      </c>
      <c r="C25" s="39">
        <f>2.2/Exchange_Rate</f>
        <v>2.0754716981132075</v>
      </c>
      <c r="D25" s="39"/>
      <c r="E25" s="39"/>
      <c r="F25" s="39"/>
      <c r="G25" s="39"/>
      <c r="H25" s="39"/>
      <c r="I25" s="39"/>
      <c r="J25" s="39"/>
      <c r="K25" s="39"/>
      <c r="L25" s="39"/>
      <c r="M25" s="39"/>
    </row>
    <row r="27" spans="2:13">
      <c r="B27" s="16" t="s">
        <v>28</v>
      </c>
      <c r="C27" s="97" t="s">
        <v>437</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-120714</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81">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v>
      </c>
      <c r="D46" s="188">
        <f>H29</f>
        <v>0.60000000000000009</v>
      </c>
      <c r="F46" s="283"/>
    </row>
    <row r="47" spans="2:8" ht="15" customHeight="1">
      <c r="B47" s="1" t="str">
        <f>"Equity per share ("&amp;Market_currency&amp;")"</f>
        <v>Equity per share (HKD)</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-248775.78636286163</v>
      </c>
      <c r="D73" s="188">
        <f>(Normalized_FCF!C25+Normalized_FCF!C35-Normalized_FCF!C91)/12</f>
        <v>-247268.57388162927</v>
      </c>
      <c r="F73" s="1" t="s">
        <v>359</v>
      </c>
    </row>
    <row r="74" spans="2:6" ht="15" customHeight="1">
      <c r="B74" s="288" t="s">
        <v>329</v>
      </c>
      <c r="C74" s="289">
        <f>-$C$66/C73</f>
        <v>4.0196838069337299E-6</v>
      </c>
      <c r="D74" s="289">
        <f>-$C$66/D73</f>
        <v>4.0441855764441506E-6</v>
      </c>
      <c r="F74" s="283" t="s">
        <v>327</v>
      </c>
    </row>
    <row r="75" spans="2:6" ht="15" customHeight="1">
      <c r="B75" s="80" t="s">
        <v>328</v>
      </c>
      <c r="C75" s="293"/>
      <c r="D75" s="292">
        <f>MAX(-D73*D76,G5)</f>
        <v>247268.57388162927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0</v>
      </c>
      <c r="D86" s="248">
        <f>C86*scaling_factor/Common_Shares</f>
        <v>0</v>
      </c>
      <c r="E86" s="269" t="str">
        <f>Market_currency</f>
        <v>HKD</v>
      </c>
    </row>
    <row r="87" spans="2:8" ht="15" customHeight="1">
      <c r="B87" s="267" t="s">
        <v>294</v>
      </c>
      <c r="C87" s="188">
        <f>Valuation_Model!C8*Exchange_Rate</f>
        <v>-262103.62831452704</v>
      </c>
      <c r="D87" s="248">
        <f>C87*scaling_factor/Common_Shares</f>
        <v>-2.1611169712168299</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-262103.62831452704</v>
      </c>
      <c r="D89" s="271">
        <f>SUM(D86:D88)</f>
        <v>-2.1611169712168299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463443</v>
      </c>
      <c r="I13" s="184">
        <f t="shared" si="7"/>
        <v>463394</v>
      </c>
      <c r="J13" s="184">
        <f t="shared" si="7"/>
        <v>493088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437790</v>
      </c>
      <c r="I16" s="184">
        <f t="shared" si="8"/>
        <v>435181</v>
      </c>
      <c r="J16" s="184">
        <f t="shared" si="8"/>
        <v>455948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437790</v>
      </c>
      <c r="I19" s="186">
        <f t="shared" si="9"/>
        <v>435181</v>
      </c>
      <c r="J19" s="186">
        <f t="shared" si="9"/>
        <v>455948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341</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341</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341</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341</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343</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344</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439</v>
      </c>
      <c r="F78" s="27"/>
      <c r="G78" s="6">
        <f t="shared" ref="G78:Q78" si="29">IF(G$4="","",-G10/G$4)</f>
        <v>3.926217783215951E-2</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0.14427521196432991</v>
      </c>
      <c r="I81" s="65">
        <f t="shared" si="32"/>
        <v>0.13965356787239225</v>
      </c>
      <c r="J81" s="65">
        <f t="shared" si="32"/>
        <v>0.17990108300825572</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0.13628913382198887</v>
      </c>
      <c r="I84" s="65">
        <f t="shared" si="35"/>
        <v>0.1311509845191684</v>
      </c>
      <c r="J84" s="65">
        <f t="shared" si="35"/>
        <v>0.16635071020882314</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0.13628913382198887</v>
      </c>
      <c r="I87" s="65">
        <f t="shared" si="36"/>
        <v>0.1311509845191684</v>
      </c>
      <c r="J87" s="65">
        <f t="shared" si="36"/>
        <v>0.16635071020882314</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-0.30440636712605429</v>
      </c>
      <c r="H97" s="6">
        <f t="shared" si="41"/>
        <v>1.0574155038689526E-4</v>
      </c>
      <c r="I97" s="6">
        <f t="shared" si="41"/>
        <v>-6.0220488026478058E-2</v>
      </c>
      <c r="J97" s="6">
        <f t="shared" si="41"/>
        <v>0.78157393657572505</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400</v>
      </c>
      <c r="C114" s="170"/>
      <c r="E114" s="302"/>
      <c r="G114" s="334">
        <f>IF(G$4="","",Data!C$22/G19)</f>
        <v>0.49429456461306293</v>
      </c>
      <c r="H114" s="334">
        <f>IF(H$4="","",Data!D$22/H19)</f>
        <v>0.36884122524498048</v>
      </c>
      <c r="I114" s="334">
        <f>IF(I$4="","",Data!E$22/I19)</f>
        <v>0.26717388856590707</v>
      </c>
      <c r="J114" s="334">
        <f>IF(J$4="","",Data!F$22/J19)</f>
        <v>0.49385894882749787</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0.14427521196432991</v>
      </c>
      <c r="I117" s="23">
        <f t="shared" si="45"/>
        <v>0.13965356787239225</v>
      </c>
      <c r="J117" s="23">
        <f t="shared" si="45"/>
        <v>0.17990108300825572</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2.4315806647079472</v>
      </c>
      <c r="D124" s="27"/>
      <c r="E124" s="299"/>
      <c r="F124" s="27"/>
      <c r="G124" s="178">
        <f t="shared" ref="G124:Q124" si="49">IF(G$4="","",G16*$C$3/Common_Shares*Exchange_Rate)</f>
        <v>2.6409463348043278</v>
      </c>
      <c r="H124" s="178">
        <f t="shared" si="49"/>
        <v>3.8262817237893709</v>
      </c>
      <c r="I124" s="178">
        <f t="shared" si="49"/>
        <v>3.8034790809300856</v>
      </c>
      <c r="J124" s="178">
        <f t="shared" si="49"/>
        <v>3.9849825244942001</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0.95896785057377709</v>
      </c>
      <c r="I125" s="77">
        <f t="shared" ref="I125" si="52">IF(I$4="","",I124/Market_Price)</f>
        <v>0.95325290248874317</v>
      </c>
      <c r="J125" s="77">
        <f t="shared" ref="J125" si="53">IF(J$4="","",J124/Market_Price)</f>
        <v>0.99874248734190474</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402</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28.233641337632509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-0.1281447541137325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3.99</v>
      </c>
      <c r="D21" t="str">
        <f>Market_currency</f>
        <v>HKD</v>
      </c>
      <c r="E21" s="354"/>
      <c r="F21" s="354"/>
    </row>
    <row r="22" spans="2:6">
      <c r="B22" s="100" t="s">
        <v>281</v>
      </c>
      <c r="C22" s="161">
        <f>Valuation_Model!C12</f>
        <v>28.233641337632509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HKD</v>
      </c>
      <c r="E39" s="352"/>
      <c r="F39" s="352"/>
    </row>
    <row r="40" spans="2:6">
      <c r="B40" s="100" t="s">
        <v>148</v>
      </c>
      <c r="C40" s="168">
        <f>1-C28-C34</f>
        <v>0.2</v>
      </c>
      <c r="D40" s="166"/>
      <c r="E40" s="352"/>
      <c r="F40" s="352"/>
    </row>
    <row r="42" spans="2:6" ht="13.15">
      <c r="B42" s="100" t="s">
        <v>121</v>
      </c>
      <c r="C42" s="155">
        <f>C27*C28+C33*C34+C39*C40</f>
        <v>30.235267364344896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HKD</v>
      </c>
      <c r="E57" s="352"/>
      <c r="F57" s="352"/>
    </row>
    <row r="58" spans="2:6">
      <c r="B58" s="100" t="s">
        <v>148</v>
      </c>
      <c r="C58" s="166">
        <v>0.05</v>
      </c>
      <c r="D58" s="166"/>
      <c r="E58" s="352"/>
      <c r="F58" s="352"/>
    </row>
    <row r="60" spans="2:6" ht="13.15">
      <c r="B60" s="100" t="s">
        <v>121</v>
      </c>
      <c r="C60" s="155">
        <f>C51*C52+C57*C58+C42*(1-C52-C58)</f>
        <v>30.598710239352997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33.111517646915438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-7.0627714511882198E-2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2.0754716981132075</v>
      </c>
      <c r="D77" t="str">
        <f>Market_currency</f>
        <v>HKD</v>
      </c>
    </row>
    <row r="79" spans="2:6" ht="13.15">
      <c r="B79" s="109" t="s">
        <v>308</v>
      </c>
    </row>
    <row r="80" spans="2:6">
      <c r="B80" s="149" t="s">
        <v>306</v>
      </c>
      <c r="C80" s="168">
        <f>Thesis!C132</f>
        <v>0.3</v>
      </c>
    </row>
    <row r="81" spans="2:8">
      <c r="B81" s="100" t="s">
        <v>122</v>
      </c>
      <c r="C81" s="117">
        <f>PV(C80, C76, -C77, 0)</f>
        <v>3.7692908855128362</v>
      </c>
      <c r="D81" s="117"/>
      <c r="E81" s="100"/>
      <c r="F81" s="100"/>
    </row>
    <row r="82" spans="2:8">
      <c r="B82" s="100" t="s">
        <v>123</v>
      </c>
      <c r="C82" s="117">
        <f>C60/(1+C80)^C76</f>
        <v>13.927496695199357</v>
      </c>
      <c r="D82" s="117"/>
    </row>
    <row r="83" spans="2:8" ht="13.15">
      <c r="B83" s="111" t="s">
        <v>102</v>
      </c>
      <c r="C83" s="112">
        <f>C81+C82</f>
        <v>17.696787580712193</v>
      </c>
      <c r="D83" t="str">
        <f>Market_currency</f>
        <v>HKD</v>
      </c>
      <c r="E83" s="147" t="s">
        <v>127</v>
      </c>
      <c r="F83" s="329">
        <f>(1-C83/C60)</f>
        <v>0.42164923154334921</v>
      </c>
    </row>
    <row r="84" spans="2:8">
      <c r="E84" s="121"/>
    </row>
    <row r="85" spans="2:8" ht="13.15">
      <c r="B85" s="109" t="s">
        <v>309</v>
      </c>
    </row>
    <row r="86" spans="2:8">
      <c r="B86" s="149" t="s">
        <v>307</v>
      </c>
      <c r="C86" s="266">
        <f>Market_Price</f>
        <v>3.99</v>
      </c>
      <c r="D86" t="str">
        <f>Market_currency</f>
        <v>HKD</v>
      </c>
    </row>
    <row r="87" spans="2:8" ht="13.15">
      <c r="B87" s="100" t="s">
        <v>305</v>
      </c>
      <c r="C87" s="265">
        <f ca="1">IRR(OFFSET($I$3, 0, 0, $C$76 + 1, 1))</f>
        <v>1.2976894231064677</v>
      </c>
    </row>
    <row r="88" spans="2:8">
      <c r="B88" s="100"/>
    </row>
    <row r="89" spans="2:8" ht="13.15">
      <c r="B89" s="109" t="s">
        <v>422</v>
      </c>
    </row>
    <row r="90" spans="2:8">
      <c r="B90" s="149" t="s">
        <v>423</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HKD</v>
      </c>
      <c r="E93" s="147" t="s">
        <v>127</v>
      </c>
      <c r="F93" s="329">
        <f>(1-C93/C60)</f>
        <v>0.27841632968281327</v>
      </c>
    </row>
    <row r="95" spans="2:8" ht="13.15">
      <c r="B95" s="109" t="s">
        <v>405</v>
      </c>
      <c r="G95" s="2"/>
      <c r="H95" s="316"/>
    </row>
    <row r="96" spans="2:8">
      <c r="B96" s="149" t="s">
        <v>411</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406</v>
      </c>
      <c r="C99" s="112">
        <f>C97+C98</f>
        <v>29.638934581958189</v>
      </c>
      <c r="D99" t="s">
        <v>404</v>
      </c>
      <c r="E99" s="147" t="s">
        <v>127</v>
      </c>
      <c r="F99" s="329">
        <f>(1-C99/C60)</f>
        <v>3.1366539631478951E-2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