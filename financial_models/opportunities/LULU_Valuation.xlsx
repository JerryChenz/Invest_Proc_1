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31C5DA77-6512-445E-BFED-EF9DA3C3F04B}" xr6:coauthVersionLast="47" xr6:coauthVersionMax="47" xr10:uidLastSave="{00000000-0000-0000-0000-000000000000}"/>
  <bookViews>
    <workbookView xWindow="-98" yWindow="-98" windowWidth="17115" windowHeight="10755" xr2:uid="{00000000-000D-0000-FFFF-FFFF00000000}"/>
  </bookViews>
  <sheets>
    <sheet name="Thesis" sheetId="6" r:id="rId1"/>
    <sheet name="Data" sheetId="4" r:id="rId2"/>
    <sheet name="BS" sheetId="3" r:id="rId3"/>
    <sheet name="Normalized_FCF" sheetId="2" r:id="rId4"/>
    <sheet name="DCF" sheetId="8" r:id="rId5"/>
    <sheet name="DDM" sheetId="10" r:id="rId6"/>
    <sheet name="Scenarios" sheetId="9" r:id="rId7"/>
    <sheet name="Breakdown" sheetId="11" r:id="rId8"/>
    <sheet name="投资主题" sheetId="12" r:id="rId9"/>
  </sheets>
  <definedNames>
    <definedName name="_xlnm._FilterDatabase" localSheetId="4" hidden="1">DCF!$B$73:$H$73</definedName>
    <definedName name="_xlnm._FilterDatabase" localSheetId="5" hidden="1">DDM!$B$68:$H$68</definedName>
    <definedName name="Common_Shares">Thesis!$C$6</definedName>
    <definedName name="dividend_tax_rate">Normalized_FCF!$C$93</definedName>
    <definedName name="Equity_Cost">Thesis!$C$86</definedName>
    <definedName name="Exchange_Rate">Thesis!$C$16</definedName>
    <definedName name="Market_currency">Thesis!$C$13</definedName>
    <definedName name="Market_Price">Thesis!$C$12</definedName>
    <definedName name="Reporting_currency">Thesis!$C$25</definedName>
    <definedName name="scaling_factor">Data!$C$3</definedName>
    <definedName name="Terminal_Growth">Thesis!$C$92</definedName>
    <definedName name="valuation_method">Thesis!$E$21</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C4" i="2" l="1"/>
  <c r="C33" i="2"/>
  <c r="C42" i="3"/>
  <c r="C23" i="3"/>
  <c r="C19" i="3"/>
  <c r="C6" i="6"/>
  <c r="C32" i="4" l="1"/>
  <c r="F32" i="12"/>
  <c r="C170" i="12" s="1"/>
  <c r="F31" i="12"/>
  <c r="F30" i="12"/>
  <c r="F29" i="12"/>
  <c r="C142" i="12" s="1"/>
  <c r="F28" i="12"/>
  <c r="C141" i="12" s="1"/>
  <c r="E22" i="12"/>
  <c r="E21" i="12"/>
  <c r="C25" i="12"/>
  <c r="C24" i="12"/>
  <c r="C23" i="12"/>
  <c r="C22" i="12"/>
  <c r="C16" i="12"/>
  <c r="C13" i="12"/>
  <c r="B26" i="12" s="1"/>
  <c r="C11" i="12"/>
  <c r="C145" i="12" s="1"/>
  <c r="C28" i="12" s="1"/>
  <c r="C12" i="12"/>
  <c r="C14" i="12" s="1"/>
  <c r="D22" i="12"/>
  <c r="D22" i="6"/>
  <c r="C7" i="12"/>
  <c r="C6" i="12"/>
  <c r="C5" i="12"/>
  <c r="F1" i="12"/>
  <c r="D1" i="12"/>
  <c r="C1" i="12"/>
  <c r="D174" i="12"/>
  <c r="C174" i="12"/>
  <c r="D173" i="12"/>
  <c r="D32" i="12" s="1"/>
  <c r="D166" i="12"/>
  <c r="C166" i="12"/>
  <c r="D165" i="12"/>
  <c r="D31" i="12" s="1"/>
  <c r="D158" i="12"/>
  <c r="C158" i="12"/>
  <c r="D157" i="12"/>
  <c r="D30" i="12" s="1"/>
  <c r="D150" i="12"/>
  <c r="C150" i="12"/>
  <c r="D149" i="12"/>
  <c r="D29" i="12" s="1"/>
  <c r="D145" i="12"/>
  <c r="D143" i="12"/>
  <c r="D132" i="12"/>
  <c r="F130" i="12"/>
  <c r="D130" i="12"/>
  <c r="B130" i="12"/>
  <c r="F129" i="12"/>
  <c r="D129" i="12"/>
  <c r="B129" i="12"/>
  <c r="F128" i="12"/>
  <c r="D128" i="12"/>
  <c r="B128" i="12"/>
  <c r="F127" i="12"/>
  <c r="D127" i="12"/>
  <c r="B127" i="12"/>
  <c r="F126" i="12"/>
  <c r="D126" i="12"/>
  <c r="B126" i="12"/>
  <c r="D119" i="12"/>
  <c r="D118" i="12"/>
  <c r="D114" i="12"/>
  <c r="D113" i="12"/>
  <c r="C113" i="12"/>
  <c r="C114" i="12" s="1"/>
  <c r="D110" i="12"/>
  <c r="D109" i="12"/>
  <c r="D108" i="12"/>
  <c r="D103" i="12"/>
  <c r="D102" i="12"/>
  <c r="D93" i="12"/>
  <c r="C84" i="12"/>
  <c r="B76" i="12"/>
  <c r="B75" i="12"/>
  <c r="B74" i="12"/>
  <c r="D68" i="12"/>
  <c r="D67" i="12"/>
  <c r="D62" i="12"/>
  <c r="D59" i="12"/>
  <c r="D56" i="12"/>
  <c r="D53" i="12"/>
  <c r="D52" i="12"/>
  <c r="D51" i="12"/>
  <c r="D48" i="12"/>
  <c r="D45" i="12"/>
  <c r="D44" i="12"/>
  <c r="D41" i="12"/>
  <c r="C39" i="12"/>
  <c r="D28" i="12"/>
  <c r="E25" i="12"/>
  <c r="D25" i="12"/>
  <c r="D15" i="12"/>
  <c r="D14" i="12"/>
  <c r="C8" i="12"/>
  <c r="Q94" i="2"/>
  <c r="B91" i="2"/>
  <c r="B90" i="2"/>
  <c r="Q90" i="2"/>
  <c r="B75" i="6"/>
  <c r="B76" i="6"/>
  <c r="B74" i="6"/>
  <c r="F4" i="10"/>
  <c r="F4" i="8"/>
  <c r="D4" i="10"/>
  <c r="C146" i="12" l="1"/>
  <c r="B163" i="12"/>
  <c r="B164" i="12"/>
  <c r="B171" i="12"/>
  <c r="C85" i="12"/>
  <c r="C86" i="12" s="1"/>
  <c r="C15" i="12"/>
  <c r="B147" i="12"/>
  <c r="B172" i="12"/>
  <c r="B148" i="12"/>
  <c r="B155" i="12"/>
  <c r="B156" i="12"/>
  <c r="F73" i="10"/>
  <c r="C73" i="10"/>
  <c r="B50" i="10" s="1"/>
  <c r="B59" i="10" s="1"/>
  <c r="B73" i="10"/>
  <c r="C72" i="10"/>
  <c r="C50" i="10" s="1"/>
  <c r="C59" i="10" s="1"/>
  <c r="B72" i="10"/>
  <c r="C71" i="10"/>
  <c r="D50" i="10" s="1"/>
  <c r="D59" i="10" s="1"/>
  <c r="B71" i="10"/>
  <c r="C70" i="10"/>
  <c r="E50" i="10" s="1"/>
  <c r="E59" i="10" s="1"/>
  <c r="B70" i="10"/>
  <c r="F69" i="10"/>
  <c r="F72" i="10" s="1"/>
  <c r="C69" i="10"/>
  <c r="F50" i="10" s="1"/>
  <c r="F59" i="10" s="1"/>
  <c r="B69" i="10"/>
  <c r="A66" i="10"/>
  <c r="A65" i="10"/>
  <c r="A64" i="10"/>
  <c r="A63" i="10"/>
  <c r="A62" i="10"/>
  <c r="A61" i="10"/>
  <c r="D13" i="10"/>
  <c r="C11" i="10"/>
  <c r="D7" i="10"/>
  <c r="D6" i="10"/>
  <c r="D46" i="10"/>
  <c r="C3" i="10"/>
  <c r="D36" i="4"/>
  <c r="E36" i="4"/>
  <c r="F36" i="4"/>
  <c r="D37" i="4"/>
  <c r="E37" i="4"/>
  <c r="F37" i="4"/>
  <c r="D38" i="4" l="1"/>
  <c r="F38" i="4"/>
  <c r="E38" i="4"/>
  <c r="E61" i="10"/>
  <c r="E63" i="10"/>
  <c r="E65" i="10"/>
  <c r="B64" i="10"/>
  <c r="F61" i="10"/>
  <c r="F63" i="10"/>
  <c r="F65" i="10"/>
  <c r="B65" i="10"/>
  <c r="C62" i="10"/>
  <c r="C64" i="10"/>
  <c r="C66" i="10"/>
  <c r="B66" i="10"/>
  <c r="D62" i="10"/>
  <c r="D64" i="10"/>
  <c r="D66" i="10"/>
  <c r="E62" i="10"/>
  <c r="E64" i="10"/>
  <c r="E66" i="10"/>
  <c r="F62" i="10"/>
  <c r="F64" i="10"/>
  <c r="F66" i="10"/>
  <c r="C61" i="10"/>
  <c r="C63" i="10"/>
  <c r="C65" i="10"/>
  <c r="B62" i="10"/>
  <c r="D61" i="10"/>
  <c r="D63" i="10"/>
  <c r="B63" i="10"/>
  <c r="B61" i="10"/>
  <c r="D65" i="10"/>
  <c r="F71" i="10"/>
  <c r="B26" i="6"/>
  <c r="C80" i="9"/>
  <c r="C84" i="6"/>
  <c r="C85" i="6"/>
  <c r="C86" i="6" s="1"/>
  <c r="C170" i="6"/>
  <c r="D174" i="6"/>
  <c r="C174" i="6"/>
  <c r="C102" i="9"/>
  <c r="M62" i="4"/>
  <c r="D145" i="6"/>
  <c r="D28" i="6" s="1"/>
  <c r="E25" i="6"/>
  <c r="D25" i="6"/>
  <c r="D166" i="6"/>
  <c r="D158" i="6"/>
  <c r="D150" i="6"/>
  <c r="C145" i="6"/>
  <c r="C28" i="6" s="1"/>
  <c r="D15" i="6"/>
  <c r="C166" i="6"/>
  <c r="C158" i="6"/>
  <c r="C150" i="6"/>
  <c r="D14" i="6"/>
  <c r="C14" i="6"/>
  <c r="C5" i="10" l="1"/>
  <c r="C5" i="8"/>
  <c r="C90" i="9"/>
  <c r="D93" i="9"/>
  <c r="C154" i="6" l="1"/>
  <c r="C154" i="12"/>
  <c r="C96" i="9"/>
  <c r="C39" i="6"/>
  <c r="H1" i="3"/>
  <c r="C3" i="2"/>
  <c r="C3" i="8"/>
  <c r="C146" i="6"/>
  <c r="D119" i="6"/>
  <c r="C64" i="9"/>
  <c r="C12" i="10" s="1"/>
  <c r="M69" i="4"/>
  <c r="M70" i="4"/>
  <c r="M71" i="4"/>
  <c r="M72" i="4"/>
  <c r="C30" i="4"/>
  <c r="C29" i="4"/>
  <c r="C28" i="4"/>
  <c r="D64" i="4"/>
  <c r="E64" i="4"/>
  <c r="F64" i="4"/>
  <c r="G64" i="4"/>
  <c r="H64" i="4"/>
  <c r="I64" i="4"/>
  <c r="J64" i="4"/>
  <c r="K64" i="4"/>
  <c r="L64" i="4"/>
  <c r="M64" i="4"/>
  <c r="C64" i="4"/>
  <c r="E85" i="2"/>
  <c r="E86" i="2"/>
  <c r="D52" i="6"/>
  <c r="D51" i="6"/>
  <c r="F60" i="9"/>
  <c r="C162" i="6" l="1"/>
  <c r="C162" i="12"/>
  <c r="D44" i="10"/>
  <c r="E42" i="10"/>
  <c r="E20" i="10"/>
  <c r="E22" i="10"/>
  <c r="D45" i="10"/>
  <c r="D25" i="10"/>
  <c r="E35" i="10"/>
  <c r="D26" i="10"/>
  <c r="D42" i="10"/>
  <c r="E26" i="10"/>
  <c r="E18" i="10"/>
  <c r="E25" i="10"/>
  <c r="D37" i="10"/>
  <c r="D23" i="10"/>
  <c r="D30" i="10"/>
  <c r="D17" i="10"/>
  <c r="D43" i="10"/>
  <c r="D29" i="10"/>
  <c r="D32" i="10"/>
  <c r="E28" i="10"/>
  <c r="E33" i="10"/>
  <c r="D18" i="10"/>
  <c r="E36" i="10"/>
  <c r="E37" i="10"/>
  <c r="D20" i="10"/>
  <c r="E46" i="10"/>
  <c r="E21" i="10"/>
  <c r="E16" i="10"/>
  <c r="D19" i="10"/>
  <c r="D24" i="10"/>
  <c r="E24" i="10"/>
  <c r="E32" i="10"/>
  <c r="E19" i="10"/>
  <c r="D31" i="10"/>
  <c r="E39" i="10"/>
  <c r="D28" i="10"/>
  <c r="E40" i="10"/>
  <c r="E45" i="10"/>
  <c r="E30" i="10"/>
  <c r="E27" i="10"/>
  <c r="D16" i="10"/>
  <c r="E38" i="10"/>
  <c r="D21" i="10"/>
  <c r="E17" i="10"/>
  <c r="D33" i="10"/>
  <c r="D34" i="10"/>
  <c r="E34" i="10"/>
  <c r="D27" i="10"/>
  <c r="E23" i="10"/>
  <c r="D41" i="10"/>
  <c r="D36" i="10"/>
  <c r="E44" i="10"/>
  <c r="D35" i="10"/>
  <c r="E43" i="10"/>
  <c r="E31" i="10"/>
  <c r="D22" i="10"/>
  <c r="D38" i="10"/>
  <c r="D39" i="10"/>
  <c r="E41" i="10"/>
  <c r="E29" i="10"/>
  <c r="D40" i="10"/>
  <c r="C40" i="3"/>
  <c r="C8" i="6" l="1"/>
  <c r="C71" i="9"/>
  <c r="D66" i="9"/>
  <c r="D18" i="8"/>
  <c r="D22" i="9"/>
  <c r="D21" i="9"/>
  <c r="D9" i="9"/>
  <c r="D86" i="9"/>
  <c r="C86" i="9"/>
  <c r="C76" i="9"/>
  <c r="E87" i="3"/>
  <c r="E88" i="3"/>
  <c r="E89" i="3"/>
  <c r="E86" i="3"/>
  <c r="I3" i="9"/>
  <c r="D114" i="6" l="1"/>
  <c r="D110" i="6"/>
  <c r="D103" i="6"/>
  <c r="D93" i="6"/>
  <c r="E7" i="9"/>
  <c r="D8" i="9"/>
  <c r="D7" i="9"/>
  <c r="C21" i="9"/>
  <c r="D67" i="6"/>
  <c r="B125" i="2"/>
  <c r="C141" i="6"/>
  <c r="C142" i="6"/>
  <c r="D108" i="6"/>
  <c r="D118" i="6"/>
  <c r="D143" i="6"/>
  <c r="D132" i="6"/>
  <c r="F78" i="8"/>
  <c r="F74" i="8"/>
  <c r="F126" i="6" s="1"/>
  <c r="D113" i="6"/>
  <c r="D109" i="6"/>
  <c r="D102" i="6"/>
  <c r="D68" i="6"/>
  <c r="D56" i="6"/>
  <c r="B83" i="2"/>
  <c r="D62" i="6"/>
  <c r="D59" i="6"/>
  <c r="D53" i="6"/>
  <c r="D48" i="6"/>
  <c r="D45" i="6"/>
  <c r="D44" i="6"/>
  <c r="D41" i="6"/>
  <c r="B172" i="6" l="1"/>
  <c r="B171" i="6"/>
  <c r="B156" i="6"/>
  <c r="B155" i="6"/>
  <c r="B164" i="6"/>
  <c r="B163" i="6"/>
  <c r="B147" i="6"/>
  <c r="B148" i="6"/>
  <c r="F76" i="8"/>
  <c r="F128" i="6" s="1"/>
  <c r="F77" i="8"/>
  <c r="F129" i="6" s="1"/>
  <c r="F130" i="6"/>
  <c r="I13" i="9" l="1"/>
  <c r="I11" i="9"/>
  <c r="I7" i="9"/>
  <c r="I10" i="9"/>
  <c r="I12" i="9"/>
  <c r="I8" i="9"/>
  <c r="I9" i="9"/>
  <c r="D7" i="8"/>
  <c r="D8" i="8"/>
  <c r="D9" i="8"/>
  <c r="D6" i="8"/>
  <c r="Q98" i="2" l="1"/>
  <c r="G38" i="3"/>
  <c r="G37" i="3"/>
  <c r="D81" i="3"/>
  <c r="D80" i="3"/>
  <c r="C81" i="3"/>
  <c r="C80" i="3"/>
  <c r="C69" i="3"/>
  <c r="H24" i="3" l="1"/>
  <c r="C37" i="9"/>
  <c r="D70" i="10" s="1"/>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66" i="2" s="1"/>
  <c r="C58" i="2" s="1"/>
  <c r="D79" i="3"/>
  <c r="D82" i="3" s="1"/>
  <c r="H42" i="3" s="1"/>
  <c r="C9" i="8" s="1"/>
  <c r="C88" i="3" s="1"/>
  <c r="D88" i="3" s="1"/>
  <c r="C79" i="3"/>
  <c r="C82" i="3" s="1"/>
  <c r="G42" i="3" s="1"/>
  <c r="B47" i="3"/>
  <c r="D83" i="9"/>
  <c r="D77" i="9"/>
  <c r="D60" i="9"/>
  <c r="D57" i="9"/>
  <c r="D51" i="9"/>
  <c r="D42" i="9"/>
  <c r="D39" i="9"/>
  <c r="D27" i="9"/>
  <c r="D33" i="9"/>
  <c r="D12" i="8"/>
  <c r="C11" i="8"/>
  <c r="D10" i="8"/>
  <c r="B78" i="8"/>
  <c r="B130" i="6" s="1"/>
  <c r="B77" i="8"/>
  <c r="B129" i="6" s="1"/>
  <c r="B76" i="8"/>
  <c r="B128" i="6" s="1"/>
  <c r="B75" i="8"/>
  <c r="B127" i="6" s="1"/>
  <c r="B74" i="8"/>
  <c r="B126" i="6" s="1"/>
  <c r="C74" i="8"/>
  <c r="C126" i="12" s="1"/>
  <c r="C55" i="9"/>
  <c r="C49" i="9"/>
  <c r="D73" i="10" s="1"/>
  <c r="C40" i="9"/>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8" i="2"/>
  <c r="C60" i="2" s="1"/>
  <c r="F75" i="8" l="1"/>
  <c r="F127" i="6" s="1"/>
  <c r="F70" i="10"/>
  <c r="D74" i="8"/>
  <c r="D126" i="6" s="1"/>
  <c r="D69" i="10"/>
  <c r="F55" i="8"/>
  <c r="F64" i="8" s="1"/>
  <c r="C126" i="6"/>
  <c r="C113" i="6"/>
  <c r="C114" i="6" s="1"/>
  <c r="G67" i="2"/>
  <c r="C67" i="2" s="1"/>
  <c r="C59" i="2" s="1"/>
  <c r="C77" i="8" l="1"/>
  <c r="C129" i="12" s="1"/>
  <c r="C31" i="9"/>
  <c r="D78" i="8"/>
  <c r="D130" i="6" s="1"/>
  <c r="C25" i="9"/>
  <c r="C76" i="8"/>
  <c r="C128" i="12" s="1"/>
  <c r="C78" i="8"/>
  <c r="C130" i="12" s="1"/>
  <c r="D75" i="8"/>
  <c r="D127" i="6" s="1"/>
  <c r="C75" i="8"/>
  <c r="C127" i="12" s="1"/>
  <c r="C17" i="8"/>
  <c r="C16" i="8"/>
  <c r="Q97" i="2"/>
  <c r="D51" i="8"/>
  <c r="A71" i="8"/>
  <c r="A70" i="8"/>
  <c r="D77" i="8" l="1"/>
  <c r="D129" i="6" s="1"/>
  <c r="D72" i="10"/>
  <c r="D76" i="8"/>
  <c r="D128" i="6" s="1"/>
  <c r="D71" i="10"/>
  <c r="C61" i="2"/>
  <c r="C63" i="2" s="1"/>
  <c r="D55" i="8"/>
  <c r="C128" i="6"/>
  <c r="B55" i="8"/>
  <c r="B64" i="8" s="1"/>
  <c r="C130" i="6"/>
  <c r="C55" i="8"/>
  <c r="C129" i="6"/>
  <c r="E55" i="8"/>
  <c r="C12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H32" i="3"/>
  <c r="H27" i="3" s="1"/>
  <c r="H29" i="3" s="1"/>
  <c r="D46" i="3" s="1"/>
  <c r="D47" i="3" s="1"/>
  <c r="D64" i="8"/>
  <c r="E64" i="8"/>
  <c r="A67" i="8"/>
  <c r="A68" i="8"/>
  <c r="A69" i="8"/>
  <c r="A66" i="8"/>
  <c r="D4" i="8"/>
  <c r="C48" i="6" l="1"/>
  <c r="C48" i="12"/>
  <c r="C119" i="6"/>
  <c r="C119" i="12"/>
  <c r="I65" i="4"/>
  <c r="M90" i="2" s="1"/>
  <c r="J65" i="4"/>
  <c r="N90" i="2" s="1"/>
  <c r="K65" i="4"/>
  <c r="O90" i="2" s="1"/>
  <c r="L65" i="4"/>
  <c r="P90" i="2" s="1"/>
  <c r="M65" i="4"/>
  <c r="C103" i="2" l="1"/>
  <c r="C104" i="2"/>
  <c r="M76" i="4"/>
  <c r="E79" i="4"/>
  <c r="I105" i="2" s="1"/>
  <c r="F79" i="4"/>
  <c r="J105" i="2" s="1"/>
  <c r="G79" i="4"/>
  <c r="K105" i="2" s="1"/>
  <c r="H79" i="4"/>
  <c r="L105" i="2" s="1"/>
  <c r="I79" i="4"/>
  <c r="M105" i="2" s="1"/>
  <c r="J79" i="4"/>
  <c r="N105" i="2" s="1"/>
  <c r="K79" i="4"/>
  <c r="O105" i="2" s="1"/>
  <c r="L79" i="4"/>
  <c r="P105" i="2" s="1"/>
  <c r="M79" i="4"/>
  <c r="Q105" i="2" s="1"/>
  <c r="E80" i="4"/>
  <c r="I106" i="2" s="1"/>
  <c r="F80" i="4"/>
  <c r="J106" i="2" s="1"/>
  <c r="G80" i="4"/>
  <c r="K106" i="2" s="1"/>
  <c r="H80" i="4"/>
  <c r="L106" i="2" s="1"/>
  <c r="I80" i="4"/>
  <c r="M106" i="2" s="1"/>
  <c r="J80" i="4"/>
  <c r="N106" i="2" s="1"/>
  <c r="K80" i="4"/>
  <c r="O106" i="2" s="1"/>
  <c r="L80" i="4"/>
  <c r="P106" i="2" s="1"/>
  <c r="M80" i="4"/>
  <c r="Q106" i="2" s="1"/>
  <c r="C79" i="4"/>
  <c r="D79" i="4"/>
  <c r="H105" i="2" s="1"/>
  <c r="C77" i="4"/>
  <c r="C78" i="4"/>
  <c r="M68" i="4"/>
  <c r="B72" i="4"/>
  <c r="B70" i="4"/>
  <c r="B68" i="4"/>
  <c r="C15" i="6"/>
  <c r="D1" i="4"/>
  <c r="D11" i="8" l="1"/>
  <c r="K76" i="4"/>
  <c r="L76" i="4"/>
  <c r="J76" i="4"/>
  <c r="I76" i="4"/>
  <c r="H76" i="4"/>
  <c r="F76" i="4"/>
  <c r="E76" i="4"/>
  <c r="G76" i="4"/>
  <c r="C46" i="4" l="1"/>
  <c r="G14" i="2" s="1"/>
  <c r="C47" i="4"/>
  <c r="C48" i="4"/>
  <c r="G15" i="2" s="1"/>
  <c r="C66" i="3"/>
  <c r="C108" i="12" s="1"/>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C90" i="2" s="1"/>
  <c r="G105" i="2"/>
  <c r="E77" i="4"/>
  <c r="F77" i="4"/>
  <c r="G77" i="4"/>
  <c r="H77" i="4"/>
  <c r="E78" i="4"/>
  <c r="F78" i="4"/>
  <c r="G78" i="4"/>
  <c r="H78" i="4"/>
  <c r="D78" i="4"/>
  <c r="D80" i="4"/>
  <c r="H106" i="2" s="1"/>
  <c r="D77" i="4"/>
  <c r="C77" i="9" l="1"/>
  <c r="C143" i="12" s="1"/>
  <c r="C94" i="2"/>
  <c r="C70" i="12" s="1"/>
  <c r="P9" i="2"/>
  <c r="L62" i="4"/>
  <c r="P10" i="2" s="1"/>
  <c r="N9" i="2"/>
  <c r="J62" i="4"/>
  <c r="N10" i="2" s="1"/>
  <c r="M9" i="2"/>
  <c r="I62" i="4"/>
  <c r="M10" i="2" s="1"/>
  <c r="L9" i="2"/>
  <c r="H62" i="4"/>
  <c r="L10" i="2" s="1"/>
  <c r="K9" i="2"/>
  <c r="G62" i="4"/>
  <c r="K10" i="2" s="1"/>
  <c r="I9" i="2"/>
  <c r="E62" i="4"/>
  <c r="I10" i="2" s="1"/>
  <c r="H9" i="2"/>
  <c r="D62" i="4"/>
  <c r="H10" i="2" s="1"/>
  <c r="O9" i="2"/>
  <c r="K62" i="4"/>
  <c r="O10" i="2" s="1"/>
  <c r="G9" i="2"/>
  <c r="C62" i="4"/>
  <c r="G10" i="2" s="1"/>
  <c r="J9" i="2"/>
  <c r="F62" i="4"/>
  <c r="J10" i="2" s="1"/>
  <c r="K45" i="4"/>
  <c r="L45" i="4"/>
  <c r="C34" i="2"/>
  <c r="C70" i="3"/>
  <c r="C69" i="2" s="1"/>
  <c r="C108" i="6"/>
  <c r="J45" i="4"/>
  <c r="I45" i="4"/>
  <c r="G35" i="3"/>
  <c r="G40" i="3"/>
  <c r="D58" i="3"/>
  <c r="D76" i="4"/>
  <c r="C45" i="4"/>
  <c r="F45" i="4"/>
  <c r="D45" i="4"/>
  <c r="G45" i="4"/>
  <c r="E45" i="4"/>
  <c r="H45" i="4"/>
  <c r="I41" i="4"/>
  <c r="M33" i="2" s="1"/>
  <c r="J41" i="4"/>
  <c r="N33" i="2" s="1"/>
  <c r="K41" i="4"/>
  <c r="O33" i="2" s="1"/>
  <c r="L41" i="4"/>
  <c r="P33" i="2" s="1"/>
  <c r="M41" i="4"/>
  <c r="Q33" i="2" s="1"/>
  <c r="D41" i="4"/>
  <c r="H33" i="2" s="1"/>
  <c r="G36" i="4"/>
  <c r="H36" i="4"/>
  <c r="I36" i="4"/>
  <c r="J36" i="4"/>
  <c r="K36" i="4"/>
  <c r="L36" i="4"/>
  <c r="M36" i="4"/>
  <c r="C36" i="4"/>
  <c r="B39" i="2"/>
  <c r="B38" i="2"/>
  <c r="B29" i="2"/>
  <c r="C91" i="9" l="1"/>
  <c r="C103" i="9"/>
  <c r="C70" i="6"/>
  <c r="C91" i="2"/>
  <c r="C4" i="10" s="1"/>
  <c r="C143" i="6"/>
  <c r="C97" i="9"/>
  <c r="G72" i="4"/>
  <c r="I72" i="4"/>
  <c r="F72" i="4"/>
  <c r="E72" i="4"/>
  <c r="D72" i="4"/>
  <c r="J72" i="4"/>
  <c r="H72" i="4"/>
  <c r="L69" i="4"/>
  <c r="L70" i="4"/>
  <c r="L72" i="4"/>
  <c r="L71" i="4"/>
  <c r="K72" i="4"/>
  <c r="C72" i="4"/>
  <c r="I4" i="9"/>
  <c r="I5" i="9"/>
  <c r="C81" i="9"/>
  <c r="C9" i="2"/>
  <c r="G41" i="3"/>
  <c r="G32" i="3"/>
  <c r="G27" i="3" s="1"/>
  <c r="L68" i="4"/>
  <c r="D68" i="4"/>
  <c r="K68" i="4"/>
  <c r="C68" i="4"/>
  <c r="J68" i="4"/>
  <c r="I68" i="4"/>
  <c r="E68" i="4"/>
  <c r="H68" i="4"/>
  <c r="G68" i="4"/>
  <c r="F68" i="4"/>
  <c r="J4" i="2"/>
  <c r="Q4" i="2"/>
  <c r="Q92" i="2" s="1"/>
  <c r="P4" i="2"/>
  <c r="I4" i="2"/>
  <c r="G4" i="2"/>
  <c r="G94"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43" i="4"/>
  <c r="D44" i="4" s="1"/>
  <c r="F43" i="4"/>
  <c r="F44" i="4" s="1"/>
  <c r="F71" i="4" s="1"/>
  <c r="L38" i="4"/>
  <c r="L43" i="4" s="1"/>
  <c r="L44" i="4" s="1"/>
  <c r="L58" i="4" s="1"/>
  <c r="P62" i="2" s="1"/>
  <c r="E43" i="4"/>
  <c r="M38" i="4"/>
  <c r="P94" i="2" l="1"/>
  <c r="O94" i="2"/>
  <c r="K94" i="2"/>
  <c r="N94" i="2"/>
  <c r="L94" i="2"/>
  <c r="M94" i="2"/>
  <c r="C44" i="6"/>
  <c r="C44" i="12"/>
  <c r="J94" i="2"/>
  <c r="I94" i="2"/>
  <c r="H94" i="2"/>
  <c r="C147" i="6"/>
  <c r="C147" i="12"/>
  <c r="C163" i="6"/>
  <c r="C163" i="12"/>
  <c r="C171" i="6"/>
  <c r="C171" i="12"/>
  <c r="C155" i="6"/>
  <c r="C155" i="12"/>
  <c r="Q121" i="2"/>
  <c r="Q118" i="2"/>
  <c r="Q119" i="2"/>
  <c r="G91" i="2"/>
  <c r="Q127" i="2"/>
  <c r="Q48" i="2"/>
  <c r="Q91" i="2"/>
  <c r="E70" i="4"/>
  <c r="J71" i="4"/>
  <c r="K70" i="4"/>
  <c r="K71" i="4"/>
  <c r="G70" i="4"/>
  <c r="F70" i="4"/>
  <c r="M127" i="2"/>
  <c r="M91" i="2"/>
  <c r="I71" i="4"/>
  <c r="N127" i="2"/>
  <c r="N91" i="2"/>
  <c r="P127" i="2"/>
  <c r="P91" i="2"/>
  <c r="J69" i="4"/>
  <c r="F69" i="4"/>
  <c r="G69" i="4"/>
  <c r="O127" i="2"/>
  <c r="O91" i="2"/>
  <c r="I69" i="4"/>
  <c r="H70" i="4"/>
  <c r="J70" i="4"/>
  <c r="L127" i="2"/>
  <c r="L91" i="2"/>
  <c r="K69" i="4"/>
  <c r="H69" i="4"/>
  <c r="I70" i="4"/>
  <c r="D70" i="4"/>
  <c r="C70" i="4"/>
  <c r="D69" i="4"/>
  <c r="I91" i="2"/>
  <c r="K127" i="2"/>
  <c r="K91" i="2"/>
  <c r="J91" i="2"/>
  <c r="H91" i="2"/>
  <c r="E69" i="4"/>
  <c r="C69" i="4"/>
  <c r="C31" i="4"/>
  <c r="C80" i="4" s="1"/>
  <c r="C76" i="4" s="1"/>
  <c r="G114" i="2"/>
  <c r="G127" i="2"/>
  <c r="H114" i="2"/>
  <c r="H127" i="2"/>
  <c r="J114" i="2"/>
  <c r="J127" i="2"/>
  <c r="I114" i="2"/>
  <c r="I127" i="2"/>
  <c r="K114" i="2"/>
  <c r="M114" i="2"/>
  <c r="L114" i="2"/>
  <c r="N114" i="2"/>
  <c r="P114" i="2"/>
  <c r="O114" i="2"/>
  <c r="Q114" i="2"/>
  <c r="Q115" i="2"/>
  <c r="Q19" i="2"/>
  <c r="Q50" i="2"/>
  <c r="Q12" i="2" s="1"/>
  <c r="Q81" i="2"/>
  <c r="Q43" i="2"/>
  <c r="C12" i="9"/>
  <c r="H102" i="2"/>
  <c r="P102" i="2"/>
  <c r="P120" i="2" s="1"/>
  <c r="M102" i="2"/>
  <c r="N102" i="2"/>
  <c r="Q55" i="2"/>
  <c r="Q125" i="2"/>
  <c r="Q126" i="2"/>
  <c r="Q102" i="2"/>
  <c r="K102" i="2"/>
  <c r="I102" i="2"/>
  <c r="O102" i="2"/>
  <c r="O120" i="2" s="1"/>
  <c r="J102" i="2"/>
  <c r="L102" i="2"/>
  <c r="G111" i="2"/>
  <c r="N104" i="2"/>
  <c r="N110" i="2" s="1"/>
  <c r="N103" i="2"/>
  <c r="N109" i="2" s="1"/>
  <c r="O104" i="2"/>
  <c r="O110" i="2" s="1"/>
  <c r="O103" i="2"/>
  <c r="O109" i="2" s="1"/>
  <c r="J103" i="2"/>
  <c r="J109" i="2" s="1"/>
  <c r="J104" i="2"/>
  <c r="J110" i="2" s="1"/>
  <c r="M104" i="2"/>
  <c r="M110" i="2" s="1"/>
  <c r="M103" i="2"/>
  <c r="M109" i="2" s="1"/>
  <c r="H103" i="2"/>
  <c r="H109" i="2" s="1"/>
  <c r="H104" i="2"/>
  <c r="H110" i="2" s="1"/>
  <c r="I103" i="2"/>
  <c r="I109" i="2" s="1"/>
  <c r="I104" i="2"/>
  <c r="I110" i="2" s="1"/>
  <c r="P103" i="2"/>
  <c r="P109" i="2" s="1"/>
  <c r="P104" i="2"/>
  <c r="P110" i="2" s="1"/>
  <c r="Q8" i="2"/>
  <c r="Q103" i="2"/>
  <c r="Q104" i="2"/>
  <c r="K104" i="2"/>
  <c r="K110" i="2" s="1"/>
  <c r="K103" i="2"/>
  <c r="K109" i="2" s="1"/>
  <c r="L103" i="2"/>
  <c r="L109" i="2" s="1"/>
  <c r="L104" i="2"/>
  <c r="L110" i="2" s="1"/>
  <c r="H61" i="2"/>
  <c r="H11" i="2" s="1"/>
  <c r="G61" i="2"/>
  <c r="I61" i="2"/>
  <c r="I11" i="2" s="1"/>
  <c r="Q61" i="2"/>
  <c r="Q11" i="2" s="1"/>
  <c r="Q63" i="2"/>
  <c r="M61" i="2"/>
  <c r="P61" i="2"/>
  <c r="P11" i="2" s="1"/>
  <c r="P79" i="2" s="1"/>
  <c r="J61" i="2"/>
  <c r="J11" i="2" s="1"/>
  <c r="N61" i="2"/>
  <c r="K61" i="2"/>
  <c r="K11" i="2" s="1"/>
  <c r="O61" i="2"/>
  <c r="O11" i="2" s="1"/>
  <c r="O79" i="2" s="1"/>
  <c r="L61" i="2"/>
  <c r="L11" i="2" s="1"/>
  <c r="F58" i="4"/>
  <c r="J62" i="2" s="1"/>
  <c r="D58" i="4"/>
  <c r="H62" i="2" s="1"/>
  <c r="G58" i="4"/>
  <c r="H44" i="4"/>
  <c r="E44" i="4"/>
  <c r="C44" i="4"/>
  <c r="Q13" i="2"/>
  <c r="Q16" i="2"/>
  <c r="C106" i="2"/>
  <c r="G53" i="2"/>
  <c r="M97" i="2"/>
  <c r="O97" i="2"/>
  <c r="P97" i="2"/>
  <c r="N97" i="2"/>
  <c r="L97" i="2"/>
  <c r="G97" i="2"/>
  <c r="I97" i="2"/>
  <c r="C102" i="2"/>
  <c r="D59" i="3"/>
  <c r="K97" i="2"/>
  <c r="H97" i="2"/>
  <c r="J97" i="2"/>
  <c r="Q120" i="2"/>
  <c r="Q109" i="2"/>
  <c r="Q110" i="2"/>
  <c r="K82" i="2"/>
  <c r="Q79" i="2"/>
  <c r="J29" i="2"/>
  <c r="P83" i="2"/>
  <c r="G78" i="2"/>
  <c r="G103" i="2"/>
  <c r="G109" i="2" s="1"/>
  <c r="G104" i="2"/>
  <c r="G110" i="2" s="1"/>
  <c r="L83" i="2"/>
  <c r="J77" i="2"/>
  <c r="P77" i="2"/>
  <c r="I25" i="2"/>
  <c r="I30" i="2" s="1"/>
  <c r="Q35" i="2"/>
  <c r="Q7" i="2" s="1"/>
  <c r="Q77" i="2"/>
  <c r="H29" i="2"/>
  <c r="Q6" i="2"/>
  <c r="Q83" i="2"/>
  <c r="Q38" i="2"/>
  <c r="Q75" i="2"/>
  <c r="Q87" i="2"/>
  <c r="K25" i="2"/>
  <c r="K30" i="2" s="1"/>
  <c r="I82" i="2"/>
  <c r="Q84" i="2"/>
  <c r="Q80" i="2"/>
  <c r="Q82" i="2"/>
  <c r="Q73" i="2"/>
  <c r="Q25" i="2"/>
  <c r="Q5" i="2" s="1"/>
  <c r="P98"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O30" i="2" l="1"/>
  <c r="O74" i="2"/>
  <c r="O8" i="2"/>
  <c r="H58" i="4"/>
  <c r="L62" i="2" s="1"/>
  <c r="G71" i="4"/>
  <c r="H71" i="4"/>
  <c r="O40" i="2"/>
  <c r="O63" i="2"/>
  <c r="O73" i="2"/>
  <c r="C58" i="4"/>
  <c r="C71" i="4"/>
  <c r="E58" i="4"/>
  <c r="I62" i="2" s="1"/>
  <c r="E71" i="4"/>
  <c r="D71" i="4"/>
  <c r="G106" i="2"/>
  <c r="G102" i="2" s="1"/>
  <c r="G120" i="2" s="1"/>
  <c r="P40" i="2"/>
  <c r="P30" i="2"/>
  <c r="P63" i="2"/>
  <c r="P6" i="2"/>
  <c r="P73" i="2"/>
  <c r="C28" i="2"/>
  <c r="C23" i="2" s="1"/>
  <c r="C49" i="2"/>
  <c r="C29" i="2"/>
  <c r="C24" i="2" s="1"/>
  <c r="C111" i="2"/>
  <c r="G30" i="2"/>
  <c r="C17" i="2"/>
  <c r="M63" i="2"/>
  <c r="M11" i="2"/>
  <c r="N63" i="2"/>
  <c r="N11" i="2"/>
  <c r="G69" i="2"/>
  <c r="G11" i="2"/>
  <c r="N73" i="2"/>
  <c r="M6" i="2"/>
  <c r="M8" i="2" s="1"/>
  <c r="C97" i="2"/>
  <c r="J63" i="2"/>
  <c r="J79" i="2" s="1"/>
  <c r="H63" i="2"/>
  <c r="H79" i="2" s="1"/>
  <c r="N40" i="2"/>
  <c r="N120" i="2"/>
  <c r="M120" i="2"/>
  <c r="M40" i="2"/>
  <c r="N6" i="2"/>
  <c r="N8" i="2" s="1"/>
  <c r="M30" i="2"/>
  <c r="M73" i="2"/>
  <c r="N30" i="2"/>
  <c r="K62" i="2"/>
  <c r="G62" i="2"/>
  <c r="G63" i="2" s="1"/>
  <c r="C120" i="2"/>
  <c r="C55" i="3"/>
  <c r="L120" i="2"/>
  <c r="J120" i="2"/>
  <c r="H120" i="2"/>
  <c r="K120" i="2"/>
  <c r="I120" i="2"/>
  <c r="H5" i="2"/>
  <c r="I5" i="2"/>
  <c r="C109" i="2"/>
  <c r="C110" i="2"/>
  <c r="K5" i="2"/>
  <c r="J7" i="2"/>
  <c r="J75" i="2" s="1"/>
  <c r="C77" i="2"/>
  <c r="C78" i="2" s="1"/>
  <c r="L5" i="2"/>
  <c r="G7" i="2"/>
  <c r="G75" i="2" s="1"/>
  <c r="J5" i="2"/>
  <c r="C38" i="2"/>
  <c r="C39" i="2"/>
  <c r="L7" i="2"/>
  <c r="L75" i="2" s="1"/>
  <c r="H7" i="2"/>
  <c r="H75" i="2" s="1"/>
  <c r="G5" i="2"/>
  <c r="G73" i="2" s="1"/>
  <c r="K7" i="2"/>
  <c r="K75" i="2" s="1"/>
  <c r="K40" i="2"/>
  <c r="I7" i="2"/>
  <c r="I75" i="2" s="1"/>
  <c r="C35" i="2"/>
  <c r="C7" i="2" s="1"/>
  <c r="C76" i="6" l="1"/>
  <c r="C76" i="12"/>
  <c r="D76" i="6"/>
  <c r="D76" i="12"/>
  <c r="C62" i="6"/>
  <c r="C62" i="12"/>
  <c r="M74" i="2"/>
  <c r="O55" i="2"/>
  <c r="O76" i="2"/>
  <c r="M55" i="2"/>
  <c r="M79" i="2"/>
  <c r="P74" i="2"/>
  <c r="P8" i="2"/>
  <c r="N79" i="2"/>
  <c r="N55" i="2"/>
  <c r="C25" i="2"/>
  <c r="C10" i="2"/>
  <c r="C45" i="12" s="1"/>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55" i="2"/>
  <c r="P76" i="2"/>
  <c r="C30" i="2"/>
  <c r="C5" i="2"/>
  <c r="C6" i="2" s="1"/>
  <c r="C8" i="2" s="1"/>
  <c r="C41" i="12" s="1"/>
  <c r="C45" i="6"/>
  <c r="I55" i="2"/>
  <c r="H55" i="2"/>
  <c r="J55" i="2"/>
  <c r="G55" i="2"/>
  <c r="C7" i="9"/>
  <c r="K55" i="2"/>
  <c r="C13" i="9"/>
  <c r="G79" i="2"/>
  <c r="L74" i="2"/>
  <c r="I74" i="2"/>
  <c r="H74" i="2"/>
  <c r="G74" i="2"/>
  <c r="K74" i="2"/>
  <c r="J74" i="2"/>
  <c r="C105" i="2"/>
  <c r="D55" i="3" l="1"/>
  <c r="G29" i="3"/>
  <c r="D62" i="3" s="1"/>
  <c r="D51" i="3" l="1"/>
  <c r="C46" i="3"/>
  <c r="C47" i="3" s="1"/>
  <c r="C62" i="3"/>
  <c r="C83" i="2" s="1"/>
  <c r="C15" i="2" l="1"/>
  <c r="C56" i="12" s="1"/>
  <c r="G1" i="2"/>
  <c r="C56" i="6" l="1"/>
  <c r="D73" i="3"/>
  <c r="C73" i="3"/>
  <c r="C74" i="3" s="1"/>
  <c r="F1" i="3"/>
  <c r="H1" i="2"/>
  <c r="E1" i="4"/>
  <c r="F1" i="4" s="1"/>
  <c r="G1" i="4" s="1"/>
  <c r="H1" i="4" s="1"/>
  <c r="I1" i="4" s="1"/>
  <c r="J1" i="4" s="1"/>
  <c r="K1" i="4" s="1"/>
  <c r="L1" i="4" s="1"/>
  <c r="M1" i="4" s="1"/>
  <c r="D74" i="3" l="1"/>
  <c r="D76" i="3" s="1"/>
  <c r="C6" i="9"/>
  <c r="D75" i="3" l="1"/>
  <c r="Q117" i="2"/>
  <c r="C48" i="2" l="1"/>
  <c r="C51" i="12" s="1"/>
  <c r="D66" i="3"/>
  <c r="C73" i="2"/>
  <c r="C41" i="3"/>
  <c r="C8" i="8" l="1"/>
  <c r="L48" i="2"/>
  <c r="L50" i="2" s="1"/>
  <c r="L12" i="2" s="1"/>
  <c r="L119" i="2" s="1"/>
  <c r="K48" i="2"/>
  <c r="K50" i="2" s="1"/>
  <c r="K12" i="2" s="1"/>
  <c r="M48" i="2"/>
  <c r="M50" i="2" s="1"/>
  <c r="M12" i="2" s="1"/>
  <c r="M119" i="2" s="1"/>
  <c r="P48" i="2"/>
  <c r="P50" i="2" s="1"/>
  <c r="P12" i="2" s="1"/>
  <c r="P119" i="2" s="1"/>
  <c r="O48" i="2"/>
  <c r="O50" i="2" s="1"/>
  <c r="O12" i="2" s="1"/>
  <c r="O119" i="2" s="1"/>
  <c r="N48" i="2"/>
  <c r="N50" i="2" s="1"/>
  <c r="N12" i="2" s="1"/>
  <c r="N119" i="2" s="1"/>
  <c r="G48" i="2"/>
  <c r="G50" i="2" s="1"/>
  <c r="G12" i="2" s="1"/>
  <c r="J48" i="2"/>
  <c r="J50" i="2" s="1"/>
  <c r="J12" i="2" s="1"/>
  <c r="H48" i="2"/>
  <c r="H50" i="2" s="1"/>
  <c r="H12" i="2" s="1"/>
  <c r="I48" i="2"/>
  <c r="I50" i="2" s="1"/>
  <c r="I12" i="2" s="1"/>
  <c r="C51" i="6"/>
  <c r="C31" i="3"/>
  <c r="K43" i="2" l="1"/>
  <c r="K119" i="2"/>
  <c r="I80" i="2"/>
  <c r="I119" i="2"/>
  <c r="H80" i="2"/>
  <c r="H119" i="2"/>
  <c r="J80" i="2"/>
  <c r="J119" i="2"/>
  <c r="C109" i="6"/>
  <c r="C110" i="6" s="1"/>
  <c r="C109" i="12"/>
  <c r="C110" i="12" s="1"/>
  <c r="G43" i="2"/>
  <c r="G119" i="2"/>
  <c r="C87" i="3"/>
  <c r="D87" i="3" s="1"/>
  <c r="E69" i="10"/>
  <c r="E73" i="10"/>
  <c r="E71" i="10"/>
  <c r="E72" i="10"/>
  <c r="E70" i="10"/>
  <c r="O80" i="2"/>
  <c r="O13" i="2"/>
  <c r="O43" i="2"/>
  <c r="L80" i="2"/>
  <c r="L43" i="2"/>
  <c r="K80" i="2"/>
  <c r="P80" i="2"/>
  <c r="P13" i="2"/>
  <c r="P43" i="2"/>
  <c r="M80" i="2"/>
  <c r="M43" i="2"/>
  <c r="J43" i="2"/>
  <c r="H43" i="2"/>
  <c r="I43" i="2"/>
  <c r="N80" i="2"/>
  <c r="N43" i="2"/>
  <c r="G80" i="2"/>
  <c r="C41" i="6"/>
  <c r="C74" i="2"/>
  <c r="C32" i="3"/>
  <c r="G31" i="3"/>
  <c r="B1" i="2"/>
  <c r="C104" i="6" l="1"/>
  <c r="C104" i="12"/>
  <c r="P121" i="2"/>
  <c r="P117" i="2" s="1"/>
  <c r="O121" i="2"/>
  <c r="O117" i="2" s="1"/>
  <c r="D75" i="6"/>
  <c r="D75" i="12"/>
  <c r="O81" i="2"/>
  <c r="O118" i="2" s="1"/>
  <c r="O16" i="2"/>
  <c r="C7" i="8"/>
  <c r="P81" i="2"/>
  <c r="P118" i="2" s="1"/>
  <c r="P16" i="2"/>
  <c r="O98" i="2"/>
  <c r="G54" i="2"/>
  <c r="C54" i="2" s="1"/>
  <c r="C86" i="3" l="1"/>
  <c r="D86" i="3" s="1"/>
  <c r="D89" i="3" s="1"/>
  <c r="C102" i="12"/>
  <c r="C103" i="12" s="1"/>
  <c r="C102" i="6"/>
  <c r="C103" i="6" s="1"/>
  <c r="B66" i="8"/>
  <c r="D66" i="8"/>
  <c r="E67" i="8"/>
  <c r="E66" i="8"/>
  <c r="F70" i="8"/>
  <c r="C70" i="8"/>
  <c r="F66" i="8"/>
  <c r="C66" i="8"/>
  <c r="D69" i="8"/>
  <c r="F71" i="8"/>
  <c r="C67" i="8"/>
  <c r="E70" i="8"/>
  <c r="B70" i="8"/>
  <c r="E68" i="8"/>
  <c r="B67" i="8"/>
  <c r="D70" i="8"/>
  <c r="B69" i="8"/>
  <c r="B68" i="8"/>
  <c r="D71" i="8"/>
  <c r="F69" i="8"/>
  <c r="C71" i="8"/>
  <c r="C69" i="8"/>
  <c r="C68" i="8"/>
  <c r="D67" i="8"/>
  <c r="E71" i="8"/>
  <c r="F67" i="8"/>
  <c r="E69" i="8"/>
  <c r="D68" i="8"/>
  <c r="F68" i="8"/>
  <c r="B71" i="8"/>
  <c r="C89" i="3"/>
  <c r="O84" i="2"/>
  <c r="O19" i="2"/>
  <c r="O92" i="2" s="1"/>
  <c r="O125" i="2"/>
  <c r="O126" i="2" s="1"/>
  <c r="P84" i="2"/>
  <c r="P19" i="2"/>
  <c r="P92" i="2" s="1"/>
  <c r="P125" i="2"/>
  <c r="P126" i="2" s="1"/>
  <c r="C47" i="2"/>
  <c r="C52" i="12" s="1"/>
  <c r="O115" i="2" l="1"/>
  <c r="O87" i="2"/>
  <c r="P115" i="2"/>
  <c r="P87" i="2"/>
  <c r="C55" i="2"/>
  <c r="C52" i="6"/>
  <c r="E78" i="8"/>
  <c r="E130" i="12" s="1"/>
  <c r="C50" i="2"/>
  <c r="C12" i="2" s="1"/>
  <c r="I1" i="2"/>
  <c r="C119" i="2" l="1"/>
  <c r="C53" i="12"/>
  <c r="E130" i="6"/>
  <c r="C51" i="9"/>
  <c r="C13" i="2"/>
  <c r="C14" i="2"/>
  <c r="C53" i="6"/>
  <c r="C80" i="2"/>
  <c r="J1" i="2"/>
  <c r="K1" i="2" s="1"/>
  <c r="L1" i="2" s="1"/>
  <c r="M1" i="2" s="1"/>
  <c r="N1" i="2" s="1"/>
  <c r="O1" i="2" s="1"/>
  <c r="P1" i="2" s="1"/>
  <c r="Q1" i="2" s="1"/>
  <c r="C59" i="6" l="1"/>
  <c r="C59" i="12"/>
  <c r="C75" i="6"/>
  <c r="C75" i="12"/>
  <c r="C121" i="2"/>
  <c r="C16" i="2"/>
  <c r="C19" i="2" s="1"/>
  <c r="C92" i="2" l="1"/>
  <c r="F70" i="12" s="1"/>
  <c r="C68" i="12"/>
  <c r="C73" i="6"/>
  <c r="C73" i="12"/>
  <c r="C16" i="10"/>
  <c r="C46" i="10" s="1"/>
  <c r="C6" i="10"/>
  <c r="C7" i="10" s="1"/>
  <c r="C4" i="8"/>
  <c r="F70" i="6" l="1"/>
  <c r="C44" i="10"/>
  <c r="F44" i="10" s="1"/>
  <c r="C45" i="10"/>
  <c r="F45" i="10" s="1"/>
  <c r="C39" i="10"/>
  <c r="F39" i="10" s="1"/>
  <c r="C43" i="10"/>
  <c r="F43" i="10" s="1"/>
  <c r="C40" i="10"/>
  <c r="F40" i="10" s="1"/>
  <c r="C37" i="10"/>
  <c r="F37" i="10" s="1"/>
  <c r="C36" i="10"/>
  <c r="F36" i="10" s="1"/>
  <c r="C42" i="10"/>
  <c r="F42" i="10" s="1"/>
  <c r="C41" i="10"/>
  <c r="F41" i="10" s="1"/>
  <c r="C38" i="10"/>
  <c r="F38" i="10" s="1"/>
  <c r="C33" i="10"/>
  <c r="F33" i="10" s="1"/>
  <c r="C32" i="10"/>
  <c r="F32" i="10" s="1"/>
  <c r="C29" i="10"/>
  <c r="F29" i="10" s="1"/>
  <c r="C27" i="10"/>
  <c r="F27" i="10" s="1"/>
  <c r="C34" i="10"/>
  <c r="F34" i="10" s="1"/>
  <c r="C31" i="10"/>
  <c r="F31" i="10" s="1"/>
  <c r="C30" i="10"/>
  <c r="F30" i="10" s="1"/>
  <c r="C35" i="10"/>
  <c r="F35" i="10" s="1"/>
  <c r="C26" i="10"/>
  <c r="F26" i="10" s="1"/>
  <c r="C28" i="10"/>
  <c r="F28" i="10" s="1"/>
  <c r="C60" i="10"/>
  <c r="F60" i="10"/>
  <c r="B60" i="10"/>
  <c r="D60" i="10"/>
  <c r="E60" i="10"/>
  <c r="C23" i="10"/>
  <c r="F23" i="10" s="1"/>
  <c r="C19" i="10"/>
  <c r="F19" i="10" s="1"/>
  <c r="F46" i="10"/>
  <c r="C21" i="10"/>
  <c r="F21" i="10" s="1"/>
  <c r="C17" i="10"/>
  <c r="F17" i="10" s="1"/>
  <c r="C25" i="10"/>
  <c r="F25" i="10" s="1"/>
  <c r="F16" i="10"/>
  <c r="C18" i="10"/>
  <c r="F18" i="10" s="1"/>
  <c r="C22" i="10"/>
  <c r="F22" i="10" s="1"/>
  <c r="C20" i="10"/>
  <c r="F20" i="10" s="1"/>
  <c r="C24" i="10"/>
  <c r="F24" i="10" s="1"/>
  <c r="F47" i="10" l="1"/>
  <c r="C13" i="10" s="1"/>
  <c r="C64" i="8"/>
  <c r="A50" i="10" l="1"/>
  <c r="E74" i="8"/>
  <c r="E126" i="12" s="1"/>
  <c r="E75" i="8"/>
  <c r="E127" i="12" s="1"/>
  <c r="E77" i="8"/>
  <c r="E129" i="12" s="1"/>
  <c r="E76" i="8"/>
  <c r="E128" i="12" s="1"/>
  <c r="E129" i="6" l="1"/>
  <c r="C33" i="9"/>
  <c r="E128" i="6"/>
  <c r="C27" i="9"/>
  <c r="E126" i="6"/>
  <c r="C57" i="9"/>
  <c r="E127" i="6"/>
  <c r="C39" i="9"/>
  <c r="C42" i="9" l="1"/>
  <c r="C60" i="9" s="1"/>
  <c r="C92" i="9" l="1"/>
  <c r="C132" i="12"/>
  <c r="C26" i="12" s="1"/>
  <c r="C132" i="6"/>
  <c r="C26" i="6" s="1"/>
  <c r="C82" i="9"/>
  <c r="I6" i="9"/>
  <c r="C87" i="9" s="1"/>
  <c r="E26" i="12" s="1"/>
  <c r="C98" i="9"/>
  <c r="F72" i="9"/>
  <c r="C72" i="9" s="1"/>
  <c r="C104" i="9"/>
  <c r="H76" i="2"/>
  <c r="H13" i="2"/>
  <c r="H121" i="2" l="1"/>
  <c r="H117" i="2" s="1"/>
  <c r="C105" i="9"/>
  <c r="C172" i="12"/>
  <c r="C83" i="9"/>
  <c r="C148" i="12"/>
  <c r="C164" i="6"/>
  <c r="C164" i="12"/>
  <c r="C156" i="6"/>
  <c r="C156" i="12"/>
  <c r="C172" i="6"/>
  <c r="C148" i="6"/>
  <c r="C99" i="9"/>
  <c r="D173" i="6"/>
  <c r="D32" i="6" s="1"/>
  <c r="E26" i="6"/>
  <c r="C93" i="9"/>
  <c r="C157" i="12" s="1"/>
  <c r="C30" i="12" s="1"/>
  <c r="H16" i="2"/>
  <c r="H19" i="2" s="1"/>
  <c r="H92" i="2" s="1"/>
  <c r="H81" i="2"/>
  <c r="H118" i="2" s="1"/>
  <c r="C165" i="6" l="1"/>
  <c r="C31" i="6" s="1"/>
  <c r="C165" i="12"/>
  <c r="C31" i="12" s="1"/>
  <c r="F83" i="9"/>
  <c r="C149" i="12"/>
  <c r="C29" i="12" s="1"/>
  <c r="C149" i="6"/>
  <c r="C29" i="6" s="1"/>
  <c r="C173" i="6"/>
  <c r="C32" i="6" s="1"/>
  <c r="C173" i="12"/>
  <c r="C32" i="12" s="1"/>
  <c r="F99" i="9"/>
  <c r="D165" i="6"/>
  <c r="D31" i="6" s="1"/>
  <c r="D149" i="6"/>
  <c r="D29" i="6" s="1"/>
  <c r="H115" i="2"/>
  <c r="F93" i="9"/>
  <c r="C157" i="6"/>
  <c r="H125" i="2"/>
  <c r="H126" i="2" s="1"/>
  <c r="H84" i="2"/>
  <c r="G76" i="2"/>
  <c r="D54" i="3"/>
  <c r="D50" i="3"/>
  <c r="G13" i="2"/>
  <c r="C167" i="6" l="1"/>
  <c r="C167" i="12"/>
  <c r="C151" i="12"/>
  <c r="C151" i="6"/>
  <c r="C159" i="6"/>
  <c r="C159" i="12"/>
  <c r="G98" i="2"/>
  <c r="G121" i="2"/>
  <c r="D73" i="12" s="1"/>
  <c r="C30" i="6"/>
  <c r="D157" i="6"/>
  <c r="D30" i="6" s="1"/>
  <c r="H87" i="2"/>
  <c r="G16" i="2"/>
  <c r="G19" i="2" s="1"/>
  <c r="G81" i="2"/>
  <c r="G118" i="2" s="1"/>
  <c r="D74" i="12" s="1"/>
  <c r="D74" i="6" l="1"/>
  <c r="G92" i="2"/>
  <c r="C67" i="12"/>
  <c r="G117" i="2"/>
  <c r="D73" i="6"/>
  <c r="G115" i="2"/>
  <c r="G125" i="2"/>
  <c r="G126" i="2" s="1"/>
  <c r="G84" i="2"/>
  <c r="J76" i="2"/>
  <c r="I76" i="2"/>
  <c r="N76" i="2"/>
  <c r="L76" i="2"/>
  <c r="J13" i="2"/>
  <c r="M76" i="2"/>
  <c r="L13" i="2"/>
  <c r="K13" i="2"/>
  <c r="N13" i="2"/>
  <c r="M13" i="2"/>
  <c r="I13" i="2"/>
  <c r="K76" i="2"/>
  <c r="M121" i="2" l="1"/>
  <c r="M117" i="2" s="1"/>
  <c r="N98" i="2"/>
  <c r="N121" i="2"/>
  <c r="N117" i="2" s="1"/>
  <c r="K16" i="2"/>
  <c r="K19" i="2" s="1"/>
  <c r="K92" i="2" s="1"/>
  <c r="K121" i="2"/>
  <c r="K117" i="2" s="1"/>
  <c r="K118" i="2"/>
  <c r="L121" i="2"/>
  <c r="L117" i="2" s="1"/>
  <c r="I121" i="2"/>
  <c r="I117" i="2" s="1"/>
  <c r="J121" i="2"/>
  <c r="J117" i="2" s="1"/>
  <c r="C8" i="9"/>
  <c r="C67" i="6"/>
  <c r="G87" i="2"/>
  <c r="K81" i="2"/>
  <c r="K98" i="2"/>
  <c r="L98" i="2"/>
  <c r="M98" i="2"/>
  <c r="I98" i="2"/>
  <c r="H98" i="2"/>
  <c r="J98" i="2"/>
  <c r="I16" i="2"/>
  <c r="I19" i="2" s="1"/>
  <c r="I92" i="2" s="1"/>
  <c r="I81" i="2"/>
  <c r="I118" i="2" s="1"/>
  <c r="N16" i="2"/>
  <c r="N19" i="2" s="1"/>
  <c r="N92" i="2" s="1"/>
  <c r="N81" i="2"/>
  <c r="N118" i="2" s="1"/>
  <c r="L16" i="2"/>
  <c r="L81" i="2"/>
  <c r="L118" i="2" s="1"/>
  <c r="J16" i="2"/>
  <c r="J19" i="2" s="1"/>
  <c r="J92" i="2" s="1"/>
  <c r="J81" i="2"/>
  <c r="J118" i="2" s="1"/>
  <c r="M16" i="2"/>
  <c r="M81" i="2"/>
  <c r="M118" i="2" s="1"/>
  <c r="K115" i="2" l="1"/>
  <c r="K84" i="2"/>
  <c r="K125" i="2"/>
  <c r="K126" i="2" s="1"/>
  <c r="N84" i="2"/>
  <c r="L125" i="2"/>
  <c r="L126" i="2" s="1"/>
  <c r="L19" i="2"/>
  <c r="N115" i="2"/>
  <c r="I115" i="2"/>
  <c r="J115" i="2"/>
  <c r="M125" i="2"/>
  <c r="M126" i="2" s="1"/>
  <c r="M19" i="2"/>
  <c r="M92" i="2" s="1"/>
  <c r="I125" i="2"/>
  <c r="I126" i="2" s="1"/>
  <c r="J84" i="2"/>
  <c r="N125" i="2"/>
  <c r="N126" i="2" s="1"/>
  <c r="M84" i="2"/>
  <c r="I87" i="2"/>
  <c r="I84" i="2"/>
  <c r="J125" i="2"/>
  <c r="J126" i="2" s="1"/>
  <c r="K87" i="2"/>
  <c r="L84" i="2"/>
  <c r="N87" i="2"/>
  <c r="C76" i="2"/>
  <c r="C50" i="3"/>
  <c r="C54" i="3"/>
  <c r="L87" i="2" l="1"/>
  <c r="L92" i="2"/>
  <c r="C105" i="6"/>
  <c r="C105" i="12"/>
  <c r="M115" i="2"/>
  <c r="L115" i="2"/>
  <c r="C14" i="9"/>
  <c r="M87" i="2"/>
  <c r="C81" i="2"/>
  <c r="C98" i="2"/>
  <c r="J87" i="2"/>
  <c r="C82" i="2"/>
  <c r="C118" i="2" l="1"/>
  <c r="C74" i="12" s="1"/>
  <c r="C125" i="2"/>
  <c r="C74" i="6" l="1"/>
  <c r="C84" i="2"/>
  <c r="C9" i="9"/>
  <c r="C68" i="6" l="1"/>
  <c r="C126" i="2"/>
  <c r="C87" i="2"/>
  <c r="C69" i="6" l="1"/>
  <c r="C69" i="12"/>
  <c r="C6" i="8"/>
  <c r="C21" i="8"/>
  <c r="C93" i="6" l="1"/>
  <c r="C93" i="12"/>
  <c r="C46" i="8"/>
  <c r="F46" i="8" s="1"/>
  <c r="C49" i="8"/>
  <c r="F49" i="8" s="1"/>
  <c r="C43" i="8"/>
  <c r="F43" i="8" s="1"/>
  <c r="C47" i="8"/>
  <c r="F47" i="8" s="1"/>
  <c r="C44" i="8"/>
  <c r="F44" i="8" s="1"/>
  <c r="C45" i="8"/>
  <c r="F45" i="8" s="1"/>
  <c r="C50" i="8"/>
  <c r="F50" i="8" s="1"/>
  <c r="C48" i="8"/>
  <c r="F48" i="8" s="1"/>
  <c r="C41" i="8"/>
  <c r="F41" i="8" s="1"/>
  <c r="C42" i="8"/>
  <c r="F42" i="8" s="1"/>
  <c r="C36" i="8"/>
  <c r="F36" i="8" s="1"/>
  <c r="C39" i="8"/>
  <c r="F39" i="8" s="1"/>
  <c r="C40" i="8"/>
  <c r="F40" i="8" s="1"/>
  <c r="C38" i="8"/>
  <c r="F38" i="8" s="1"/>
  <c r="C37" i="8"/>
  <c r="F37" i="8" s="1"/>
  <c r="C10" i="8"/>
  <c r="C12" i="8" s="1"/>
  <c r="C118" i="12"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8" i="6" l="1"/>
  <c r="C22" i="9"/>
  <c r="C69" i="9" s="1"/>
  <c r="E65" i="8"/>
  <c r="F65" i="8"/>
  <c r="C65" i="8"/>
  <c r="B65" i="8"/>
  <c r="D65" i="8"/>
  <c r="F52" i="8"/>
  <c r="C18" i="8" s="1"/>
  <c r="C66" i="9" s="1"/>
  <c r="C70" i="9" l="1"/>
  <c r="C21" i="6" s="1"/>
  <c r="F105" i="9"/>
  <c r="A55" i="8"/>
  <c r="C175" i="6" l="1"/>
  <c r="C175" i="12"/>
  <c r="C21" i="12"/>
</calcChain>
</file>

<file path=xl/sharedStrings.xml><?xml version="1.0" encoding="utf-8"?>
<sst xmlns="http://schemas.openxmlformats.org/spreadsheetml/2006/main" count="835" uniqueCount="559">
  <si>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</si>
  <si>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</si>
  <si>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</si>
  <si>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</si>
  <si>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</si>
  <si>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</si>
  <si>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</si>
  <si>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</si>
  <si>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</si>
  <si>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</si>
  <si>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</si>
  <si>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</si>
  <si>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</si>
  <si>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</si>
  <si>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</si>
  <si>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</si>
  <si>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</si>
  <si>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</si>
  <si>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</si>
  <si>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</si>
  <si>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</si>
  <si>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</si>
  <si>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</si>
  <si>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</si>
  <si>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</si>
  <si>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</si>
  <si>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</si>
  <si>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</si>
  <si>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</si>
  <si>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</si>
  <si>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</si>
  <si>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</si>
  <si>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</si>
  <si>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</si>
  <si>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</si>
  <si>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</si>
  <si>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</si>
  <si>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</si>
  <si>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</si>
  <si>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</si>
  <si>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</si>
  <si>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</si>
  <si>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</si>
  <si>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</si>
  <si>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</si>
  <si>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</si>
  <si>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</si>
  <si>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</si>
  <si>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</si>
  <si>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</si>
  <si>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</si>
  <si>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</si>
  <si>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</si>
  <si>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</si>
  <si>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</si>
  <si>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</si>
  <si>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</si>
  <si>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</si>
  <si>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</si>
  <si>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</si>
  <si>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</si>
  <si>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</si>
  <si>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</si>
  <si>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</si>
  <si>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</si>
  <si>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</si>
  <si>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</si>
  <si>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</si>
  <si>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</si>
  <si>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</si>
  <si>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</si>
  <si>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</si>
  <si>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</si>
  <si>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</si>
  <si>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</si>
  <si>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</si>
  <si>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</si>
  <si>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</si>
  <si>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</si>
  <si>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</si>
  <si>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</si>
  <si>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</si>
  <si>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</si>
  <si>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</si>
  <si>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</si>
  <si>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</si>
  <si>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</si>
  <si>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</si>
  <si>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</si>
  <si>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</si>
  <si>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</si>
  <si>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</si>
  <si>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</si>
  <si>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</si>
  <si>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</si>
  <si>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</si>
  <si>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</si>
  <si>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</si>
  <si>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</si>
  <si>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</si>
  <si>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</si>
  <si>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</si>
  <si>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</si>
  <si>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</si>
  <si>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</si>
  <si>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</si>
  <si>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</si>
  <si>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</si>
  <si>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</si>
  <si>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</si>
  <si>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</si>
  <si>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</si>
  <si>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</si>
  <si>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</si>
  <si>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</si>
  <si>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</si>
  <si>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</si>
  <si>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</si>
  <si>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</si>
  <si>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</si>
  <si>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</si>
  <si>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</si>
  <si>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</si>
  <si>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</si>
  <si>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</si>
  <si>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</si>
  <si>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</si>
  <si>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</si>
  <si>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</si>
  <si>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</si>
  <si>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</si>
  <si>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</si>
  <si>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</si>
  <si>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</si>
  <si>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</si>
  <si>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</si>
  <si>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</si>
  <si>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</si>
  <si>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</si>
  <si>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</si>
  <si>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</si>
  <si>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</si>
  <si>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</si>
  <si>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</si>
  <si>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</si>
  <si>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</si>
  <si>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</si>
  <si>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</si>
  <si>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</si>
  <si>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</si>
  <si>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</si>
  <si>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</si>
  <si>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</si>
  <si>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</si>
  <si>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</si>
  <si>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</si>
  <si>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</si>
  <si>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</si>
  <si>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</si>
  <si>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</si>
  <si>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</si>
  <si>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</si>
  <si>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</si>
  <si>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</si>
  <si>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</si>
  <si>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</si>
  <si>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</si>
  <si>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</si>
  <si>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</si>
  <si>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</si>
  <si>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</si>
  <si>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</si>
  <si>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</si>
  <si>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</si>
  <si>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</si>
  <si>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</si>
  <si>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</si>
  <si>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</si>
  <si>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</si>
  <si>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</si>
  <si>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</si>
  <si>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</si>
  <si>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</si>
  <si>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</si>
  <si>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</si>
  <si>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</si>
  <si>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</si>
  <si>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</si>
  <si>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</si>
  <si>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</si>
  <si>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</si>
  <si>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</si>
  <si>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</si>
  <si>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</si>
  <si>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</si>
  <si>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</si>
  <si>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</si>
  <si>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</si>
  <si>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</si>
  <si>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</si>
  <si>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</si>
  <si>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</si>
  <si>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</si>
  <si>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</si>
  <si>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</si>
  <si>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</si>
  <si>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</si>
  <si>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</si>
  <si>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</si>
  <si>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</si>
  <si>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</si>
  <si>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</si>
  <si>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</si>
  <si>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</si>
  <si>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</si>
  <si>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</si>
  <si>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</si>
  <si>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</si>
  <si>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</si>
  <si>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</si>
  <si>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</si>
  <si>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</si>
  <si>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</si>
  <si>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</si>
  <si>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</si>
  <si>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</si>
  <si>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</si>
  <si>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</si>
  <si>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</si>
  <si>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</si>
  <si>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</si>
  <si>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</si>
  <si>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</si>
  <si>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</si>
  <si>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</si>
  <si>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</si>
  <si>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</si>
  <si>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</si>
  <si>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</si>
  <si>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</si>
  <si>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</si>
  <si>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</si>
  <si>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</si>
  <si>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</si>
  <si>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</si>
  <si>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</si>
  <si>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</si>
  <si>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</si>
  <si>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</si>
  <si>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</si>
  <si>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</si>
  <si>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</si>
  <si>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</si>
  <si>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</si>
  <si>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</si>
  <si>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</si>
  <si>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</si>
  <si>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</si>
  <si>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</si>
  <si>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</si>
  <si>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</si>
  <si>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</si>
  <si>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</si>
  <si>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</si>
  <si>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</si>
  <si>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</si>
  <si>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</si>
  <si>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</si>
  <si>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</si>
  <si>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</si>
  <si>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</si>
  <si>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</si>
  <si>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Market Price</t>
    <phoneticPr fontId="2" type="noConversion"/>
  </si>
  <si>
    <t>No Growth Value per share</t>
    <phoneticPr fontId="2" type="noConversion"/>
  </si>
  <si>
    <t>Prompt for fundamental Analysis</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</si>
  <si>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</si>
  <si>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</si>
  <si>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</si>
  <si>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</si>
  <si>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</si>
  <si>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</si>
  <si>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</si>
  <si>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</si>
  <si>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</si>
  <si>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</si>
  <si>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</si>
  <si>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</si>
  <si>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</si>
  <si>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</si>
  <si>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</si>
  <si>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</si>
  <si>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</si>
  <si>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</si>
  <si>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</si>
  <si>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</si>
  <si>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</si>
  <si>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</si>
  <si>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</si>
  <si>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</si>
  <si>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</si>
  <si>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</si>
  <si>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</si>
  <si>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</si>
  <si>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</si>
  <si>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</si>
  <si>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</si>
  <si>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</si>
  <si>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</si>
  <si>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</si>
  <si>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</si>
  <si>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</si>
  <si>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</si>
  <si>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N</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</si>
  <si>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</si>
  <si>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</si>
  <si>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</si>
  <si>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</si>
  <si>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</si>
  <si>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</si>
  <si>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</si>
  <si>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</si>
  <si>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</si>
  <si>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</si>
  <si>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</si>
  <si>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</si>
  <si>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</si>
  <si>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</si>
  <si>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</si>
  <si>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</si>
  <si>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</si>
  <si>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</si>
  <si>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</si>
  <si>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</si>
  <si>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</si>
  <si>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</si>
  <si>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</si>
  <si>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</si>
  <si>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</si>
  <si>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</si>
  <si>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</si>
  <si>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</si>
  <si>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</si>
  <si>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</si>
  <si>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</si>
  <si>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</si>
  <si>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</si>
  <si>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Historical Average or D&amp;A</t>
    <phoneticPr fontId="2" type="noConversion"/>
  </si>
  <si>
    <t>Step 1: Establishing the Company’s Sustainable Earning Power (Calculating Normalized FCFE)</t>
    <phoneticPr fontId="2" type="noConversion"/>
  </si>
  <si>
    <t>Note:</t>
    <phoneticPr fontId="2" type="noConversion"/>
  </si>
  <si>
    <t>Step 3: Adjusting for Financial Structure (Calculating No Growth Equity Value)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</si>
  <si>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</si>
  <si>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</si>
  <si>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</si>
  <si>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</si>
  <si>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</si>
  <si>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</si>
  <si>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</si>
  <si>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</si>
  <si>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</si>
  <si>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</si>
  <si>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</si>
  <si>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</si>
  <si>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</si>
  <si>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</si>
  <si>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</si>
  <si>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</si>
  <si>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</si>
  <si>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</si>
  <si>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</si>
  <si>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</si>
  <si>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</si>
  <si>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</si>
  <si>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</si>
  <si>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</si>
  <si>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</si>
  <si>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</si>
  <si>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</si>
  <si>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</si>
  <si>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</si>
  <si>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</si>
  <si>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</si>
  <si>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</si>
  <si>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</si>
  <si>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</si>
  <si>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</si>
  <si>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@Selling Yield</t>
    <phoneticPr fontId="28"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</si>
  <si>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</si>
  <si>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</si>
  <si>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</si>
  <si>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</si>
  <si>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</si>
  <si>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</si>
  <si>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</si>
  <si>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</si>
  <si>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</si>
  <si>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</si>
  <si>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Company Information</t>
  </si>
  <si>
    <t>Market Currency</t>
  </si>
  <si>
    <t>Listing Information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</si>
  <si>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</si>
  <si>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</si>
  <si>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</si>
  <si>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</si>
  <si>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</si>
  <si>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</si>
  <si>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</si>
  <si>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</si>
  <si>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</si>
  <si>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</si>
  <si>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</si>
  <si>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</si>
  <si>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</si>
  <si>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</si>
  <si>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</si>
  <si>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</si>
  <si>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</si>
  <si>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</si>
  <si>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Valuation Method</t>
  </si>
  <si>
    <t>Dividend</t>
  </si>
  <si>
    <t>Dividend Value</t>
  </si>
  <si>
    <t>No-Growth DDM</t>
  </si>
  <si>
    <t>No-Growth DDM Valuation</t>
  </si>
  <si>
    <t>Dividend Value per share</t>
  </si>
  <si>
    <t>PV of Dividends</t>
  </si>
  <si>
    <t>Dividends</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</si>
  <si>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</si>
  <si>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</si>
  <si>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</si>
  <si>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</si>
  <si>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</si>
  <si>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</si>
  <si>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</si>
  <si>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</si>
  <si>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</si>
  <si>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</si>
  <si>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</si>
  <si>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</si>
  <si>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</si>
  <si>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Divisional Analysis (Optional)</t>
  </si>
  <si>
    <t>模型最后更新日期:</t>
  </si>
  <si>
    <t>执行摘要</t>
  </si>
  <si>
    <t>公司信息</t>
  </si>
  <si>
    <t>上市信息</t>
  </si>
  <si>
    <t>增长分类:</t>
  </si>
  <si>
    <t>对比板块:</t>
  </si>
  <si>
    <t>商业模式风险溢价:</t>
  </si>
  <si>
    <t>管理风险溢价:</t>
  </si>
  <si>
    <t>报告货币:</t>
  </si>
  <si>
    <t>市场隐含年回报率:</t>
  </si>
  <si>
    <t>估值方法</t>
  </si>
  <si>
    <t>估值输出</t>
  </si>
  <si>
    <t>目标价格</t>
  </si>
  <si>
    <t>入场价格</t>
  </si>
  <si>
    <t>卖出价格</t>
  </si>
  <si>
    <t>退出价格</t>
  </si>
  <si>
    <t>持有期</t>
  </si>
  <si>
    <t>入场收益率</t>
  </si>
  <si>
    <t>目标回报率</t>
  </si>
  <si>
    <t>基准收益率</t>
  </si>
  <si>
    <t>步骤1：确定公司可持续盈利能力（计算标准化FCFE）</t>
  </si>
  <si>
    <t>Company Name: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</si>
  <si>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</si>
  <si>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</si>
  <si>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</si>
  <si>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</si>
  <si>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</si>
  <si>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</si>
  <si>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</si>
  <si>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</si>
  <si>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</si>
  <si>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</si>
  <si>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</si>
  <si>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t>Step 2: Calculating the No-Growth Baseline (Calculating Stable Income Value)</t>
  </si>
  <si>
    <r>
      <rPr>
        <b/>
        <i/>
        <sz val="9"/>
        <color rgb="FF000000"/>
        <rFont val="Arial"/>
        <family val="2"/>
        <scheme val="major"/>
      </rPr>
      <t>Goal:</t>
    </r>
    <r>
      <rPr>
        <i/>
        <sz val="9"/>
        <color rgb="FF000000"/>
        <rFont val="Arial"/>
        <family val="2"/>
        <scheme val="major"/>
      </rPr>
      <t xml:space="preserve"> Determine the intrinsic value assuming the current Normalized FCFE remains constant with no growth, providing a conservative baseline.</t>
    </r>
  </si>
  <si>
    <t>Step 4: Incorporating Future Potential (Scenario Analysis)</t>
  </si>
  <si>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</si>
  <si>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</si>
  <si>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t>Step 5: Determining Investment Decisions</t>
  </si>
  <si>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</si>
  <si>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</si>
  <si>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The Cost of Equity is established as an investor’s hurdle rate. This rate serves as an opportunity cost threshold for capital allocation.The model calculates intrinsic value using a standardized base cost of equity as the discount rate in DCF/DDM analysis. This rate serves as the minimum acceptable long-term return threshold, reflecting long-term risk-free rates plus an equity risk premium.</t>
  </si>
  <si>
    <t>公司名称：</t>
  </si>
  <si>
    <t>股份数量：</t>
  </si>
  <si>
    <t>报告间隔：</t>
  </si>
  <si>
    <t>下次更新日期：</t>
  </si>
  <si>
    <t>股票代码：</t>
  </si>
  <si>
    <t>市场价格：</t>
  </si>
  <si>
    <t>市价货币：</t>
  </si>
  <si>
    <t>市值：</t>
  </si>
  <si>
    <t>外汇符号：</t>
  </si>
  <si>
    <t>汇率：</t>
  </si>
  <si>
    <r>
      <rPr>
        <b/>
        <i/>
        <sz val="9"/>
        <color rgb="FF000000"/>
        <rFont val="Arial"/>
        <family val="2"/>
        <scheme val="major"/>
      </rPr>
      <t>指导说明：</t>
    </r>
    <r>
      <rPr>
        <i/>
        <sz val="9"/>
        <color rgb="FF000000"/>
        <rFont val="Arial"/>
        <family val="2"/>
        <scheme val="major"/>
      </rPr>
      <t>该模型使用结构化的投资流程来评估公司，确定其内在价值和目标价格。它关注可持续的自由现金流（FCF）能力，调整财务结构，纳入增长情景，并根据得出的内在价值计算预期回报。</t>
    </r>
  </si>
  <si>
    <t>估值概述</t>
  </si>
  <si>
    <t>基础Equity Cost</t>
  </si>
  <si>
    <r>
      <rPr>
        <b/>
        <i/>
        <sz val="9"/>
        <color rgb="FF000000"/>
        <rFont val="Arial"/>
        <family val="2"/>
        <scheme val="major"/>
      </rPr>
      <t>目标：</t>
    </r>
    <r>
      <rPr>
        <i/>
        <sz val="9"/>
        <color rgb="FF000000"/>
        <rFont val="Arial"/>
        <family val="2"/>
        <scheme val="major"/>
      </rPr>
      <t>量化业务持续生成的潜在自由现金流（FCFE），去除临时波动或会计选择的影响。</t>
    </r>
  </si>
  <si>
    <t>关键组成部分</t>
  </si>
  <si>
    <r>
      <t xml:space="preserve">• </t>
    </r>
    <r>
      <rPr>
        <b/>
        <sz val="9"/>
        <color rgb="FF000000"/>
        <rFont val="Arial"/>
        <family val="2"/>
        <scheme val="major"/>
      </rPr>
      <t>Normalized Operating EBIT</t>
    </r>
    <r>
      <rPr>
        <sz val="9"/>
        <color rgb="FF000000"/>
        <rFont val="Arial"/>
        <family val="2"/>
        <scheme val="major"/>
      </rPr>
      <t>：核心业务运营的税前息前利润，调整以剔除一次性或非经常性项目，形成可持续盈利基础。</t>
    </r>
  </si>
  <si>
    <r>
      <t xml:space="preserve">• </t>
    </r>
    <r>
      <rPr>
        <b/>
        <sz val="9"/>
        <color rgb="FF000000"/>
        <rFont val="Arial"/>
        <family val="2"/>
        <scheme val="major"/>
      </rPr>
      <t>Depreciation &amp; Amortization (D&amp;A):</t>
    </r>
    <r>
      <rPr>
        <sz val="9"/>
        <color rgb="FF000000"/>
        <rFont val="Arial"/>
        <family val="2"/>
        <scheme val="major"/>
      </rPr>
      <t xml:space="preserve"> 非现金费用，加入以反映运营产生的现金。
• </t>
    </r>
    <r>
      <rPr>
        <b/>
        <sz val="9"/>
        <color rgb="FF000000"/>
        <rFont val="Arial"/>
        <family val="2"/>
        <scheme val="major"/>
      </rPr>
      <t>Capital Expenditures (Capex)</t>
    </r>
    <r>
      <rPr>
        <sz val="9"/>
        <color rgb="FF000000"/>
        <rFont val="Arial"/>
        <family val="2"/>
        <scheme val="major"/>
      </rPr>
      <t>: 维持或扩展运营资产所需的现金流出。</t>
    </r>
  </si>
  <si>
    <r>
      <t xml:space="preserve">• </t>
    </r>
    <r>
      <rPr>
        <b/>
        <sz val="9"/>
        <color rgb="FF000000"/>
        <rFont val="Arial"/>
        <family val="2"/>
        <scheme val="major"/>
      </rPr>
      <t xml:space="preserve">Stable Non-Operating EBIT: </t>
    </r>
    <r>
      <rPr>
        <sz val="9"/>
        <color rgb="FF000000"/>
        <rFont val="Arial"/>
        <family val="2"/>
        <scheme val="major"/>
      </rPr>
      <t>来自非核心资产的持续收益，如固定收益投资、支付股息的股票或租赁物业。</t>
    </r>
  </si>
  <si>
    <r>
      <t xml:space="preserve">• </t>
    </r>
    <r>
      <rPr>
        <b/>
        <sz val="9"/>
        <color rgb="FF000000"/>
        <rFont val="Arial"/>
        <family val="2"/>
        <scheme val="major"/>
      </rPr>
      <t>Net Interest Income:</t>
    </r>
    <r>
      <rPr>
        <sz val="9"/>
        <color rgb="FF000000"/>
        <rFont val="Arial"/>
        <family val="2"/>
        <scheme val="major"/>
      </rPr>
      <t xml:space="preserve"> 利息收入减去利息支出</t>
    </r>
  </si>
  <si>
    <r>
      <rPr>
        <b/>
        <sz val="9"/>
        <color rgb="FF000000"/>
        <rFont val="Arial"/>
        <family val="2"/>
        <scheme val="major"/>
      </rPr>
      <t>• NCI’s Share of Profits:</t>
    </r>
    <r>
      <rPr>
        <sz val="9"/>
        <color rgb="FF000000"/>
        <rFont val="Arial"/>
        <family val="2"/>
        <scheme val="major"/>
      </rPr>
      <t xml:space="preserve"> NCI代表子公司中母公司未拥有的股权部分。</t>
    </r>
  </si>
  <si>
    <r>
      <t xml:space="preserve">• </t>
    </r>
    <r>
      <rPr>
        <b/>
        <sz val="9"/>
        <color rgb="FF000000"/>
        <rFont val="Arial"/>
        <family val="2"/>
        <scheme val="major"/>
      </rPr>
      <t>Working Capital Investment (WCInv):</t>
    </r>
    <r>
      <rPr>
        <sz val="9"/>
        <color rgb="FF000000"/>
        <rFont val="Arial"/>
        <family val="2"/>
        <scheme val="major"/>
      </rPr>
      <t xml:space="preserve"> WCInv仅在显著扭曲FCFE时纳入。</t>
    </r>
  </si>
  <si>
    <r>
      <rPr>
        <b/>
        <i/>
        <sz val="9"/>
        <color rgb="FF000000"/>
        <rFont val="Arial"/>
        <family val="2"/>
        <scheme val="major"/>
      </rPr>
      <t>关于净借款的说明：</t>
    </r>
    <r>
      <rPr>
        <i/>
        <sz val="9"/>
        <color rgb="FF000000"/>
        <rFont val="Arial"/>
        <family val="2"/>
        <scheme val="major"/>
      </rPr>
      <t>理论上，本金偿还通过净借款核算。然而，该模型旨在避免明确预测债务发行或偿还。相反，本金偿还通过有息债务在股权价值调整中反映。</t>
    </r>
  </si>
  <si>
    <r>
      <rPr>
        <b/>
        <i/>
        <sz val="9"/>
        <color rgb="FF000000"/>
        <rFont val="Arial"/>
        <family val="2"/>
        <scheme val="major"/>
      </rPr>
      <t>洞察：</t>
    </r>
    <r>
      <rPr>
        <i/>
        <sz val="9"/>
        <color rgb="FF000000"/>
        <rFont val="Arial"/>
        <family val="2"/>
        <scheme val="major"/>
      </rPr>
      <t>这一步骤通过纳入运营和稳定的非运营来源，同时考虑税金和再投资需求，确保现金流的全面衡量。</t>
    </r>
  </si>
  <si>
    <t>最新FCFE =</t>
  </si>
  <si>
    <t>派息比率:</t>
  </si>
  <si>
    <t>最新</t>
  </si>
  <si>
    <t>步骤2：计算无增长基线（计算稳定收入价值）</t>
  </si>
  <si>
    <r>
      <rPr>
        <b/>
        <i/>
        <sz val="9"/>
        <color rgb="FF000000"/>
        <rFont val="Arial"/>
        <family val="2"/>
        <scheme val="major"/>
      </rPr>
      <t>目标：</t>
    </r>
    <r>
      <rPr>
        <i/>
        <sz val="9"/>
        <color rgb="FF000000"/>
        <rFont val="Arial"/>
        <family val="2"/>
        <scheme val="major"/>
      </rPr>
      <t>确定内在价值，假设当前的标准化FCFE保持不变且无增长，提供保守的基线。</t>
    </r>
  </si>
  <si>
    <r>
      <rPr>
        <b/>
        <i/>
        <sz val="9"/>
        <color rgb="FF000000"/>
        <rFont val="Arial"/>
        <family val="2"/>
        <scheme val="major"/>
      </rPr>
      <t>Cost of Equity:</t>
    </r>
    <r>
      <rPr>
        <i/>
        <sz val="9"/>
        <color rgb="FF000000"/>
        <rFont val="Arial"/>
        <family val="2"/>
        <scheme val="major"/>
      </rPr>
      <t xml:space="preserve"> 反映公司的风险概况，代表投资者为承担拥有此类业务一般风险所需的最低回报，而目标年回报率作为投资者要求的回报率。</t>
    </r>
  </si>
  <si>
    <r>
      <rPr>
        <b/>
        <i/>
        <sz val="9"/>
        <color rgb="FF000000"/>
        <rFont val="Arial"/>
        <family val="2"/>
        <scheme val="major"/>
      </rPr>
      <t>Terminal Growth Rate:</t>
    </r>
    <r>
      <rPr>
        <i/>
        <sz val="9"/>
        <color rgb="FF000000"/>
        <rFont val="Arial"/>
        <family val="2"/>
        <scheme val="major"/>
      </rPr>
      <t xml:space="preserve"> 将g设为0%是一个保守假设，仅基于公司当前表现的盈利能力估值，不依赖潜在乐观的未来增长预测。</t>
    </r>
  </si>
  <si>
    <t>步骤3：调整财务结构（计算无增长股权价值）</t>
  </si>
  <si>
    <t>目标：通过纳入公司的资产负债表结构，细化稳定收入价值（SIV）。</t>
  </si>
  <si>
    <r>
      <rPr>
        <b/>
        <i/>
        <sz val="9"/>
        <color rgb="FF000000"/>
        <rFont val="Arial"/>
        <family val="2"/>
        <scheme val="major"/>
      </rPr>
      <t>关于债务的说明：</t>
    </r>
    <r>
      <rPr>
        <i/>
        <sz val="9"/>
        <color rgb="FF000000"/>
        <rFont val="Arial"/>
        <family val="2"/>
        <scheme val="major"/>
      </rPr>
      <t>总有息债务包括本金偿还。理想情况下，应根据偿还时间表贴现。但为简单和保守起见，该模型使用总有息债务的账面价值。</t>
    </r>
  </si>
  <si>
    <t>说明：</t>
  </si>
  <si>
    <t>杜邦分析</t>
  </si>
  <si>
    <t>• Non-Operating Cash: 运营不需要的超额现金</t>
  </si>
  <si>
    <r>
      <t xml:space="preserve">• </t>
    </r>
    <r>
      <rPr>
        <b/>
        <sz val="9"/>
        <color rgb="FF000000"/>
        <rFont val="Arial"/>
        <family val="2"/>
        <scheme val="major"/>
      </rPr>
      <t>Other Non-Operating Assets:</t>
    </r>
    <r>
      <rPr>
        <sz val="9"/>
        <color rgb="FF000000"/>
        <rFont val="Arial"/>
        <family val="2"/>
        <scheme val="major"/>
      </rPr>
      <t xml:space="preserve"> 不贡献FCFE的资产（如非收益性投资或物业）</t>
    </r>
  </si>
  <si>
    <r>
      <rPr>
        <b/>
        <i/>
        <sz val="9"/>
        <color rgb="FF000000"/>
        <rFont val="Arial"/>
        <family val="2"/>
        <scheme val="major"/>
      </rPr>
      <t>洞察：</t>
    </r>
    <r>
      <rPr>
        <i/>
        <sz val="9"/>
        <color rgb="FF000000"/>
        <rFont val="Arial"/>
        <family val="2"/>
        <scheme val="major"/>
      </rPr>
      <t>无增长股权价值每股代表公司在考虑未来增长潜力前，基于当前可持续运营和净财务状况的内在价值估计，作为基本锚定的估值基线。</t>
    </r>
  </si>
  <si>
    <t>无增长股权价值每股 =</t>
  </si>
  <si>
    <t>步骤4：纳入未来潜力（情景分析）</t>
  </si>
  <si>
    <r>
      <rPr>
        <b/>
        <sz val="9"/>
        <color rgb="FF000000"/>
        <rFont val="Arial"/>
        <family val="2"/>
        <scheme val="major"/>
      </rPr>
      <t>目标：</t>
    </r>
    <r>
      <rPr>
        <sz val="9"/>
        <color rgb="FF000000"/>
        <rFont val="Arial"/>
        <family val="2"/>
        <scheme val="major"/>
      </rPr>
      <t>通过建模合理的FCFE/股息、高增长期（HGP）和高增长率（HGR）情景，并按概率加权，估计内在价值。</t>
    </r>
  </si>
  <si>
    <t>情景</t>
  </si>
  <si>
    <t>HGR</t>
  </si>
  <si>
    <t>每股EV</t>
  </si>
  <si>
    <t>概率</t>
  </si>
  <si>
    <r>
      <rPr>
        <b/>
        <i/>
        <sz val="9"/>
        <color rgb="FF000000"/>
        <rFont val="Arial"/>
        <family val="2"/>
        <scheme val="major"/>
      </rPr>
      <t>洞察：</t>
    </r>
    <r>
      <rPr>
        <i/>
        <sz val="9"/>
        <color rgb="FF000000"/>
        <rFont val="Arial"/>
        <family val="2"/>
        <scheme val="major"/>
      </rPr>
      <t>分析市场大幅波动作为市场感知结果范围的指标，包括定义“雪球”或“魔鬼代言人”等情景边界的极端情况。情景分析使用基本推理评估这些情景的可能性。</t>
    </r>
  </si>
  <si>
    <t>步骤5：确定投资决策</t>
  </si>
  <si>
    <r>
      <rPr>
        <b/>
        <i/>
        <sz val="9"/>
        <color rgb="FF000000"/>
        <rFont val="Arial"/>
        <family val="2"/>
        <scheme val="major"/>
      </rPr>
      <t>目标：</t>
    </r>
    <r>
      <rPr>
        <i/>
        <sz val="9"/>
        <color rgb="FF000000"/>
        <rFont val="Arial"/>
        <family val="2"/>
        <scheme val="major"/>
      </rPr>
      <t>将公司内在价值估计（来自步骤4）转化为满足特定投资要求的具体买入价格。</t>
    </r>
  </si>
  <si>
    <r>
      <rPr>
        <b/>
        <i/>
        <sz val="9"/>
        <color rgb="FF000000"/>
        <rFont val="Arial"/>
        <family val="2"/>
        <scheme val="major"/>
      </rPr>
      <t>计算逻辑：</t>
    </r>
    <r>
      <rPr>
        <i/>
        <sz val="9"/>
        <color rgb="FF000000"/>
        <rFont val="Arial"/>
        <family val="2"/>
        <scheme val="major"/>
      </rPr>
      <t>The Target Buy Price is determined by discounting future cash flows—expected annual dividends and the Expected Equity Value—at the Target Annual Return, realized over the holding period.</t>
    </r>
  </si>
  <si>
    <t xml:space="preserve">预期持有期 = </t>
  </si>
  <si>
    <t>目标年回报率 =</t>
  </si>
  <si>
    <t xml:space="preserve">每股年度股息 = </t>
  </si>
  <si>
    <t>结果 (Target)</t>
  </si>
  <si>
    <t>市场货币</t>
  </si>
  <si>
    <t>@ 安全边际</t>
  </si>
  <si>
    <r>
      <t>目标：</t>
    </r>
    <r>
      <rPr>
        <i/>
        <sz val="9"/>
        <color rgb="FF000000"/>
        <rFont val="Arial"/>
        <family val="2"/>
        <scheme val="major"/>
      </rPr>
      <t>关注影响FCFE/股息可持续性的估值风险因素。</t>
    </r>
  </si>
  <si>
    <t>关键风险因素</t>
  </si>
  <si>
    <r>
      <t xml:space="preserve">1. </t>
    </r>
    <r>
      <rPr>
        <b/>
        <sz val="9"/>
        <color rgb="FF000000"/>
        <rFont val="Arial"/>
        <family val="2"/>
        <scheme val="major"/>
      </rPr>
      <t>标准化FCFE的准确性</t>
    </r>
    <r>
      <rPr>
        <sz val="9"/>
        <color rgb="FF000000"/>
        <rFont val="Arial"/>
        <family val="2"/>
        <scheme val="major"/>
      </rPr>
      <t>, 受不确定性影响，包括：</t>
    </r>
  </si>
  <si>
    <t>- 可持续收入和利润率</t>
  </si>
  <si>
    <t>- 资本支出</t>
  </si>
  <si>
    <t>- 营运资金</t>
  </si>
  <si>
    <r>
      <t xml:space="preserve">2. </t>
    </r>
    <r>
      <rPr>
        <b/>
        <sz val="9"/>
        <color rgb="FF000000"/>
        <rFont val="Arial"/>
        <family val="2"/>
        <scheme val="major"/>
      </rPr>
      <t>Cost of Equity的适当性</t>
    </r>
  </si>
  <si>
    <t>作为资本配置的机会成本门槛。该模型在DCF/DDM分析中使用标准化的贴现率，计算内在价值。此利率作为最低可接受的长期回报门槛，反映长期无风险利率加上股权风险溢价。</t>
  </si>
  <si>
    <r>
      <t xml:space="preserve">3. </t>
    </r>
    <r>
      <rPr>
        <b/>
        <sz val="9"/>
        <color rgb="FF000000"/>
        <rFont val="Arial"/>
        <family val="2"/>
        <scheme val="major"/>
      </rPr>
      <t>增长情景的可靠性</t>
    </r>
  </si>
  <si>
    <t>- 预期股权价值高度依赖各情景的特定增长率（HGR）、持续时间（HGP）和概率，这些是对不确定未来的预测。</t>
  </si>
  <si>
    <t>- 极端情景（“雪球”、“魔鬼代言人”）概率较低；若市场条件剧变，可能变得比预期更相关。</t>
  </si>
  <si>
    <r>
      <t xml:space="preserve">4. </t>
    </r>
    <r>
      <rPr>
        <b/>
        <sz val="9"/>
        <color rgb="FF000000"/>
        <rFont val="Arial"/>
        <family val="2"/>
        <scheme val="major"/>
      </rPr>
      <t>外部和公司特定风险</t>
    </r>
  </si>
  <si>
    <t>- 宏观经济敏感性</t>
  </si>
  <si>
    <t>- 投入成本波动</t>
  </si>
  <si>
    <t>- 激烈竞争等</t>
  </si>
  <si>
    <t>Est. (Net Asset) Realizable Value</t>
  </si>
  <si>
    <t>估计(净资产)可变现价值</t>
  </si>
  <si>
    <t>lululemon athletica inc.</t>
  </si>
  <si>
    <t>LULU</t>
  </si>
  <si>
    <t>USD</t>
  </si>
  <si>
    <t>DCF</t>
  </si>
  <si>
    <t>CNS_02</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</si>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</sst>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59">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79">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0" fontId="24"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7"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8"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0" fontId="3" fillId="0" borderId="0" xfId="0" applyFont="1" applyAlignment="1">
      <alignment horizontal="left" indent="1"/>
    </xf>
    <xf numFmtId="9"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10" fontId="13" fillId="0" borderId="1" xfId="0" applyNumberFormat="1" applyFont="1" applyBorder="1" applyAlignment="1">
      <alignment horizontal="center"/>
    </xf>
    <xf numFmtId="180" fontId="3" fillId="0" borderId="0" xfId="0" applyNumberFormat="1" applyFont="1"/>
    <xf numFmtId="10" fontId="3" fillId="0" borderId="0" xfId="0" applyNumberFormat="1" applyFont="1" applyAlignment="1">
      <alignment horizontal="left"/>
    </xf>
    <xf numFmtId="0" fontId="7" fillId="0" borderId="0" xfId="0"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24" fillId="0" borderId="0" xfId="0" applyNumberFormat="1" applyFont="1"/>
    <xf numFmtId="37" fontId="11" fillId="8"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9" fontId="3" fillId="0" borderId="0" xfId="0" applyNumberFormat="1" applyFont="1" applyAlignment="1">
      <alignment horizontal="right"/>
    </xf>
    <xf numFmtId="178" fontId="3" fillId="0" borderId="0" xfId="0" applyNumberFormat="1" applyFont="1" applyAlignment="1">
      <alignment horizontal="right"/>
    </xf>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quotePrefix="1"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8"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26" fillId="0" borderId="0" xfId="0" applyNumberFormat="1" applyFon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8" borderId="1" xfId="0" applyNumberFormat="1" applyFont="1" applyFill="1" applyBorder="1" applyAlignment="1">
      <alignment horizontal="right"/>
    </xf>
    <xf numFmtId="0" fontId="8" fillId="0" borderId="0" xfId="0" applyFont="1" applyAlignment="1">
      <alignment horizontal="left"/>
    </xf>
    <xf numFmtId="0" fontId="19" fillId="0" borderId="1" xfId="0" applyFont="1" applyBorder="1" applyAlignment="1">
      <alignment horizontal="left"/>
    </xf>
    <xf numFmtId="177" fontId="8" fillId="0" borderId="1" xfId="0" applyNumberFormat="1" applyFont="1" applyBorder="1" applyAlignment="1">
      <alignment horizontal="left"/>
    </xf>
    <xf numFmtId="175" fontId="14" fillId="0" borderId="1" xfId="0" applyNumberFormat="1" applyFont="1" applyBorder="1" applyAlignment="1">
      <alignment horizontal="right"/>
    </xf>
    <xf numFmtId="9" fontId="8" fillId="0" borderId="1" xfId="0" applyNumberFormat="1" applyFont="1" applyBorder="1" applyAlignment="1">
      <alignment horizontal="right"/>
    </xf>
    <xf numFmtId="0" fontId="8" fillId="0" borderId="1" xfId="0" applyFont="1" applyBorder="1" applyAlignment="1">
      <alignment horizontal="center"/>
    </xf>
    <xf numFmtId="10" fontId="8" fillId="0" borderId="1" xfId="0" applyNumberFormat="1" applyFont="1" applyBorder="1" applyAlignment="1">
      <alignment horizontal="center"/>
    </xf>
    <xf numFmtId="49" fontId="8" fillId="0" borderId="1" xfId="0" applyNumberFormat="1" applyFont="1" applyBorder="1" applyAlignment="1">
      <alignment horizontal="left"/>
    </xf>
    <xf numFmtId="4" fontId="8" fillId="0" borderId="1" xfId="0" applyNumberFormat="1" applyFont="1" applyBorder="1" applyAlignment="1">
      <alignment horizontal="left"/>
    </xf>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0" fillId="0" borderId="0" xfId="0" applyFont="1" applyAlignment="1">
      <alignment horizontal="left" wrapText="1"/>
    </xf>
    <xf numFmtId="0" fontId="12" fillId="0" borderId="0" xfId="0" applyFont="1" applyAlignment="1">
      <alignment horizontal="left" vertical="center" wrapText="1"/>
    </xf>
    <xf numFmtId="0" fontId="12" fillId="0" borderId="0" xfId="0" applyFont="1" applyAlignment="1">
      <alignment horizontal="left"/>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8">
    <dxf>
      <fill>
        <patternFill>
          <bgColor theme="7" tint="0.79998168889431442"/>
        </patternFill>
      </fill>
    </dxf>
    <dxf>
      <fill>
        <patternFill>
          <bgColor theme="2" tint="-4.9989318521683403E-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7"/>
  <sheetViews>
    <sheetView showGridLines="0" tabSelected="1" zoomScale="85" zoomScaleNormal="100" workbookViewId="0">
      <selection activeCell="D31" sqref="D31"/>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39</v>
      </c>
      <c r="C1" s="44">
        <v>45874</v>
      </c>
      <c r="D1" s="316" t="s">
        <v>428</v>
      </c>
      <c r="E1" s="292" t="s">
        <v>345</v>
      </c>
      <c r="F1" s="254" t="s">
        <v>558</v>
      </c>
    </row>
    <row r="2" spans="1:10" ht="13.9">
      <c r="A2" s="222" t="s">
        <v>263</v>
      </c>
      <c r="B2" s="36"/>
      <c r="C2" s="36"/>
      <c r="D2" s="36"/>
      <c r="E2" s="36"/>
      <c r="F2" s="36"/>
      <c r="G2" s="22"/>
      <c r="H2" s="22"/>
      <c r="I2" s="22"/>
      <c r="J2" s="22"/>
    </row>
    <row r="4" spans="1:10">
      <c r="B4" s="45" t="s">
        <v>396</v>
      </c>
      <c r="C4" s="46"/>
      <c r="D4" s="5"/>
      <c r="E4" s="2"/>
      <c r="F4" s="2"/>
    </row>
    <row r="5" spans="1:10" ht="12.4">
      <c r="B5" s="4" t="s">
        <v>460</v>
      </c>
      <c r="C5" s="294" t="s">
        <v>553</v>
      </c>
    </row>
    <row r="6" spans="1:10">
      <c r="B6" s="4" t="s">
        <v>461</v>
      </c>
      <c r="C6" s="51">
        <f>114729430+5115961</f>
        <v>119845391</v>
      </c>
      <c r="E6" s="48"/>
    </row>
    <row r="7" spans="1:10">
      <c r="B7" s="2" t="s">
        <v>462</v>
      </c>
      <c r="C7" s="250">
        <v>6</v>
      </c>
      <c r="D7" s="48"/>
      <c r="E7" s="48"/>
    </row>
    <row r="8" spans="1:10">
      <c r="B8" s="1" t="s">
        <v>463</v>
      </c>
      <c r="C8" s="33">
        <f>EOMONTH(EDATE(BS!C1,C7+2),0)</f>
        <v>46053</v>
      </c>
      <c r="E8" s="48"/>
    </row>
    <row r="9" spans="1:10">
      <c r="E9" s="34"/>
    </row>
    <row r="10" spans="1:10">
      <c r="B10" s="45" t="s">
        <v>398</v>
      </c>
      <c r="C10" s="46"/>
      <c r="E10" s="34"/>
    </row>
    <row r="11" spans="1:10">
      <c r="B11" s="1" t="s">
        <v>464</v>
      </c>
      <c r="C11" s="49" t="s">
        <v>554</v>
      </c>
      <c r="D11" s="49"/>
      <c r="E11" s="34"/>
    </row>
    <row r="12" spans="1:10">
      <c r="B12" s="4" t="s">
        <v>465</v>
      </c>
      <c r="C12" s="50">
        <v>196.45</v>
      </c>
      <c r="D12" s="50"/>
      <c r="E12" s="48"/>
    </row>
    <row r="13" spans="1:10">
      <c r="B13" s="1" t="s">
        <v>466</v>
      </c>
      <c r="C13" s="48" t="s">
        <v>555</v>
      </c>
      <c r="D13" s="48"/>
      <c r="E13" s="5"/>
    </row>
    <row r="14" spans="1:10">
      <c r="B14" s="4" t="s">
        <v>467</v>
      </c>
      <c r="C14" s="35">
        <f>Thesis!C12*Common_Shares/1000000</f>
        <v>23543.627061949996</v>
      </c>
      <c r="D14" s="35" t="str">
        <f>IF(D11="","",Thesis!D12*Common_Shares/1000000)</f>
        <v/>
      </c>
      <c r="E14" s="5"/>
    </row>
    <row r="15" spans="1:10">
      <c r="B15" s="4" t="s">
        <v>468</v>
      </c>
      <c r="C15" s="32" t="str">
        <f>IF(C25=C13,C13,C25&amp;"/"&amp;C13)</f>
        <v>USD</v>
      </c>
      <c r="D15" s="32" t="str">
        <f>IF(D11="","",IF(C25=D13,D13,C25&amp;"/"&amp;D13))</f>
        <v/>
      </c>
      <c r="E15" s="5"/>
    </row>
    <row r="16" spans="1:10">
      <c r="B16" s="4" t="s">
        <v>469</v>
      </c>
      <c r="C16" s="50">
        <v>1</v>
      </c>
      <c r="D16" s="50"/>
      <c r="E16" s="5"/>
    </row>
    <row r="17" spans="2:6">
      <c r="D17" s="5"/>
      <c r="E17" s="5"/>
    </row>
    <row r="18" spans="2:6" ht="24.6" customHeight="1">
      <c r="B18" s="369" t="s">
        <v>470</v>
      </c>
      <c r="C18" s="369"/>
      <c r="D18" s="369"/>
      <c r="E18" s="369"/>
      <c r="F18" s="369"/>
    </row>
    <row r="20" spans="2:6">
      <c r="B20" s="45" t="s">
        <v>301</v>
      </c>
      <c r="C20" s="46"/>
      <c r="D20" s="5"/>
    </row>
    <row r="21" spans="2:6">
      <c r="B21" s="2" t="s">
        <v>340</v>
      </c>
      <c r="C21" s="32" t="str">
        <f>IF(Scenarios!C69="Y",Scenarios!B69,"")&amp;IF(Scenarios!C70="Y",Scenarios!B70,"")&amp;IF(Scenarios!C71="Y",Scenarios!B71,"")&amp;" "&amp;IF(Scenarios!C72="Y",Scenarios!B72,"")</f>
        <v xml:space="preserve">Low Growth </v>
      </c>
      <c r="D21" s="1" t="s">
        <v>417</v>
      </c>
      <c r="E21" s="308" t="s">
        <v>556</v>
      </c>
    </row>
    <row r="22" spans="2:6">
      <c r="B22" s="2" t="s">
        <v>54</v>
      </c>
      <c r="C22" s="48" t="s">
        <v>557</v>
      </c>
      <c r="D22" s="1" t="str">
        <f>IF(valuation_method="DDM","Terminal Value Discount Rate","")</f>
        <v/>
      </c>
      <c r="E22" s="313"/>
    </row>
    <row r="23" spans="2:6">
      <c r="B23" s="1" t="s">
        <v>412</v>
      </c>
      <c r="C23" s="262" t="s">
        <v>312</v>
      </c>
    </row>
    <row r="24" spans="2:6">
      <c r="B24" s="1" t="s">
        <v>413</v>
      </c>
      <c r="C24" s="262" t="s">
        <v>312</v>
      </c>
    </row>
    <row r="25" spans="2:6">
      <c r="B25" s="4" t="s">
        <v>339</v>
      </c>
      <c r="C25" s="48" t="s">
        <v>555</v>
      </c>
      <c r="D25" s="32" t="str">
        <f>IF(D11="","",Market_currency&amp;"/"&amp;D13&amp;":")</f>
        <v/>
      </c>
      <c r="E25" s="299" t="str">
        <f>IF(D11="","",1/Exchange_Rate*D16)</f>
        <v/>
      </c>
    </row>
    <row r="26" spans="2:6">
      <c r="B26" s="1" t="str">
        <f>"Expected Equity Value ("&amp;C13&amp;") :"</f>
        <v>Expected Equity Value (USD) :</v>
      </c>
      <c r="C26" s="304">
        <f>C132</f>
        <v>177.33733316076845</v>
      </c>
      <c r="D26" s="1" t="s">
        <v>382</v>
      </c>
      <c r="E26" s="301">
        <f ca="1">Scenarios!C87</f>
        <v>-3.3542605330217801E-2</v>
      </c>
    </row>
    <row r="27" spans="2:6">
      <c r="D27" s="5"/>
      <c r="E27" s="5"/>
    </row>
    <row r="28" spans="2:6">
      <c r="B28" s="45" t="s">
        <v>411</v>
      </c>
      <c r="C28" s="309" t="str">
        <f>C145&amp;" ("&amp;Market_currency&amp;")"</f>
        <v>LULU (USD)</v>
      </c>
      <c r="D28" s="309" t="str">
        <f>IF(D11="","",D145&amp;" ("&amp;D13&amp;")")</f>
        <v/>
      </c>
      <c r="E28" s="305" t="s">
        <v>407</v>
      </c>
      <c r="F28" s="303">
        <v>3</v>
      </c>
    </row>
    <row r="29" spans="2:6">
      <c r="B29" s="1" t="s">
        <v>403</v>
      </c>
      <c r="C29" s="310">
        <f>C149</f>
        <v>72.077359410971269</v>
      </c>
      <c r="D29" s="310" t="str">
        <f>D149</f>
        <v/>
      </c>
      <c r="E29" s="306" t="s">
        <v>402</v>
      </c>
      <c r="F29" s="302">
        <v>0.35</v>
      </c>
    </row>
    <row r="30" spans="2:6">
      <c r="B30" s="1" t="s">
        <v>404</v>
      </c>
      <c r="C30" s="311">
        <f>C157</f>
        <v>90.796714578313441</v>
      </c>
      <c r="D30" s="311" t="str">
        <f>D157</f>
        <v/>
      </c>
      <c r="E30" s="307" t="s">
        <v>415</v>
      </c>
      <c r="F30" s="312">
        <v>0.25</v>
      </c>
    </row>
    <row r="31" spans="2:6">
      <c r="B31" s="1" t="s">
        <v>405</v>
      </c>
      <c r="C31" s="311">
        <f>C165</f>
        <v>142.74956069640638</v>
      </c>
      <c r="D31" s="311" t="str">
        <f>D165</f>
        <v/>
      </c>
      <c r="E31" s="307" t="s">
        <v>414</v>
      </c>
      <c r="F31" s="312">
        <v>7.4999999999999997E-2</v>
      </c>
    </row>
    <row r="32" spans="2:6">
      <c r="B32" s="1" t="s">
        <v>406</v>
      </c>
      <c r="C32" s="311">
        <f>C173</f>
        <v>127.10837661250939</v>
      </c>
      <c r="D32" s="311" t="str">
        <f>D173</f>
        <v/>
      </c>
      <c r="E32" s="307" t="s">
        <v>416</v>
      </c>
      <c r="F32" s="312">
        <v>0.1174</v>
      </c>
    </row>
    <row r="33" spans="1:6">
      <c r="D33" s="5"/>
      <c r="E33" s="5"/>
    </row>
    <row r="34" spans="1:6" ht="13.9">
      <c r="A34" s="222" t="s">
        <v>347</v>
      </c>
      <c r="B34" s="36"/>
      <c r="C34" s="36"/>
      <c r="D34" s="36"/>
      <c r="E34" s="36"/>
      <c r="F34" s="36"/>
    </row>
    <row r="36" spans="1:6">
      <c r="B36" s="369" t="s">
        <v>471</v>
      </c>
      <c r="C36" s="369"/>
      <c r="D36" s="369"/>
      <c r="E36" s="369"/>
      <c r="F36" s="369"/>
    </row>
    <row r="37" spans="1:6" ht="24.6" customHeight="1">
      <c r="B37" s="372" t="s">
        <v>331</v>
      </c>
      <c r="C37" s="372"/>
      <c r="D37" s="372"/>
      <c r="E37" s="372"/>
      <c r="F37" s="372"/>
    </row>
    <row r="39" spans="1:6">
      <c r="B39" s="210" t="s">
        <v>226</v>
      </c>
      <c r="C39" s="108">
        <f>scaling_factor</f>
        <v>1000</v>
      </c>
    </row>
    <row r="40" spans="1:6" ht="24.6" customHeight="1">
      <c r="B40" s="370" t="s">
        <v>227</v>
      </c>
      <c r="C40" s="370"/>
      <c r="D40" s="370"/>
      <c r="E40" s="370"/>
      <c r="F40" s="370"/>
    </row>
    <row r="41" spans="1:6">
      <c r="B41" s="47" t="s">
        <v>228</v>
      </c>
      <c r="C41" s="349">
        <f>Normalized_FCF!C8</f>
        <v>2062510.7498878213</v>
      </c>
      <c r="D41" s="1" t="str">
        <f>Reporting_currency</f>
        <v>USD</v>
      </c>
    </row>
    <row r="42" spans="1:6">
      <c r="B42" s="47"/>
      <c r="C42" s="76"/>
    </row>
    <row r="43" spans="1:6" ht="24.6" customHeight="1">
      <c r="B43" s="370" t="s">
        <v>229</v>
      </c>
      <c r="C43" s="370"/>
      <c r="D43" s="370"/>
      <c r="E43" s="370"/>
      <c r="F43" s="370"/>
    </row>
    <row r="44" spans="1:6">
      <c r="B44" s="47" t="s">
        <v>230</v>
      </c>
      <c r="C44" s="349">
        <f>Normalized_FCF!C9</f>
        <v>0</v>
      </c>
      <c r="D44" s="1" t="str">
        <f>Reporting_currency</f>
        <v>USD</v>
      </c>
    </row>
    <row r="45" spans="1:6">
      <c r="B45" s="52" t="s">
        <v>231</v>
      </c>
      <c r="C45" s="349">
        <f>Normalized_FCF!C10</f>
        <v>0</v>
      </c>
      <c r="D45" s="1" t="str">
        <f>Reporting_currency</f>
        <v>USD</v>
      </c>
    </row>
    <row r="47" spans="1:6">
      <c r="B47" s="370" t="s">
        <v>232</v>
      </c>
      <c r="C47" s="370"/>
      <c r="D47" s="370"/>
      <c r="E47" s="370"/>
      <c r="F47" s="370"/>
    </row>
    <row r="48" spans="1:6">
      <c r="B48" s="47" t="s">
        <v>233</v>
      </c>
      <c r="C48" s="349">
        <f>Normalized_FCF!C11</f>
        <v>0</v>
      </c>
      <c r="D48" s="1" t="str">
        <f>Reporting_currency</f>
        <v>USD</v>
      </c>
    </row>
    <row r="50" spans="2:6">
      <c r="B50" s="370" t="s">
        <v>236</v>
      </c>
      <c r="C50" s="370"/>
      <c r="D50" s="370"/>
      <c r="E50" s="370"/>
      <c r="F50" s="370"/>
    </row>
    <row r="51" spans="2:6">
      <c r="B51" s="47" t="s">
        <v>332</v>
      </c>
      <c r="C51" s="350">
        <f>Normalized_FCF!C48</f>
        <v>0</v>
      </c>
      <c r="D51" s="1" t="str">
        <f>Reporting_currency</f>
        <v>USD</v>
      </c>
      <c r="E51" s="286"/>
      <c r="F51" s="286"/>
    </row>
    <row r="52" spans="2:6">
      <c r="B52" s="47" t="s">
        <v>333</v>
      </c>
      <c r="C52" s="350">
        <f>Normalized_FCF!C47</f>
        <v>0</v>
      </c>
      <c r="D52" s="1" t="str">
        <f>Reporting_currency</f>
        <v>USD</v>
      </c>
      <c r="E52" s="286"/>
      <c r="F52" s="286"/>
    </row>
    <row r="53" spans="2:6">
      <c r="B53" s="47" t="s">
        <v>234</v>
      </c>
      <c r="C53" s="349">
        <f>Normalized_FCF!C12</f>
        <v>0</v>
      </c>
      <c r="D53" s="1" t="str">
        <f>Reporting_currency</f>
        <v>USD</v>
      </c>
    </row>
    <row r="55" spans="2:6">
      <c r="B55" s="1" t="s">
        <v>242</v>
      </c>
    </row>
    <row r="56" spans="2:6">
      <c r="B56" s="47" t="s">
        <v>261</v>
      </c>
      <c r="C56" s="349">
        <f>Normalized_FCF!C15</f>
        <v>0</v>
      </c>
      <c r="D56" s="1" t="str">
        <f>Reporting_currency</f>
        <v>USD</v>
      </c>
    </row>
    <row r="58" spans="2:6">
      <c r="B58" s="370" t="s">
        <v>237</v>
      </c>
      <c r="C58" s="370"/>
      <c r="D58" s="370"/>
      <c r="E58" s="370"/>
      <c r="F58" s="370"/>
    </row>
    <row r="59" spans="2:6">
      <c r="B59" s="47" t="s">
        <v>235</v>
      </c>
      <c r="C59" s="349">
        <f>Normalized_FCF!C14</f>
        <v>-531509.02024609153</v>
      </c>
      <c r="D59" s="1" t="str">
        <f>Reporting_currency</f>
        <v>USD</v>
      </c>
    </row>
    <row r="61" spans="2:6">
      <c r="B61" s="370" t="s">
        <v>330</v>
      </c>
      <c r="C61" s="371"/>
      <c r="D61" s="371"/>
      <c r="E61" s="371"/>
      <c r="F61" s="371"/>
    </row>
    <row r="62" spans="2:6">
      <c r="B62" s="47" t="s">
        <v>238</v>
      </c>
      <c r="C62" s="349">
        <f>Normalized_FCF!C17</f>
        <v>0</v>
      </c>
      <c r="D62" s="1" t="str">
        <f>Reporting_currency</f>
        <v>USD</v>
      </c>
    </row>
    <row r="64" spans="2:6" ht="24.6" customHeight="1">
      <c r="B64" s="369" t="s">
        <v>335</v>
      </c>
      <c r="C64" s="369"/>
      <c r="D64" s="369"/>
      <c r="E64" s="369"/>
      <c r="F64" s="369"/>
    </row>
    <row r="65" spans="1:6" ht="24.6" customHeight="1">
      <c r="B65" s="369" t="s">
        <v>350</v>
      </c>
      <c r="C65" s="369"/>
      <c r="D65" s="369"/>
      <c r="E65" s="369"/>
      <c r="F65" s="369"/>
    </row>
    <row r="67" spans="1:6">
      <c r="B67" s="47" t="s">
        <v>265</v>
      </c>
      <c r="C67" s="349">
        <f>Normalized_FCF!G19</f>
        <v>1746971</v>
      </c>
      <c r="D67" s="1" t="str">
        <f>Reporting_currency</f>
        <v>USD</v>
      </c>
    </row>
    <row r="68" spans="1:6">
      <c r="B68" s="47" t="s">
        <v>244</v>
      </c>
      <c r="C68" s="349">
        <f>Normalized_FCF!C19</f>
        <v>1531001.7296417297</v>
      </c>
      <c r="D68" s="1" t="str">
        <f>Reporting_currency</f>
        <v>USD</v>
      </c>
    </row>
    <row r="69" spans="1:6">
      <c r="B69" s="227" t="s">
        <v>373</v>
      </c>
      <c r="C69" s="92">
        <f>Normalized_FCF!C126</f>
        <v>6.5028286661746204E-2</v>
      </c>
      <c r="F69" s="314"/>
    </row>
    <row r="70" spans="1:6">
      <c r="B70" s="227" t="s">
        <v>436</v>
      </c>
      <c r="C70" s="92">
        <f>Normalized_FCF!C94</f>
        <v>0</v>
      </c>
      <c r="E70" s="47" t="s">
        <v>426</v>
      </c>
      <c r="F70" s="315">
        <f>Normalized_FCF!C92</f>
        <v>0</v>
      </c>
    </row>
    <row r="72" spans="1:6">
      <c r="B72" s="210" t="s">
        <v>429</v>
      </c>
      <c r="C72" s="323" t="s">
        <v>431</v>
      </c>
      <c r="D72" s="323" t="s">
        <v>432</v>
      </c>
    </row>
    <row r="73" spans="1:6">
      <c r="B73" s="47" t="s">
        <v>430</v>
      </c>
      <c r="C73" s="92">
        <f>Normalized_FCF!C121</f>
        <v>0.48081993064288991</v>
      </c>
      <c r="D73" s="92">
        <f>Normalized_FCF!G121</f>
        <v>0.58477469769697199</v>
      </c>
    </row>
    <row r="74" spans="1:6">
      <c r="B74" s="259" t="str">
        <f>Normalized_FCF!B118</f>
        <v>Pre-tax Profit/Sales</v>
      </c>
      <c r="C74" s="322">
        <f>Normalized_FCF!C118</f>
        <v>0.20413416289275171</v>
      </c>
      <c r="D74" s="322">
        <f>Normalized_FCF!G118</f>
        <v>0.23690991210342605</v>
      </c>
    </row>
    <row r="75" spans="1:6">
      <c r="B75" s="259" t="str">
        <f>Normalized_FCF!B119</f>
        <v>Sales/Total Assets</v>
      </c>
      <c r="C75" s="324">
        <f>Normalized_FCF!C119</f>
        <v>1.3597528471337827</v>
      </c>
      <c r="D75" s="324">
        <f>Normalized_FCF!G119</f>
        <v>1.4249464675730965</v>
      </c>
    </row>
    <row r="76" spans="1:6">
      <c r="B76" s="259" t="str">
        <f>Normalized_FCF!B120</f>
        <v>Total Assets/Equity</v>
      </c>
      <c r="C76" s="324">
        <f>Normalized_FCF!C120</f>
        <v>1.7322349326389359</v>
      </c>
      <c r="D76" s="324">
        <f>Normalized_FCF!G120</f>
        <v>1.7322349326389359</v>
      </c>
    </row>
    <row r="78" spans="1:6" ht="13.9">
      <c r="A78" s="222" t="s">
        <v>472</v>
      </c>
      <c r="B78" s="36"/>
      <c r="C78" s="36"/>
      <c r="D78" s="36"/>
      <c r="E78" s="36"/>
      <c r="F78" s="36"/>
    </row>
    <row r="79" spans="1:6">
      <c r="A79" s="209"/>
    </row>
    <row r="80" spans="1:6">
      <c r="A80" s="17"/>
      <c r="B80" s="369" t="s">
        <v>473</v>
      </c>
      <c r="C80" s="369"/>
      <c r="D80" s="369"/>
      <c r="E80" s="369"/>
      <c r="F80" s="369"/>
    </row>
    <row r="81" spans="1:6">
      <c r="B81" s="372" t="s">
        <v>248</v>
      </c>
      <c r="C81" s="372"/>
      <c r="D81" s="372"/>
      <c r="E81" s="372"/>
      <c r="F81" s="372"/>
    </row>
    <row r="83" spans="1:6">
      <c r="B83" s="210" t="s">
        <v>226</v>
      </c>
    </row>
    <row r="84" spans="1:6">
      <c r="B84" s="1" t="s">
        <v>409</v>
      </c>
      <c r="C84" s="92">
        <f>F31</f>
        <v>7.4999999999999997E-2</v>
      </c>
    </row>
    <row r="85" spans="1:6">
      <c r="B85" s="1" t="s">
        <v>408</v>
      </c>
      <c r="C85" s="92">
        <f>IF(C23="Y",1%,0)+IF(C24="Y",1%,0)</f>
        <v>0</v>
      </c>
    </row>
    <row r="86" spans="1:6">
      <c r="B86" s="80" t="s">
        <v>243</v>
      </c>
      <c r="C86" s="236">
        <f>F31+C85</f>
        <v>7.4999999999999997E-2</v>
      </c>
    </row>
    <row r="87" spans="1:6">
      <c r="C87" s="121"/>
    </row>
    <row r="88" spans="1:6">
      <c r="B88" s="293" t="s">
        <v>348</v>
      </c>
      <c r="C88" s="121"/>
    </row>
    <row r="89" spans="1:6" ht="24.6" customHeight="1">
      <c r="B89" s="369" t="s">
        <v>351</v>
      </c>
      <c r="C89" s="369"/>
      <c r="D89" s="369"/>
      <c r="E89" s="369"/>
      <c r="F89" s="369"/>
    </row>
    <row r="90" spans="1:6" ht="24.6" customHeight="1">
      <c r="B90" s="369" t="s">
        <v>352</v>
      </c>
      <c r="C90" s="369"/>
      <c r="D90" s="369"/>
      <c r="E90" s="369"/>
      <c r="F90" s="369"/>
    </row>
    <row r="92" spans="1:6">
      <c r="B92" s="47" t="s">
        <v>247</v>
      </c>
      <c r="C92" s="236">
        <v>0</v>
      </c>
    </row>
    <row r="93" spans="1:6">
      <c r="B93" s="47" t="s">
        <v>275</v>
      </c>
      <c r="C93" s="223">
        <f>DCF!C6*scaling_factor*Exchange_Rate/Common_Shares</f>
        <v>170.33075886266715</v>
      </c>
      <c r="D93" s="1" t="str">
        <f>Market_currency</f>
        <v>USD</v>
      </c>
    </row>
    <row r="95" spans="1:6" ht="13.9">
      <c r="A95" s="222" t="s">
        <v>349</v>
      </c>
      <c r="B95" s="36"/>
      <c r="C95" s="36"/>
      <c r="D95" s="36"/>
      <c r="E95" s="36"/>
      <c r="F95" s="36"/>
    </row>
    <row r="96" spans="1:6">
      <c r="A96" s="209"/>
    </row>
    <row r="97" spans="2:6">
      <c r="B97" s="369" t="s">
        <v>353</v>
      </c>
      <c r="C97" s="369"/>
      <c r="D97" s="369"/>
      <c r="E97" s="369"/>
      <c r="F97" s="369"/>
    </row>
    <row r="98" spans="2:6">
      <c r="B98" s="1" t="s">
        <v>249</v>
      </c>
    </row>
    <row r="100" spans="2:6">
      <c r="B100" s="210" t="s">
        <v>226</v>
      </c>
    </row>
    <row r="101" spans="2:6" ht="24.6" customHeight="1">
      <c r="B101" s="369" t="s">
        <v>336</v>
      </c>
      <c r="C101" s="369"/>
      <c r="D101" s="369"/>
      <c r="E101" s="369"/>
      <c r="F101" s="369"/>
    </row>
    <row r="102" spans="2:6">
      <c r="B102" s="47" t="s">
        <v>251</v>
      </c>
      <c r="C102" s="349">
        <f>DCF!C7</f>
        <v>1706782</v>
      </c>
      <c r="D102" s="1" t="str">
        <f>Reporting_currency</f>
        <v>USD</v>
      </c>
    </row>
    <row r="103" spans="2:6">
      <c r="B103" s="47" t="s">
        <v>276</v>
      </c>
      <c r="C103" s="223">
        <f>C102*scaling_factor*Exchange_Rate/Common_Shares</f>
        <v>14.241532242153559</v>
      </c>
      <c r="D103" s="1" t="str">
        <f>Market_currency</f>
        <v>USD</v>
      </c>
    </row>
    <row r="104" spans="2:6">
      <c r="B104" s="296" t="s">
        <v>386</v>
      </c>
      <c r="C104" s="325">
        <f>IF(BS!G31/BS!G27&gt;300%,"nm",BS!G31/BS!G27)</f>
        <v>0.39789116391619672</v>
      </c>
    </row>
    <row r="105" spans="2:6">
      <c r="B105" s="296" t="s">
        <v>388</v>
      </c>
      <c r="C105" s="326">
        <f>IF(BS!C50&gt;30,"nm",BS!C50)</f>
        <v>0.82752635354401471</v>
      </c>
    </row>
    <row r="107" spans="2:6">
      <c r="B107" s="1" t="s">
        <v>250</v>
      </c>
    </row>
    <row r="108" spans="2:6">
      <c r="B108" s="47" t="s">
        <v>260</v>
      </c>
      <c r="C108" s="349">
        <f>BS!C66</f>
        <v>1325272</v>
      </c>
      <c r="D108" s="1" t="str">
        <f>Reporting_currency</f>
        <v>USD</v>
      </c>
    </row>
    <row r="109" spans="2:6">
      <c r="B109" s="47" t="s">
        <v>262</v>
      </c>
      <c r="C109" s="349">
        <f>DCF!C8</f>
        <v>655172.72915731848</v>
      </c>
      <c r="D109" s="1" t="str">
        <f>Reporting_currency</f>
        <v>USD</v>
      </c>
    </row>
    <row r="110" spans="2:6">
      <c r="B110" s="47" t="s">
        <v>277</v>
      </c>
      <c r="C110" s="223">
        <f>C109*scaling_factor*Exchange_Rate/Common_Shares</f>
        <v>5.4668162345710769</v>
      </c>
      <c r="D110" s="1" t="str">
        <f>Market_currency</f>
        <v>USD</v>
      </c>
    </row>
    <row r="112" spans="2:6">
      <c r="B112" s="1" t="s">
        <v>252</v>
      </c>
    </row>
    <row r="113" spans="1:6">
      <c r="B113" s="47" t="s">
        <v>253</v>
      </c>
      <c r="C113" s="349">
        <f>DCF!C9</f>
        <v>0</v>
      </c>
      <c r="D113" s="1" t="str">
        <f>Reporting_currency</f>
        <v>USD</v>
      </c>
    </row>
    <row r="114" spans="1:6">
      <c r="B114" s="47" t="s">
        <v>278</v>
      </c>
      <c r="C114" s="223">
        <f>C113*scaling_factor*Exchange_Rate/Common_Shares</f>
        <v>0</v>
      </c>
      <c r="D114" s="1" t="str">
        <f>Market_currency</f>
        <v>USD</v>
      </c>
    </row>
    <row r="116" spans="1:6" ht="24.6" customHeight="1">
      <c r="B116" s="369" t="s">
        <v>354</v>
      </c>
      <c r="C116" s="369"/>
      <c r="D116" s="369"/>
      <c r="E116" s="369"/>
      <c r="F116" s="369"/>
    </row>
    <row r="118" spans="1:6">
      <c r="B118" s="47" t="s">
        <v>427</v>
      </c>
      <c r="C118" s="223">
        <f>IF(valuation_method="DCF",DCF!C12,DDM!C7)</f>
        <v>161.55604285508468</v>
      </c>
      <c r="D118" s="1" t="str">
        <f>Market_currency</f>
        <v>USD</v>
      </c>
    </row>
    <row r="119" spans="1:6">
      <c r="B119" s="296" t="s">
        <v>551</v>
      </c>
      <c r="C119" s="223">
        <f>BS!D47</f>
        <v>-4.6442002930258699</v>
      </c>
      <c r="D119" s="1" t="str">
        <f>Market_currency</f>
        <v>USD</v>
      </c>
    </row>
    <row r="121" spans="1:6" ht="13.9">
      <c r="A121" s="222" t="s">
        <v>474</v>
      </c>
      <c r="B121" s="36"/>
      <c r="C121" s="36"/>
      <c r="D121" s="36"/>
      <c r="E121" s="36"/>
      <c r="F121" s="36"/>
    </row>
    <row r="123" spans="1:6">
      <c r="B123" s="370" t="s">
        <v>475</v>
      </c>
      <c r="C123" s="370"/>
      <c r="D123" s="370"/>
      <c r="E123" s="370"/>
      <c r="F123" s="370"/>
    </row>
    <row r="125" spans="1:6" ht="12.4">
      <c r="B125" s="233" t="s">
        <v>113</v>
      </c>
      <c r="C125" s="233" t="s">
        <v>128</v>
      </c>
      <c r="D125" s="233" t="s">
        <v>108</v>
      </c>
      <c r="E125" s="233" t="s">
        <v>255</v>
      </c>
      <c r="F125" s="233" t="s">
        <v>143</v>
      </c>
    </row>
    <row r="126" spans="1:6">
      <c r="B126" s="228" t="str">
        <f>DCF!B74</f>
        <v>Snowball Scenario</v>
      </c>
      <c r="C126" s="229">
        <f>DCF!C74</f>
        <v>0.1</v>
      </c>
      <c r="D126" s="230">
        <f>DCF!D74</f>
        <v>10</v>
      </c>
      <c r="E126" s="231" t="str">
        <f>ROUND(IF(valuation_method="DCF",DCF!E74,DDM!E69),2)&amp;" "&amp;Market_currency</f>
        <v>227.42 USD</v>
      </c>
      <c r="F126" s="232">
        <f>DCF!F74</f>
        <v>0.05</v>
      </c>
    </row>
    <row r="127" spans="1:6">
      <c r="B127" s="218" t="str">
        <f>DCF!B75</f>
        <v>Optimistic</v>
      </c>
      <c r="C127" s="219">
        <f>DCF!C75</f>
        <v>0.08</v>
      </c>
      <c r="D127" s="220">
        <f>DCF!D75</f>
        <v>5</v>
      </c>
      <c r="E127" s="231" t="str">
        <f>ROUND(IF(valuation_method="DCF",DCF!E75,DDM!E70),2)&amp;" "&amp;Market_currency</f>
        <v>184.13 USD</v>
      </c>
      <c r="F127" s="221">
        <f>DCF!F75</f>
        <v>0.18</v>
      </c>
    </row>
    <row r="128" spans="1:6">
      <c r="B128" s="218" t="str">
        <f>DCF!B76</f>
        <v>Base</v>
      </c>
      <c r="C128" s="219">
        <f>DCF!C76</f>
        <v>0.05</v>
      </c>
      <c r="D128" s="220">
        <f>DCF!D76</f>
        <v>5</v>
      </c>
      <c r="E128" s="231" t="str">
        <f>ROUND(IF(valuation_method="DCF",DCF!E76,DDM!E71),2)&amp;" "&amp;Market_currency</f>
        <v>175.36 USD</v>
      </c>
      <c r="F128" s="221">
        <f>DCF!F76</f>
        <v>0.53999999999999992</v>
      </c>
    </row>
    <row r="129" spans="1:6">
      <c r="B129" s="218" t="str">
        <f>DCF!B77</f>
        <v>Pessimistic</v>
      </c>
      <c r="C129" s="219">
        <f>DCF!C77</f>
        <v>0.02</v>
      </c>
      <c r="D129" s="220">
        <f>DCF!D77</f>
        <v>5</v>
      </c>
      <c r="E129" s="231" t="str">
        <f>ROUND(IF(valuation_method="DCF",DCF!E77,DDM!E72),2)&amp;" "&amp;Market_currency</f>
        <v>166.96 USD</v>
      </c>
      <c r="F129" s="221">
        <f>DCF!F77</f>
        <v>0.18</v>
      </c>
    </row>
    <row r="130" spans="1:6">
      <c r="B130" s="218" t="str">
        <f>DCF!B78</f>
        <v>Devil's advocate</v>
      </c>
      <c r="C130" s="219">
        <f>DCF!C78</f>
        <v>0</v>
      </c>
      <c r="D130" s="220">
        <f>DCF!D78</f>
        <v>10</v>
      </c>
      <c r="E130" s="231" t="str">
        <f>ROUND(IF(valuation_method="DCF",DCF!E78,DDM!E73),2)&amp;" "&amp;Market_currency</f>
        <v>161.56 USD</v>
      </c>
      <c r="F130" s="221">
        <f>DCF!F78</f>
        <v>0.05</v>
      </c>
    </row>
    <row r="132" spans="1:6">
      <c r="B132" s="211" t="s">
        <v>254</v>
      </c>
      <c r="C132" s="217">
        <f>Scenarios!C60</f>
        <v>177.33733316076845</v>
      </c>
      <c r="D132" s="212" t="str">
        <f>Market_currency</f>
        <v>USD</v>
      </c>
    </row>
    <row r="134" spans="1:6" ht="24.6" customHeight="1">
      <c r="B134" s="373" t="s">
        <v>476</v>
      </c>
      <c r="C134" s="373"/>
      <c r="D134" s="373"/>
      <c r="E134" s="373"/>
      <c r="F134" s="373"/>
    </row>
    <row r="136" spans="1:6" ht="13.9">
      <c r="A136" s="222" t="s">
        <v>477</v>
      </c>
      <c r="B136" s="36"/>
      <c r="C136" s="36"/>
      <c r="D136" s="36"/>
      <c r="E136" s="36"/>
      <c r="F136" s="36"/>
    </row>
    <row r="138" spans="1:6">
      <c r="B138" s="374" t="s">
        <v>355</v>
      </c>
      <c r="C138" s="374"/>
      <c r="D138" s="374"/>
      <c r="E138" s="374"/>
      <c r="F138" s="374"/>
    </row>
    <row r="139" spans="1:6">
      <c r="B139" s="369" t="s">
        <v>478</v>
      </c>
      <c r="C139" s="369"/>
      <c r="D139" s="369"/>
      <c r="E139" s="369"/>
      <c r="F139" s="369"/>
    </row>
    <row r="140" spans="1:6">
      <c r="B140" s="210" t="s">
        <v>226</v>
      </c>
    </row>
    <row r="141" spans="1:6">
      <c r="B141" s="1" t="s">
        <v>259</v>
      </c>
      <c r="C141" s="225">
        <f>F28</f>
        <v>3</v>
      </c>
    </row>
    <row r="142" spans="1:6">
      <c r="B142" s="1" t="s">
        <v>271</v>
      </c>
      <c r="C142" s="224">
        <f>F29</f>
        <v>0.35</v>
      </c>
    </row>
    <row r="143" spans="1:6">
      <c r="B143" s="212" t="s">
        <v>257</v>
      </c>
      <c r="C143" s="213">
        <f>Scenarios!C77</f>
        <v>0</v>
      </c>
      <c r="D143" s="212" t="str">
        <f>Market_currency</f>
        <v>USD</v>
      </c>
    </row>
    <row r="145" spans="2:4">
      <c r="B145" s="210" t="s">
        <v>390</v>
      </c>
      <c r="C145" s="241" t="str">
        <f>C11</f>
        <v>LULU</v>
      </c>
      <c r="D145" s="241" t="str">
        <f>IF(D11="","",D11)</f>
        <v/>
      </c>
    </row>
    <row r="146" spans="2:4">
      <c r="B146" s="1" t="s">
        <v>389</v>
      </c>
      <c r="C146" s="297">
        <f>F29</f>
        <v>0.35</v>
      </c>
    </row>
    <row r="147" spans="2:4">
      <c r="B147" s="212" t="str">
        <f>"PV("&amp;C141&amp;" yrs of Dividends)"</f>
        <v>PV(3 yrs of Dividends)</v>
      </c>
      <c r="C147" s="216">
        <f>Scenarios!C81</f>
        <v>0</v>
      </c>
    </row>
    <row r="148" spans="2:4">
      <c r="B148" s="212" t="str">
        <f>"+ PV(Equity Value realized at year "&amp;C141&amp;")"</f>
        <v>+ PV(Equity Value realized at year 3)</v>
      </c>
      <c r="C148" s="216">
        <f>Scenarios!C82</f>
        <v>72.077359410971269</v>
      </c>
    </row>
    <row r="149" spans="2:4">
      <c r="B149" s="80" t="s">
        <v>256</v>
      </c>
      <c r="C149" s="215">
        <f>Scenarios!C83</f>
        <v>72.077359410971269</v>
      </c>
      <c r="D149" s="300" t="str">
        <f>IF($D$11="","",C149*$E$25)</f>
        <v/>
      </c>
    </row>
    <row r="150" spans="2:4">
      <c r="B150" s="259" t="s">
        <v>397</v>
      </c>
      <c r="C150" s="298" t="str">
        <f>Market_currency</f>
        <v>USD</v>
      </c>
      <c r="D150" s="298" t="str">
        <f>IF($D$11="","",D$13)</f>
        <v/>
      </c>
    </row>
    <row r="151" spans="2:4">
      <c r="B151" s="214" t="s">
        <v>258</v>
      </c>
      <c r="C151" s="92">
        <f>Scenarios!F83</f>
        <v>0.59355789259767322</v>
      </c>
    </row>
    <row r="153" spans="2:4">
      <c r="B153" s="210" t="s">
        <v>393</v>
      </c>
    </row>
    <row r="154" spans="2:4">
      <c r="B154" s="1" t="s">
        <v>392</v>
      </c>
      <c r="C154" s="297">
        <f>Scenarios!C90</f>
        <v>0.25</v>
      </c>
    </row>
    <row r="155" spans="2:4">
      <c r="B155" s="212" t="str">
        <f>"PV("&amp;C141&amp;" yrs of Dividends)"</f>
        <v>PV(3 yrs of Dividends)</v>
      </c>
      <c r="C155" s="216">
        <f>Scenarios!C91</f>
        <v>0</v>
      </c>
    </row>
    <row r="156" spans="2:4">
      <c r="B156" s="212" t="str">
        <f>"+ PV(Equity Value realized at year "&amp;C141&amp;")"</f>
        <v>+ PV(Equity Value realized at year 3)</v>
      </c>
      <c r="C156" s="216">
        <f>Scenarios!C92</f>
        <v>90.796714578313441</v>
      </c>
    </row>
    <row r="157" spans="2:4">
      <c r="B157" s="80" t="s">
        <v>256</v>
      </c>
      <c r="C157" s="215">
        <f>Scenarios!C93</f>
        <v>90.796714578313441</v>
      </c>
      <c r="D157" s="300" t="str">
        <f>IF($D$11="","",C157*$E$25)</f>
        <v/>
      </c>
    </row>
    <row r="158" spans="2:4">
      <c r="B158" s="259" t="s">
        <v>397</v>
      </c>
      <c r="C158" s="298" t="str">
        <f>Market_currency</f>
        <v>USD</v>
      </c>
      <c r="D158" s="298" t="str">
        <f>IF($D$11="","",D$13)</f>
        <v/>
      </c>
    </row>
    <row r="159" spans="2:4">
      <c r="B159" s="214" t="s">
        <v>258</v>
      </c>
      <c r="C159" s="92">
        <f>Scenarios!F93</f>
        <v>0.48799999999999999</v>
      </c>
    </row>
    <row r="161" spans="2:4">
      <c r="B161" s="210" t="s">
        <v>383</v>
      </c>
    </row>
    <row r="162" spans="2:4">
      <c r="B162" s="1" t="s">
        <v>391</v>
      </c>
      <c r="C162" s="92">
        <f>Scenarios!C96</f>
        <v>7.4999999999999997E-2</v>
      </c>
    </row>
    <row r="163" spans="2:4">
      <c r="B163" s="212" t="str">
        <f>"PV("&amp;C141&amp;" yrs of Dividends)"</f>
        <v>PV(3 yrs of Dividends)</v>
      </c>
      <c r="C163" s="216">
        <f>Scenarios!C97</f>
        <v>0</v>
      </c>
    </row>
    <row r="164" spans="2:4">
      <c r="B164" s="212" t="str">
        <f>"+ PV(Equity Value realized at year "&amp;C141&amp;")"</f>
        <v>+ PV(Equity Value realized at year 3)</v>
      </c>
      <c r="C164" s="216">
        <f>Scenarios!C98</f>
        <v>142.74956069640638</v>
      </c>
    </row>
    <row r="165" spans="2:4">
      <c r="B165" s="80" t="s">
        <v>384</v>
      </c>
      <c r="C165" s="215">
        <f>Scenarios!C99</f>
        <v>142.74956069640638</v>
      </c>
      <c r="D165" s="300" t="str">
        <f>IF($D$11="","",C165*$E$25)</f>
        <v/>
      </c>
    </row>
    <row r="166" spans="2:4">
      <c r="B166" s="259" t="s">
        <v>397</v>
      </c>
      <c r="C166" s="298" t="str">
        <f>Market_currency</f>
        <v>USD</v>
      </c>
      <c r="D166" s="298" t="str">
        <f>IF($D$11="","",D$13)</f>
        <v/>
      </c>
    </row>
    <row r="167" spans="2:4">
      <c r="B167" s="214" t="s">
        <v>258</v>
      </c>
      <c r="C167" s="92">
        <f>Scenarios!F99</f>
        <v>0.19503943049039696</v>
      </c>
    </row>
    <row r="169" spans="2:4">
      <c r="B169" s="210" t="s">
        <v>410</v>
      </c>
    </row>
    <row r="170" spans="2:4">
      <c r="B170" s="1" t="s">
        <v>401</v>
      </c>
      <c r="C170" s="92">
        <f>F32</f>
        <v>0.1174</v>
      </c>
    </row>
    <row r="171" spans="2:4">
      <c r="B171" s="212" t="str">
        <f>"PV("&amp;C141&amp;" yrs of Dividends)"</f>
        <v>PV(3 yrs of Dividends)</v>
      </c>
      <c r="C171" s="216">
        <f>Scenarios!C103</f>
        <v>0</v>
      </c>
    </row>
    <row r="172" spans="2:4">
      <c r="B172" s="212" t="str">
        <f>"+ PV(Equity Value realized at year "&amp;C141&amp;")"</f>
        <v>+ PV(Equity Value realized at year 3)</v>
      </c>
      <c r="C172" s="216">
        <f>Scenarios!C104</f>
        <v>127.10837661250939</v>
      </c>
    </row>
    <row r="173" spans="2:4">
      <c r="B173" s="80" t="s">
        <v>384</v>
      </c>
      <c r="C173" s="215">
        <f>Scenarios!C105</f>
        <v>127.10837661250939</v>
      </c>
      <c r="D173" s="300" t="str">
        <f>IF($D$11="","",C173*$E$25)</f>
        <v/>
      </c>
    </row>
    <row r="174" spans="2:4">
      <c r="B174" s="259" t="s">
        <v>397</v>
      </c>
      <c r="C174" s="298" t="str">
        <f>Market_currency</f>
        <v>USD</v>
      </c>
      <c r="D174" s="298" t="str">
        <f>IF($D$11="","",D$13)</f>
        <v/>
      </c>
    </row>
    <row r="175" spans="2:4">
      <c r="B175" s="214" t="s">
        <v>258</v>
      </c>
      <c r="C175" s="92">
        <f>Scenarios!F105</f>
        <v>0.28331927406585422</v>
      </c>
    </row>
    <row r="177" spans="1:6" ht="13.9">
      <c r="A177" s="222" t="s">
        <v>359</v>
      </c>
      <c r="B177" s="36"/>
      <c r="C177" s="36"/>
      <c r="D177" s="36"/>
      <c r="E177" s="36"/>
      <c r="F177" s="36"/>
    </row>
    <row r="179" spans="1:6">
      <c r="B179" s="368" t="s">
        <v>479</v>
      </c>
      <c r="C179" s="369"/>
      <c r="D179" s="369"/>
      <c r="E179" s="369"/>
      <c r="F179" s="369"/>
    </row>
    <row r="181" spans="1:6">
      <c r="B181" s="210" t="s">
        <v>360</v>
      </c>
    </row>
    <row r="182" spans="1:6">
      <c r="B182" s="371" t="s">
        <v>364</v>
      </c>
      <c r="C182" s="371"/>
      <c r="D182" s="371"/>
      <c r="E182" s="371"/>
      <c r="F182" s="371"/>
    </row>
    <row r="183" spans="1:6">
      <c r="B183" s="214" t="s">
        <v>361</v>
      </c>
    </row>
    <row r="184" spans="1:6">
      <c r="B184" s="214" t="s">
        <v>362</v>
      </c>
    </row>
    <row r="185" spans="1:6">
      <c r="B185" s="214" t="s">
        <v>363</v>
      </c>
    </row>
    <row r="187" spans="1:6">
      <c r="B187" s="1" t="s">
        <v>367</v>
      </c>
    </row>
    <row r="188" spans="1:6" ht="34.35" customHeight="1">
      <c r="B188" s="370" t="s">
        <v>480</v>
      </c>
      <c r="C188" s="370"/>
      <c r="D188" s="370"/>
      <c r="E188" s="370"/>
      <c r="F188" s="370"/>
    </row>
    <row r="190" spans="1:6">
      <c r="B190" s="1" t="s">
        <v>368</v>
      </c>
    </row>
    <row r="191" spans="1:6" ht="24.6" customHeight="1">
      <c r="B191" s="367" t="s">
        <v>365</v>
      </c>
      <c r="C191" s="367"/>
      <c r="D191" s="367"/>
      <c r="E191" s="367"/>
      <c r="F191" s="367"/>
    </row>
    <row r="192" spans="1:6" ht="24.6" customHeight="1">
      <c r="B192" s="367" t="s">
        <v>366</v>
      </c>
      <c r="C192" s="367"/>
      <c r="D192" s="367"/>
      <c r="E192" s="367"/>
      <c r="F192" s="367"/>
    </row>
    <row r="194" spans="2:2">
      <c r="B194" s="1" t="s">
        <v>372</v>
      </c>
    </row>
    <row r="195" spans="2:2">
      <c r="B195" s="214" t="s">
        <v>369</v>
      </c>
    </row>
    <row r="196" spans="2:2">
      <c r="B196" s="214" t="s">
        <v>370</v>
      </c>
    </row>
    <row r="197" spans="2:2">
      <c r="B197" s="214" t="s">
        <v>371</v>
      </c>
    </row>
  </sheetData>
  <mergeCells count="27">
    <mergeCell ref="B139:F139"/>
    <mergeCell ref="B47:F47"/>
    <mergeCell ref="B18:F18"/>
    <mergeCell ref="B36:F36"/>
    <mergeCell ref="B37:F37"/>
    <mergeCell ref="B40:F40"/>
    <mergeCell ref="B43:F43"/>
    <mergeCell ref="B90:F90"/>
    <mergeCell ref="B97:F97"/>
    <mergeCell ref="B116:F116"/>
    <mergeCell ref="B138:F138"/>
    <mergeCell ref="B50:F50"/>
    <mergeCell ref="B58:F58"/>
    <mergeCell ref="B61:F61"/>
    <mergeCell ref="B65:F65"/>
    <mergeCell ref="B80:F80"/>
    <mergeCell ref="B81:F81"/>
    <mergeCell ref="B123:F123"/>
    <mergeCell ref="B89:F89"/>
    <mergeCell ref="B134:F134"/>
    <mergeCell ref="B64:F64"/>
    <mergeCell ref="B101:F101"/>
    <mergeCell ref="B191:F191"/>
    <mergeCell ref="B192:F192"/>
    <mergeCell ref="B179:F179"/>
    <mergeCell ref="B188:F188"/>
    <mergeCell ref="B182:F182"/>
  </mergeCells>
  <phoneticPr fontId="2" type="noConversion"/>
  <dataValidations count="5">
    <dataValidation type="list" allowBlank="1" showInputMessage="1" showErrorMessage="1" sqref="F1" xr:uid="{45F807FD-9E0F-415A-9BBD-D5FB6470B56D}">
      <formula1>"Y, N"</formula1>
    </dataValidation>
    <dataValidation type="list" allowBlank="1" showInputMessage="1" showErrorMessage="1" sqref="C23:C24"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1 E25" xr:uid="{788B6937-776F-41CC-B9B1-7986DB35B57D}">
      <formula1>"DCF,DDM"</formula1>
    </dataValidation>
    <dataValidation type="list" allowBlank="1" showInputMessage="1" showErrorMessage="1" sqref="D1" xr:uid="{43680096-2F0B-9A4B-87F6-C27180C3206F}">
      <formula1>"INT,CN"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94" zoomScaleNormal="100" workbookViewId="0">
      <pane xSplit="2" ySplit="1" topLeftCell="C45" activePane="bottomRight" state="frozen"/>
      <selection pane="topRight" activeCell="C1" sqref="C1"/>
      <selection pane="bottomLeft" activeCell="A2" sqref="A2"/>
      <selection pane="bottomRight" activeCell="A68" sqref="A68"/>
    </sheetView>
  </sheetViews>
  <sheetFormatPr defaultColWidth="8.86328125" defaultRowHeight="11.65"/>
  <cols>
    <col min="1" max="1" width="3" style="1" customWidth="1"/>
    <col min="2" max="2" width="27.265625" style="1" customWidth="1"/>
    <col min="3" max="13" width="20.73046875" style="1" customWidth="1"/>
    <col min="14" max="16384" width="8.86328125" style="1"/>
  </cols>
  <sheetData>
    <row r="1" spans="2:13">
      <c r="B1" s="90" t="str">
        <f>Thesis!C25</f>
        <v>USD</v>
      </c>
      <c r="C1" s="104">
        <v>45688</v>
      </c>
      <c r="D1" s="38">
        <f>EOMONTH(EDATE(C1,-12),0)</f>
        <v>45322</v>
      </c>
      <c r="E1" s="38">
        <f t="shared" ref="E1:M1" si="0">EOMONTH(EDATE(D1,-12),0)</f>
        <v>44957</v>
      </c>
      <c r="F1" s="38">
        <f t="shared" si="0"/>
        <v>44592</v>
      </c>
      <c r="G1" s="38">
        <f t="shared" si="0"/>
        <v>44227</v>
      </c>
      <c r="H1" s="38">
        <f t="shared" si="0"/>
        <v>43861</v>
      </c>
      <c r="I1" s="38">
        <f t="shared" si="0"/>
        <v>43496</v>
      </c>
      <c r="J1" s="38">
        <f t="shared" si="0"/>
        <v>43131</v>
      </c>
      <c r="K1" s="38">
        <f t="shared" si="0"/>
        <v>42766</v>
      </c>
      <c r="L1" s="38">
        <f t="shared" si="0"/>
        <v>42400</v>
      </c>
      <c r="M1" s="38">
        <f t="shared" si="0"/>
        <v>42035</v>
      </c>
    </row>
    <row r="2" spans="2:13" ht="13.9">
      <c r="B2" s="36" t="s">
        <v>94</v>
      </c>
      <c r="C2" s="37"/>
      <c r="D2" s="37"/>
      <c r="E2" s="37"/>
      <c r="F2" s="37"/>
      <c r="G2" s="37"/>
      <c r="H2" s="37"/>
      <c r="I2" s="37"/>
      <c r="J2" s="37"/>
      <c r="K2" s="37"/>
      <c r="L2" s="37"/>
      <c r="M2" s="37"/>
    </row>
    <row r="3" spans="2:13">
      <c r="B3" s="16" t="s">
        <v>25</v>
      </c>
      <c r="C3" s="106">
        <v>1000</v>
      </c>
    </row>
    <row r="4" spans="2:13">
      <c r="B4" s="32" t="s">
        <v>0</v>
      </c>
      <c r="C4" s="351">
        <v>10588126</v>
      </c>
      <c r="D4" s="351">
        <v>9619278</v>
      </c>
      <c r="E4" s="351">
        <v>8110518</v>
      </c>
      <c r="F4" s="351">
        <v>6256617</v>
      </c>
      <c r="G4" s="351">
        <v>4401879</v>
      </c>
      <c r="H4" s="351">
        <v>3979296</v>
      </c>
      <c r="I4" s="351">
        <v>3288319</v>
      </c>
      <c r="J4" s="351">
        <v>2649181</v>
      </c>
      <c r="K4" s="351">
        <v>2344392</v>
      </c>
      <c r="L4" s="351">
        <v>2060523</v>
      </c>
      <c r="M4" s="351"/>
    </row>
    <row r="5" spans="2:13">
      <c r="B5" s="40" t="s">
        <v>41</v>
      </c>
      <c r="C5" s="351">
        <v>4317315</v>
      </c>
      <c r="D5" s="351">
        <v>4009873</v>
      </c>
      <c r="E5" s="351">
        <v>3618178</v>
      </c>
      <c r="F5" s="351">
        <v>2648052</v>
      </c>
      <c r="G5" s="351">
        <v>1937888</v>
      </c>
      <c r="H5" s="351">
        <v>1755910</v>
      </c>
      <c r="I5" s="351">
        <v>1472032</v>
      </c>
      <c r="J5" s="351">
        <v>1250391</v>
      </c>
      <c r="K5" s="351">
        <v>1144775</v>
      </c>
      <c r="L5" s="351">
        <v>1063357</v>
      </c>
      <c r="M5" s="351"/>
    </row>
    <row r="6" spans="2:13">
      <c r="B6" s="40" t="s">
        <v>52</v>
      </c>
      <c r="C6" s="351">
        <v>3762379</v>
      </c>
      <c r="D6" s="351">
        <v>3397218</v>
      </c>
      <c r="E6" s="351">
        <v>2757447</v>
      </c>
      <c r="F6" s="351">
        <v>2225034</v>
      </c>
      <c r="G6" s="351">
        <v>1609003</v>
      </c>
      <c r="H6" s="351">
        <v>1334276</v>
      </c>
      <c r="I6" s="351">
        <v>1110451</v>
      </c>
      <c r="J6" s="351">
        <v>904264</v>
      </c>
      <c r="K6" s="351">
        <v>778465</v>
      </c>
      <c r="L6" s="351">
        <v>628090</v>
      </c>
      <c r="M6" s="351"/>
    </row>
    <row r="7" spans="2:13">
      <c r="B7" s="69" t="s">
        <v>59</v>
      </c>
      <c r="C7" s="352"/>
      <c r="D7" s="352"/>
      <c r="E7" s="352"/>
      <c r="F7" s="352"/>
      <c r="G7" s="352"/>
      <c r="H7" s="352"/>
      <c r="I7" s="352"/>
      <c r="J7" s="352"/>
      <c r="K7" s="352"/>
      <c r="L7" s="352"/>
      <c r="M7" s="352"/>
    </row>
    <row r="8" spans="2:13">
      <c r="B8" s="40" t="s">
        <v>47</v>
      </c>
      <c r="C8" s="351"/>
      <c r="D8" s="351"/>
      <c r="E8" s="351"/>
      <c r="F8" s="351"/>
      <c r="G8" s="351"/>
      <c r="H8" s="351"/>
      <c r="I8" s="351"/>
      <c r="J8" s="351"/>
      <c r="K8" s="351"/>
      <c r="L8" s="351"/>
      <c r="M8" s="351"/>
    </row>
    <row r="9" spans="2:13">
      <c r="B9" s="40" t="s">
        <v>155</v>
      </c>
      <c r="C9" s="351"/>
      <c r="D9" s="351"/>
      <c r="E9" s="351"/>
      <c r="F9" s="351"/>
      <c r="G9" s="351"/>
      <c r="H9" s="351"/>
      <c r="I9" s="351"/>
      <c r="J9" s="351"/>
      <c r="K9" s="351"/>
      <c r="L9" s="351"/>
      <c r="M9" s="351"/>
    </row>
    <row r="10" spans="2:13">
      <c r="B10" s="40" t="s">
        <v>163</v>
      </c>
      <c r="C10" s="351"/>
      <c r="D10" s="351"/>
      <c r="E10" s="351"/>
      <c r="F10" s="351"/>
      <c r="G10" s="351"/>
      <c r="H10" s="351"/>
      <c r="I10" s="351"/>
      <c r="J10" s="351"/>
      <c r="K10" s="351"/>
      <c r="L10" s="351"/>
      <c r="M10" s="351"/>
    </row>
    <row r="11" spans="2:13">
      <c r="B11" s="40" t="s">
        <v>154</v>
      </c>
      <c r="C11" s="351"/>
      <c r="D11" s="351"/>
      <c r="E11" s="351"/>
      <c r="F11" s="351"/>
      <c r="G11" s="351"/>
      <c r="H11" s="351"/>
      <c r="I11" s="351"/>
      <c r="J11" s="351"/>
      <c r="K11" s="351"/>
      <c r="L11" s="351"/>
      <c r="M11" s="351"/>
    </row>
    <row r="12" spans="2:13">
      <c r="B12" s="40" t="s">
        <v>37</v>
      </c>
      <c r="C12" s="351"/>
      <c r="D12" s="351"/>
      <c r="E12" s="351"/>
      <c r="F12" s="351"/>
      <c r="G12" s="351"/>
      <c r="H12" s="351"/>
      <c r="I12" s="351"/>
      <c r="J12" s="351"/>
      <c r="K12" s="351"/>
      <c r="L12" s="351"/>
      <c r="M12" s="351"/>
    </row>
    <row r="13" spans="2:13">
      <c r="B13" s="40" t="s">
        <v>65</v>
      </c>
      <c r="C13" s="351"/>
      <c r="D13" s="351"/>
      <c r="E13" s="351"/>
      <c r="F13" s="351"/>
      <c r="G13" s="351"/>
      <c r="H13" s="351"/>
      <c r="I13" s="351"/>
      <c r="J13" s="351"/>
      <c r="K13" s="351"/>
      <c r="L13" s="351"/>
      <c r="M13" s="351"/>
    </row>
    <row r="14" spans="2:13">
      <c r="B14" s="40" t="s">
        <v>48</v>
      </c>
      <c r="C14" s="351">
        <v>761461</v>
      </c>
      <c r="D14" s="351">
        <v>625545</v>
      </c>
      <c r="E14" s="351">
        <v>477771</v>
      </c>
      <c r="F14" s="351">
        <v>358547</v>
      </c>
      <c r="G14" s="351">
        <v>230437</v>
      </c>
      <c r="H14" s="351">
        <v>251797</v>
      </c>
      <c r="I14" s="351">
        <v>231449</v>
      </c>
      <c r="J14" s="351">
        <v>201336</v>
      </c>
      <c r="K14" s="351">
        <v>119348</v>
      </c>
      <c r="L14" s="351">
        <v>102448</v>
      </c>
      <c r="M14" s="351"/>
    </row>
    <row r="15" spans="2:13">
      <c r="B15" s="43" t="s">
        <v>40</v>
      </c>
      <c r="C15" s="353">
        <v>1814616</v>
      </c>
      <c r="D15" s="353">
        <v>1550190</v>
      </c>
      <c r="E15" s="353">
        <v>854800</v>
      </c>
      <c r="F15" s="353">
        <v>975322</v>
      </c>
      <c r="G15" s="353">
        <v>588913</v>
      </c>
      <c r="H15" s="353">
        <v>645596</v>
      </c>
      <c r="I15" s="353">
        <v>483801</v>
      </c>
      <c r="J15" s="353">
        <v>258662</v>
      </c>
      <c r="K15" s="353">
        <v>303381</v>
      </c>
      <c r="L15" s="353">
        <v>266047</v>
      </c>
      <c r="M15" s="353"/>
    </row>
    <row r="16" spans="2:13">
      <c r="B16" s="28" t="s">
        <v>42</v>
      </c>
      <c r="C16" s="351"/>
      <c r="D16" s="351"/>
      <c r="E16" s="351"/>
      <c r="F16" s="351"/>
      <c r="G16" s="351"/>
      <c r="H16" s="351"/>
      <c r="I16" s="351"/>
      <c r="J16" s="351"/>
      <c r="K16" s="351"/>
      <c r="L16" s="351"/>
      <c r="M16" s="351"/>
    </row>
    <row r="18" spans="2:13">
      <c r="B18" s="16" t="s">
        <v>49</v>
      </c>
      <c r="C18" s="9"/>
    </row>
    <row r="19" spans="2:13">
      <c r="B19" s="27" t="s">
        <v>45</v>
      </c>
      <c r="C19" s="351"/>
      <c r="D19" s="351"/>
      <c r="E19" s="351"/>
      <c r="F19" s="351"/>
      <c r="G19" s="351"/>
      <c r="H19" s="351"/>
      <c r="I19" s="351"/>
      <c r="J19" s="351"/>
      <c r="K19" s="351"/>
      <c r="L19" s="351"/>
      <c r="M19" s="351"/>
    </row>
    <row r="20" spans="2:13">
      <c r="B20" s="27" t="s">
        <v>51</v>
      </c>
      <c r="C20" s="351"/>
      <c r="D20" s="351"/>
      <c r="E20" s="351"/>
      <c r="F20" s="351"/>
      <c r="G20" s="351"/>
      <c r="H20" s="351"/>
      <c r="I20" s="351"/>
      <c r="J20" s="351"/>
      <c r="K20" s="351"/>
      <c r="L20" s="351"/>
      <c r="M20" s="351"/>
    </row>
    <row r="21" spans="2:13">
      <c r="B21" s="27" t="s">
        <v>50</v>
      </c>
      <c r="C21" s="351"/>
      <c r="D21" s="351"/>
      <c r="E21" s="351"/>
      <c r="F21" s="351"/>
      <c r="G21" s="351"/>
      <c r="H21" s="351"/>
      <c r="I21" s="351"/>
      <c r="J21" s="351"/>
      <c r="K21" s="351"/>
      <c r="L21" s="351"/>
      <c r="M21" s="351"/>
    </row>
    <row r="22" spans="2:13">
      <c r="B22" s="27" t="s">
        <v>356</v>
      </c>
      <c r="C22" s="351">
        <v>2272713</v>
      </c>
      <c r="D22" s="351">
        <v>2296164</v>
      </c>
      <c r="E22" s="351">
        <v>966463</v>
      </c>
      <c r="F22" s="351">
        <v>1389108</v>
      </c>
      <c r="G22" s="351">
        <v>803336</v>
      </c>
      <c r="H22" s="351">
        <v>669316</v>
      </c>
      <c r="I22" s="351">
        <v>742779</v>
      </c>
      <c r="J22" s="351">
        <v>489337</v>
      </c>
      <c r="K22" s="351">
        <v>385119</v>
      </c>
      <c r="L22" s="351">
        <v>298740</v>
      </c>
      <c r="M22" s="351"/>
    </row>
    <row r="23" spans="2:13">
      <c r="B23" s="27" t="s">
        <v>358</v>
      </c>
      <c r="C23" s="351">
        <v>-798174</v>
      </c>
      <c r="D23" s="351">
        <v>-654132</v>
      </c>
      <c r="E23" s="351">
        <v>-569937</v>
      </c>
      <c r="F23" s="351">
        <v>-427891</v>
      </c>
      <c r="G23" s="351">
        <v>-695532</v>
      </c>
      <c r="H23" s="351">
        <v>-278408</v>
      </c>
      <c r="I23" s="351">
        <v>-242794</v>
      </c>
      <c r="J23" s="351">
        <v>-173392</v>
      </c>
      <c r="K23" s="351">
        <v>-149511</v>
      </c>
      <c r="L23" s="351">
        <v>-143487</v>
      </c>
      <c r="M23" s="351"/>
    </row>
    <row r="24" spans="2:13">
      <c r="B24" s="27" t="s">
        <v>357</v>
      </c>
      <c r="C24" s="351">
        <v>-1652508</v>
      </c>
      <c r="D24" s="351">
        <v>-548828</v>
      </c>
      <c r="E24" s="351">
        <v>-467487</v>
      </c>
      <c r="F24" s="351">
        <v>-844987</v>
      </c>
      <c r="G24" s="351">
        <v>-80788</v>
      </c>
      <c r="H24" s="351">
        <v>-177173</v>
      </c>
      <c r="I24" s="351">
        <v>-590214</v>
      </c>
      <c r="J24" s="351">
        <v>-97862</v>
      </c>
      <c r="K24" s="351">
        <v>-25338</v>
      </c>
      <c r="L24" s="351">
        <v>-273693</v>
      </c>
      <c r="M24" s="351"/>
    </row>
    <row r="25" spans="2:13">
      <c r="B25" s="24" t="str">
        <f>"Dividend per share ("&amp;Market_currency&amp;")"</f>
        <v>Dividend per share (USD)</v>
      </c>
      <c r="C25" s="39"/>
      <c r="D25" s="39"/>
      <c r="E25" s="39"/>
      <c r="F25" s="39"/>
      <c r="G25" s="39"/>
      <c r="H25" s="39"/>
      <c r="I25" s="39"/>
      <c r="J25" s="39"/>
      <c r="K25" s="39"/>
      <c r="L25" s="39"/>
      <c r="M25" s="39"/>
    </row>
    <row r="27" spans="2:13">
      <c r="B27" s="16" t="s">
        <v>26</v>
      </c>
      <c r="C27" s="97" t="s">
        <v>215</v>
      </c>
    </row>
    <row r="28" spans="2:13">
      <c r="B28" s="26" t="s">
        <v>22</v>
      </c>
      <c r="C28" s="333">
        <f>BS!C4</f>
        <v>0</v>
      </c>
      <c r="D28" s="351">
        <v>124769</v>
      </c>
      <c r="E28" s="351">
        <v>132906</v>
      </c>
      <c r="F28" s="351">
        <v>77001</v>
      </c>
      <c r="G28" s="351">
        <v>62399</v>
      </c>
      <c r="H28" s="351">
        <v>40219</v>
      </c>
      <c r="I28" s="351">
        <v>35786</v>
      </c>
      <c r="J28" s="351">
        <v>19173</v>
      </c>
      <c r="K28" s="351">
        <v>9200</v>
      </c>
      <c r="L28" s="351">
        <v>13108</v>
      </c>
      <c r="M28" s="351"/>
    </row>
    <row r="29" spans="2:13">
      <c r="B29" s="26" t="s">
        <v>30</v>
      </c>
      <c r="C29" s="333">
        <f>BS!C6</f>
        <v>1652091</v>
      </c>
      <c r="D29" s="351">
        <v>1323602</v>
      </c>
      <c r="E29" s="351">
        <v>1447367</v>
      </c>
      <c r="F29" s="351">
        <v>966481</v>
      </c>
      <c r="G29" s="351">
        <v>647230</v>
      </c>
      <c r="H29" s="351">
        <v>518513</v>
      </c>
      <c r="I29" s="351">
        <v>404842</v>
      </c>
      <c r="J29" s="351">
        <v>329562</v>
      </c>
      <c r="K29" s="351">
        <v>298432</v>
      </c>
      <c r="L29" s="351">
        <v>284009</v>
      </c>
      <c r="M29" s="351"/>
    </row>
    <row r="30" spans="2:13">
      <c r="B30" s="29" t="s">
        <v>38</v>
      </c>
      <c r="C30" s="334">
        <f>BS!C33+BS!C42</f>
        <v>3140973</v>
      </c>
      <c r="D30" s="353">
        <v>2859860</v>
      </c>
      <c r="E30" s="353">
        <v>2458239</v>
      </c>
      <c r="F30" s="353">
        <v>2202432</v>
      </c>
      <c r="G30" s="353">
        <v>1626649</v>
      </c>
      <c r="H30" s="353">
        <v>1329136</v>
      </c>
      <c r="I30" s="353">
        <v>638736</v>
      </c>
      <c r="J30" s="353">
        <v>401523</v>
      </c>
      <c r="K30" s="353">
        <v>297568</v>
      </c>
      <c r="L30" s="353">
        <v>286595</v>
      </c>
      <c r="M30" s="353"/>
    </row>
    <row r="31" spans="2:13">
      <c r="B31" s="29" t="s">
        <v>28</v>
      </c>
      <c r="C31" s="334">
        <f>BS!G27</f>
        <v>4289570</v>
      </c>
      <c r="D31" s="353">
        <v>4232081</v>
      </c>
      <c r="E31" s="353">
        <v>3148799</v>
      </c>
      <c r="F31" s="353">
        <v>2740046</v>
      </c>
      <c r="G31" s="353">
        <v>2558566</v>
      </c>
      <c r="H31" s="353">
        <v>1952218</v>
      </c>
      <c r="I31" s="353">
        <v>1445975</v>
      </c>
      <c r="J31" s="353">
        <v>1596960</v>
      </c>
      <c r="K31" s="353">
        <v>1359973</v>
      </c>
      <c r="L31" s="353">
        <v>1027482</v>
      </c>
      <c r="M31" s="353"/>
    </row>
    <row r="32" spans="2:13">
      <c r="B32" s="26" t="s">
        <v>168</v>
      </c>
      <c r="C32" s="333">
        <f>BS!G28</f>
        <v>0</v>
      </c>
      <c r="D32" s="351"/>
      <c r="E32" s="351"/>
      <c r="F32" s="351"/>
      <c r="G32" s="351"/>
      <c r="H32" s="351"/>
      <c r="I32" s="351"/>
      <c r="J32" s="351"/>
      <c r="K32" s="351"/>
      <c r="L32" s="351"/>
      <c r="M32" s="351"/>
    </row>
    <row r="34" spans="2:13" ht="13.9">
      <c r="B34" s="36" t="s">
        <v>79</v>
      </c>
      <c r="C34" s="37"/>
      <c r="D34" s="37"/>
      <c r="E34" s="37"/>
      <c r="F34" s="37"/>
      <c r="G34" s="37"/>
      <c r="H34" s="37"/>
      <c r="I34" s="37"/>
      <c r="J34" s="37"/>
      <c r="K34" s="37"/>
      <c r="L34" s="37"/>
      <c r="M34" s="37"/>
    </row>
    <row r="35" spans="2:13">
      <c r="B35" s="16" t="s">
        <v>25</v>
      </c>
    </row>
    <row r="36" spans="2:13">
      <c r="B36" s="32" t="s">
        <v>0</v>
      </c>
      <c r="C36" s="333">
        <f t="shared" ref="C36:M36" si="1">IF(C$4="","",C4)</f>
        <v>10588126</v>
      </c>
      <c r="D36" s="333">
        <f t="shared" si="1"/>
        <v>9619278</v>
      </c>
      <c r="E36" s="333">
        <f t="shared" si="1"/>
        <v>8110518</v>
      </c>
      <c r="F36" s="333">
        <f t="shared" si="1"/>
        <v>6256617</v>
      </c>
      <c r="G36" s="333">
        <f t="shared" si="1"/>
        <v>4401879</v>
      </c>
      <c r="H36" s="333">
        <f t="shared" si="1"/>
        <v>3979296</v>
      </c>
      <c r="I36" s="333">
        <f t="shared" si="1"/>
        <v>3288319</v>
      </c>
      <c r="J36" s="333">
        <f t="shared" si="1"/>
        <v>2649181</v>
      </c>
      <c r="K36" s="333">
        <f t="shared" si="1"/>
        <v>2344392</v>
      </c>
      <c r="L36" s="333">
        <f t="shared" si="1"/>
        <v>2060523</v>
      </c>
      <c r="M36" s="333" t="str">
        <f t="shared" si="1"/>
        <v/>
      </c>
    </row>
    <row r="37" spans="2:13">
      <c r="B37" s="40" t="s">
        <v>41</v>
      </c>
      <c r="C37" s="333">
        <f t="shared" ref="C37:M37" si="2">IF(C$4="","",-C5)</f>
        <v>-4317315</v>
      </c>
      <c r="D37" s="333">
        <f t="shared" si="2"/>
        <v>-4009873</v>
      </c>
      <c r="E37" s="333">
        <f t="shared" si="2"/>
        <v>-3618178</v>
      </c>
      <c r="F37" s="333">
        <f t="shared" si="2"/>
        <v>-2648052</v>
      </c>
      <c r="G37" s="333">
        <f t="shared" si="2"/>
        <v>-1937888</v>
      </c>
      <c r="H37" s="333">
        <f t="shared" si="2"/>
        <v>-1755910</v>
      </c>
      <c r="I37" s="333">
        <f t="shared" si="2"/>
        <v>-1472032</v>
      </c>
      <c r="J37" s="333">
        <f t="shared" si="2"/>
        <v>-1250391</v>
      </c>
      <c r="K37" s="333">
        <f t="shared" si="2"/>
        <v>-1144775</v>
      </c>
      <c r="L37" s="333">
        <f t="shared" si="2"/>
        <v>-1063357</v>
      </c>
      <c r="M37" s="333" t="str">
        <f t="shared" si="2"/>
        <v/>
      </c>
    </row>
    <row r="38" spans="2:13">
      <c r="B38" s="31" t="s">
        <v>56</v>
      </c>
      <c r="C38" s="329">
        <f>IF(C36="","",C36+C37)</f>
        <v>6270811</v>
      </c>
      <c r="D38" s="329">
        <f t="shared" ref="D38" si="3">IF(D36="","",D36+D37)</f>
        <v>5609405</v>
      </c>
      <c r="E38" s="329">
        <f t="shared" ref="E38" si="4">IF(E36="","",E36+E37)</f>
        <v>4492340</v>
      </c>
      <c r="F38" s="329">
        <f t="shared" ref="F38" si="5">IF(F36="","",F36+F37)</f>
        <v>3608565</v>
      </c>
      <c r="G38" s="329">
        <f t="shared" ref="G38" si="6">IF(G36="","",G36+G37)</f>
        <v>2463991</v>
      </c>
      <c r="H38" s="329">
        <f t="shared" ref="H38" si="7">IF(H36="","",H36+H37)</f>
        <v>2223386</v>
      </c>
      <c r="I38" s="329">
        <f t="shared" ref="I38" si="8">IF(I36="","",I36+I37)</f>
        <v>1816287</v>
      </c>
      <c r="J38" s="329">
        <f t="shared" ref="J38" si="9">IF(J36="","",J36+J37)</f>
        <v>1398790</v>
      </c>
      <c r="K38" s="329">
        <f t="shared" ref="K38" si="10">IF(K36="","",K36+K37)</f>
        <v>1199617</v>
      </c>
      <c r="L38" s="329">
        <f t="shared" ref="L38" si="11">IF(L36="","",L36+L37)</f>
        <v>997166</v>
      </c>
      <c r="M38" s="329" t="str">
        <f t="shared" ref="M38" si="12">IF(M36="","",M36+M37)</f>
        <v/>
      </c>
    </row>
    <row r="39" spans="2:13">
      <c r="B39" s="40" t="s">
        <v>52</v>
      </c>
      <c r="C39" s="333">
        <f t="shared" ref="C39:M39" si="13">IF(C$4="","",-C6)</f>
        <v>-3762379</v>
      </c>
      <c r="D39" s="333">
        <f t="shared" si="13"/>
        <v>-3397218</v>
      </c>
      <c r="E39" s="333">
        <f t="shared" si="13"/>
        <v>-2757447</v>
      </c>
      <c r="F39" s="333">
        <f t="shared" si="13"/>
        <v>-2225034</v>
      </c>
      <c r="G39" s="333">
        <f t="shared" si="13"/>
        <v>-1609003</v>
      </c>
      <c r="H39" s="333">
        <f t="shared" si="13"/>
        <v>-1334276</v>
      </c>
      <c r="I39" s="333">
        <f t="shared" si="13"/>
        <v>-1110451</v>
      </c>
      <c r="J39" s="333">
        <f t="shared" si="13"/>
        <v>-904264</v>
      </c>
      <c r="K39" s="333">
        <f t="shared" si="13"/>
        <v>-778465</v>
      </c>
      <c r="L39" s="333">
        <f t="shared" si="13"/>
        <v>-628090</v>
      </c>
      <c r="M39" s="333" t="str">
        <f t="shared" si="13"/>
        <v/>
      </c>
    </row>
    <row r="40" spans="2:13">
      <c r="B40" s="69" t="s">
        <v>59</v>
      </c>
      <c r="C40" s="346">
        <f t="shared" ref="C40:M40" si="14">IF(C$4="","",-C7)</f>
        <v>0</v>
      </c>
      <c r="D40" s="346">
        <f t="shared" si="14"/>
        <v>0</v>
      </c>
      <c r="E40" s="346">
        <f t="shared" si="14"/>
        <v>0</v>
      </c>
      <c r="F40" s="346">
        <f t="shared" si="14"/>
        <v>0</v>
      </c>
      <c r="G40" s="346">
        <f t="shared" si="14"/>
        <v>0</v>
      </c>
      <c r="H40" s="346">
        <f t="shared" si="14"/>
        <v>0</v>
      </c>
      <c r="I40" s="346">
        <f t="shared" si="14"/>
        <v>0</v>
      </c>
      <c r="J40" s="346">
        <f t="shared" si="14"/>
        <v>0</v>
      </c>
      <c r="K40" s="346">
        <f t="shared" si="14"/>
        <v>0</v>
      </c>
      <c r="L40" s="346">
        <f t="shared" si="14"/>
        <v>0</v>
      </c>
      <c r="M40" s="346" t="str">
        <f t="shared" si="14"/>
        <v/>
      </c>
    </row>
    <row r="41" spans="2:13">
      <c r="B41" s="69" t="s">
        <v>62</v>
      </c>
      <c r="C41" s="346">
        <f>IF(C$4="","",C39-C40)</f>
        <v>-3762379</v>
      </c>
      <c r="D41" s="346">
        <f t="shared" ref="D41:M41" si="15">IF(D$4="","",D39-D40)</f>
        <v>-3397218</v>
      </c>
      <c r="E41" s="346">
        <f t="shared" si="15"/>
        <v>-2757447</v>
      </c>
      <c r="F41" s="346">
        <f t="shared" si="15"/>
        <v>-2225034</v>
      </c>
      <c r="G41" s="346">
        <f t="shared" si="15"/>
        <v>-1609003</v>
      </c>
      <c r="H41" s="346">
        <f t="shared" si="15"/>
        <v>-1334276</v>
      </c>
      <c r="I41" s="346">
        <f t="shared" si="15"/>
        <v>-1110451</v>
      </c>
      <c r="J41" s="346">
        <f t="shared" si="15"/>
        <v>-904264</v>
      </c>
      <c r="K41" s="346">
        <f t="shared" si="15"/>
        <v>-778465</v>
      </c>
      <c r="L41" s="346">
        <f t="shared" si="15"/>
        <v>-628090</v>
      </c>
      <c r="M41" s="346" t="str">
        <f t="shared" si="15"/>
        <v/>
      </c>
    </row>
    <row r="42" spans="2:13">
      <c r="B42" s="40" t="s">
        <v>47</v>
      </c>
      <c r="C42" s="333">
        <f t="shared" ref="C42:M42" si="16">IF(C$4="","",-C8)</f>
        <v>0</v>
      </c>
      <c r="D42" s="333">
        <f t="shared" si="16"/>
        <v>0</v>
      </c>
      <c r="E42" s="333">
        <f t="shared" si="16"/>
        <v>0</v>
      </c>
      <c r="F42" s="333">
        <f t="shared" si="16"/>
        <v>0</v>
      </c>
      <c r="G42" s="333">
        <f t="shared" si="16"/>
        <v>0</v>
      </c>
      <c r="H42" s="333">
        <f t="shared" si="16"/>
        <v>0</v>
      </c>
      <c r="I42" s="333">
        <f t="shared" si="16"/>
        <v>0</v>
      </c>
      <c r="J42" s="333">
        <f t="shared" si="16"/>
        <v>0</v>
      </c>
      <c r="K42" s="333">
        <f t="shared" si="16"/>
        <v>0</v>
      </c>
      <c r="L42" s="333">
        <f t="shared" si="16"/>
        <v>0</v>
      </c>
      <c r="M42" s="333" t="str">
        <f t="shared" si="16"/>
        <v/>
      </c>
    </row>
    <row r="43" spans="2:13">
      <c r="B43" s="43" t="s">
        <v>148</v>
      </c>
      <c r="C43" s="334">
        <f>IF(C$4="","",C38+C39+C42)</f>
        <v>2508432</v>
      </c>
      <c r="D43" s="334">
        <f t="shared" ref="D43:M43" si="17">IF(D$4="","",D38+D39+D42)</f>
        <v>2212187</v>
      </c>
      <c r="E43" s="334">
        <f t="shared" si="17"/>
        <v>1734893</v>
      </c>
      <c r="F43" s="334">
        <f t="shared" si="17"/>
        <v>1383531</v>
      </c>
      <c r="G43" s="334">
        <f t="shared" si="17"/>
        <v>854988</v>
      </c>
      <c r="H43" s="334">
        <f t="shared" si="17"/>
        <v>889110</v>
      </c>
      <c r="I43" s="334">
        <f t="shared" si="17"/>
        <v>705836</v>
      </c>
      <c r="J43" s="334">
        <f t="shared" si="17"/>
        <v>494526</v>
      </c>
      <c r="K43" s="334">
        <f t="shared" si="17"/>
        <v>421152</v>
      </c>
      <c r="L43" s="334">
        <f t="shared" si="17"/>
        <v>369076</v>
      </c>
      <c r="M43" s="334" t="str">
        <f t="shared" si="17"/>
        <v/>
      </c>
    </row>
    <row r="44" spans="2:13">
      <c r="B44" s="43" t="s">
        <v>164</v>
      </c>
      <c r="C44" s="354">
        <f t="shared" ref="C44:M44" si="18">IF(C$4="","",C47-C46-C45-C43)</f>
        <v>67645</v>
      </c>
      <c r="D44" s="354">
        <f t="shared" si="18"/>
        <v>-36452</v>
      </c>
      <c r="E44" s="354">
        <f t="shared" si="18"/>
        <v>-402322</v>
      </c>
      <c r="F44" s="354">
        <f t="shared" si="18"/>
        <v>-49662</v>
      </c>
      <c r="G44" s="354">
        <f t="shared" si="18"/>
        <v>-35638</v>
      </c>
      <c r="H44" s="354">
        <f t="shared" si="18"/>
        <v>8283</v>
      </c>
      <c r="I44" s="354">
        <f t="shared" si="18"/>
        <v>9414</v>
      </c>
      <c r="J44" s="354">
        <f t="shared" si="18"/>
        <v>-34528</v>
      </c>
      <c r="K44" s="354">
        <f t="shared" si="18"/>
        <v>1577</v>
      </c>
      <c r="L44" s="354">
        <f t="shared" si="18"/>
        <v>-581</v>
      </c>
      <c r="M44" s="354" t="str">
        <f t="shared" si="18"/>
        <v/>
      </c>
    </row>
    <row r="45" spans="2:13">
      <c r="B45" s="40" t="s">
        <v>66</v>
      </c>
      <c r="C45" s="349">
        <f t="shared" ref="C45:M45" si="19">IF(C$4="","",C51+C52)</f>
        <v>0</v>
      </c>
      <c r="D45" s="349">
        <f t="shared" si="19"/>
        <v>0</v>
      </c>
      <c r="E45" s="349">
        <f t="shared" si="19"/>
        <v>0</v>
      </c>
      <c r="F45" s="349">
        <f t="shared" si="19"/>
        <v>0</v>
      </c>
      <c r="G45" s="349">
        <f t="shared" si="19"/>
        <v>0</v>
      </c>
      <c r="H45" s="349">
        <f t="shared" si="19"/>
        <v>0</v>
      </c>
      <c r="I45" s="349">
        <f t="shared" si="19"/>
        <v>0</v>
      </c>
      <c r="J45" s="349">
        <f t="shared" si="19"/>
        <v>0</v>
      </c>
      <c r="K45" s="349">
        <f t="shared" si="19"/>
        <v>0</v>
      </c>
      <c r="L45" s="349">
        <f t="shared" si="19"/>
        <v>0</v>
      </c>
      <c r="M45" s="349" t="str">
        <f t="shared" si="19"/>
        <v/>
      </c>
    </row>
    <row r="46" spans="2:13">
      <c r="B46" s="40" t="s">
        <v>48</v>
      </c>
      <c r="C46" s="333">
        <f t="shared" ref="C46:M46" si="20">IF(C$4="","",-C14)</f>
        <v>-761461</v>
      </c>
      <c r="D46" s="333">
        <f t="shared" si="20"/>
        <v>-625545</v>
      </c>
      <c r="E46" s="333">
        <f t="shared" si="20"/>
        <v>-477771</v>
      </c>
      <c r="F46" s="333">
        <f t="shared" si="20"/>
        <v>-358547</v>
      </c>
      <c r="G46" s="333">
        <f t="shared" si="20"/>
        <v>-230437</v>
      </c>
      <c r="H46" s="333">
        <f t="shared" si="20"/>
        <v>-251797</v>
      </c>
      <c r="I46" s="333">
        <f t="shared" si="20"/>
        <v>-231449</v>
      </c>
      <c r="J46" s="333">
        <f t="shared" si="20"/>
        <v>-201336</v>
      </c>
      <c r="K46" s="333">
        <f t="shared" si="20"/>
        <v>-119348</v>
      </c>
      <c r="L46" s="333">
        <f t="shared" si="20"/>
        <v>-102448</v>
      </c>
      <c r="M46" s="333" t="str">
        <f t="shared" si="20"/>
        <v/>
      </c>
    </row>
    <row r="47" spans="2:13">
      <c r="B47" s="43" t="s">
        <v>40</v>
      </c>
      <c r="C47" s="334">
        <f t="shared" ref="C47:M47" si="21">IF(C$4="","",C15)</f>
        <v>1814616</v>
      </c>
      <c r="D47" s="334">
        <f t="shared" si="21"/>
        <v>1550190</v>
      </c>
      <c r="E47" s="334">
        <f t="shared" si="21"/>
        <v>854800</v>
      </c>
      <c r="F47" s="334">
        <f t="shared" si="21"/>
        <v>975322</v>
      </c>
      <c r="G47" s="334">
        <f t="shared" si="21"/>
        <v>588913</v>
      </c>
      <c r="H47" s="334">
        <f t="shared" si="21"/>
        <v>645596</v>
      </c>
      <c r="I47" s="334">
        <f t="shared" si="21"/>
        <v>483801</v>
      </c>
      <c r="J47" s="334">
        <f t="shared" si="21"/>
        <v>258662</v>
      </c>
      <c r="K47" s="334">
        <f t="shared" si="21"/>
        <v>303381</v>
      </c>
      <c r="L47" s="334">
        <f t="shared" si="21"/>
        <v>266047</v>
      </c>
      <c r="M47" s="334" t="str">
        <f t="shared" si="21"/>
        <v/>
      </c>
    </row>
    <row r="48" spans="2:13">
      <c r="B48" s="28" t="s">
        <v>42</v>
      </c>
      <c r="C48" s="333">
        <f t="shared" ref="C48:M48" si="22">IF(C$4="","",MIN(-C16,0))</f>
        <v>0</v>
      </c>
      <c r="D48" s="333">
        <f t="shared" si="22"/>
        <v>0</v>
      </c>
      <c r="E48" s="333">
        <f t="shared" si="22"/>
        <v>0</v>
      </c>
      <c r="F48" s="333">
        <f t="shared" si="22"/>
        <v>0</v>
      </c>
      <c r="G48" s="333">
        <f t="shared" si="22"/>
        <v>0</v>
      </c>
      <c r="H48" s="333">
        <f t="shared" si="22"/>
        <v>0</v>
      </c>
      <c r="I48" s="333">
        <f t="shared" si="22"/>
        <v>0</v>
      </c>
      <c r="J48" s="333">
        <f t="shared" si="22"/>
        <v>0</v>
      </c>
      <c r="K48" s="333">
        <f t="shared" si="22"/>
        <v>0</v>
      </c>
      <c r="L48" s="333">
        <f t="shared" si="22"/>
        <v>0</v>
      </c>
      <c r="M48" s="333" t="str">
        <f t="shared" si="22"/>
        <v/>
      </c>
    </row>
    <row r="50" spans="2:13">
      <c r="B50" s="16" t="s">
        <v>66</v>
      </c>
    </row>
    <row r="51" spans="2:13">
      <c r="B51" s="40" t="s">
        <v>37</v>
      </c>
      <c r="C51" s="333">
        <f t="shared" ref="C51:M51" si="23">IF(C$4="","",-C12)</f>
        <v>0</v>
      </c>
      <c r="D51" s="333">
        <f t="shared" si="23"/>
        <v>0</v>
      </c>
      <c r="E51" s="333">
        <f t="shared" si="23"/>
        <v>0</v>
      </c>
      <c r="F51" s="333">
        <f t="shared" si="23"/>
        <v>0</v>
      </c>
      <c r="G51" s="333">
        <f t="shared" si="23"/>
        <v>0</v>
      </c>
      <c r="H51" s="333">
        <f t="shared" si="23"/>
        <v>0</v>
      </c>
      <c r="I51" s="333">
        <f t="shared" si="23"/>
        <v>0</v>
      </c>
      <c r="J51" s="333">
        <f t="shared" si="23"/>
        <v>0</v>
      </c>
      <c r="K51" s="333">
        <f t="shared" si="23"/>
        <v>0</v>
      </c>
      <c r="L51" s="333">
        <f t="shared" si="23"/>
        <v>0</v>
      </c>
      <c r="M51" s="333" t="str">
        <f t="shared" si="23"/>
        <v/>
      </c>
    </row>
    <row r="52" spans="2:13">
      <c r="B52" s="40" t="s">
        <v>65</v>
      </c>
      <c r="C52" s="333">
        <f t="shared" ref="C52:M52" si="24">IF(C$4="","",C13)</f>
        <v>0</v>
      </c>
      <c r="D52" s="333">
        <f t="shared" si="24"/>
        <v>0</v>
      </c>
      <c r="E52" s="333">
        <f t="shared" si="24"/>
        <v>0</v>
      </c>
      <c r="F52" s="333">
        <f t="shared" si="24"/>
        <v>0</v>
      </c>
      <c r="G52" s="333">
        <f t="shared" si="24"/>
        <v>0</v>
      </c>
      <c r="H52" s="333">
        <f t="shared" si="24"/>
        <v>0</v>
      </c>
      <c r="I52" s="333">
        <f t="shared" si="24"/>
        <v>0</v>
      </c>
      <c r="J52" s="333">
        <f t="shared" si="24"/>
        <v>0</v>
      </c>
      <c r="K52" s="333">
        <f t="shared" si="24"/>
        <v>0</v>
      </c>
      <c r="L52" s="333">
        <f t="shared" si="24"/>
        <v>0</v>
      </c>
      <c r="M52" s="333" t="str">
        <f t="shared" si="24"/>
        <v/>
      </c>
    </row>
    <row r="54" spans="2:13">
      <c r="B54" s="174" t="s">
        <v>164</v>
      </c>
    </row>
    <row r="55" spans="2:13">
      <c r="B55" s="40" t="s">
        <v>155</v>
      </c>
      <c r="C55" s="349">
        <f t="shared" ref="C55:M55" si="25">IF(C$4="","",C9)</f>
        <v>0</v>
      </c>
      <c r="D55" s="349">
        <f t="shared" si="25"/>
        <v>0</v>
      </c>
      <c r="E55" s="349">
        <f t="shared" si="25"/>
        <v>0</v>
      </c>
      <c r="F55" s="349">
        <f t="shared" si="25"/>
        <v>0</v>
      </c>
      <c r="G55" s="349">
        <f t="shared" si="25"/>
        <v>0</v>
      </c>
      <c r="H55" s="349">
        <f t="shared" si="25"/>
        <v>0</v>
      </c>
      <c r="I55" s="349">
        <f t="shared" si="25"/>
        <v>0</v>
      </c>
      <c r="J55" s="349">
        <f t="shared" si="25"/>
        <v>0</v>
      </c>
      <c r="K55" s="349">
        <f t="shared" si="25"/>
        <v>0</v>
      </c>
      <c r="L55" s="349">
        <f t="shared" si="25"/>
        <v>0</v>
      </c>
      <c r="M55" s="349" t="str">
        <f t="shared" si="25"/>
        <v/>
      </c>
    </row>
    <row r="56" spans="2:13">
      <c r="B56" s="40" t="s">
        <v>163</v>
      </c>
      <c r="C56" s="349">
        <f t="shared" ref="C56:M56" si="26">IF(C$4="","",C10)</f>
        <v>0</v>
      </c>
      <c r="D56" s="349">
        <f t="shared" si="26"/>
        <v>0</v>
      </c>
      <c r="E56" s="349">
        <f t="shared" si="26"/>
        <v>0</v>
      </c>
      <c r="F56" s="349">
        <f t="shared" si="26"/>
        <v>0</v>
      </c>
      <c r="G56" s="349">
        <f t="shared" si="26"/>
        <v>0</v>
      </c>
      <c r="H56" s="349">
        <f t="shared" si="26"/>
        <v>0</v>
      </c>
      <c r="I56" s="349">
        <f t="shared" si="26"/>
        <v>0</v>
      </c>
      <c r="J56" s="349">
        <f t="shared" si="26"/>
        <v>0</v>
      </c>
      <c r="K56" s="349">
        <f t="shared" si="26"/>
        <v>0</v>
      </c>
      <c r="L56" s="349">
        <f t="shared" si="26"/>
        <v>0</v>
      </c>
      <c r="M56" s="349" t="str">
        <f t="shared" si="26"/>
        <v/>
      </c>
    </row>
    <row r="57" spans="2:13">
      <c r="B57" s="40" t="s">
        <v>154</v>
      </c>
      <c r="C57" s="349">
        <f t="shared" ref="C57:M57" si="27">IF(C$4="","",C11)</f>
        <v>0</v>
      </c>
      <c r="D57" s="349">
        <f t="shared" si="27"/>
        <v>0</v>
      </c>
      <c r="E57" s="349">
        <f t="shared" si="27"/>
        <v>0</v>
      </c>
      <c r="F57" s="349">
        <f t="shared" si="27"/>
        <v>0</v>
      </c>
      <c r="G57" s="349">
        <f t="shared" si="27"/>
        <v>0</v>
      </c>
      <c r="H57" s="349">
        <f t="shared" si="27"/>
        <v>0</v>
      </c>
      <c r="I57" s="349">
        <f t="shared" si="27"/>
        <v>0</v>
      </c>
      <c r="J57" s="349">
        <f t="shared" si="27"/>
        <v>0</v>
      </c>
      <c r="K57" s="349">
        <f t="shared" si="27"/>
        <v>0</v>
      </c>
      <c r="L57" s="349">
        <f t="shared" si="27"/>
        <v>0</v>
      </c>
      <c r="M57" s="349" t="str">
        <f t="shared" si="27"/>
        <v/>
      </c>
    </row>
    <row r="58" spans="2:13">
      <c r="B58" s="40" t="s">
        <v>156</v>
      </c>
      <c r="C58" s="349">
        <f>IF(C$4="","",C44-C55-C56-C57)</f>
        <v>67645</v>
      </c>
      <c r="D58" s="349">
        <f t="shared" ref="D58:M58" si="28">IF(D$4="","",D44-D55-D56-D57)</f>
        <v>-36452</v>
      </c>
      <c r="E58" s="349">
        <f t="shared" si="28"/>
        <v>-402322</v>
      </c>
      <c r="F58" s="349">
        <f t="shared" si="28"/>
        <v>-49662</v>
      </c>
      <c r="G58" s="349">
        <f t="shared" si="28"/>
        <v>-35638</v>
      </c>
      <c r="H58" s="349">
        <f t="shared" si="28"/>
        <v>8283</v>
      </c>
      <c r="I58" s="349">
        <f t="shared" si="28"/>
        <v>9414</v>
      </c>
      <c r="J58" s="349">
        <f t="shared" si="28"/>
        <v>-34528</v>
      </c>
      <c r="K58" s="349">
        <f t="shared" si="28"/>
        <v>1577</v>
      </c>
      <c r="L58" s="349">
        <f t="shared" si="28"/>
        <v>-581</v>
      </c>
      <c r="M58" s="349" t="str">
        <f t="shared" si="28"/>
        <v/>
      </c>
    </row>
    <row r="60" spans="2:13">
      <c r="B60" s="16" t="s">
        <v>49</v>
      </c>
      <c r="C60" s="9"/>
    </row>
    <row r="61" spans="2:13">
      <c r="B61" s="27" t="s">
        <v>45</v>
      </c>
      <c r="C61" s="333">
        <f>IF(C$4="","",-C19)</f>
        <v>0</v>
      </c>
      <c r="D61" s="333">
        <f t="shared" ref="D61:M61" si="29">IF(D$4="","",-D19)</f>
        <v>0</v>
      </c>
      <c r="E61" s="333">
        <f t="shared" si="29"/>
        <v>0</v>
      </c>
      <c r="F61" s="333">
        <f t="shared" si="29"/>
        <v>0</v>
      </c>
      <c r="G61" s="333">
        <f t="shared" si="29"/>
        <v>0</v>
      </c>
      <c r="H61" s="333">
        <f t="shared" si="29"/>
        <v>0</v>
      </c>
      <c r="I61" s="333">
        <f t="shared" si="29"/>
        <v>0</v>
      </c>
      <c r="J61" s="333">
        <f t="shared" si="29"/>
        <v>0</v>
      </c>
      <c r="K61" s="333">
        <f t="shared" si="29"/>
        <v>0</v>
      </c>
      <c r="L61" s="333">
        <f t="shared" si="29"/>
        <v>0</v>
      </c>
      <c r="M61" s="333" t="str">
        <f t="shared" si="29"/>
        <v/>
      </c>
    </row>
    <row r="62" spans="2:13">
      <c r="B62" s="27" t="s">
        <v>51</v>
      </c>
      <c r="C62" s="333">
        <f>IF(C$4="","",IF(C20=0,C61,-C20))</f>
        <v>0</v>
      </c>
      <c r="D62" s="333">
        <f t="shared" ref="D62:M62" si="30">IF(D$4="","",IF(D20=0,D61,-D20))</f>
        <v>0</v>
      </c>
      <c r="E62" s="333">
        <f t="shared" si="30"/>
        <v>0</v>
      </c>
      <c r="F62" s="333">
        <f t="shared" si="30"/>
        <v>0</v>
      </c>
      <c r="G62" s="333">
        <f t="shared" si="30"/>
        <v>0</v>
      </c>
      <c r="H62" s="333">
        <f t="shared" si="30"/>
        <v>0</v>
      </c>
      <c r="I62" s="333">
        <f t="shared" si="30"/>
        <v>0</v>
      </c>
      <c r="J62" s="333">
        <f t="shared" si="30"/>
        <v>0</v>
      </c>
      <c r="K62" s="333">
        <f t="shared" si="30"/>
        <v>0</v>
      </c>
      <c r="L62" s="333">
        <f t="shared" si="30"/>
        <v>0</v>
      </c>
      <c r="M62" s="333" t="str">
        <f t="shared" si="30"/>
        <v/>
      </c>
    </row>
    <row r="63" spans="2:13">
      <c r="B63" s="27" t="s">
        <v>50</v>
      </c>
      <c r="C63" s="333">
        <f>IF(C$4="","",-C21)</f>
        <v>0</v>
      </c>
      <c r="D63" s="333">
        <f t="shared" ref="D63:M63" si="31">IF(D$4="","",-D21)</f>
        <v>0</v>
      </c>
      <c r="E63" s="333">
        <f t="shared" si="31"/>
        <v>0</v>
      </c>
      <c r="F63" s="333">
        <f t="shared" si="31"/>
        <v>0</v>
      </c>
      <c r="G63" s="333">
        <f t="shared" si="31"/>
        <v>0</v>
      </c>
      <c r="H63" s="333">
        <f t="shared" si="31"/>
        <v>0</v>
      </c>
      <c r="I63" s="333">
        <f t="shared" si="31"/>
        <v>0</v>
      </c>
      <c r="J63" s="333">
        <f t="shared" si="31"/>
        <v>0</v>
      </c>
      <c r="K63" s="333">
        <f t="shared" si="31"/>
        <v>0</v>
      </c>
      <c r="L63" s="333">
        <f t="shared" si="31"/>
        <v>0</v>
      </c>
      <c r="M63" s="333" t="str">
        <f t="shared" si="31"/>
        <v/>
      </c>
    </row>
    <row r="64" spans="2:13">
      <c r="B64" s="27" t="s">
        <v>376</v>
      </c>
      <c r="C64" s="333">
        <f>IF(C$4="","",C22+C23+C24)</f>
        <v>-177969</v>
      </c>
      <c r="D64" s="333">
        <f t="shared" ref="D64:M64" si="32">IF(D$4="","",D22+D23+D24)</f>
        <v>1093204</v>
      </c>
      <c r="E64" s="333">
        <f t="shared" si="32"/>
        <v>-70961</v>
      </c>
      <c r="F64" s="333">
        <f t="shared" si="32"/>
        <v>116230</v>
      </c>
      <c r="G64" s="333">
        <f t="shared" si="32"/>
        <v>27016</v>
      </c>
      <c r="H64" s="333">
        <f t="shared" si="32"/>
        <v>213735</v>
      </c>
      <c r="I64" s="333">
        <f t="shared" si="32"/>
        <v>-90229</v>
      </c>
      <c r="J64" s="333">
        <f t="shared" si="32"/>
        <v>218083</v>
      </c>
      <c r="K64" s="333">
        <f t="shared" si="32"/>
        <v>210270</v>
      </c>
      <c r="L64" s="333">
        <f t="shared" si="32"/>
        <v>-118440</v>
      </c>
      <c r="M64" s="333" t="str">
        <f t="shared" si="32"/>
        <v/>
      </c>
    </row>
    <row r="65" spans="2:13">
      <c r="B65" s="24" t="s">
        <v>34</v>
      </c>
      <c r="C65" s="73">
        <f>IF(C$4="","",C25)</f>
        <v>0</v>
      </c>
      <c r="D65" s="73">
        <f t="shared" ref="D65:M65" si="33">IF(D$4="","",D25)</f>
        <v>0</v>
      </c>
      <c r="E65" s="73">
        <f t="shared" si="33"/>
        <v>0</v>
      </c>
      <c r="F65" s="73">
        <f t="shared" si="33"/>
        <v>0</v>
      </c>
      <c r="G65" s="73">
        <f t="shared" si="33"/>
        <v>0</v>
      </c>
      <c r="H65" s="73">
        <f t="shared" si="33"/>
        <v>0</v>
      </c>
      <c r="I65" s="73">
        <f t="shared" si="33"/>
        <v>0</v>
      </c>
      <c r="J65" s="73">
        <f t="shared" si="33"/>
        <v>0</v>
      </c>
      <c r="K65" s="73">
        <f t="shared" si="33"/>
        <v>0</v>
      </c>
      <c r="L65" s="73">
        <f t="shared" si="33"/>
        <v>0</v>
      </c>
      <c r="M65" s="73" t="str">
        <f t="shared" si="33"/>
        <v/>
      </c>
    </row>
    <row r="67" spans="2:13">
      <c r="B67" s="91" t="s">
        <v>82</v>
      </c>
    </row>
    <row r="68" spans="2:13">
      <c r="B68" s="1" t="str">
        <f>B36</f>
        <v>Sales</v>
      </c>
      <c r="C68" s="92">
        <f t="shared" ref="C68:M68" si="34">IF(D$36="","",C36/D36-1)</f>
        <v>0.1007194095024595</v>
      </c>
      <c r="D68" s="92">
        <f t="shared" si="34"/>
        <v>0.18602510961691965</v>
      </c>
      <c r="E68" s="92">
        <f t="shared" si="34"/>
        <v>0.29631045020016411</v>
      </c>
      <c r="F68" s="92">
        <f t="shared" si="34"/>
        <v>0.42135142742451581</v>
      </c>
      <c r="G68" s="92">
        <f t="shared" si="34"/>
        <v>0.10619541748088102</v>
      </c>
      <c r="H68" s="92">
        <f t="shared" si="34"/>
        <v>0.21013076894303739</v>
      </c>
      <c r="I68" s="92">
        <f t="shared" si="34"/>
        <v>0.24125871354203432</v>
      </c>
      <c r="J68" s="92">
        <f t="shared" si="34"/>
        <v>0.13000769495886355</v>
      </c>
      <c r="K68" s="92">
        <f t="shared" si="34"/>
        <v>0.13776550904794549</v>
      </c>
      <c r="L68" s="92" t="str">
        <f t="shared" si="34"/>
        <v/>
      </c>
      <c r="M68" s="92" t="str">
        <f t="shared" si="34"/>
        <v/>
      </c>
    </row>
    <row r="69" spans="2:13">
      <c r="B69" s="31" t="s">
        <v>56</v>
      </c>
      <c r="C69" s="92">
        <f>IF(D$36="","",C38/D38-1)</f>
        <v>0.11791018833548295</v>
      </c>
      <c r="D69" s="92">
        <f t="shared" ref="D69:M69" si="35">IF(E$36="","",D38/E38-1)</f>
        <v>0.24865994114425893</v>
      </c>
      <c r="E69" s="92">
        <f t="shared" si="35"/>
        <v>0.24491037295988849</v>
      </c>
      <c r="F69" s="92">
        <f t="shared" si="35"/>
        <v>0.46452036553704934</v>
      </c>
      <c r="G69" s="92">
        <f t="shared" si="35"/>
        <v>0.10821557750206212</v>
      </c>
      <c r="H69" s="92">
        <f t="shared" si="35"/>
        <v>0.22413803545364797</v>
      </c>
      <c r="I69" s="92">
        <f t="shared" si="35"/>
        <v>0.29847010630616455</v>
      </c>
      <c r="J69" s="92">
        <f t="shared" si="35"/>
        <v>0.16603049139850468</v>
      </c>
      <c r="K69" s="92">
        <f t="shared" si="35"/>
        <v>0.20302637675171442</v>
      </c>
      <c r="L69" s="92" t="str">
        <f t="shared" si="35"/>
        <v/>
      </c>
      <c r="M69" s="92" t="str">
        <f t="shared" si="35"/>
        <v/>
      </c>
    </row>
    <row r="70" spans="2:13">
      <c r="B70" s="80" t="str">
        <f>B43</f>
        <v>Operating EBIT</v>
      </c>
      <c r="C70" s="101">
        <f>IF(D$36="","",C43/D43-1)</f>
        <v>0.13391499000762597</v>
      </c>
      <c r="D70" s="101">
        <f t="shared" ref="D70:M70" si="36">IF(E$36="","",D43/E43-1)</f>
        <v>0.27511437304779029</v>
      </c>
      <c r="E70" s="101">
        <f t="shared" si="36"/>
        <v>0.25396033771559878</v>
      </c>
      <c r="F70" s="101">
        <f t="shared" si="36"/>
        <v>0.61818762368594649</v>
      </c>
      <c r="G70" s="101">
        <f t="shared" si="36"/>
        <v>-3.8377703546242925E-2</v>
      </c>
      <c r="H70" s="101">
        <f t="shared" si="36"/>
        <v>0.25965521735927322</v>
      </c>
      <c r="I70" s="101">
        <f t="shared" si="36"/>
        <v>0.42729805915159158</v>
      </c>
      <c r="J70" s="101">
        <f t="shared" si="36"/>
        <v>0.17422213357647598</v>
      </c>
      <c r="K70" s="101">
        <f t="shared" si="36"/>
        <v>0.1410983103750989</v>
      </c>
      <c r="L70" s="101" t="str">
        <f t="shared" si="36"/>
        <v/>
      </c>
      <c r="M70" s="101" t="str">
        <f t="shared" si="36"/>
        <v/>
      </c>
    </row>
    <row r="71" spans="2:13">
      <c r="B71" s="43" t="s">
        <v>164</v>
      </c>
      <c r="C71" s="101">
        <f>IF(D$36="","",C44/D44-1)</f>
        <v>-2.8557280807637442</v>
      </c>
      <c r="D71" s="101">
        <f t="shared" ref="D71:M71" si="37">IF(E$36="","",D44/E44-1)</f>
        <v>-0.90939595647267613</v>
      </c>
      <c r="E71" s="101">
        <f t="shared" si="37"/>
        <v>7.101204139986308</v>
      </c>
      <c r="F71" s="101">
        <f t="shared" si="37"/>
        <v>0.39351254279140235</v>
      </c>
      <c r="G71" s="101">
        <f t="shared" si="37"/>
        <v>-5.3025473862127246</v>
      </c>
      <c r="H71" s="101">
        <f t="shared" si="37"/>
        <v>-0.12014021669853414</v>
      </c>
      <c r="I71" s="101">
        <f t="shared" si="37"/>
        <v>-1.2726482854494903</v>
      </c>
      <c r="J71" s="101">
        <f t="shared" si="37"/>
        <v>-22.894736842105264</v>
      </c>
      <c r="K71" s="101">
        <f t="shared" si="37"/>
        <v>-3.7142857142857144</v>
      </c>
      <c r="L71" s="101" t="str">
        <f t="shared" si="37"/>
        <v/>
      </c>
      <c r="M71" s="101" t="str">
        <f t="shared" si="37"/>
        <v/>
      </c>
    </row>
    <row r="72" spans="2:13">
      <c r="B72" s="80" t="str">
        <f>B47</f>
        <v>Reported Net Income</v>
      </c>
      <c r="C72" s="101">
        <f>IF(D$36="","",C47/D47-1)</f>
        <v>0.17057650997619644</v>
      </c>
      <c r="D72" s="101">
        <f t="shared" ref="D72:M72" si="38">IF(E$36="","",D47/E47-1)</f>
        <v>0.81351193261581667</v>
      </c>
      <c r="E72" s="101">
        <f t="shared" si="38"/>
        <v>-0.12357149741316198</v>
      </c>
      <c r="F72" s="101">
        <f t="shared" si="38"/>
        <v>0.65613936184122279</v>
      </c>
      <c r="G72" s="101">
        <f t="shared" si="38"/>
        <v>-8.7799490703164174E-2</v>
      </c>
      <c r="H72" s="101">
        <f t="shared" si="38"/>
        <v>0.33442469114367279</v>
      </c>
      <c r="I72" s="101">
        <f t="shared" si="38"/>
        <v>0.87039843502331227</v>
      </c>
      <c r="J72" s="101">
        <f t="shared" si="38"/>
        <v>-0.14740211153631899</v>
      </c>
      <c r="K72" s="101">
        <f t="shared" si="38"/>
        <v>0.14032858855766084</v>
      </c>
      <c r="L72" s="101" t="str">
        <f t="shared" si="38"/>
        <v/>
      </c>
      <c r="M72" s="101" t="str">
        <f t="shared" si="38"/>
        <v/>
      </c>
    </row>
    <row r="74" spans="2:13" ht="13.9">
      <c r="B74" s="36" t="s">
        <v>80</v>
      </c>
      <c r="C74" s="37"/>
      <c r="D74" s="37"/>
      <c r="E74" s="37"/>
      <c r="F74" s="37"/>
      <c r="G74" s="37"/>
      <c r="H74" s="37"/>
      <c r="I74" s="37"/>
      <c r="J74" s="37"/>
      <c r="K74" s="37"/>
      <c r="L74" s="37"/>
      <c r="M74" s="37"/>
    </row>
    <row r="75" spans="2:13">
      <c r="B75" s="16" t="s">
        <v>26</v>
      </c>
      <c r="C75" s="9"/>
    </row>
    <row r="76" spans="2:13">
      <c r="B76" s="26" t="s">
        <v>1</v>
      </c>
      <c r="C76" s="76">
        <f>IF(C$4="","",C79+C80)</f>
        <v>7430543</v>
      </c>
      <c r="D76" s="349">
        <f t="shared" ref="D76:M76" si="39">IF(D$4="","",D79+D80)</f>
        <v>7091941</v>
      </c>
      <c r="E76" s="349">
        <f t="shared" si="39"/>
        <v>5607038</v>
      </c>
      <c r="F76" s="349">
        <f t="shared" si="39"/>
        <v>4942478</v>
      </c>
      <c r="G76" s="349">
        <f t="shared" si="39"/>
        <v>4185215</v>
      </c>
      <c r="H76" s="349">
        <f t="shared" si="39"/>
        <v>3281354</v>
      </c>
      <c r="I76" s="349">
        <f t="shared" si="39"/>
        <v>2084711</v>
      </c>
      <c r="J76" s="349">
        <f t="shared" si="39"/>
        <v>1998483</v>
      </c>
      <c r="K76" s="349">
        <f t="shared" si="39"/>
        <v>1657541</v>
      </c>
      <c r="L76" s="349">
        <f t="shared" si="39"/>
        <v>1314077</v>
      </c>
      <c r="M76" s="349" t="str">
        <f t="shared" si="39"/>
        <v/>
      </c>
    </row>
    <row r="77" spans="2:13">
      <c r="B77" s="93" t="s">
        <v>83</v>
      </c>
      <c r="C77" s="318">
        <f t="shared" ref="C77:H78" si="40">IF(C$4="","",C28)</f>
        <v>0</v>
      </c>
      <c r="D77" s="346">
        <f t="shared" si="40"/>
        <v>124769</v>
      </c>
      <c r="E77" s="346">
        <f t="shared" si="40"/>
        <v>132906</v>
      </c>
      <c r="F77" s="346">
        <f t="shared" si="40"/>
        <v>77001</v>
      </c>
      <c r="G77" s="346">
        <f t="shared" si="40"/>
        <v>62399</v>
      </c>
      <c r="H77" s="346">
        <f t="shared" si="40"/>
        <v>40219</v>
      </c>
      <c r="I77" s="355"/>
      <c r="J77" s="355"/>
      <c r="K77" s="355"/>
      <c r="L77" s="355"/>
      <c r="M77" s="355"/>
    </row>
    <row r="78" spans="2:13">
      <c r="B78" s="93" t="s">
        <v>84</v>
      </c>
      <c r="C78" s="318">
        <f t="shared" si="40"/>
        <v>1652091</v>
      </c>
      <c r="D78" s="346">
        <f t="shared" si="40"/>
        <v>1323602</v>
      </c>
      <c r="E78" s="346">
        <f t="shared" si="40"/>
        <v>1447367</v>
      </c>
      <c r="F78" s="346">
        <f t="shared" si="40"/>
        <v>966481</v>
      </c>
      <c r="G78" s="346">
        <f t="shared" si="40"/>
        <v>647230</v>
      </c>
      <c r="H78" s="346">
        <f t="shared" si="40"/>
        <v>518513</v>
      </c>
      <c r="I78" s="355"/>
      <c r="J78" s="355"/>
      <c r="K78" s="355"/>
      <c r="L78" s="355"/>
      <c r="M78" s="355"/>
    </row>
    <row r="79" spans="2:13">
      <c r="B79" s="26" t="s">
        <v>38</v>
      </c>
      <c r="C79" s="317">
        <f t="shared" ref="C79:M79" si="41">IF(C$4="","",C30)</f>
        <v>3140973</v>
      </c>
      <c r="D79" s="333">
        <f t="shared" si="41"/>
        <v>2859860</v>
      </c>
      <c r="E79" s="333">
        <f t="shared" si="41"/>
        <v>2458239</v>
      </c>
      <c r="F79" s="333">
        <f t="shared" si="41"/>
        <v>2202432</v>
      </c>
      <c r="G79" s="333">
        <f t="shared" si="41"/>
        <v>1626649</v>
      </c>
      <c r="H79" s="333">
        <f t="shared" si="41"/>
        <v>1329136</v>
      </c>
      <c r="I79" s="333">
        <f t="shared" si="41"/>
        <v>638736</v>
      </c>
      <c r="J79" s="333">
        <f t="shared" si="41"/>
        <v>401523</v>
      </c>
      <c r="K79" s="333">
        <f t="shared" si="41"/>
        <v>297568</v>
      </c>
      <c r="L79" s="333">
        <f t="shared" si="41"/>
        <v>286595</v>
      </c>
      <c r="M79" s="333" t="str">
        <f t="shared" si="41"/>
        <v/>
      </c>
    </row>
    <row r="80" spans="2:13">
      <c r="B80" s="26" t="s">
        <v>28</v>
      </c>
      <c r="C80" s="317">
        <f t="shared" ref="C80:M80" si="42">IF(C$4="","",C31)</f>
        <v>4289570</v>
      </c>
      <c r="D80" s="333">
        <f t="shared" si="42"/>
        <v>4232081</v>
      </c>
      <c r="E80" s="333">
        <f t="shared" si="42"/>
        <v>3148799</v>
      </c>
      <c r="F80" s="333">
        <f t="shared" si="42"/>
        <v>2740046</v>
      </c>
      <c r="G80" s="333">
        <f t="shared" si="42"/>
        <v>2558566</v>
      </c>
      <c r="H80" s="333">
        <f t="shared" si="42"/>
        <v>1952218</v>
      </c>
      <c r="I80" s="333">
        <f t="shared" si="42"/>
        <v>1445975</v>
      </c>
      <c r="J80" s="333">
        <f t="shared" si="42"/>
        <v>1596960</v>
      </c>
      <c r="K80" s="333">
        <f t="shared" si="42"/>
        <v>1359973</v>
      </c>
      <c r="L80" s="333">
        <f t="shared" si="42"/>
        <v>1027482</v>
      </c>
      <c r="M80" s="333" t="str">
        <f t="shared" si="42"/>
        <v/>
      </c>
    </row>
  </sheetData>
  <phoneticPr fontId="2" type="noConversion"/>
  <conditionalFormatting sqref="C4:M16 C19:M25 C39:M43 C45:M48 C51:M52 C55:M58 C77:H78 C79:M80">
    <cfRule type="expression" dxfId="7" priority="4">
      <formula>ISBLANK(C4)</formula>
    </cfRule>
  </conditionalFormatting>
  <conditionalFormatting sqref="C28:M32">
    <cfRule type="expression" dxfId="6" priority="1">
      <formula>ISBLANK(C28)</formula>
    </cfRule>
  </conditionalFormatting>
  <conditionalFormatting sqref="C36:M37 C61:M65">
    <cfRule type="expression" dxfId="5"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8" zoomScaleNormal="100" workbookViewId="0">
      <selection activeCell="C48" sqref="C48"/>
    </sheetView>
  </sheetViews>
  <sheetFormatPr defaultColWidth="12.265625" defaultRowHeight="15" customHeight="1"/>
  <cols>
    <col min="1" max="1" width="2.265625" style="1" customWidth="1"/>
    <col min="2" max="2" width="34" style="1" bestFit="1" customWidth="1"/>
    <col min="3" max="4" width="18.73046875" style="1" customWidth="1"/>
    <col min="5" max="5" width="5.73046875" style="1" customWidth="1"/>
    <col min="6" max="6" width="25.265625" style="1" bestFit="1" customWidth="1"/>
    <col min="7" max="8" width="18.73046875" style="1" customWidth="1"/>
    <col min="9" max="16384" width="12.265625" style="1"/>
  </cols>
  <sheetData>
    <row r="1" spans="2:8" ht="15" customHeight="1">
      <c r="B1" s="18" t="s">
        <v>35</v>
      </c>
      <c r="C1" s="99">
        <v>45781</v>
      </c>
      <c r="F1" s="86" t="str">
        <f>IF(MONTH(C1)=MONTH(Normalized_FCF!G1),"FY","Quarter")&amp;" Report"</f>
        <v>Quarter Report</v>
      </c>
      <c r="H1" s="107">
        <f>scaling_factor</f>
        <v>1000</v>
      </c>
    </row>
    <row r="2" spans="2:8" ht="15" customHeight="1">
      <c r="B2" s="79" t="s">
        <v>152</v>
      </c>
      <c r="C2" s="37"/>
      <c r="D2" s="37"/>
      <c r="E2" s="37"/>
      <c r="F2" s="37"/>
      <c r="G2" s="37"/>
      <c r="H2" s="37"/>
    </row>
    <row r="3" spans="2:8" ht="15" customHeight="1">
      <c r="B3" s="16" t="s">
        <v>180</v>
      </c>
      <c r="C3" s="182" t="s">
        <v>132</v>
      </c>
      <c r="D3" s="183" t="s">
        <v>33</v>
      </c>
      <c r="F3" s="16" t="s">
        <v>181</v>
      </c>
      <c r="G3" s="182" t="s">
        <v>132</v>
      </c>
      <c r="H3" s="183" t="s">
        <v>33</v>
      </c>
    </row>
    <row r="4" spans="2:8" ht="15" customHeight="1">
      <c r="B4" s="4" t="s">
        <v>22</v>
      </c>
      <c r="C4" s="19">
        <v>0</v>
      </c>
      <c r="D4" s="261">
        <v>0.6</v>
      </c>
      <c r="E4" s="25"/>
      <c r="F4" s="4" t="s">
        <v>75</v>
      </c>
      <c r="G4" s="19">
        <v>1325272</v>
      </c>
      <c r="H4" s="261">
        <v>0.9</v>
      </c>
    </row>
    <row r="5" spans="2:8" ht="15" customHeight="1">
      <c r="B5" s="1" t="s">
        <v>31</v>
      </c>
      <c r="C5" s="19">
        <v>0</v>
      </c>
      <c r="D5" s="261">
        <v>0.6</v>
      </c>
      <c r="E5" s="25"/>
      <c r="F5" s="1" t="s">
        <v>27</v>
      </c>
      <c r="G5" s="19">
        <v>0</v>
      </c>
      <c r="H5" s="261">
        <v>0.7</v>
      </c>
    </row>
    <row r="6" spans="2:8" ht="15" customHeight="1">
      <c r="B6" s="4" t="s">
        <v>8</v>
      </c>
      <c r="C6" s="19">
        <v>1652091</v>
      </c>
      <c r="D6" s="261">
        <v>0.5</v>
      </c>
      <c r="E6" s="25"/>
      <c r="F6" s="4" t="s">
        <v>173</v>
      </c>
      <c r="G6" s="19">
        <v>0</v>
      </c>
      <c r="H6" s="261">
        <v>0.6</v>
      </c>
    </row>
    <row r="7" spans="2:8" ht="15" customHeight="1">
      <c r="B7" s="1" t="s">
        <v>67</v>
      </c>
      <c r="C7" s="19">
        <v>0</v>
      </c>
      <c r="D7" s="261">
        <v>0.6</v>
      </c>
      <c r="E7" s="25"/>
      <c r="F7" s="4" t="s">
        <v>174</v>
      </c>
      <c r="G7" s="19">
        <v>0</v>
      </c>
      <c r="H7" s="261">
        <v>0.6</v>
      </c>
    </row>
    <row r="8" spans="2:8" ht="15" customHeight="1">
      <c r="B8" s="1" t="s">
        <v>169</v>
      </c>
      <c r="C8" s="19">
        <v>0</v>
      </c>
      <c r="D8" s="261">
        <v>0.6</v>
      </c>
      <c r="E8" s="25"/>
      <c r="F8" s="1" t="s">
        <v>175</v>
      </c>
      <c r="G8" s="19">
        <v>0</v>
      </c>
      <c r="H8" s="261">
        <v>0.6</v>
      </c>
    </row>
    <row r="9" spans="2:8" ht="15" customHeight="1">
      <c r="B9" s="4" t="s">
        <v>23</v>
      </c>
      <c r="C9" s="19">
        <v>0</v>
      </c>
      <c r="D9" s="261">
        <v>0.1</v>
      </c>
      <c r="E9" s="25"/>
      <c r="F9" s="4" t="s">
        <v>176</v>
      </c>
      <c r="G9" s="19">
        <v>0</v>
      </c>
      <c r="H9" s="261">
        <v>0.6</v>
      </c>
    </row>
    <row r="10" spans="2:8" ht="15" customHeight="1">
      <c r="B10" s="4" t="s">
        <v>9</v>
      </c>
      <c r="C10" s="19">
        <v>230280</v>
      </c>
      <c r="D10" s="261">
        <v>0.9</v>
      </c>
      <c r="H10" s="262"/>
    </row>
    <row r="11" spans="2:8" ht="15" customHeight="1">
      <c r="B11" s="4" t="s">
        <v>10</v>
      </c>
      <c r="C11" s="19">
        <v>374874</v>
      </c>
      <c r="D11" s="261">
        <v>0.05</v>
      </c>
      <c r="H11" s="262"/>
    </row>
    <row r="12" spans="2:8" ht="15" customHeight="1">
      <c r="B12" s="80" t="s">
        <v>70</v>
      </c>
      <c r="C12" s="81">
        <f>SUM(C4:C11)</f>
        <v>2257245</v>
      </c>
      <c r="D12" s="20">
        <f>C4*D4+C5*D5+C9*D9+C6*D6+C8*D8+C7*D7+C10*D10+C11*D11</f>
        <v>1052041.2</v>
      </c>
      <c r="F12" s="80" t="s">
        <v>68</v>
      </c>
      <c r="G12" s="81">
        <f>SUM(G4:G9)</f>
        <v>1325272</v>
      </c>
      <c r="H12" s="20">
        <f>G4*H4+G5*H5+G6*H6+G7*H7+G8*H8+G9*H9</f>
        <v>1192744.8</v>
      </c>
    </row>
    <row r="13" spans="2:8" ht="15" customHeight="1">
      <c r="F13" s="80"/>
      <c r="G13" s="81"/>
      <c r="H13" s="20"/>
    </row>
    <row r="14" spans="2:8" ht="15" customHeight="1">
      <c r="B14" s="16" t="s">
        <v>179</v>
      </c>
      <c r="C14" s="182" t="s">
        <v>132</v>
      </c>
      <c r="D14" s="183" t="s">
        <v>33</v>
      </c>
      <c r="F14" s="16" t="s">
        <v>182</v>
      </c>
      <c r="G14" s="182" t="s">
        <v>132</v>
      </c>
      <c r="H14" s="183" t="s">
        <v>33</v>
      </c>
    </row>
    <row r="15" spans="2:8" ht="15" customHeight="1">
      <c r="B15" s="4" t="s">
        <v>433</v>
      </c>
      <c r="C15" s="19">
        <v>0</v>
      </c>
      <c r="D15" s="261">
        <v>0.4</v>
      </c>
      <c r="F15" s="4" t="s">
        <v>76</v>
      </c>
      <c r="G15" s="19">
        <v>0</v>
      </c>
      <c r="H15" s="261">
        <v>0.8</v>
      </c>
    </row>
    <row r="16" spans="2:8" ht="15" customHeight="1">
      <c r="B16" s="1" t="s">
        <v>32</v>
      </c>
      <c r="C16" s="19">
        <v>0</v>
      </c>
      <c r="D16" s="261">
        <v>0.5</v>
      </c>
      <c r="F16" s="4" t="s">
        <v>173</v>
      </c>
      <c r="G16" s="19">
        <v>0</v>
      </c>
      <c r="H16" s="261">
        <v>0.6</v>
      </c>
    </row>
    <row r="17" spans="2:8" ht="15" customHeight="1">
      <c r="B17" s="1" t="s">
        <v>67</v>
      </c>
      <c r="C17" s="19">
        <v>0</v>
      </c>
      <c r="D17" s="261">
        <v>0.6</v>
      </c>
      <c r="F17" s="4" t="s">
        <v>174</v>
      </c>
      <c r="G17" s="19">
        <v>0</v>
      </c>
      <c r="H17" s="261">
        <v>0.6</v>
      </c>
    </row>
    <row r="18" spans="2:8" ht="15" customHeight="1">
      <c r="B18" s="4" t="s">
        <v>169</v>
      </c>
      <c r="C18" s="19">
        <v>0</v>
      </c>
      <c r="D18" s="261">
        <v>0.6</v>
      </c>
      <c r="F18" s="4" t="s">
        <v>177</v>
      </c>
      <c r="G18" s="19">
        <v>0</v>
      </c>
      <c r="H18" s="261">
        <v>0.1</v>
      </c>
    </row>
    <row r="19" spans="2:8" ht="15" customHeight="1">
      <c r="B19" s="4" t="s">
        <v>24</v>
      </c>
      <c r="C19" s="19">
        <f>1846609+1549401</f>
        <v>3396010</v>
      </c>
      <c r="D19" s="261">
        <v>0.1</v>
      </c>
      <c r="F19" s="4" t="s">
        <v>178</v>
      </c>
      <c r="G19" s="19">
        <v>0</v>
      </c>
      <c r="H19" s="261">
        <v>0.1</v>
      </c>
    </row>
    <row r="20" spans="2:8" ht="15" customHeight="1">
      <c r="B20" s="4" t="s">
        <v>16</v>
      </c>
      <c r="C20" s="19">
        <v>0</v>
      </c>
      <c r="D20" s="261">
        <v>0.05</v>
      </c>
      <c r="F20" s="4" t="s">
        <v>175</v>
      </c>
      <c r="G20" s="19">
        <v>0</v>
      </c>
      <c r="H20" s="261">
        <v>0.2</v>
      </c>
    </row>
    <row r="21" spans="2:8" ht="15" customHeight="1">
      <c r="B21" s="4" t="s">
        <v>17</v>
      </c>
      <c r="C21" s="19">
        <v>0</v>
      </c>
      <c r="D21" s="261">
        <v>0.05</v>
      </c>
      <c r="F21" s="1" t="s">
        <v>176</v>
      </c>
      <c r="G21" s="19">
        <v>0</v>
      </c>
      <c r="H21" s="261">
        <v>0.1</v>
      </c>
    </row>
    <row r="22" spans="2:8" ht="15" customHeight="1">
      <c r="B22" s="4" t="s">
        <v>18</v>
      </c>
      <c r="C22" s="19">
        <v>0</v>
      </c>
      <c r="D22" s="261">
        <v>0.9</v>
      </c>
      <c r="H22" s="262"/>
    </row>
    <row r="23" spans="2:8" ht="15" customHeight="1">
      <c r="B23" s="4" t="s">
        <v>19</v>
      </c>
      <c r="C23" s="19">
        <f>178001+274015</f>
        <v>452016</v>
      </c>
      <c r="D23" s="261">
        <v>0</v>
      </c>
      <c r="H23" s="262"/>
    </row>
    <row r="24" spans="2:8" ht="15" customHeight="1">
      <c r="B24" s="80" t="s">
        <v>71</v>
      </c>
      <c r="C24" s="81">
        <f>SUM(C15:C23)</f>
        <v>3848026</v>
      </c>
      <c r="D24" s="20">
        <f>C15*D15+C16*D16+C18*D18+C17*D17+C19*D19+C20*D20+C21*D21+C22*D22+C23*D23</f>
        <v>339601</v>
      </c>
      <c r="F24" s="80" t="s">
        <v>69</v>
      </c>
      <c r="G24" s="81">
        <f>SUM(G15:G21)</f>
        <v>0</v>
      </c>
      <c r="H24" s="20">
        <f>G15*H15+G16*H16+G17*H17+G18*H18+G19*H19+G20*H20+G21*H21</f>
        <v>0</v>
      </c>
    </row>
    <row r="26" spans="2:8" ht="15" customHeight="1">
      <c r="B26" s="16" t="s">
        <v>196</v>
      </c>
      <c r="C26" s="182" t="s">
        <v>132</v>
      </c>
      <c r="F26" s="184" t="s">
        <v>192</v>
      </c>
      <c r="G26" s="185" t="s">
        <v>132</v>
      </c>
      <c r="H26" s="186" t="s">
        <v>33</v>
      </c>
    </row>
    <row r="27" spans="2:8" ht="15" customHeight="1">
      <c r="B27" s="4" t="s">
        <v>3</v>
      </c>
      <c r="C27" s="19">
        <v>0</v>
      </c>
      <c r="F27" s="187" t="s">
        <v>28</v>
      </c>
      <c r="G27" s="85">
        <f>G32-G30</f>
        <v>4289570</v>
      </c>
      <c r="H27" s="188">
        <f>H32-G30</f>
        <v>-556586</v>
      </c>
    </row>
    <row r="28" spans="2:8" ht="15" customHeight="1">
      <c r="B28" s="4" t="s">
        <v>4</v>
      </c>
      <c r="C28" s="19">
        <v>281837</v>
      </c>
      <c r="F28" s="189" t="s">
        <v>240</v>
      </c>
      <c r="G28" s="12">
        <v>0</v>
      </c>
      <c r="H28" s="188"/>
    </row>
    <row r="29" spans="2:8" ht="15" customHeight="1">
      <c r="B29" s="4" t="s">
        <v>5</v>
      </c>
      <c r="C29" s="19">
        <v>0</v>
      </c>
      <c r="F29" s="190" t="s">
        <v>73</v>
      </c>
      <c r="G29" s="14">
        <f>G27-G28</f>
        <v>4289570</v>
      </c>
      <c r="H29" s="188">
        <f>H27-G28</f>
        <v>-556586</v>
      </c>
    </row>
    <row r="30" spans="2:8" ht="15" customHeight="1">
      <c r="B30" s="2" t="s">
        <v>6</v>
      </c>
      <c r="C30" s="19">
        <v>0</v>
      </c>
      <c r="F30" s="187" t="s">
        <v>21</v>
      </c>
      <c r="G30" s="85">
        <f>C33+C42</f>
        <v>3140973</v>
      </c>
      <c r="H30" s="188"/>
    </row>
    <row r="31" spans="2:8" ht="15" customHeight="1">
      <c r="B31" s="80" t="s">
        <v>199</v>
      </c>
      <c r="C31" s="81">
        <f>SUM(C27:C30)</f>
        <v>281837</v>
      </c>
      <c r="F31" s="190" t="s">
        <v>74</v>
      </c>
      <c r="G31" s="191">
        <f>C31+C40</f>
        <v>1706782</v>
      </c>
      <c r="H31" s="188"/>
    </row>
    <row r="32" spans="2:8" ht="15" customHeight="1">
      <c r="B32" s="4" t="s">
        <v>7</v>
      </c>
      <c r="C32" s="21">
        <f>C33-C31</f>
        <v>1290548</v>
      </c>
      <c r="F32" s="192" t="s">
        <v>72</v>
      </c>
      <c r="G32" s="193">
        <f>G35+G40</f>
        <v>7430543</v>
      </c>
      <c r="H32" s="188">
        <f>H35+H40</f>
        <v>2584387</v>
      </c>
    </row>
    <row r="33" spans="2:8" ht="15" customHeight="1">
      <c r="B33" s="83" t="s">
        <v>2</v>
      </c>
      <c r="C33" s="84">
        <v>1572385</v>
      </c>
      <c r="F33" s="194"/>
      <c r="G33" s="2"/>
      <c r="H33" s="195"/>
    </row>
    <row r="34" spans="2:8" ht="15" customHeight="1">
      <c r="B34" s="83"/>
      <c r="C34" s="84"/>
      <c r="F34" s="196" t="s">
        <v>198</v>
      </c>
      <c r="G34" s="197" t="s">
        <v>132</v>
      </c>
      <c r="H34" s="198" t="s">
        <v>33</v>
      </c>
    </row>
    <row r="35" spans="2:8" ht="15" customHeight="1">
      <c r="B35" s="16" t="s">
        <v>197</v>
      </c>
      <c r="C35" s="182" t="s">
        <v>132</v>
      </c>
      <c r="F35" s="199" t="s">
        <v>29</v>
      </c>
      <c r="G35" s="193">
        <f>C12+C24</f>
        <v>6105271</v>
      </c>
      <c r="H35" s="200">
        <f>D12+D24</f>
        <v>1391642.2</v>
      </c>
    </row>
    <row r="36" spans="2:8" ht="15" customHeight="1">
      <c r="B36" s="4" t="s">
        <v>11</v>
      </c>
      <c r="C36" s="19">
        <v>0</v>
      </c>
      <c r="F36" s="190" t="s">
        <v>193</v>
      </c>
      <c r="G36" s="191">
        <f>C4+C15</f>
        <v>0</v>
      </c>
      <c r="H36" s="195"/>
    </row>
    <row r="37" spans="2:8" ht="15" customHeight="1">
      <c r="B37" s="4" t="s">
        <v>12</v>
      </c>
      <c r="C37" s="19">
        <v>1424945</v>
      </c>
      <c r="F37" s="190" t="s">
        <v>194</v>
      </c>
      <c r="G37" s="191">
        <f>C6</f>
        <v>1652091</v>
      </c>
      <c r="H37" s="195"/>
    </row>
    <row r="38" spans="2:8" ht="15" customHeight="1">
      <c r="B38" s="4" t="s">
        <v>13</v>
      </c>
      <c r="C38" s="19">
        <v>0</v>
      </c>
      <c r="F38" s="190" t="s">
        <v>195</v>
      </c>
      <c r="G38" s="191">
        <f>C7+C17</f>
        <v>0</v>
      </c>
      <c r="H38" s="195"/>
    </row>
    <row r="39" spans="2:8" ht="15" customHeight="1">
      <c r="B39" s="2" t="s">
        <v>14</v>
      </c>
      <c r="C39" s="19">
        <v>0</v>
      </c>
      <c r="F39" s="190" t="s">
        <v>77</v>
      </c>
      <c r="G39" s="191">
        <f>C7+C17+C19+C20</f>
        <v>3396010</v>
      </c>
      <c r="H39" s="188">
        <f>C7*D7+C17*D17+C19*D19+C20*D20</f>
        <v>339601</v>
      </c>
    </row>
    <row r="40" spans="2:8" ht="15" customHeight="1">
      <c r="B40" s="80" t="s">
        <v>200</v>
      </c>
      <c r="C40" s="81">
        <f>SUM(C36:C39)</f>
        <v>1424945</v>
      </c>
      <c r="F40" s="199" t="s">
        <v>134</v>
      </c>
      <c r="G40" s="193">
        <f>G12+G24</f>
        <v>1325272</v>
      </c>
      <c r="H40" s="200">
        <f>H12+H24</f>
        <v>1192744.8</v>
      </c>
    </row>
    <row r="41" spans="2:8" ht="15" customHeight="1">
      <c r="B41" s="4" t="s">
        <v>15</v>
      </c>
      <c r="C41" s="21">
        <f>C42-C40</f>
        <v>143643</v>
      </c>
      <c r="F41" s="190" t="s">
        <v>187</v>
      </c>
      <c r="G41" s="191">
        <f>C70</f>
        <v>1325272</v>
      </c>
      <c r="H41" s="200">
        <f>H40-H42</f>
        <v>1192744.8</v>
      </c>
    </row>
    <row r="42" spans="2:8" ht="15" customHeight="1">
      <c r="B42" s="83" t="s">
        <v>20</v>
      </c>
      <c r="C42" s="84">
        <f>C37+98189+45454</f>
        <v>1568588</v>
      </c>
      <c r="F42" s="201" t="s">
        <v>188</v>
      </c>
      <c r="G42" s="202">
        <f>C82</f>
        <v>0</v>
      </c>
      <c r="H42" s="203">
        <f>D82</f>
        <v>0</v>
      </c>
    </row>
    <row r="44" spans="2:8" ht="15" customHeight="1">
      <c r="B44" s="79" t="s">
        <v>93</v>
      </c>
      <c r="C44" s="37"/>
      <c r="D44" s="37"/>
      <c r="E44" s="37"/>
      <c r="F44" s="37"/>
      <c r="G44" s="37"/>
      <c r="H44" s="37"/>
    </row>
    <row r="45" spans="2:8" ht="15" customHeight="1">
      <c r="B45" s="16" t="s">
        <v>266</v>
      </c>
      <c r="C45" s="234" t="s">
        <v>132</v>
      </c>
      <c r="D45" s="182" t="s">
        <v>387</v>
      </c>
      <c r="F45" s="256" t="s">
        <v>57</v>
      </c>
    </row>
    <row r="46" spans="2:8" ht="15" customHeight="1">
      <c r="B46" s="1" t="s">
        <v>268</v>
      </c>
      <c r="C46" s="76">
        <f>G29</f>
        <v>4289570</v>
      </c>
      <c r="D46" s="76">
        <f>H29</f>
        <v>-556586</v>
      </c>
      <c r="F46" s="253"/>
    </row>
    <row r="47" spans="2:8" ht="15" customHeight="1">
      <c r="B47" s="1" t="str">
        <f>"Equity per share ("&amp;Market_currency&amp;")"</f>
        <v>Equity per share (USD)</v>
      </c>
      <c r="C47" s="147">
        <f>C46*H1/Common_Shares*Exchange_Rate</f>
        <v>35.792532063248053</v>
      </c>
      <c r="D47" s="147">
        <f>D46*H1/Common_Shares*Exchange_Rate</f>
        <v>-4.6442002930258699</v>
      </c>
      <c r="F47" s="253"/>
    </row>
    <row r="48" spans="2:8" ht="15" customHeight="1">
      <c r="F48" s="253"/>
    </row>
    <row r="49" spans="2:8" ht="15" customHeight="1">
      <c r="B49" s="157" t="s">
        <v>139</v>
      </c>
      <c r="C49" s="235" t="s">
        <v>55</v>
      </c>
      <c r="D49" s="197" t="s">
        <v>92</v>
      </c>
      <c r="E49" s="2"/>
      <c r="F49" s="253"/>
    </row>
    <row r="50" spans="2:8" ht="15" customHeight="1">
      <c r="B50" s="8" t="s">
        <v>91</v>
      </c>
      <c r="C50" s="95">
        <f>G31/Normalized_FCF!C8</f>
        <v>0.82752635354401471</v>
      </c>
      <c r="D50" s="95">
        <f>G31/Normalized_FCF!G8</f>
        <v>0.68041788655223656</v>
      </c>
      <c r="F50" s="253"/>
    </row>
    <row r="51" spans="2:8" ht="15" customHeight="1">
      <c r="B51" s="1" t="s">
        <v>172</v>
      </c>
      <c r="C51" s="181"/>
      <c r="D51" s="92">
        <f>G29/G32</f>
        <v>0.57728890069003036</v>
      </c>
      <c r="F51" s="253"/>
    </row>
    <row r="52" spans="2:8" ht="15" customHeight="1">
      <c r="F52" s="253"/>
    </row>
    <row r="53" spans="2:8" ht="15" customHeight="1">
      <c r="B53" s="157" t="s">
        <v>138</v>
      </c>
      <c r="C53" s="235" t="s">
        <v>55</v>
      </c>
      <c r="D53" s="197" t="s">
        <v>92</v>
      </c>
      <c r="F53" s="253"/>
    </row>
    <row r="54" spans="2:8" ht="15" customHeight="1">
      <c r="B54" s="1" t="s">
        <v>135</v>
      </c>
      <c r="C54" s="92">
        <f>Normalized_FCF!C8/G35</f>
        <v>0.33782460268967934</v>
      </c>
      <c r="D54" s="92">
        <f>Normalized_FCF!G8/G35</f>
        <v>0.41086333432209643</v>
      </c>
      <c r="F54" s="253"/>
    </row>
    <row r="55" spans="2:8" ht="15" customHeight="1">
      <c r="B55" s="1" t="s">
        <v>137</v>
      </c>
      <c r="C55" s="92">
        <f>Normalized_FCF!C11/G40</f>
        <v>0</v>
      </c>
      <c r="D55" s="92">
        <f>Normalized_FCF!G11/G40</f>
        <v>0</v>
      </c>
      <c r="F55" s="253"/>
    </row>
    <row r="56" spans="2:8" ht="15" customHeight="1">
      <c r="F56" s="253"/>
    </row>
    <row r="57" spans="2:8" ht="15" customHeight="1">
      <c r="B57" s="157" t="s">
        <v>171</v>
      </c>
      <c r="C57" s="235" t="s">
        <v>55</v>
      </c>
      <c r="D57" s="197" t="s">
        <v>92</v>
      </c>
      <c r="F57" s="253"/>
    </row>
    <row r="58" spans="2:8" ht="15" customHeight="1">
      <c r="B58" s="2" t="s">
        <v>87</v>
      </c>
      <c r="C58" s="98"/>
      <c r="D58" s="23">
        <f>Normalized_FCF!G9/BS!$G$39</f>
        <v>0</v>
      </c>
      <c r="F58" s="5"/>
    </row>
    <row r="59" spans="2:8" ht="15" customHeight="1">
      <c r="B59" s="1" t="s">
        <v>90</v>
      </c>
      <c r="C59" s="98"/>
      <c r="D59" s="92">
        <f>G39/G32</f>
        <v>0.45703389375446718</v>
      </c>
      <c r="F59" s="253"/>
    </row>
    <row r="60" spans="2:8" ht="15" customHeight="1">
      <c r="F60" s="253"/>
    </row>
    <row r="61" spans="2:8" ht="15" customHeight="1">
      <c r="B61" s="157" t="s">
        <v>269</v>
      </c>
      <c r="C61" s="235" t="s">
        <v>133</v>
      </c>
      <c r="D61" s="197" t="s">
        <v>92</v>
      </c>
      <c r="F61" s="253"/>
    </row>
    <row r="62" spans="2:8" ht="15" customHeight="1">
      <c r="B62" s="1" t="s">
        <v>241</v>
      </c>
      <c r="C62" s="92">
        <f>IF(G28&lt;=0,0,G28/G29)</f>
        <v>0</v>
      </c>
      <c r="D62" s="92">
        <f>G28/G29</f>
        <v>0</v>
      </c>
      <c r="F62" s="253" t="s">
        <v>267</v>
      </c>
    </row>
    <row r="64" spans="2:8" ht="15" customHeight="1">
      <c r="B64" s="79" t="s">
        <v>189</v>
      </c>
      <c r="C64" s="37"/>
      <c r="D64" s="37"/>
      <c r="E64" s="37"/>
      <c r="F64" s="37"/>
      <c r="G64" s="37"/>
      <c r="H64" s="37"/>
    </row>
    <row r="65" spans="2:6" ht="15" customHeight="1">
      <c r="B65" s="16" t="s">
        <v>184</v>
      </c>
      <c r="C65" s="234" t="s">
        <v>132</v>
      </c>
      <c r="D65" s="183" t="s">
        <v>280</v>
      </c>
      <c r="F65" s="256" t="s">
        <v>57</v>
      </c>
    </row>
    <row r="66" spans="2:6" ht="15" customHeight="1">
      <c r="B66" s="105" t="s">
        <v>183</v>
      </c>
      <c r="C66" s="20">
        <f>G4+G5+G15</f>
        <v>1325272</v>
      </c>
      <c r="D66" s="76">
        <f>C66-D75</f>
        <v>655172.72915731848</v>
      </c>
      <c r="F66" s="5" t="s">
        <v>222</v>
      </c>
    </row>
    <row r="67" spans="2:6" ht="15" customHeight="1">
      <c r="B67" s="105" t="s">
        <v>173</v>
      </c>
      <c r="C67" s="20">
        <f>G6+G16</f>
        <v>0</v>
      </c>
      <c r="F67" s="253"/>
    </row>
    <row r="68" spans="2:6" ht="15" customHeight="1">
      <c r="B68" s="105" t="s">
        <v>177</v>
      </c>
      <c r="C68" s="20">
        <f>G18</f>
        <v>0</v>
      </c>
      <c r="F68" s="253"/>
    </row>
    <row r="69" spans="2:6" ht="15" customHeight="1">
      <c r="B69" s="105" t="s">
        <v>175</v>
      </c>
      <c r="C69" s="20">
        <f>G8+G20</f>
        <v>0</v>
      </c>
      <c r="F69" s="253"/>
    </row>
    <row r="70" spans="2:6" ht="15" customHeight="1">
      <c r="B70" s="80" t="s">
        <v>184</v>
      </c>
      <c r="C70" s="81">
        <f>SUM(C66:C69)</f>
        <v>1325272</v>
      </c>
      <c r="F70" s="253"/>
    </row>
    <row r="71" spans="2:6" ht="15" customHeight="1">
      <c r="F71" s="253"/>
    </row>
    <row r="72" spans="2:6" ht="15" customHeight="1">
      <c r="B72" s="255" t="s">
        <v>309</v>
      </c>
      <c r="C72" s="234" t="s">
        <v>92</v>
      </c>
      <c r="D72" s="182" t="s">
        <v>55</v>
      </c>
      <c r="F72" s="253"/>
    </row>
    <row r="73" spans="2:6" ht="15" customHeight="1">
      <c r="B73" s="105" t="s">
        <v>308</v>
      </c>
      <c r="C73" s="349">
        <f>(Normalized_FCF!G25+Normalized_FCF!G35-Normalized_FCF!G91)/12</f>
        <v>-673307.83333333337</v>
      </c>
      <c r="D73" s="349">
        <f>(Normalized_FCF!C25+Normalized_FCF!C35-Normalized_FCF!C91)/12</f>
        <v>-670099.27084268152</v>
      </c>
      <c r="F73" s="1" t="s">
        <v>343</v>
      </c>
    </row>
    <row r="74" spans="2:6" ht="15" customHeight="1">
      <c r="B74" s="257" t="s">
        <v>313</v>
      </c>
      <c r="C74" s="258">
        <f>-$C$66/C73</f>
        <v>1.9683002846394924</v>
      </c>
      <c r="D74" s="258">
        <f>-$C$66/D73</f>
        <v>1.9777248799769738</v>
      </c>
      <c r="F74" s="253" t="s">
        <v>310</v>
      </c>
    </row>
    <row r="75" spans="2:6" ht="15" customHeight="1">
      <c r="B75" s="80" t="s">
        <v>311</v>
      </c>
      <c r="C75" s="320"/>
      <c r="D75" s="321">
        <f>MAX(-D73*D76,G5)</f>
        <v>670099.27084268152</v>
      </c>
      <c r="F75" s="253" t="s">
        <v>344</v>
      </c>
    </row>
    <row r="76" spans="2:6" ht="15" customHeight="1">
      <c r="B76" s="259" t="s">
        <v>314</v>
      </c>
      <c r="C76" s="260"/>
      <c r="D76" s="290">
        <f>IF(valuation_method="DCF",IF(D74&lt;=3,1,IF(D74&gt;18,6,2)),-C66/D73)</f>
        <v>1</v>
      </c>
      <c r="F76" s="253" t="s">
        <v>315</v>
      </c>
    </row>
    <row r="77" spans="2:6" ht="15" customHeight="1">
      <c r="F77" s="253"/>
    </row>
    <row r="78" spans="2:6" ht="15" customHeight="1">
      <c r="B78" s="16" t="s">
        <v>185</v>
      </c>
      <c r="C78" s="234" t="s">
        <v>132</v>
      </c>
      <c r="D78" s="183" t="s">
        <v>33</v>
      </c>
      <c r="F78" s="253"/>
    </row>
    <row r="79" spans="2:6" ht="15" customHeight="1">
      <c r="B79" s="105" t="s">
        <v>174</v>
      </c>
      <c r="C79" s="20">
        <f>G7+G17</f>
        <v>0</v>
      </c>
      <c r="D79" s="76">
        <f>G7*H7+G17*H17</f>
        <v>0</v>
      </c>
      <c r="F79" s="253"/>
    </row>
    <row r="80" spans="2:6" ht="15" customHeight="1">
      <c r="B80" s="105" t="s">
        <v>178</v>
      </c>
      <c r="C80" s="20">
        <f>G19</f>
        <v>0</v>
      </c>
      <c r="D80" s="76">
        <f>G19*H19</f>
        <v>0</v>
      </c>
      <c r="F80" s="253"/>
    </row>
    <row r="81" spans="2:8" ht="15" customHeight="1">
      <c r="B81" s="105" t="s">
        <v>176</v>
      </c>
      <c r="C81" s="20">
        <f>G9+G21</f>
        <v>0</v>
      </c>
      <c r="D81" s="76">
        <f>G9*H9+G21*H21</f>
        <v>0</v>
      </c>
      <c r="F81" s="253"/>
    </row>
    <row r="82" spans="2:8" ht="15" customHeight="1">
      <c r="B82" s="80" t="s">
        <v>185</v>
      </c>
      <c r="C82" s="81">
        <f>SUM(C79:C81)</f>
        <v>0</v>
      </c>
      <c r="D82" s="81">
        <f>SUM(D79:D81)</f>
        <v>0</v>
      </c>
      <c r="F82" s="253"/>
    </row>
    <row r="84" spans="2:8" ht="15" customHeight="1">
      <c r="B84" s="79" t="s">
        <v>283</v>
      </c>
      <c r="C84" s="37"/>
      <c r="D84" s="37"/>
      <c r="E84" s="37"/>
      <c r="F84" s="37"/>
      <c r="G84" s="37"/>
      <c r="H84" s="37"/>
    </row>
    <row r="85" spans="2:8" ht="15" customHeight="1">
      <c r="B85" s="16" t="s">
        <v>284</v>
      </c>
      <c r="D85" s="241" t="s">
        <v>285</v>
      </c>
    </row>
    <row r="86" spans="2:8" ht="15" customHeight="1">
      <c r="B86" s="238" t="s">
        <v>281</v>
      </c>
      <c r="C86" s="76">
        <f>-DCF!C7*Exchange_Rate</f>
        <v>-1706782</v>
      </c>
      <c r="D86" s="223">
        <f>C86*scaling_factor/Common_Shares</f>
        <v>-14.241532242153559</v>
      </c>
      <c r="E86" s="240" t="str">
        <f>Market_currency</f>
        <v>USD</v>
      </c>
    </row>
    <row r="87" spans="2:8" ht="15" customHeight="1">
      <c r="B87" s="238" t="s">
        <v>282</v>
      </c>
      <c r="C87" s="76">
        <f>DCF!C8*Exchange_Rate</f>
        <v>655172.72915731848</v>
      </c>
      <c r="D87" s="223">
        <f>C87*scaling_factor/Common_Shares</f>
        <v>5.4668162345710769</v>
      </c>
      <c r="E87" s="240" t="str">
        <f>Market_currency</f>
        <v>USD</v>
      </c>
    </row>
    <row r="88" spans="2:8" ht="15" customHeight="1">
      <c r="B88" s="239" t="s">
        <v>185</v>
      </c>
      <c r="C88" s="76">
        <f>DCF!C9*Exchange_Rate</f>
        <v>0</v>
      </c>
      <c r="D88" s="223">
        <f>C88*scaling_factor/Common_Shares</f>
        <v>0</v>
      </c>
      <c r="E88" s="240" t="str">
        <f>Market_currency</f>
        <v>USD</v>
      </c>
    </row>
    <row r="89" spans="2:8" ht="15" customHeight="1">
      <c r="B89" s="80" t="s">
        <v>286</v>
      </c>
      <c r="C89" s="180">
        <f>SUM(C86:C88)</f>
        <v>-1051609.2708426816</v>
      </c>
      <c r="D89" s="242">
        <f>SUM(D86:D88)</f>
        <v>-8.7747160075824819</v>
      </c>
      <c r="E89" s="240" t="str">
        <f>Market_currency</f>
        <v>USD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9"/>
  <sheetViews>
    <sheetView showGridLines="0" zoomScale="90" zoomScaleNormal="90" workbookViewId="0">
      <pane xSplit="2" ySplit="1" topLeftCell="C2" activePane="bottomRight" state="frozen"/>
      <selection activeCell="C17" sqref="C17"/>
      <selection pane="topRight" activeCell="C17" sqref="C17"/>
      <selection pane="bottomLeft" activeCell="C17" sqref="C17"/>
      <selection pane="bottomRight" activeCell="E37" sqref="E37"/>
    </sheetView>
  </sheetViews>
  <sheetFormatPr defaultColWidth="12.265625" defaultRowHeight="15" customHeight="1"/>
  <cols>
    <col min="1" max="1" width="1.265625" style="2" customWidth="1"/>
    <col min="2" max="2" width="26.265625" style="2" customWidth="1"/>
    <col min="3" max="3" width="20.73046875" style="2" customWidth="1"/>
    <col min="4" max="4" width="2.73046875" style="2" customWidth="1"/>
    <col min="5" max="5" width="25.1328125" style="2" customWidth="1"/>
    <col min="6" max="6" width="2.73046875" style="2" customWidth="1"/>
    <col min="7" max="17" width="20.73046875" style="2" customWidth="1"/>
    <col min="18" max="16384" width="12.265625" style="2"/>
  </cols>
  <sheetData>
    <row r="1" spans="1:17" ht="15.75" customHeight="1">
      <c r="A1" s="3"/>
      <c r="B1" s="90" t="str">
        <f>Thesis!C25</f>
        <v>USD</v>
      </c>
      <c r="C1" s="53" t="s">
        <v>55</v>
      </c>
      <c r="D1" s="53"/>
      <c r="E1" s="53"/>
      <c r="F1" s="53"/>
      <c r="G1" s="38">
        <f>Data!C1</f>
        <v>45688</v>
      </c>
      <c r="H1" s="38">
        <f>EOMONTH(EDATE(G1,-12),0)</f>
        <v>45322</v>
      </c>
      <c r="I1" s="38">
        <f t="shared" ref="I1:Q1" si="0">EOMONTH(EDATE(H1,-12),0)</f>
        <v>44957</v>
      </c>
      <c r="J1" s="38">
        <f t="shared" si="0"/>
        <v>44592</v>
      </c>
      <c r="K1" s="38">
        <f t="shared" si="0"/>
        <v>44227</v>
      </c>
      <c r="L1" s="38">
        <f t="shared" si="0"/>
        <v>43861</v>
      </c>
      <c r="M1" s="38">
        <f t="shared" si="0"/>
        <v>43496</v>
      </c>
      <c r="N1" s="38">
        <f t="shared" si="0"/>
        <v>43131</v>
      </c>
      <c r="O1" s="38">
        <f t="shared" si="0"/>
        <v>42766</v>
      </c>
      <c r="P1" s="38">
        <f t="shared" si="0"/>
        <v>42400</v>
      </c>
      <c r="Q1" s="38">
        <f t="shared" si="0"/>
        <v>42035</v>
      </c>
    </row>
    <row r="2" spans="1:17" ht="15.75" customHeight="1">
      <c r="A2" s="3"/>
      <c r="B2" s="54" t="s">
        <v>96</v>
      </c>
      <c r="C2" s="54"/>
      <c r="D2" s="56"/>
      <c r="E2" s="66" t="s">
        <v>57</v>
      </c>
      <c r="F2" s="56"/>
      <c r="G2" s="37"/>
      <c r="H2" s="37"/>
      <c r="I2" s="37"/>
      <c r="J2" s="37"/>
      <c r="K2" s="37"/>
      <c r="L2" s="37"/>
      <c r="M2" s="37"/>
      <c r="N2" s="37"/>
      <c r="O2" s="37"/>
      <c r="P2" s="37"/>
      <c r="Q2" s="37"/>
    </row>
    <row r="3" spans="1:17" ht="15.75" customHeight="1">
      <c r="A3" s="10"/>
      <c r="B3" s="16" t="s">
        <v>64</v>
      </c>
      <c r="C3" s="107">
        <f>scaling_factor</f>
        <v>1000</v>
      </c>
      <c r="D3" s="9"/>
      <c r="E3" s="268"/>
      <c r="F3" s="9"/>
      <c r="G3" s="9"/>
    </row>
    <row r="4" spans="1:17" ht="15.75" customHeight="1">
      <c r="A4" s="10"/>
      <c r="B4" s="26" t="s">
        <v>0</v>
      </c>
      <c r="C4" s="327">
        <f>AVERAGE(G4:H4)</f>
        <v>10103702</v>
      </c>
      <c r="D4" s="57"/>
      <c r="E4" s="266"/>
      <c r="F4" s="57"/>
      <c r="G4" s="333">
        <f>Data!C36</f>
        <v>10588126</v>
      </c>
      <c r="H4" s="333">
        <f>Data!D36</f>
        <v>9619278</v>
      </c>
      <c r="I4" s="333">
        <f>Data!E36</f>
        <v>8110518</v>
      </c>
      <c r="J4" s="333">
        <f>Data!F36</f>
        <v>6256617</v>
      </c>
      <c r="K4" s="333">
        <f>Data!G36</f>
        <v>4401879</v>
      </c>
      <c r="L4" s="333">
        <f>Data!H36</f>
        <v>3979296</v>
      </c>
      <c r="M4" s="333">
        <f>Data!I36</f>
        <v>3288319</v>
      </c>
      <c r="N4" s="333">
        <f>Data!J36</f>
        <v>2649181</v>
      </c>
      <c r="O4" s="333">
        <f>Data!K36</f>
        <v>2344392</v>
      </c>
      <c r="P4" s="333">
        <f>Data!L36</f>
        <v>2060523</v>
      </c>
      <c r="Q4" s="333" t="str">
        <f>Data!M36</f>
        <v/>
      </c>
    </row>
    <row r="5" spans="1:17" ht="15.75" customHeight="1">
      <c r="A5" s="10"/>
      <c r="B5" s="2" t="s">
        <v>44</v>
      </c>
      <c r="C5" s="328">
        <f>C25</f>
        <v>-4278812.2501121787</v>
      </c>
      <c r="E5" s="268"/>
      <c r="G5" s="333">
        <f t="shared" ref="G5:Q5" si="1">G25</f>
        <v>-4317315</v>
      </c>
      <c r="H5" s="333">
        <f t="shared" si="1"/>
        <v>-4009873</v>
      </c>
      <c r="I5" s="333">
        <f t="shared" si="1"/>
        <v>-3618178</v>
      </c>
      <c r="J5" s="333">
        <f t="shared" si="1"/>
        <v>-2648052</v>
      </c>
      <c r="K5" s="333">
        <f t="shared" si="1"/>
        <v>-1937888</v>
      </c>
      <c r="L5" s="333">
        <f t="shared" si="1"/>
        <v>-1755910</v>
      </c>
      <c r="M5" s="333">
        <f t="shared" si="1"/>
        <v>-1472032</v>
      </c>
      <c r="N5" s="333">
        <f t="shared" si="1"/>
        <v>-1250391</v>
      </c>
      <c r="O5" s="333">
        <f t="shared" si="1"/>
        <v>-1144775</v>
      </c>
      <c r="P5" s="333">
        <f t="shared" si="1"/>
        <v>-1063357</v>
      </c>
      <c r="Q5" s="333" t="str">
        <f t="shared" si="1"/>
        <v/>
      </c>
    </row>
    <row r="6" spans="1:17" ht="15.75" customHeight="1">
      <c r="A6" s="10"/>
      <c r="B6" s="31" t="s">
        <v>46</v>
      </c>
      <c r="C6" s="329">
        <f>C4+C5</f>
        <v>5824889.7498878213</v>
      </c>
      <c r="E6" s="268"/>
      <c r="G6" s="329">
        <f>IF(G4="","",G4+G5)</f>
        <v>6270811</v>
      </c>
      <c r="H6" s="329">
        <f t="shared" ref="H6:Q6" si="2">IF(H4="","",H4+H5)</f>
        <v>5609405</v>
      </c>
      <c r="I6" s="329">
        <f t="shared" si="2"/>
        <v>4492340</v>
      </c>
      <c r="J6" s="329">
        <f t="shared" si="2"/>
        <v>3608565</v>
      </c>
      <c r="K6" s="329">
        <f t="shared" si="2"/>
        <v>2463991</v>
      </c>
      <c r="L6" s="329">
        <f t="shared" si="2"/>
        <v>2223386</v>
      </c>
      <c r="M6" s="329">
        <f t="shared" si="2"/>
        <v>1816287</v>
      </c>
      <c r="N6" s="329">
        <f t="shared" si="2"/>
        <v>1398790</v>
      </c>
      <c r="O6" s="329">
        <f t="shared" si="2"/>
        <v>1199617</v>
      </c>
      <c r="P6" s="329">
        <f t="shared" si="2"/>
        <v>997166</v>
      </c>
      <c r="Q6" s="329" t="str">
        <f t="shared" si="2"/>
        <v/>
      </c>
    </row>
    <row r="7" spans="1:17" ht="15.75" customHeight="1">
      <c r="A7" s="10"/>
      <c r="B7" s="8" t="s">
        <v>43</v>
      </c>
      <c r="C7" s="328">
        <f>C35</f>
        <v>-3762379</v>
      </c>
      <c r="E7" s="268"/>
      <c r="G7" s="328">
        <f t="shared" ref="G7:Q7" si="3">G35</f>
        <v>-3762379</v>
      </c>
      <c r="H7" s="328">
        <f t="shared" si="3"/>
        <v>-3397218</v>
      </c>
      <c r="I7" s="328">
        <f t="shared" si="3"/>
        <v>-2757447</v>
      </c>
      <c r="J7" s="328">
        <f t="shared" si="3"/>
        <v>-2225034</v>
      </c>
      <c r="K7" s="328">
        <f t="shared" si="3"/>
        <v>-1609003</v>
      </c>
      <c r="L7" s="328">
        <f t="shared" si="3"/>
        <v>-1334276</v>
      </c>
      <c r="M7" s="328">
        <f t="shared" si="3"/>
        <v>-1110451</v>
      </c>
      <c r="N7" s="328">
        <f t="shared" si="3"/>
        <v>-904264</v>
      </c>
      <c r="O7" s="328">
        <f t="shared" si="3"/>
        <v>-778465</v>
      </c>
      <c r="P7" s="328">
        <f t="shared" si="3"/>
        <v>-628090</v>
      </c>
      <c r="Q7" s="328" t="str">
        <f t="shared" si="3"/>
        <v/>
      </c>
    </row>
    <row r="8" spans="1:17" ht="15.75" customHeight="1">
      <c r="A8" s="10"/>
      <c r="B8" s="29" t="s">
        <v>148</v>
      </c>
      <c r="C8" s="330">
        <f>C6+C7</f>
        <v>2062510.7498878213</v>
      </c>
      <c r="D8" s="59"/>
      <c r="E8" s="274"/>
      <c r="F8" s="59"/>
      <c r="G8" s="329">
        <f>IF(G$4="","",G6+G7)</f>
        <v>2508432</v>
      </c>
      <c r="H8" s="329">
        <f t="shared" ref="H8:Q8" si="4">IF(H$4="","",H6+H7)</f>
        <v>2212187</v>
      </c>
      <c r="I8" s="329">
        <f t="shared" si="4"/>
        <v>1734893</v>
      </c>
      <c r="J8" s="329">
        <f t="shared" si="4"/>
        <v>1383531</v>
      </c>
      <c r="K8" s="329">
        <f t="shared" si="4"/>
        <v>854988</v>
      </c>
      <c r="L8" s="329">
        <f t="shared" si="4"/>
        <v>889110</v>
      </c>
      <c r="M8" s="329">
        <f t="shared" si="4"/>
        <v>705836</v>
      </c>
      <c r="N8" s="329">
        <f t="shared" si="4"/>
        <v>494526</v>
      </c>
      <c r="O8" s="329">
        <f t="shared" si="4"/>
        <v>421152</v>
      </c>
      <c r="P8" s="329">
        <f t="shared" si="4"/>
        <v>369076</v>
      </c>
      <c r="Q8" s="329" t="str">
        <f t="shared" si="4"/>
        <v/>
      </c>
    </row>
    <row r="9" spans="1:17" ht="15.75" customHeight="1">
      <c r="A9" s="10"/>
      <c r="B9" s="2" t="s">
        <v>63</v>
      </c>
      <c r="C9" s="328">
        <f>BS!$G$39*BS!D58</f>
        <v>0</v>
      </c>
      <c r="E9" s="268"/>
      <c r="G9" s="328">
        <f>IF(Data!C61="","",-Data!C61)</f>
        <v>0</v>
      </c>
      <c r="H9" s="328">
        <f>IF(Data!D61="","",-Data!D61)</f>
        <v>0</v>
      </c>
      <c r="I9" s="328">
        <f>IF(Data!E61="","",-Data!E61)</f>
        <v>0</v>
      </c>
      <c r="J9" s="328">
        <f>IF(Data!F61="","",-Data!F61)</f>
        <v>0</v>
      </c>
      <c r="K9" s="328">
        <f>IF(Data!G61="","",-Data!G61)</f>
        <v>0</v>
      </c>
      <c r="L9" s="328">
        <f>IF(Data!H61="","",-Data!H61)</f>
        <v>0</v>
      </c>
      <c r="M9" s="328">
        <f>IF(Data!I61="","",-Data!I61)</f>
        <v>0</v>
      </c>
      <c r="N9" s="328">
        <f>IF(Data!J61="","",-Data!J61)</f>
        <v>0</v>
      </c>
      <c r="O9" s="328">
        <f>IF(Data!K61="","",-Data!K61)</f>
        <v>0</v>
      </c>
      <c r="P9" s="328">
        <f>IF(Data!L61="","",-Data!L61)</f>
        <v>0</v>
      </c>
      <c r="Q9" s="328" t="str">
        <f>IF(Data!M61="","",-Data!M61)</f>
        <v/>
      </c>
    </row>
    <row r="10" spans="1:17" ht="15.75" customHeight="1">
      <c r="A10" s="10"/>
      <c r="B10" s="2" t="s">
        <v>78</v>
      </c>
      <c r="C10" s="328">
        <f>-C4*C78</f>
        <v>0</v>
      </c>
      <c r="E10" s="268"/>
      <c r="G10" s="328">
        <f>Data!C62</f>
        <v>0</v>
      </c>
      <c r="H10" s="328">
        <f>Data!D62</f>
        <v>0</v>
      </c>
      <c r="I10" s="328">
        <f>Data!E62</f>
        <v>0</v>
      </c>
      <c r="J10" s="328">
        <f>Data!F62</f>
        <v>0</v>
      </c>
      <c r="K10" s="328">
        <f>Data!G62</f>
        <v>0</v>
      </c>
      <c r="L10" s="328">
        <f>Data!H62</f>
        <v>0</v>
      </c>
      <c r="M10" s="328">
        <f>Data!I62</f>
        <v>0</v>
      </c>
      <c r="N10" s="328">
        <f>Data!J62</f>
        <v>0</v>
      </c>
      <c r="O10" s="328">
        <f>Data!K62</f>
        <v>0</v>
      </c>
      <c r="P10" s="328">
        <f>Data!L62</f>
        <v>0</v>
      </c>
      <c r="Q10" s="328" t="str">
        <f>Data!M62</f>
        <v/>
      </c>
    </row>
    <row r="11" spans="1:17" ht="15.75" customHeight="1">
      <c r="A11" s="10"/>
      <c r="B11" s="31" t="s">
        <v>190</v>
      </c>
      <c r="C11" s="331">
        <f>C63</f>
        <v>0</v>
      </c>
      <c r="D11" s="168"/>
      <c r="E11" s="267"/>
      <c r="F11" s="168"/>
      <c r="G11" s="334">
        <f>G61</f>
        <v>0</v>
      </c>
      <c r="H11" s="334">
        <f t="shared" ref="H11:Q11" si="5">H61</f>
        <v>0</v>
      </c>
      <c r="I11" s="334">
        <f t="shared" si="5"/>
        <v>0</v>
      </c>
      <c r="J11" s="334">
        <f t="shared" si="5"/>
        <v>0</v>
      </c>
      <c r="K11" s="334">
        <f t="shared" si="5"/>
        <v>0</v>
      </c>
      <c r="L11" s="334">
        <f t="shared" si="5"/>
        <v>0</v>
      </c>
      <c r="M11" s="334">
        <f t="shared" si="5"/>
        <v>0</v>
      </c>
      <c r="N11" s="334">
        <f t="shared" si="5"/>
        <v>0</v>
      </c>
      <c r="O11" s="334">
        <f t="shared" si="5"/>
        <v>0</v>
      </c>
      <c r="P11" s="334">
        <f t="shared" si="5"/>
        <v>0</v>
      </c>
      <c r="Q11" s="334" t="str">
        <f t="shared" si="5"/>
        <v/>
      </c>
    </row>
    <row r="12" spans="1:17" ht="15.75" customHeight="1">
      <c r="A12" s="10"/>
      <c r="B12" s="2" t="s">
        <v>66</v>
      </c>
      <c r="C12" s="328">
        <f>C50</f>
        <v>0</v>
      </c>
      <c r="E12" s="268"/>
      <c r="G12" s="328">
        <f>G50</f>
        <v>0</v>
      </c>
      <c r="H12" s="328">
        <f t="shared" ref="H12:Q12" si="6">H50</f>
        <v>0</v>
      </c>
      <c r="I12" s="328">
        <f t="shared" si="6"/>
        <v>0</v>
      </c>
      <c r="J12" s="328">
        <f t="shared" si="6"/>
        <v>0</v>
      </c>
      <c r="K12" s="328">
        <f t="shared" si="6"/>
        <v>0</v>
      </c>
      <c r="L12" s="328">
        <f t="shared" si="6"/>
        <v>0</v>
      </c>
      <c r="M12" s="328">
        <f t="shared" si="6"/>
        <v>0</v>
      </c>
      <c r="N12" s="328">
        <f t="shared" si="6"/>
        <v>0</v>
      </c>
      <c r="O12" s="328">
        <f t="shared" si="6"/>
        <v>0</v>
      </c>
      <c r="P12" s="328">
        <f t="shared" si="6"/>
        <v>0</v>
      </c>
      <c r="Q12" s="328" t="str">
        <f t="shared" si="6"/>
        <v/>
      </c>
    </row>
    <row r="13" spans="1:17" ht="15.75" customHeight="1">
      <c r="A13" s="10"/>
      <c r="B13" s="70" t="s">
        <v>160</v>
      </c>
      <c r="C13" s="329">
        <f>SUM(C8:C12)</f>
        <v>2062510.7498878213</v>
      </c>
      <c r="E13" s="268"/>
      <c r="G13" s="329">
        <f>IF(G$4="","",SUM(G8:G12))</f>
        <v>2508432</v>
      </c>
      <c r="H13" s="329">
        <f t="shared" ref="H13:Q13" si="7">IF(H$4="","",SUM(H8:H12))</f>
        <v>2212187</v>
      </c>
      <c r="I13" s="329">
        <f t="shared" si="7"/>
        <v>1734893</v>
      </c>
      <c r="J13" s="329">
        <f t="shared" si="7"/>
        <v>1383531</v>
      </c>
      <c r="K13" s="329">
        <f t="shared" si="7"/>
        <v>854988</v>
      </c>
      <c r="L13" s="329">
        <f t="shared" si="7"/>
        <v>889110</v>
      </c>
      <c r="M13" s="329">
        <f t="shared" si="7"/>
        <v>705836</v>
      </c>
      <c r="N13" s="329">
        <f t="shared" si="7"/>
        <v>494526</v>
      </c>
      <c r="O13" s="329">
        <f t="shared" si="7"/>
        <v>421152</v>
      </c>
      <c r="P13" s="329">
        <f t="shared" si="7"/>
        <v>369076</v>
      </c>
      <c r="Q13" s="329" t="str">
        <f t="shared" si="7"/>
        <v/>
      </c>
    </row>
    <row r="14" spans="1:17" ht="15.75" customHeight="1">
      <c r="A14" s="10"/>
      <c r="B14" s="2" t="s">
        <v>61</v>
      </c>
      <c r="C14" s="328">
        <f>-SUM(C8+C11,C12)*C43</f>
        <v>-531509.02024609153</v>
      </c>
      <c r="E14" s="268"/>
      <c r="G14" s="328">
        <f>Data!C46</f>
        <v>-761461</v>
      </c>
      <c r="H14" s="328">
        <f>Data!D46</f>
        <v>-625545</v>
      </c>
      <c r="I14" s="328">
        <f>Data!E46</f>
        <v>-477771</v>
      </c>
      <c r="J14" s="328">
        <f>Data!F46</f>
        <v>-358547</v>
      </c>
      <c r="K14" s="328">
        <f>Data!G46</f>
        <v>-230437</v>
      </c>
      <c r="L14" s="328">
        <f>Data!H46</f>
        <v>-251797</v>
      </c>
      <c r="M14" s="328">
        <f>Data!I46</f>
        <v>-231449</v>
      </c>
      <c r="N14" s="328">
        <f>Data!J46</f>
        <v>-201336</v>
      </c>
      <c r="O14" s="328">
        <f>Data!K46</f>
        <v>-119348</v>
      </c>
      <c r="P14" s="328">
        <f>Data!L46</f>
        <v>-102448</v>
      </c>
      <c r="Q14" s="328" t="str">
        <f>Data!M46</f>
        <v/>
      </c>
    </row>
    <row r="15" spans="1:17" ht="15.75" customHeight="1">
      <c r="A15" s="10"/>
      <c r="B15" s="40" t="s">
        <v>239</v>
      </c>
      <c r="C15" s="328">
        <f>-C4*C83</f>
        <v>0</v>
      </c>
      <c r="D15" s="60"/>
      <c r="E15" s="275"/>
      <c r="F15" s="60"/>
      <c r="G15" s="333">
        <f>Data!C48</f>
        <v>0</v>
      </c>
      <c r="H15" s="333">
        <f>Data!D48</f>
        <v>0</v>
      </c>
      <c r="I15" s="333">
        <f>Data!E48</f>
        <v>0</v>
      </c>
      <c r="J15" s="333">
        <f>Data!F48</f>
        <v>0</v>
      </c>
      <c r="K15" s="333">
        <f>Data!G48</f>
        <v>0</v>
      </c>
      <c r="L15" s="333">
        <f>Data!H48</f>
        <v>0</v>
      </c>
      <c r="M15" s="333">
        <f>Data!I48</f>
        <v>0</v>
      </c>
      <c r="N15" s="333">
        <f>Data!J48</f>
        <v>0</v>
      </c>
      <c r="O15" s="333">
        <f>Data!K48</f>
        <v>0</v>
      </c>
      <c r="P15" s="333">
        <f>Data!L48</f>
        <v>0</v>
      </c>
      <c r="Q15" s="333" t="str">
        <f>Data!M48</f>
        <v/>
      </c>
    </row>
    <row r="16" spans="1:17" ht="15.75" customHeight="1">
      <c r="A16" s="10"/>
      <c r="B16" s="41" t="s">
        <v>150</v>
      </c>
      <c r="C16" s="332">
        <f>SUM(C13:C15)</f>
        <v>1531001.7296417297</v>
      </c>
      <c r="D16" s="61"/>
      <c r="E16" s="276"/>
      <c r="F16" s="61"/>
      <c r="G16" s="329">
        <f>IF(G$4="","",SUM(G13:G15))</f>
        <v>1746971</v>
      </c>
      <c r="H16" s="329">
        <f t="shared" ref="H16:Q16" si="8">IF(H$4="","",SUM(H13:H15))</f>
        <v>1586642</v>
      </c>
      <c r="I16" s="329">
        <f t="shared" si="8"/>
        <v>1257122</v>
      </c>
      <c r="J16" s="329">
        <f t="shared" si="8"/>
        <v>1024984</v>
      </c>
      <c r="K16" s="329">
        <f t="shared" si="8"/>
        <v>624551</v>
      </c>
      <c r="L16" s="329">
        <f t="shared" si="8"/>
        <v>637313</v>
      </c>
      <c r="M16" s="329">
        <f t="shared" si="8"/>
        <v>474387</v>
      </c>
      <c r="N16" s="329">
        <f t="shared" si="8"/>
        <v>293190</v>
      </c>
      <c r="O16" s="329">
        <f t="shared" si="8"/>
        <v>301804</v>
      </c>
      <c r="P16" s="329">
        <f t="shared" si="8"/>
        <v>266628</v>
      </c>
      <c r="Q16" s="329" t="str">
        <f t="shared" si="8"/>
        <v/>
      </c>
    </row>
    <row r="17" spans="1:17" ht="15.75" customHeight="1">
      <c r="A17" s="10"/>
      <c r="B17" s="27" t="s">
        <v>50</v>
      </c>
      <c r="C17" s="328">
        <f>-C4*C85</f>
        <v>0</v>
      </c>
      <c r="D17" s="58"/>
      <c r="E17" s="267" t="s">
        <v>323</v>
      </c>
      <c r="F17" s="58"/>
      <c r="G17" s="335"/>
      <c r="H17" s="335"/>
      <c r="I17" s="335"/>
      <c r="J17" s="335"/>
      <c r="K17" s="335"/>
      <c r="L17" s="335"/>
      <c r="M17" s="335"/>
      <c r="N17" s="335"/>
      <c r="O17" s="335"/>
      <c r="P17" s="335"/>
      <c r="Q17" s="335"/>
    </row>
    <row r="18" spans="1:17" ht="15.75" customHeight="1">
      <c r="A18" s="10"/>
      <c r="B18" s="27" t="s">
        <v>95</v>
      </c>
      <c r="C18" s="328">
        <v>0</v>
      </c>
      <c r="D18" s="58"/>
      <c r="E18" s="267" t="s">
        <v>324</v>
      </c>
      <c r="F18" s="58"/>
      <c r="G18" s="336"/>
      <c r="H18" s="336"/>
      <c r="I18" s="336"/>
      <c r="J18" s="336"/>
      <c r="K18" s="336"/>
      <c r="L18" s="336"/>
      <c r="M18" s="336"/>
      <c r="N18" s="336"/>
      <c r="O18" s="336"/>
      <c r="P18" s="336"/>
      <c r="Q18" s="336"/>
    </row>
    <row r="19" spans="1:17" ht="15.75" customHeight="1">
      <c r="A19" s="10"/>
      <c r="B19" s="31" t="s">
        <v>64</v>
      </c>
      <c r="C19" s="329">
        <f>C16+C17</f>
        <v>1531001.7296417297</v>
      </c>
      <c r="D19" s="27"/>
      <c r="E19" s="265"/>
      <c r="F19" s="27"/>
      <c r="G19" s="334">
        <f>IF(G$4="","",G16+G17)</f>
        <v>1746971</v>
      </c>
      <c r="H19" s="334">
        <f t="shared" ref="H19:Q19" si="9">IF(H$4="","",H16+H17)</f>
        <v>1586642</v>
      </c>
      <c r="I19" s="334">
        <f t="shared" si="9"/>
        <v>1257122</v>
      </c>
      <c r="J19" s="334">
        <f t="shared" si="9"/>
        <v>1024984</v>
      </c>
      <c r="K19" s="334">
        <f t="shared" si="9"/>
        <v>624551</v>
      </c>
      <c r="L19" s="334">
        <f t="shared" si="9"/>
        <v>637313</v>
      </c>
      <c r="M19" s="334">
        <f t="shared" si="9"/>
        <v>474387</v>
      </c>
      <c r="N19" s="334">
        <f t="shared" si="9"/>
        <v>293190</v>
      </c>
      <c r="O19" s="334">
        <f t="shared" si="9"/>
        <v>301804</v>
      </c>
      <c r="P19" s="334">
        <f t="shared" si="9"/>
        <v>266628</v>
      </c>
      <c r="Q19" s="334"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201</v>
      </c>
      <c r="C21" s="54"/>
      <c r="D21" s="56"/>
      <c r="E21" s="66" t="s">
        <v>57</v>
      </c>
      <c r="F21" s="56"/>
      <c r="G21" s="37"/>
      <c r="H21" s="37"/>
      <c r="I21" s="37"/>
      <c r="J21" s="37"/>
      <c r="K21" s="37"/>
      <c r="L21" s="37"/>
      <c r="M21" s="37"/>
      <c r="N21" s="37"/>
      <c r="O21" s="37"/>
      <c r="P21" s="37"/>
      <c r="Q21" s="37"/>
    </row>
    <row r="22" spans="1:17" ht="15.75" customHeight="1">
      <c r="A22" s="10"/>
      <c r="B22" s="64" t="s">
        <v>44</v>
      </c>
      <c r="C22" s="62"/>
      <c r="D22" s="27"/>
      <c r="E22" s="265"/>
      <c r="F22" s="27"/>
      <c r="G22" s="12"/>
      <c r="H22" s="12"/>
      <c r="I22" s="12"/>
      <c r="J22" s="12"/>
      <c r="K22" s="12"/>
      <c r="L22" s="12"/>
      <c r="M22" s="12"/>
      <c r="N22" s="12"/>
      <c r="O22" s="12"/>
      <c r="P22" s="12"/>
      <c r="Q22" s="12"/>
    </row>
    <row r="23" spans="1:17" ht="15.75" customHeight="1">
      <c r="A23" s="10"/>
      <c r="B23" s="27" t="s">
        <v>41</v>
      </c>
      <c r="C23" s="337">
        <f>-C4*C28</f>
        <v>-4278812.2501121787</v>
      </c>
      <c r="D23" s="58"/>
      <c r="E23" s="267"/>
      <c r="F23" s="58"/>
      <c r="G23" s="333">
        <f>Data!C37</f>
        <v>-4317315</v>
      </c>
      <c r="H23" s="333">
        <f>Data!D37</f>
        <v>-4009873</v>
      </c>
      <c r="I23" s="333">
        <f>Data!E37</f>
        <v>-3618178</v>
      </c>
      <c r="J23" s="333">
        <f>Data!F37</f>
        <v>-2648052</v>
      </c>
      <c r="K23" s="333">
        <f>Data!G37</f>
        <v>-1937888</v>
      </c>
      <c r="L23" s="333">
        <f>Data!H37</f>
        <v>-1755910</v>
      </c>
      <c r="M23" s="333">
        <f>Data!I37</f>
        <v>-1472032</v>
      </c>
      <c r="N23" s="333">
        <f>Data!J37</f>
        <v>-1250391</v>
      </c>
      <c r="O23" s="333">
        <f>Data!K37</f>
        <v>-1144775</v>
      </c>
      <c r="P23" s="333">
        <f>Data!L37</f>
        <v>-1063357</v>
      </c>
      <c r="Q23" s="333" t="str">
        <f>Data!M37</f>
        <v/>
      </c>
    </row>
    <row r="24" spans="1:17" ht="15.75" customHeight="1">
      <c r="A24" s="10"/>
      <c r="B24" s="68" t="s">
        <v>60</v>
      </c>
      <c r="C24" s="328">
        <f>-C4*C29</f>
        <v>0</v>
      </c>
      <c r="D24" s="27"/>
      <c r="E24" s="265"/>
      <c r="F24" s="27"/>
      <c r="G24" s="333">
        <f>Data!C40</f>
        <v>0</v>
      </c>
      <c r="H24" s="333">
        <f>Data!D40</f>
        <v>0</v>
      </c>
      <c r="I24" s="333">
        <f>Data!E40</f>
        <v>0</v>
      </c>
      <c r="J24" s="333">
        <f>Data!F40</f>
        <v>0</v>
      </c>
      <c r="K24" s="333">
        <f>Data!G40</f>
        <v>0</v>
      </c>
      <c r="L24" s="333">
        <f>Data!H40</f>
        <v>0</v>
      </c>
      <c r="M24" s="333">
        <f>Data!I40</f>
        <v>0</v>
      </c>
      <c r="N24" s="333">
        <f>Data!J40</f>
        <v>0</v>
      </c>
      <c r="O24" s="333">
        <f>Data!K40</f>
        <v>0</v>
      </c>
      <c r="P24" s="333">
        <f>Data!L40</f>
        <v>0</v>
      </c>
      <c r="Q24" s="333" t="str">
        <f>Data!M40</f>
        <v/>
      </c>
    </row>
    <row r="25" spans="1:17" ht="15.75" customHeight="1">
      <c r="A25" s="10"/>
      <c r="B25" s="70" t="s">
        <v>44</v>
      </c>
      <c r="C25" s="329">
        <f>C23+C24</f>
        <v>-4278812.2501121787</v>
      </c>
      <c r="D25" s="9"/>
      <c r="E25" s="273"/>
      <c r="F25" s="9"/>
      <c r="G25" s="329">
        <f t="shared" ref="G25:Q25" si="10">IF(G$4="","",G23+G24)</f>
        <v>-4317315</v>
      </c>
      <c r="H25" s="329">
        <f t="shared" si="10"/>
        <v>-4009873</v>
      </c>
      <c r="I25" s="329">
        <f t="shared" si="10"/>
        <v>-3618178</v>
      </c>
      <c r="J25" s="329">
        <f t="shared" si="10"/>
        <v>-2648052</v>
      </c>
      <c r="K25" s="329">
        <f t="shared" si="10"/>
        <v>-1937888</v>
      </c>
      <c r="L25" s="329">
        <f t="shared" si="10"/>
        <v>-1755910</v>
      </c>
      <c r="M25" s="329">
        <f t="shared" si="10"/>
        <v>-1472032</v>
      </c>
      <c r="N25" s="329">
        <f t="shared" si="10"/>
        <v>-1250391</v>
      </c>
      <c r="O25" s="329">
        <f t="shared" si="10"/>
        <v>-1144775</v>
      </c>
      <c r="P25" s="329">
        <f t="shared" si="10"/>
        <v>-1063357</v>
      </c>
      <c r="Q25" s="329" t="str">
        <f t="shared" si="10"/>
        <v/>
      </c>
    </row>
    <row r="26" spans="1:17" ht="15.75" customHeight="1">
      <c r="A26" s="10"/>
      <c r="E26" s="268"/>
    </row>
    <row r="27" spans="1:17" ht="15.75" customHeight="1">
      <c r="A27" s="10"/>
      <c r="B27" s="64" t="s">
        <v>202</v>
      </c>
      <c r="E27" s="268"/>
    </row>
    <row r="28" spans="1:17" ht="15.75" customHeight="1">
      <c r="A28" s="10"/>
      <c r="B28" s="26" t="s">
        <v>41</v>
      </c>
      <c r="C28" s="63">
        <f>AVERAGE(G28:J28)</f>
        <v>0.42348955364203916</v>
      </c>
      <c r="D28" s="26"/>
      <c r="E28" s="266" t="s">
        <v>325</v>
      </c>
      <c r="F28" s="26"/>
      <c r="G28" s="13">
        <f t="shared" ref="G28:Q28" si="11">IF(G$4="","",ABS(G23/G$4))</f>
        <v>0.40775062555923491</v>
      </c>
      <c r="H28" s="13">
        <f t="shared" si="11"/>
        <v>0.41685800119302091</v>
      </c>
      <c r="I28" s="13">
        <f t="shared" si="11"/>
        <v>0.44610936070914337</v>
      </c>
      <c r="J28" s="13">
        <f t="shared" si="11"/>
        <v>0.42324022710675752</v>
      </c>
      <c r="K28" s="13">
        <f t="shared" si="11"/>
        <v>0.44024108795357619</v>
      </c>
      <c r="L28" s="13">
        <f t="shared" si="11"/>
        <v>0.44126146936543548</v>
      </c>
      <c r="M28" s="13">
        <f t="shared" si="11"/>
        <v>0.44765486560154294</v>
      </c>
      <c r="N28" s="13">
        <f t="shared" si="11"/>
        <v>0.47199153247739584</v>
      </c>
      <c r="O28" s="13">
        <f t="shared" si="11"/>
        <v>0.48830357721746193</v>
      </c>
      <c r="P28" s="13">
        <f t="shared" si="11"/>
        <v>0.51606169889877473</v>
      </c>
      <c r="Q28" s="13" t="str">
        <f t="shared" si="11"/>
        <v/>
      </c>
    </row>
    <row r="29" spans="1:17" ht="15.75" customHeight="1">
      <c r="A29" s="10"/>
      <c r="B29" s="68" t="str">
        <f>B24</f>
        <v>Selling Expenses</v>
      </c>
      <c r="C29" s="63">
        <f>AVERAGE(G29:J29)</f>
        <v>0</v>
      </c>
      <c r="D29" s="26"/>
      <c r="E29" s="266" t="s">
        <v>325</v>
      </c>
      <c r="F29" s="26"/>
      <c r="G29" s="13">
        <f t="shared" ref="G29:Q29" si="12">IF(G$4="","",ABS(G24/G$4))</f>
        <v>0</v>
      </c>
      <c r="H29" s="13">
        <f t="shared" si="12"/>
        <v>0</v>
      </c>
      <c r="I29" s="13">
        <f t="shared" si="12"/>
        <v>0</v>
      </c>
      <c r="J29" s="13">
        <f t="shared" si="12"/>
        <v>0</v>
      </c>
      <c r="K29" s="13">
        <f t="shared" si="12"/>
        <v>0</v>
      </c>
      <c r="L29" s="13">
        <f t="shared" si="12"/>
        <v>0</v>
      </c>
      <c r="M29" s="13">
        <f t="shared" si="12"/>
        <v>0</v>
      </c>
      <c r="N29" s="13">
        <f t="shared" si="12"/>
        <v>0</v>
      </c>
      <c r="O29" s="13">
        <f t="shared" si="12"/>
        <v>0</v>
      </c>
      <c r="P29" s="13">
        <f t="shared" si="12"/>
        <v>0</v>
      </c>
      <c r="Q29" s="13" t="str">
        <f t="shared" si="12"/>
        <v/>
      </c>
    </row>
    <row r="30" spans="1:17" ht="15.75" customHeight="1">
      <c r="A30" s="10"/>
      <c r="B30" s="70" t="s">
        <v>44</v>
      </c>
      <c r="C30" s="71">
        <f>ABS(C25/$C$4)</f>
        <v>0.42348955364203922</v>
      </c>
      <c r="E30" s="268"/>
      <c r="G30" s="30">
        <f t="shared" ref="G30:Q30" si="13">IF(G$4="","",ABS(G25/G$4))</f>
        <v>0.40775062555923491</v>
      </c>
      <c r="H30" s="30">
        <f t="shared" si="13"/>
        <v>0.41685800119302091</v>
      </c>
      <c r="I30" s="30">
        <f t="shared" si="13"/>
        <v>0.44610936070914337</v>
      </c>
      <c r="J30" s="30">
        <f t="shared" si="13"/>
        <v>0.42324022710675752</v>
      </c>
      <c r="K30" s="30">
        <f t="shared" si="13"/>
        <v>0.44024108795357619</v>
      </c>
      <c r="L30" s="30">
        <f t="shared" si="13"/>
        <v>0.44126146936543548</v>
      </c>
      <c r="M30" s="30">
        <f t="shared" si="13"/>
        <v>0.44765486560154294</v>
      </c>
      <c r="N30" s="30">
        <f t="shared" si="13"/>
        <v>0.47199153247739584</v>
      </c>
      <c r="O30" s="30">
        <f t="shared" si="13"/>
        <v>0.48830357721746193</v>
      </c>
      <c r="P30" s="30">
        <f t="shared" si="13"/>
        <v>0.51606169889877473</v>
      </c>
      <c r="Q30" s="30" t="str">
        <f t="shared" si="13"/>
        <v/>
      </c>
    </row>
    <row r="31" spans="1:17" ht="15.75" customHeight="1">
      <c r="A31" s="10"/>
      <c r="E31" s="268"/>
    </row>
    <row r="32" spans="1:17" ht="15.75" customHeight="1">
      <c r="A32" s="10"/>
      <c r="B32" s="64" t="s">
        <v>43</v>
      </c>
      <c r="E32" s="268"/>
    </row>
    <row r="33" spans="1:17" ht="15.75" customHeight="1">
      <c r="A33" s="10"/>
      <c r="B33" s="8" t="s">
        <v>170</v>
      </c>
      <c r="C33" s="340">
        <f>G33</f>
        <v>-3762379</v>
      </c>
      <c r="E33" s="266" t="s">
        <v>325</v>
      </c>
      <c r="G33" s="328">
        <f>Data!C41</f>
        <v>-3762379</v>
      </c>
      <c r="H33" s="328">
        <f>Data!D41</f>
        <v>-3397218</v>
      </c>
      <c r="I33" s="328">
        <f>Data!E41</f>
        <v>-2757447</v>
      </c>
      <c r="J33" s="328">
        <f>Data!F41</f>
        <v>-2225034</v>
      </c>
      <c r="K33" s="328">
        <f>Data!G41</f>
        <v>-1609003</v>
      </c>
      <c r="L33" s="328">
        <f>Data!H41</f>
        <v>-1334276</v>
      </c>
      <c r="M33" s="328">
        <f>Data!I41</f>
        <v>-1110451</v>
      </c>
      <c r="N33" s="328">
        <f>Data!J41</f>
        <v>-904264</v>
      </c>
      <c r="O33" s="328">
        <f>Data!K41</f>
        <v>-778465</v>
      </c>
      <c r="P33" s="328">
        <f>Data!L41</f>
        <v>-628090</v>
      </c>
      <c r="Q33" s="328" t="str">
        <f>Data!M41</f>
        <v/>
      </c>
    </row>
    <row r="34" spans="1:17" ht="15.75" customHeight="1">
      <c r="A34" s="10"/>
      <c r="B34" s="27" t="s">
        <v>47</v>
      </c>
      <c r="C34" s="340">
        <f>AVERAGE(G34:J34)</f>
        <v>0</v>
      </c>
      <c r="D34" s="58"/>
      <c r="E34" s="266" t="s">
        <v>325</v>
      </c>
      <c r="F34" s="58"/>
      <c r="G34" s="333">
        <f>Data!C42</f>
        <v>0</v>
      </c>
      <c r="H34" s="333">
        <f>Data!D42</f>
        <v>0</v>
      </c>
      <c r="I34" s="333">
        <f>Data!E42</f>
        <v>0</v>
      </c>
      <c r="J34" s="333">
        <f>Data!F42</f>
        <v>0</v>
      </c>
      <c r="K34" s="333">
        <f>Data!G42</f>
        <v>0</v>
      </c>
      <c r="L34" s="333">
        <f>Data!H42</f>
        <v>0</v>
      </c>
      <c r="M34" s="333">
        <f>Data!I42</f>
        <v>0</v>
      </c>
      <c r="N34" s="333">
        <f>Data!J42</f>
        <v>0</v>
      </c>
      <c r="O34" s="333">
        <f>Data!K42</f>
        <v>0</v>
      </c>
      <c r="P34" s="333">
        <f>Data!L42</f>
        <v>0</v>
      </c>
      <c r="Q34" s="333" t="str">
        <f>Data!M42</f>
        <v/>
      </c>
    </row>
    <row r="35" spans="1:17" ht="15.75" customHeight="1">
      <c r="A35" s="10"/>
      <c r="B35" s="70" t="s">
        <v>43</v>
      </c>
      <c r="C35" s="329">
        <f>C33+C34</f>
        <v>-3762379</v>
      </c>
      <c r="D35" s="58"/>
      <c r="E35" s="267"/>
      <c r="F35" s="58"/>
      <c r="G35" s="329">
        <f t="shared" ref="G35:Q35" si="14">IF(G4="","",G33+G34)</f>
        <v>-3762379</v>
      </c>
      <c r="H35" s="329">
        <f t="shared" si="14"/>
        <v>-3397218</v>
      </c>
      <c r="I35" s="329">
        <f t="shared" si="14"/>
        <v>-2757447</v>
      </c>
      <c r="J35" s="329">
        <f t="shared" si="14"/>
        <v>-2225034</v>
      </c>
      <c r="K35" s="329">
        <f t="shared" si="14"/>
        <v>-1609003</v>
      </c>
      <c r="L35" s="329">
        <f t="shared" si="14"/>
        <v>-1334276</v>
      </c>
      <c r="M35" s="329">
        <f t="shared" si="14"/>
        <v>-1110451</v>
      </c>
      <c r="N35" s="329">
        <f t="shared" si="14"/>
        <v>-904264</v>
      </c>
      <c r="O35" s="329">
        <f t="shared" si="14"/>
        <v>-778465</v>
      </c>
      <c r="P35" s="329">
        <f t="shared" si="14"/>
        <v>-628090</v>
      </c>
      <c r="Q35" s="329" t="str">
        <f t="shared" si="14"/>
        <v/>
      </c>
    </row>
    <row r="36" spans="1:17" ht="15.75" customHeight="1">
      <c r="A36" s="10"/>
      <c r="E36" s="268"/>
    </row>
    <row r="37" spans="1:17" ht="15.75" customHeight="1">
      <c r="A37" s="10"/>
      <c r="B37" s="64" t="s">
        <v>203</v>
      </c>
      <c r="E37" s="268"/>
    </row>
    <row r="38" spans="1:17" ht="15.75" customHeight="1">
      <c r="A38" s="10"/>
      <c r="B38" s="2" t="str">
        <f>B33</f>
        <v>G&amp;A and other Opex</v>
      </c>
      <c r="C38" s="23">
        <f>ABS(C33/$C$4)</f>
        <v>0.37237628346520907</v>
      </c>
      <c r="D38" s="27"/>
      <c r="E38" s="265"/>
      <c r="F38" s="27"/>
      <c r="G38" s="13">
        <f t="shared" ref="G38:Q38" si="15">IF(G$4="","",ABS(G33/G$4))</f>
        <v>0.35533946233733904</v>
      </c>
      <c r="H38" s="13">
        <f t="shared" si="15"/>
        <v>0.35316767017233519</v>
      </c>
      <c r="I38" s="13">
        <f t="shared" si="15"/>
        <v>0.33998407993176266</v>
      </c>
      <c r="J38" s="13">
        <f t="shared" si="15"/>
        <v>0.35562892854077532</v>
      </c>
      <c r="K38" s="13">
        <f t="shared" si="15"/>
        <v>0.36552640361082167</v>
      </c>
      <c r="L38" s="13">
        <f t="shared" si="15"/>
        <v>0.33530453627978418</v>
      </c>
      <c r="M38" s="13">
        <f t="shared" si="15"/>
        <v>0.33769564327548512</v>
      </c>
      <c r="N38" s="13">
        <f t="shared" si="15"/>
        <v>0.34133719062608409</v>
      </c>
      <c r="O38" s="13">
        <f t="shared" si="15"/>
        <v>0.33205411040474458</v>
      </c>
      <c r="P38" s="13">
        <f t="shared" si="15"/>
        <v>0.30482066931550872</v>
      </c>
      <c r="Q38" s="13" t="str">
        <f t="shared" si="15"/>
        <v/>
      </c>
    </row>
    <row r="39" spans="1:17" ht="15.75" customHeight="1">
      <c r="A39" s="10"/>
      <c r="B39" s="27" t="str">
        <f>B34</f>
        <v>R&amp;D</v>
      </c>
      <c r="C39" s="23">
        <f>ABS(C34/$C$4)</f>
        <v>0</v>
      </c>
      <c r="D39" s="27"/>
      <c r="E39" s="265"/>
      <c r="F39" s="27"/>
      <c r="G39" s="13">
        <f t="shared" ref="G39:Q39" si="16">IF(G$4="","",ABS(G34/G$4))</f>
        <v>0</v>
      </c>
      <c r="H39" s="13">
        <f t="shared" si="16"/>
        <v>0</v>
      </c>
      <c r="I39" s="13">
        <f t="shared" si="16"/>
        <v>0</v>
      </c>
      <c r="J39" s="13">
        <f t="shared" si="16"/>
        <v>0</v>
      </c>
      <c r="K39" s="13">
        <f t="shared" si="16"/>
        <v>0</v>
      </c>
      <c r="L39" s="13">
        <f t="shared" si="16"/>
        <v>0</v>
      </c>
      <c r="M39" s="13">
        <f t="shared" si="16"/>
        <v>0</v>
      </c>
      <c r="N39" s="13">
        <f t="shared" si="16"/>
        <v>0</v>
      </c>
      <c r="O39" s="13">
        <f t="shared" si="16"/>
        <v>0</v>
      </c>
      <c r="P39" s="13">
        <f t="shared" si="16"/>
        <v>0</v>
      </c>
      <c r="Q39" s="13" t="str">
        <f t="shared" si="16"/>
        <v/>
      </c>
    </row>
    <row r="40" spans="1:17" ht="15.75" customHeight="1">
      <c r="A40" s="10"/>
      <c r="B40" s="70" t="s">
        <v>43</v>
      </c>
      <c r="C40" s="71">
        <f>ABS(C35/$C$4)</f>
        <v>0.37237628346520907</v>
      </c>
      <c r="E40" s="268"/>
      <c r="G40" s="30">
        <f t="shared" ref="G40:Q40" si="17">IF(G$4="","",ABS(G35/G$4))</f>
        <v>0.35533946233733904</v>
      </c>
      <c r="H40" s="30">
        <f t="shared" si="17"/>
        <v>0.35316767017233519</v>
      </c>
      <c r="I40" s="30">
        <f t="shared" si="17"/>
        <v>0.33998407993176266</v>
      </c>
      <c r="J40" s="30">
        <f t="shared" si="17"/>
        <v>0.35562892854077532</v>
      </c>
      <c r="K40" s="30">
        <f t="shared" si="17"/>
        <v>0.36552640361082167</v>
      </c>
      <c r="L40" s="30">
        <f t="shared" si="17"/>
        <v>0.33530453627978418</v>
      </c>
      <c r="M40" s="30">
        <f t="shared" si="17"/>
        <v>0.33769564327548512</v>
      </c>
      <c r="N40" s="30">
        <f t="shared" si="17"/>
        <v>0.34133719062608409</v>
      </c>
      <c r="O40" s="30">
        <f t="shared" si="17"/>
        <v>0.33205411040474458</v>
      </c>
      <c r="P40" s="30">
        <f t="shared" si="17"/>
        <v>0.30482066931550872</v>
      </c>
      <c r="Q40" s="30" t="str">
        <f t="shared" si="17"/>
        <v/>
      </c>
    </row>
    <row r="41" spans="1:17" ht="15.75" customHeight="1">
      <c r="A41" s="10"/>
      <c r="E41" s="268"/>
    </row>
    <row r="42" spans="1:17" ht="15.75" customHeight="1">
      <c r="A42" s="10"/>
      <c r="B42" s="64" t="s">
        <v>204</v>
      </c>
      <c r="E42" s="268"/>
    </row>
    <row r="43" spans="1:17" ht="15.75" customHeight="1">
      <c r="A43" s="10"/>
      <c r="B43" s="27" t="s">
        <v>167</v>
      </c>
      <c r="C43" s="263">
        <v>0.25769999999999998</v>
      </c>
      <c r="D43" s="27"/>
      <c r="E43" s="265" t="s">
        <v>326</v>
      </c>
      <c r="F43" s="27"/>
      <c r="G43" s="6">
        <f t="shared" ref="G43:Q43" si="18">IF(G$4="","",-G14/SUM(G8+G11,G12))</f>
        <v>0.30356055097367601</v>
      </c>
      <c r="H43" s="6">
        <f t="shared" si="18"/>
        <v>0.28277220687039567</v>
      </c>
      <c r="I43" s="6">
        <f t="shared" si="18"/>
        <v>0.27538931795793747</v>
      </c>
      <c r="J43" s="6">
        <f t="shared" si="18"/>
        <v>0.2591535715498966</v>
      </c>
      <c r="K43" s="6">
        <f t="shared" si="18"/>
        <v>0.26952074181158098</v>
      </c>
      <c r="L43" s="6">
        <f t="shared" si="18"/>
        <v>0.28320117870679667</v>
      </c>
      <c r="M43" s="6">
        <f t="shared" si="18"/>
        <v>0.32790761593344631</v>
      </c>
      <c r="N43" s="6">
        <f t="shared" si="18"/>
        <v>0.40712925104039022</v>
      </c>
      <c r="O43" s="6">
        <f t="shared" si="18"/>
        <v>0.28338462122938984</v>
      </c>
      <c r="P43" s="6">
        <f t="shared" si="18"/>
        <v>0.27757968548483242</v>
      </c>
      <c r="Q43" s="6" t="str">
        <f t="shared" si="18"/>
        <v/>
      </c>
    </row>
    <row r="44" spans="1:17" ht="15.75" customHeight="1">
      <c r="A44" s="10"/>
    </row>
    <row r="45" spans="1:17" ht="15.75" customHeight="1">
      <c r="A45" s="10"/>
      <c r="B45" s="54" t="s">
        <v>205</v>
      </c>
      <c r="C45" s="54"/>
      <c r="D45" s="56"/>
      <c r="E45" s="66" t="s">
        <v>57</v>
      </c>
      <c r="F45" s="56"/>
      <c r="G45" s="37"/>
      <c r="H45" s="37"/>
      <c r="I45" s="37"/>
      <c r="J45" s="37"/>
      <c r="K45" s="37"/>
      <c r="L45" s="37"/>
      <c r="M45" s="37"/>
      <c r="N45" s="37"/>
      <c r="O45" s="37"/>
      <c r="P45" s="37"/>
      <c r="Q45" s="37"/>
    </row>
    <row r="46" spans="1:17" ht="15.75" customHeight="1">
      <c r="A46" s="10"/>
      <c r="B46" s="64" t="s">
        <v>58</v>
      </c>
      <c r="E46" s="268"/>
    </row>
    <row r="47" spans="1:17" ht="15.75" customHeight="1">
      <c r="A47" s="10"/>
      <c r="B47" s="2" t="s">
        <v>37</v>
      </c>
      <c r="C47" s="328">
        <f>-BS!G31*Normalized_FCF!C54</f>
        <v>0</v>
      </c>
      <c r="E47" s="268"/>
      <c r="G47" s="328">
        <f>Data!C51</f>
        <v>0</v>
      </c>
      <c r="H47" s="328">
        <f>Data!D51</f>
        <v>0</v>
      </c>
      <c r="I47" s="328">
        <f>Data!E51</f>
        <v>0</v>
      </c>
      <c r="J47" s="328">
        <f>Data!F51</f>
        <v>0</v>
      </c>
      <c r="K47" s="328">
        <f>Data!G51</f>
        <v>0</v>
      </c>
      <c r="L47" s="328">
        <f>Data!H51</f>
        <v>0</v>
      </c>
      <c r="M47" s="328">
        <f>Data!I51</f>
        <v>0</v>
      </c>
      <c r="N47" s="328">
        <f>Data!J51</f>
        <v>0</v>
      </c>
      <c r="O47" s="328">
        <f>Data!K51</f>
        <v>0</v>
      </c>
      <c r="P47" s="328">
        <f>Data!L51</f>
        <v>0</v>
      </c>
      <c r="Q47" s="328" t="str">
        <f>Data!M51</f>
        <v/>
      </c>
    </row>
    <row r="48" spans="1:17" ht="15.75" customHeight="1">
      <c r="A48" s="10"/>
      <c r="B48" s="2" t="s">
        <v>337</v>
      </c>
      <c r="C48" s="328">
        <f>BS!D75*C53</f>
        <v>0</v>
      </c>
      <c r="E48" s="268"/>
      <c r="G48" s="337">
        <f>IFERROR(IF(G$4="","",($C$48/$C$49)*G49),0)</f>
        <v>0</v>
      </c>
      <c r="H48" s="337">
        <f t="shared" ref="H48:Q48" si="19">IFERROR(IF(H$4="","",($C$48/$C$49)*H49),0)</f>
        <v>0</v>
      </c>
      <c r="I48" s="337">
        <f t="shared" si="19"/>
        <v>0</v>
      </c>
      <c r="J48" s="337">
        <f t="shared" si="19"/>
        <v>0</v>
      </c>
      <c r="K48" s="337">
        <f t="shared" si="19"/>
        <v>0</v>
      </c>
      <c r="L48" s="337">
        <f t="shared" si="19"/>
        <v>0</v>
      </c>
      <c r="M48" s="337">
        <f t="shared" si="19"/>
        <v>0</v>
      </c>
      <c r="N48" s="337">
        <f t="shared" si="19"/>
        <v>0</v>
      </c>
      <c r="O48" s="337">
        <f t="shared" si="19"/>
        <v>0</v>
      </c>
      <c r="P48" s="337">
        <f t="shared" si="19"/>
        <v>0</v>
      </c>
      <c r="Q48" s="337" t="str">
        <f t="shared" si="19"/>
        <v/>
      </c>
    </row>
    <row r="49" spans="1:17" ht="15.75" customHeight="1">
      <c r="A49" s="10"/>
      <c r="B49" s="287" t="s">
        <v>334</v>
      </c>
      <c r="C49" s="342">
        <f>BS!$C$66*C53</f>
        <v>0</v>
      </c>
      <c r="D49" s="288"/>
      <c r="E49" s="289"/>
      <c r="F49" s="288"/>
      <c r="G49" s="342">
        <f>Data!C52</f>
        <v>0</v>
      </c>
      <c r="H49" s="342">
        <f>Data!D52</f>
        <v>0</v>
      </c>
      <c r="I49" s="342">
        <f>Data!E52</f>
        <v>0</v>
      </c>
      <c r="J49" s="342">
        <f>Data!F52</f>
        <v>0</v>
      </c>
      <c r="K49" s="342">
        <f>Data!G52</f>
        <v>0</v>
      </c>
      <c r="L49" s="342">
        <f>Data!H52</f>
        <v>0</v>
      </c>
      <c r="M49" s="342">
        <f>Data!I52</f>
        <v>0</v>
      </c>
      <c r="N49" s="342">
        <f>Data!J52</f>
        <v>0</v>
      </c>
      <c r="O49" s="342">
        <f>Data!K52</f>
        <v>0</v>
      </c>
      <c r="P49" s="342">
        <f>Data!L52</f>
        <v>0</v>
      </c>
      <c r="Q49" s="342" t="str">
        <f>Data!M52</f>
        <v/>
      </c>
    </row>
    <row r="50" spans="1:17" ht="15.75" customHeight="1">
      <c r="A50" s="10"/>
      <c r="B50" s="70" t="s">
        <v>66</v>
      </c>
      <c r="C50" s="329">
        <f>C47+C48</f>
        <v>0</v>
      </c>
      <c r="E50" s="268"/>
      <c r="G50" s="329">
        <f>IF(G$4="","",(G47+G48))</f>
        <v>0</v>
      </c>
      <c r="H50" s="329">
        <f t="shared" ref="H50:Q50" si="20">IF(H$4="","",(H47+H48))</f>
        <v>0</v>
      </c>
      <c r="I50" s="329">
        <f t="shared" si="20"/>
        <v>0</v>
      </c>
      <c r="J50" s="329">
        <f t="shared" si="20"/>
        <v>0</v>
      </c>
      <c r="K50" s="329">
        <f t="shared" si="20"/>
        <v>0</v>
      </c>
      <c r="L50" s="329">
        <f t="shared" si="20"/>
        <v>0</v>
      </c>
      <c r="M50" s="329">
        <f t="shared" si="20"/>
        <v>0</v>
      </c>
      <c r="N50" s="329">
        <f t="shared" si="20"/>
        <v>0</v>
      </c>
      <c r="O50" s="329">
        <f t="shared" si="20"/>
        <v>0</v>
      </c>
      <c r="P50" s="329">
        <f t="shared" si="20"/>
        <v>0</v>
      </c>
      <c r="Q50" s="329" t="str">
        <f t="shared" si="20"/>
        <v/>
      </c>
    </row>
    <row r="51" spans="1:17" ht="15.75" customHeight="1">
      <c r="A51" s="10"/>
      <c r="E51" s="268"/>
    </row>
    <row r="52" spans="1:17" ht="15.75" customHeight="1">
      <c r="A52" s="10"/>
      <c r="B52" s="72" t="s">
        <v>151</v>
      </c>
      <c r="E52" s="268"/>
      <c r="G52" s="97" t="s">
        <v>215</v>
      </c>
    </row>
    <row r="53" spans="1:17" ht="15.75" customHeight="1">
      <c r="A53" s="10"/>
      <c r="B53" s="8" t="s">
        <v>86</v>
      </c>
      <c r="C53" s="87">
        <v>0</v>
      </c>
      <c r="E53" s="265" t="s">
        <v>327</v>
      </c>
      <c r="G53" s="6">
        <f>IF(Normalized_FCF!G4="","",Normalized_FCF!G49/BS!$C$66)</f>
        <v>0</v>
      </c>
      <c r="H53" s="169"/>
      <c r="I53" s="169"/>
      <c r="J53" s="169"/>
      <c r="K53" s="169"/>
      <c r="L53" s="169"/>
      <c r="M53" s="169"/>
      <c r="N53" s="169"/>
      <c r="O53" s="169"/>
      <c r="P53" s="169"/>
      <c r="Q53" s="169"/>
    </row>
    <row r="54" spans="1:17" ht="15.75" customHeight="1">
      <c r="A54" s="10"/>
      <c r="B54" s="8" t="s">
        <v>85</v>
      </c>
      <c r="C54" s="82">
        <f>G54</f>
        <v>0</v>
      </c>
      <c r="E54" s="265" t="s">
        <v>328</v>
      </c>
      <c r="G54" s="23">
        <f>IFERROR(ABS(Normalized_FCF!G47/BS!$G$31),0)</f>
        <v>0</v>
      </c>
      <c r="H54" s="169"/>
      <c r="I54" s="169"/>
      <c r="J54" s="169"/>
      <c r="K54" s="169"/>
      <c r="L54" s="169"/>
      <c r="M54" s="169"/>
      <c r="N54" s="169"/>
      <c r="O54" s="169"/>
      <c r="P54" s="169"/>
      <c r="Q54" s="169"/>
    </row>
    <row r="55" spans="1:17" ht="15.75" customHeight="1">
      <c r="A55" s="10"/>
      <c r="B55" s="26" t="s">
        <v>88</v>
      </c>
      <c r="C55" s="42" t="e">
        <f>-C8/C47</f>
        <v>#DIV/0!</v>
      </c>
      <c r="E55" s="268"/>
      <c r="G55" s="42" t="e">
        <f t="shared" ref="G55:Q55" si="21">IF(G4="","",-G8/G47)</f>
        <v>#DIV/0!</v>
      </c>
      <c r="H55" s="42" t="e">
        <f t="shared" si="21"/>
        <v>#DIV/0!</v>
      </c>
      <c r="I55" s="42" t="e">
        <f t="shared" si="21"/>
        <v>#DIV/0!</v>
      </c>
      <c r="J55" s="42" t="e">
        <f t="shared" si="21"/>
        <v>#DIV/0!</v>
      </c>
      <c r="K55" s="42" t="e">
        <f t="shared" si="21"/>
        <v>#DIV/0!</v>
      </c>
      <c r="L55" s="42" t="e">
        <f t="shared" si="21"/>
        <v>#DIV/0!</v>
      </c>
      <c r="M55" s="42" t="e">
        <f t="shared" si="21"/>
        <v>#DIV/0!</v>
      </c>
      <c r="N55" s="42" t="e">
        <f t="shared" si="21"/>
        <v>#DIV/0!</v>
      </c>
      <c r="O55" s="42" t="e">
        <f t="shared" si="21"/>
        <v>#DIV/0!</v>
      </c>
      <c r="P55" s="42" t="e">
        <f t="shared" si="21"/>
        <v>#DIV/0!</v>
      </c>
      <c r="Q55" s="42" t="str">
        <f t="shared" si="21"/>
        <v/>
      </c>
    </row>
    <row r="56" spans="1:17" ht="15.75" customHeight="1">
      <c r="A56" s="10"/>
      <c r="E56" s="268"/>
    </row>
    <row r="57" spans="1:17" ht="15.75" customHeight="1">
      <c r="A57" s="10"/>
      <c r="B57" s="64" t="s">
        <v>164</v>
      </c>
      <c r="E57" s="268"/>
      <c r="G57" s="97" t="s">
        <v>215</v>
      </c>
    </row>
    <row r="58" spans="1:17" ht="15.75" customHeight="1">
      <c r="A58" s="10"/>
      <c r="B58" s="40" t="s">
        <v>163</v>
      </c>
      <c r="C58" s="328">
        <f>BS!$C67*C66</f>
        <v>0</v>
      </c>
      <c r="E58" s="268"/>
      <c r="G58" s="328">
        <f>Data!C56</f>
        <v>0</v>
      </c>
      <c r="H58" s="328">
        <f>Data!D56</f>
        <v>0</v>
      </c>
      <c r="I58" s="328">
        <f>Data!E56</f>
        <v>0</v>
      </c>
      <c r="J58" s="328">
        <f>Data!F56</f>
        <v>0</v>
      </c>
      <c r="K58" s="328">
        <f>Data!G56</f>
        <v>0</v>
      </c>
      <c r="L58" s="328">
        <f>Data!H56</f>
        <v>0</v>
      </c>
      <c r="M58" s="328">
        <f>Data!I56</f>
        <v>0</v>
      </c>
      <c r="N58" s="328">
        <f>Data!J56</f>
        <v>0</v>
      </c>
      <c r="O58" s="328">
        <f>Data!K56</f>
        <v>0</v>
      </c>
      <c r="P58" s="328">
        <f>Data!L56</f>
        <v>0</v>
      </c>
      <c r="Q58" s="328" t="str">
        <f>Data!M56</f>
        <v/>
      </c>
    </row>
    <row r="59" spans="1:17" ht="15.75" customHeight="1">
      <c r="A59" s="10"/>
      <c r="B59" s="40" t="s">
        <v>155</v>
      </c>
      <c r="C59" s="328">
        <f>BS!$C68*C67</f>
        <v>0</v>
      </c>
      <c r="E59" s="268"/>
      <c r="G59" s="328">
        <f>Data!C55</f>
        <v>0</v>
      </c>
      <c r="H59" s="328">
        <f>Data!D55</f>
        <v>0</v>
      </c>
      <c r="I59" s="328">
        <f>Data!E55</f>
        <v>0</v>
      </c>
      <c r="J59" s="328">
        <f>Data!F55</f>
        <v>0</v>
      </c>
      <c r="K59" s="328">
        <f>Data!G55</f>
        <v>0</v>
      </c>
      <c r="L59" s="328">
        <f>Data!H55</f>
        <v>0</v>
      </c>
      <c r="M59" s="328">
        <f>Data!I55</f>
        <v>0</v>
      </c>
      <c r="N59" s="328">
        <f>Data!J55</f>
        <v>0</v>
      </c>
      <c r="O59" s="328">
        <f>Data!K55</f>
        <v>0</v>
      </c>
      <c r="P59" s="328">
        <f>Data!L55</f>
        <v>0</v>
      </c>
      <c r="Q59" s="328" t="str">
        <f>Data!M55</f>
        <v/>
      </c>
    </row>
    <row r="60" spans="1:17" ht="15.75" customHeight="1">
      <c r="A60" s="10"/>
      <c r="B60" s="40" t="s">
        <v>154</v>
      </c>
      <c r="C60" s="328">
        <f>BS!$C69*C68</f>
        <v>0</v>
      </c>
      <c r="E60" s="268"/>
      <c r="G60" s="328">
        <f>Data!C57</f>
        <v>0</v>
      </c>
      <c r="H60" s="328">
        <f>Data!D57</f>
        <v>0</v>
      </c>
      <c r="I60" s="328">
        <f>Data!E57</f>
        <v>0</v>
      </c>
      <c r="J60" s="328">
        <f>Data!F57</f>
        <v>0</v>
      </c>
      <c r="K60" s="328">
        <f>Data!G57</f>
        <v>0</v>
      </c>
      <c r="L60" s="328">
        <f>Data!H57</f>
        <v>0</v>
      </c>
      <c r="M60" s="328">
        <f>Data!I57</f>
        <v>0</v>
      </c>
      <c r="N60" s="328">
        <f>Data!J57</f>
        <v>0</v>
      </c>
      <c r="O60" s="328">
        <f>Data!K57</f>
        <v>0</v>
      </c>
      <c r="P60" s="328">
        <f>Data!L57</f>
        <v>0</v>
      </c>
      <c r="Q60" s="328" t="str">
        <f>Data!M57</f>
        <v/>
      </c>
    </row>
    <row r="61" spans="1:17" ht="15.75" customHeight="1">
      <c r="A61" s="10"/>
      <c r="B61" s="31" t="s">
        <v>190</v>
      </c>
      <c r="C61" s="329">
        <f>SUM(C58:C60)</f>
        <v>0</v>
      </c>
      <c r="E61" s="268"/>
      <c r="G61" s="329">
        <f t="shared" ref="G61:Q61" si="22">IF(G4="","",SUM(G58:G60))</f>
        <v>0</v>
      </c>
      <c r="H61" s="329">
        <f t="shared" si="22"/>
        <v>0</v>
      </c>
      <c r="I61" s="329">
        <f t="shared" si="22"/>
        <v>0</v>
      </c>
      <c r="J61" s="329">
        <f t="shared" si="22"/>
        <v>0</v>
      </c>
      <c r="K61" s="329">
        <f t="shared" si="22"/>
        <v>0</v>
      </c>
      <c r="L61" s="329">
        <f t="shared" si="22"/>
        <v>0</v>
      </c>
      <c r="M61" s="329">
        <f t="shared" si="22"/>
        <v>0</v>
      </c>
      <c r="N61" s="329">
        <f t="shared" si="22"/>
        <v>0</v>
      </c>
      <c r="O61" s="329">
        <f t="shared" si="22"/>
        <v>0</v>
      </c>
      <c r="P61" s="329">
        <f t="shared" si="22"/>
        <v>0</v>
      </c>
      <c r="Q61" s="329" t="str">
        <f t="shared" si="22"/>
        <v/>
      </c>
    </row>
    <row r="62" spans="1:17" ht="15.75" customHeight="1">
      <c r="A62" s="10"/>
      <c r="B62" s="40" t="s">
        <v>156</v>
      </c>
      <c r="C62" s="343">
        <v>0</v>
      </c>
      <c r="E62" s="266" t="s">
        <v>329</v>
      </c>
      <c r="G62" s="328">
        <f>Data!C58</f>
        <v>67645</v>
      </c>
      <c r="H62" s="328">
        <f>Data!D58</f>
        <v>-36452</v>
      </c>
      <c r="I62" s="328">
        <f>Data!E58</f>
        <v>-402322</v>
      </c>
      <c r="J62" s="328">
        <f>Data!F58</f>
        <v>-49662</v>
      </c>
      <c r="K62" s="328">
        <f>Data!G58</f>
        <v>-35638</v>
      </c>
      <c r="L62" s="328">
        <f>Data!H58</f>
        <v>8283</v>
      </c>
      <c r="M62" s="328">
        <f>Data!I58</f>
        <v>9414</v>
      </c>
      <c r="N62" s="328">
        <f>Data!J58</f>
        <v>-34528</v>
      </c>
      <c r="O62" s="328">
        <f>Data!K58</f>
        <v>1577</v>
      </c>
      <c r="P62" s="328">
        <f>Data!L58</f>
        <v>-581</v>
      </c>
      <c r="Q62" s="328" t="str">
        <f>Data!M58</f>
        <v/>
      </c>
    </row>
    <row r="63" spans="1:17" ht="15.75" customHeight="1">
      <c r="A63" s="10"/>
      <c r="B63" s="31" t="s">
        <v>191</v>
      </c>
      <c r="C63" s="329">
        <f>C61+C62</f>
        <v>0</v>
      </c>
      <c r="E63" s="268"/>
      <c r="G63" s="329">
        <f t="shared" ref="G63:Q63" si="23">IF(G4="","",G61+G62)</f>
        <v>67645</v>
      </c>
      <c r="H63" s="329">
        <f t="shared" si="23"/>
        <v>-36452</v>
      </c>
      <c r="I63" s="329">
        <f t="shared" si="23"/>
        <v>-402322</v>
      </c>
      <c r="J63" s="329">
        <f t="shared" si="23"/>
        <v>-49662</v>
      </c>
      <c r="K63" s="329">
        <f t="shared" si="23"/>
        <v>-35638</v>
      </c>
      <c r="L63" s="329">
        <f t="shared" si="23"/>
        <v>8283</v>
      </c>
      <c r="M63" s="329">
        <f t="shared" si="23"/>
        <v>9414</v>
      </c>
      <c r="N63" s="329">
        <f t="shared" si="23"/>
        <v>-34528</v>
      </c>
      <c r="O63" s="329">
        <f t="shared" si="23"/>
        <v>1577</v>
      </c>
      <c r="P63" s="329">
        <f t="shared" si="23"/>
        <v>-581</v>
      </c>
      <c r="Q63" s="329" t="str">
        <f t="shared" si="23"/>
        <v/>
      </c>
    </row>
    <row r="64" spans="1:17" ht="15.75" customHeight="1">
      <c r="A64" s="10"/>
      <c r="E64" s="268"/>
    </row>
    <row r="65" spans="1:17" ht="15.75" customHeight="1">
      <c r="A65" s="10"/>
      <c r="B65" s="96" t="s">
        <v>165</v>
      </c>
      <c r="E65" s="268"/>
      <c r="G65" s="97" t="s">
        <v>215</v>
      </c>
    </row>
    <row r="66" spans="1:17" ht="15.75" customHeight="1">
      <c r="A66" s="10"/>
      <c r="B66" s="40" t="s">
        <v>163</v>
      </c>
      <c r="C66" s="176">
        <f>G66</f>
        <v>0</v>
      </c>
      <c r="E66" s="268"/>
      <c r="G66" s="23">
        <f>IFERROR(G58/BS!$C$67,0)</f>
        <v>0</v>
      </c>
      <c r="H66" s="175"/>
      <c r="I66" s="175"/>
      <c r="J66" s="175"/>
      <c r="K66" s="175"/>
      <c r="L66" s="175"/>
      <c r="M66" s="175"/>
      <c r="N66" s="175"/>
      <c r="O66" s="175"/>
      <c r="P66" s="175"/>
      <c r="Q66" s="175"/>
    </row>
    <row r="67" spans="1:17" ht="15.75" customHeight="1">
      <c r="A67" s="10"/>
      <c r="B67" s="105" t="s">
        <v>153</v>
      </c>
      <c r="C67" s="176">
        <f>G67</f>
        <v>0</v>
      </c>
      <c r="E67" s="268"/>
      <c r="G67" s="23">
        <f>IFERROR(G59/BS!$C$68,0)</f>
        <v>0</v>
      </c>
      <c r="H67" s="175"/>
      <c r="I67" s="175"/>
      <c r="J67" s="175"/>
      <c r="K67" s="175"/>
      <c r="L67" s="175"/>
      <c r="M67" s="175"/>
      <c r="N67" s="175"/>
      <c r="O67" s="175"/>
      <c r="P67" s="175"/>
      <c r="Q67" s="175"/>
    </row>
    <row r="68" spans="1:17" ht="15.75" customHeight="1">
      <c r="A68" s="10"/>
      <c r="B68" s="105" t="s">
        <v>154</v>
      </c>
      <c r="C68" s="176">
        <f>G68</f>
        <v>0</v>
      </c>
      <c r="E68" s="268"/>
      <c r="G68" s="23">
        <f>IFERROR(G60/BS!$C$69,0)</f>
        <v>0</v>
      </c>
      <c r="H68" s="175"/>
      <c r="I68" s="175"/>
      <c r="J68" s="175"/>
      <c r="K68" s="175"/>
      <c r="L68" s="175"/>
      <c r="M68" s="175"/>
      <c r="N68" s="175"/>
      <c r="O68" s="175"/>
      <c r="P68" s="175"/>
      <c r="Q68" s="175"/>
    </row>
    <row r="69" spans="1:17" ht="15.75" customHeight="1">
      <c r="A69" s="10"/>
      <c r="B69" s="31" t="s">
        <v>190</v>
      </c>
      <c r="C69" s="71">
        <f>C61/BS!C70</f>
        <v>0</v>
      </c>
      <c r="D69" s="9"/>
      <c r="E69" s="273"/>
      <c r="F69" s="9"/>
      <c r="G69" s="71">
        <f>G61/BS!C70</f>
        <v>0</v>
      </c>
      <c r="H69" s="175"/>
      <c r="I69" s="175"/>
      <c r="J69" s="175"/>
      <c r="K69" s="175"/>
      <c r="L69" s="175"/>
      <c r="M69" s="175"/>
      <c r="N69" s="175"/>
      <c r="O69" s="175"/>
      <c r="P69" s="175"/>
      <c r="Q69" s="175"/>
    </row>
    <row r="70" spans="1:17" ht="15.75" customHeight="1">
      <c r="A70" s="10"/>
    </row>
    <row r="71" spans="1:17" ht="15.75" customHeight="1">
      <c r="A71" s="10"/>
      <c r="B71" s="54" t="s">
        <v>208</v>
      </c>
      <c r="C71" s="54"/>
      <c r="D71" s="56"/>
      <c r="E71" s="66" t="s">
        <v>57</v>
      </c>
      <c r="F71" s="56"/>
      <c r="G71" s="37"/>
      <c r="H71" s="37"/>
      <c r="I71" s="37"/>
      <c r="J71" s="37"/>
      <c r="K71" s="37"/>
      <c r="L71" s="37"/>
      <c r="M71" s="37"/>
      <c r="N71" s="37"/>
      <c r="O71" s="37"/>
      <c r="P71" s="37"/>
      <c r="Q71" s="37"/>
    </row>
    <row r="72" spans="1:17" ht="15.75" customHeight="1">
      <c r="A72" s="10"/>
      <c r="B72" s="72" t="s">
        <v>212</v>
      </c>
      <c r="C72" s="62"/>
      <c r="D72" s="27"/>
      <c r="E72" s="265"/>
      <c r="F72" s="27"/>
      <c r="G72" s="97"/>
      <c r="H72" s="12"/>
      <c r="I72" s="12"/>
      <c r="J72" s="12"/>
      <c r="K72" s="12"/>
      <c r="L72" s="12"/>
      <c r="M72" s="12"/>
      <c r="N72" s="12"/>
      <c r="O72" s="12"/>
      <c r="P72" s="12"/>
      <c r="Q72" s="12"/>
    </row>
    <row r="73" spans="1:17" ht="15.75" customHeight="1">
      <c r="A73" s="10"/>
      <c r="B73" s="2" t="s">
        <v>44</v>
      </c>
      <c r="C73" s="77">
        <f>ABS(C5/C$4)</f>
        <v>0.42348955364203922</v>
      </c>
      <c r="D73" s="27"/>
      <c r="E73" s="265"/>
      <c r="F73" s="27"/>
      <c r="G73" s="6">
        <f t="shared" ref="G73:Q73" si="24">IF(G$4="","",ABS(G5/G$4))</f>
        <v>0.40775062555923491</v>
      </c>
      <c r="H73" s="6">
        <f t="shared" si="24"/>
        <v>0.41685800119302091</v>
      </c>
      <c r="I73" s="6">
        <f t="shared" si="24"/>
        <v>0.44610936070914337</v>
      </c>
      <c r="J73" s="6">
        <f t="shared" si="24"/>
        <v>0.42324022710675752</v>
      </c>
      <c r="K73" s="6">
        <f t="shared" si="24"/>
        <v>0.44024108795357619</v>
      </c>
      <c r="L73" s="6">
        <f t="shared" si="24"/>
        <v>0.44126146936543548</v>
      </c>
      <c r="M73" s="6">
        <f t="shared" si="24"/>
        <v>0.44765486560154294</v>
      </c>
      <c r="N73" s="6">
        <f t="shared" si="24"/>
        <v>0.47199153247739584</v>
      </c>
      <c r="O73" s="6">
        <f t="shared" si="24"/>
        <v>0.48830357721746193</v>
      </c>
      <c r="P73" s="6">
        <f t="shared" si="24"/>
        <v>0.51606169889877473</v>
      </c>
      <c r="Q73" s="6" t="str">
        <f t="shared" si="24"/>
        <v/>
      </c>
    </row>
    <row r="74" spans="1:17" ht="15.75" customHeight="1">
      <c r="A74" s="10"/>
      <c r="B74" s="31" t="s">
        <v>46</v>
      </c>
      <c r="C74" s="78">
        <f>ABS(C6/C$4)</f>
        <v>0.57651044635796078</v>
      </c>
      <c r="D74" s="27"/>
      <c r="E74" s="265"/>
      <c r="F74" s="27"/>
      <c r="G74" s="65">
        <f t="shared" ref="G74:Q74" si="25">IF(G$4="","",ABS(G6/G$4))</f>
        <v>0.59224937444076509</v>
      </c>
      <c r="H74" s="65">
        <f t="shared" si="25"/>
        <v>0.58314199880697903</v>
      </c>
      <c r="I74" s="65">
        <f t="shared" si="25"/>
        <v>0.55389063929085669</v>
      </c>
      <c r="J74" s="65">
        <f t="shared" si="25"/>
        <v>0.57675977289324243</v>
      </c>
      <c r="K74" s="65">
        <f t="shared" si="25"/>
        <v>0.55975891204642381</v>
      </c>
      <c r="L74" s="65">
        <f t="shared" si="25"/>
        <v>0.55873853063456447</v>
      </c>
      <c r="M74" s="65">
        <f t="shared" si="25"/>
        <v>0.55234513439845712</v>
      </c>
      <c r="N74" s="65">
        <f t="shared" si="25"/>
        <v>0.52800846752260411</v>
      </c>
      <c r="O74" s="65">
        <f t="shared" si="25"/>
        <v>0.51169642278253802</v>
      </c>
      <c r="P74" s="65">
        <f t="shared" si="25"/>
        <v>0.48393830110122527</v>
      </c>
      <c r="Q74" s="65" t="str">
        <f t="shared" si="25"/>
        <v/>
      </c>
    </row>
    <row r="75" spans="1:17" ht="15.75" customHeight="1">
      <c r="A75" s="10"/>
      <c r="B75" s="8" t="s">
        <v>43</v>
      </c>
      <c r="C75" s="77">
        <f>ABS(C7/C$4)</f>
        <v>0.37237628346520907</v>
      </c>
      <c r="D75" s="27"/>
      <c r="E75" s="265"/>
      <c r="F75" s="27"/>
      <c r="G75" s="6">
        <f t="shared" ref="G75:Q75" si="26">IF(G$4="","",ABS(G7/G$4))</f>
        <v>0.35533946233733904</v>
      </c>
      <c r="H75" s="6">
        <f t="shared" si="26"/>
        <v>0.35316767017233519</v>
      </c>
      <c r="I75" s="6">
        <f t="shared" si="26"/>
        <v>0.33998407993176266</v>
      </c>
      <c r="J75" s="6">
        <f t="shared" si="26"/>
        <v>0.35562892854077532</v>
      </c>
      <c r="K75" s="6">
        <f t="shared" si="26"/>
        <v>0.36552640361082167</v>
      </c>
      <c r="L75" s="6">
        <f t="shared" si="26"/>
        <v>0.33530453627978418</v>
      </c>
      <c r="M75" s="6">
        <f t="shared" si="26"/>
        <v>0.33769564327548512</v>
      </c>
      <c r="N75" s="6">
        <f t="shared" si="26"/>
        <v>0.34133719062608409</v>
      </c>
      <c r="O75" s="6">
        <f t="shared" si="26"/>
        <v>0.33205411040474458</v>
      </c>
      <c r="P75" s="6">
        <f t="shared" si="26"/>
        <v>0.30482066931550872</v>
      </c>
      <c r="Q75" s="6" t="str">
        <f t="shared" si="26"/>
        <v/>
      </c>
    </row>
    <row r="76" spans="1:17" ht="15.75" customHeight="1">
      <c r="A76" s="10"/>
      <c r="B76" s="29" t="s">
        <v>148</v>
      </c>
      <c r="C76" s="78">
        <f>ABS(C8/C$4)</f>
        <v>0.20413416289275171</v>
      </c>
      <c r="D76" s="27"/>
      <c r="E76" s="265"/>
      <c r="F76" s="27"/>
      <c r="G76" s="65">
        <f t="shared" ref="G76:Q76" si="27">IF(G$4="","",ABS(G8/G$4))</f>
        <v>0.23690991210342605</v>
      </c>
      <c r="H76" s="65">
        <f t="shared" si="27"/>
        <v>0.2299743286346439</v>
      </c>
      <c r="I76" s="65">
        <f t="shared" si="27"/>
        <v>0.21390655935909395</v>
      </c>
      <c r="J76" s="65">
        <f t="shared" si="27"/>
        <v>0.22113084435246716</v>
      </c>
      <c r="K76" s="65">
        <f t="shared" si="27"/>
        <v>0.19423250843560216</v>
      </c>
      <c r="L76" s="65">
        <f t="shared" si="27"/>
        <v>0.22343399435478034</v>
      </c>
      <c r="M76" s="65">
        <f t="shared" si="27"/>
        <v>0.21464949112297196</v>
      </c>
      <c r="N76" s="65">
        <f t="shared" si="27"/>
        <v>0.18667127689652011</v>
      </c>
      <c r="O76" s="65">
        <f t="shared" si="27"/>
        <v>0.17964231237779346</v>
      </c>
      <c r="P76" s="65">
        <f t="shared" si="27"/>
        <v>0.17911763178571655</v>
      </c>
      <c r="Q76" s="65" t="str">
        <f t="shared" si="27"/>
        <v/>
      </c>
    </row>
    <row r="77" spans="1:17" ht="15.75" customHeight="1">
      <c r="A77" s="10"/>
      <c r="B77" s="2" t="s">
        <v>63</v>
      </c>
      <c r="C77" s="77">
        <f>ABS(C9/C$4)</f>
        <v>0</v>
      </c>
      <c r="D77" s="27"/>
      <c r="E77" s="265"/>
      <c r="F77" s="27"/>
      <c r="G77" s="6">
        <f t="shared" ref="G77:Q77" si="28">IF(G$4="","",G9/G$4)</f>
        <v>0</v>
      </c>
      <c r="H77" s="6">
        <f t="shared" si="28"/>
        <v>0</v>
      </c>
      <c r="I77" s="6">
        <f t="shared" si="28"/>
        <v>0</v>
      </c>
      <c r="J77" s="6">
        <f t="shared" si="28"/>
        <v>0</v>
      </c>
      <c r="K77" s="6">
        <f t="shared" si="28"/>
        <v>0</v>
      </c>
      <c r="L77" s="6">
        <f t="shared" si="28"/>
        <v>0</v>
      </c>
      <c r="M77" s="6">
        <f t="shared" si="28"/>
        <v>0</v>
      </c>
      <c r="N77" s="6">
        <f t="shared" si="28"/>
        <v>0</v>
      </c>
      <c r="O77" s="6">
        <f t="shared" si="28"/>
        <v>0</v>
      </c>
      <c r="P77" s="6">
        <f t="shared" si="28"/>
        <v>0</v>
      </c>
      <c r="Q77" s="6" t="str">
        <f t="shared" si="28"/>
        <v/>
      </c>
    </row>
    <row r="78" spans="1:17" ht="15.75" customHeight="1">
      <c r="A78" s="10"/>
      <c r="B78" s="2" t="s">
        <v>78</v>
      </c>
      <c r="C78" s="88">
        <f>MAX(AVERAGE(G78:J78),C77)</f>
        <v>0</v>
      </c>
      <c r="D78" s="27"/>
      <c r="E78" s="266" t="s">
        <v>346</v>
      </c>
      <c r="F78" s="27"/>
      <c r="G78" s="6">
        <f t="shared" ref="G78:Q78" si="29">IF(G$4="","",-G10/G$4)</f>
        <v>0</v>
      </c>
      <c r="H78" s="6">
        <f t="shared" si="29"/>
        <v>0</v>
      </c>
      <c r="I78" s="6">
        <f t="shared" si="29"/>
        <v>0</v>
      </c>
      <c r="J78" s="6">
        <f t="shared" si="29"/>
        <v>0</v>
      </c>
      <c r="K78" s="6">
        <f t="shared" si="29"/>
        <v>0</v>
      </c>
      <c r="L78" s="6">
        <f t="shared" si="29"/>
        <v>0</v>
      </c>
      <c r="M78" s="6">
        <f t="shared" si="29"/>
        <v>0</v>
      </c>
      <c r="N78" s="6">
        <f t="shared" si="29"/>
        <v>0</v>
      </c>
      <c r="O78" s="6">
        <f t="shared" si="29"/>
        <v>0</v>
      </c>
      <c r="P78" s="6">
        <f t="shared" si="29"/>
        <v>0</v>
      </c>
      <c r="Q78" s="6" t="str">
        <f t="shared" si="29"/>
        <v/>
      </c>
    </row>
    <row r="79" spans="1:17" ht="15.75" customHeight="1">
      <c r="A79" s="10"/>
      <c r="B79" s="31" t="s">
        <v>149</v>
      </c>
      <c r="C79" s="78">
        <f>ABS(C11/C$4)</f>
        <v>0</v>
      </c>
      <c r="D79" s="27"/>
      <c r="E79" s="265"/>
      <c r="F79" s="27"/>
      <c r="G79" s="65">
        <f t="shared" ref="G79:Q79" si="30">IF(G$4="","",G11/G$4)</f>
        <v>0</v>
      </c>
      <c r="H79" s="65">
        <f t="shared" si="30"/>
        <v>0</v>
      </c>
      <c r="I79" s="65">
        <f t="shared" si="30"/>
        <v>0</v>
      </c>
      <c r="J79" s="65">
        <f t="shared" si="30"/>
        <v>0</v>
      </c>
      <c r="K79" s="65">
        <f t="shared" si="30"/>
        <v>0</v>
      </c>
      <c r="L79" s="65">
        <f t="shared" si="30"/>
        <v>0</v>
      </c>
      <c r="M79" s="65">
        <f t="shared" si="30"/>
        <v>0</v>
      </c>
      <c r="N79" s="65">
        <f t="shared" si="30"/>
        <v>0</v>
      </c>
      <c r="O79" s="65">
        <f t="shared" si="30"/>
        <v>0</v>
      </c>
      <c r="P79" s="65">
        <f t="shared" si="30"/>
        <v>0</v>
      </c>
      <c r="Q79" s="65" t="str">
        <f t="shared" si="30"/>
        <v/>
      </c>
    </row>
    <row r="80" spans="1:17" ht="15.75" customHeight="1">
      <c r="A80" s="10"/>
      <c r="B80" s="2" t="s">
        <v>66</v>
      </c>
      <c r="C80" s="77">
        <f>ABS(C12/C$4)</f>
        <v>0</v>
      </c>
      <c r="D80" s="27"/>
      <c r="E80" s="265"/>
      <c r="F80" s="27"/>
      <c r="G80" s="6">
        <f t="shared" ref="G80:Q80" si="31">IF(G$4="","",ABS(G12/G$4))</f>
        <v>0</v>
      </c>
      <c r="H80" s="6">
        <f t="shared" si="31"/>
        <v>0</v>
      </c>
      <c r="I80" s="6">
        <f t="shared" si="31"/>
        <v>0</v>
      </c>
      <c r="J80" s="6">
        <f t="shared" si="31"/>
        <v>0</v>
      </c>
      <c r="K80" s="6">
        <f t="shared" si="31"/>
        <v>0</v>
      </c>
      <c r="L80" s="6">
        <f t="shared" si="31"/>
        <v>0</v>
      </c>
      <c r="M80" s="6">
        <f t="shared" si="31"/>
        <v>0</v>
      </c>
      <c r="N80" s="6">
        <f t="shared" si="31"/>
        <v>0</v>
      </c>
      <c r="O80" s="6">
        <f t="shared" si="31"/>
        <v>0</v>
      </c>
      <c r="P80" s="6">
        <f t="shared" si="31"/>
        <v>0</v>
      </c>
      <c r="Q80" s="6" t="str">
        <f t="shared" si="31"/>
        <v/>
      </c>
    </row>
    <row r="81" spans="1:17" ht="15.75" customHeight="1">
      <c r="A81" s="10"/>
      <c r="B81" s="70" t="s">
        <v>160</v>
      </c>
      <c r="C81" s="78">
        <f>C13/C4</f>
        <v>0.20413416289275171</v>
      </c>
      <c r="D81" s="27"/>
      <c r="E81" s="265"/>
      <c r="F81" s="27"/>
      <c r="G81" s="65">
        <f t="shared" ref="G81:Q81" si="32">IF(G$4="","",G13/G$4)</f>
        <v>0.23690991210342605</v>
      </c>
      <c r="H81" s="65">
        <f t="shared" si="32"/>
        <v>0.2299743286346439</v>
      </c>
      <c r="I81" s="65">
        <f t="shared" si="32"/>
        <v>0.21390655935909395</v>
      </c>
      <c r="J81" s="65">
        <f t="shared" si="32"/>
        <v>0.22113084435246716</v>
      </c>
      <c r="K81" s="65">
        <f t="shared" si="32"/>
        <v>0.19423250843560216</v>
      </c>
      <c r="L81" s="65">
        <f t="shared" si="32"/>
        <v>0.22343399435478034</v>
      </c>
      <c r="M81" s="65">
        <f t="shared" si="32"/>
        <v>0.21464949112297196</v>
      </c>
      <c r="N81" s="65">
        <f t="shared" si="32"/>
        <v>0.18667127689652011</v>
      </c>
      <c r="O81" s="65">
        <f t="shared" si="32"/>
        <v>0.17964231237779346</v>
      </c>
      <c r="P81" s="65">
        <f t="shared" si="32"/>
        <v>0.17911763178571655</v>
      </c>
      <c r="Q81" s="65" t="str">
        <f t="shared" si="32"/>
        <v/>
      </c>
    </row>
    <row r="82" spans="1:17" ht="15.75" customHeight="1">
      <c r="A82" s="10"/>
      <c r="B82" s="2" t="s">
        <v>61</v>
      </c>
      <c r="C82" s="77">
        <f>ABS(C14/C$4)</f>
        <v>5.2605373777462112E-2</v>
      </c>
      <c r="D82" s="27"/>
      <c r="E82" s="265"/>
      <c r="F82" s="27"/>
      <c r="G82" s="6">
        <f t="shared" ref="G82:Q82" si="33">IF(G$4="","",ABS(G14/G$4))</f>
        <v>7.1916503449241165E-2</v>
      </c>
      <c r="H82" s="6">
        <f t="shared" si="33"/>
        <v>6.5030348431555876E-2</v>
      </c>
      <c r="I82" s="6">
        <f t="shared" si="33"/>
        <v>5.890758148862995E-2</v>
      </c>
      <c r="J82" s="6">
        <f t="shared" si="33"/>
        <v>5.7306848093786146E-2</v>
      </c>
      <c r="K82" s="6">
        <f t="shared" si="33"/>
        <v>5.2349689757487654E-2</v>
      </c>
      <c r="L82" s="6">
        <f t="shared" si="33"/>
        <v>6.3276770564441545E-2</v>
      </c>
      <c r="M82" s="6">
        <f t="shared" si="33"/>
        <v>7.0385202895461171E-2</v>
      </c>
      <c r="N82" s="6">
        <f t="shared" si="33"/>
        <v>7.5999337153633523E-2</v>
      </c>
      <c r="O82" s="6">
        <f t="shared" si="33"/>
        <v>5.0907868649952739E-2</v>
      </c>
      <c r="P82" s="6">
        <f t="shared" si="33"/>
        <v>4.9719415895867217E-2</v>
      </c>
      <c r="Q82" s="6" t="str">
        <f t="shared" si="33"/>
        <v/>
      </c>
    </row>
    <row r="83" spans="1:17" ht="15.75" customHeight="1">
      <c r="A83" s="10"/>
      <c r="B83" s="40" t="str">
        <f>B15</f>
        <v>NCI’s Share of Profits</v>
      </c>
      <c r="C83" s="264">
        <f>MIN(BS!C62,MAX(G83:K83))</f>
        <v>0</v>
      </c>
      <c r="D83" s="27"/>
      <c r="E83" s="265"/>
      <c r="F83" s="27"/>
      <c r="G83" s="6">
        <f t="shared" ref="G83:Q83" si="34">IF(G$4="","",-G15/G$4)</f>
        <v>0</v>
      </c>
      <c r="H83" s="6">
        <f t="shared" si="34"/>
        <v>0</v>
      </c>
      <c r="I83" s="6">
        <f t="shared" si="34"/>
        <v>0</v>
      </c>
      <c r="J83" s="6">
        <f t="shared" si="34"/>
        <v>0</v>
      </c>
      <c r="K83" s="6">
        <f t="shared" si="34"/>
        <v>0</v>
      </c>
      <c r="L83" s="6">
        <f t="shared" si="34"/>
        <v>0</v>
      </c>
      <c r="M83" s="6">
        <f t="shared" si="34"/>
        <v>0</v>
      </c>
      <c r="N83" s="6">
        <f t="shared" si="34"/>
        <v>0</v>
      </c>
      <c r="O83" s="6">
        <f t="shared" si="34"/>
        <v>0</v>
      </c>
      <c r="P83" s="6">
        <f t="shared" si="34"/>
        <v>0</v>
      </c>
      <c r="Q83" s="6" t="str">
        <f t="shared" si="34"/>
        <v/>
      </c>
    </row>
    <row r="84" spans="1:17" ht="15.75" customHeight="1">
      <c r="A84" s="10"/>
      <c r="B84" s="41" t="s">
        <v>150</v>
      </c>
      <c r="C84" s="78">
        <f>ABS(C16/C$4)</f>
        <v>0.15152878911528961</v>
      </c>
      <c r="D84" s="27"/>
      <c r="E84" s="265"/>
      <c r="F84" s="27"/>
      <c r="G84" s="65">
        <f t="shared" ref="G84:Q84" si="35">IF(G$4="","",ABS(G16/G$4))</f>
        <v>0.16499340865418488</v>
      </c>
      <c r="H84" s="65">
        <f t="shared" si="35"/>
        <v>0.16494398020308801</v>
      </c>
      <c r="I84" s="65">
        <f t="shared" si="35"/>
        <v>0.15499897787046402</v>
      </c>
      <c r="J84" s="65">
        <f t="shared" si="35"/>
        <v>0.16382399625868102</v>
      </c>
      <c r="K84" s="65">
        <f t="shared" si="35"/>
        <v>0.1418828186781145</v>
      </c>
      <c r="L84" s="65">
        <f t="shared" si="35"/>
        <v>0.16015722379033878</v>
      </c>
      <c r="M84" s="65">
        <f t="shared" si="35"/>
        <v>0.14426428822751078</v>
      </c>
      <c r="N84" s="65">
        <f t="shared" si="35"/>
        <v>0.11067193974288657</v>
      </c>
      <c r="O84" s="65">
        <f t="shared" si="35"/>
        <v>0.12873444372784074</v>
      </c>
      <c r="P84" s="65">
        <f t="shared" si="35"/>
        <v>0.12939821588984932</v>
      </c>
      <c r="Q84" s="65" t="str">
        <f t="shared" si="35"/>
        <v/>
      </c>
    </row>
    <row r="85" spans="1:17" ht="15.75" customHeight="1">
      <c r="A85" s="10"/>
      <c r="B85" s="27" t="s">
        <v>50</v>
      </c>
      <c r="C85" s="264">
        <v>0</v>
      </c>
      <c r="D85" s="27"/>
      <c r="E85" s="267" t="str">
        <f>E17</f>
        <v>WCInv is by default excluded</v>
      </c>
      <c r="F85" s="27"/>
      <c r="G85" s="226"/>
      <c r="H85" s="226"/>
      <c r="I85" s="226"/>
      <c r="J85" s="226"/>
      <c r="K85" s="226"/>
      <c r="L85" s="226"/>
      <c r="M85" s="226"/>
      <c r="N85" s="226"/>
      <c r="O85" s="226"/>
      <c r="P85" s="226"/>
      <c r="Q85" s="226"/>
    </row>
    <row r="86" spans="1:17" ht="15.75" customHeight="1">
      <c r="A86" s="10"/>
      <c r="B86" s="8" t="s">
        <v>95</v>
      </c>
      <c r="C86" s="77">
        <v>0</v>
      </c>
      <c r="E86" s="267" t="str">
        <f>E18</f>
        <v>Net borrowing is excluded</v>
      </c>
      <c r="G86" s="169"/>
      <c r="H86" s="169"/>
      <c r="I86" s="169"/>
      <c r="J86" s="169"/>
      <c r="K86" s="169"/>
      <c r="L86" s="169"/>
      <c r="M86" s="169"/>
      <c r="N86" s="169"/>
      <c r="O86" s="169"/>
      <c r="P86" s="169"/>
      <c r="Q86" s="169"/>
    </row>
    <row r="87" spans="1:17" ht="15.75" customHeight="1">
      <c r="A87" s="10"/>
      <c r="B87" s="31" t="s">
        <v>136</v>
      </c>
      <c r="C87" s="78">
        <f>ABS(C19/C$4)</f>
        <v>0.15152878911528961</v>
      </c>
      <c r="D87" s="75"/>
      <c r="E87" s="265"/>
      <c r="F87" s="75"/>
      <c r="G87" s="65">
        <f t="shared" ref="G87:Q87" si="36">IF(G$4="","",ABS(G19/G$4))</f>
        <v>0.16499340865418488</v>
      </c>
      <c r="H87" s="65">
        <f t="shared" si="36"/>
        <v>0.16494398020308801</v>
      </c>
      <c r="I87" s="65">
        <f t="shared" si="36"/>
        <v>0.15499897787046402</v>
      </c>
      <c r="J87" s="65">
        <f t="shared" si="36"/>
        <v>0.16382399625868102</v>
      </c>
      <c r="K87" s="65">
        <f t="shared" si="36"/>
        <v>0.1418828186781145</v>
      </c>
      <c r="L87" s="65">
        <f t="shared" si="36"/>
        <v>0.16015722379033878</v>
      </c>
      <c r="M87" s="65">
        <f t="shared" si="36"/>
        <v>0.14426428822751078</v>
      </c>
      <c r="N87" s="65">
        <f t="shared" si="36"/>
        <v>0.11067193974288657</v>
      </c>
      <c r="O87" s="65">
        <f t="shared" si="36"/>
        <v>0.12873444372784074</v>
      </c>
      <c r="P87" s="65">
        <f t="shared" si="36"/>
        <v>0.12939821588984932</v>
      </c>
      <c r="Q87" s="65" t="str">
        <f t="shared" si="36"/>
        <v/>
      </c>
    </row>
    <row r="88" spans="1:17" ht="15.75" customHeight="1">
      <c r="A88" s="10"/>
      <c r="E88" s="268"/>
    </row>
    <row r="89" spans="1:17" ht="15.75" customHeight="1">
      <c r="A89" s="10"/>
      <c r="B89" s="64" t="s">
        <v>210</v>
      </c>
      <c r="E89" s="268"/>
    </row>
    <row r="90" spans="1:17" ht="15.75" customHeight="1">
      <c r="A90" s="10"/>
      <c r="B90" s="2" t="str">
        <f>"Dividend per share ("&amp;Market_currency&amp;")"</f>
        <v>Dividend per share (USD)</v>
      </c>
      <c r="C90" s="113">
        <f>G90</f>
        <v>0</v>
      </c>
      <c r="E90" s="268"/>
      <c r="G90" s="112">
        <f>Data!C65</f>
        <v>0</v>
      </c>
      <c r="H90" s="112">
        <f>Data!D65</f>
        <v>0</v>
      </c>
      <c r="I90" s="112">
        <f>Data!E65</f>
        <v>0</v>
      </c>
      <c r="J90" s="112">
        <f>Data!F65</f>
        <v>0</v>
      </c>
      <c r="K90" s="112">
        <f>Data!G65</f>
        <v>0</v>
      </c>
      <c r="L90" s="112">
        <f>Data!H65</f>
        <v>0</v>
      </c>
      <c r="M90" s="112">
        <f>Data!I65</f>
        <v>0</v>
      </c>
      <c r="N90" s="112">
        <f>Data!J65</f>
        <v>0</v>
      </c>
      <c r="O90" s="112">
        <f>Data!K65</f>
        <v>0</v>
      </c>
      <c r="P90" s="112">
        <f>Data!L65</f>
        <v>0</v>
      </c>
      <c r="Q90" s="112" t="str">
        <f>Data!M65</f>
        <v/>
      </c>
    </row>
    <row r="91" spans="1:17" ht="15.75" customHeight="1">
      <c r="A91" s="10"/>
      <c r="B91" s="2" t="str">
        <f>"Dividend ("&amp;Market_currency&amp;")"</f>
        <v>Dividend (USD)</v>
      </c>
      <c r="C91" s="74">
        <f>C90*Common_Shares/scaling_factor</f>
        <v>0</v>
      </c>
      <c r="E91" s="268"/>
      <c r="G91" s="74">
        <f t="shared" ref="G91:Q91" si="37">IF(G$4="","",G90*Common_Shares/scaling_factor)</f>
        <v>0</v>
      </c>
      <c r="H91" s="74">
        <f t="shared" si="37"/>
        <v>0</v>
      </c>
      <c r="I91" s="74">
        <f t="shared" si="37"/>
        <v>0</v>
      </c>
      <c r="J91" s="74">
        <f t="shared" si="37"/>
        <v>0</v>
      </c>
      <c r="K91" s="74">
        <f t="shared" si="37"/>
        <v>0</v>
      </c>
      <c r="L91" s="74">
        <f t="shared" si="37"/>
        <v>0</v>
      </c>
      <c r="M91" s="74">
        <f t="shared" si="37"/>
        <v>0</v>
      </c>
      <c r="N91" s="74">
        <f t="shared" si="37"/>
        <v>0</v>
      </c>
      <c r="O91" s="74">
        <f t="shared" si="37"/>
        <v>0</v>
      </c>
      <c r="P91" s="74">
        <f t="shared" si="37"/>
        <v>0</v>
      </c>
      <c r="Q91" s="74" t="str">
        <f t="shared" si="37"/>
        <v/>
      </c>
    </row>
    <row r="92" spans="1:17" ht="15.75" customHeight="1">
      <c r="A92" s="10"/>
      <c r="B92" s="2" t="s">
        <v>209</v>
      </c>
      <c r="C92" s="23">
        <f>C90/(C19*scaling_factor/Common_Shares)</f>
        <v>0</v>
      </c>
      <c r="E92" s="268"/>
      <c r="G92" s="170">
        <f t="shared" ref="G92:Q92" si="38">IF(G$4="","",G90/(G19*scaling_factor/Common_Shares))</f>
        <v>0</v>
      </c>
      <c r="H92" s="170">
        <f t="shared" si="38"/>
        <v>0</v>
      </c>
      <c r="I92" s="170">
        <f t="shared" si="38"/>
        <v>0</v>
      </c>
      <c r="J92" s="170">
        <f t="shared" si="38"/>
        <v>0</v>
      </c>
      <c r="K92" s="170">
        <f t="shared" si="38"/>
        <v>0</v>
      </c>
      <c r="L92" s="170">
        <f t="shared" si="38"/>
        <v>0</v>
      </c>
      <c r="M92" s="170">
        <f t="shared" si="38"/>
        <v>0</v>
      </c>
      <c r="N92" s="170">
        <f t="shared" si="38"/>
        <v>0</v>
      </c>
      <c r="O92" s="170">
        <f t="shared" si="38"/>
        <v>0</v>
      </c>
      <c r="P92" s="170">
        <f t="shared" si="38"/>
        <v>0</v>
      </c>
      <c r="Q92" s="170" t="str">
        <f t="shared" si="38"/>
        <v/>
      </c>
    </row>
    <row r="93" spans="1:17" ht="15.75" customHeight="1">
      <c r="A93" s="10"/>
      <c r="B93" s="2" t="s">
        <v>435</v>
      </c>
      <c r="C93" s="356">
        <v>0</v>
      </c>
      <c r="E93" s="268"/>
      <c r="G93" s="357"/>
      <c r="H93" s="357"/>
      <c r="I93" s="357"/>
      <c r="J93" s="357"/>
      <c r="K93" s="357"/>
      <c r="L93" s="357"/>
      <c r="M93" s="357"/>
      <c r="N93" s="357"/>
      <c r="O93" s="357"/>
      <c r="P93" s="357"/>
      <c r="Q93" s="357"/>
    </row>
    <row r="94" spans="1:17" ht="15.75" customHeight="1">
      <c r="A94" s="10"/>
      <c r="B94" s="2" t="s">
        <v>434</v>
      </c>
      <c r="C94" s="23">
        <f>(C90*(1-dividend_tax_rate))/Market_Price</f>
        <v>0</v>
      </c>
      <c r="E94" s="268"/>
      <c r="G94" s="23">
        <f t="shared" ref="G94:Q94" si="39">IF(G$4="","",(G90*(1-dividend_tax_rate))/Market_Price)</f>
        <v>0</v>
      </c>
      <c r="H94" s="23">
        <f t="shared" si="39"/>
        <v>0</v>
      </c>
      <c r="I94" s="23">
        <f t="shared" si="39"/>
        <v>0</v>
      </c>
      <c r="J94" s="23">
        <f t="shared" si="39"/>
        <v>0</v>
      </c>
      <c r="K94" s="23">
        <f t="shared" si="39"/>
        <v>0</v>
      </c>
      <c r="L94" s="23">
        <f t="shared" si="39"/>
        <v>0</v>
      </c>
      <c r="M94" s="23">
        <f t="shared" si="39"/>
        <v>0</v>
      </c>
      <c r="N94" s="23">
        <f t="shared" si="39"/>
        <v>0</v>
      </c>
      <c r="O94" s="23">
        <f t="shared" si="39"/>
        <v>0</v>
      </c>
      <c r="P94" s="23">
        <f t="shared" si="39"/>
        <v>0</v>
      </c>
      <c r="Q94" s="23" t="str">
        <f t="shared" si="39"/>
        <v/>
      </c>
    </row>
    <row r="95" spans="1:17" ht="15.75" customHeight="1">
      <c r="A95" s="10"/>
      <c r="E95" s="268"/>
    </row>
    <row r="96" spans="1:17" ht="15.75" customHeight="1">
      <c r="A96" s="10"/>
      <c r="B96" s="157" t="s">
        <v>82</v>
      </c>
      <c r="C96" s="62"/>
      <c r="D96" s="27"/>
      <c r="E96" s="265"/>
      <c r="F96" s="27"/>
      <c r="G96" s="12"/>
      <c r="H96" s="12"/>
      <c r="I96" s="12"/>
      <c r="J96" s="12"/>
      <c r="K96" s="12"/>
      <c r="L96" s="12"/>
      <c r="M96" s="12"/>
      <c r="N96" s="12"/>
      <c r="O96" s="12"/>
      <c r="P96" s="12"/>
      <c r="Q96" s="12"/>
    </row>
    <row r="97" spans="1:17" ht="15.75" customHeight="1">
      <c r="A97" s="10"/>
      <c r="B97" s="27" t="s">
        <v>140</v>
      </c>
      <c r="C97" s="77">
        <f>C4/G4-1</f>
        <v>-4.5751627814024864E-2</v>
      </c>
      <c r="D97" s="27"/>
      <c r="E97" s="265"/>
      <c r="F97" s="27"/>
      <c r="G97" s="6">
        <f t="shared" ref="G97:Q97" si="40">IF(H4="","",G4/H4-1)</f>
        <v>0.1007194095024595</v>
      </c>
      <c r="H97" s="6">
        <f t="shared" si="40"/>
        <v>0.18602510961691965</v>
      </c>
      <c r="I97" s="6">
        <f t="shared" si="40"/>
        <v>0.29631045020016411</v>
      </c>
      <c r="J97" s="6">
        <f t="shared" si="40"/>
        <v>0.42135142742451581</v>
      </c>
      <c r="K97" s="6">
        <f t="shared" si="40"/>
        <v>0.10619541748088102</v>
      </c>
      <c r="L97" s="6">
        <f t="shared" si="40"/>
        <v>0.21013076894303739</v>
      </c>
      <c r="M97" s="6">
        <f t="shared" si="40"/>
        <v>0.24125871354203432</v>
      </c>
      <c r="N97" s="6">
        <f t="shared" si="40"/>
        <v>0.13000769495886355</v>
      </c>
      <c r="O97" s="6">
        <f t="shared" si="40"/>
        <v>0.13776550904794549</v>
      </c>
      <c r="P97" s="6" t="str">
        <f t="shared" si="40"/>
        <v/>
      </c>
      <c r="Q97" s="6" t="str">
        <f t="shared" si="40"/>
        <v/>
      </c>
    </row>
    <row r="98" spans="1:17" ht="15.75" customHeight="1">
      <c r="A98" s="10"/>
      <c r="B98" s="70" t="s">
        <v>160</v>
      </c>
      <c r="C98" s="77">
        <f>C13/G13-1</f>
        <v>-0.17776892102802822</v>
      </c>
      <c r="D98" s="27"/>
      <c r="E98" s="265"/>
      <c r="F98" s="27"/>
      <c r="G98" s="6">
        <f t="shared" ref="G98:Q98" si="41">IF(H5="","",G13/H13-1)</f>
        <v>0.13391499000762597</v>
      </c>
      <c r="H98" s="6">
        <f t="shared" si="41"/>
        <v>0.27511437304779029</v>
      </c>
      <c r="I98" s="6">
        <f t="shared" si="41"/>
        <v>0.25396033771559878</v>
      </c>
      <c r="J98" s="6">
        <f t="shared" si="41"/>
        <v>0.61818762368594649</v>
      </c>
      <c r="K98" s="6">
        <f t="shared" si="41"/>
        <v>-3.8377703546242925E-2</v>
      </c>
      <c r="L98" s="6">
        <f t="shared" si="41"/>
        <v>0.25965521735927322</v>
      </c>
      <c r="M98" s="6">
        <f t="shared" si="41"/>
        <v>0.42729805915159158</v>
      </c>
      <c r="N98" s="6">
        <f t="shared" si="41"/>
        <v>0.17422213357647598</v>
      </c>
      <c r="O98" s="6">
        <f t="shared" si="41"/>
        <v>0.1410983103750989</v>
      </c>
      <c r="P98" s="6" t="str">
        <f t="shared" si="41"/>
        <v/>
      </c>
      <c r="Q98" s="6" t="str">
        <f t="shared" si="41"/>
        <v/>
      </c>
    </row>
    <row r="99" spans="1:17" ht="15.75" customHeight="1">
      <c r="A99" s="10"/>
    </row>
    <row r="100" spans="1:17" ht="15.75" customHeight="1">
      <c r="A100" s="3"/>
      <c r="B100" s="54" t="s">
        <v>211</v>
      </c>
      <c r="C100" s="54"/>
      <c r="D100" s="56"/>
      <c r="E100" s="66" t="s">
        <v>57</v>
      </c>
      <c r="F100" s="56"/>
      <c r="G100" s="37"/>
      <c r="H100" s="37"/>
      <c r="I100" s="37"/>
      <c r="J100" s="37"/>
      <c r="K100" s="37"/>
      <c r="L100" s="37"/>
      <c r="M100" s="37"/>
      <c r="N100" s="37"/>
      <c r="O100" s="37"/>
      <c r="P100" s="37"/>
      <c r="Q100" s="37"/>
    </row>
    <row r="101" spans="1:17" ht="15.75" customHeight="1">
      <c r="A101" s="10"/>
      <c r="B101" s="64" t="s">
        <v>26</v>
      </c>
      <c r="E101" s="268"/>
      <c r="G101" s="97" t="s">
        <v>215</v>
      </c>
    </row>
    <row r="102" spans="1:17" ht="15.75" customHeight="1">
      <c r="A102" s="10"/>
      <c r="B102" s="26" t="s">
        <v>1</v>
      </c>
      <c r="C102" s="344">
        <f>BS!G32</f>
        <v>7430543</v>
      </c>
      <c r="D102" s="26"/>
      <c r="E102" s="269"/>
      <c r="F102" s="26"/>
      <c r="G102" s="333">
        <f t="shared" ref="G102:Q102" si="42">IF(G$4="","",G106+G105)</f>
        <v>7430543</v>
      </c>
      <c r="H102" s="333">
        <f t="shared" si="42"/>
        <v>7091941</v>
      </c>
      <c r="I102" s="333">
        <f t="shared" si="42"/>
        <v>5607038</v>
      </c>
      <c r="J102" s="333">
        <f t="shared" si="42"/>
        <v>4942478</v>
      </c>
      <c r="K102" s="333">
        <f t="shared" si="42"/>
        <v>4185215</v>
      </c>
      <c r="L102" s="333">
        <f t="shared" si="42"/>
        <v>3281354</v>
      </c>
      <c r="M102" s="333">
        <f t="shared" si="42"/>
        <v>2084711</v>
      </c>
      <c r="N102" s="333">
        <f t="shared" si="42"/>
        <v>1998483</v>
      </c>
      <c r="O102" s="333">
        <f t="shared" si="42"/>
        <v>1657541</v>
      </c>
      <c r="P102" s="333">
        <f t="shared" si="42"/>
        <v>1314077</v>
      </c>
      <c r="Q102" s="333" t="str">
        <f t="shared" si="42"/>
        <v/>
      </c>
    </row>
    <row r="103" spans="1:17" ht="15.75" customHeight="1">
      <c r="A103" s="10"/>
      <c r="B103" s="93" t="s">
        <v>206</v>
      </c>
      <c r="C103" s="345">
        <f>BS!C4</f>
        <v>0</v>
      </c>
      <c r="D103" s="89"/>
      <c r="E103" s="270"/>
      <c r="F103" s="89"/>
      <c r="G103" s="346">
        <f>IF(G$4="","",Data!D77)</f>
        <v>124769</v>
      </c>
      <c r="H103" s="346">
        <f>IF(H$4="","",Data!E77)</f>
        <v>132906</v>
      </c>
      <c r="I103" s="346">
        <f>IF(I$4="","",Data!F77)</f>
        <v>77001</v>
      </c>
      <c r="J103" s="346">
        <f>IF(J$4="","",Data!G77)</f>
        <v>62399</v>
      </c>
      <c r="K103" s="346">
        <f>IF(K$4="","",Data!H77)</f>
        <v>40219</v>
      </c>
      <c r="L103" s="346">
        <f>IF(L$4="","",Data!I77)</f>
        <v>0</v>
      </c>
      <c r="M103" s="346">
        <f>IF(M$4="","",Data!J77)</f>
        <v>0</v>
      </c>
      <c r="N103" s="346">
        <f>IF(N$4="","",Data!K77)</f>
        <v>0</v>
      </c>
      <c r="O103" s="346">
        <f>IF(O$4="","",Data!L77)</f>
        <v>0</v>
      </c>
      <c r="P103" s="346">
        <f>IF(P$4="","",Data!M77)</f>
        <v>0</v>
      </c>
      <c r="Q103" s="346" t="str">
        <f>IF(Q$4="","",Data!N77)</f>
        <v/>
      </c>
    </row>
    <row r="104" spans="1:17" ht="15.75" customHeight="1">
      <c r="A104" s="10"/>
      <c r="B104" s="93" t="s">
        <v>207</v>
      </c>
      <c r="C104" s="345">
        <f>BS!C6+BS!C7</f>
        <v>1652091</v>
      </c>
      <c r="D104" s="89"/>
      <c r="E104" s="270"/>
      <c r="F104" s="89"/>
      <c r="G104" s="346">
        <f>IF(G$4="","",Data!D78)</f>
        <v>1323602</v>
      </c>
      <c r="H104" s="346">
        <f>IF(H$4="","",Data!E78)</f>
        <v>1447367</v>
      </c>
      <c r="I104" s="346">
        <f>IF(I$4="","",Data!F78)</f>
        <v>966481</v>
      </c>
      <c r="J104" s="346">
        <f>IF(J$4="","",Data!G78)</f>
        <v>647230</v>
      </c>
      <c r="K104" s="346">
        <f>IF(K$4="","",Data!H78)</f>
        <v>518513</v>
      </c>
      <c r="L104" s="346">
        <f>IF(L$4="","",Data!I78)</f>
        <v>0</v>
      </c>
      <c r="M104" s="346">
        <f>IF(M$4="","",Data!J78)</f>
        <v>0</v>
      </c>
      <c r="N104" s="346">
        <f>IF(N$4="","",Data!K78)</f>
        <v>0</v>
      </c>
      <c r="O104" s="346">
        <f>IF(O$4="","",Data!L78)</f>
        <v>0</v>
      </c>
      <c r="P104" s="346">
        <f>IF(P$4="","",Data!M78)</f>
        <v>0</v>
      </c>
      <c r="Q104" s="346" t="str">
        <f>IF(Q$4="","",Data!N78)</f>
        <v/>
      </c>
    </row>
    <row r="105" spans="1:17" ht="15.75" customHeight="1">
      <c r="A105" s="10"/>
      <c r="B105" s="26" t="s">
        <v>38</v>
      </c>
      <c r="C105" s="344">
        <f>BS!G30</f>
        <v>3140973</v>
      </c>
      <c r="D105" s="26"/>
      <c r="E105" s="269"/>
      <c r="F105" s="26"/>
      <c r="G105" s="333">
        <f>Data!C79</f>
        <v>3140973</v>
      </c>
      <c r="H105" s="333">
        <f>Data!D79</f>
        <v>2859860</v>
      </c>
      <c r="I105" s="333">
        <f>Data!E79</f>
        <v>2458239</v>
      </c>
      <c r="J105" s="333">
        <f>Data!F79</f>
        <v>2202432</v>
      </c>
      <c r="K105" s="333">
        <f>Data!G79</f>
        <v>1626649</v>
      </c>
      <c r="L105" s="333">
        <f>Data!H79</f>
        <v>1329136</v>
      </c>
      <c r="M105" s="333">
        <f>Data!I79</f>
        <v>638736</v>
      </c>
      <c r="N105" s="333">
        <f>Data!J79</f>
        <v>401523</v>
      </c>
      <c r="O105" s="333">
        <f>Data!K79</f>
        <v>297568</v>
      </c>
      <c r="P105" s="333">
        <f>Data!L79</f>
        <v>286595</v>
      </c>
      <c r="Q105" s="333" t="str">
        <f>Data!M79</f>
        <v/>
      </c>
    </row>
    <row r="106" spans="1:17" ht="15.75" customHeight="1">
      <c r="A106" s="10"/>
      <c r="B106" s="26" t="s">
        <v>28</v>
      </c>
      <c r="C106" s="344">
        <f>BS!G27</f>
        <v>4289570</v>
      </c>
      <c r="D106" s="26"/>
      <c r="E106" s="269"/>
      <c r="F106" s="26"/>
      <c r="G106" s="333">
        <f>Data!C80</f>
        <v>4289570</v>
      </c>
      <c r="H106" s="333">
        <f>Data!D80</f>
        <v>4232081</v>
      </c>
      <c r="I106" s="333">
        <f>Data!E80</f>
        <v>3148799</v>
      </c>
      <c r="J106" s="333">
        <f>Data!F80</f>
        <v>2740046</v>
      </c>
      <c r="K106" s="333">
        <f>Data!G80</f>
        <v>2558566</v>
      </c>
      <c r="L106" s="333">
        <f>Data!H80</f>
        <v>1952218</v>
      </c>
      <c r="M106" s="333">
        <f>Data!I80</f>
        <v>1445975</v>
      </c>
      <c r="N106" s="333">
        <f>Data!J80</f>
        <v>1596960</v>
      </c>
      <c r="O106" s="333">
        <f>Data!K80</f>
        <v>1359973</v>
      </c>
      <c r="P106" s="333">
        <f>Data!L80</f>
        <v>1027482</v>
      </c>
      <c r="Q106" s="333" t="str">
        <f>Data!M80</f>
        <v/>
      </c>
    </row>
    <row r="107" spans="1:17" ht="15.75" customHeight="1">
      <c r="A107" s="10"/>
      <c r="E107" s="268"/>
    </row>
    <row r="108" spans="1:17" ht="15.75" customHeight="1">
      <c r="A108" s="10"/>
      <c r="B108" s="91" t="s">
        <v>216</v>
      </c>
      <c r="C108" s="26"/>
      <c r="D108" s="26"/>
      <c r="E108" s="269"/>
      <c r="F108" s="26"/>
      <c r="G108" s="97" t="s">
        <v>215</v>
      </c>
      <c r="H108" s="12"/>
      <c r="I108" s="12"/>
      <c r="J108" s="12"/>
      <c r="K108" s="12"/>
      <c r="L108" s="12"/>
      <c r="M108" s="12"/>
      <c r="N108" s="12"/>
      <c r="O108" s="12"/>
      <c r="P108" s="12"/>
      <c r="Q108" s="12"/>
    </row>
    <row r="109" spans="1:17" ht="15.75" customHeight="1">
      <c r="A109" s="10"/>
      <c r="B109" s="26" t="s">
        <v>213</v>
      </c>
      <c r="C109" s="94">
        <f>C103/C$4</f>
        <v>0</v>
      </c>
      <c r="D109" s="26"/>
      <c r="E109" s="269"/>
      <c r="F109" s="26"/>
      <c r="G109" s="94">
        <f t="shared" ref="G109:Q109" si="43">IF(G$4="","",G103/G$4)</f>
        <v>1.1783860524515858E-2</v>
      </c>
      <c r="H109" s="94">
        <f t="shared" si="43"/>
        <v>1.3816629480923621E-2</v>
      </c>
      <c r="I109" s="94">
        <f t="shared" si="43"/>
        <v>9.4939682027707726E-3</v>
      </c>
      <c r="J109" s="94">
        <f t="shared" si="43"/>
        <v>9.9732810878466749E-3</v>
      </c>
      <c r="K109" s="94">
        <f t="shared" si="43"/>
        <v>9.1367799978145699E-3</v>
      </c>
      <c r="L109" s="94">
        <f t="shared" si="43"/>
        <v>0</v>
      </c>
      <c r="M109" s="94">
        <f t="shared" si="43"/>
        <v>0</v>
      </c>
      <c r="N109" s="94">
        <f t="shared" si="43"/>
        <v>0</v>
      </c>
      <c r="O109" s="94">
        <f t="shared" si="43"/>
        <v>0</v>
      </c>
      <c r="P109" s="94">
        <f t="shared" si="43"/>
        <v>0</v>
      </c>
      <c r="Q109" s="94" t="str">
        <f t="shared" si="43"/>
        <v/>
      </c>
    </row>
    <row r="110" spans="1:17" ht="15.75" customHeight="1">
      <c r="A110" s="10"/>
      <c r="B110" s="26" t="s">
        <v>214</v>
      </c>
      <c r="C110" s="94">
        <f>C104/C$4</f>
        <v>0.16351343299713314</v>
      </c>
      <c r="D110" s="26"/>
      <c r="E110" s="269"/>
      <c r="F110" s="26"/>
      <c r="G110" s="94">
        <f t="shared" ref="G110:Q110" si="44">IF(G$4="","",G104/G$4)</f>
        <v>0.1250081459174173</v>
      </c>
      <c r="H110" s="94">
        <f t="shared" si="44"/>
        <v>0.15046524281760024</v>
      </c>
      <c r="I110" s="94">
        <f t="shared" si="44"/>
        <v>0.11916390543735925</v>
      </c>
      <c r="J110" s="94">
        <f t="shared" si="44"/>
        <v>0.10344727829752084</v>
      </c>
      <c r="K110" s="94">
        <f t="shared" si="44"/>
        <v>0.11779356043180651</v>
      </c>
      <c r="L110" s="94">
        <f t="shared" si="44"/>
        <v>0</v>
      </c>
      <c r="M110" s="94">
        <f t="shared" si="44"/>
        <v>0</v>
      </c>
      <c r="N110" s="94">
        <f t="shared" si="44"/>
        <v>0</v>
      </c>
      <c r="O110" s="94">
        <f t="shared" si="44"/>
        <v>0</v>
      </c>
      <c r="P110" s="94">
        <f t="shared" si="44"/>
        <v>0</v>
      </c>
      <c r="Q110" s="94" t="str">
        <f t="shared" si="44"/>
        <v/>
      </c>
    </row>
    <row r="111" spans="1:17" ht="15.75" customHeight="1">
      <c r="A111" s="10"/>
      <c r="B111" s="26" t="s">
        <v>67</v>
      </c>
      <c r="C111" s="94">
        <f>BS!$G$38/C$4</f>
        <v>0</v>
      </c>
      <c r="D111" s="26"/>
      <c r="E111" s="269"/>
      <c r="F111" s="26"/>
      <c r="G111" s="94">
        <f>BS!$G$38/G$4</f>
        <v>0</v>
      </c>
      <c r="H111" s="204"/>
      <c r="I111" s="204"/>
      <c r="J111" s="204"/>
      <c r="K111" s="204"/>
      <c r="L111" s="204"/>
      <c r="M111" s="204"/>
      <c r="N111" s="204"/>
      <c r="O111" s="204"/>
      <c r="P111" s="204"/>
      <c r="Q111" s="204"/>
    </row>
    <row r="112" spans="1:17" ht="15.75" customHeight="1">
      <c r="A112" s="10"/>
      <c r="E112" s="268"/>
    </row>
    <row r="113" spans="1:17" ht="15.75" customHeight="1">
      <c r="A113" s="10"/>
      <c r="B113" s="64" t="s">
        <v>49</v>
      </c>
      <c r="E113" s="268"/>
    </row>
    <row r="114" spans="1:17" ht="15.75" customHeight="1">
      <c r="A114" s="10"/>
      <c r="B114" s="2" t="s">
        <v>374</v>
      </c>
      <c r="C114" s="169"/>
      <c r="E114" s="268"/>
      <c r="G114" s="295">
        <f>IF(G$4="","",Data!C$22/Data!C15)</f>
        <v>1.2524484519038739</v>
      </c>
      <c r="H114" s="295">
        <f>IF(H$4="","",Data!D$22/Data!D15)</f>
        <v>1.4812145607957734</v>
      </c>
      <c r="I114" s="295">
        <f>IF(I$4="","",Data!E$22/Data!E15)</f>
        <v>1.1306305568554047</v>
      </c>
      <c r="J114" s="295">
        <f>IF(J$4="","",Data!F$22/Data!F15)</f>
        <v>1.4242557842435626</v>
      </c>
      <c r="K114" s="295">
        <f>IF(K$4="","",Data!G$22/Data!G15)</f>
        <v>1.3640996208268454</v>
      </c>
      <c r="L114" s="295">
        <f>IF(L$4="","",Data!H$22/Data!H15)</f>
        <v>1.0367412437499612</v>
      </c>
      <c r="M114" s="295">
        <f>IF(M$4="","",Data!I$22/Data!I15)</f>
        <v>1.5352986041781642</v>
      </c>
      <c r="N114" s="295">
        <f>IF(N$4="","",Data!J$22/Data!J15)</f>
        <v>1.8918008830056212</v>
      </c>
      <c r="O114" s="295">
        <f>IF(O$4="","",Data!K$22/Data!K15)</f>
        <v>1.2694235960722655</v>
      </c>
      <c r="P114" s="295">
        <f>IF(P$4="","",Data!L$22/Data!L15)</f>
        <v>1.1228843023976967</v>
      </c>
      <c r="Q114" s="295" t="str">
        <f>IF(Q$4="","",Data!M$22/Data!M15)</f>
        <v/>
      </c>
    </row>
    <row r="115" spans="1:17" ht="15.75" customHeight="1">
      <c r="A115" s="10"/>
      <c r="B115" s="2" t="s">
        <v>375</v>
      </c>
      <c r="C115" s="169"/>
      <c r="E115" s="268"/>
      <c r="G115" s="295">
        <f>IF(G$4="","",Data!C$22/G19)</f>
        <v>1.3009448926169924</v>
      </c>
      <c r="H115" s="295">
        <f>IF(H$4="","",Data!D$22/H19)</f>
        <v>1.4471846831232251</v>
      </c>
      <c r="I115" s="295">
        <f>IF(I$4="","",Data!E$22/I19)</f>
        <v>0.76879014129098056</v>
      </c>
      <c r="J115" s="295">
        <f>IF(J$4="","",Data!F$22/J19)</f>
        <v>1.355248472171273</v>
      </c>
      <c r="K115" s="295">
        <f>IF(K$4="","",Data!G$22/K19)</f>
        <v>1.2862616503696256</v>
      </c>
      <c r="L115" s="295">
        <f>IF(L$4="","",Data!H$22/L19)</f>
        <v>1.0502155141978902</v>
      </c>
      <c r="M115" s="295">
        <f>IF(M$4="","",Data!I$22/M19)</f>
        <v>1.5657659252888465</v>
      </c>
      <c r="N115" s="295">
        <f>IF(N$4="","",Data!J$22/N19)</f>
        <v>1.6690098570892595</v>
      </c>
      <c r="O115" s="295">
        <f>IF(O$4="","",Data!K$22/O19)</f>
        <v>1.2760566460351752</v>
      </c>
      <c r="P115" s="295">
        <f>IF(P$4="","",Data!L$22/P19)</f>
        <v>1.1204374634321976</v>
      </c>
      <c r="Q115" s="295" t="str">
        <f>IF(Q$4="","",Data!M$22/Q19)</f>
        <v/>
      </c>
    </row>
    <row r="116" spans="1:17" ht="15.75" customHeight="1">
      <c r="A116" s="10"/>
      <c r="E116" s="268"/>
    </row>
    <row r="117" spans="1:17" ht="15.75" customHeight="1">
      <c r="A117" s="10"/>
      <c r="B117" s="91" t="s">
        <v>36</v>
      </c>
      <c r="C117" s="55"/>
      <c r="D117" s="55"/>
      <c r="E117" s="271"/>
      <c r="F117" s="55"/>
      <c r="G117" s="23" t="str">
        <f>IFERROR(IF(#REF!*G119*(1/#REF!)=G121,"","Error"),"")</f>
        <v/>
      </c>
      <c r="H117" s="23" t="str">
        <f>IFERROR(IF(#REF!*H119*(1/#REF!)=H121,"","Error"),"")</f>
        <v/>
      </c>
      <c r="I117" s="23" t="str">
        <f>IFERROR(IF(#REF!*I119*(1/#REF!)=I121,"","Error"),"")</f>
        <v/>
      </c>
      <c r="J117" s="23" t="str">
        <f>IFERROR(IF(#REF!*J119*(1/#REF!)=J121,"","Error"),"")</f>
        <v/>
      </c>
      <c r="K117" s="23" t="str">
        <f>IFERROR(IF(#REF!*K119*(1/#REF!)=K121,"","Error"),"")</f>
        <v/>
      </c>
      <c r="L117" s="23" t="str">
        <f>IFERROR(IF(#REF!*L119*(1/#REF!)=L121,"","Error"),"")</f>
        <v/>
      </c>
      <c r="M117" s="23" t="str">
        <f>IFERROR(IF(#REF!*M119*(1/#REF!)=M121,"","Error"),"")</f>
        <v/>
      </c>
      <c r="N117" s="23" t="str">
        <f>IFERROR(IF(#REF!*N119*(1/#REF!)=N121,"","Error"),"")</f>
        <v/>
      </c>
      <c r="O117" s="23" t="str">
        <f>IFERROR(IF(#REF!*O119*(1/#REF!)=O121,"","Error"),"")</f>
        <v/>
      </c>
      <c r="P117" s="23" t="str">
        <f>IFERROR(IF(#REF!*P119*(1/#REF!)=P121,"","Error"),"")</f>
        <v/>
      </c>
      <c r="Q117" s="23" t="str">
        <f>IFERROR(IF(#REF!*Q119*(1/#REF!)=Q121,"","Error"),"")</f>
        <v/>
      </c>
    </row>
    <row r="118" spans="1:17" ht="15.75" customHeight="1">
      <c r="A118" s="10"/>
      <c r="B118" s="7" t="s">
        <v>217</v>
      </c>
      <c r="C118" s="23">
        <f>IF(valuation_method="DDM",C13/(C4+C12),C81)</f>
        <v>0.20413416289275171</v>
      </c>
      <c r="E118" s="268"/>
      <c r="G118" s="23">
        <f t="shared" ref="G118:Q118" si="45">IF(G4="","",IF(valuation_method="DDM",G13/(G4+G12),G81))</f>
        <v>0.23690991210342605</v>
      </c>
      <c r="H118" s="23">
        <f t="shared" si="45"/>
        <v>0.2299743286346439</v>
      </c>
      <c r="I118" s="23">
        <f t="shared" si="45"/>
        <v>0.21390655935909395</v>
      </c>
      <c r="J118" s="23">
        <f t="shared" si="45"/>
        <v>0.22113084435246716</v>
      </c>
      <c r="K118" s="23">
        <f t="shared" si="45"/>
        <v>0.19423250843560216</v>
      </c>
      <c r="L118" s="23">
        <f t="shared" si="45"/>
        <v>0.22343399435478034</v>
      </c>
      <c r="M118" s="23">
        <f t="shared" si="45"/>
        <v>0.21464949112297196</v>
      </c>
      <c r="N118" s="23">
        <f t="shared" si="45"/>
        <v>0.18667127689652011</v>
      </c>
      <c r="O118" s="23">
        <f t="shared" si="45"/>
        <v>0.17964231237779346</v>
      </c>
      <c r="P118" s="23">
        <f t="shared" si="45"/>
        <v>0.17911763178571655</v>
      </c>
      <c r="Q118" s="23" t="str">
        <f t="shared" si="45"/>
        <v/>
      </c>
    </row>
    <row r="119" spans="1:17" ht="15.75" customHeight="1">
      <c r="B119" s="7" t="s">
        <v>81</v>
      </c>
      <c r="C119" s="42">
        <f>IF(valuation_method="DDM",(C4+C12)/C102,C4/C102)</f>
        <v>1.3597528471337827</v>
      </c>
      <c r="E119" s="268"/>
      <c r="G119" s="42">
        <f t="shared" ref="G119:Q119" si="46">IF(G4="","",IF(valuation_method="DDM",(G4+G12)/G102,G4/G102))</f>
        <v>1.4249464675730965</v>
      </c>
      <c r="H119" s="42">
        <f t="shared" si="46"/>
        <v>1.3563674599097764</v>
      </c>
      <c r="I119" s="42">
        <f t="shared" si="46"/>
        <v>1.4464888591801945</v>
      </c>
      <c r="J119" s="42">
        <f t="shared" si="46"/>
        <v>1.2658866665668518</v>
      </c>
      <c r="K119" s="42">
        <f t="shared" si="46"/>
        <v>1.0517689055400976</v>
      </c>
      <c r="L119" s="42">
        <f t="shared" si="46"/>
        <v>1.2126993917754683</v>
      </c>
      <c r="M119" s="42">
        <f t="shared" si="46"/>
        <v>1.5773500499589632</v>
      </c>
      <c r="N119" s="42">
        <f t="shared" si="46"/>
        <v>1.3255959645391029</v>
      </c>
      <c r="O119" s="42">
        <f t="shared" si="46"/>
        <v>1.4143794934785927</v>
      </c>
      <c r="P119" s="42">
        <f t="shared" si="46"/>
        <v>1.5680382504221595</v>
      </c>
      <c r="Q119" s="42" t="str">
        <f t="shared" si="46"/>
        <v/>
      </c>
    </row>
    <row r="120" spans="1:17" ht="15.75" customHeight="1">
      <c r="B120" s="7" t="s">
        <v>89</v>
      </c>
      <c r="C120" s="15">
        <f>C102/C106</f>
        <v>1.7322349326389359</v>
      </c>
      <c r="D120" s="11"/>
      <c r="E120" s="272"/>
      <c r="F120" s="11"/>
      <c r="G120" s="15">
        <f t="shared" ref="G120:Q120" si="47">IF(G$4="","",G102/G106)</f>
        <v>1.7322349326389359</v>
      </c>
      <c r="H120" s="15">
        <f t="shared" si="47"/>
        <v>1.6757573874413085</v>
      </c>
      <c r="I120" s="15">
        <f t="shared" si="47"/>
        <v>1.7806909872621275</v>
      </c>
      <c r="J120" s="15">
        <f t="shared" si="47"/>
        <v>1.8037938049215232</v>
      </c>
      <c r="K120" s="15">
        <f t="shared" si="47"/>
        <v>1.6357658938639847</v>
      </c>
      <c r="L120" s="15">
        <f t="shared" si="47"/>
        <v>1.6808338003235295</v>
      </c>
      <c r="M120" s="15">
        <f t="shared" si="47"/>
        <v>1.4417337782465118</v>
      </c>
      <c r="N120" s="15">
        <f t="shared" si="47"/>
        <v>1.2514295912233244</v>
      </c>
      <c r="O120" s="15">
        <f t="shared" si="47"/>
        <v>1.2188043439097689</v>
      </c>
      <c r="P120" s="15">
        <f t="shared" si="47"/>
        <v>1.2789294605647592</v>
      </c>
      <c r="Q120" s="15" t="str">
        <f t="shared" si="47"/>
        <v/>
      </c>
    </row>
    <row r="121" spans="1:17" ht="15.75" customHeight="1">
      <c r="A121" s="10"/>
      <c r="B121" s="70" t="s">
        <v>218</v>
      </c>
      <c r="C121" s="102">
        <f>C13/C106</f>
        <v>0.48081993064288991</v>
      </c>
      <c r="D121" s="103"/>
      <c r="E121" s="271"/>
      <c r="F121" s="103"/>
      <c r="G121" s="102">
        <f t="shared" ref="G121:Q121" si="48">IF(G$4="","",G13/G106)</f>
        <v>0.58477469769697199</v>
      </c>
      <c r="H121" s="102">
        <f t="shared" si="48"/>
        <v>0.52271849239180446</v>
      </c>
      <c r="I121" s="102">
        <f t="shared" si="48"/>
        <v>0.55096975068907228</v>
      </c>
      <c r="J121" s="102">
        <f t="shared" si="48"/>
        <v>0.50492984424349086</v>
      </c>
      <c r="K121" s="102">
        <f t="shared" si="48"/>
        <v>0.33416687316254495</v>
      </c>
      <c r="L121" s="102">
        <f t="shared" si="48"/>
        <v>0.45543581710649117</v>
      </c>
      <c r="M121" s="102">
        <f t="shared" si="48"/>
        <v>0.48813845329276095</v>
      </c>
      <c r="N121" s="102">
        <f t="shared" si="48"/>
        <v>0.30966711752329423</v>
      </c>
      <c r="O121" s="102">
        <f t="shared" si="48"/>
        <v>0.30967673622932218</v>
      </c>
      <c r="P121" s="102">
        <f t="shared" si="48"/>
        <v>0.35920434615886215</v>
      </c>
      <c r="Q121" s="102" t="str">
        <f t="shared" si="48"/>
        <v/>
      </c>
    </row>
    <row r="122" spans="1:17" ht="15.75" customHeight="1">
      <c r="A122" s="10"/>
      <c r="B122" s="27"/>
      <c r="C122" s="62"/>
      <c r="D122" s="27"/>
      <c r="E122" s="67"/>
      <c r="F122" s="27"/>
      <c r="G122" s="12"/>
      <c r="H122" s="12"/>
      <c r="I122" s="12"/>
      <c r="J122" s="12"/>
      <c r="K122" s="12"/>
      <c r="L122" s="12"/>
      <c r="M122" s="12"/>
      <c r="N122" s="12"/>
      <c r="O122" s="12"/>
      <c r="P122" s="12"/>
      <c r="Q122" s="12"/>
    </row>
    <row r="123" spans="1:17" ht="15.75" customHeight="1">
      <c r="A123" s="10"/>
      <c r="B123" s="54" t="s">
        <v>219</v>
      </c>
      <c r="C123" s="54"/>
      <c r="D123" s="56"/>
      <c r="E123" s="66" t="s">
        <v>57</v>
      </c>
      <c r="F123" s="56"/>
      <c r="G123" s="37"/>
      <c r="H123" s="37"/>
      <c r="I123" s="37"/>
      <c r="J123" s="37"/>
      <c r="K123" s="37"/>
      <c r="L123" s="37"/>
      <c r="M123" s="37"/>
      <c r="N123" s="37"/>
      <c r="O123" s="37"/>
      <c r="P123" s="37"/>
      <c r="Q123" s="37"/>
    </row>
    <row r="124" spans="1:17" ht="15.75" customHeight="1">
      <c r="A124" s="10"/>
      <c r="B124" s="178" t="s">
        <v>166</v>
      </c>
      <c r="C124" s="179"/>
      <c r="D124" s="27"/>
      <c r="E124" s="265"/>
      <c r="F124" s="27"/>
      <c r="G124" s="12"/>
      <c r="H124" s="12"/>
      <c r="I124" s="12"/>
      <c r="J124" s="12"/>
      <c r="K124" s="12"/>
      <c r="L124" s="12"/>
      <c r="M124" s="12"/>
      <c r="N124" s="12"/>
      <c r="O124" s="12"/>
      <c r="P124" s="12"/>
      <c r="Q124" s="12"/>
    </row>
    <row r="125" spans="1:17" ht="15.75" customHeight="1">
      <c r="A125" s="10"/>
      <c r="B125" s="27" t="str">
        <f>"FCFE per share ("&amp;Market_currency&amp;")"</f>
        <v>FCFE per share (USD)</v>
      </c>
      <c r="C125" s="177">
        <f>C16*$C$3/Common_Shares*Exchange_Rate</f>
        <v>12.774806914700038</v>
      </c>
      <c r="D125" s="27"/>
      <c r="E125" s="265"/>
      <c r="F125" s="27"/>
      <c r="G125" s="177">
        <f t="shared" ref="G125:Q125" si="49">IF(G$4="","",G16*$C$3/Common_Shares*Exchange_Rate)</f>
        <v>14.576872630838178</v>
      </c>
      <c r="H125" s="177">
        <f t="shared" si="49"/>
        <v>13.239073999933797</v>
      </c>
      <c r="I125" s="177">
        <f t="shared" si="49"/>
        <v>10.489531466420765</v>
      </c>
      <c r="J125" s="177">
        <f t="shared" si="49"/>
        <v>8.5525525132626914</v>
      </c>
      <c r="K125" s="177">
        <f t="shared" si="49"/>
        <v>5.2113059566888138</v>
      </c>
      <c r="L125" s="177">
        <f t="shared" si="49"/>
        <v>5.3177931556833924</v>
      </c>
      <c r="M125" s="177">
        <f t="shared" si="49"/>
        <v>3.9583249388372392</v>
      </c>
      <c r="N125" s="177">
        <f t="shared" si="49"/>
        <v>2.4464019646779742</v>
      </c>
      <c r="O125" s="177">
        <f t="shared" si="49"/>
        <v>2.5182779035699419</v>
      </c>
      <c r="P125" s="177">
        <f t="shared" si="49"/>
        <v>2.2247664075792453</v>
      </c>
      <c r="Q125" s="177" t="str">
        <f t="shared" si="49"/>
        <v/>
      </c>
    </row>
    <row r="126" spans="1:17" ht="15.75" customHeight="1">
      <c r="A126" s="10"/>
      <c r="B126" s="27" t="s">
        <v>264</v>
      </c>
      <c r="C126" s="77">
        <f>C19*Exchange_Rate*$C$3/(Market_Price*Common_Shares)</f>
        <v>6.5028286661746204E-2</v>
      </c>
      <c r="D126" s="27"/>
      <c r="E126" s="265"/>
      <c r="F126" s="27"/>
      <c r="G126" s="77">
        <f t="shared" ref="G126" si="50">IF(G$4="","",G125/Market_Price)</f>
        <v>7.4201438690955357E-2</v>
      </c>
      <c r="H126" s="77">
        <f t="shared" ref="H126" si="51">IF(H$4="","",H125/Market_Price)</f>
        <v>6.7391570373804013E-2</v>
      </c>
      <c r="I126" s="77">
        <f t="shared" ref="I126" si="52">IF(I$4="","",I125/Market_Price)</f>
        <v>5.3395426146198854E-2</v>
      </c>
      <c r="J126" s="77">
        <f t="shared" ref="J126" si="53">IF(J$4="","",J125/Market_Price)</f>
        <v>4.353551801100887E-2</v>
      </c>
      <c r="K126" s="77">
        <f t="shared" ref="K126" si="54">IF(K$4="","",K125/Market_Price)</f>
        <v>2.6527390973218701E-2</v>
      </c>
      <c r="L126" s="77">
        <f t="shared" ref="L126" si="55">IF(L$4="","",L125/Market_Price)</f>
        <v>2.7069448489098463E-2</v>
      </c>
      <c r="M126" s="77">
        <f t="shared" ref="M126" si="56">IF(M$4="","",M125/Market_Price)</f>
        <v>2.014927431324632E-2</v>
      </c>
      <c r="N126" s="77">
        <f t="shared" ref="N126" si="57">IF(N$4="","",N125/Market_Price)</f>
        <v>1.2453051487289256E-2</v>
      </c>
      <c r="O126" s="77">
        <f t="shared" ref="O126" si="58">IF(O$4="","",O125/Market_Price)</f>
        <v>1.2818925444489397E-2</v>
      </c>
      <c r="P126" s="77">
        <f t="shared" ref="P126" si="59">IF(P$4="","",P125/Market_Price)</f>
        <v>1.132484809152072E-2</v>
      </c>
      <c r="Q126" s="77" t="str">
        <f t="shared" ref="Q126" si="60">IF(Q$4="","",Q125/Market_Price)</f>
        <v/>
      </c>
    </row>
    <row r="127" spans="1:17" ht="15.75" customHeight="1">
      <c r="B127" s="2" t="s">
        <v>377</v>
      </c>
      <c r="C127" s="169"/>
      <c r="G127" s="23">
        <f>IF(G$4="","",(Data!C47*$C$3)/(Market_Price*Common_Shares))</f>
        <v>7.7074615360888443E-2</v>
      </c>
      <c r="H127" s="23">
        <f>IF(H$4="","",(Data!D47*$C$3)/(Market_Price*Common_Shares))</f>
        <v>6.5843295764115184E-2</v>
      </c>
      <c r="I127" s="23">
        <f>IF(I$4="","",(Data!E47*$C$3)/(Market_Price*Common_Shares))</f>
        <v>3.6307065081806533E-2</v>
      </c>
      <c r="J127" s="23">
        <f>IF(J$4="","",(Data!F47*$C$3)/(Market_Price*Common_Shares))</f>
        <v>4.1426157381513465E-2</v>
      </c>
      <c r="K127" s="23">
        <f>IF(K$4="","",(Data!G47*$C$3)/(Market_Price*Common_Shares))</f>
        <v>2.501369047557549E-2</v>
      </c>
      <c r="L127" s="23">
        <f>IF(L$4="","",(Data!H47*$C$3)/(Market_Price*Common_Shares))</f>
        <v>2.7421263440049099E-2</v>
      </c>
      <c r="M127" s="23">
        <f>IF(M$4="","",(Data!I47*$C$3)/(Market_Price*Common_Shares))</f>
        <v>2.0549127741744361E-2</v>
      </c>
      <c r="N127" s="23">
        <f>IF(N$4="","",(Data!J47*$C$3)/(Market_Price*Common_Shares))</f>
        <v>1.0986497506071877E-2</v>
      </c>
      <c r="O127" s="23">
        <f>IF(O$4="","",(Data!K47*$C$3)/(Market_Price*Common_Shares))</f>
        <v>1.2885907477285385E-2</v>
      </c>
      <c r="P127" s="23">
        <f>IF(P$4="","",(Data!L47*$C$3)/(Market_Price*Common_Shares))</f>
        <v>1.1300170500490619E-2</v>
      </c>
      <c r="Q127" s="23" t="str">
        <f>IF(Q$4="","",(Data!M47*$C$3)/(Market_Price*Common_Shares))</f>
        <v/>
      </c>
    </row>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sheetData>
  <phoneticPr fontId="2" type="noConversion"/>
  <conditionalFormatting sqref="G4:Q13 G15:Q16 G23:Q24 G34:Q34">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Q105"/>
  <sheetViews>
    <sheetView showGridLines="0" zoomScale="75" zoomScaleNormal="85" workbookViewId="0">
      <selection activeCell="C12" sqref="C12"/>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53</v>
      </c>
      <c r="C2" s="37"/>
      <c r="D2" s="37"/>
      <c r="E2" s="37"/>
      <c r="F2" s="37"/>
      <c r="H2" s="130" t="s">
        <v>57</v>
      </c>
    </row>
    <row r="3" spans="2:8" ht="13.15">
      <c r="B3" s="109" t="s">
        <v>159</v>
      </c>
      <c r="C3" s="107">
        <f>scaling_factor</f>
        <v>1000</v>
      </c>
      <c r="E3" s="109" t="s">
        <v>120</v>
      </c>
      <c r="H3" s="120"/>
    </row>
    <row r="4" spans="2:8">
      <c r="B4" s="100" t="s">
        <v>124</v>
      </c>
      <c r="C4" s="338">
        <f>Normalized_FCF!C19</f>
        <v>1531001.7296417297</v>
      </c>
      <c r="D4" t="str">
        <f>Reporting_currency</f>
        <v>USD</v>
      </c>
      <c r="E4" s="100" t="s">
        <v>246</v>
      </c>
      <c r="F4" s="134">
        <f>Terminal_Growth</f>
        <v>0</v>
      </c>
      <c r="H4" s="120"/>
    </row>
    <row r="5" spans="2:8">
      <c r="B5" s="205" t="s">
        <v>119</v>
      </c>
      <c r="C5" s="206">
        <f>Equity_Cost</f>
        <v>7.4999999999999997E-2</v>
      </c>
      <c r="E5" s="148"/>
      <c r="H5" s="120"/>
    </row>
    <row r="6" spans="2:8" ht="13.35" customHeight="1">
      <c r="B6" s="149" t="s">
        <v>224</v>
      </c>
      <c r="C6" s="347">
        <f>(C4*(1+Terminal_Growth))/(Equity_Cost-Terminal_Growth)</f>
        <v>20413356.395223062</v>
      </c>
      <c r="D6" t="str">
        <f>Reporting_currency</f>
        <v>USD</v>
      </c>
      <c r="E6" s="375" t="s">
        <v>245</v>
      </c>
      <c r="F6" s="375"/>
      <c r="H6" s="120"/>
    </row>
    <row r="7" spans="2:8">
      <c r="B7" s="148" t="s">
        <v>220</v>
      </c>
      <c r="C7" s="338">
        <f>BS!G31</f>
        <v>1706782</v>
      </c>
      <c r="D7" t="str">
        <f>Reporting_currency</f>
        <v>USD</v>
      </c>
      <c r="E7" s="375"/>
      <c r="F7" s="375"/>
      <c r="H7" s="120"/>
    </row>
    <row r="8" spans="2:8">
      <c r="B8" s="148" t="s">
        <v>221</v>
      </c>
      <c r="C8" s="338">
        <f>BS!D66</f>
        <v>655172.72915731848</v>
      </c>
      <c r="D8" t="str">
        <f>Reporting_currency</f>
        <v>USD</v>
      </c>
      <c r="E8" s="375"/>
      <c r="F8" s="375"/>
      <c r="H8" s="120"/>
    </row>
    <row r="9" spans="2:8">
      <c r="B9" s="205" t="s">
        <v>186</v>
      </c>
      <c r="C9" s="348">
        <f>BS!H42</f>
        <v>0</v>
      </c>
      <c r="D9" t="str">
        <f>Reporting_currency</f>
        <v>USD</v>
      </c>
      <c r="E9" s="375"/>
      <c r="F9" s="375"/>
      <c r="H9" s="120"/>
    </row>
    <row r="10" spans="2:8" ht="13.15">
      <c r="B10" s="149" t="s">
        <v>223</v>
      </c>
      <c r="C10" s="347">
        <f>C6-C7+C8+C9</f>
        <v>19361747.12438038</v>
      </c>
      <c r="D10" t="str">
        <f>Reporting_currency</f>
        <v>USD</v>
      </c>
      <c r="H10" s="120"/>
    </row>
    <row r="11" spans="2:8" ht="13.15" thickBot="1">
      <c r="B11" s="207" t="s">
        <v>162</v>
      </c>
      <c r="C11" s="208">
        <f>Exchange_Rate</f>
        <v>1</v>
      </c>
      <c r="D11" t="str">
        <f>Thesis!C15</f>
        <v>USD</v>
      </c>
      <c r="H11" s="120"/>
    </row>
    <row r="12" spans="2:8" ht="13.5" thickTop="1">
      <c r="B12" s="149" t="s">
        <v>99</v>
      </c>
      <c r="C12" s="111">
        <f>(C10*scaling_factor)/Common_Shares*Exchange_Rate</f>
        <v>161.55604285508468</v>
      </c>
      <c r="D12" t="str">
        <f>Market_currency</f>
        <v>USD</v>
      </c>
      <c r="H12" s="120"/>
    </row>
    <row r="13" spans="2:8">
      <c r="H13" s="120"/>
    </row>
    <row r="14" spans="2:8" ht="13.9">
      <c r="B14" s="36" t="s">
        <v>225</v>
      </c>
      <c r="C14" s="37"/>
      <c r="D14" s="37"/>
      <c r="E14" s="37"/>
      <c r="F14" s="37"/>
      <c r="H14" s="120"/>
    </row>
    <row r="15" spans="2:8" ht="13.15">
      <c r="B15" s="119" t="s">
        <v>131</v>
      </c>
      <c r="H15" s="120"/>
    </row>
    <row r="16" spans="2:8" ht="13.35" customHeight="1">
      <c r="B16" s="152" t="s">
        <v>129</v>
      </c>
      <c r="C16" s="161">
        <f>Scenarios!C65</f>
        <v>5.6956407974813751E-2</v>
      </c>
      <c r="H16" s="120"/>
    </row>
    <row r="17" spans="2:17" ht="13.35" customHeight="1">
      <c r="B17" s="118" t="s">
        <v>130</v>
      </c>
      <c r="C17" s="162">
        <f>Scenarios!C64</f>
        <v>5</v>
      </c>
      <c r="H17" s="120"/>
    </row>
    <row r="18" spans="2:17" ht="13.35" customHeight="1">
      <c r="B18" s="153" t="s">
        <v>103</v>
      </c>
      <c r="C18" s="140">
        <f>(F52-C7+C8+C9)*Exchange_Rate/Common_Shares*scaling_factor</f>
        <v>177.35704618933633</v>
      </c>
      <c r="D18" t="str">
        <f>Market_currency</f>
        <v>USD</v>
      </c>
      <c r="H18" s="120"/>
    </row>
    <row r="19" spans="2:17">
      <c r="H19" s="120"/>
    </row>
    <row r="20" spans="2:17" ht="13.15">
      <c r="B20" s="128" t="s">
        <v>104</v>
      </c>
      <c r="C20" s="128" t="s">
        <v>105</v>
      </c>
      <c r="D20" s="128" t="s">
        <v>114</v>
      </c>
      <c r="E20" s="128" t="s">
        <v>106</v>
      </c>
      <c r="F20" s="129" t="s">
        <v>107</v>
      </c>
      <c r="H20" s="120"/>
    </row>
    <row r="21" spans="2:17">
      <c r="B21" s="122">
        <v>1</v>
      </c>
      <c r="C21" s="123">
        <f>C4*(1+D21)</f>
        <v>1618202.0887653495</v>
      </c>
      <c r="D21" s="138">
        <f>IF($C$17&lt;B21,0,DCF!$C$16)</f>
        <v>5.6956407974813751E-2</v>
      </c>
      <c r="E21" s="124">
        <f t="shared" ref="E21:E50" si="0">IF($C$17&lt;B21,0,1/(1+Equity_Cost)^B21)</f>
        <v>0.93023255813953487</v>
      </c>
      <c r="F21" s="125">
        <f t="shared" ref="F21:F51" si="1">C21*E21</f>
        <v>1505304.2686189297</v>
      </c>
      <c r="H21" s="120"/>
    </row>
    <row r="22" spans="2:17">
      <c r="B22" s="122">
        <v>2</v>
      </c>
      <c r="C22" s="123">
        <f t="shared" ref="C22:C50" si="2">IF(ROW()-ROW($C$21)&lt;$C$17, $C$21*(1+D22)^(ROW()-ROW($C$21)), 0)</f>
        <v>1710369.0671187644</v>
      </c>
      <c r="D22" s="138">
        <f>IF($C$17&lt;B22,0,DCF!$C$16)</f>
        <v>5.6956407974813751E-2</v>
      </c>
      <c r="E22" s="124">
        <f t="shared" si="0"/>
        <v>0.86533261222282321</v>
      </c>
      <c r="F22" s="125">
        <f t="shared" si="1"/>
        <v>1480038.1327149936</v>
      </c>
      <c r="H22" s="120"/>
    </row>
    <row r="23" spans="2:17">
      <c r="B23" s="122">
        <v>3</v>
      </c>
      <c r="C23" s="123">
        <f t="shared" si="2"/>
        <v>1807785.5454930824</v>
      </c>
      <c r="D23" s="138">
        <f>IF($C$17&lt;B23,0,DCF!$C$16)</f>
        <v>5.6956407974813751E-2</v>
      </c>
      <c r="E23" s="124">
        <f t="shared" si="0"/>
        <v>0.80496056950960304</v>
      </c>
      <c r="F23" s="125">
        <f t="shared" si="1"/>
        <v>1455196.0822513399</v>
      </c>
      <c r="G23" s="338"/>
      <c r="H23" s="339"/>
      <c r="I23" s="338"/>
      <c r="J23" s="338"/>
      <c r="K23" s="338"/>
      <c r="L23" s="338"/>
      <c r="M23" s="338"/>
      <c r="N23" s="338"/>
      <c r="O23" s="338"/>
      <c r="P23" s="338"/>
      <c r="Q23" s="338"/>
    </row>
    <row r="24" spans="2:17">
      <c r="B24" s="122">
        <v>4</v>
      </c>
      <c r="C24" s="123">
        <f t="shared" si="2"/>
        <v>1910750.5165531575</v>
      </c>
      <c r="D24" s="138">
        <f>IF($C$17&lt;B24,0,DCF!$C$16)</f>
        <v>5.6956407974813751E-2</v>
      </c>
      <c r="E24" s="124">
        <f t="shared" si="0"/>
        <v>0.7488005297763749</v>
      </c>
      <c r="F24" s="125">
        <f t="shared" si="1"/>
        <v>1430770.9990654862</v>
      </c>
      <c r="G24" s="338"/>
      <c r="H24" s="339"/>
      <c r="I24" s="338"/>
      <c r="J24" s="338"/>
      <c r="K24" s="338"/>
      <c r="L24" s="338"/>
      <c r="M24" s="338"/>
      <c r="N24" s="338"/>
      <c r="O24" s="338"/>
      <c r="P24" s="338"/>
      <c r="Q24" s="338"/>
    </row>
    <row r="25" spans="2:17">
      <c r="B25" s="122">
        <v>5</v>
      </c>
      <c r="C25" s="123">
        <f t="shared" si="2"/>
        <v>2019580.0025120452</v>
      </c>
      <c r="D25" s="138">
        <f>IF($C$17&lt;B25,0,DCF!$C$16)</f>
        <v>5.6956407974813751E-2</v>
      </c>
      <c r="E25" s="124">
        <f t="shared" si="0"/>
        <v>0.69655863235011617</v>
      </c>
      <c r="F25" s="125">
        <f t="shared" si="1"/>
        <v>1406755.8844714344</v>
      </c>
      <c r="G25" s="338"/>
      <c r="H25" s="339"/>
      <c r="I25" s="338"/>
      <c r="J25" s="338"/>
      <c r="K25" s="338"/>
      <c r="L25" s="338"/>
      <c r="M25" s="338"/>
      <c r="N25" s="338"/>
      <c r="O25" s="338"/>
      <c r="P25" s="338"/>
      <c r="Q25" s="338"/>
    </row>
    <row r="26" spans="2:17">
      <c r="B26" s="122">
        <v>6</v>
      </c>
      <c r="C26" s="123">
        <f t="shared" si="2"/>
        <v>0</v>
      </c>
      <c r="D26" s="138">
        <f>IF($C$17&lt;B26,0,DCF!$C$16)</f>
        <v>0</v>
      </c>
      <c r="E26" s="124">
        <f t="shared" si="0"/>
        <v>0</v>
      </c>
      <c r="F26" s="125">
        <f t="shared" si="1"/>
        <v>0</v>
      </c>
      <c r="H26" s="120"/>
    </row>
    <row r="27" spans="2:17">
      <c r="B27" s="122">
        <v>7</v>
      </c>
      <c r="C27" s="123">
        <f t="shared" si="2"/>
        <v>0</v>
      </c>
      <c r="D27" s="138">
        <f>IF($C$17&lt;B27,0,DCF!$C$16)</f>
        <v>0</v>
      </c>
      <c r="E27" s="124">
        <f t="shared" si="0"/>
        <v>0</v>
      </c>
      <c r="F27" s="125">
        <f t="shared" si="1"/>
        <v>0</v>
      </c>
      <c r="H27" s="120"/>
    </row>
    <row r="28" spans="2:17">
      <c r="B28" s="122">
        <v>8</v>
      </c>
      <c r="C28" s="123">
        <f t="shared" si="2"/>
        <v>0</v>
      </c>
      <c r="D28" s="138">
        <f>IF($C$17&lt;B28,0,DCF!$C$16)</f>
        <v>0</v>
      </c>
      <c r="E28" s="124">
        <f t="shared" si="0"/>
        <v>0</v>
      </c>
      <c r="F28" s="125">
        <f t="shared" si="1"/>
        <v>0</v>
      </c>
      <c r="H28" s="120"/>
    </row>
    <row r="29" spans="2:17">
      <c r="B29" s="122">
        <v>9</v>
      </c>
      <c r="C29" s="123">
        <f t="shared" si="2"/>
        <v>0</v>
      </c>
      <c r="D29" s="138">
        <f>IF($C$17&lt;B29,0,DCF!$C$16)</f>
        <v>0</v>
      </c>
      <c r="E29" s="124">
        <f t="shared" si="0"/>
        <v>0</v>
      </c>
      <c r="F29" s="125">
        <f t="shared" si="1"/>
        <v>0</v>
      </c>
      <c r="H29" s="120"/>
    </row>
    <row r="30" spans="2:17">
      <c r="B30" s="122">
        <v>10</v>
      </c>
      <c r="C30" s="123">
        <f t="shared" si="2"/>
        <v>0</v>
      </c>
      <c r="D30" s="138">
        <f>IF($C$17&lt;B30,0,DCF!$C$16)</f>
        <v>0</v>
      </c>
      <c r="E30" s="124">
        <f t="shared" si="0"/>
        <v>0</v>
      </c>
      <c r="F30" s="125">
        <f t="shared" si="1"/>
        <v>0</v>
      </c>
      <c r="H30" s="120"/>
    </row>
    <row r="31" spans="2:17">
      <c r="B31" s="122">
        <v>11</v>
      </c>
      <c r="C31" s="123">
        <f t="shared" si="2"/>
        <v>0</v>
      </c>
      <c r="D31" s="138">
        <f>IF($C$17&lt;B31,0,DCF!$C$16)</f>
        <v>0</v>
      </c>
      <c r="E31" s="124">
        <f t="shared" si="0"/>
        <v>0</v>
      </c>
      <c r="F31" s="125">
        <f t="shared" si="1"/>
        <v>0</v>
      </c>
      <c r="H31" s="120"/>
    </row>
    <row r="32" spans="2:17">
      <c r="B32" s="122">
        <v>12</v>
      </c>
      <c r="C32" s="123">
        <f t="shared" si="2"/>
        <v>0</v>
      </c>
      <c r="D32" s="138">
        <f>IF($C$17&lt;B32,0,DCF!$C$16)</f>
        <v>0</v>
      </c>
      <c r="E32" s="124">
        <f t="shared" si="0"/>
        <v>0</v>
      </c>
      <c r="F32" s="125">
        <f t="shared" si="1"/>
        <v>0</v>
      </c>
      <c r="H32" s="120"/>
    </row>
    <row r="33" spans="2:17">
      <c r="B33" s="122">
        <v>13</v>
      </c>
      <c r="C33" s="341">
        <f t="shared" si="2"/>
        <v>0</v>
      </c>
      <c r="D33" s="138">
        <f>IF($C$17&lt;B33,0,DCF!$C$16)</f>
        <v>0</v>
      </c>
      <c r="E33" s="124">
        <f t="shared" si="0"/>
        <v>0</v>
      </c>
      <c r="F33" s="125">
        <f t="shared" si="1"/>
        <v>0</v>
      </c>
      <c r="G33" s="338"/>
      <c r="H33" s="339"/>
      <c r="I33" s="338"/>
      <c r="J33" s="338"/>
      <c r="K33" s="338"/>
      <c r="L33" s="338"/>
      <c r="M33" s="338"/>
      <c r="N33" s="338"/>
      <c r="O33" s="338"/>
      <c r="P33" s="338"/>
      <c r="Q33" s="338"/>
    </row>
    <row r="34" spans="2:17">
      <c r="B34" s="122">
        <v>14</v>
      </c>
      <c r="C34" s="341">
        <f t="shared" si="2"/>
        <v>0</v>
      </c>
      <c r="D34" s="138">
        <f>IF($C$17&lt;B34,0,DCF!$C$16)</f>
        <v>0</v>
      </c>
      <c r="E34" s="124">
        <f t="shared" si="0"/>
        <v>0</v>
      </c>
      <c r="F34" s="125">
        <f t="shared" si="1"/>
        <v>0</v>
      </c>
      <c r="G34" s="338"/>
      <c r="H34" s="339"/>
      <c r="I34" s="338"/>
      <c r="J34" s="338"/>
      <c r="K34" s="338"/>
      <c r="L34" s="338"/>
      <c r="M34" s="338"/>
      <c r="N34" s="338"/>
      <c r="O34" s="338"/>
      <c r="P34" s="338"/>
      <c r="Q34" s="338"/>
    </row>
    <row r="35" spans="2:17">
      <c r="B35" s="122">
        <v>15</v>
      </c>
      <c r="C35" s="341">
        <f t="shared" si="2"/>
        <v>0</v>
      </c>
      <c r="D35" s="138">
        <f>IF($C$17&lt;B35,0,DCF!$C$16)</f>
        <v>0</v>
      </c>
      <c r="E35" s="124">
        <f t="shared" si="0"/>
        <v>0</v>
      </c>
      <c r="F35" s="125">
        <f t="shared" si="1"/>
        <v>0</v>
      </c>
      <c r="G35" s="338"/>
      <c r="H35" s="339"/>
      <c r="I35" s="338"/>
      <c r="J35" s="338"/>
      <c r="K35" s="338"/>
      <c r="L35" s="338"/>
      <c r="M35" s="338"/>
      <c r="N35" s="338"/>
      <c r="O35" s="338"/>
      <c r="P35" s="338"/>
      <c r="Q35" s="338"/>
    </row>
    <row r="36" spans="2:17">
      <c r="B36" s="122">
        <v>16</v>
      </c>
      <c r="C36" s="123">
        <f t="shared" si="2"/>
        <v>0</v>
      </c>
      <c r="D36" s="138">
        <f>IF($C$17&lt;B36,0,DCF!$C$16)</f>
        <v>0</v>
      </c>
      <c r="E36" s="124">
        <f t="shared" si="0"/>
        <v>0</v>
      </c>
      <c r="F36" s="125">
        <f t="shared" si="1"/>
        <v>0</v>
      </c>
      <c r="H36" s="120"/>
    </row>
    <row r="37" spans="2:17">
      <c r="B37" s="122">
        <v>17</v>
      </c>
      <c r="C37" s="123">
        <f t="shared" si="2"/>
        <v>0</v>
      </c>
      <c r="D37" s="138">
        <f>IF($C$17&lt;B37,0,DCF!$C$16)</f>
        <v>0</v>
      </c>
      <c r="E37" s="124">
        <f t="shared" si="0"/>
        <v>0</v>
      </c>
      <c r="F37" s="125">
        <f t="shared" si="1"/>
        <v>0</v>
      </c>
      <c r="H37" s="120"/>
    </row>
    <row r="38" spans="2:17">
      <c r="B38" s="122">
        <v>18</v>
      </c>
      <c r="C38" s="123">
        <f t="shared" si="2"/>
        <v>0</v>
      </c>
      <c r="D38" s="138">
        <f>IF($C$17&lt;B38,0,DCF!$C$16)</f>
        <v>0</v>
      </c>
      <c r="E38" s="124">
        <f t="shared" si="0"/>
        <v>0</v>
      </c>
      <c r="F38" s="125">
        <f t="shared" si="1"/>
        <v>0</v>
      </c>
      <c r="H38" s="120"/>
    </row>
    <row r="39" spans="2:17">
      <c r="B39" s="122">
        <v>19</v>
      </c>
      <c r="C39" s="123">
        <f t="shared" si="2"/>
        <v>0</v>
      </c>
      <c r="D39" s="138">
        <f>IF($C$17&lt;B39,0,DCF!$C$16)</f>
        <v>0</v>
      </c>
      <c r="E39" s="124">
        <f t="shared" si="0"/>
        <v>0</v>
      </c>
      <c r="F39" s="125">
        <f t="shared" si="1"/>
        <v>0</v>
      </c>
      <c r="H39" s="120"/>
    </row>
    <row r="40" spans="2:17">
      <c r="B40" s="122">
        <v>20</v>
      </c>
      <c r="C40" s="123">
        <f t="shared" si="2"/>
        <v>0</v>
      </c>
      <c r="D40" s="138">
        <f>IF($C$17&lt;B40,0,DCF!$C$16)</f>
        <v>0</v>
      </c>
      <c r="E40" s="124">
        <f t="shared" si="0"/>
        <v>0</v>
      </c>
      <c r="F40" s="125">
        <f t="shared" si="1"/>
        <v>0</v>
      </c>
      <c r="H40" s="120"/>
    </row>
    <row r="41" spans="2:17">
      <c r="B41" s="122">
        <v>21</v>
      </c>
      <c r="C41" s="123">
        <f t="shared" si="2"/>
        <v>0</v>
      </c>
      <c r="D41" s="138">
        <f>IF($C$17&lt;B41,0,DCF!$C$16)</f>
        <v>0</v>
      </c>
      <c r="E41" s="124">
        <f t="shared" si="0"/>
        <v>0</v>
      </c>
      <c r="F41" s="125">
        <f t="shared" si="1"/>
        <v>0</v>
      </c>
      <c r="H41" s="120"/>
    </row>
    <row r="42" spans="2:17">
      <c r="B42" s="122">
        <v>22</v>
      </c>
      <c r="C42" s="123">
        <f t="shared" si="2"/>
        <v>0</v>
      </c>
      <c r="D42" s="138">
        <f>IF($C$17&lt;B42,0,DCF!$C$16)</f>
        <v>0</v>
      </c>
      <c r="E42" s="124">
        <f t="shared" si="0"/>
        <v>0</v>
      </c>
      <c r="F42" s="125">
        <f t="shared" si="1"/>
        <v>0</v>
      </c>
      <c r="H42" s="120"/>
    </row>
    <row r="43" spans="2:17">
      <c r="B43" s="122">
        <v>23</v>
      </c>
      <c r="C43" s="123">
        <f t="shared" si="2"/>
        <v>0</v>
      </c>
      <c r="D43" s="138">
        <f>IF($C$17&lt;B43,0,DCF!$C$16)</f>
        <v>0</v>
      </c>
      <c r="E43" s="124">
        <f t="shared" si="0"/>
        <v>0</v>
      </c>
      <c r="F43" s="125">
        <f t="shared" si="1"/>
        <v>0</v>
      </c>
      <c r="H43" s="120"/>
    </row>
    <row r="44" spans="2:17">
      <c r="B44" s="122">
        <v>24</v>
      </c>
      <c r="C44" s="123">
        <f t="shared" si="2"/>
        <v>0</v>
      </c>
      <c r="D44" s="138">
        <f>IF($C$17&lt;B44,0,DCF!$C$16)</f>
        <v>0</v>
      </c>
      <c r="E44" s="124">
        <f t="shared" si="0"/>
        <v>0</v>
      </c>
      <c r="F44" s="125">
        <f t="shared" si="1"/>
        <v>0</v>
      </c>
      <c r="H44" s="120"/>
    </row>
    <row r="45" spans="2:17">
      <c r="B45" s="122">
        <v>25</v>
      </c>
      <c r="C45" s="123">
        <f t="shared" si="2"/>
        <v>0</v>
      </c>
      <c r="D45" s="138">
        <f>IF($C$17&lt;B45,0,DCF!$C$16)</f>
        <v>0</v>
      </c>
      <c r="E45" s="124">
        <f t="shared" si="0"/>
        <v>0</v>
      </c>
      <c r="F45" s="125">
        <f t="shared" si="1"/>
        <v>0</v>
      </c>
      <c r="H45" s="120"/>
    </row>
    <row r="46" spans="2:17">
      <c r="B46" s="122">
        <v>26</v>
      </c>
      <c r="C46" s="123">
        <f t="shared" si="2"/>
        <v>0</v>
      </c>
      <c r="D46" s="138">
        <f>IF($C$17&lt;B46,0,DCF!$C$16)</f>
        <v>0</v>
      </c>
      <c r="E46" s="124">
        <f t="shared" si="0"/>
        <v>0</v>
      </c>
      <c r="F46" s="125">
        <f t="shared" si="1"/>
        <v>0</v>
      </c>
      <c r="H46" s="120"/>
    </row>
    <row r="47" spans="2:17">
      <c r="B47" s="122">
        <v>27</v>
      </c>
      <c r="C47" s="341">
        <f t="shared" si="2"/>
        <v>0</v>
      </c>
      <c r="D47" s="138">
        <f>IF($C$17&lt;B47,0,DCF!$C$16)</f>
        <v>0</v>
      </c>
      <c r="E47" s="124">
        <f t="shared" si="0"/>
        <v>0</v>
      </c>
      <c r="F47" s="125">
        <f t="shared" si="1"/>
        <v>0</v>
      </c>
      <c r="G47" s="338"/>
      <c r="H47" s="339"/>
      <c r="I47" s="338"/>
      <c r="J47" s="338"/>
      <c r="K47" s="338"/>
      <c r="L47" s="338"/>
      <c r="M47" s="338"/>
      <c r="N47" s="338"/>
      <c r="O47" s="338"/>
      <c r="P47" s="338"/>
      <c r="Q47" s="338"/>
    </row>
    <row r="48" spans="2:17">
      <c r="B48" s="122">
        <v>28</v>
      </c>
      <c r="C48" s="341">
        <f t="shared" si="2"/>
        <v>0</v>
      </c>
      <c r="D48" s="138">
        <f>IF($C$17&lt;B48,0,DCF!$C$16)</f>
        <v>0</v>
      </c>
      <c r="E48" s="124">
        <f t="shared" si="0"/>
        <v>0</v>
      </c>
      <c r="F48" s="125">
        <f t="shared" si="1"/>
        <v>0</v>
      </c>
      <c r="G48" s="338"/>
      <c r="H48" s="339"/>
      <c r="I48" s="338"/>
      <c r="J48" s="338"/>
      <c r="K48" s="338"/>
      <c r="L48" s="338"/>
      <c r="M48" s="338"/>
      <c r="N48" s="338"/>
      <c r="O48" s="338"/>
      <c r="P48" s="338"/>
      <c r="Q48" s="338"/>
    </row>
    <row r="49" spans="1:17">
      <c r="B49" s="122">
        <v>29</v>
      </c>
      <c r="C49" s="341">
        <f t="shared" si="2"/>
        <v>0</v>
      </c>
      <c r="D49" s="138">
        <f>IF($C$17&lt;B49,0,DCF!$C$16)</f>
        <v>0</v>
      </c>
      <c r="E49" s="124">
        <f t="shared" si="0"/>
        <v>0</v>
      </c>
      <c r="F49" s="125">
        <f t="shared" si="1"/>
        <v>0</v>
      </c>
      <c r="G49" s="338"/>
      <c r="H49" s="339"/>
      <c r="I49" s="338"/>
      <c r="J49" s="338"/>
      <c r="K49" s="338"/>
      <c r="L49" s="338"/>
      <c r="M49" s="338"/>
      <c r="N49" s="338"/>
      <c r="O49" s="338"/>
      <c r="P49" s="338"/>
      <c r="Q49" s="338"/>
    </row>
    <row r="50" spans="1:17">
      <c r="B50" s="122">
        <v>30</v>
      </c>
      <c r="C50" s="341">
        <f t="shared" si="2"/>
        <v>0</v>
      </c>
      <c r="D50" s="138">
        <f>IF($C$17&lt;B50,0,DCF!$C$16)</f>
        <v>0</v>
      </c>
      <c r="E50" s="124">
        <f t="shared" si="0"/>
        <v>0</v>
      </c>
      <c r="F50" s="125">
        <f t="shared" si="1"/>
        <v>0</v>
      </c>
      <c r="G50" s="338"/>
      <c r="H50" s="339"/>
      <c r="I50" s="338"/>
      <c r="J50" s="338"/>
      <c r="K50" s="338"/>
      <c r="L50" s="338"/>
      <c r="M50" s="338"/>
      <c r="N50" s="338"/>
      <c r="O50" s="338"/>
      <c r="P50" s="338"/>
      <c r="Q50" s="338"/>
    </row>
    <row r="51" spans="1:17">
      <c r="B51" s="126" t="s">
        <v>127</v>
      </c>
      <c r="C51" s="123">
        <f>C$21*(1+Terminal_Growth)^$C$17/Equity_Cost</f>
        <v>21576027.850204661</v>
      </c>
      <c r="D51" s="139">
        <f>Terminal_Growth</f>
        <v>0</v>
      </c>
      <c r="E51" s="124">
        <f>1/(1+Equity_Cost)^C17</f>
        <v>0.69655863235011617</v>
      </c>
      <c r="F51" s="125">
        <f t="shared" si="1"/>
        <v>15028968.450886576</v>
      </c>
      <c r="H51" s="120"/>
    </row>
    <row r="52" spans="1:17">
      <c r="C52" s="114"/>
      <c r="E52" s="127" t="s">
        <v>97</v>
      </c>
      <c r="F52" s="137">
        <f>SUM(F21:F51)</f>
        <v>22307033.818008758</v>
      </c>
      <c r="H52" s="120"/>
    </row>
    <row r="53" spans="1:17">
      <c r="C53" s="114"/>
      <c r="H53" s="120"/>
    </row>
    <row r="54" spans="1:17" ht="13.15">
      <c r="B54" s="119" t="s">
        <v>125</v>
      </c>
      <c r="C54" s="136"/>
      <c r="D54" s="136"/>
      <c r="E54" s="117"/>
      <c r="F54" s="117"/>
      <c r="H54" s="120"/>
    </row>
    <row r="55" spans="1:17" ht="13.15">
      <c r="A55" s="133">
        <f>F52</f>
        <v>22307033.818008758</v>
      </c>
      <c r="B55" s="131">
        <f>C78</f>
        <v>0</v>
      </c>
      <c r="C55" s="131">
        <f>C77</f>
        <v>0.02</v>
      </c>
      <c r="D55" s="131">
        <f>C76</f>
        <v>0.05</v>
      </c>
      <c r="E55" s="131">
        <f>C75</f>
        <v>0.08</v>
      </c>
      <c r="F55" s="131">
        <f>C74</f>
        <v>0.1</v>
      </c>
      <c r="H55" s="120"/>
    </row>
    <row r="56" spans="1:17" ht="13.15">
      <c r="A56" s="143">
        <v>5</v>
      </c>
      <c r="B56" s="123">
        <f t="dataTable" ref="B56:F61" dt2D="1" dtr="1" r1="C16" r2="C17"/>
        <v>20413356.395223066</v>
      </c>
      <c r="C56" s="123">
        <v>21060674.200871214</v>
      </c>
      <c r="D56" s="123">
        <v>22067267.025604811</v>
      </c>
      <c r="E56" s="123">
        <v>23119115.031596292</v>
      </c>
      <c r="F56" s="123">
        <v>23846940.454297036</v>
      </c>
      <c r="H56" s="120"/>
    </row>
    <row r="57" spans="1:17" ht="13.15">
      <c r="A57" s="143">
        <v>10</v>
      </c>
      <c r="B57" s="123">
        <v>20413356.395223066</v>
      </c>
      <c r="C57" s="123">
        <v>21702572.867263172</v>
      </c>
      <c r="D57" s="123">
        <v>23881887.948928982</v>
      </c>
      <c r="E57" s="123">
        <v>26403976.482255839</v>
      </c>
      <c r="F57" s="123">
        <v>28306344.539206877</v>
      </c>
      <c r="H57" s="120"/>
    </row>
    <row r="58" spans="1:17" ht="13.15">
      <c r="A58" s="143">
        <v>15</v>
      </c>
      <c r="B58" s="123">
        <v>20413356.395223066</v>
      </c>
      <c r="C58" s="341">
        <v>22515291.749357037</v>
      </c>
      <c r="D58" s="123">
        <v>26366952.929839678</v>
      </c>
      <c r="E58" s="123">
        <v>31289312.086395308</v>
      </c>
      <c r="F58" s="123">
        <v>35327289.368223153</v>
      </c>
      <c r="G58" s="338"/>
      <c r="H58" s="339"/>
      <c r="I58" s="338"/>
      <c r="J58" s="338"/>
      <c r="K58" s="338"/>
      <c r="L58" s="338"/>
      <c r="M58" s="338"/>
      <c r="N58" s="338"/>
      <c r="O58" s="338"/>
      <c r="P58" s="338"/>
      <c r="Q58" s="338"/>
    </row>
    <row r="59" spans="1:17" ht="13.15">
      <c r="A59" s="144">
        <v>20</v>
      </c>
      <c r="B59" s="123">
        <v>20413356.395223066</v>
      </c>
      <c r="C59" s="341">
        <v>23362564.443074558</v>
      </c>
      <c r="D59" s="123">
        <v>29183488.200808391</v>
      </c>
      <c r="E59" s="123">
        <v>37350437.126462117</v>
      </c>
      <c r="F59" s="123">
        <v>44609366.323062159</v>
      </c>
      <c r="G59" s="338"/>
      <c r="H59" s="339"/>
      <c r="I59" s="338"/>
      <c r="J59" s="338"/>
      <c r="K59" s="338"/>
      <c r="L59" s="338"/>
      <c r="M59" s="338"/>
      <c r="N59" s="338"/>
      <c r="O59" s="338"/>
      <c r="P59" s="338"/>
      <c r="Q59" s="338"/>
    </row>
    <row r="60" spans="1:17" ht="13.15">
      <c r="A60" s="144">
        <v>25</v>
      </c>
      <c r="B60" s="123">
        <v>20413356.395223066</v>
      </c>
      <c r="C60" s="341">
        <v>24168972.498349316</v>
      </c>
      <c r="D60" s="123">
        <v>32110422.185372811</v>
      </c>
      <c r="E60" s="123">
        <v>44292964.84553162</v>
      </c>
      <c r="F60" s="123">
        <v>56001412.791072369</v>
      </c>
      <c r="G60" s="338"/>
      <c r="H60" s="339"/>
      <c r="I60" s="338"/>
      <c r="J60" s="338"/>
      <c r="K60" s="338"/>
      <c r="L60" s="338"/>
      <c r="M60" s="338"/>
      <c r="N60" s="338"/>
      <c r="O60" s="338"/>
      <c r="P60" s="338"/>
      <c r="Q60" s="338"/>
    </row>
    <row r="61" spans="1:17" ht="13.15">
      <c r="A61" s="144">
        <v>30</v>
      </c>
      <c r="B61" s="123">
        <v>20413356.395223066</v>
      </c>
      <c r="C61" s="341">
        <v>24896978.454680778</v>
      </c>
      <c r="D61" s="123">
        <v>35007139.338793904</v>
      </c>
      <c r="E61" s="123">
        <v>51913302.247170821</v>
      </c>
      <c r="F61" s="123">
        <v>69463300.917498499</v>
      </c>
      <c r="G61" s="338"/>
      <c r="H61" s="339"/>
      <c r="I61" s="338"/>
      <c r="J61" s="338"/>
      <c r="K61" s="338"/>
      <c r="L61" s="338"/>
      <c r="M61" s="338"/>
      <c r="N61" s="338"/>
      <c r="O61" s="338"/>
      <c r="P61" s="338"/>
      <c r="Q61" s="338"/>
    </row>
    <row r="62" spans="1:17">
      <c r="C62" s="338"/>
      <c r="D62" s="114"/>
      <c r="E62" s="114"/>
      <c r="F62" s="114"/>
      <c r="G62" s="338"/>
      <c r="H62" s="339"/>
      <c r="I62" s="338"/>
      <c r="J62" s="338"/>
      <c r="K62" s="338"/>
      <c r="L62" s="338"/>
      <c r="M62" s="338"/>
      <c r="N62" s="338"/>
      <c r="O62" s="338"/>
      <c r="P62" s="338"/>
      <c r="Q62" s="338"/>
    </row>
    <row r="63" spans="1:17" ht="13.15">
      <c r="B63" s="119" t="s">
        <v>126</v>
      </c>
      <c r="C63" s="338"/>
      <c r="D63" s="114"/>
      <c r="E63" s="114"/>
      <c r="F63" s="114"/>
      <c r="G63" s="338"/>
      <c r="H63" s="339"/>
      <c r="I63" s="338"/>
      <c r="J63" s="338"/>
      <c r="K63" s="338"/>
      <c r="L63" s="338"/>
      <c r="M63" s="338"/>
      <c r="N63" s="338"/>
      <c r="O63" s="338"/>
      <c r="P63" s="338"/>
      <c r="Q63" s="338"/>
    </row>
    <row r="64" spans="1:17" ht="13.15">
      <c r="B64" s="132">
        <f>B55</f>
        <v>0</v>
      </c>
      <c r="C64" s="132">
        <f>C55</f>
        <v>0.02</v>
      </c>
      <c r="D64" s="132">
        <f>D55</f>
        <v>0.05</v>
      </c>
      <c r="E64" s="132">
        <f>E55</f>
        <v>0.08</v>
      </c>
      <c r="F64" s="132">
        <f>F55</f>
        <v>0.1</v>
      </c>
      <c r="H64" s="120"/>
    </row>
    <row r="65" spans="1:8" ht="13.15">
      <c r="A65" s="143">
        <v>0</v>
      </c>
      <c r="B65" s="124">
        <f>C12</f>
        <v>161.55604285508468</v>
      </c>
      <c r="C65" s="124">
        <f>C12</f>
        <v>161.55604285508468</v>
      </c>
      <c r="D65" s="124">
        <f>C12</f>
        <v>161.55604285508468</v>
      </c>
      <c r="E65" s="141">
        <f>C12</f>
        <v>161.55604285508468</v>
      </c>
      <c r="F65" s="124">
        <f>C12</f>
        <v>161.55604285508468</v>
      </c>
      <c r="H65" s="120"/>
    </row>
    <row r="66" spans="1:8" ht="13.15">
      <c r="A66" s="143">
        <f t="shared" ref="A66:A71" si="3">A56</f>
        <v>5</v>
      </c>
      <c r="B66" s="124">
        <f t="shared" ref="B66:F71" si="4">(B56-$C$7+$C$8+$C$9)/Common_Shares*$C$3*Exchange_Rate</f>
        <v>161.55604285508471</v>
      </c>
      <c r="C66" s="124">
        <f t="shared" si="4"/>
        <v>166.95731694870545</v>
      </c>
      <c r="D66" s="124">
        <f t="shared" si="4"/>
        <v>175.356411952147</v>
      </c>
      <c r="E66" s="124">
        <f t="shared" si="4"/>
        <v>184.13311998584584</v>
      </c>
      <c r="F66" s="124">
        <f t="shared" si="4"/>
        <v>190.2061563924002</v>
      </c>
      <c r="H66" s="120"/>
    </row>
    <row r="67" spans="1:8" ht="13.15">
      <c r="A67" s="143">
        <f t="shared" si="3"/>
        <v>10</v>
      </c>
      <c r="B67" s="124">
        <f t="shared" si="4"/>
        <v>161.55604285508471</v>
      </c>
      <c r="C67" s="124">
        <f t="shared" si="4"/>
        <v>172.31337328959518</v>
      </c>
      <c r="D67" s="124">
        <f t="shared" si="4"/>
        <v>190.49776122042357</v>
      </c>
      <c r="E67" s="124">
        <f t="shared" si="4"/>
        <v>211.54227959766226</v>
      </c>
      <c r="F67" s="124">
        <f t="shared" si="4"/>
        <v>227.41579831271272</v>
      </c>
      <c r="H67" s="120"/>
    </row>
    <row r="68" spans="1:8" ht="13.15">
      <c r="A68" s="143">
        <f t="shared" si="3"/>
        <v>15</v>
      </c>
      <c r="B68" s="124">
        <f t="shared" si="4"/>
        <v>161.55604285508471</v>
      </c>
      <c r="C68" s="124">
        <f t="shared" si="4"/>
        <v>179.094767845635</v>
      </c>
      <c r="D68" s="124">
        <f t="shared" si="4"/>
        <v>211.23335196926342</v>
      </c>
      <c r="E68" s="124">
        <f t="shared" si="4"/>
        <v>252.30592985885141</v>
      </c>
      <c r="F68" s="124">
        <f t="shared" si="4"/>
        <v>285.99915116786156</v>
      </c>
      <c r="H68" s="120"/>
    </row>
    <row r="69" spans="1:8" ht="13.15">
      <c r="A69" s="144">
        <f t="shared" si="3"/>
        <v>20</v>
      </c>
      <c r="B69" s="124">
        <f t="shared" si="4"/>
        <v>161.55604285508471</v>
      </c>
      <c r="C69" s="124">
        <f t="shared" si="4"/>
        <v>186.1644823056389</v>
      </c>
      <c r="D69" s="124">
        <f t="shared" si="4"/>
        <v>234.73475863552991</v>
      </c>
      <c r="E69" s="124">
        <f t="shared" si="4"/>
        <v>302.88046584636231</v>
      </c>
      <c r="F69" s="124">
        <f t="shared" si="4"/>
        <v>363.44958023641874</v>
      </c>
      <c r="H69" s="120"/>
    </row>
    <row r="70" spans="1:8" ht="13.15">
      <c r="A70" s="144">
        <f t="shared" si="3"/>
        <v>25</v>
      </c>
      <c r="B70" s="124">
        <f t="shared" si="4"/>
        <v>161.55604285508471</v>
      </c>
      <c r="C70" s="124">
        <f t="shared" si="4"/>
        <v>192.89321879309179</v>
      </c>
      <c r="D70" s="124">
        <f t="shared" si="4"/>
        <v>259.15734143276421</v>
      </c>
      <c r="E70" s="124">
        <f t="shared" si="4"/>
        <v>360.80949975530507</v>
      </c>
      <c r="F70" s="124">
        <f t="shared" si="4"/>
        <v>458.50577199276432</v>
      </c>
    </row>
    <row r="71" spans="1:8" ht="13.15">
      <c r="A71" s="144">
        <f t="shared" si="3"/>
        <v>30</v>
      </c>
      <c r="B71" s="124">
        <f t="shared" si="4"/>
        <v>161.55604285508471</v>
      </c>
      <c r="C71" s="124">
        <f t="shared" si="4"/>
        <v>198.96776158741136</v>
      </c>
      <c r="D71" s="124">
        <f t="shared" si="4"/>
        <v>283.32779245512432</v>
      </c>
      <c r="E71" s="124">
        <f t="shared" si="4"/>
        <v>424.3942345377983</v>
      </c>
      <c r="F71" s="124">
        <f t="shared" si="4"/>
        <v>570.83289624926681</v>
      </c>
    </row>
    <row r="73" spans="1:8" ht="13.15">
      <c r="B73" s="171" t="s">
        <v>113</v>
      </c>
      <c r="C73" s="171" t="s">
        <v>128</v>
      </c>
      <c r="D73" s="171" t="s">
        <v>108</v>
      </c>
      <c r="E73" s="172" t="s">
        <v>109</v>
      </c>
      <c r="F73" s="172" t="s">
        <v>115</v>
      </c>
    </row>
    <row r="74" spans="1:8">
      <c r="B74" s="127" t="str">
        <f>Scenarios!B54</f>
        <v>Snowball Scenario</v>
      </c>
      <c r="C74" s="142">
        <f>Scenarios!C56</f>
        <v>0.1</v>
      </c>
      <c r="D74" s="145">
        <f>Scenarios!C55</f>
        <v>10</v>
      </c>
      <c r="E74" s="135">
        <f>INDEX(B$65:F$71, MATCH(D74, A$65:A$71, 0), MATCH(C74, B$64:F$64, 0))</f>
        <v>227.41579831271272</v>
      </c>
      <c r="F74" s="142">
        <f>Scenarios!C58</f>
        <v>0.05</v>
      </c>
    </row>
    <row r="75" spans="1:8">
      <c r="B75" s="127" t="str">
        <f>Scenarios!B36</f>
        <v>Optimistic</v>
      </c>
      <c r="C75" s="142">
        <f>Scenarios!C38</f>
        <v>0.08</v>
      </c>
      <c r="D75" s="145">
        <f>Scenarios!C37</f>
        <v>5</v>
      </c>
      <c r="E75" s="135">
        <f>INDEX(B$65:F$71, MATCH(D75, A$65:A$71, 0), MATCH(C75, B$64:F$64, 0))</f>
        <v>184.13311998584584</v>
      </c>
      <c r="F75" s="142">
        <f>Scenarios!C40*(1-F$74-F$78)</f>
        <v>0.18</v>
      </c>
      <c r="H75" s="120"/>
    </row>
    <row r="76" spans="1:8">
      <c r="B76" s="127" t="str">
        <f>Scenarios!B24</f>
        <v>Base</v>
      </c>
      <c r="C76" s="142">
        <f>Scenarios!C26</f>
        <v>0.05</v>
      </c>
      <c r="D76" s="145">
        <f>Scenarios!C25</f>
        <v>5</v>
      </c>
      <c r="E76" s="135">
        <f>INDEX(B$65:F$71, MATCH(D76, A$65:A$71, 0), MATCH(C76, B$64:F$64, 0))</f>
        <v>175.356411952147</v>
      </c>
      <c r="F76" s="142">
        <f>Scenarios!C28*(1-F$74-F$78)</f>
        <v>0.53999999999999992</v>
      </c>
      <c r="H76" s="120"/>
    </row>
    <row r="77" spans="1:8">
      <c r="B77" s="127" t="str">
        <f>Scenarios!B30</f>
        <v>Pessimistic</v>
      </c>
      <c r="C77" s="142">
        <f>Scenarios!C32</f>
        <v>0.02</v>
      </c>
      <c r="D77" s="145">
        <f>Scenarios!C31</f>
        <v>5</v>
      </c>
      <c r="E77" s="135">
        <f>INDEX(B$65:F$71, MATCH(D77, A$65:A$71, 0), MATCH(C77, B$64:F$64, 0))</f>
        <v>166.95731694870545</v>
      </c>
      <c r="F77" s="142">
        <f>Scenarios!C34*(1-F$74-F$78)</f>
        <v>0.18</v>
      </c>
      <c r="H77" s="120"/>
    </row>
    <row r="78" spans="1:8">
      <c r="B78" s="127" t="str">
        <f>Scenarios!B48</f>
        <v>Devil's advocate</v>
      </c>
      <c r="C78" s="142">
        <f>Scenarios!C50</f>
        <v>0</v>
      </c>
      <c r="D78" s="145">
        <f>Scenarios!C49</f>
        <v>10</v>
      </c>
      <c r="E78" s="135">
        <f>INDEX(B$65:F$71, MATCH(D78, A$65:A$71, 0), MATCH(C78, B$64:F$64, 0))</f>
        <v>161.55604285508471</v>
      </c>
      <c r="F78" s="142">
        <f>Scenarios!C52</f>
        <v>0.05</v>
      </c>
    </row>
    <row r="79" spans="1:8">
      <c r="B79" s="155"/>
      <c r="C79" s="155"/>
      <c r="D79" s="155"/>
      <c r="E79" s="155"/>
      <c r="F79" s="156"/>
    </row>
    <row r="80" spans="1:8">
      <c r="B80" s="155" t="s">
        <v>302</v>
      </c>
      <c r="C80" s="155" t="s">
        <v>102</v>
      </c>
    </row>
    <row r="81" spans="3:3">
      <c r="C81" s="155" t="s">
        <v>101</v>
      </c>
    </row>
    <row r="82" spans="3:3">
      <c r="C82" s="155" t="s">
        <v>100</v>
      </c>
    </row>
    <row r="92" spans="3:3">
      <c r="C92" s="115"/>
    </row>
    <row r="93" spans="3:3">
      <c r="C93" s="115"/>
    </row>
    <row r="94" spans="3:3">
      <c r="C94" s="115"/>
    </row>
    <row r="101" spans="3:17">
      <c r="C101" s="338"/>
      <c r="G101" s="338"/>
      <c r="H101" s="338"/>
      <c r="I101" s="338"/>
      <c r="J101" s="338"/>
      <c r="K101" s="338"/>
      <c r="L101" s="338"/>
      <c r="M101" s="338"/>
      <c r="N101" s="338"/>
      <c r="O101" s="338"/>
      <c r="P101" s="338"/>
      <c r="Q101" s="338"/>
    </row>
    <row r="102" spans="3:17">
      <c r="C102" s="338"/>
      <c r="G102" s="338"/>
      <c r="H102" s="338"/>
      <c r="I102" s="338"/>
      <c r="J102" s="338"/>
      <c r="K102" s="338"/>
      <c r="L102" s="338"/>
      <c r="M102" s="338"/>
      <c r="N102" s="338"/>
      <c r="O102" s="338"/>
      <c r="P102" s="338"/>
      <c r="Q102" s="338"/>
    </row>
    <row r="103" spans="3:17">
      <c r="C103" s="338"/>
      <c r="G103" s="338"/>
      <c r="H103" s="338"/>
      <c r="I103" s="338"/>
      <c r="J103" s="338"/>
      <c r="K103" s="338"/>
      <c r="L103" s="338"/>
      <c r="M103" s="338"/>
      <c r="N103" s="338"/>
      <c r="O103" s="338"/>
      <c r="P103" s="338"/>
      <c r="Q103" s="338"/>
    </row>
    <row r="104" spans="3:17">
      <c r="C104" s="338"/>
      <c r="G104" s="338"/>
      <c r="H104" s="338"/>
      <c r="I104" s="338"/>
      <c r="J104" s="338"/>
      <c r="K104" s="338"/>
      <c r="L104" s="338"/>
      <c r="M104" s="338"/>
      <c r="N104" s="338"/>
      <c r="O104" s="338"/>
      <c r="P104" s="338"/>
      <c r="Q104" s="338"/>
    </row>
    <row r="105" spans="3:17">
      <c r="C105" s="338"/>
      <c r="G105" s="338"/>
      <c r="H105" s="338"/>
      <c r="I105" s="338"/>
      <c r="J105" s="338"/>
      <c r="K105" s="338"/>
      <c r="L105" s="338"/>
      <c r="M105" s="338"/>
      <c r="N105" s="338"/>
      <c r="O105" s="338"/>
      <c r="P105" s="338"/>
      <c r="Q105" s="338"/>
    </row>
  </sheetData>
  <mergeCells count="1">
    <mergeCell ref="E6:F9"/>
  </mergeCells>
  <phoneticPr fontId="2" type="noConversion"/>
  <conditionalFormatting sqref="C21:F50">
    <cfRule type="cellIs" dxfId="3" priority="3" operator="equal">
      <formula>0</formula>
    </cfRule>
  </conditionalFormatting>
  <conditionalFormatting sqref="E65 B66:F71">
    <cfRule type="expression" dxfId="2"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B9BF-8D77-49A8-A09B-23E6CA7BEA90}">
  <sheetPr>
    <pageSetUpPr fitToPage="1"/>
  </sheetPr>
  <dimension ref="A2:H89"/>
  <sheetViews>
    <sheetView showGridLines="0" zoomScale="75" zoomScaleNormal="85" workbookViewId="0">
      <selection activeCell="C4" sqref="C4"/>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421</v>
      </c>
      <c r="C2" s="37"/>
      <c r="D2" s="37"/>
      <c r="E2" s="37"/>
      <c r="F2" s="37"/>
      <c r="H2" s="130" t="s">
        <v>57</v>
      </c>
    </row>
    <row r="3" spans="2:8" ht="13.15">
      <c r="B3" s="109" t="s">
        <v>420</v>
      </c>
      <c r="C3" s="107">
        <f>scaling_factor</f>
        <v>1000</v>
      </c>
      <c r="E3" s="109" t="s">
        <v>120</v>
      </c>
      <c r="H3" s="120"/>
    </row>
    <row r="4" spans="2:8">
      <c r="B4" s="100" t="s">
        <v>418</v>
      </c>
      <c r="C4" s="114">
        <f>Normalized_FCF!C91*(1-dividend_tax_rate)</f>
        <v>0</v>
      </c>
      <c r="D4" t="str">
        <f>Market_currency</f>
        <v>USD</v>
      </c>
      <c r="E4" s="100" t="s">
        <v>246</v>
      </c>
      <c r="F4" s="134">
        <f>Thesis!E22</f>
        <v>0</v>
      </c>
      <c r="H4" s="120"/>
    </row>
    <row r="5" spans="2:8">
      <c r="B5" s="205" t="s">
        <v>119</v>
      </c>
      <c r="C5" s="206">
        <f>Equity_Cost</f>
        <v>7.4999999999999997E-2</v>
      </c>
      <c r="E5" s="148"/>
      <c r="H5" s="120"/>
    </row>
    <row r="6" spans="2:8" ht="13.35" customHeight="1">
      <c r="B6" s="149" t="s">
        <v>419</v>
      </c>
      <c r="C6" s="319">
        <f>(C4*(1+Terminal_Growth))/(Equity_Cost-Terminal_Growth)</f>
        <v>0</v>
      </c>
      <c r="D6" t="str">
        <f>Reporting_currency</f>
        <v>USD</v>
      </c>
      <c r="E6" s="375"/>
      <c r="F6" s="375"/>
      <c r="H6" s="120"/>
    </row>
    <row r="7" spans="2:8" ht="13.15">
      <c r="B7" s="149" t="s">
        <v>422</v>
      </c>
      <c r="C7" s="111">
        <f>(C6*scaling_factor)/Common_Shares*Exchange_Rate</f>
        <v>0</v>
      </c>
      <c r="D7" t="str">
        <f>Market_currency</f>
        <v>USD</v>
      </c>
      <c r="H7" s="120"/>
    </row>
    <row r="8" spans="2:8">
      <c r="H8" s="120"/>
    </row>
    <row r="9" spans="2:8" ht="13.9">
      <c r="B9" s="36" t="s">
        <v>225</v>
      </c>
      <c r="C9" s="37"/>
      <c r="D9" s="37"/>
      <c r="E9" s="37"/>
      <c r="F9" s="37"/>
      <c r="H9" s="120"/>
    </row>
    <row r="10" spans="2:8" ht="13.15">
      <c r="B10" s="119" t="s">
        <v>131</v>
      </c>
      <c r="H10" s="120"/>
    </row>
    <row r="11" spans="2:8" ht="13.35" customHeight="1">
      <c r="B11" s="152" t="s">
        <v>129</v>
      </c>
      <c r="C11" s="161">
        <f>Scenarios!C65</f>
        <v>5.6956407974813751E-2</v>
      </c>
      <c r="H11" s="120"/>
    </row>
    <row r="12" spans="2:8" ht="13.35" customHeight="1">
      <c r="B12" s="118" t="s">
        <v>130</v>
      </c>
      <c r="C12" s="162">
        <f>Scenarios!C64</f>
        <v>5</v>
      </c>
      <c r="H12" s="120"/>
    </row>
    <row r="13" spans="2:8" ht="13.35" customHeight="1">
      <c r="B13" s="153" t="s">
        <v>103</v>
      </c>
      <c r="C13" s="140">
        <f>F47/Common_Shares*scaling_factor</f>
        <v>0</v>
      </c>
      <c r="D13" t="str">
        <f>Market_currency</f>
        <v>USD</v>
      </c>
      <c r="H13" s="120"/>
    </row>
    <row r="14" spans="2:8">
      <c r="H14" s="120"/>
    </row>
    <row r="15" spans="2:8" ht="13.15">
      <c r="B15" s="128" t="s">
        <v>104</v>
      </c>
      <c r="C15" s="128" t="s">
        <v>424</v>
      </c>
      <c r="D15" s="128" t="s">
        <v>114</v>
      </c>
      <c r="E15" s="128" t="s">
        <v>106</v>
      </c>
      <c r="F15" s="129" t="s">
        <v>423</v>
      </c>
      <c r="H15" s="120"/>
    </row>
    <row r="16" spans="2:8">
      <c r="B16" s="122">
        <v>1</v>
      </c>
      <c r="C16" s="123">
        <f>C4*(1+D16)</f>
        <v>0</v>
      </c>
      <c r="D16" s="138">
        <f>IF($C$12&lt;B16,0,DDM!$C$11)</f>
        <v>5.6956407974813751E-2</v>
      </c>
      <c r="E16" s="124">
        <f t="shared" ref="E16:E45" si="0">IF($C$12&lt;B16,0,1/(1+Equity_Cost)^B16)</f>
        <v>0.93023255813953487</v>
      </c>
      <c r="F16" s="125">
        <f t="shared" ref="F16:F46" si="1">C16*E16</f>
        <v>0</v>
      </c>
      <c r="H16" s="120"/>
    </row>
    <row r="17" spans="2:8">
      <c r="B17" s="122">
        <v>2</v>
      </c>
      <c r="C17" s="123">
        <f t="shared" ref="C17:C45" si="2">IF(ROW()-ROW($C$16)&lt;$C$12, $C$16*(1+D17)^(ROW()-ROW($C$16)), 0)</f>
        <v>0</v>
      </c>
      <c r="D17" s="138">
        <f>IF($C$12&lt;B17,0,DDM!$C$11)</f>
        <v>5.6956407974813751E-2</v>
      </c>
      <c r="E17" s="124">
        <f t="shared" si="0"/>
        <v>0.86533261222282321</v>
      </c>
      <c r="F17" s="125">
        <f t="shared" si="1"/>
        <v>0</v>
      </c>
      <c r="H17" s="120"/>
    </row>
    <row r="18" spans="2:8">
      <c r="B18" s="122">
        <v>3</v>
      </c>
      <c r="C18" s="123">
        <f t="shared" si="2"/>
        <v>0</v>
      </c>
      <c r="D18" s="138">
        <f>IF($C$12&lt;B18,0,DDM!$C$11)</f>
        <v>5.6956407974813751E-2</v>
      </c>
      <c r="E18" s="124">
        <f t="shared" si="0"/>
        <v>0.80496056950960304</v>
      </c>
      <c r="F18" s="125">
        <f t="shared" si="1"/>
        <v>0</v>
      </c>
      <c r="H18" s="120"/>
    </row>
    <row r="19" spans="2:8">
      <c r="B19" s="122">
        <v>4</v>
      </c>
      <c r="C19" s="123">
        <f t="shared" si="2"/>
        <v>0</v>
      </c>
      <c r="D19" s="138">
        <f>IF($C$12&lt;B19,0,DDM!$C$11)</f>
        <v>5.6956407974813751E-2</v>
      </c>
      <c r="E19" s="124">
        <f t="shared" si="0"/>
        <v>0.7488005297763749</v>
      </c>
      <c r="F19" s="125">
        <f t="shared" si="1"/>
        <v>0</v>
      </c>
      <c r="H19" s="120"/>
    </row>
    <row r="20" spans="2:8">
      <c r="B20" s="122">
        <v>5</v>
      </c>
      <c r="C20" s="123">
        <f t="shared" si="2"/>
        <v>0</v>
      </c>
      <c r="D20" s="138">
        <f>IF($C$12&lt;B20,0,DDM!$C$11)</f>
        <v>5.6956407974813751E-2</v>
      </c>
      <c r="E20" s="124">
        <f t="shared" si="0"/>
        <v>0.69655863235011617</v>
      </c>
      <c r="F20" s="125">
        <f t="shared" si="1"/>
        <v>0</v>
      </c>
      <c r="H20" s="120"/>
    </row>
    <row r="21" spans="2:8">
      <c r="B21" s="122">
        <v>6</v>
      </c>
      <c r="C21" s="123">
        <f t="shared" si="2"/>
        <v>0</v>
      </c>
      <c r="D21" s="138">
        <f>IF($C$12&lt;B21,0,DDM!$C$11)</f>
        <v>0</v>
      </c>
      <c r="E21" s="124">
        <f t="shared" si="0"/>
        <v>0</v>
      </c>
      <c r="F21" s="125">
        <f t="shared" si="1"/>
        <v>0</v>
      </c>
      <c r="H21" s="120"/>
    </row>
    <row r="22" spans="2:8">
      <c r="B22" s="122">
        <v>7</v>
      </c>
      <c r="C22" s="123">
        <f t="shared" si="2"/>
        <v>0</v>
      </c>
      <c r="D22" s="138">
        <f>IF($C$12&lt;B22,0,DDM!$C$11)</f>
        <v>0</v>
      </c>
      <c r="E22" s="124">
        <f t="shared" si="0"/>
        <v>0</v>
      </c>
      <c r="F22" s="125">
        <f t="shared" si="1"/>
        <v>0</v>
      </c>
      <c r="H22" s="120"/>
    </row>
    <row r="23" spans="2:8">
      <c r="B23" s="122">
        <v>8</v>
      </c>
      <c r="C23" s="123">
        <f t="shared" si="2"/>
        <v>0</v>
      </c>
      <c r="D23" s="138">
        <f>IF($C$12&lt;B23,0,DDM!$C$11)</f>
        <v>0</v>
      </c>
      <c r="E23" s="124">
        <f t="shared" si="0"/>
        <v>0</v>
      </c>
      <c r="F23" s="125">
        <f t="shared" si="1"/>
        <v>0</v>
      </c>
      <c r="H23" s="120"/>
    </row>
    <row r="24" spans="2:8">
      <c r="B24" s="122">
        <v>9</v>
      </c>
      <c r="C24" s="123">
        <f t="shared" si="2"/>
        <v>0</v>
      </c>
      <c r="D24" s="138">
        <f>IF($C$12&lt;B24,0,DDM!$C$11)</f>
        <v>0</v>
      </c>
      <c r="E24" s="124">
        <f t="shared" si="0"/>
        <v>0</v>
      </c>
      <c r="F24" s="125">
        <f t="shared" si="1"/>
        <v>0</v>
      </c>
      <c r="H24" s="120"/>
    </row>
    <row r="25" spans="2:8">
      <c r="B25" s="122">
        <v>10</v>
      </c>
      <c r="C25" s="123">
        <f t="shared" si="2"/>
        <v>0</v>
      </c>
      <c r="D25" s="138">
        <f>IF($C$12&lt;B25,0,DDM!$C$11)</f>
        <v>0</v>
      </c>
      <c r="E25" s="124">
        <f t="shared" si="0"/>
        <v>0</v>
      </c>
      <c r="F25" s="125">
        <f t="shared" si="1"/>
        <v>0</v>
      </c>
      <c r="H25" s="120"/>
    </row>
    <row r="26" spans="2:8">
      <c r="B26" s="122">
        <v>11</v>
      </c>
      <c r="C26" s="123">
        <f t="shared" si="2"/>
        <v>0</v>
      </c>
      <c r="D26" s="138">
        <f>IF($C$12&lt;B26,0,DDM!$C$11)</f>
        <v>0</v>
      </c>
      <c r="E26" s="124">
        <f t="shared" si="0"/>
        <v>0</v>
      </c>
      <c r="F26" s="125">
        <f t="shared" si="1"/>
        <v>0</v>
      </c>
      <c r="H26" s="120"/>
    </row>
    <row r="27" spans="2:8">
      <c r="B27" s="122">
        <v>12</v>
      </c>
      <c r="C27" s="123">
        <f t="shared" si="2"/>
        <v>0</v>
      </c>
      <c r="D27" s="138">
        <f>IF($C$12&lt;B27,0,DDM!$C$11)</f>
        <v>0</v>
      </c>
      <c r="E27" s="124">
        <f t="shared" si="0"/>
        <v>0</v>
      </c>
      <c r="F27" s="125">
        <f t="shared" si="1"/>
        <v>0</v>
      </c>
      <c r="H27" s="120"/>
    </row>
    <row r="28" spans="2:8">
      <c r="B28" s="122">
        <v>13</v>
      </c>
      <c r="C28" s="123">
        <f t="shared" si="2"/>
        <v>0</v>
      </c>
      <c r="D28" s="138">
        <f>IF($C$12&lt;B28,0,DDM!$C$11)</f>
        <v>0</v>
      </c>
      <c r="E28" s="124">
        <f t="shared" si="0"/>
        <v>0</v>
      </c>
      <c r="F28" s="125">
        <f t="shared" si="1"/>
        <v>0</v>
      </c>
      <c r="H28" s="120"/>
    </row>
    <row r="29" spans="2:8">
      <c r="B29" s="122">
        <v>14</v>
      </c>
      <c r="C29" s="123">
        <f t="shared" si="2"/>
        <v>0</v>
      </c>
      <c r="D29" s="138">
        <f>IF($C$12&lt;B29,0,DDM!$C$11)</f>
        <v>0</v>
      </c>
      <c r="E29" s="124">
        <f t="shared" si="0"/>
        <v>0</v>
      </c>
      <c r="F29" s="125">
        <f t="shared" si="1"/>
        <v>0</v>
      </c>
      <c r="H29" s="120"/>
    </row>
    <row r="30" spans="2:8">
      <c r="B30" s="122">
        <v>15</v>
      </c>
      <c r="C30" s="123">
        <f t="shared" si="2"/>
        <v>0</v>
      </c>
      <c r="D30" s="138">
        <f>IF($C$12&lt;B30,0,DDM!$C$11)</f>
        <v>0</v>
      </c>
      <c r="E30" s="124">
        <f t="shared" si="0"/>
        <v>0</v>
      </c>
      <c r="F30" s="125">
        <f t="shared" si="1"/>
        <v>0</v>
      </c>
      <c r="H30" s="120"/>
    </row>
    <row r="31" spans="2:8">
      <c r="B31" s="122">
        <v>16</v>
      </c>
      <c r="C31" s="123">
        <f t="shared" si="2"/>
        <v>0</v>
      </c>
      <c r="D31" s="138">
        <f>IF($C$12&lt;B31,0,DDM!$C$11)</f>
        <v>0</v>
      </c>
      <c r="E31" s="124">
        <f t="shared" si="0"/>
        <v>0</v>
      </c>
      <c r="F31" s="125">
        <f t="shared" si="1"/>
        <v>0</v>
      </c>
      <c r="H31" s="120"/>
    </row>
    <row r="32" spans="2:8">
      <c r="B32" s="122">
        <v>17</v>
      </c>
      <c r="C32" s="123">
        <f t="shared" si="2"/>
        <v>0</v>
      </c>
      <c r="D32" s="138">
        <f>IF($C$12&lt;B32,0,DDM!$C$11)</f>
        <v>0</v>
      </c>
      <c r="E32" s="124">
        <f t="shared" si="0"/>
        <v>0</v>
      </c>
      <c r="F32" s="125">
        <f t="shared" si="1"/>
        <v>0</v>
      </c>
      <c r="H32" s="120"/>
    </row>
    <row r="33" spans="2:8">
      <c r="B33" s="122">
        <v>18</v>
      </c>
      <c r="C33" s="123">
        <f t="shared" si="2"/>
        <v>0</v>
      </c>
      <c r="D33" s="138">
        <f>IF($C$12&lt;B33,0,DDM!$C$11)</f>
        <v>0</v>
      </c>
      <c r="E33" s="124">
        <f t="shared" si="0"/>
        <v>0</v>
      </c>
      <c r="F33" s="125">
        <f t="shared" si="1"/>
        <v>0</v>
      </c>
      <c r="H33" s="120"/>
    </row>
    <row r="34" spans="2:8">
      <c r="B34" s="122">
        <v>19</v>
      </c>
      <c r="C34" s="123">
        <f t="shared" si="2"/>
        <v>0</v>
      </c>
      <c r="D34" s="138">
        <f>IF($C$12&lt;B34,0,DDM!$C$11)</f>
        <v>0</v>
      </c>
      <c r="E34" s="124">
        <f t="shared" si="0"/>
        <v>0</v>
      </c>
      <c r="F34" s="125">
        <f t="shared" si="1"/>
        <v>0</v>
      </c>
      <c r="H34" s="120"/>
    </row>
    <row r="35" spans="2:8">
      <c r="B35" s="122">
        <v>20</v>
      </c>
      <c r="C35" s="123">
        <f t="shared" si="2"/>
        <v>0</v>
      </c>
      <c r="D35" s="138">
        <f>IF($C$12&lt;B35,0,DDM!$C$11)</f>
        <v>0</v>
      </c>
      <c r="E35" s="124">
        <f t="shared" si="0"/>
        <v>0</v>
      </c>
      <c r="F35" s="125">
        <f t="shared" si="1"/>
        <v>0</v>
      </c>
      <c r="H35" s="120"/>
    </row>
    <row r="36" spans="2:8">
      <c r="B36" s="122">
        <v>21</v>
      </c>
      <c r="C36" s="123">
        <f t="shared" si="2"/>
        <v>0</v>
      </c>
      <c r="D36" s="138">
        <f>IF($C$12&lt;B36,0,DDM!$C$11)</f>
        <v>0</v>
      </c>
      <c r="E36" s="124">
        <f t="shared" si="0"/>
        <v>0</v>
      </c>
      <c r="F36" s="125">
        <f t="shared" si="1"/>
        <v>0</v>
      </c>
      <c r="H36" s="120"/>
    </row>
    <row r="37" spans="2:8">
      <c r="B37" s="122">
        <v>22</v>
      </c>
      <c r="C37" s="123">
        <f t="shared" si="2"/>
        <v>0</v>
      </c>
      <c r="D37" s="138">
        <f>IF($C$12&lt;B37,0,DDM!$C$11)</f>
        <v>0</v>
      </c>
      <c r="E37" s="124">
        <f t="shared" si="0"/>
        <v>0</v>
      </c>
      <c r="F37" s="125">
        <f t="shared" si="1"/>
        <v>0</v>
      </c>
      <c r="H37" s="120"/>
    </row>
    <row r="38" spans="2:8">
      <c r="B38" s="122">
        <v>23</v>
      </c>
      <c r="C38" s="123">
        <f t="shared" si="2"/>
        <v>0</v>
      </c>
      <c r="D38" s="138">
        <f>IF($C$12&lt;B38,0,DDM!$C$11)</f>
        <v>0</v>
      </c>
      <c r="E38" s="124">
        <f t="shared" si="0"/>
        <v>0</v>
      </c>
      <c r="F38" s="125">
        <f t="shared" si="1"/>
        <v>0</v>
      </c>
      <c r="H38" s="120"/>
    </row>
    <row r="39" spans="2:8">
      <c r="B39" s="122">
        <v>24</v>
      </c>
      <c r="C39" s="123">
        <f t="shared" si="2"/>
        <v>0</v>
      </c>
      <c r="D39" s="138">
        <f>IF($C$12&lt;B39,0,DDM!$C$11)</f>
        <v>0</v>
      </c>
      <c r="E39" s="124">
        <f t="shared" si="0"/>
        <v>0</v>
      </c>
      <c r="F39" s="125">
        <f t="shared" si="1"/>
        <v>0</v>
      </c>
      <c r="H39" s="120"/>
    </row>
    <row r="40" spans="2:8">
      <c r="B40" s="122">
        <v>25</v>
      </c>
      <c r="C40" s="123">
        <f t="shared" si="2"/>
        <v>0</v>
      </c>
      <c r="D40" s="138">
        <f>IF($C$12&lt;B40,0,DDM!$C$11)</f>
        <v>0</v>
      </c>
      <c r="E40" s="124">
        <f t="shared" si="0"/>
        <v>0</v>
      </c>
      <c r="F40" s="125">
        <f t="shared" si="1"/>
        <v>0</v>
      </c>
      <c r="H40" s="120"/>
    </row>
    <row r="41" spans="2:8">
      <c r="B41" s="122">
        <v>26</v>
      </c>
      <c r="C41" s="123">
        <f t="shared" si="2"/>
        <v>0</v>
      </c>
      <c r="D41" s="138">
        <f>IF($C$12&lt;B41,0,DDM!$C$11)</f>
        <v>0</v>
      </c>
      <c r="E41" s="124">
        <f t="shared" si="0"/>
        <v>0</v>
      </c>
      <c r="F41" s="125">
        <f t="shared" si="1"/>
        <v>0</v>
      </c>
      <c r="H41" s="120"/>
    </row>
    <row r="42" spans="2:8">
      <c r="B42" s="122">
        <v>27</v>
      </c>
      <c r="C42" s="123">
        <f t="shared" si="2"/>
        <v>0</v>
      </c>
      <c r="D42" s="138">
        <f>IF($C$12&lt;B42,0,DDM!$C$11)</f>
        <v>0</v>
      </c>
      <c r="E42" s="124">
        <f t="shared" si="0"/>
        <v>0</v>
      </c>
      <c r="F42" s="125">
        <f t="shared" si="1"/>
        <v>0</v>
      </c>
      <c r="H42" s="120"/>
    </row>
    <row r="43" spans="2:8">
      <c r="B43" s="122">
        <v>28</v>
      </c>
      <c r="C43" s="123">
        <f t="shared" si="2"/>
        <v>0</v>
      </c>
      <c r="D43" s="138">
        <f>IF($C$12&lt;B43,0,DDM!$C$11)</f>
        <v>0</v>
      </c>
      <c r="E43" s="124">
        <f t="shared" si="0"/>
        <v>0</v>
      </c>
      <c r="F43" s="125">
        <f t="shared" si="1"/>
        <v>0</v>
      </c>
      <c r="H43" s="120"/>
    </row>
    <row r="44" spans="2:8">
      <c r="B44" s="122">
        <v>29</v>
      </c>
      <c r="C44" s="123">
        <f t="shared" si="2"/>
        <v>0</v>
      </c>
      <c r="D44" s="138">
        <f>IF($C$12&lt;B44,0,DDM!$C$11)</f>
        <v>0</v>
      </c>
      <c r="E44" s="124">
        <f t="shared" si="0"/>
        <v>0</v>
      </c>
      <c r="F44" s="125">
        <f t="shared" si="1"/>
        <v>0</v>
      </c>
      <c r="H44" s="120"/>
    </row>
    <row r="45" spans="2:8">
      <c r="B45" s="122">
        <v>30</v>
      </c>
      <c r="C45" s="123">
        <f t="shared" si="2"/>
        <v>0</v>
      </c>
      <c r="D45" s="138">
        <f>IF($C$12&lt;B45,0,DDM!$C$11)</f>
        <v>0</v>
      </c>
      <c r="E45" s="124">
        <f t="shared" si="0"/>
        <v>0</v>
      </c>
      <c r="F45" s="125">
        <f t="shared" si="1"/>
        <v>0</v>
      </c>
      <c r="H45" s="120"/>
    </row>
    <row r="46" spans="2:8">
      <c r="B46" s="126" t="s">
        <v>127</v>
      </c>
      <c r="C46" s="123">
        <f>C$16*(1+F4)^$C$12/Equity_Cost</f>
        <v>0</v>
      </c>
      <c r="D46" s="139">
        <f>Terminal_Growth</f>
        <v>0</v>
      </c>
      <c r="E46" s="124">
        <f>1/(1+Equity_Cost)^C12</f>
        <v>0.69655863235011617</v>
      </c>
      <c r="F46" s="125">
        <f t="shared" si="1"/>
        <v>0</v>
      </c>
      <c r="H46" s="120"/>
    </row>
    <row r="47" spans="2:8">
      <c r="C47" s="114"/>
      <c r="E47" s="127" t="s">
        <v>97</v>
      </c>
      <c r="F47" s="137">
        <f>SUM(F16:F46)</f>
        <v>0</v>
      </c>
      <c r="H47" s="120"/>
    </row>
    <row r="48" spans="2:8">
      <c r="C48" s="114"/>
      <c r="H48" s="120"/>
    </row>
    <row r="49" spans="1:8" ht="13.15">
      <c r="B49" s="119" t="s">
        <v>125</v>
      </c>
      <c r="C49" s="136"/>
      <c r="D49" s="136"/>
      <c r="E49" s="117"/>
      <c r="F49" s="117"/>
      <c r="H49" s="120"/>
    </row>
    <row r="50" spans="1:8" ht="13.15">
      <c r="A50" s="133">
        <f>F47</f>
        <v>0</v>
      </c>
      <c r="B50" s="131">
        <f>C73</f>
        <v>0</v>
      </c>
      <c r="C50" s="131">
        <f>C72</f>
        <v>0.02</v>
      </c>
      <c r="D50" s="131">
        <f>C71</f>
        <v>0.05</v>
      </c>
      <c r="E50" s="131">
        <f>C70</f>
        <v>0.08</v>
      </c>
      <c r="F50" s="131">
        <f>C69</f>
        <v>0.1</v>
      </c>
      <c r="H50" s="120"/>
    </row>
    <row r="51" spans="1:8" ht="13.15">
      <c r="A51" s="143">
        <v>5</v>
      </c>
      <c r="B51" s="123">
        <f t="dataTable" ref="B51:F56" dt2D="1" dtr="1" r1="C11" r2="C12"/>
        <v>0</v>
      </c>
      <c r="C51" s="123">
        <v>0</v>
      </c>
      <c r="D51" s="123">
        <v>0</v>
      </c>
      <c r="E51" s="123">
        <v>0</v>
      </c>
      <c r="F51" s="123">
        <v>0</v>
      </c>
      <c r="H51" s="120"/>
    </row>
    <row r="52" spans="1:8" ht="13.15">
      <c r="A52" s="143">
        <v>10</v>
      </c>
      <c r="B52" s="123">
        <v>0</v>
      </c>
      <c r="C52" s="123">
        <v>0</v>
      </c>
      <c r="D52" s="123">
        <v>0</v>
      </c>
      <c r="E52" s="123">
        <v>0</v>
      </c>
      <c r="F52" s="123">
        <v>0</v>
      </c>
      <c r="H52" s="120"/>
    </row>
    <row r="53" spans="1:8" ht="13.15">
      <c r="A53" s="143">
        <v>15</v>
      </c>
      <c r="B53" s="123">
        <v>0</v>
      </c>
      <c r="C53" s="123">
        <v>0</v>
      </c>
      <c r="D53" s="123">
        <v>0</v>
      </c>
      <c r="E53" s="123">
        <v>0</v>
      </c>
      <c r="F53" s="123">
        <v>0</v>
      </c>
      <c r="H53" s="120"/>
    </row>
    <row r="54" spans="1:8" ht="13.15">
      <c r="A54" s="144">
        <v>20</v>
      </c>
      <c r="B54" s="123">
        <v>0</v>
      </c>
      <c r="C54" s="123">
        <v>0</v>
      </c>
      <c r="D54" s="123">
        <v>0</v>
      </c>
      <c r="E54" s="123">
        <v>0</v>
      </c>
      <c r="F54" s="123">
        <v>0</v>
      </c>
      <c r="H54" s="120"/>
    </row>
    <row r="55" spans="1:8" ht="13.15">
      <c r="A55" s="144">
        <v>25</v>
      </c>
      <c r="B55" s="123">
        <v>0</v>
      </c>
      <c r="C55" s="123">
        <v>0</v>
      </c>
      <c r="D55" s="123">
        <v>0</v>
      </c>
      <c r="E55" s="123">
        <v>0</v>
      </c>
      <c r="F55" s="123">
        <v>0</v>
      </c>
      <c r="H55" s="120"/>
    </row>
    <row r="56" spans="1:8" ht="13.15">
      <c r="A56" s="144">
        <v>30</v>
      </c>
      <c r="B56" s="123">
        <v>0</v>
      </c>
      <c r="C56" s="123">
        <v>0</v>
      </c>
      <c r="D56" s="123">
        <v>0</v>
      </c>
      <c r="E56" s="123">
        <v>0</v>
      </c>
      <c r="F56" s="123">
        <v>0</v>
      </c>
      <c r="H56" s="120"/>
    </row>
    <row r="57" spans="1:8">
      <c r="C57" s="114"/>
      <c r="D57" s="114"/>
      <c r="E57" s="114"/>
      <c r="F57" s="114"/>
      <c r="H57" s="120"/>
    </row>
    <row r="58" spans="1:8" ht="13.15">
      <c r="B58" s="119" t="s">
        <v>126</v>
      </c>
      <c r="C58" s="114"/>
      <c r="D58" s="114"/>
      <c r="E58" s="114"/>
      <c r="F58" s="114"/>
      <c r="H58" s="120"/>
    </row>
    <row r="59" spans="1:8" ht="13.15">
      <c r="B59" s="132">
        <f>B50</f>
        <v>0</v>
      </c>
      <c r="C59" s="132">
        <f>C50</f>
        <v>0.02</v>
      </c>
      <c r="D59" s="132">
        <f>D50</f>
        <v>0.05</v>
      </c>
      <c r="E59" s="132">
        <f>E50</f>
        <v>0.08</v>
      </c>
      <c r="F59" s="132">
        <f>F50</f>
        <v>0.1</v>
      </c>
      <c r="H59" s="120"/>
    </row>
    <row r="60" spans="1:8" ht="13.15">
      <c r="A60" s="143">
        <v>0</v>
      </c>
      <c r="B60" s="124">
        <f>C7</f>
        <v>0</v>
      </c>
      <c r="C60" s="124">
        <f>C7</f>
        <v>0</v>
      </c>
      <c r="D60" s="124">
        <f>C7</f>
        <v>0</v>
      </c>
      <c r="E60" s="141">
        <f>C7</f>
        <v>0</v>
      </c>
      <c r="F60" s="124">
        <f>C7</f>
        <v>0</v>
      </c>
      <c r="H60" s="120"/>
    </row>
    <row r="61" spans="1:8" ht="13.15">
      <c r="A61" s="143">
        <f t="shared" ref="A61:A66" si="3">A51</f>
        <v>5</v>
      </c>
      <c r="B61" s="124">
        <f t="shared" ref="B61:F66" si="4">B51/Common_Shares*$C$3*Exchange_Rate</f>
        <v>0</v>
      </c>
      <c r="C61" s="124">
        <f t="shared" si="4"/>
        <v>0</v>
      </c>
      <c r="D61" s="124">
        <f t="shared" si="4"/>
        <v>0</v>
      </c>
      <c r="E61" s="124">
        <f t="shared" si="4"/>
        <v>0</v>
      </c>
      <c r="F61" s="124">
        <f t="shared" si="4"/>
        <v>0</v>
      </c>
      <c r="H61" s="120"/>
    </row>
    <row r="62" spans="1:8" ht="13.15">
      <c r="A62" s="143">
        <f t="shared" si="3"/>
        <v>10</v>
      </c>
      <c r="B62" s="124">
        <f t="shared" si="4"/>
        <v>0</v>
      </c>
      <c r="C62" s="124">
        <f t="shared" si="4"/>
        <v>0</v>
      </c>
      <c r="D62" s="124">
        <f t="shared" si="4"/>
        <v>0</v>
      </c>
      <c r="E62" s="124">
        <f t="shared" si="4"/>
        <v>0</v>
      </c>
      <c r="F62" s="124">
        <f t="shared" si="4"/>
        <v>0</v>
      </c>
      <c r="H62" s="120"/>
    </row>
    <row r="63" spans="1:8" ht="13.15">
      <c r="A63" s="143">
        <f t="shared" si="3"/>
        <v>15</v>
      </c>
      <c r="B63" s="124">
        <f t="shared" si="4"/>
        <v>0</v>
      </c>
      <c r="C63" s="124">
        <f t="shared" si="4"/>
        <v>0</v>
      </c>
      <c r="D63" s="124">
        <f t="shared" si="4"/>
        <v>0</v>
      </c>
      <c r="E63" s="124">
        <f t="shared" si="4"/>
        <v>0</v>
      </c>
      <c r="F63" s="124">
        <f t="shared" si="4"/>
        <v>0</v>
      </c>
      <c r="H63" s="120"/>
    </row>
    <row r="64" spans="1:8" ht="13.15">
      <c r="A64" s="144">
        <f t="shared" si="3"/>
        <v>20</v>
      </c>
      <c r="B64" s="124">
        <f t="shared" si="4"/>
        <v>0</v>
      </c>
      <c r="C64" s="124">
        <f t="shared" si="4"/>
        <v>0</v>
      </c>
      <c r="D64" s="124">
        <f t="shared" si="4"/>
        <v>0</v>
      </c>
      <c r="E64" s="124">
        <f t="shared" si="4"/>
        <v>0</v>
      </c>
      <c r="F64" s="124">
        <f t="shared" si="4"/>
        <v>0</v>
      </c>
      <c r="H64" s="120"/>
    </row>
    <row r="65" spans="1:8" ht="13.15">
      <c r="A65" s="144">
        <f t="shared" si="3"/>
        <v>25</v>
      </c>
      <c r="B65" s="124">
        <f t="shared" si="4"/>
        <v>0</v>
      </c>
      <c r="C65" s="124">
        <f t="shared" si="4"/>
        <v>0</v>
      </c>
      <c r="D65" s="124">
        <f t="shared" si="4"/>
        <v>0</v>
      </c>
      <c r="E65" s="124">
        <f t="shared" si="4"/>
        <v>0</v>
      </c>
      <c r="F65" s="124">
        <f t="shared" si="4"/>
        <v>0</v>
      </c>
    </row>
    <row r="66" spans="1:8" ht="13.15">
      <c r="A66" s="144">
        <f t="shared" si="3"/>
        <v>30</v>
      </c>
      <c r="B66" s="124">
        <f t="shared" si="4"/>
        <v>0</v>
      </c>
      <c r="C66" s="124">
        <f t="shared" si="4"/>
        <v>0</v>
      </c>
      <c r="D66" s="124">
        <f t="shared" si="4"/>
        <v>0</v>
      </c>
      <c r="E66" s="124">
        <f t="shared" si="4"/>
        <v>0</v>
      </c>
      <c r="F66" s="124">
        <f t="shared" si="4"/>
        <v>0</v>
      </c>
    </row>
    <row r="68" spans="1:8" ht="13.15">
      <c r="B68" s="171" t="s">
        <v>113</v>
      </c>
      <c r="C68" s="171" t="s">
        <v>128</v>
      </c>
      <c r="D68" s="171" t="s">
        <v>108</v>
      </c>
      <c r="E68" s="172" t="s">
        <v>109</v>
      </c>
      <c r="F68" s="172" t="s">
        <v>115</v>
      </c>
    </row>
    <row r="69" spans="1:8">
      <c r="B69" s="127" t="str">
        <f>Scenarios!B54</f>
        <v>Snowball Scenario</v>
      </c>
      <c r="C69" s="142">
        <f>Scenarios!C56</f>
        <v>0.1</v>
      </c>
      <c r="D69" s="145">
        <f>Scenarios!C55</f>
        <v>10</v>
      </c>
      <c r="E69" s="135">
        <f>INDEX(B$60:F$66, MATCH(D69, A$60:A$66, 0), MATCH(C69, B$59:F$59, 0))</f>
        <v>0</v>
      </c>
      <c r="F69" s="142">
        <f>Scenarios!C58</f>
        <v>0.05</v>
      </c>
    </row>
    <row r="70" spans="1:8">
      <c r="B70" s="127" t="str">
        <f>Scenarios!B36</f>
        <v>Optimistic</v>
      </c>
      <c r="C70" s="142">
        <f>Scenarios!C38</f>
        <v>0.08</v>
      </c>
      <c r="D70" s="145">
        <f>Scenarios!C37</f>
        <v>5</v>
      </c>
      <c r="E70" s="135">
        <f>INDEX(B$60:F$66, MATCH(D70, A$60:A$66, 0), MATCH(C70, B$59:F$59, 0))</f>
        <v>0</v>
      </c>
      <c r="F70" s="142">
        <f>Scenarios!C40*(1-F$69-F$73)</f>
        <v>0.18</v>
      </c>
      <c r="H70" s="120"/>
    </row>
    <row r="71" spans="1:8">
      <c r="B71" s="127" t="str">
        <f>Scenarios!B24</f>
        <v>Base</v>
      </c>
      <c r="C71" s="142">
        <f>Scenarios!C26</f>
        <v>0.05</v>
      </c>
      <c r="D71" s="145">
        <f>Scenarios!C25</f>
        <v>5</v>
      </c>
      <c r="E71" s="135">
        <f>INDEX(B$60:F$66, MATCH(D71, A$60:A$66, 0), MATCH(C71, B$59:F$59, 0))</f>
        <v>0</v>
      </c>
      <c r="F71" s="142">
        <f>Scenarios!C28*(1-F$69-F$73)</f>
        <v>0.53999999999999992</v>
      </c>
      <c r="H71" s="120"/>
    </row>
    <row r="72" spans="1:8">
      <c r="B72" s="127" t="str">
        <f>Scenarios!B30</f>
        <v>Pessimistic</v>
      </c>
      <c r="C72" s="142">
        <f>Scenarios!C32</f>
        <v>0.02</v>
      </c>
      <c r="D72" s="145">
        <f>Scenarios!C31</f>
        <v>5</v>
      </c>
      <c r="E72" s="135">
        <f>INDEX(B$60:F$66, MATCH(D72, A$60:A$66, 0), MATCH(C72, B$59:F$59, 0))</f>
        <v>0</v>
      </c>
      <c r="F72" s="142">
        <f>Scenarios!C34*(1-F$69-F$73)</f>
        <v>0.18</v>
      </c>
      <c r="H72" s="120"/>
    </row>
    <row r="73" spans="1:8">
      <c r="B73" s="127" t="str">
        <f>Scenarios!B48</f>
        <v>Devil's advocate</v>
      </c>
      <c r="C73" s="142">
        <f>Scenarios!C50</f>
        <v>0</v>
      </c>
      <c r="D73" s="145">
        <f>Scenarios!C49</f>
        <v>10</v>
      </c>
      <c r="E73" s="135">
        <f>INDEX(B$60:F$66, MATCH(D73, A$60:A$66, 0), MATCH(C73, B$59:F$59, 0))</f>
        <v>0</v>
      </c>
      <c r="F73" s="142">
        <f>Scenarios!C52</f>
        <v>0.05</v>
      </c>
    </row>
    <row r="74" spans="1:8">
      <c r="B74" s="155"/>
      <c r="C74" s="155"/>
      <c r="D74" s="155"/>
      <c r="E74" s="155"/>
      <c r="F74" s="156"/>
    </row>
    <row r="75" spans="1:8">
      <c r="B75" s="155" t="s">
        <v>302</v>
      </c>
      <c r="C75" s="155" t="s">
        <v>102</v>
      </c>
    </row>
    <row r="76" spans="1:8">
      <c r="C76" s="155" t="s">
        <v>101</v>
      </c>
    </row>
    <row r="77" spans="1:8">
      <c r="C77" s="155" t="s">
        <v>100</v>
      </c>
    </row>
    <row r="87" spans="3:3">
      <c r="C87" s="115"/>
    </row>
    <row r="88" spans="3:3">
      <c r="C88" s="115"/>
    </row>
    <row r="89" spans="3:3">
      <c r="C89" s="115"/>
    </row>
  </sheetData>
  <mergeCells count="1">
    <mergeCell ref="E6:F6"/>
  </mergeCells>
  <conditionalFormatting sqref="C16:F45">
    <cfRule type="cellIs" dxfId="1" priority="1" operator="equal">
      <formula>0</formula>
    </cfRule>
  </conditionalFormatting>
  <conditionalFormatting sqref="E60 B61:F66">
    <cfRule type="expression" dxfId="0" priority="2">
      <formula>ISNUMBER(MATCH(B60, $E$70:$E$73, 0))</formula>
    </cfRule>
  </conditionalFormatting>
  <dataValidations count="1">
    <dataValidation type="list" allowBlank="1" showInputMessage="1" showErrorMessage="1" sqref="C12" xr:uid="{0679E683-700B-4E49-B936-C44C7B75B2A2}">
      <formula1>$A$51:$A$56</formula1>
    </dataValidation>
  </dataValidations>
  <pageMargins left="0.25" right="0.25" top="0.75" bottom="0.75" header="0.3" footer="0.3"/>
  <pageSetup paperSize="9" scale="59"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topLeftCell="A47" zoomScale="75" zoomScaleNormal="100" workbookViewId="0">
      <selection activeCell="E66" sqref="E66"/>
    </sheetView>
  </sheetViews>
  <sheetFormatPr defaultColWidth="8.86328125" defaultRowHeight="12.75"/>
  <cols>
    <col min="1" max="1" width="2.73046875" customWidth="1"/>
    <col min="2" max="2" width="22.73046875" customWidth="1"/>
    <col min="3" max="3" width="14" bestFit="1" customWidth="1"/>
    <col min="4" max="4" width="10.73046875" customWidth="1"/>
    <col min="5" max="6" width="42.73046875" customWidth="1"/>
    <col min="8" max="9" width="15.73046875" customWidth="1"/>
  </cols>
  <sheetData>
    <row r="2" spans="2:9" ht="13.9">
      <c r="B2" s="36" t="s">
        <v>141</v>
      </c>
      <c r="C2" s="37"/>
      <c r="D2" s="37"/>
      <c r="E2" s="37"/>
      <c r="F2" s="37"/>
      <c r="H2" s="248" t="s">
        <v>290</v>
      </c>
      <c r="I2" s="249"/>
    </row>
    <row r="3" spans="2:9" ht="13.15">
      <c r="B3" s="159" t="s">
        <v>144</v>
      </c>
      <c r="H3" s="247">
        <v>0</v>
      </c>
      <c r="I3" s="124">
        <f>-Market_Price</f>
        <v>-196.45</v>
      </c>
    </row>
    <row r="4" spans="2:9">
      <c r="B4" s="152" t="s">
        <v>142</v>
      </c>
      <c r="C4" s="120">
        <v>3</v>
      </c>
      <c r="D4" s="120"/>
      <c r="E4" s="155" t="s">
        <v>146</v>
      </c>
      <c r="F4" s="155"/>
      <c r="H4" s="247">
        <v>1</v>
      </c>
      <c r="I4" s="124">
        <f t="shared" ref="I4:I13" si="0">IF(ROW()-3 &lt; $C$76, $C$77, IF(ROW()-3 = $C$76, $C$77 + $C$60, ""))</f>
        <v>0</v>
      </c>
    </row>
    <row r="5" spans="2:9">
      <c r="H5" s="247">
        <v>2</v>
      </c>
      <c r="I5" s="124">
        <f t="shared" si="0"/>
        <v>0</v>
      </c>
    </row>
    <row r="6" spans="2:9" ht="13.15">
      <c r="B6" s="159" t="s">
        <v>92</v>
      </c>
      <c r="C6" s="107">
        <f>DCF!C3</f>
        <v>1000</v>
      </c>
      <c r="E6" s="100" t="s">
        <v>274</v>
      </c>
      <c r="F6" s="100"/>
      <c r="H6" s="247">
        <v>3</v>
      </c>
      <c r="I6" s="124">
        <f t="shared" si="0"/>
        <v>177.33733316076845</v>
      </c>
    </row>
    <row r="7" spans="2:9" ht="12.75" customHeight="1">
      <c r="B7" s="100" t="s">
        <v>270</v>
      </c>
      <c r="C7" s="338">
        <f>Normalized_FCF!G8</f>
        <v>2508432</v>
      </c>
      <c r="D7" t="str">
        <f>Reporting_currency</f>
        <v>USD</v>
      </c>
      <c r="E7" s="377"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5-year scenarios (Base Case, Pessimistic Case, Optimistic Case) and two extreme 10-year scenarios (Success Scenario, Devil’s Advocate Scenario) for lululemon athletica inc.(LULU). Each scenario should include the Compound Growth Rate, the Probability Assessment, and the Business Narrative.</v>
      </c>
      <c r="F7" s="377"/>
      <c r="H7" s="247">
        <v>4</v>
      </c>
      <c r="I7" s="124" t="str">
        <f t="shared" si="0"/>
        <v/>
      </c>
    </row>
    <row r="8" spans="2:9">
      <c r="B8" s="100" t="s">
        <v>64</v>
      </c>
      <c r="C8" s="338">
        <f>Normalized_FCF!G19</f>
        <v>1746971</v>
      </c>
      <c r="D8" t="str">
        <f>Reporting_currency</f>
        <v>USD</v>
      </c>
      <c r="E8" s="377"/>
      <c r="F8" s="377"/>
      <c r="H8" s="247">
        <v>5</v>
      </c>
      <c r="I8" s="124" t="str">
        <f t="shared" si="0"/>
        <v/>
      </c>
    </row>
    <row r="9" spans="2:9">
      <c r="B9" s="100" t="s">
        <v>55</v>
      </c>
      <c r="C9" s="338">
        <f>Normalized_FCF!C19</f>
        <v>1531001.7296417297</v>
      </c>
      <c r="D9" t="str">
        <f>Reporting_currency</f>
        <v>USD</v>
      </c>
      <c r="E9" s="377"/>
      <c r="F9" s="377"/>
      <c r="H9" s="247">
        <v>6</v>
      </c>
      <c r="I9" s="124" t="str">
        <f t="shared" si="0"/>
        <v/>
      </c>
    </row>
    <row r="10" spans="2:9">
      <c r="E10" s="377"/>
      <c r="F10" s="377"/>
      <c r="H10" s="247">
        <v>7</v>
      </c>
      <c r="I10" s="124" t="str">
        <f t="shared" si="0"/>
        <v/>
      </c>
    </row>
    <row r="11" spans="2:9" ht="13.15">
      <c r="B11" s="159" t="s">
        <v>425</v>
      </c>
      <c r="E11" s="377"/>
      <c r="F11" s="377"/>
      <c r="H11" s="247">
        <v>8</v>
      </c>
      <c r="I11" s="124" t="str">
        <f t="shared" si="0"/>
        <v/>
      </c>
    </row>
    <row r="12" spans="2:9">
      <c r="B12" s="118" t="s">
        <v>140</v>
      </c>
      <c r="C12" s="158">
        <f ca="1">(Normalized_FCF!G4/OFFSET(Normalized_FCF!G4, 0, $C$4))^(1/$C$4) - 1</f>
        <v>0.1916805291773731</v>
      </c>
      <c r="D12" s="158"/>
      <c r="E12" s="377"/>
      <c r="F12" s="377"/>
      <c r="H12" s="247">
        <v>9</v>
      </c>
      <c r="I12" s="124" t="str">
        <f t="shared" si="0"/>
        <v/>
      </c>
    </row>
    <row r="13" spans="2:9">
      <c r="B13" s="148" t="s">
        <v>148</v>
      </c>
      <c r="C13" s="158">
        <f ca="1">(Normalized_FCF!G8/OFFSET(Normalized_FCF!G8, 0, $C$4))^(1/$C$4) - 1</f>
        <v>0.21937647651075554</v>
      </c>
      <c r="E13" s="377"/>
      <c r="F13" s="377"/>
      <c r="H13" s="247">
        <v>10</v>
      </c>
      <c r="I13" s="124" t="str">
        <f t="shared" si="0"/>
        <v/>
      </c>
    </row>
    <row r="14" spans="2:9">
      <c r="B14" s="100" t="s">
        <v>64</v>
      </c>
      <c r="C14" s="158">
        <f ca="1">(Normalized_FCF!G19/OFFSET(Normalized_FCF!G19, 0, $C$4))^(1/$C$4) - 1</f>
        <v>0.19450930322627591</v>
      </c>
      <c r="E14" s="377"/>
      <c r="F14" s="377"/>
    </row>
    <row r="16" spans="2:9" ht="13.9">
      <c r="B16" s="36" t="s">
        <v>158</v>
      </c>
      <c r="C16" s="37"/>
      <c r="D16" s="37"/>
      <c r="E16" s="37"/>
      <c r="F16" s="37"/>
    </row>
    <row r="17" spans="2:6" ht="13.15">
      <c r="B17" s="109" t="s">
        <v>147</v>
      </c>
      <c r="E17" s="159" t="s">
        <v>321</v>
      </c>
    </row>
    <row r="18" spans="2:6">
      <c r="B18" s="152" t="s">
        <v>129</v>
      </c>
      <c r="C18" s="150">
        <v>5</v>
      </c>
      <c r="E18" s="377" t="s">
        <v>322</v>
      </c>
      <c r="F18" s="378"/>
    </row>
    <row r="19" spans="2:6">
      <c r="E19" s="378"/>
      <c r="F19" s="378"/>
    </row>
    <row r="20" spans="2:6" ht="13.15">
      <c r="B20" s="159" t="s">
        <v>298</v>
      </c>
      <c r="E20" s="378"/>
      <c r="F20" s="378"/>
    </row>
    <row r="21" spans="2:6">
      <c r="B21" s="100" t="s">
        <v>272</v>
      </c>
      <c r="C21" s="160">
        <f>Market_Price</f>
        <v>196.45</v>
      </c>
      <c r="D21" t="str">
        <f>Market_currency</f>
        <v>USD</v>
      </c>
      <c r="E21" s="378"/>
      <c r="F21" s="378"/>
    </row>
    <row r="22" spans="2:6">
      <c r="B22" s="100" t="s">
        <v>273</v>
      </c>
      <c r="C22" s="160">
        <f>IF(valuation_method="DCF",DCF!C12,DDM!C7)</f>
        <v>161.55604285508468</v>
      </c>
      <c r="D22" t="str">
        <f>Market_currency</f>
        <v>USD</v>
      </c>
      <c r="E22" s="378"/>
      <c r="F22" s="378"/>
    </row>
    <row r="24" spans="2:6" ht="13.15">
      <c r="B24" s="159" t="s">
        <v>111</v>
      </c>
      <c r="E24" s="159" t="s">
        <v>145</v>
      </c>
      <c r="F24" s="159"/>
    </row>
    <row r="25" spans="2:6">
      <c r="B25" s="152" t="s">
        <v>129</v>
      </c>
      <c r="C25" s="166">
        <f>C18</f>
        <v>5</v>
      </c>
      <c r="D25" s="163"/>
      <c r="E25" s="376"/>
      <c r="F25" s="376"/>
    </row>
    <row r="26" spans="2:6">
      <c r="B26" s="118" t="s">
        <v>130</v>
      </c>
      <c r="C26" s="164">
        <v>0.05</v>
      </c>
      <c r="D26" s="164"/>
      <c r="E26" s="376"/>
      <c r="F26" s="376"/>
    </row>
    <row r="27" spans="2:6">
      <c r="B27" s="100" t="s">
        <v>109</v>
      </c>
      <c r="C27" s="160">
        <f>IF(valuation_method="DCF",DCF!E76,DDM!E71)</f>
        <v>175.356411952147</v>
      </c>
      <c r="D27" s="160" t="str">
        <f>Market_currency</f>
        <v>USD</v>
      </c>
      <c r="E27" s="376"/>
      <c r="F27" s="376"/>
    </row>
    <row r="28" spans="2:6">
      <c r="B28" s="100" t="s">
        <v>143</v>
      </c>
      <c r="C28" s="165">
        <v>0.6</v>
      </c>
      <c r="D28" s="165"/>
      <c r="E28" s="376"/>
      <c r="F28" s="376"/>
    </row>
    <row r="30" spans="2:6" ht="13.15">
      <c r="B30" s="159" t="s">
        <v>112</v>
      </c>
      <c r="E30" s="159" t="s">
        <v>145</v>
      </c>
      <c r="F30" s="159"/>
    </row>
    <row r="31" spans="2:6">
      <c r="B31" s="152" t="s">
        <v>129</v>
      </c>
      <c r="C31" s="166">
        <f>C18</f>
        <v>5</v>
      </c>
      <c r="D31" s="163"/>
      <c r="E31" s="376"/>
      <c r="F31" s="376"/>
    </row>
    <row r="32" spans="2:6">
      <c r="B32" s="118" t="s">
        <v>130</v>
      </c>
      <c r="C32" s="164">
        <v>0.02</v>
      </c>
      <c r="D32" s="164"/>
      <c r="E32" s="376"/>
      <c r="F32" s="376"/>
    </row>
    <row r="33" spans="2:6">
      <c r="B33" s="100" t="s">
        <v>109</v>
      </c>
      <c r="C33" s="160">
        <f>IF(valuation_method="DCF",DCF!E77,DDM!E72)</f>
        <v>166.95731694870545</v>
      </c>
      <c r="D33" t="str">
        <f>Market_currency</f>
        <v>USD</v>
      </c>
      <c r="E33" s="376"/>
      <c r="F33" s="376"/>
    </row>
    <row r="34" spans="2:6">
      <c r="B34" s="100" t="s">
        <v>143</v>
      </c>
      <c r="C34" s="165">
        <v>0.2</v>
      </c>
      <c r="D34" s="165"/>
      <c r="E34" s="376"/>
      <c r="F34" s="376"/>
    </row>
    <row r="36" spans="2:6" ht="13.15">
      <c r="B36" s="159" t="s">
        <v>110</v>
      </c>
      <c r="E36" s="159" t="s">
        <v>145</v>
      </c>
      <c r="F36" s="159"/>
    </row>
    <row r="37" spans="2:6">
      <c r="B37" s="152" t="s">
        <v>129</v>
      </c>
      <c r="C37" s="166">
        <f>C18</f>
        <v>5</v>
      </c>
      <c r="D37" s="163"/>
      <c r="E37" s="376"/>
      <c r="F37" s="376"/>
    </row>
    <row r="38" spans="2:6">
      <c r="B38" s="118" t="s">
        <v>130</v>
      </c>
      <c r="C38" s="164">
        <v>0.08</v>
      </c>
      <c r="D38" s="164"/>
      <c r="E38" s="376"/>
      <c r="F38" s="376"/>
    </row>
    <row r="39" spans="2:6">
      <c r="B39" s="100" t="s">
        <v>109</v>
      </c>
      <c r="C39" s="160">
        <f>IF(valuation_method="DCF",DCF!E75,DDM!E70)</f>
        <v>184.13311998584584</v>
      </c>
      <c r="D39" t="str">
        <f>Market_currency</f>
        <v>USD</v>
      </c>
      <c r="E39" s="376"/>
      <c r="F39" s="376"/>
    </row>
    <row r="40" spans="2:6">
      <c r="B40" s="100" t="s">
        <v>143</v>
      </c>
      <c r="C40" s="167">
        <f>1-C28-C34</f>
        <v>0.2</v>
      </c>
      <c r="D40" s="165"/>
      <c r="E40" s="376"/>
      <c r="F40" s="376"/>
    </row>
    <row r="42" spans="2:6" ht="13.15">
      <c r="B42" s="100" t="s">
        <v>116</v>
      </c>
      <c r="C42" s="154">
        <f>C27*C28+C33*C34+C39*C40</f>
        <v>175.43193455819846</v>
      </c>
      <c r="D42" t="str">
        <f>Market_currency</f>
        <v>USD</v>
      </c>
    </row>
    <row r="44" spans="2:6" ht="13.9">
      <c r="B44" s="36" t="s">
        <v>157</v>
      </c>
      <c r="C44" s="37"/>
      <c r="D44" s="37"/>
      <c r="E44" s="37"/>
      <c r="F44" s="37"/>
    </row>
    <row r="45" spans="2:6" ht="13.15">
      <c r="B45" s="109" t="s">
        <v>147</v>
      </c>
    </row>
    <row r="46" spans="2:6">
      <c r="B46" s="152" t="s">
        <v>129</v>
      </c>
      <c r="C46" s="150">
        <v>10</v>
      </c>
      <c r="E46" s="100"/>
      <c r="F46" s="100"/>
    </row>
    <row r="47" spans="2:6" ht="13.15">
      <c r="B47" s="159"/>
      <c r="E47" s="159"/>
      <c r="F47" s="159"/>
    </row>
    <row r="48" spans="2:6" ht="13.15">
      <c r="B48" s="159" t="s">
        <v>161</v>
      </c>
      <c r="E48" s="159" t="s">
        <v>145</v>
      </c>
      <c r="F48" s="159"/>
    </row>
    <row r="49" spans="2:6" ht="12.75" customHeight="1">
      <c r="B49" s="152" t="s">
        <v>129</v>
      </c>
      <c r="C49" s="166">
        <f>C46</f>
        <v>10</v>
      </c>
      <c r="D49" s="163"/>
      <c r="E49" s="376"/>
      <c r="F49" s="376"/>
    </row>
    <row r="50" spans="2:6">
      <c r="B50" s="118" t="s">
        <v>130</v>
      </c>
      <c r="C50" s="164">
        <v>0</v>
      </c>
      <c r="D50" s="164"/>
      <c r="E50" s="376"/>
      <c r="F50" s="376"/>
    </row>
    <row r="51" spans="2:6">
      <c r="B51" s="100" t="s">
        <v>109</v>
      </c>
      <c r="C51" s="160">
        <f>IF(valuation_method="DCF",DCF!E78,DDM!E73)</f>
        <v>161.55604285508471</v>
      </c>
      <c r="D51" t="str">
        <f>Market_currency</f>
        <v>USD</v>
      </c>
      <c r="E51" s="376"/>
      <c r="F51" s="376"/>
    </row>
    <row r="52" spans="2:6">
      <c r="B52" s="100" t="s">
        <v>143</v>
      </c>
      <c r="C52" s="165">
        <v>0.05</v>
      </c>
      <c r="D52" s="165"/>
      <c r="E52" s="376"/>
      <c r="F52" s="376"/>
    </row>
    <row r="54" spans="2:6" ht="13.15">
      <c r="B54" s="159" t="s">
        <v>307</v>
      </c>
      <c r="E54" s="159" t="s">
        <v>145</v>
      </c>
      <c r="F54" s="159"/>
    </row>
    <row r="55" spans="2:6">
      <c r="B55" s="152" t="s">
        <v>129</v>
      </c>
      <c r="C55" s="166">
        <f>C46</f>
        <v>10</v>
      </c>
      <c r="D55" s="163"/>
      <c r="E55" s="376"/>
      <c r="F55" s="376"/>
    </row>
    <row r="56" spans="2:6">
      <c r="B56" s="118" t="s">
        <v>130</v>
      </c>
      <c r="C56" s="164">
        <v>0.1</v>
      </c>
      <c r="D56" s="164"/>
      <c r="E56" s="376"/>
      <c r="F56" s="376"/>
    </row>
    <row r="57" spans="2:6">
      <c r="B57" s="100" t="s">
        <v>109</v>
      </c>
      <c r="C57" s="160">
        <f>IF(valuation_method="DCF",DCF!E74,DDM!E69)</f>
        <v>227.41579831271272</v>
      </c>
      <c r="D57" t="str">
        <f>Market_currency</f>
        <v>USD</v>
      </c>
      <c r="E57" s="376"/>
      <c r="F57" s="376"/>
    </row>
    <row r="58" spans="2:6">
      <c r="B58" s="100" t="s">
        <v>143</v>
      </c>
      <c r="C58" s="165">
        <v>0.05</v>
      </c>
      <c r="D58" s="165"/>
      <c r="E58" s="376"/>
      <c r="F58" s="376"/>
    </row>
    <row r="60" spans="2:6" ht="13.15">
      <c r="B60" s="100" t="s">
        <v>116</v>
      </c>
      <c r="C60" s="154">
        <f>C51*C52+C57*C58+C42*(1-C52-C58)</f>
        <v>177.33733316076845</v>
      </c>
      <c r="D60" t="str">
        <f>Market_currency</f>
        <v>USD</v>
      </c>
      <c r="E60" s="100" t="s">
        <v>291</v>
      </c>
      <c r="F60" s="277">
        <f>Thesis!F28</f>
        <v>3</v>
      </c>
    </row>
    <row r="62" spans="2:6" ht="13.9">
      <c r="B62" s="36" t="s">
        <v>341</v>
      </c>
      <c r="C62" s="37"/>
      <c r="D62" s="37"/>
      <c r="E62" s="37"/>
      <c r="F62" s="37"/>
    </row>
    <row r="63" spans="2:6" ht="13.15">
      <c r="B63" s="109" t="s">
        <v>299</v>
      </c>
      <c r="E63" s="252" t="s">
        <v>303</v>
      </c>
    </row>
    <row r="64" spans="2:6">
      <c r="B64" s="152" t="s">
        <v>129</v>
      </c>
      <c r="C64" s="166">
        <f>C18</f>
        <v>5</v>
      </c>
      <c r="D64" s="150"/>
      <c r="E64" s="251" t="s">
        <v>378</v>
      </c>
    </row>
    <row r="65" spans="2:6">
      <c r="B65" s="118" t="s">
        <v>130</v>
      </c>
      <c r="C65" s="151">
        <v>5.6956407974813751E-2</v>
      </c>
      <c r="D65" s="151"/>
      <c r="E65" s="251" t="s">
        <v>304</v>
      </c>
    </row>
    <row r="66" spans="2:6">
      <c r="B66" s="100" t="s">
        <v>99</v>
      </c>
      <c r="C66" s="160">
        <f>IF(valuation_method="DCF",DCF!C18,DDM!C13)</f>
        <v>177.35704618933633</v>
      </c>
      <c r="D66" s="160" t="str">
        <f>Market_currency</f>
        <v>USD</v>
      </c>
      <c r="E66" s="251" t="s">
        <v>305</v>
      </c>
    </row>
    <row r="68" spans="2:6" ht="13.15">
      <c r="B68" s="109" t="s">
        <v>342</v>
      </c>
      <c r="E68" s="252" t="s">
        <v>306</v>
      </c>
    </row>
    <row r="69" spans="2:6">
      <c r="B69" s="100" t="s">
        <v>300</v>
      </c>
      <c r="C69" s="244" t="str">
        <f>IF(C60&lt;C22,"Y","N")</f>
        <v>N</v>
      </c>
      <c r="E69" s="134"/>
    </row>
    <row r="70" spans="2:6">
      <c r="B70" s="100" t="s">
        <v>288</v>
      </c>
      <c r="C70" s="244" t="str">
        <f>IF(C69="Y","N",IF(C65&gt;8%,"N","Y"))</f>
        <v>Y</v>
      </c>
      <c r="E70" s="251" t="s">
        <v>289</v>
      </c>
    </row>
    <row r="71" spans="2:6">
      <c r="B71" s="100" t="s">
        <v>287</v>
      </c>
      <c r="C71" s="244" t="str">
        <f>IF(C65&gt;8%,"Y","N")</f>
        <v>N</v>
      </c>
      <c r="E71" s="251"/>
    </row>
    <row r="72" spans="2:6">
      <c r="B72" s="100" t="s">
        <v>279</v>
      </c>
      <c r="C72" s="243" t="str">
        <f>IF(F72&gt;50%,"Y","N")</f>
        <v>N</v>
      </c>
      <c r="E72" s="134" t="s">
        <v>338</v>
      </c>
      <c r="F72" s="291">
        <f>BS!D89/C60</f>
        <v>-4.9480365195452673E-2</v>
      </c>
    </row>
    <row r="74" spans="2:6" ht="13.9">
      <c r="B74" s="36" t="s">
        <v>123</v>
      </c>
      <c r="C74" s="37"/>
      <c r="D74" s="37"/>
      <c r="E74" s="37"/>
      <c r="F74" s="37"/>
    </row>
    <row r="75" spans="2:6" ht="13.15">
      <c r="B75" s="109" t="s">
        <v>121</v>
      </c>
    </row>
    <row r="76" spans="2:6">
      <c r="B76" s="246" t="s">
        <v>292</v>
      </c>
      <c r="C76" s="245">
        <f>F60</f>
        <v>3</v>
      </c>
      <c r="D76" s="134"/>
    </row>
    <row r="77" spans="2:6">
      <c r="B77" s="100" t="s">
        <v>437</v>
      </c>
      <c r="C77" s="173">
        <f>Normalized_FCF!C90*(1-dividend_tax_rate)</f>
        <v>0</v>
      </c>
      <c r="D77" t="str">
        <f>Market_currency</f>
        <v>USD</v>
      </c>
    </row>
    <row r="79" spans="2:6" ht="13.15">
      <c r="B79" s="109" t="s">
        <v>296</v>
      </c>
    </row>
    <row r="80" spans="2:6">
      <c r="B80" s="148" t="s">
        <v>294</v>
      </c>
      <c r="C80" s="167">
        <f>Thesis!F29</f>
        <v>0.35</v>
      </c>
    </row>
    <row r="81" spans="2:8">
      <c r="B81" s="100" t="s">
        <v>117</v>
      </c>
      <c r="C81" s="116">
        <f>PV(C80, C76, -C77, 0)</f>
        <v>0</v>
      </c>
      <c r="D81" s="116"/>
      <c r="E81" s="100"/>
      <c r="F81" s="100"/>
    </row>
    <row r="82" spans="2:8">
      <c r="B82" s="100" t="s">
        <v>118</v>
      </c>
      <c r="C82" s="116">
        <f>C60/(1+C80)^C76</f>
        <v>72.077359410971269</v>
      </c>
      <c r="D82" s="116"/>
    </row>
    <row r="83" spans="2:8" ht="13.15">
      <c r="B83" s="110" t="s">
        <v>98</v>
      </c>
      <c r="C83" s="111">
        <f>C81+C82</f>
        <v>72.077359410971269</v>
      </c>
      <c r="D83" t="str">
        <f>Market_currency</f>
        <v>USD</v>
      </c>
      <c r="E83" s="146" t="s">
        <v>122</v>
      </c>
      <c r="F83" s="291">
        <f>(1-C83/C60)</f>
        <v>0.59355789259767322</v>
      </c>
    </row>
    <row r="84" spans="2:8">
      <c r="E84" s="120"/>
    </row>
    <row r="85" spans="2:8" ht="13.15">
      <c r="B85" s="109" t="s">
        <v>297</v>
      </c>
    </row>
    <row r="86" spans="2:8">
      <c r="B86" s="148" t="s">
        <v>295</v>
      </c>
      <c r="C86" s="116">
        <f>Market_Price</f>
        <v>196.45</v>
      </c>
      <c r="D86" t="str">
        <f>Market_currency</f>
        <v>USD</v>
      </c>
    </row>
    <row r="87" spans="2:8" ht="13.15">
      <c r="B87" s="100" t="s">
        <v>293</v>
      </c>
      <c r="C87" s="237">
        <f ca="1">IRR(OFFSET($I$3, 0, 0, $C$76 + 1, 1))</f>
        <v>-3.3542605330217801E-2</v>
      </c>
    </row>
    <row r="88" spans="2:8">
      <c r="B88" s="100"/>
    </row>
    <row r="89" spans="2:8" ht="13.15">
      <c r="B89" s="109" t="s">
        <v>394</v>
      </c>
    </row>
    <row r="90" spans="2:8">
      <c r="B90" s="148" t="s">
        <v>395</v>
      </c>
      <c r="C90" s="167">
        <f>Thesis!F30</f>
        <v>0.25</v>
      </c>
    </row>
    <row r="91" spans="2:8">
      <c r="B91" s="100" t="s">
        <v>117</v>
      </c>
      <c r="C91" s="116">
        <f>PV(C90, C76, -C77, 0)</f>
        <v>0</v>
      </c>
      <c r="D91" s="116"/>
      <c r="E91" s="100"/>
      <c r="F91" s="100"/>
    </row>
    <row r="92" spans="2:8">
      <c r="B92" s="100" t="s">
        <v>118</v>
      </c>
      <c r="C92" s="116">
        <f>C60/(1+C90)^C76</f>
        <v>90.796714578313441</v>
      </c>
      <c r="D92" s="116"/>
    </row>
    <row r="93" spans="2:8" ht="13.15">
      <c r="B93" s="110" t="s">
        <v>98</v>
      </c>
      <c r="C93" s="111">
        <f>C91+C92</f>
        <v>90.796714578313441</v>
      </c>
      <c r="D93" t="str">
        <f>Market_currency</f>
        <v>USD</v>
      </c>
      <c r="E93" s="146" t="s">
        <v>122</v>
      </c>
      <c r="F93" s="291">
        <f>(1-C93/C60)</f>
        <v>0.48799999999999999</v>
      </c>
    </row>
    <row r="95" spans="2:8" ht="13.15">
      <c r="B95" s="109" t="s">
        <v>380</v>
      </c>
      <c r="G95" s="2"/>
      <c r="H95" s="281"/>
    </row>
    <row r="96" spans="2:8">
      <c r="B96" s="148" t="s">
        <v>385</v>
      </c>
      <c r="C96" s="134">
        <f>Thesis!F31</f>
        <v>7.4999999999999997E-2</v>
      </c>
      <c r="G96" s="2"/>
      <c r="H96" s="281"/>
    </row>
    <row r="97" spans="2:8">
      <c r="B97" s="100" t="s">
        <v>117</v>
      </c>
      <c r="C97" s="116">
        <f>PV(C96, C76, -C77, 0)</f>
        <v>0</v>
      </c>
      <c r="D97" s="116"/>
      <c r="G97" s="2"/>
      <c r="H97" s="281"/>
    </row>
    <row r="98" spans="2:8">
      <c r="B98" s="100" t="s">
        <v>118</v>
      </c>
      <c r="C98" s="116">
        <f>C60/(1+C96)^C76</f>
        <v>142.74956069640638</v>
      </c>
      <c r="D98" s="116"/>
      <c r="G98" s="2"/>
      <c r="H98" s="281"/>
    </row>
    <row r="99" spans="2:8" ht="13.15">
      <c r="B99" s="110" t="s">
        <v>381</v>
      </c>
      <c r="C99" s="111">
        <f>C97+C98</f>
        <v>142.74956069640638</v>
      </c>
      <c r="D99" t="s">
        <v>379</v>
      </c>
      <c r="E99" s="146" t="s">
        <v>122</v>
      </c>
      <c r="F99" s="291">
        <f>(1-C99/C60)</f>
        <v>0.19503943049039696</v>
      </c>
    </row>
    <row r="100" spans="2:8">
      <c r="B100" s="100"/>
    </row>
    <row r="101" spans="2:8" ht="13.15">
      <c r="B101" s="109" t="s">
        <v>400</v>
      </c>
    </row>
    <row r="102" spans="2:8">
      <c r="B102" s="148" t="s">
        <v>399</v>
      </c>
      <c r="C102" s="134">
        <f>Thesis!F32</f>
        <v>0.1174</v>
      </c>
    </row>
    <row r="103" spans="2:8">
      <c r="B103" s="100" t="s">
        <v>117</v>
      </c>
      <c r="C103" s="116">
        <f>PV(C102, C76, -C77, 0)</f>
        <v>0</v>
      </c>
      <c r="D103" s="116"/>
    </row>
    <row r="104" spans="2:8">
      <c r="B104" s="100" t="s">
        <v>118</v>
      </c>
      <c r="C104" s="116">
        <f>C60/(1+C102)^C76</f>
        <v>127.10837661250939</v>
      </c>
      <c r="D104" s="116"/>
    </row>
    <row r="105" spans="2:8" ht="13.15">
      <c r="B105" s="110" t="s">
        <v>381</v>
      </c>
      <c r="C105" s="111">
        <f>C103+C104</f>
        <v>127.10837661250939</v>
      </c>
      <c r="D105" t="s">
        <v>379</v>
      </c>
      <c r="E105" s="146" t="s">
        <v>122</v>
      </c>
      <c r="F105" s="291">
        <f>(1-C105/C66)</f>
        <v>0.28331927406585422</v>
      </c>
    </row>
    <row r="106" spans="2:8">
      <c r="B106" s="100"/>
    </row>
    <row r="107" spans="2:8" ht="14.65">
      <c r="E107" s="285" t="s">
        <v>316</v>
      </c>
      <c r="F107" s="282"/>
    </row>
    <row r="108" spans="2:8" ht="13.9">
      <c r="E108" s="278" t="s">
        <v>317</v>
      </c>
      <c r="F108" s="283" t="s">
        <v>318</v>
      </c>
    </row>
    <row r="109" spans="2:8" ht="13.9">
      <c r="E109" s="279" t="s">
        <v>317</v>
      </c>
      <c r="F109" s="283" t="s">
        <v>319</v>
      </c>
    </row>
    <row r="110" spans="2:8" ht="13.9">
      <c r="E110" s="280" t="s">
        <v>317</v>
      </c>
      <c r="F110" s="284" t="s">
        <v>320</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0689B-F36D-4933-9EEF-92EBF45B6A8E}">
  <dimension ref="B2:E2"/>
  <sheetViews>
    <sheetView showGridLines="0" workbookViewId="0">
      <selection activeCell="E38" sqref="E38"/>
    </sheetView>
  </sheetViews>
  <sheetFormatPr defaultRowHeight="12.75"/>
  <cols>
    <col min="1" max="1" width="2.59765625" customWidth="1"/>
    <col min="2" max="2" width="22.73046875" customWidth="1"/>
    <col min="3" max="5" width="20.73046875" customWidth="1"/>
  </cols>
  <sheetData>
    <row r="2" spans="2:5" ht="13.9">
      <c r="B2" s="36" t="s">
        <v>438</v>
      </c>
      <c r="C2" s="37"/>
      <c r="D2" s="37"/>
      <c r="E2" s="3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1:J197"/>
  <sheetViews>
    <sheetView showGridLines="0" topLeftCell="A4" zoomScale="85" zoomScaleNormal="100" workbookViewId="0">
      <selection activeCell="C26" sqref="C26"/>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439</v>
      </c>
      <c r="C1" s="33">
        <f>Thesis!C1</f>
        <v>45874</v>
      </c>
      <c r="D1" s="358" t="str">
        <f>Thesis!D1</f>
        <v>INT</v>
      </c>
      <c r="E1" s="292" t="s">
        <v>345</v>
      </c>
      <c r="F1" s="307" t="str">
        <f>Thesis!F1</f>
        <v>N</v>
      </c>
    </row>
    <row r="2" spans="1:10" ht="13.9">
      <c r="A2" s="222" t="s">
        <v>440</v>
      </c>
      <c r="B2" s="36"/>
      <c r="C2" s="36"/>
      <c r="D2" s="36"/>
      <c r="E2" s="36"/>
      <c r="F2" s="36"/>
      <c r="G2" s="22"/>
      <c r="H2" s="22"/>
      <c r="I2" s="22"/>
      <c r="J2" s="22"/>
    </row>
    <row r="4" spans="1:10">
      <c r="B4" s="45" t="s">
        <v>441</v>
      </c>
      <c r="C4" s="46"/>
      <c r="D4" s="5"/>
      <c r="E4" s="2"/>
      <c r="F4" s="2"/>
    </row>
    <row r="5" spans="1:10" ht="12.4">
      <c r="B5" s="4" t="s">
        <v>481</v>
      </c>
      <c r="C5" s="359" t="str">
        <f>Thesis!C5</f>
        <v>lululemon athletica inc.</v>
      </c>
    </row>
    <row r="6" spans="1:10">
      <c r="B6" s="4" t="s">
        <v>482</v>
      </c>
      <c r="C6" s="34">
        <f>Common_Shares</f>
        <v>119845391</v>
      </c>
      <c r="E6" s="48"/>
    </row>
    <row r="7" spans="1:10">
      <c r="B7" s="2" t="s">
        <v>483</v>
      </c>
      <c r="C7" s="360">
        <f>Thesis!C7</f>
        <v>6</v>
      </c>
      <c r="D7" s="48"/>
      <c r="E7" s="48"/>
    </row>
    <row r="8" spans="1:10">
      <c r="B8" s="1" t="s">
        <v>484</v>
      </c>
      <c r="C8" s="33">
        <f>EOMONTH(EDATE(BS!C1,C7+2),0)</f>
        <v>46053</v>
      </c>
      <c r="E8" s="48"/>
    </row>
    <row r="9" spans="1:10">
      <c r="E9" s="34"/>
    </row>
    <row r="10" spans="1:10">
      <c r="B10" s="45" t="s">
        <v>442</v>
      </c>
      <c r="C10" s="46"/>
      <c r="E10" s="34"/>
    </row>
    <row r="11" spans="1:10">
      <c r="B11" s="1" t="s">
        <v>485</v>
      </c>
      <c r="C11" s="365" t="str">
        <f>Thesis!C11</f>
        <v>LULU</v>
      </c>
      <c r="D11" s="49"/>
      <c r="E11" s="34"/>
    </row>
    <row r="12" spans="1:10">
      <c r="B12" s="4" t="s">
        <v>486</v>
      </c>
      <c r="C12" s="366">
        <f>Market_Price</f>
        <v>196.45</v>
      </c>
      <c r="D12" s="50"/>
      <c r="E12" s="48"/>
    </row>
    <row r="13" spans="1:10">
      <c r="B13" s="1" t="s">
        <v>487</v>
      </c>
      <c r="C13" s="32" t="str">
        <f>Market_currency</f>
        <v>USD</v>
      </c>
      <c r="D13" s="48"/>
      <c r="E13" s="5"/>
    </row>
    <row r="14" spans="1:10">
      <c r="B14" s="4" t="s">
        <v>488</v>
      </c>
      <c r="C14" s="35">
        <f>投资主题!C12*Common_Shares/1000000</f>
        <v>23543.627061949996</v>
      </c>
      <c r="D14" s="35" t="str">
        <f>IF(D11="","",投资主题!D12*Common_Shares/1000000)</f>
        <v/>
      </c>
      <c r="E14" s="5"/>
    </row>
    <row r="15" spans="1:10">
      <c r="B15" s="4" t="s">
        <v>489</v>
      </c>
      <c r="C15" s="32" t="str">
        <f>IF(C25=C13,C13,C25&amp;"/"&amp;C13)</f>
        <v>USD</v>
      </c>
      <c r="D15" s="32" t="str">
        <f>IF(D11="","",IF(C25=D13,D13,C25&amp;"/"&amp;D13))</f>
        <v/>
      </c>
      <c r="E15" s="5"/>
    </row>
    <row r="16" spans="1:10">
      <c r="B16" s="4" t="s">
        <v>490</v>
      </c>
      <c r="C16" s="366">
        <f>Exchange_Rate</f>
        <v>1</v>
      </c>
      <c r="D16" s="50"/>
      <c r="E16" s="5"/>
    </row>
    <row r="17" spans="2:6">
      <c r="D17" s="5"/>
      <c r="E17" s="5"/>
    </row>
    <row r="18" spans="2:6" ht="24.6" customHeight="1">
      <c r="B18" s="369" t="s">
        <v>491</v>
      </c>
      <c r="C18" s="369"/>
      <c r="D18" s="369"/>
      <c r="E18" s="369"/>
      <c r="F18" s="369"/>
    </row>
    <row r="20" spans="2:6">
      <c r="B20" s="45" t="s">
        <v>492</v>
      </c>
      <c r="C20" s="46"/>
      <c r="D20" s="5"/>
    </row>
    <row r="21" spans="2:6">
      <c r="B21" s="2" t="s">
        <v>443</v>
      </c>
      <c r="C21" s="32" t="str">
        <f>IF(Scenarios!C69="Y",Scenarios!B69,"")&amp;IF(Scenarios!C70="Y",Scenarios!B70,"")&amp;IF(Scenarios!C71="Y",Scenarios!B71,"")&amp;" "&amp;IF(Scenarios!C72="Y",Scenarios!B72,"")</f>
        <v xml:space="preserve">Low Growth </v>
      </c>
      <c r="D21" s="1" t="s">
        <v>449</v>
      </c>
      <c r="E21" s="363" t="str">
        <f>valuation_method</f>
        <v>DCF</v>
      </c>
    </row>
    <row r="22" spans="2:6">
      <c r="B22" s="2" t="s">
        <v>444</v>
      </c>
      <c r="C22" s="32" t="str">
        <f>Thesis!C22</f>
        <v>CNS_02</v>
      </c>
      <c r="D22" s="1" t="str">
        <f>IF(valuation_method="DDM","终值贴现率","")</f>
        <v/>
      </c>
      <c r="E22" s="364">
        <f>Thesis!E22</f>
        <v>0</v>
      </c>
    </row>
    <row r="23" spans="2:6">
      <c r="B23" s="1" t="s">
        <v>445</v>
      </c>
      <c r="C23" s="253" t="str">
        <f>Thesis!C23</f>
        <v>N</v>
      </c>
    </row>
    <row r="24" spans="2:6">
      <c r="B24" s="1" t="s">
        <v>446</v>
      </c>
      <c r="C24" s="253" t="str">
        <f>Thesis!C24</f>
        <v>N</v>
      </c>
    </row>
    <row r="25" spans="2:6">
      <c r="B25" s="4" t="s">
        <v>447</v>
      </c>
      <c r="C25" s="32" t="str">
        <f>Reporting_currency</f>
        <v>USD</v>
      </c>
      <c r="D25" s="32" t="str">
        <f>IF(D11="","",Market_currency&amp;"/"&amp;D13&amp;":")</f>
        <v/>
      </c>
      <c r="E25" s="299" t="str">
        <f>IF(D11="","",1/Exchange_Rate*D16)</f>
        <v/>
      </c>
    </row>
    <row r="26" spans="2:6">
      <c r="B26" s="1" t="str">
        <f>"预期股权价值 ("&amp;C13&amp;") :"</f>
        <v>预期股权价值 (USD) :</v>
      </c>
      <c r="C26" s="304">
        <f>C132</f>
        <v>177.33733316076845</v>
      </c>
      <c r="D26" s="1" t="s">
        <v>448</v>
      </c>
      <c r="E26" s="301">
        <f ca="1">Scenarios!C87</f>
        <v>-3.3542605330217801E-2</v>
      </c>
    </row>
    <row r="27" spans="2:6">
      <c r="D27" s="5"/>
      <c r="E27" s="5"/>
    </row>
    <row r="28" spans="2:6">
      <c r="B28" s="45" t="s">
        <v>450</v>
      </c>
      <c r="C28" s="309" t="str">
        <f>C145&amp;" ("&amp;Market_currency&amp;")"</f>
        <v>LULU (USD)</v>
      </c>
      <c r="D28" s="309" t="str">
        <f>IF(D11="","",D145&amp;" ("&amp;D13&amp;")")</f>
        <v/>
      </c>
      <c r="E28" s="305" t="s">
        <v>455</v>
      </c>
      <c r="F28" s="361">
        <f>Thesis!F28</f>
        <v>3</v>
      </c>
    </row>
    <row r="29" spans="2:6">
      <c r="B29" s="1" t="s">
        <v>451</v>
      </c>
      <c r="C29" s="310">
        <f>C149</f>
        <v>72.077359410971269</v>
      </c>
      <c r="D29" s="310" t="str">
        <f>D149</f>
        <v/>
      </c>
      <c r="E29" s="306" t="s">
        <v>457</v>
      </c>
      <c r="F29" s="362">
        <f>Thesis!F29</f>
        <v>0.35</v>
      </c>
    </row>
    <row r="30" spans="2:6">
      <c r="B30" s="1" t="s">
        <v>452</v>
      </c>
      <c r="C30" s="311">
        <f>C157</f>
        <v>90.796714578313441</v>
      </c>
      <c r="D30" s="311" t="str">
        <f>D157</f>
        <v/>
      </c>
      <c r="E30" s="307" t="s">
        <v>456</v>
      </c>
      <c r="F30" s="224">
        <f>Thesis!F30</f>
        <v>0.25</v>
      </c>
    </row>
    <row r="31" spans="2:6">
      <c r="B31" s="1" t="s">
        <v>453</v>
      </c>
      <c r="C31" s="311">
        <f>C165</f>
        <v>142.74956069640638</v>
      </c>
      <c r="D31" s="311" t="str">
        <f>D165</f>
        <v/>
      </c>
      <c r="E31" s="307" t="s">
        <v>493</v>
      </c>
      <c r="F31" s="224">
        <f>Thesis!F31</f>
        <v>7.4999999999999997E-2</v>
      </c>
    </row>
    <row r="32" spans="2:6">
      <c r="B32" s="1" t="s">
        <v>454</v>
      </c>
      <c r="C32" s="311">
        <f>C173</f>
        <v>127.10837661250939</v>
      </c>
      <c r="D32" s="311" t="str">
        <f>D173</f>
        <v/>
      </c>
      <c r="E32" s="307" t="s">
        <v>458</v>
      </c>
      <c r="F32" s="224">
        <f>Thesis!F32</f>
        <v>0.1174</v>
      </c>
    </row>
    <row r="33" spans="1:6">
      <c r="D33" s="5"/>
      <c r="E33" s="5"/>
    </row>
    <row r="34" spans="1:6" ht="13.9">
      <c r="A34" s="222" t="s">
        <v>459</v>
      </c>
      <c r="B34" s="36"/>
      <c r="C34" s="36"/>
      <c r="D34" s="36"/>
      <c r="E34" s="36"/>
      <c r="F34" s="36"/>
    </row>
    <row r="36" spans="1:6" ht="24.6" customHeight="1">
      <c r="B36" s="369" t="s">
        <v>494</v>
      </c>
      <c r="C36" s="369"/>
      <c r="D36" s="369"/>
      <c r="E36" s="369"/>
      <c r="F36" s="369"/>
    </row>
    <row r="37" spans="1:6" ht="24.6" customHeight="1">
      <c r="B37" s="372" t="s">
        <v>331</v>
      </c>
      <c r="C37" s="372"/>
      <c r="D37" s="372"/>
      <c r="E37" s="372"/>
      <c r="F37" s="372"/>
    </row>
    <row r="39" spans="1:6">
      <c r="B39" s="210" t="s">
        <v>495</v>
      </c>
      <c r="C39" s="108">
        <f>scaling_factor</f>
        <v>1000</v>
      </c>
    </row>
    <row r="40" spans="1:6">
      <c r="B40" s="370" t="s">
        <v>496</v>
      </c>
      <c r="C40" s="370"/>
      <c r="D40" s="370"/>
      <c r="E40" s="370"/>
      <c r="F40" s="370"/>
    </row>
    <row r="41" spans="1:6">
      <c r="B41" s="47" t="s">
        <v>228</v>
      </c>
      <c r="C41" s="349">
        <f>Normalized_FCF!C8</f>
        <v>2062510.7498878213</v>
      </c>
      <c r="D41" s="1" t="str">
        <f>Reporting_currency</f>
        <v>USD</v>
      </c>
    </row>
    <row r="42" spans="1:6">
      <c r="B42" s="47"/>
      <c r="C42" s="76"/>
    </row>
    <row r="43" spans="1:6" ht="24.6" customHeight="1">
      <c r="B43" s="370" t="s">
        <v>497</v>
      </c>
      <c r="C43" s="370"/>
      <c r="D43" s="370"/>
      <c r="E43" s="370"/>
      <c r="F43" s="370"/>
    </row>
    <row r="44" spans="1:6">
      <c r="B44" s="47" t="s">
        <v>230</v>
      </c>
      <c r="C44" s="349">
        <f>Normalized_FCF!C9</f>
        <v>0</v>
      </c>
      <c r="D44" s="1" t="str">
        <f>Reporting_currency</f>
        <v>USD</v>
      </c>
    </row>
    <row r="45" spans="1:6">
      <c r="B45" s="52" t="s">
        <v>231</v>
      </c>
      <c r="C45" s="349">
        <f>Normalized_FCF!C10</f>
        <v>0</v>
      </c>
      <c r="D45" s="1" t="str">
        <f>Reporting_currency</f>
        <v>USD</v>
      </c>
    </row>
    <row r="47" spans="1:6">
      <c r="B47" s="370" t="s">
        <v>498</v>
      </c>
      <c r="C47" s="370"/>
      <c r="D47" s="370"/>
      <c r="E47" s="370"/>
      <c r="F47" s="370"/>
    </row>
    <row r="48" spans="1:6">
      <c r="B48" s="47" t="s">
        <v>233</v>
      </c>
      <c r="C48" s="349">
        <f>Normalized_FCF!C11</f>
        <v>0</v>
      </c>
      <c r="D48" s="1" t="str">
        <f>Reporting_currency</f>
        <v>USD</v>
      </c>
    </row>
    <row r="50" spans="2:6">
      <c r="B50" s="370" t="s">
        <v>499</v>
      </c>
      <c r="C50" s="370"/>
      <c r="D50" s="370"/>
      <c r="E50" s="370"/>
      <c r="F50" s="370"/>
    </row>
    <row r="51" spans="2:6">
      <c r="B51" s="47" t="s">
        <v>332</v>
      </c>
      <c r="C51" s="350">
        <f>Normalized_FCF!C48</f>
        <v>0</v>
      </c>
      <c r="D51" s="1" t="str">
        <f>Reporting_currency</f>
        <v>USD</v>
      </c>
      <c r="E51" s="286"/>
      <c r="F51" s="286"/>
    </row>
    <row r="52" spans="2:6">
      <c r="B52" s="47" t="s">
        <v>333</v>
      </c>
      <c r="C52" s="350">
        <f>Normalized_FCF!C47</f>
        <v>0</v>
      </c>
      <c r="D52" s="1" t="str">
        <f>Reporting_currency</f>
        <v>USD</v>
      </c>
      <c r="E52" s="286"/>
      <c r="F52" s="286"/>
    </row>
    <row r="53" spans="2:6">
      <c r="B53" s="47" t="s">
        <v>234</v>
      </c>
      <c r="C53" s="349">
        <f>Normalized_FCF!C12</f>
        <v>0</v>
      </c>
      <c r="D53" s="1" t="str">
        <f>Reporting_currency</f>
        <v>USD</v>
      </c>
    </row>
    <row r="55" spans="2:6">
      <c r="B55" s="1" t="s">
        <v>500</v>
      </c>
    </row>
    <row r="56" spans="2:6">
      <c r="B56" s="47" t="s">
        <v>261</v>
      </c>
      <c r="C56" s="349">
        <f>Normalized_FCF!C15</f>
        <v>0</v>
      </c>
      <c r="D56" s="1" t="str">
        <f>Reporting_currency</f>
        <v>USD</v>
      </c>
    </row>
    <row r="58" spans="2:6">
      <c r="B58" s="370" t="s">
        <v>237</v>
      </c>
      <c r="C58" s="370"/>
      <c r="D58" s="370"/>
      <c r="E58" s="370"/>
      <c r="F58" s="370"/>
    </row>
    <row r="59" spans="2:6">
      <c r="B59" s="47" t="s">
        <v>235</v>
      </c>
      <c r="C59" s="349">
        <f>Normalized_FCF!C14</f>
        <v>-531509.02024609153</v>
      </c>
      <c r="D59" s="1" t="str">
        <f>Reporting_currency</f>
        <v>USD</v>
      </c>
    </row>
    <row r="61" spans="2:6">
      <c r="B61" s="370" t="s">
        <v>501</v>
      </c>
      <c r="C61" s="371"/>
      <c r="D61" s="371"/>
      <c r="E61" s="371"/>
      <c r="F61" s="371"/>
    </row>
    <row r="62" spans="2:6">
      <c r="B62" s="47" t="s">
        <v>238</v>
      </c>
      <c r="C62" s="349">
        <f>Normalized_FCF!C17</f>
        <v>0</v>
      </c>
      <c r="D62" s="1" t="str">
        <f>Reporting_currency</f>
        <v>USD</v>
      </c>
    </row>
    <row r="64" spans="2:6">
      <c r="B64" s="369" t="s">
        <v>502</v>
      </c>
      <c r="C64" s="369"/>
      <c r="D64" s="369"/>
      <c r="E64" s="369"/>
      <c r="F64" s="369"/>
    </row>
    <row r="65" spans="1:6">
      <c r="B65" s="369" t="s">
        <v>503</v>
      </c>
      <c r="C65" s="369"/>
      <c r="D65" s="369"/>
      <c r="E65" s="369"/>
      <c r="F65" s="369"/>
    </row>
    <row r="67" spans="1:6">
      <c r="B67" s="47" t="s">
        <v>504</v>
      </c>
      <c r="C67" s="349">
        <f>Normalized_FCF!G19</f>
        <v>1746971</v>
      </c>
      <c r="D67" s="1" t="str">
        <f>Reporting_currency</f>
        <v>USD</v>
      </c>
    </row>
    <row r="68" spans="1:6">
      <c r="B68" s="47" t="s">
        <v>244</v>
      </c>
      <c r="C68" s="349">
        <f>Normalized_FCF!C19</f>
        <v>1531001.7296417297</v>
      </c>
      <c r="D68" s="1" t="str">
        <f>Reporting_currency</f>
        <v>USD</v>
      </c>
    </row>
    <row r="69" spans="1:6">
      <c r="B69" s="227" t="s">
        <v>373</v>
      </c>
      <c r="C69" s="92">
        <f>Normalized_FCF!C126</f>
        <v>6.5028286661746204E-2</v>
      </c>
      <c r="F69" s="314"/>
    </row>
    <row r="70" spans="1:6">
      <c r="B70" s="227" t="s">
        <v>436</v>
      </c>
      <c r="C70" s="92">
        <f>Normalized_FCF!C94</f>
        <v>0</v>
      </c>
      <c r="E70" s="47" t="s">
        <v>505</v>
      </c>
      <c r="F70" s="315">
        <f>Normalized_FCF!C92</f>
        <v>0</v>
      </c>
    </row>
    <row r="72" spans="1:6">
      <c r="B72" s="210" t="s">
        <v>515</v>
      </c>
      <c r="C72" s="323" t="s">
        <v>431</v>
      </c>
      <c r="D72" s="323" t="s">
        <v>506</v>
      </c>
    </row>
    <row r="73" spans="1:6">
      <c r="B73" s="47" t="s">
        <v>430</v>
      </c>
      <c r="C73" s="92">
        <f>Normalized_FCF!C121</f>
        <v>0.48081993064288991</v>
      </c>
      <c r="D73" s="92">
        <f>Normalized_FCF!G121</f>
        <v>0.58477469769697199</v>
      </c>
    </row>
    <row r="74" spans="1:6">
      <c r="B74" s="259" t="str">
        <f>Normalized_FCF!B118</f>
        <v>Pre-tax Profit/Sales</v>
      </c>
      <c r="C74" s="322">
        <f>Normalized_FCF!C118</f>
        <v>0.20413416289275171</v>
      </c>
      <c r="D74" s="322">
        <f>Normalized_FCF!G118</f>
        <v>0.23690991210342605</v>
      </c>
    </row>
    <row r="75" spans="1:6">
      <c r="B75" s="259" t="str">
        <f>Normalized_FCF!B119</f>
        <v>Sales/Total Assets</v>
      </c>
      <c r="C75" s="324">
        <f>Normalized_FCF!C119</f>
        <v>1.3597528471337827</v>
      </c>
      <c r="D75" s="324">
        <f>Normalized_FCF!G119</f>
        <v>1.4249464675730965</v>
      </c>
    </row>
    <row r="76" spans="1:6">
      <c r="B76" s="259" t="str">
        <f>Normalized_FCF!B120</f>
        <v>Total Assets/Equity</v>
      </c>
      <c r="C76" s="324">
        <f>Normalized_FCF!C120</f>
        <v>1.7322349326389359</v>
      </c>
      <c r="D76" s="324">
        <f>Normalized_FCF!G120</f>
        <v>1.7322349326389359</v>
      </c>
    </row>
    <row r="78" spans="1:6" ht="13.9">
      <c r="A78" s="222" t="s">
        <v>507</v>
      </c>
      <c r="B78" s="36"/>
      <c r="C78" s="36"/>
      <c r="D78" s="36"/>
      <c r="E78" s="36"/>
      <c r="F78" s="36"/>
    </row>
    <row r="79" spans="1:6">
      <c r="A79" s="209"/>
    </row>
    <row r="80" spans="1:6">
      <c r="A80" s="17"/>
      <c r="B80" s="369" t="s">
        <v>508</v>
      </c>
      <c r="C80" s="369"/>
      <c r="D80" s="369"/>
      <c r="E80" s="369"/>
      <c r="F80" s="369"/>
    </row>
    <row r="81" spans="1:6">
      <c r="B81" s="372" t="s">
        <v>248</v>
      </c>
      <c r="C81" s="372"/>
      <c r="D81" s="372"/>
      <c r="E81" s="372"/>
      <c r="F81" s="372"/>
    </row>
    <row r="83" spans="1:6">
      <c r="B83" s="210" t="s">
        <v>495</v>
      </c>
    </row>
    <row r="84" spans="1:6">
      <c r="B84" s="1" t="s">
        <v>409</v>
      </c>
      <c r="C84" s="92">
        <f>F31</f>
        <v>7.4999999999999997E-2</v>
      </c>
    </row>
    <row r="85" spans="1:6">
      <c r="B85" s="1" t="s">
        <v>408</v>
      </c>
      <c r="C85" s="92">
        <f>IF(C23="Y",1%,0)+IF(C24="Y",1%,0)</f>
        <v>0</v>
      </c>
    </row>
    <row r="86" spans="1:6">
      <c r="B86" s="80" t="s">
        <v>243</v>
      </c>
      <c r="C86" s="236">
        <f>F31+C85</f>
        <v>7.4999999999999997E-2</v>
      </c>
    </row>
    <row r="87" spans="1:6">
      <c r="C87" s="121"/>
    </row>
    <row r="88" spans="1:6">
      <c r="B88" s="293" t="s">
        <v>514</v>
      </c>
      <c r="C88" s="121"/>
    </row>
    <row r="89" spans="1:6">
      <c r="B89" s="369" t="s">
        <v>509</v>
      </c>
      <c r="C89" s="369"/>
      <c r="D89" s="369"/>
      <c r="E89" s="369"/>
      <c r="F89" s="369"/>
    </row>
    <row r="90" spans="1:6">
      <c r="B90" s="369" t="s">
        <v>510</v>
      </c>
      <c r="C90" s="369"/>
      <c r="D90" s="369"/>
      <c r="E90" s="369"/>
      <c r="F90" s="369"/>
    </row>
    <row r="92" spans="1:6">
      <c r="B92" s="47" t="s">
        <v>247</v>
      </c>
      <c r="C92" s="236">
        <v>0</v>
      </c>
    </row>
    <row r="93" spans="1:6">
      <c r="B93" s="47" t="s">
        <v>275</v>
      </c>
      <c r="C93" s="223">
        <f>DCF!C6*scaling_factor*Exchange_Rate/Common_Shares</f>
        <v>170.33075886266715</v>
      </c>
      <c r="D93" s="1" t="str">
        <f>Market_currency</f>
        <v>USD</v>
      </c>
    </row>
    <row r="95" spans="1:6" ht="13.9">
      <c r="A95" s="222" t="s">
        <v>511</v>
      </c>
      <c r="B95" s="36"/>
      <c r="C95" s="36"/>
      <c r="D95" s="36"/>
      <c r="E95" s="36"/>
      <c r="F95" s="36"/>
    </row>
    <row r="96" spans="1:6">
      <c r="A96" s="209"/>
    </row>
    <row r="97" spans="2:6">
      <c r="B97" s="369" t="s">
        <v>512</v>
      </c>
      <c r="C97" s="369"/>
      <c r="D97" s="369"/>
      <c r="E97" s="369"/>
      <c r="F97" s="369"/>
    </row>
    <row r="98" spans="2:6">
      <c r="B98" s="1" t="s">
        <v>249</v>
      </c>
    </row>
    <row r="100" spans="2:6">
      <c r="B100" s="210" t="s">
        <v>495</v>
      </c>
    </row>
    <row r="101" spans="2:6">
      <c r="B101" s="369" t="s">
        <v>513</v>
      </c>
      <c r="C101" s="369"/>
      <c r="D101" s="369"/>
      <c r="E101" s="369"/>
      <c r="F101" s="369"/>
    </row>
    <row r="102" spans="2:6">
      <c r="B102" s="47" t="s">
        <v>251</v>
      </c>
      <c r="C102" s="349">
        <f>DCF!C7</f>
        <v>1706782</v>
      </c>
      <c r="D102" s="1" t="str">
        <f>Reporting_currency</f>
        <v>USD</v>
      </c>
    </row>
    <row r="103" spans="2:6">
      <c r="B103" s="47" t="s">
        <v>276</v>
      </c>
      <c r="C103" s="223">
        <f>C102*scaling_factor*Exchange_Rate/Common_Shares</f>
        <v>14.241532242153559</v>
      </c>
      <c r="D103" s="1" t="str">
        <f>Market_currency</f>
        <v>USD</v>
      </c>
    </row>
    <row r="104" spans="2:6">
      <c r="B104" s="296" t="s">
        <v>386</v>
      </c>
      <c r="C104" s="325">
        <f>IF(BS!G31/BS!G27&gt;300%,"nm",BS!G31/BS!G27)</f>
        <v>0.39789116391619672</v>
      </c>
    </row>
    <row r="105" spans="2:6">
      <c r="B105" s="296" t="s">
        <v>388</v>
      </c>
      <c r="C105" s="326">
        <f>IF(BS!C50&gt;30,"nm",BS!C50)</f>
        <v>0.82752635354401471</v>
      </c>
    </row>
    <row r="107" spans="2:6">
      <c r="B107" s="1" t="s">
        <v>516</v>
      </c>
    </row>
    <row r="108" spans="2:6">
      <c r="B108" s="47" t="s">
        <v>260</v>
      </c>
      <c r="C108" s="349">
        <f>BS!C66</f>
        <v>1325272</v>
      </c>
      <c r="D108" s="1" t="str">
        <f>Reporting_currency</f>
        <v>USD</v>
      </c>
    </row>
    <row r="109" spans="2:6">
      <c r="B109" s="47" t="s">
        <v>262</v>
      </c>
      <c r="C109" s="349">
        <f>DCF!C8</f>
        <v>655172.72915731848</v>
      </c>
      <c r="D109" s="1" t="str">
        <f>Reporting_currency</f>
        <v>USD</v>
      </c>
    </row>
    <row r="110" spans="2:6">
      <c r="B110" s="47" t="s">
        <v>277</v>
      </c>
      <c r="C110" s="223">
        <f>C109*scaling_factor*Exchange_Rate/Common_Shares</f>
        <v>5.4668162345710769</v>
      </c>
      <c r="D110" s="1" t="str">
        <f>Market_currency</f>
        <v>USD</v>
      </c>
    </row>
    <row r="112" spans="2:6">
      <c r="B112" s="1" t="s">
        <v>517</v>
      </c>
    </row>
    <row r="113" spans="1:6">
      <c r="B113" s="47" t="s">
        <v>253</v>
      </c>
      <c r="C113" s="349">
        <f>DCF!C9</f>
        <v>0</v>
      </c>
      <c r="D113" s="1" t="str">
        <f>Reporting_currency</f>
        <v>USD</v>
      </c>
    </row>
    <row r="114" spans="1:6">
      <c r="B114" s="47" t="s">
        <v>278</v>
      </c>
      <c r="C114" s="223">
        <f>C113*scaling_factor*Exchange_Rate/Common_Shares</f>
        <v>0</v>
      </c>
      <c r="D114" s="1" t="str">
        <f>Market_currency</f>
        <v>USD</v>
      </c>
    </row>
    <row r="116" spans="1:6">
      <c r="B116" s="369" t="s">
        <v>518</v>
      </c>
      <c r="C116" s="369"/>
      <c r="D116" s="369"/>
      <c r="E116" s="369"/>
      <c r="F116" s="369"/>
    </row>
    <row r="118" spans="1:6">
      <c r="B118" s="47" t="s">
        <v>519</v>
      </c>
      <c r="C118" s="223">
        <f>IF(valuation_method="DCF",DCF!C12,DDM!C7)</f>
        <v>161.55604285508468</v>
      </c>
      <c r="D118" s="1" t="str">
        <f>Market_currency</f>
        <v>USD</v>
      </c>
    </row>
    <row r="119" spans="1:6">
      <c r="B119" s="296" t="s">
        <v>552</v>
      </c>
      <c r="C119" s="223">
        <f>BS!D47</f>
        <v>-4.6442002930258699</v>
      </c>
      <c r="D119" s="1" t="str">
        <f>Market_currency</f>
        <v>USD</v>
      </c>
    </row>
    <row r="121" spans="1:6" ht="13.9">
      <c r="A121" s="222" t="s">
        <v>520</v>
      </c>
      <c r="B121" s="36"/>
      <c r="C121" s="36"/>
      <c r="D121" s="36"/>
      <c r="E121" s="36"/>
      <c r="F121" s="36"/>
    </row>
    <row r="123" spans="1:6">
      <c r="B123" s="370" t="s">
        <v>521</v>
      </c>
      <c r="C123" s="370"/>
      <c r="D123" s="370"/>
      <c r="E123" s="370"/>
      <c r="F123" s="370"/>
    </row>
    <row r="125" spans="1:6" ht="12.4">
      <c r="B125" s="233" t="s">
        <v>522</v>
      </c>
      <c r="C125" s="233" t="s">
        <v>523</v>
      </c>
      <c r="D125" s="233" t="s">
        <v>108</v>
      </c>
      <c r="E125" s="233" t="s">
        <v>524</v>
      </c>
      <c r="F125" s="233" t="s">
        <v>525</v>
      </c>
    </row>
    <row r="126" spans="1:6">
      <c r="B126" s="228" t="str">
        <f>DCF!B74</f>
        <v>Snowball Scenario</v>
      </c>
      <c r="C126" s="229">
        <f>DCF!C74</f>
        <v>0.1</v>
      </c>
      <c r="D126" s="230">
        <f>DCF!D74</f>
        <v>10</v>
      </c>
      <c r="E126" s="231" t="str">
        <f>ROUND(IF(valuation_method="DCF",DCF!E74,DDM!E69),2)&amp;" "&amp;Market_currency</f>
        <v>227.42 USD</v>
      </c>
      <c r="F126" s="232">
        <f>DCF!F74</f>
        <v>0.05</v>
      </c>
    </row>
    <row r="127" spans="1:6">
      <c r="B127" s="218" t="str">
        <f>DCF!B75</f>
        <v>Optimistic</v>
      </c>
      <c r="C127" s="219">
        <f>DCF!C75</f>
        <v>0.08</v>
      </c>
      <c r="D127" s="220">
        <f>DCF!D75</f>
        <v>5</v>
      </c>
      <c r="E127" s="231" t="str">
        <f>ROUND(IF(valuation_method="DCF",DCF!E75,DDM!E70),2)&amp;" "&amp;Market_currency</f>
        <v>184.13 USD</v>
      </c>
      <c r="F127" s="221">
        <f>DCF!F75</f>
        <v>0.18</v>
      </c>
    </row>
    <row r="128" spans="1:6">
      <c r="B128" s="218" t="str">
        <f>DCF!B76</f>
        <v>Base</v>
      </c>
      <c r="C128" s="219">
        <f>DCF!C76</f>
        <v>0.05</v>
      </c>
      <c r="D128" s="220">
        <f>DCF!D76</f>
        <v>5</v>
      </c>
      <c r="E128" s="231" t="str">
        <f>ROUND(IF(valuation_method="DCF",DCF!E76,DDM!E71),2)&amp;" "&amp;Market_currency</f>
        <v>175.36 USD</v>
      </c>
      <c r="F128" s="221">
        <f>DCF!F76</f>
        <v>0.53999999999999992</v>
      </c>
    </row>
    <row r="129" spans="1:6">
      <c r="B129" s="218" t="str">
        <f>DCF!B77</f>
        <v>Pessimistic</v>
      </c>
      <c r="C129" s="219">
        <f>DCF!C77</f>
        <v>0.02</v>
      </c>
      <c r="D129" s="220">
        <f>DCF!D77</f>
        <v>5</v>
      </c>
      <c r="E129" s="231" t="str">
        <f>ROUND(IF(valuation_method="DCF",DCF!E77,DDM!E72),2)&amp;" "&amp;Market_currency</f>
        <v>166.96 USD</v>
      </c>
      <c r="F129" s="221">
        <f>DCF!F77</f>
        <v>0.18</v>
      </c>
    </row>
    <row r="130" spans="1:6">
      <c r="B130" s="218" t="str">
        <f>DCF!B78</f>
        <v>Devil's advocate</v>
      </c>
      <c r="C130" s="219">
        <f>DCF!C78</f>
        <v>0</v>
      </c>
      <c r="D130" s="220">
        <f>DCF!D78</f>
        <v>10</v>
      </c>
      <c r="E130" s="231" t="str">
        <f>ROUND(IF(valuation_method="DCF",DCF!E78,DDM!E73),2)&amp;" "&amp;Market_currency</f>
        <v>161.56 USD</v>
      </c>
      <c r="F130" s="221">
        <f>DCF!F78</f>
        <v>0.05</v>
      </c>
    </row>
    <row r="132" spans="1:6">
      <c r="B132" s="211" t="s">
        <v>254</v>
      </c>
      <c r="C132" s="217">
        <f>Scenarios!C60</f>
        <v>177.33733316076845</v>
      </c>
      <c r="D132" s="212" t="str">
        <f>Market_currency</f>
        <v>USD</v>
      </c>
    </row>
    <row r="134" spans="1:6">
      <c r="B134" s="373" t="s">
        <v>526</v>
      </c>
      <c r="C134" s="373"/>
      <c r="D134" s="373"/>
      <c r="E134" s="373"/>
      <c r="F134" s="373"/>
    </row>
    <row r="136" spans="1:6" ht="13.9">
      <c r="A136" s="222" t="s">
        <v>527</v>
      </c>
      <c r="B136" s="36"/>
      <c r="C136" s="36"/>
      <c r="D136" s="36"/>
      <c r="E136" s="36"/>
      <c r="F136" s="36"/>
    </row>
    <row r="138" spans="1:6">
      <c r="B138" s="374" t="s">
        <v>528</v>
      </c>
      <c r="C138" s="374"/>
      <c r="D138" s="374"/>
      <c r="E138" s="374"/>
      <c r="F138" s="374"/>
    </row>
    <row r="139" spans="1:6" ht="24.6" customHeight="1">
      <c r="B139" s="369" t="s">
        <v>529</v>
      </c>
      <c r="C139" s="369"/>
      <c r="D139" s="369"/>
      <c r="E139" s="369"/>
      <c r="F139" s="369"/>
    </row>
    <row r="140" spans="1:6">
      <c r="B140" s="210" t="s">
        <v>495</v>
      </c>
    </row>
    <row r="141" spans="1:6">
      <c r="B141" s="1" t="s">
        <v>530</v>
      </c>
      <c r="C141" s="225">
        <f>F28</f>
        <v>3</v>
      </c>
    </row>
    <row r="142" spans="1:6">
      <c r="B142" s="1" t="s">
        <v>531</v>
      </c>
      <c r="C142" s="224">
        <f>F29</f>
        <v>0.35</v>
      </c>
    </row>
    <row r="143" spans="1:6">
      <c r="B143" s="212" t="s">
        <v>532</v>
      </c>
      <c r="C143" s="213">
        <f>Scenarios!C77</f>
        <v>0</v>
      </c>
      <c r="D143" s="212" t="str">
        <f>Market_currency</f>
        <v>USD</v>
      </c>
    </row>
    <row r="145" spans="2:4">
      <c r="B145" s="210" t="s">
        <v>533</v>
      </c>
      <c r="C145" s="241" t="str">
        <f>C11</f>
        <v>LULU</v>
      </c>
      <c r="D145" s="241" t="str">
        <f>IF(D11="","",D11)</f>
        <v/>
      </c>
    </row>
    <row r="146" spans="2:4">
      <c r="B146" s="1" t="s">
        <v>389</v>
      </c>
      <c r="C146" s="297">
        <f>F29</f>
        <v>0.35</v>
      </c>
    </row>
    <row r="147" spans="2:4">
      <c r="B147" s="212" t="str">
        <f>"PV("&amp;C141&amp;" yrs of Dividends)"</f>
        <v>PV(3 yrs of Dividends)</v>
      </c>
      <c r="C147" s="216">
        <f>Scenarios!C81</f>
        <v>0</v>
      </c>
    </row>
    <row r="148" spans="2:4">
      <c r="B148" s="212" t="str">
        <f>"+ PV(Equity Value realized at year "&amp;C141&amp;")"</f>
        <v>+ PV(Equity Value realized at year 3)</v>
      </c>
      <c r="C148" s="216">
        <f>Scenarios!C82</f>
        <v>72.077359410971269</v>
      </c>
    </row>
    <row r="149" spans="2:4">
      <c r="B149" s="80" t="s">
        <v>256</v>
      </c>
      <c r="C149" s="215">
        <f>Scenarios!C83</f>
        <v>72.077359410971269</v>
      </c>
      <c r="D149" s="300" t="str">
        <f>IF($D$11="","",C149*$E$25)</f>
        <v/>
      </c>
    </row>
    <row r="150" spans="2:4">
      <c r="B150" s="259" t="s">
        <v>534</v>
      </c>
      <c r="C150" s="298" t="str">
        <f>Market_currency</f>
        <v>USD</v>
      </c>
      <c r="D150" s="298" t="str">
        <f>IF($D$11="","",D$13)</f>
        <v/>
      </c>
    </row>
    <row r="151" spans="2:4">
      <c r="B151" s="214" t="s">
        <v>535</v>
      </c>
      <c r="C151" s="92">
        <f>Scenarios!F83</f>
        <v>0.59355789259767322</v>
      </c>
    </row>
    <row r="153" spans="2:4">
      <c r="B153" s="210" t="s">
        <v>393</v>
      </c>
    </row>
    <row r="154" spans="2:4">
      <c r="B154" s="1" t="s">
        <v>392</v>
      </c>
      <c r="C154" s="297">
        <f>Scenarios!C90</f>
        <v>0.25</v>
      </c>
    </row>
    <row r="155" spans="2:4">
      <c r="B155" s="212" t="str">
        <f>"PV("&amp;C141&amp;" yrs of Dividends)"</f>
        <v>PV(3 yrs of Dividends)</v>
      </c>
      <c r="C155" s="216">
        <f>Scenarios!C91</f>
        <v>0</v>
      </c>
    </row>
    <row r="156" spans="2:4">
      <c r="B156" s="212" t="str">
        <f>"+ PV(Equity Value realized at year "&amp;C141&amp;")"</f>
        <v>+ PV(Equity Value realized at year 3)</v>
      </c>
      <c r="C156" s="216">
        <f>Scenarios!C92</f>
        <v>90.796714578313441</v>
      </c>
    </row>
    <row r="157" spans="2:4">
      <c r="B157" s="80" t="s">
        <v>256</v>
      </c>
      <c r="C157" s="215">
        <f>Scenarios!C93</f>
        <v>90.796714578313441</v>
      </c>
      <c r="D157" s="300" t="str">
        <f>IF($D$11="","",C157*$E$25)</f>
        <v/>
      </c>
    </row>
    <row r="158" spans="2:4">
      <c r="B158" s="259" t="s">
        <v>534</v>
      </c>
      <c r="C158" s="298" t="str">
        <f>Market_currency</f>
        <v>USD</v>
      </c>
      <c r="D158" s="298" t="str">
        <f>IF($D$11="","",D$13)</f>
        <v/>
      </c>
    </row>
    <row r="159" spans="2:4">
      <c r="B159" s="214" t="s">
        <v>535</v>
      </c>
      <c r="C159" s="92">
        <f>Scenarios!F93</f>
        <v>0.48799999999999999</v>
      </c>
    </row>
    <row r="161" spans="2:4">
      <c r="B161" s="210" t="s">
        <v>383</v>
      </c>
    </row>
    <row r="162" spans="2:4">
      <c r="B162" s="1" t="s">
        <v>391</v>
      </c>
      <c r="C162" s="92">
        <f>Scenarios!C96</f>
        <v>7.4999999999999997E-2</v>
      </c>
    </row>
    <row r="163" spans="2:4">
      <c r="B163" s="212" t="str">
        <f>"PV("&amp;C141&amp;" yrs of Dividends)"</f>
        <v>PV(3 yrs of Dividends)</v>
      </c>
      <c r="C163" s="216">
        <f>Scenarios!C97</f>
        <v>0</v>
      </c>
    </row>
    <row r="164" spans="2:4">
      <c r="B164" s="212" t="str">
        <f>"+ PV(Equity Value realized at year "&amp;C141&amp;")"</f>
        <v>+ PV(Equity Value realized at year 3)</v>
      </c>
      <c r="C164" s="216">
        <f>Scenarios!C98</f>
        <v>142.74956069640638</v>
      </c>
    </row>
    <row r="165" spans="2:4">
      <c r="B165" s="80" t="s">
        <v>384</v>
      </c>
      <c r="C165" s="215">
        <f>Scenarios!C99</f>
        <v>142.74956069640638</v>
      </c>
      <c r="D165" s="300" t="str">
        <f>IF($D$11="","",C165*$E$25)</f>
        <v/>
      </c>
    </row>
    <row r="166" spans="2:4">
      <c r="B166" s="259" t="s">
        <v>534</v>
      </c>
      <c r="C166" s="298" t="str">
        <f>Market_currency</f>
        <v>USD</v>
      </c>
      <c r="D166" s="298" t="str">
        <f>IF($D$11="","",D$13)</f>
        <v/>
      </c>
    </row>
    <row r="167" spans="2:4">
      <c r="B167" s="214" t="s">
        <v>535</v>
      </c>
      <c r="C167" s="92">
        <f>Scenarios!F99</f>
        <v>0.19503943049039696</v>
      </c>
    </row>
    <row r="169" spans="2:4">
      <c r="B169" s="210" t="s">
        <v>410</v>
      </c>
    </row>
    <row r="170" spans="2:4">
      <c r="B170" s="1" t="s">
        <v>401</v>
      </c>
      <c r="C170" s="92">
        <f>F32</f>
        <v>0.1174</v>
      </c>
    </row>
    <row r="171" spans="2:4">
      <c r="B171" s="212" t="str">
        <f>"PV("&amp;C141&amp;" yrs of Dividends)"</f>
        <v>PV(3 yrs of Dividends)</v>
      </c>
      <c r="C171" s="216">
        <f>Scenarios!C103</f>
        <v>0</v>
      </c>
    </row>
    <row r="172" spans="2:4">
      <c r="B172" s="212" t="str">
        <f>"+ PV(Equity Value realized at year "&amp;C141&amp;")"</f>
        <v>+ PV(Equity Value realized at year 3)</v>
      </c>
      <c r="C172" s="216">
        <f>Scenarios!C104</f>
        <v>127.10837661250939</v>
      </c>
    </row>
    <row r="173" spans="2:4">
      <c r="B173" s="80" t="s">
        <v>384</v>
      </c>
      <c r="C173" s="215">
        <f>Scenarios!C105</f>
        <v>127.10837661250939</v>
      </c>
      <c r="D173" s="300" t="str">
        <f>IF($D$11="","",C173*$E$25)</f>
        <v/>
      </c>
    </row>
    <row r="174" spans="2:4">
      <c r="B174" s="259" t="s">
        <v>534</v>
      </c>
      <c r="C174" s="298" t="str">
        <f>Market_currency</f>
        <v>USD</v>
      </c>
      <c r="D174" s="298" t="str">
        <f>IF($D$11="","",D$13)</f>
        <v/>
      </c>
    </row>
    <row r="175" spans="2:4">
      <c r="B175" s="214" t="s">
        <v>535</v>
      </c>
      <c r="C175" s="92">
        <f>Scenarios!F105</f>
        <v>0.28331927406585422</v>
      </c>
    </row>
    <row r="177" spans="1:6" ht="13.9">
      <c r="A177" s="222" t="s">
        <v>359</v>
      </c>
      <c r="B177" s="36"/>
      <c r="C177" s="36"/>
      <c r="D177" s="36"/>
      <c r="E177" s="36"/>
      <c r="F177" s="36"/>
    </row>
    <row r="179" spans="1:6">
      <c r="B179" s="368" t="s">
        <v>536</v>
      </c>
      <c r="C179" s="369"/>
      <c r="D179" s="369"/>
      <c r="E179" s="369"/>
      <c r="F179" s="369"/>
    </row>
    <row r="181" spans="1:6">
      <c r="B181" s="210" t="s">
        <v>537</v>
      </c>
    </row>
    <row r="182" spans="1:6">
      <c r="B182" s="371" t="s">
        <v>538</v>
      </c>
      <c r="C182" s="371"/>
      <c r="D182" s="371"/>
      <c r="E182" s="371"/>
      <c r="F182" s="371"/>
    </row>
    <row r="183" spans="1:6">
      <c r="B183" s="214" t="s">
        <v>539</v>
      </c>
    </row>
    <row r="184" spans="1:6">
      <c r="B184" s="214" t="s">
        <v>540</v>
      </c>
    </row>
    <row r="185" spans="1:6">
      <c r="B185" s="214" t="s">
        <v>541</v>
      </c>
    </row>
    <row r="187" spans="1:6">
      <c r="B187" s="1" t="s">
        <v>542</v>
      </c>
    </row>
    <row r="188" spans="1:6" ht="24.6" customHeight="1">
      <c r="B188" s="370" t="s">
        <v>543</v>
      </c>
      <c r="C188" s="370"/>
      <c r="D188" s="370"/>
      <c r="E188" s="370"/>
      <c r="F188" s="370"/>
    </row>
    <row r="190" spans="1:6">
      <c r="B190" s="1" t="s">
        <v>544</v>
      </c>
    </row>
    <row r="191" spans="1:6">
      <c r="B191" s="367" t="s">
        <v>545</v>
      </c>
      <c r="C191" s="367"/>
      <c r="D191" s="367"/>
      <c r="E191" s="367"/>
      <c r="F191" s="367"/>
    </row>
    <row r="192" spans="1:6">
      <c r="B192" s="367" t="s">
        <v>546</v>
      </c>
      <c r="C192" s="367"/>
      <c r="D192" s="367"/>
      <c r="E192" s="367"/>
      <c r="F192" s="367"/>
    </row>
    <row r="194" spans="2:2">
      <c r="B194" s="1" t="s">
        <v>547</v>
      </c>
    </row>
    <row r="195" spans="2:2">
      <c r="B195" s="214" t="s">
        <v>548</v>
      </c>
    </row>
    <row r="196" spans="2:2">
      <c r="B196" s="214" t="s">
        <v>549</v>
      </c>
    </row>
    <row r="197" spans="2:2">
      <c r="B197" s="214" t="s">
        <v>550</v>
      </c>
    </row>
  </sheetData>
  <mergeCells count="27">
    <mergeCell ref="B47:F47"/>
    <mergeCell ref="B18:F18"/>
    <mergeCell ref="B36:F36"/>
    <mergeCell ref="B37:F37"/>
    <mergeCell ref="B40:F40"/>
    <mergeCell ref="B43:F43"/>
    <mergeCell ref="B116:F116"/>
    <mergeCell ref="B50:F50"/>
    <mergeCell ref="B58:F58"/>
    <mergeCell ref="B61:F61"/>
    <mergeCell ref="B64:F64"/>
    <mergeCell ref="B65:F65"/>
    <mergeCell ref="B80:F80"/>
    <mergeCell ref="B81:F81"/>
    <mergeCell ref="B89:F89"/>
    <mergeCell ref="B90:F90"/>
    <mergeCell ref="B97:F97"/>
    <mergeCell ref="B101:F101"/>
    <mergeCell ref="B188:F188"/>
    <mergeCell ref="B191:F191"/>
    <mergeCell ref="B192:F192"/>
    <mergeCell ref="B123:F123"/>
    <mergeCell ref="B134:F134"/>
    <mergeCell ref="B138:F138"/>
    <mergeCell ref="B139:F139"/>
    <mergeCell ref="B179:F179"/>
    <mergeCell ref="B182:F182"/>
  </mergeCells>
  <dataValidations count="5">
    <dataValidation type="list" allowBlank="1" showInputMessage="1" showErrorMessage="1" sqref="D1" xr:uid="{42FF33A6-1E0C-4B43-92BC-7EAB9273C898}">
      <formula1>"INT,CN"</formula1>
    </dataValidation>
    <dataValidation type="list" allowBlank="1" showInputMessage="1" showErrorMessage="1" sqref="E21 E25" xr:uid="{0BE1D34E-D50B-41CB-99F3-E9F8694C38CA}">
      <formula1>"DCF,DDM"</formula1>
    </dataValidation>
    <dataValidation type="list" allowBlank="1" sqref="C25:D25" xr:uid="{4F076B80-6574-480B-B48C-99BFFF6B4B13}">
      <formula1>"HKD,USD,CNY,EUR"</formula1>
    </dataValidation>
    <dataValidation type="list" allowBlank="1" showInputMessage="1" showErrorMessage="1" sqref="C23:C24" xr:uid="{B605A743-B0FC-4D89-AD54-945707F01FA1}">
      <formula1>"Y,N"</formula1>
    </dataValidation>
    <dataValidation type="list" allowBlank="1" showInputMessage="1" showErrorMessage="1" sqref="F1" xr:uid="{CF966412-2762-45A3-9589-2A9D9DD6B905}">
      <formula1>"Y, N"</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10</vt:i4>
      </vt:variant>
    </vt:vector>
  </HeadingPairs>
  <TitlesOfParts>
    <vt:vector size="19" baseType="lpstr">
      <vt:lpstr>Thesis</vt:lpstr>
      <vt:lpstr>Data</vt:lpstr>
      <vt:lpstr>BS</vt:lpstr>
      <vt:lpstr>Normalized_FCF</vt:lpstr>
      <vt:lpstr>DCF</vt:lpstr>
      <vt:lpstr>DDM</vt:lpstr>
      <vt:lpstr>Scenarios</vt:lpstr>
      <vt:lpstr>Breakdown</vt:lpstr>
      <vt:lpstr>投资主题</vt:lpstr>
      <vt:lpstr>Common_Shares</vt:lpstr>
      <vt:lpstr>dividend_tax_rate</vt:lpstr>
      <vt:lpstr>Equity_Cost</vt:lpstr>
      <vt:lpstr>Exchange_Rate</vt:lpstr>
      <vt:lpstr>Market_currency</vt:lpstr>
      <vt:lpstr>Market_Price</vt:lpstr>
      <vt:lpstr>Reporting_currency</vt:lpstr>
      <vt:lpstr>scaling_factor</vt:lpstr>
      <vt:lpstr>Terminal_Growth</vt:lpstr>
      <vt:lpstr>valuation_method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2025-07-11T02:17:55Z</cp:lastPrinted>
  <dcterms:created xsi:type="dcterms:W3CDTF">2022-08-10T03:52:42Z</dcterms:created>
  <dcterms:modified xsi:type="dcterms:W3CDTF">2025-08-05T03:07:53Z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