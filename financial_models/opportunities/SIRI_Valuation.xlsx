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C80845B-735F-4D4B-B480-47B90188D70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88" i="6" l="1"/>
  <c r="C31" i="4"/>
  <c r="C80" i="4" s="1"/>
  <c r="K58" i="4"/>
  <c r="O62" i="2" s="1"/>
  <c r="K71" i="4"/>
  <c r="G69" i="4"/>
  <c r="O126" i="2"/>
  <c r="O91" i="2"/>
  <c r="Q126" i="2"/>
  <c r="Q92" i="2"/>
  <c r="Q48" i="2"/>
  <c r="Q91" i="2"/>
  <c r="K70" i="4"/>
  <c r="D69" i="4"/>
  <c r="K126" i="2"/>
  <c r="K91" i="2"/>
  <c r="C70" i="4"/>
  <c r="J71" i="4"/>
  <c r="P126" i="2"/>
  <c r="P91" i="2"/>
  <c r="J91" i="2"/>
  <c r="J69" i="4"/>
  <c r="I70" i="4"/>
  <c r="I91" i="2"/>
  <c r="L126" i="2"/>
  <c r="L91" i="2"/>
  <c r="M126" i="2"/>
  <c r="M91" i="2"/>
  <c r="H91" i="2"/>
  <c r="J70" i="4"/>
  <c r="E69" i="4"/>
  <c r="I71" i="4"/>
  <c r="C69" i="4"/>
  <c r="N126" i="2"/>
  <c r="N91" i="2"/>
  <c r="I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8" i="2" s="1"/>
  <c r="O82" i="2"/>
  <c r="O73" i="2"/>
  <c r="O74" i="2"/>
  <c r="O28" i="2"/>
  <c r="G105" i="2" l="1"/>
  <c r="G101" i="2" s="1"/>
  <c r="C76" i="4"/>
  <c r="O55" i="2"/>
  <c r="O120" i="2"/>
  <c r="O76" i="2"/>
  <c r="H58" i="4"/>
  <c r="L62" i="2" s="1"/>
  <c r="G71" i="4"/>
  <c r="H71" i="4"/>
  <c r="C58" i="4"/>
  <c r="C71" i="4"/>
  <c r="E58" i="4"/>
  <c r="E71" i="4"/>
  <c r="O40" i="2"/>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N48" i="2"/>
  <c r="L48" i="2"/>
  <c r="L50" i="2" s="1"/>
  <c r="L12" i="2" s="1"/>
  <c r="K48" i="2"/>
  <c r="K50" i="2" s="1"/>
  <c r="K12" i="2" s="1"/>
  <c r="K43" i="2" s="1"/>
  <c r="M48" i="2"/>
  <c r="M50" i="2" s="1"/>
  <c r="M12" i="2" s="1"/>
  <c r="O48" i="2"/>
  <c r="O50" i="2" s="1"/>
  <c r="O12" i="2" s="1"/>
  <c r="P48" i="2"/>
  <c r="I48" i="2"/>
  <c r="I50" i="2" s="1"/>
  <c r="I12" i="2" s="1"/>
  <c r="I80" i="2" s="1"/>
  <c r="P50" i="2"/>
  <c r="P12" i="2" s="1"/>
  <c r="J50" i="2"/>
  <c r="J12" i="2" s="1"/>
  <c r="J80" i="2" s="1"/>
  <c r="N50" i="2"/>
  <c r="N12" i="2" s="1"/>
  <c r="G50" i="2"/>
  <c r="G12" i="2" s="1"/>
  <c r="G43" i="2" s="1"/>
  <c r="H50" i="2"/>
  <c r="H12" i="2" s="1"/>
  <c r="H80"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87" i="2" l="1"/>
  <c r="O114"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J114" i="2"/>
  <c r="J92" i="2"/>
  <c r="I114" i="2"/>
  <c r="I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<sst xmlns="http://schemas.openxmlformats.org/spreadsheetml/2006/main" count="606" uniqueCount="428">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</sst>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421</v>
      </c>
      <c r="D5" s="49" t="s">
        <v>422</v>
      </c>
    </row>
    <row r="6" spans="1:10">
      <c r="B6" s="4" t="s">
        <v>95</v>
      </c>
      <c r="C6" s="50">
        <v>20.079999999999998</v>
      </c>
      <c r="D6" s="48" t="s">
        <v>423</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v>
      </c>
      <c r="D17" s="32" t="str">
        <f>IF(C16=D6,D6,C16&amp;"/"&amp;D6)</f>
        <v>USD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(USD):</v>
      </c>
      <c r="C20" s="252">
        <f>C133</f>
        <v>16.165402289394244</v>
      </c>
      <c r="D20" s="1" t="s">
        <v>315</v>
      </c>
      <c r="E20" s="330">
        <v>3</v>
      </c>
    </row>
    <row r="21" spans="1:6">
      <c r="B21" s="1" t="s">
        <v>408</v>
      </c>
      <c r="C21" s="280">
        <f ca="1">Scenarios!C87</f>
        <v>0.16060765378265396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2626.9774440472893</v>
      </c>
      <c r="D30" s="1" t="str">
        <f>Reporting_currency</f>
        <v>USD</v>
      </c>
    </row>
    <row r="31" spans="1:6">
      <c r="B31" s="47"/>
      <c r="C31" s="76"/>
    </row>
    <row r="32" spans="1:6" ht="24.4" customHeight="1">
      <c r="B32" s="341" t="s">
        <v>234</v>
      </c>
      <c r="C32" s="341"/>
      <c r="D32" s="341"/>
      <c r="E32" s="341"/>
      <c r="F32" s="341"/>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-532.74436101182232</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7" t="s">
        <v>414</v>
      </c>
      <c r="C88" s="338">
        <f>BS!G30/BS!G27</f>
        <v>1.4851905363915479</v>
      </c>
    </row>
    <row r="89" spans="2:6">
      <c r="B89" s="337" t="s">
        <v>415</v>
      </c>
      <c r="C89" s="338">
        <f>BS!G31/BS!G27</f>
        <v>0.95241105291674188</v>
      </c>
    </row>
    <row r="90" spans="2:6">
      <c r="B90" s="337" t="s">
        <v>417</v>
      </c>
      <c r="C90" s="339">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0" t="s">
        <v>374</v>
      </c>
      <c r="C101" s="340"/>
      <c r="D101" s="340"/>
      <c r="E101" s="340"/>
      <c r="F101" s="340"/>
    </row>
    <row r="103" spans="1:6">
      <c r="B103" s="47" t="s">
        <v>283</v>
      </c>
      <c r="C103" s="248">
        <f>Valuation_Model!C12</f>
        <v>26.591820192356398</v>
      </c>
      <c r="D103" s="1" t="str">
        <f>Market_currency</f>
        <v>USD</v>
      </c>
    </row>
    <row r="104" spans="1:6">
      <c r="B104" s="337" t="s">
        <v>416</v>
      </c>
      <c r="C104" s="248">
        <f>BS!D47</f>
        <v>-38.360607814419353</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0.59360000000000002</v>
      </c>
      <c r="D128" s="236" t="str">
        <f>Market_currency</f>
        <v>USD</v>
      </c>
    </row>
    <row r="130" spans="1:6">
      <c r="B130" s="234" t="s">
        <v>409</v>
      </c>
      <c r="C130" s="338">
        <f>C19</f>
        <v>0.25</v>
      </c>
      <c r="D130" s="1" t="s">
        <v>419</v>
      </c>
    </row>
    <row r="131" spans="1:6">
      <c r="B131" s="236" t="str">
        <f>"PV("&amp;C126&amp;" yrs of Dividends)"</f>
        <v>PV(3 yrs of Dividends)</v>
      </c>
      <c r="C131" s="240">
        <f>Scenarios!C81</f>
        <v>1.1587072</v>
      </c>
    </row>
    <row r="132" spans="1:6">
      <c r="B132" s="236" t="str">
        <f>"+ PV(Equity Value realized at year "&amp;C126&amp;")"</f>
        <v>+ PV(Equity Value realized at year 3)</v>
      </c>
      <c r="C132" s="240">
        <f>Scenarios!C82</f>
        <v>15.006695089394245</v>
      </c>
    </row>
    <row r="133" spans="1:6">
      <c r="B133" s="80" t="s">
        <v>261</v>
      </c>
      <c r="C133" s="239">
        <f>Scenarios!C83</f>
        <v>16.165402289394244</v>
      </c>
      <c r="D133" s="47" t="str">
        <f>Reporting_currency</f>
        <v>USD</v>
      </c>
    </row>
    <row r="134" spans="1:6">
      <c r="B134" s="238" t="s">
        <v>263</v>
      </c>
      <c r="C134" s="92">
        <f>Scenarios!F83</f>
        <v>0.44846710599062711</v>
      </c>
    </row>
    <row r="136" spans="1:6">
      <c r="B136" s="234" t="s">
        <v>410</v>
      </c>
      <c r="C136" s="92">
        <f>Scenarios!C90</f>
        <v>0.06</v>
      </c>
      <c r="D136" s="1" t="s">
        <v>418</v>
      </c>
    </row>
    <row r="137" spans="1:6">
      <c r="B137" s="236" t="str">
        <f>"PV("&amp;C126&amp;" yrs of Dividends)"</f>
        <v>PV(3 yrs of Dividends)</v>
      </c>
      <c r="C137" s="240">
        <f>Scenarios!C91</f>
        <v>1.5866998932004295</v>
      </c>
    </row>
    <row r="138" spans="1:6">
      <c r="B138" s="236" t="str">
        <f>"+ PV(Equity Value realized at year "&amp;C126&amp;")"</f>
        <v>+ PV(Equity Value realized at year 3)</v>
      </c>
      <c r="C138" s="240">
        <f>Scenarios!C92</f>
        <v>24.609200335237418</v>
      </c>
    </row>
    <row r="139" spans="1:6">
      <c r="B139" s="80" t="s">
        <v>411</v>
      </c>
      <c r="C139" s="239">
        <f>Scenarios!C93</f>
        <v>26.195900228437846</v>
      </c>
      <c r="D139" s="101" t="str">
        <f>Reporting_currency</f>
        <v>USD</v>
      </c>
    </row>
    <row r="140" spans="1:6">
      <c r="B140" s="238" t="s">
        <v>263</v>
      </c>
      <c r="C140" s="92">
        <f>Scenarios!F93</f>
        <v>0.10624552327719927</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425</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427</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0.25</v>
      </c>
    </row>
    <row r="81" spans="2:8">
      <c r="B81" s="100" t="s">
        <v>122</v>
      </c>
      <c r="C81" s="117">
        <f>PV(C80, C76, -C77, 0)</f>
        <v>1.1587072</v>
      </c>
      <c r="D81" s="117"/>
      <c r="E81" s="100"/>
      <c r="F81" s="100"/>
    </row>
    <row r="82" spans="2:8">
      <c r="B82" s="100" t="s">
        <v>123</v>
      </c>
      <c r="C82" s="117">
        <f>C60/(1+C80)^C76</f>
        <v>15.006695089394245</v>
      </c>
      <c r="D82" s="117"/>
    </row>
    <row r="83" spans="2:8" ht="13.15">
      <c r="B83" s="111" t="s">
        <v>102</v>
      </c>
      <c r="C83" s="112">
        <f>C81+C82</f>
        <v>16.165402289394244</v>
      </c>
      <c r="D83" t="str">
        <f>Market_currency</f>
        <v>USD</v>
      </c>
      <c r="E83" s="147" t="s">
        <v>127</v>
      </c>
      <c r="F83" s="329">
        <f>(1-C83/C60)</f>
        <v>0.44846710599062711</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406</v>
      </c>
    </row>
    <row r="90" spans="2:8">
      <c r="B90" s="149" t="s">
        <v>413</v>
      </c>
      <c r="C90" s="135">
        <f>MAX(6%,(Thesis!E19+Thesis!C67)/2)</f>
        <v>0.06</v>
      </c>
    </row>
    <row r="91" spans="2:8">
      <c r="B91" s="100" t="s">
        <v>122</v>
      </c>
      <c r="C91" s="117">
        <f>PV(C90, C76, -C77, 0)</f>
        <v>1.5866998932004295</v>
      </c>
      <c r="D91" s="117"/>
    </row>
    <row r="92" spans="2:8">
      <c r="B92" s="100" t="s">
        <v>123</v>
      </c>
      <c r="C92" s="117">
        <f>C60/(1+C90)^C76</f>
        <v>24.609200335237418</v>
      </c>
      <c r="D92" s="117"/>
    </row>
    <row r="93" spans="2:8" ht="13.15">
      <c r="B93" s="111" t="s">
        <v>407</v>
      </c>
      <c r="C93" s="112">
        <f>C91+C92</f>
        <v>26.195900228437846</v>
      </c>
      <c r="D93" t="s">
        <v>405</v>
      </c>
      <c r="E93" s="147" t="s">
        <v>127</v>
      </c>
      <c r="F93" s="329">
        <f>(1-C93/C60)</f>
        <v>0.10624552327719927</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