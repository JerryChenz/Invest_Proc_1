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8DFD1F41-E91C-4E44-8D12-87DC059646DA}" xr6:coauthVersionLast="47" xr6:coauthVersionMax="47" xr10:uidLastSave="{00000000-0000-0000-0000-000000000000}"/>
  <bookViews>
    <workbookView xWindow="735" yWindow="735" windowWidth="12690" windowHeight="7643"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7" i="4"/>
  <c r="C6" i="4" s="1"/>
  <c r="D7" i="4"/>
  <c r="D6" i="4" s="1"/>
  <c r="C25" i="4"/>
  <c r="C28" i="4"/>
  <c r="C29" i="4"/>
  <c r="C30" i="4"/>
  <c r="C32" i="4"/>
  <c r="D139" i="6"/>
  <c r="C90" i="9"/>
  <c r="C136" i="6" s="1"/>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L45" i="4"/>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I72" i="4"/>
  <c r="F72" i="4"/>
  <c r="E72" i="4"/>
  <c r="D72" i="4"/>
  <c r="J72" i="4"/>
  <c r="H72" i="4"/>
  <c r="L69" i="4"/>
  <c r="L70" i="4"/>
  <c r="L72" i="4"/>
  <c r="L71" i="4"/>
  <c r="K72"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K43" i="4" s="1"/>
  <c r="K44" i="4"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C88" i="6"/>
  <c r="K58" i="4"/>
  <c r="O62" i="2" s="1"/>
  <c r="K71" i="4"/>
  <c r="N126" i="2"/>
  <c r="N91" i="2"/>
  <c r="I91" i="2"/>
  <c r="D70" i="4"/>
  <c r="P126" i="2"/>
  <c r="P91" i="2"/>
  <c r="F69" i="4"/>
  <c r="G69" i="4"/>
  <c r="Q126" i="2"/>
  <c r="Q48" i="2"/>
  <c r="Q92" i="2"/>
  <c r="Q91" i="2"/>
  <c r="K70" i="4"/>
  <c r="D69" i="4"/>
  <c r="J69" i="4"/>
  <c r="I69" i="4"/>
  <c r="O126" i="2"/>
  <c r="O91" i="2"/>
  <c r="K126" i="2"/>
  <c r="K91" i="2"/>
  <c r="J71" i="4"/>
  <c r="I70" i="4"/>
  <c r="J91" i="2"/>
  <c r="L126" i="2"/>
  <c r="L91" i="2"/>
  <c r="M126" i="2"/>
  <c r="M91" i="2"/>
  <c r="H91" i="2"/>
  <c r="J70" i="4"/>
  <c r="E69" i="4"/>
  <c r="I71" i="4"/>
  <c r="C69" i="4"/>
  <c r="K69" i="4"/>
  <c r="H69" i="4"/>
  <c r="F70" i="4"/>
  <c r="G70"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D71" i="4" s="1"/>
  <c r="C44" i="4"/>
  <c r="Q13" i="2"/>
  <c r="Q16" i="2"/>
  <c r="C105" i="2"/>
  <c r="G53" i="2"/>
  <c r="M96" i="2"/>
  <c r="O96" i="2"/>
  <c r="P96" i="2"/>
  <c r="N96" i="2"/>
  <c r="L96" i="2"/>
  <c r="G96" i="2"/>
  <c r="I96" i="2"/>
  <c r="C101" i="2"/>
  <c r="D59" i="3"/>
  <c r="K96" i="2"/>
  <c r="H96" i="2"/>
  <c r="J96" i="2"/>
  <c r="Q119" i="2"/>
  <c r="Q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82" i="2"/>
  <c r="O40" i="2"/>
  <c r="O28" i="2"/>
  <c r="O75" i="2"/>
  <c r="G105" i="2" l="1"/>
  <c r="G101" i="2" s="1"/>
  <c r="C76" i="4"/>
  <c r="O74" i="2"/>
  <c r="O8" i="2"/>
  <c r="H58" i="4"/>
  <c r="H71" i="4"/>
  <c r="O30" i="2"/>
  <c r="C58" i="4"/>
  <c r="G62" i="2" s="1"/>
  <c r="G63" i="2" s="1"/>
  <c r="C71" i="4"/>
  <c r="O63" i="2"/>
  <c r="O73" i="2"/>
  <c r="E58" i="4"/>
  <c r="E71" i="4"/>
  <c r="G71" i="4"/>
  <c r="P40" i="2"/>
  <c r="P30" i="2"/>
  <c r="P63" i="2"/>
  <c r="P6" i="2"/>
  <c r="P73" i="2"/>
  <c r="C23" i="2"/>
  <c r="C49" i="2"/>
  <c r="C24" i="2"/>
  <c r="C110" i="2"/>
  <c r="G30" i="2"/>
  <c r="C17" i="2"/>
  <c r="C51" i="6" s="1"/>
  <c r="M63" i="2"/>
  <c r="M11" i="2"/>
  <c r="N63" i="2"/>
  <c r="N11" i="2"/>
  <c r="G69" i="2"/>
  <c r="G11" i="2"/>
  <c r="N73" i="2"/>
  <c r="M6" i="2"/>
  <c r="M8" i="2" s="1"/>
  <c r="C96" i="2"/>
  <c r="J63" i="2"/>
  <c r="J79" i="2" s="1"/>
  <c r="H63" i="2"/>
  <c r="H79" i="2" s="1"/>
  <c r="N40" i="2"/>
  <c r="N119" i="2"/>
  <c r="M119" i="2"/>
  <c r="M74" i="2"/>
  <c r="M40" i="2"/>
  <c r="N6" i="2"/>
  <c r="N8" i="2" s="1"/>
  <c r="M30" i="2"/>
  <c r="M73" i="2"/>
  <c r="N30" i="2"/>
  <c r="K62" i="2"/>
  <c r="L62" i="2"/>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O55" i="2" l="1"/>
  <c r="O76" i="2"/>
  <c r="O120"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I48" i="2"/>
  <c r="L48" i="2"/>
  <c r="L50" i="2" s="1"/>
  <c r="L12" i="2" s="1"/>
  <c r="H48" i="2"/>
  <c r="H50" i="2" s="1"/>
  <c r="H12" i="2" s="1"/>
  <c r="H80" i="2" s="1"/>
  <c r="O48" i="2"/>
  <c r="O50" i="2" s="1"/>
  <c r="O12" i="2" s="1"/>
  <c r="J48" i="2"/>
  <c r="J50" i="2" s="1"/>
  <c r="J12" i="2" s="1"/>
  <c r="J80" i="2" s="1"/>
  <c r="N48" i="2"/>
  <c r="N50" i="2" s="1"/>
  <c r="N12" i="2" s="1"/>
  <c r="P48" i="2"/>
  <c r="P50" i="2" s="1"/>
  <c r="P12" i="2" s="1"/>
  <c r="M48" i="2"/>
  <c r="K48" i="2"/>
  <c r="M50" i="2"/>
  <c r="M12" i="2" s="1"/>
  <c r="G50" i="2"/>
  <c r="G12" i="2" s="1"/>
  <c r="G43" i="2" s="1"/>
  <c r="C40" i="6"/>
  <c r="I50" i="2"/>
  <c r="I12" i="2" s="1"/>
  <c r="I80" i="2" s="1"/>
  <c r="K50" i="2"/>
  <c r="K12" i="2" s="1"/>
  <c r="K43" i="2" s="1"/>
  <c r="C87" i="3"/>
  <c r="D87" i="3" s="1"/>
  <c r="C31" i="3"/>
  <c r="O80" i="2" l="1"/>
  <c r="O43" i="2"/>
  <c r="O13" i="2"/>
  <c r="L80" i="2"/>
  <c r="L43" i="2"/>
  <c r="K80" i="2"/>
  <c r="P80" i="2"/>
  <c r="P13" i="2"/>
  <c r="P43" i="2"/>
  <c r="M80" i="2"/>
  <c r="M43" i="2"/>
  <c r="J43" i="2"/>
  <c r="H43" i="2"/>
  <c r="I43" i="2"/>
  <c r="N80" i="2"/>
  <c r="N43" i="2"/>
  <c r="G80" i="2"/>
  <c r="C30" i="6"/>
  <c r="C74" i="2"/>
  <c r="C32" i="3"/>
  <c r="G31" i="3"/>
  <c r="B1" i="2"/>
  <c r="C7" i="8" l="1"/>
  <c r="C86" i="3" s="1"/>
  <c r="D86" i="3" s="1"/>
  <c r="C89" i="6"/>
  <c r="O81" i="2"/>
  <c r="O117" i="2" s="1"/>
  <c r="O16" i="2"/>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O19" i="2" l="1"/>
  <c r="O124" i="2"/>
  <c r="O125" i="2" s="1"/>
  <c r="O84" i="2"/>
  <c r="P84" i="2"/>
  <c r="P19" i="2"/>
  <c r="P92" i="2" s="1"/>
  <c r="P124" i="2"/>
  <c r="P125" i="2" s="1"/>
  <c r="C47" i="2"/>
  <c r="O114" i="2" l="1"/>
  <c r="O92" i="2"/>
  <c r="O87" i="2"/>
  <c r="P114" i="2"/>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I114" i="2" l="1"/>
  <c r="I92" i="2"/>
  <c r="J114" i="2"/>
  <c r="J92" i="2"/>
  <c r="N114" i="2"/>
  <c r="N92" i="2"/>
  <c r="N84" i="2"/>
  <c r="L124" i="2"/>
  <c r="L125" i="2" s="1"/>
  <c r="L19" i="2"/>
  <c r="M124" i="2"/>
  <c r="M125" i="2" s="1"/>
  <c r="M19" i="2"/>
  <c r="I124" i="2"/>
  <c r="I125" i="2" s="1"/>
  <c r="J84" i="2"/>
  <c r="N124" i="2"/>
  <c r="N125" i="2" s="1"/>
  <c r="M84" i="2"/>
  <c r="I87" i="2"/>
  <c r="I84" i="2"/>
  <c r="J124" i="2"/>
  <c r="J125" i="2" s="1"/>
  <c r="L87" i="2"/>
  <c r="K87" i="2"/>
  <c r="L84" i="2"/>
  <c r="N87" i="2"/>
  <c r="C76" i="2"/>
  <c r="C50" i="3"/>
  <c r="C90" i="6" s="1"/>
  <c r="C54" i="3"/>
  <c r="C120" i="2"/>
  <c r="M114" i="2" l="1"/>
  <c r="M92" i="2"/>
  <c r="L92" i="2"/>
  <c r="L114" i="2"/>
  <c r="C14" i="9"/>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<sst xmlns="http://schemas.openxmlformats.org/spreadsheetml/2006/main" count="616" uniqueCount="432">
  <si>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</si>
  <si>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</si>
  <si>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</si>
  <si>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</si>
  <si>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</si>
  <si>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</si>
  <si>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</si>
  <si>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</si>
  <si>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</si>
  <si>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</si>
  <si>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</si>
  <si>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</si>
  <si>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</si>
  <si>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</si>
  <si>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</si>
  <si>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</si>
  <si>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</si>
  <si>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</si>
  <si>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</si>
  <si>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</si>
  <si>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</si>
  <si>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</si>
  <si>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</si>
  <si>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</si>
  <si>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</si>
  <si>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</si>
  <si>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</si>
  <si>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</si>
  <si>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</si>
  <si>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</si>
  <si>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</si>
  <si>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</si>
  <si>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</si>
  <si>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</si>
  <si>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</si>
  <si>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</si>
  <si>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</si>
  <si>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</si>
  <si>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</si>
  <si>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</si>
  <si>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</si>
  <si>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</si>
  <si>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</si>
  <si>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</si>
  <si>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</si>
  <si>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</si>
  <si>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</si>
  <si>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</si>
  <si>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</si>
  <si>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</si>
  <si>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</si>
  <si>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</si>
  <si>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</si>
  <si>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</si>
  <si>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</si>
  <si>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</si>
  <si>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</si>
  <si>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</si>
  <si>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</si>
  <si>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</si>
  <si>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</si>
  <si>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</si>
  <si>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</si>
  <si>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</si>
  <si>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</si>
  <si>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</si>
  <si>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</si>
  <si>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</si>
  <si>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</si>
  <si>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</si>
  <si>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</si>
  <si>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</si>
  <si>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</si>
  <si>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</si>
  <si>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</si>
  <si>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</si>
  <si>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</si>
  <si>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</si>
  <si>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</si>
  <si>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</si>
  <si>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</si>
  <si>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</si>
  <si>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</si>
  <si>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</si>
  <si>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</si>
  <si>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</si>
  <si>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</si>
  <si>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</si>
  <si>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</si>
  <si>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</si>
  <si>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</si>
  <si>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</si>
  <si>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</si>
  <si>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</si>
  <si>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</si>
  <si>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</si>
  <si>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</si>
  <si>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</si>
  <si>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</si>
  <si>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</si>
  <si>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</si>
  <si>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</si>
  <si>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</si>
  <si>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</si>
  <si>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</si>
  <si>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</si>
  <si>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</si>
  <si>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</si>
  <si>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</si>
  <si>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</si>
  <si>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</si>
  <si>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</si>
  <si>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</si>
  <si>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</si>
  <si>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</si>
  <si>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</si>
  <si>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</si>
  <si>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</si>
  <si>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</si>
  <si>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</si>
  <si>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</si>
  <si>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</si>
  <si>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</si>
  <si>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</si>
  <si>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</si>
  <si>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</si>
  <si>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</si>
  <si>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</si>
  <si>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</si>
  <si>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</si>
  <si>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</si>
  <si>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</si>
  <si>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</si>
  <si>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</si>
  <si>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</si>
  <si>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</si>
  <si>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</si>
  <si>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</si>
  <si>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</si>
  <si>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</si>
  <si>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</si>
  <si>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</si>
  <si>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</si>
  <si>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</si>
  <si>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</si>
  <si>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</si>
  <si>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</si>
  <si>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</si>
  <si>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</si>
  <si>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</si>
  <si>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</si>
  <si>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</si>
  <si>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</si>
  <si>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</si>
  <si>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</si>
  <si>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</si>
  <si>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</si>
  <si>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</si>
  <si>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</si>
  <si>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</si>
  <si>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</si>
  <si>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</si>
  <si>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</si>
  <si>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</si>
  <si>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</si>
  <si>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</si>
  <si>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</si>
  <si>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</si>
  <si>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</si>
  <si>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</si>
  <si>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</si>
  <si>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</si>
  <si>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</si>
  <si>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</si>
  <si>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</si>
  <si>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</si>
  <si>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</si>
  <si>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</si>
  <si>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</si>
  <si>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</si>
  <si>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</si>
  <si>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</si>
  <si>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</si>
  <si>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</si>
  <si>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</si>
  <si>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</si>
  <si>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</si>
  <si>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</si>
  <si>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</si>
  <si>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</si>
  <si>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</si>
  <si>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</si>
  <si>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</si>
  <si>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</si>
  <si>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</si>
  <si>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</si>
  <si>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</si>
  <si>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</si>
  <si>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</si>
  <si>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</si>
  <si>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</si>
  <si>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</si>
  <si>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</si>
  <si>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</si>
  <si>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</si>
  <si>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</si>
  <si>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</si>
  <si>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</si>
  <si>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</si>
  <si>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</si>
  <si>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</si>
  <si>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</si>
  <si>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</si>
  <si>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</si>
  <si>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</si>
  <si>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</si>
  <si>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</si>
  <si>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</si>
  <si>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</si>
  <si>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</si>
  <si>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</si>
  <si>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</si>
  <si>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</si>
  <si>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</si>
  <si>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</si>
  <si>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</si>
  <si>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</si>
  <si>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</si>
  <si>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</si>
  <si>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</si>
  <si>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</si>
  <si>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</si>
  <si>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</si>
  <si>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</si>
  <si>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</si>
  <si>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</si>
  <si>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</si>
  <si>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</si>
  <si>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</si>
  <si>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</si>
  <si>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</si>
  <si>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</si>
  <si>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</si>
  <si>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</si>
  <si>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</si>
  <si>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</si>
  <si>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</si>
  <si>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</si>
  <si>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</si>
  <si>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</si>
  <si>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</si>
  <si>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</si>
  <si>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</si>
  <si>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</si>
  <si>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</si>
  <si>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</si>
  <si>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</si>
  <si>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</si>
  <si>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</si>
  <si>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</si>
  <si>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</si>
  <si>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</si>
  <si>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</si>
  <si>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</si>
  <si>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</si>
  <si>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</si>
  <si>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</si>
  <si>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</si>
  <si>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</si>
  <si>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</si>
  <si>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</si>
  <si>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</si>
  <si>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</si>
  <si>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</si>
  <si>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</si>
  <si>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</si>
  <si>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</si>
  <si>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</si>
  <si>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</si>
  <si>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</si>
  <si>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</si>
  <si>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</si>
  <si>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</si>
  <si>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</si>
  <si>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</si>
  <si>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</si>
  <si>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</si>
  <si>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</si>
  <si>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</si>
  <si>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</si>
  <si>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</si>
  <si>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</si>
  <si>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</si>
  <si>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</si>
  <si>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</si>
  <si>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</si>
  <si>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</si>
  <si>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</si>
  <si>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</si>
  <si>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</si>
  <si>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</si>
  <si>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</si>
  <si>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</si>
  <si>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</si>
  <si>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</si>
  <si>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</si>
  <si>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</si>
  <si>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</si>
  <si>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</si>
  <si>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</si>
  <si>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</si>
  <si>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</si>
  <si>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</si>
  <si>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</si>
  <si>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</si>
  <si>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</si>
  <si>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</si>
  <si>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</si>
  <si>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</si>
  <si>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</si>
  <si>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</si>
  <si>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</si>
  <si>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</si>
  <si>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</si>
  <si>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</si>
  <si>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</si>
  <si>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</si>
  <si>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</si>
  <si>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</si>
  <si>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</si>
  <si>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</si>
  <si>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</si>
  <si>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</si>
  <si>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</si>
  <si>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</si>
  <si>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</si>
  <si>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</si>
  <si>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</si>
  <si>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</si>
  <si>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</si>
  <si>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</si>
  <si>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</si>
  <si>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</si>
  <si>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</si>
  <si>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</si>
  <si>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</si>
  <si>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</si>
  <si>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</si>
  <si>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</si>
  <si>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</si>
  <si>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</si>
  <si>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</si>
  <si>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</si>
  <si>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</si>
  <si>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</si>
  <si>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</si>
  <si>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</si>
  <si>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</si>
  <si>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</si>
  <si>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</si>
  <si>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</si>
  <si>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</si>
  <si>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</si>
  <si>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</si>
  <si>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</si>
  <si>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</si>
  <si>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</si>
  <si>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</si>
  <si>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</si>
  <si>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</si>
  <si>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</si>
  <si>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</si>
  <si>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</si>
  <si>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</si>
  <si>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</si>
  <si>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</si>
  <si>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</si>
  <si>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</si>
  <si>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</si>
  <si>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</si>
  <si>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</si>
  <si>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</si>
  <si>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</si>
  <si>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</si>
  <si>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</si>
  <si>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</si>
  <si>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</si>
  <si>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</si>
  <si>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</si>
  <si>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</si>
  <si>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</si>
  <si>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</si>
  <si>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</si>
  <si>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</si>
  <si>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</si>
  <si>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</si>
  <si>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</si>
  <si>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</si>
  <si>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</si>
  <si>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</si>
  <si>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</si>
  <si>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</si>
  <si>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</si>
  <si>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</si>
  <si>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</si>
  <si>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</si>
  <si>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</si>
  <si>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</si>
  <si>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</si>
  <si>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</si>
  <si>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</si>
  <si>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</si>
  <si>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</si>
  <si>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</si>
  <si>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</si>
  <si>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</si>
  <si>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</si>
  <si>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</si>
  <si>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</si>
  <si>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</si>
  <si>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</si>
  <si>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</si>
  <si>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</si>
  <si>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</si>
  <si>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N</t>
  </si>
  <si>
    <t>Sirius XM Holdings Inc.</t>
  </si>
  <si>
    <t>SIRI</t>
  </si>
  <si>
    <t>USD</t>
  </si>
  <si>
    <t>TMT_05</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</si>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</sst>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24" zoomScaleNormal="100" workbookViewId="0">
      <selection activeCell="D137" sqref="D13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424</v>
      </c>
    </row>
    <row r="2" spans="1:10" ht="13.9">
      <c r="A2" s="247" t="s">
        <v>268</v>
      </c>
      <c r="B2" s="36"/>
      <c r="C2" s="36"/>
      <c r="D2" s="36"/>
      <c r="E2" s="36"/>
      <c r="F2" s="36"/>
      <c r="G2" s="22"/>
      <c r="H2" s="22"/>
      <c r="I2" s="22"/>
      <c r="J2" s="22"/>
    </row>
    <row r="4" spans="1:10">
      <c r="B4" s="45" t="str">
        <f>D5&amp;" Stock Information"</f>
        <v>SIRI Stock Information</v>
      </c>
      <c r="C4" s="46"/>
      <c r="D4" s="5"/>
      <c r="E4" s="2"/>
      <c r="F4" s="2"/>
    </row>
    <row r="5" spans="1:10" ht="12.4">
      <c r="B5" s="4" t="s">
        <v>323</v>
      </c>
      <c r="C5" s="333" t="s">
        <v>425</v>
      </c>
      <c r="D5" s="49" t="s">
        <v>426</v>
      </c>
    </row>
    <row r="6" spans="1:10">
      <c r="B6" s="4" t="s">
        <v>95</v>
      </c>
      <c r="C6" s="50">
        <v>21.72</v>
      </c>
      <c r="D6" s="48" t="s">
        <v>427</v>
      </c>
      <c r="E6" s="48"/>
    </row>
    <row r="7" spans="1:10">
      <c r="B7" s="4" t="s">
        <v>0</v>
      </c>
      <c r="C7" s="51">
        <v>338656000</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(USD):</v>
      </c>
      <c r="C10" s="35">
        <f>Thesis!C6*Thesis!C7/1000000</f>
        <v>7355.6083200000003</v>
      </c>
      <c r="D10" s="32"/>
      <c r="E10" s="5"/>
    </row>
    <row r="11" spans="1:10">
      <c r="D11" s="5"/>
      <c r="E11" s="5"/>
    </row>
    <row r="12" spans="1:10" ht="24.4" customHeight="1">
      <c r="B12" s="342" t="s">
        <v>367</v>
      </c>
      <c r="C12" s="342"/>
      <c r="D12" s="342"/>
      <c r="E12" s="342"/>
      <c r="F12" s="342"/>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427</v>
      </c>
      <c r="D16" s="32"/>
      <c r="E16" s="5"/>
    </row>
    <row r="17" spans="1:6">
      <c r="B17" s="4" t="s">
        <v>1</v>
      </c>
      <c r="C17" s="50">
        <v>1</v>
      </c>
      <c r="D17" s="32" t="str">
        <f>IF(C16=D6,D6,C16&amp;"/"&amp;D6)</f>
        <v>USD</v>
      </c>
      <c r="E17" s="5"/>
    </row>
    <row r="18" spans="1:6">
      <c r="B18" s="2" t="s">
        <v>56</v>
      </c>
      <c r="C18" s="48" t="s">
        <v>428</v>
      </c>
      <c r="E18" s="5"/>
    </row>
    <row r="19" spans="1:6">
      <c r="B19" s="2" t="s">
        <v>277</v>
      </c>
      <c r="C19" s="249">
        <v>0.3</v>
      </c>
      <c r="D19" s="1" t="s">
        <v>417</v>
      </c>
      <c r="E19" s="339">
        <v>0.2</v>
      </c>
    </row>
    <row r="20" spans="1:6">
      <c r="B20" s="2" t="str">
        <f>"Target Buy Price ("&amp;Market_currency&amp;"):"</f>
        <v>Target Buy Price (USD):</v>
      </c>
      <c r="C20" s="252">
        <f>C133</f>
        <v>14.418941896437474</v>
      </c>
      <c r="D20" s="1" t="s">
        <v>315</v>
      </c>
      <c r="E20" s="330">
        <v>3</v>
      </c>
    </row>
    <row r="21" spans="1:6">
      <c r="B21" s="1" t="s">
        <v>407</v>
      </c>
      <c r="C21" s="280">
        <f ca="1">Scenarios!C87</f>
        <v>0.12990849663525528</v>
      </c>
      <c r="D21" s="5"/>
      <c r="E21" s="5"/>
    </row>
    <row r="22" spans="1:6">
      <c r="D22" s="5"/>
      <c r="E22" s="5"/>
    </row>
    <row r="23" spans="1:6" ht="13.9">
      <c r="A23" s="247" t="s">
        <v>362</v>
      </c>
      <c r="B23" s="36"/>
      <c r="C23" s="36"/>
      <c r="D23" s="36"/>
      <c r="E23" s="36"/>
      <c r="F23" s="36"/>
    </row>
    <row r="25" spans="1:6" ht="24.4" customHeight="1">
      <c r="B25" s="342" t="s">
        <v>368</v>
      </c>
      <c r="C25" s="342"/>
      <c r="D25" s="342"/>
      <c r="E25" s="342"/>
      <c r="F25" s="342"/>
    </row>
    <row r="26" spans="1:6" ht="24.4" customHeight="1">
      <c r="B26" s="345" t="s">
        <v>347</v>
      </c>
      <c r="C26" s="345"/>
      <c r="D26" s="345"/>
      <c r="E26" s="345"/>
      <c r="F26" s="345"/>
    </row>
    <row r="28" spans="1:6">
      <c r="B28" s="234" t="s">
        <v>231</v>
      </c>
      <c r="C28" s="108">
        <f>scaling_factor</f>
        <v>1000000</v>
      </c>
    </row>
    <row r="29" spans="1:6" ht="24.4" customHeight="1">
      <c r="B29" s="343" t="s">
        <v>232</v>
      </c>
      <c r="C29" s="343"/>
      <c r="D29" s="343"/>
      <c r="E29" s="343"/>
      <c r="F29" s="343"/>
    </row>
    <row r="30" spans="1:6">
      <c r="B30" s="47" t="s">
        <v>233</v>
      </c>
      <c r="C30" s="188">
        <f>Normalized_FCF!C8</f>
        <v>2626.9774440472893</v>
      </c>
      <c r="D30" s="1" t="str">
        <f>Reporting_currency</f>
        <v>USD</v>
      </c>
    </row>
    <row r="31" spans="1:6">
      <c r="B31" s="47"/>
      <c r="C31" s="76"/>
    </row>
    <row r="32" spans="1:6" ht="24.4" customHeight="1">
      <c r="B32" s="343" t="s">
        <v>234</v>
      </c>
      <c r="C32" s="343"/>
      <c r="D32" s="343"/>
      <c r="E32" s="343"/>
      <c r="F32" s="343"/>
    </row>
    <row r="33" spans="2:6">
      <c r="B33" s="47" t="s">
        <v>235</v>
      </c>
      <c r="C33" s="188">
        <f>Normalized_FCF!C9</f>
        <v>578</v>
      </c>
      <c r="D33" s="1" t="str">
        <f>Reporting_currency</f>
        <v>USD</v>
      </c>
    </row>
    <row r="34" spans="2:6">
      <c r="B34" s="52" t="s">
        <v>236</v>
      </c>
      <c r="C34" s="188">
        <f>Normalized_FCF!C10</f>
        <v>-632.31340126010366</v>
      </c>
      <c r="D34" s="1" t="str">
        <f>Reporting_currency</f>
        <v>USD</v>
      </c>
    </row>
    <row r="36" spans="2:6">
      <c r="B36" s="343" t="s">
        <v>237</v>
      </c>
      <c r="C36" s="343"/>
      <c r="D36" s="343"/>
      <c r="E36" s="343"/>
      <c r="F36" s="343"/>
    </row>
    <row r="37" spans="2:6">
      <c r="B37" s="47" t="s">
        <v>238</v>
      </c>
      <c r="C37" s="188">
        <f>Normalized_FCF!C11</f>
        <v>0</v>
      </c>
      <c r="D37" s="1" t="str">
        <f>Reporting_currency</f>
        <v>USD</v>
      </c>
    </row>
    <row r="39" spans="2:6">
      <c r="B39" s="343" t="s">
        <v>241</v>
      </c>
      <c r="C39" s="343"/>
      <c r="D39" s="343"/>
      <c r="E39" s="343"/>
      <c r="F39" s="343"/>
    </row>
    <row r="40" spans="2:6">
      <c r="B40" s="47" t="s">
        <v>348</v>
      </c>
      <c r="C40" s="322">
        <f>Normalized_FCF!C48</f>
        <v>0</v>
      </c>
      <c r="D40" s="1" t="str">
        <f>Reporting_currency</f>
        <v>USD</v>
      </c>
      <c r="E40" s="321"/>
      <c r="F40" s="321"/>
    </row>
    <row r="41" spans="2:6">
      <c r="B41" s="47" t="s">
        <v>349</v>
      </c>
      <c r="C41" s="322">
        <f>Normalized_FCF!C47</f>
        <v>-496</v>
      </c>
      <c r="D41" s="1" t="str">
        <f>Reporting_currency</f>
        <v>USD</v>
      </c>
      <c r="E41" s="321"/>
      <c r="F41" s="321"/>
    </row>
    <row r="42" spans="2:6">
      <c r="B42" s="47" t="s">
        <v>239</v>
      </c>
      <c r="C42" s="188">
        <f>Normalized_FCF!C12</f>
        <v>-496</v>
      </c>
      <c r="D42" s="1" t="str">
        <f>Reporting_currency</f>
        <v>USD</v>
      </c>
    </row>
    <row r="44" spans="2:6">
      <c r="B44" s="1" t="s">
        <v>247</v>
      </c>
    </row>
    <row r="45" spans="2:6">
      <c r="B45" s="47" t="s">
        <v>266</v>
      </c>
      <c r="C45" s="188">
        <f>Normalized_FCF!C15</f>
        <v>0</v>
      </c>
      <c r="D45" s="1" t="str">
        <f>Reporting_currency</f>
        <v>USD</v>
      </c>
    </row>
    <row r="47" spans="2:6">
      <c r="B47" s="343" t="s">
        <v>242</v>
      </c>
      <c r="C47" s="343"/>
      <c r="D47" s="343"/>
      <c r="E47" s="343"/>
      <c r="F47" s="343"/>
    </row>
    <row r="48" spans="2:6">
      <c r="B48" s="47" t="s">
        <v>240</v>
      </c>
      <c r="C48" s="188">
        <f>Normalized_FCF!C14</f>
        <v>-532.74436101182232</v>
      </c>
      <c r="D48" s="1" t="str">
        <f>Reporting_currency</f>
        <v>USD</v>
      </c>
    </row>
    <row r="50" spans="1:6">
      <c r="B50" s="343" t="s">
        <v>346</v>
      </c>
      <c r="C50" s="344"/>
      <c r="D50" s="344"/>
      <c r="E50" s="344"/>
      <c r="F50" s="344"/>
    </row>
    <row r="51" spans="1:6">
      <c r="B51" s="47" t="s">
        <v>243</v>
      </c>
      <c r="C51" s="1">
        <f>Normalized_FCF!C17</f>
        <v>0</v>
      </c>
      <c r="D51" s="1" t="str">
        <f>Reporting_currency</f>
        <v>USD</v>
      </c>
    </row>
    <row r="53" spans="1:6" ht="24.4" customHeight="1">
      <c r="B53" s="342" t="s">
        <v>351</v>
      </c>
      <c r="C53" s="342"/>
      <c r="D53" s="342"/>
      <c r="E53" s="342"/>
      <c r="F53" s="342"/>
    </row>
    <row r="54" spans="1:6" ht="24.4" customHeight="1">
      <c r="B54" s="342" t="s">
        <v>369</v>
      </c>
      <c r="C54" s="342"/>
      <c r="D54" s="342"/>
      <c r="E54" s="342"/>
      <c r="F54" s="342"/>
    </row>
    <row r="56" spans="1:6">
      <c r="B56" s="47" t="s">
        <v>271</v>
      </c>
      <c r="C56" s="188">
        <f>Normalized_FCF!G19</f>
        <v>1080</v>
      </c>
      <c r="D56" s="1" t="str">
        <f>Reporting_currency</f>
        <v>USD</v>
      </c>
    </row>
    <row r="57" spans="1:6">
      <c r="B57" s="47" t="s">
        <v>249</v>
      </c>
      <c r="C57" s="188">
        <f>Normalized_FCF!C19</f>
        <v>1543.9196817753634</v>
      </c>
      <c r="D57" s="1" t="str">
        <f>Reporting_currency</f>
        <v>USD</v>
      </c>
    </row>
    <row r="58" spans="1:6">
      <c r="B58" s="254" t="s">
        <v>398</v>
      </c>
      <c r="C58" s="92">
        <f>Normalized_FCF!C125</f>
        <v>0.2098969404851839</v>
      </c>
    </row>
    <row r="59" spans="1:6">
      <c r="B59" s="254" t="s">
        <v>316</v>
      </c>
      <c r="C59" s="92">
        <f>Normalized_FCF!C93</f>
        <v>2.7329650092081034E-2</v>
      </c>
    </row>
    <row r="61" spans="1:6" ht="13.9">
      <c r="A61" s="247" t="s">
        <v>363</v>
      </c>
      <c r="B61" s="36"/>
      <c r="C61" s="36"/>
      <c r="D61" s="36"/>
      <c r="E61" s="36"/>
      <c r="F61" s="36"/>
    </row>
    <row r="62" spans="1:6">
      <c r="A62" s="233"/>
    </row>
    <row r="63" spans="1:6" ht="24.4" customHeight="1">
      <c r="A63" s="17"/>
      <c r="B63" s="342" t="s">
        <v>370</v>
      </c>
      <c r="C63" s="342"/>
      <c r="D63" s="342"/>
      <c r="E63" s="342"/>
      <c r="F63" s="342"/>
    </row>
    <row r="64" spans="1:6">
      <c r="B64" s="345" t="s">
        <v>253</v>
      </c>
      <c r="C64" s="345"/>
      <c r="D64" s="345"/>
      <c r="E64" s="345"/>
      <c r="F64" s="345"/>
    </row>
    <row r="66" spans="1:6">
      <c r="B66" s="234" t="s">
        <v>231</v>
      </c>
    </row>
    <row r="67" spans="1:6">
      <c r="B67" s="1" t="s">
        <v>288</v>
      </c>
      <c r="C67" s="311">
        <v>0.08</v>
      </c>
    </row>
    <row r="68" spans="1:6">
      <c r="B68" s="1" t="s">
        <v>290</v>
      </c>
      <c r="C68" s="263">
        <f>IF(D68="Y",1%,0)</f>
        <v>0</v>
      </c>
      <c r="D68" s="286" t="s">
        <v>424</v>
      </c>
    </row>
    <row r="69" spans="1:6">
      <c r="B69" s="1" t="s">
        <v>289</v>
      </c>
      <c r="C69" s="263">
        <f>IF(D69="Y",1%,0)</f>
        <v>0</v>
      </c>
      <c r="D69" s="286" t="s">
        <v>424</v>
      </c>
    </row>
    <row r="70" spans="1:6">
      <c r="B70" s="80" t="s">
        <v>248</v>
      </c>
      <c r="C70" s="263">
        <f>SUM(C67:C69)</f>
        <v>0.08</v>
      </c>
    </row>
    <row r="71" spans="1:6">
      <c r="C71" s="122"/>
    </row>
    <row r="72" spans="1:6">
      <c r="B72" s="332" t="s">
        <v>364</v>
      </c>
      <c r="C72" s="122"/>
    </row>
    <row r="73" spans="1:6" ht="24.4" customHeight="1">
      <c r="B73" s="342" t="s">
        <v>371</v>
      </c>
      <c r="C73" s="342"/>
      <c r="D73" s="342"/>
      <c r="E73" s="342"/>
      <c r="F73" s="342"/>
    </row>
    <row r="74" spans="1:6" ht="24.4" customHeight="1">
      <c r="B74" s="342" t="s">
        <v>372</v>
      </c>
      <c r="C74" s="342"/>
      <c r="D74" s="342"/>
      <c r="E74" s="342"/>
      <c r="F74" s="342"/>
    </row>
    <row r="76" spans="1:6">
      <c r="B76" s="47" t="s">
        <v>252</v>
      </c>
      <c r="C76" s="263">
        <v>0</v>
      </c>
    </row>
    <row r="77" spans="1:6">
      <c r="B77" s="47" t="s">
        <v>284</v>
      </c>
      <c r="C77" s="248">
        <f>Valuation_Model!C6*scaling_factor*Exchange_Rate/Common_Shares</f>
        <v>56.987019341727418</v>
      </c>
      <c r="D77" s="1" t="str">
        <f>Market_currency</f>
        <v>USD</v>
      </c>
    </row>
    <row r="79" spans="1:6" ht="13.9">
      <c r="A79" s="247" t="s">
        <v>365</v>
      </c>
      <c r="B79" s="36"/>
      <c r="C79" s="36"/>
      <c r="D79" s="36"/>
      <c r="E79" s="36"/>
      <c r="F79" s="36"/>
    </row>
    <row r="80" spans="1:6">
      <c r="A80" s="233"/>
    </row>
    <row r="81" spans="2:6">
      <c r="B81" s="342" t="s">
        <v>373</v>
      </c>
      <c r="C81" s="342"/>
      <c r="D81" s="342"/>
      <c r="E81" s="342"/>
      <c r="F81" s="342"/>
    </row>
    <row r="82" spans="2:6">
      <c r="B82" s="1" t="s">
        <v>254</v>
      </c>
    </row>
    <row r="84" spans="2:6">
      <c r="B84" s="234" t="s">
        <v>231</v>
      </c>
    </row>
    <row r="85" spans="2:6" ht="24.4" customHeight="1">
      <c r="B85" s="342" t="s">
        <v>352</v>
      </c>
      <c r="C85" s="342"/>
      <c r="D85" s="342"/>
      <c r="E85" s="342"/>
      <c r="F85" s="342"/>
    </row>
    <row r="86" spans="2:6">
      <c r="B86" s="47" t="s">
        <v>256</v>
      </c>
      <c r="C86" s="188">
        <f>Valuation_Model!C7</f>
        <v>10547</v>
      </c>
      <c r="D86" s="1" t="str">
        <f>Reporting_currency</f>
        <v>USD</v>
      </c>
    </row>
    <row r="87" spans="2:6">
      <c r="B87" s="47" t="s">
        <v>285</v>
      </c>
      <c r="C87" s="248">
        <f>C86*scaling_factor*Exchange_Rate/Common_Shares</f>
        <v>31.143697439289426</v>
      </c>
      <c r="D87" s="1" t="str">
        <f>Market_currency</f>
        <v>USD</v>
      </c>
    </row>
    <row r="88" spans="2:6">
      <c r="B88" s="336" t="s">
        <v>412</v>
      </c>
      <c r="C88" s="337">
        <f>BS!G30/BS!G27</f>
        <v>1.4851905363915479</v>
      </c>
    </row>
    <row r="89" spans="2:6">
      <c r="B89" s="336" t="s">
        <v>413</v>
      </c>
      <c r="C89" s="337">
        <f>BS!G31/BS!G27</f>
        <v>0.95241105291674188</v>
      </c>
    </row>
    <row r="90" spans="2:6">
      <c r="B90" s="336" t="s">
        <v>415</v>
      </c>
      <c r="C90" s="338">
        <f>BS!C50</f>
        <v>4.0148803043206254</v>
      </c>
    </row>
    <row r="92" spans="2:6">
      <c r="B92" s="1" t="s">
        <v>255</v>
      </c>
    </row>
    <row r="93" spans="2:6">
      <c r="B93" s="47" t="s">
        <v>265</v>
      </c>
      <c r="C93" s="188">
        <f>BS!C66</f>
        <v>162</v>
      </c>
      <c r="D93" s="1" t="str">
        <f>Reporting_currency</f>
        <v>USD</v>
      </c>
    </row>
    <row r="94" spans="2:6">
      <c r="B94" s="47" t="s">
        <v>267</v>
      </c>
      <c r="C94" s="188">
        <f>Valuation_Model!C8</f>
        <v>-372.31656312939253</v>
      </c>
      <c r="D94" s="1" t="str">
        <f>Reporting_currency</f>
        <v>USD</v>
      </c>
    </row>
    <row r="95" spans="2:6">
      <c r="B95" s="47" t="s">
        <v>286</v>
      </c>
      <c r="C95" s="248">
        <f>C94*scaling_factor*Exchange_Rate/Common_Shares</f>
        <v>-1.0993945571003985</v>
      </c>
      <c r="D95" s="1" t="str">
        <f>Market_currency</f>
        <v>USD</v>
      </c>
    </row>
    <row r="97" spans="1:6">
      <c r="B97" s="1" t="s">
        <v>257</v>
      </c>
    </row>
    <row r="98" spans="1:6">
      <c r="B98" s="47" t="s">
        <v>258</v>
      </c>
      <c r="C98" s="188">
        <f>Valuation_Model!C9</f>
        <v>625.79999999999995</v>
      </c>
      <c r="D98" s="1" t="str">
        <f>Reporting_currency</f>
        <v>USD</v>
      </c>
    </row>
    <row r="99" spans="1:6">
      <c r="B99" s="47" t="s">
        <v>287</v>
      </c>
      <c r="C99" s="248">
        <f>C98*scaling_factor*Exchange_Rate/Common_Shares</f>
        <v>1.8478928470188039</v>
      </c>
      <c r="D99" s="1" t="str">
        <f>Market_currency</f>
        <v>USD</v>
      </c>
    </row>
    <row r="101" spans="1:6" ht="24.4" customHeight="1">
      <c r="B101" s="342" t="s">
        <v>374</v>
      </c>
      <c r="C101" s="342"/>
      <c r="D101" s="342"/>
      <c r="E101" s="342"/>
      <c r="F101" s="342"/>
    </row>
    <row r="103" spans="1:6">
      <c r="B103" s="47" t="s">
        <v>283</v>
      </c>
      <c r="C103" s="248">
        <f>Valuation_Model!C12</f>
        <v>26.591820192356398</v>
      </c>
      <c r="D103" s="1" t="str">
        <f>Market_currency</f>
        <v>USD</v>
      </c>
    </row>
    <row r="104" spans="1:6">
      <c r="B104" s="336" t="s">
        <v>414</v>
      </c>
      <c r="C104" s="248">
        <f>BS!D47</f>
        <v>-38.360607814419353</v>
      </c>
      <c r="D104" s="1" t="str">
        <f>Market_currency</f>
        <v>USD</v>
      </c>
    </row>
    <row r="106" spans="1:6" ht="13.9">
      <c r="A106" s="247" t="s">
        <v>366</v>
      </c>
      <c r="B106" s="36"/>
      <c r="C106" s="36"/>
      <c r="D106" s="36"/>
      <c r="E106" s="36"/>
      <c r="F106" s="36"/>
    </row>
    <row r="108" spans="1:6" ht="24.4" customHeight="1">
      <c r="B108" s="343" t="s">
        <v>375</v>
      </c>
      <c r="C108" s="343"/>
      <c r="D108" s="343"/>
      <c r="E108" s="343"/>
      <c r="F108" s="343"/>
    </row>
    <row r="110" spans="1:6" ht="12.4">
      <c r="B110" s="260" t="s">
        <v>118</v>
      </c>
      <c r="C110" s="260" t="s">
        <v>133</v>
      </c>
      <c r="D110" s="260" t="s">
        <v>113</v>
      </c>
      <c r="E110" s="260" t="s">
        <v>260</v>
      </c>
      <c r="F110" s="260" t="s">
        <v>148</v>
      </c>
    </row>
    <row r="111" spans="1:6">
      <c r="B111" s="255" t="str">
        <f>Valuation_Model!B74</f>
        <v>Snowball Scenario</v>
      </c>
      <c r="C111" s="256">
        <f>Valuation_Model!C74</f>
        <v>5.5E-2</v>
      </c>
      <c r="D111" s="257">
        <f>Valuation_Model!D74</f>
        <v>15</v>
      </c>
      <c r="E111" s="258" t="str">
        <f>ROUND(Valuation_Model!E74,2)&amp;" "&amp;Market_currency</f>
        <v>45.55 USD</v>
      </c>
      <c r="F111" s="259">
        <f>Valuation_Model!F74</f>
        <v>0.05</v>
      </c>
    </row>
    <row r="112" spans="1:6">
      <c r="B112" s="242" t="str">
        <f>Valuation_Model!B75</f>
        <v>Optimistic</v>
      </c>
      <c r="C112" s="243">
        <f>Valuation_Model!C75</f>
        <v>3.5000000000000003E-2</v>
      </c>
      <c r="D112" s="244">
        <f>Valuation_Model!D75</f>
        <v>10</v>
      </c>
      <c r="E112" s="245" t="str">
        <f>ROUND(Valuation_Model!E75,2)&amp;" "&amp;Market_currency</f>
        <v>33.27 USD</v>
      </c>
      <c r="F112" s="246">
        <f>Valuation_Model!F75</f>
        <v>0.22499999999999998</v>
      </c>
    </row>
    <row r="113" spans="1:6">
      <c r="B113" s="242" t="str">
        <f>Valuation_Model!B76</f>
        <v>Base</v>
      </c>
      <c r="C113" s="243">
        <f>Valuation_Model!C76</f>
        <v>1.4999999999999999E-2</v>
      </c>
      <c r="D113" s="244">
        <f>Valuation_Model!D76</f>
        <v>10</v>
      </c>
      <c r="E113" s="245" t="str">
        <f>ROUND(Valuation_Model!E76,2)&amp;" "&amp;Market_currency</f>
        <v>29.32 USD</v>
      </c>
      <c r="F113" s="246">
        <f>Valuation_Model!F76</f>
        <v>0.44999999999999996</v>
      </c>
    </row>
    <row r="114" spans="1:6">
      <c r="B114" s="242" t="str">
        <f>Valuation_Model!B77</f>
        <v>Pessimistic</v>
      </c>
      <c r="C114" s="243">
        <f>Valuation_Model!C77</f>
        <v>-0.01</v>
      </c>
      <c r="D114" s="244">
        <f>Valuation_Model!D77</f>
        <v>10</v>
      </c>
      <c r="E114" s="245" t="str">
        <f>ROUND(Valuation_Model!E77,2)&amp;" "&amp;Market_currency</f>
        <v>24.88 USD</v>
      </c>
      <c r="F114" s="246">
        <f>Valuation_Model!F77</f>
        <v>0.22499999999999998</v>
      </c>
    </row>
    <row r="115" spans="1:6">
      <c r="B115" s="242" t="str">
        <f>Valuation_Model!B78</f>
        <v>Devil's advocate</v>
      </c>
      <c r="C115" s="243">
        <f>Valuation_Model!C78</f>
        <v>-0.05</v>
      </c>
      <c r="D115" s="244">
        <f>Valuation_Model!D78</f>
        <v>15</v>
      </c>
      <c r="E115" s="245" t="str">
        <f>ROUND(Valuation_Model!E78,2)&amp;" "&amp;Market_currency</f>
        <v>15.12 USD</v>
      </c>
      <c r="F115" s="246">
        <f>Valuation_Model!F78</f>
        <v>0.05</v>
      </c>
    </row>
    <row r="117" spans="1:6">
      <c r="B117" s="235" t="s">
        <v>259</v>
      </c>
      <c r="C117" s="241">
        <f>Scenarios!C60</f>
        <v>29.309951346473134</v>
      </c>
      <c r="D117" s="236" t="str">
        <f>Market_currency</f>
        <v>USD</v>
      </c>
    </row>
    <row r="119" spans="1:6" ht="24.4" customHeight="1">
      <c r="B119" s="346" t="s">
        <v>378</v>
      </c>
      <c r="C119" s="346"/>
      <c r="D119" s="346"/>
      <c r="E119" s="346"/>
      <c r="F119" s="346"/>
    </row>
    <row r="121" spans="1:6" ht="13.9">
      <c r="A121" s="247" t="s">
        <v>410</v>
      </c>
      <c r="B121" s="36"/>
      <c r="C121" s="36"/>
      <c r="D121" s="36"/>
      <c r="E121" s="36"/>
      <c r="F121" s="36"/>
    </row>
    <row r="123" spans="1:6">
      <c r="B123" s="347" t="s">
        <v>376</v>
      </c>
      <c r="C123" s="347"/>
      <c r="D123" s="347"/>
      <c r="E123" s="347"/>
      <c r="F123" s="347"/>
    </row>
    <row r="124" spans="1:6" ht="24.4" customHeight="1">
      <c r="B124" s="342" t="s">
        <v>377</v>
      </c>
      <c r="C124" s="342"/>
      <c r="D124" s="342"/>
      <c r="E124" s="342"/>
      <c r="F124" s="342"/>
    </row>
    <row r="125" spans="1:6">
      <c r="B125" s="234" t="s">
        <v>231</v>
      </c>
    </row>
    <row r="126" spans="1:6">
      <c r="B126" s="1" t="s">
        <v>264</v>
      </c>
      <c r="C126" s="251">
        <f>E20</f>
        <v>3</v>
      </c>
    </row>
    <row r="127" spans="1:6">
      <c r="B127" s="1" t="s">
        <v>278</v>
      </c>
      <c r="C127" s="250">
        <f>C19</f>
        <v>0.3</v>
      </c>
    </row>
    <row r="128" spans="1:6">
      <c r="B128" s="236" t="s">
        <v>262</v>
      </c>
      <c r="C128" s="237">
        <f>Scenarios!C77</f>
        <v>0.59360000000000002</v>
      </c>
      <c r="D128" s="236" t="str">
        <f>Market_currency</f>
        <v>USD</v>
      </c>
    </row>
    <row r="130" spans="2:4">
      <c r="B130" s="234" t="s">
        <v>418</v>
      </c>
      <c r="C130" s="337">
        <f>C19</f>
        <v>0.3</v>
      </c>
      <c r="D130" s="1" t="s">
        <v>416</v>
      </c>
    </row>
    <row r="131" spans="2:4">
      <c r="B131" s="236" t="str">
        <f>"PV("&amp;C126&amp;" yrs of Dividends)"</f>
        <v>PV(3 yrs of Dividends)</v>
      </c>
      <c r="C131" s="240">
        <f>Scenarios!C81</f>
        <v>1.0780446062812929</v>
      </c>
    </row>
    <row r="132" spans="2:4">
      <c r="B132" s="236" t="str">
        <f>"+ PV(Equity Value realized at year "&amp;C126&amp;")"</f>
        <v>+ PV(Equity Value realized at year 3)</v>
      </c>
      <c r="C132" s="240">
        <f>Scenarios!C82</f>
        <v>13.34089729015618</v>
      </c>
    </row>
    <row r="133" spans="2:4">
      <c r="B133" s="80" t="s">
        <v>261</v>
      </c>
      <c r="C133" s="239">
        <f>Scenarios!C83</f>
        <v>14.418941896437474</v>
      </c>
      <c r="D133" s="47" t="str">
        <f>Reporting_currency</f>
        <v>USD</v>
      </c>
    </row>
    <row r="134" spans="2:4">
      <c r="B134" s="238" t="s">
        <v>263</v>
      </c>
      <c r="C134" s="92">
        <f>Scenarios!F83</f>
        <v>0.5080530251998352</v>
      </c>
    </row>
    <row r="136" spans="2:4">
      <c r="B136" s="234" t="s">
        <v>421</v>
      </c>
      <c r="C136" s="337">
        <f>Scenarios!C90</f>
        <v>0.2</v>
      </c>
      <c r="D136" s="1" t="s">
        <v>420</v>
      </c>
    </row>
    <row r="137" spans="2:4">
      <c r="B137" s="236" t="str">
        <f>"PV("&amp;C126&amp;" yrs of Dividends)"</f>
        <v>PV(3 yrs of Dividends)</v>
      </c>
      <c r="C137" s="240">
        <f>Scenarios!C91</f>
        <v>1.2504074074074074</v>
      </c>
    </row>
    <row r="138" spans="2:4">
      <c r="B138" s="236" t="str">
        <f>"+ PV(Equity Value realized at year "&amp;C126&amp;")"</f>
        <v>+ PV(Equity Value realized at year 3)</v>
      </c>
      <c r="C138" s="240">
        <f>Scenarios!C92</f>
        <v>16.961777399579361</v>
      </c>
    </row>
    <row r="139" spans="2:4">
      <c r="B139" s="80" t="s">
        <v>261</v>
      </c>
      <c r="C139" s="239">
        <f>Scenarios!C93</f>
        <v>18.21218480698677</v>
      </c>
      <c r="D139" s="47" t="str">
        <f>Reporting_currency</f>
        <v>USD</v>
      </c>
    </row>
    <row r="140" spans="2:4">
      <c r="B140" s="238" t="s">
        <v>263</v>
      </c>
      <c r="C140" s="92">
        <f>Scenarios!F93</f>
        <v>0.37863476497451642</v>
      </c>
    </row>
    <row r="142" spans="2:4">
      <c r="B142" s="234" t="s">
        <v>408</v>
      </c>
      <c r="C142" s="92">
        <f>Scenarios!C96</f>
        <v>0.08</v>
      </c>
      <c r="D142" s="1" t="s">
        <v>419</v>
      </c>
    </row>
    <row r="143" spans="2:4">
      <c r="B143" s="236" t="str">
        <f>"PV("&amp;C126&amp;" yrs of Dividends)"</f>
        <v>PV(3 yrs of Dividends)</v>
      </c>
      <c r="C143" s="240">
        <f>Scenarios!C97</f>
        <v>1.5297647716303417</v>
      </c>
    </row>
    <row r="144" spans="2:4">
      <c r="B144" s="236" t="str">
        <f>"+ PV(Equity Value realized at year "&amp;C126&amp;")"</f>
        <v>+ PV(Equity Value realized at year 3)</v>
      </c>
      <c r="C144" s="240">
        <f>Scenarios!C98</f>
        <v>23.267184361562904</v>
      </c>
    </row>
    <row r="145" spans="1:6">
      <c r="B145" s="80" t="s">
        <v>409</v>
      </c>
      <c r="C145" s="239">
        <f>Scenarios!C99</f>
        <v>24.796949133193245</v>
      </c>
      <c r="D145" s="101" t="str">
        <f>Reporting_currency</f>
        <v>USD</v>
      </c>
    </row>
    <row r="146" spans="1:6">
      <c r="B146" s="238" t="s">
        <v>263</v>
      </c>
      <c r="C146" s="92">
        <f>Scenarios!F99</f>
        <v>0.15397508374994073</v>
      </c>
    </row>
    <row r="148" spans="1:6" ht="13.9">
      <c r="A148" s="247" t="s">
        <v>382</v>
      </c>
      <c r="B148" s="36"/>
      <c r="C148" s="36"/>
      <c r="D148" s="36"/>
      <c r="E148" s="36"/>
      <c r="F148" s="36"/>
    </row>
    <row r="150" spans="1:6">
      <c r="B150" s="341" t="s">
        <v>384</v>
      </c>
      <c r="C150" s="342"/>
      <c r="D150" s="342"/>
      <c r="E150" s="342"/>
      <c r="F150" s="342"/>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3" t="s">
        <v>389</v>
      </c>
      <c r="C159" s="343"/>
      <c r="D159" s="343"/>
      <c r="E159" s="343"/>
      <c r="F159" s="343"/>
    </row>
    <row r="161" spans="2:6">
      <c r="B161" s="1" t="s">
        <v>393</v>
      </c>
    </row>
    <row r="162" spans="2:6" ht="24.4" customHeight="1">
      <c r="B162" s="340" t="s">
        <v>390</v>
      </c>
      <c r="C162" s="340"/>
      <c r="D162" s="340"/>
      <c r="E162" s="340"/>
      <c r="F162" s="340"/>
    </row>
    <row r="163" spans="2:6" ht="24.4" customHeight="1">
      <c r="B163" s="340" t="s">
        <v>391</v>
      </c>
      <c r="C163" s="340"/>
      <c r="D163" s="340"/>
      <c r="E163" s="340"/>
      <c r="F163" s="340"/>
    </row>
    <row r="165" spans="2:6">
      <c r="B165" s="1" t="s">
        <v>397</v>
      </c>
    </row>
    <row r="166" spans="2:6">
      <c r="B166" s="238" t="s">
        <v>394</v>
      </c>
    </row>
    <row r="167" spans="2:6">
      <c r="B167" s="238" t="s">
        <v>395</v>
      </c>
    </row>
    <row r="168" spans="2:6">
      <c r="B168" s="238" t="s">
        <v>396</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62:F162"/>
    <mergeCell ref="B163:F163"/>
    <mergeCell ref="B150:F150"/>
    <mergeCell ref="B159:F159"/>
    <mergeCell ref="B153:F15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8699</v>
      </c>
      <c r="D4" s="181">
        <v>8953</v>
      </c>
      <c r="E4" s="181">
        <v>9003</v>
      </c>
      <c r="F4" s="181">
        <v>8696</v>
      </c>
      <c r="G4" s="181">
        <v>8040</v>
      </c>
      <c r="H4" s="181">
        <v>7794</v>
      </c>
      <c r="I4" s="181">
        <v>5770.692</v>
      </c>
      <c r="J4" s="181">
        <v>5425.1289999999999</v>
      </c>
      <c r="K4" s="181">
        <v>5017.22</v>
      </c>
      <c r="L4" s="181">
        <v>4570.058</v>
      </c>
      <c r="M4" s="181"/>
    </row>
    <row r="5" spans="2:13">
      <c r="B5" s="40" t="s">
        <v>43</v>
      </c>
      <c r="C5" s="181">
        <v>4129</v>
      </c>
      <c r="D5" s="181">
        <v>4209</v>
      </c>
      <c r="E5" s="181">
        <v>4130</v>
      </c>
      <c r="F5" s="181">
        <v>3968</v>
      </c>
      <c r="G5" s="181">
        <v>3579</v>
      </c>
      <c r="H5" s="181">
        <v>3427</v>
      </c>
      <c r="I5" s="181">
        <v>2308.6060000000002</v>
      </c>
      <c r="J5" s="181">
        <v>2101.982</v>
      </c>
      <c r="K5" s="181">
        <v>1993.327</v>
      </c>
      <c r="L5" s="181">
        <v>1843.164</v>
      </c>
      <c r="M5" s="181"/>
    </row>
    <row r="6" spans="2:13">
      <c r="B6" s="40" t="s">
        <v>54</v>
      </c>
      <c r="C6" s="181">
        <f>296+497+578+C7</f>
        <v>2634</v>
      </c>
      <c r="D6" s="181">
        <f>322+608+624+D7</f>
        <v>2844</v>
      </c>
      <c r="E6" s="181"/>
      <c r="F6" s="181"/>
      <c r="G6" s="181"/>
      <c r="H6" s="181"/>
      <c r="I6" s="181"/>
      <c r="J6" s="181"/>
      <c r="K6" s="181"/>
      <c r="L6" s="181"/>
      <c r="M6" s="181"/>
    </row>
    <row r="7" spans="2:13">
      <c r="B7" s="69" t="s">
        <v>61</v>
      </c>
      <c r="C7" s="189">
        <f>369+894</f>
        <v>1263</v>
      </c>
      <c r="D7" s="189">
        <f>359+931</f>
        <v>1290</v>
      </c>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496</v>
      </c>
      <c r="D12" s="181">
        <v>423</v>
      </c>
      <c r="E12" s="181">
        <v>422</v>
      </c>
      <c r="F12" s="181">
        <v>415</v>
      </c>
      <c r="G12" s="181">
        <v>394</v>
      </c>
      <c r="H12" s="181">
        <v>390</v>
      </c>
      <c r="I12" s="181">
        <v>350.07299999999998</v>
      </c>
      <c r="J12" s="181">
        <v>345.82</v>
      </c>
      <c r="K12" s="181">
        <v>331.22500000000002</v>
      </c>
      <c r="L12" s="181">
        <v>299.10300000000001</v>
      </c>
      <c r="M12" s="181"/>
    </row>
    <row r="13" spans="2:13">
      <c r="B13" s="40" t="s">
        <v>67</v>
      </c>
      <c r="C13" s="181"/>
      <c r="D13" s="181"/>
      <c r="E13" s="181"/>
      <c r="F13" s="181"/>
      <c r="G13" s="181"/>
      <c r="H13" s="181"/>
      <c r="I13" s="181"/>
      <c r="J13" s="181"/>
      <c r="K13" s="181"/>
      <c r="L13" s="181"/>
      <c r="M13" s="181"/>
    </row>
    <row r="14" spans="2:13">
      <c r="B14" s="40" t="s">
        <v>50</v>
      </c>
      <c r="C14" s="181">
        <v>210</v>
      </c>
      <c r="D14" s="181">
        <v>260</v>
      </c>
      <c r="E14" s="181">
        <v>392</v>
      </c>
      <c r="F14" s="181">
        <v>212</v>
      </c>
      <c r="G14" s="181">
        <v>299</v>
      </c>
      <c r="H14" s="181">
        <v>283</v>
      </c>
      <c r="I14" s="181">
        <v>244.68100000000001</v>
      </c>
      <c r="J14" s="181">
        <v>616.30100000000004</v>
      </c>
      <c r="K14" s="181">
        <v>345.72699999999998</v>
      </c>
      <c r="L14" s="181">
        <v>382.24</v>
      </c>
      <c r="M14" s="181"/>
    </row>
    <row r="15" spans="2:13">
      <c r="B15" s="43" t="s">
        <v>42</v>
      </c>
      <c r="C15" s="182">
        <v>-2075</v>
      </c>
      <c r="D15" s="182">
        <v>1258</v>
      </c>
      <c r="E15" s="182">
        <v>1213</v>
      </c>
      <c r="F15" s="182">
        <v>1314</v>
      </c>
      <c r="G15" s="182">
        <v>131</v>
      </c>
      <c r="H15" s="182">
        <v>914</v>
      </c>
      <c r="I15" s="182">
        <v>1175.893</v>
      </c>
      <c r="J15" s="182">
        <v>647.90800000000002</v>
      </c>
      <c r="K15" s="182">
        <v>745.93299999999999</v>
      </c>
      <c r="L15" s="182">
        <v>509.72399999999999</v>
      </c>
      <c r="M15" s="182"/>
    </row>
    <row r="16" spans="2:13">
      <c r="B16" s="28" t="s">
        <v>44</v>
      </c>
      <c r="C16" s="181">
        <v>-410</v>
      </c>
      <c r="D16" s="181">
        <v>202</v>
      </c>
      <c r="E16" s="181"/>
      <c r="F16" s="181"/>
      <c r="G16" s="181"/>
      <c r="H16" s="181"/>
      <c r="I16" s="181"/>
      <c r="J16" s="181"/>
      <c r="K16" s="181"/>
      <c r="L16" s="181"/>
      <c r="M16" s="181"/>
    </row>
    <row r="18" spans="2:13">
      <c r="B18" s="16" t="s">
        <v>51</v>
      </c>
      <c r="C18" s="9"/>
    </row>
    <row r="19" spans="2:13">
      <c r="B19" s="27" t="s">
        <v>47</v>
      </c>
      <c r="C19" s="181">
        <v>578</v>
      </c>
      <c r="D19" s="181">
        <v>624</v>
      </c>
      <c r="E19" s="181"/>
      <c r="F19" s="181"/>
      <c r="G19" s="181"/>
      <c r="H19" s="181"/>
      <c r="I19" s="181"/>
      <c r="J19" s="181"/>
      <c r="K19" s="181"/>
      <c r="L19" s="181"/>
      <c r="M19" s="181"/>
    </row>
    <row r="20" spans="2:13">
      <c r="B20" s="27" t="s">
        <v>53</v>
      </c>
      <c r="C20" s="181">
        <v>728</v>
      </c>
      <c r="D20" s="181">
        <v>728</v>
      </c>
      <c r="E20" s="181">
        <v>650</v>
      </c>
      <c r="F20" s="181">
        <v>426</v>
      </c>
      <c r="G20" s="181">
        <v>388</v>
      </c>
      <c r="H20" s="181"/>
      <c r="I20" s="181"/>
      <c r="J20" s="181"/>
      <c r="K20" s="181"/>
      <c r="L20" s="181"/>
      <c r="M20" s="181"/>
    </row>
    <row r="21" spans="2:13">
      <c r="B21" s="27" t="s">
        <v>52</v>
      </c>
      <c r="C21" s="181">
        <v>259</v>
      </c>
      <c r="D21" s="181">
        <v>259</v>
      </c>
      <c r="E21" s="181">
        <v>169</v>
      </c>
      <c r="F21" s="181">
        <v>340</v>
      </c>
      <c r="G21" s="181">
        <v>411</v>
      </c>
      <c r="H21" s="181"/>
      <c r="I21" s="181"/>
      <c r="J21" s="181"/>
      <c r="K21" s="181"/>
      <c r="L21" s="181"/>
      <c r="M21" s="181"/>
    </row>
    <row r="22" spans="2:13">
      <c r="B22" s="27" t="s">
        <v>379</v>
      </c>
      <c r="C22" s="181">
        <v>1741</v>
      </c>
      <c r="D22" s="181">
        <v>1850</v>
      </c>
      <c r="E22" s="181">
        <v>1976</v>
      </c>
      <c r="F22" s="181">
        <v>1998</v>
      </c>
      <c r="G22" s="181">
        <v>2018</v>
      </c>
      <c r="H22" s="181">
        <v>2017</v>
      </c>
      <c r="I22" s="181">
        <v>1880.4179999999999</v>
      </c>
      <c r="J22" s="181">
        <v>1855.5889999999999</v>
      </c>
      <c r="K22" s="181">
        <v>1719.2370000000001</v>
      </c>
      <c r="L22" s="181">
        <v>1244.0509999999999</v>
      </c>
      <c r="M22" s="181"/>
    </row>
    <row r="23" spans="2:13">
      <c r="B23" s="27" t="s">
        <v>381</v>
      </c>
      <c r="C23" s="181">
        <v>-970</v>
      </c>
      <c r="D23" s="181">
        <v>-686</v>
      </c>
      <c r="E23" s="181">
        <v>-548</v>
      </c>
      <c r="F23" s="181">
        <v>-200</v>
      </c>
      <c r="G23" s="181">
        <v>-741</v>
      </c>
      <c r="H23" s="181">
        <v>-3</v>
      </c>
      <c r="I23" s="181">
        <v>-379.27600000000001</v>
      </c>
      <c r="J23" s="181">
        <v>-1146.8119999999999</v>
      </c>
      <c r="K23" s="181">
        <v>-210.124</v>
      </c>
      <c r="L23" s="181">
        <v>-138.858</v>
      </c>
      <c r="M23" s="181"/>
    </row>
    <row r="24" spans="2:13">
      <c r="B24" s="27" t="s">
        <v>380</v>
      </c>
      <c r="C24" s="181">
        <v>-916</v>
      </c>
      <c r="D24" s="181">
        <v>-1005</v>
      </c>
      <c r="E24" s="181">
        <v>-1562</v>
      </c>
      <c r="F24" s="181">
        <v>-1682</v>
      </c>
      <c r="G24" s="181">
        <v>-1314</v>
      </c>
      <c r="H24" s="181">
        <v>-1959</v>
      </c>
      <c r="I24" s="181">
        <v>-1515.146</v>
      </c>
      <c r="J24" s="181">
        <v>-853.69399999999996</v>
      </c>
      <c r="K24" s="181">
        <v>-1407.0119999999999</v>
      </c>
      <c r="L24" s="181">
        <v>-1141.079</v>
      </c>
      <c r="M24" s="18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28</v>
      </c>
      <c r="C27" s="97" t="s">
        <v>429</v>
      </c>
    </row>
    <row r="28" spans="2:13">
      <c r="B28" s="26" t="s">
        <v>24</v>
      </c>
      <c r="C28" s="183">
        <f>BS!C4</f>
        <v>676</v>
      </c>
      <c r="D28" s="181">
        <v>709</v>
      </c>
      <c r="E28" s="181">
        <v>655</v>
      </c>
      <c r="F28" s="181">
        <v>722</v>
      </c>
      <c r="G28" s="181">
        <v>672</v>
      </c>
      <c r="H28" s="181">
        <v>670</v>
      </c>
      <c r="I28" s="181">
        <v>232.98599999999999</v>
      </c>
      <c r="J28" s="181">
        <v>241.727</v>
      </c>
      <c r="K28" s="181">
        <v>223.029</v>
      </c>
      <c r="L28" s="181">
        <v>234.78200000000001</v>
      </c>
      <c r="M28" s="181"/>
    </row>
    <row r="29" spans="2:13">
      <c r="B29" s="26" t="s">
        <v>32</v>
      </c>
      <c r="C29" s="183">
        <f>BS!C6</f>
        <v>0</v>
      </c>
      <c r="D29" s="181"/>
      <c r="E29" s="181"/>
      <c r="F29" s="181"/>
      <c r="G29" s="181"/>
      <c r="H29" s="181"/>
      <c r="I29" s="181"/>
      <c r="J29" s="181"/>
      <c r="K29" s="181"/>
      <c r="L29" s="181"/>
      <c r="M29" s="181"/>
    </row>
    <row r="30" spans="2:13">
      <c r="B30" s="29" t="s">
        <v>40</v>
      </c>
      <c r="C30" s="186">
        <f>BS!C33+BS!C42</f>
        <v>16447</v>
      </c>
      <c r="D30" s="182">
        <v>12939</v>
      </c>
      <c r="E30" s="182">
        <v>13373</v>
      </c>
      <c r="F30" s="182">
        <v>12899</v>
      </c>
      <c r="G30" s="182">
        <v>12618</v>
      </c>
      <c r="H30" s="182">
        <v>11885</v>
      </c>
      <c r="I30" s="182">
        <v>9989.6569999999992</v>
      </c>
      <c r="J30" s="182">
        <v>9853.2479999999996</v>
      </c>
      <c r="K30" s="182">
        <v>8795.61</v>
      </c>
      <c r="L30" s="182">
        <v>8213.1530000000002</v>
      </c>
      <c r="M30" s="182"/>
    </row>
    <row r="31" spans="2:13">
      <c r="B31" s="29" t="s">
        <v>30</v>
      </c>
      <c r="C31" s="186">
        <f>BS!G27</f>
        <v>11074</v>
      </c>
      <c r="D31" s="182">
        <v>-2565</v>
      </c>
      <c r="E31" s="182">
        <v>-3351</v>
      </c>
      <c r="F31" s="182">
        <v>-2625</v>
      </c>
      <c r="G31" s="182">
        <v>-2285</v>
      </c>
      <c r="H31" s="182">
        <v>-736</v>
      </c>
      <c r="I31" s="182">
        <v>-1816.921</v>
      </c>
      <c r="J31" s="182">
        <v>-1523.874</v>
      </c>
      <c r="K31" s="182">
        <v>-792.01499999999999</v>
      </c>
      <c r="L31" s="182">
        <v>-166.49100000000001</v>
      </c>
      <c r="M31" s="182"/>
    </row>
    <row r="32" spans="2:13">
      <c r="B32" s="26" t="s">
        <v>173</v>
      </c>
      <c r="C32" s="183">
        <f>BS!G28</f>
        <v>0</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8699</v>
      </c>
      <c r="D36" s="183">
        <f t="shared" si="1"/>
        <v>8953</v>
      </c>
      <c r="E36" s="183">
        <f t="shared" si="1"/>
        <v>9003</v>
      </c>
      <c r="F36" s="183">
        <f t="shared" si="1"/>
        <v>8696</v>
      </c>
      <c r="G36" s="183">
        <f t="shared" si="1"/>
        <v>8040</v>
      </c>
      <c r="H36" s="183">
        <f t="shared" si="1"/>
        <v>7794</v>
      </c>
      <c r="I36" s="183">
        <f t="shared" si="1"/>
        <v>5770.692</v>
      </c>
      <c r="J36" s="183">
        <f t="shared" si="1"/>
        <v>5425.1289999999999</v>
      </c>
      <c r="K36" s="183">
        <f t="shared" si="1"/>
        <v>5017.22</v>
      </c>
      <c r="L36" s="183">
        <f t="shared" si="1"/>
        <v>4570.058</v>
      </c>
      <c r="M36" s="183" t="str">
        <f t="shared" si="1"/>
        <v/>
      </c>
    </row>
    <row r="37" spans="2:13">
      <c r="B37" s="40" t="s">
        <v>43</v>
      </c>
      <c r="C37" s="183">
        <f t="shared" ref="C37:M37" si="2">IF(C$4="","",-C5)</f>
        <v>-4129</v>
      </c>
      <c r="D37" s="183">
        <f t="shared" si="2"/>
        <v>-4209</v>
      </c>
      <c r="E37" s="183">
        <f t="shared" si="2"/>
        <v>-4130</v>
      </c>
      <c r="F37" s="183">
        <f t="shared" si="2"/>
        <v>-3968</v>
      </c>
      <c r="G37" s="183">
        <f t="shared" si="2"/>
        <v>-3579</v>
      </c>
      <c r="H37" s="183">
        <f t="shared" si="2"/>
        <v>-3427</v>
      </c>
      <c r="I37" s="183">
        <f t="shared" si="2"/>
        <v>-2308.6060000000002</v>
      </c>
      <c r="J37" s="183">
        <f t="shared" si="2"/>
        <v>-2101.982</v>
      </c>
      <c r="K37" s="183">
        <f t="shared" si="2"/>
        <v>-1993.327</v>
      </c>
      <c r="L37" s="183">
        <f t="shared" si="2"/>
        <v>-1843.164</v>
      </c>
      <c r="M37" s="183" t="str">
        <f t="shared" si="2"/>
        <v/>
      </c>
    </row>
    <row r="38" spans="2:13">
      <c r="B38" s="31" t="s">
        <v>58</v>
      </c>
      <c r="C38" s="184">
        <f>IF(C36="","",C36+C37)</f>
        <v>4570</v>
      </c>
      <c r="D38" s="184">
        <f t="shared" ref="D38" si="3">IF(D36="","",D36+D37)</f>
        <v>4744</v>
      </c>
      <c r="E38" s="184">
        <f t="shared" ref="E38" si="4">IF(E36="","",E36+E37)</f>
        <v>4873</v>
      </c>
      <c r="F38" s="184">
        <f t="shared" ref="F38" si="5">IF(F36="","",F36+F37)</f>
        <v>4728</v>
      </c>
      <c r="G38" s="184">
        <f t="shared" ref="G38" si="6">IF(G36="","",G36+G37)</f>
        <v>4461</v>
      </c>
      <c r="H38" s="184">
        <f t="shared" ref="H38" si="7">IF(H36="","",H36+H37)</f>
        <v>4367</v>
      </c>
      <c r="I38" s="184">
        <f t="shared" ref="I38" si="8">IF(I36="","",I36+I37)</f>
        <v>3462.0859999999998</v>
      </c>
      <c r="J38" s="184">
        <f t="shared" ref="J38" si="9">IF(J36="","",J36+J37)</f>
        <v>3323.1469999999999</v>
      </c>
      <c r="K38" s="184">
        <f t="shared" ref="K38" si="10">IF(K36="","",K36+K37)</f>
        <v>3023.893</v>
      </c>
      <c r="L38" s="184">
        <f t="shared" ref="L38" si="11">IF(L36="","",L36+L37)</f>
        <v>2726.8940000000002</v>
      </c>
      <c r="M38" s="184" t="str">
        <f t="shared" ref="M38" si="12">IF(M36="","",M36+M37)</f>
        <v/>
      </c>
    </row>
    <row r="39" spans="2:13">
      <c r="B39" s="40" t="s">
        <v>54</v>
      </c>
      <c r="C39" s="183">
        <f t="shared" ref="C39:M39" si="13">IF(C$4="","",-C6)</f>
        <v>-2634</v>
      </c>
      <c r="D39" s="183">
        <f t="shared" si="13"/>
        <v>-2844</v>
      </c>
      <c r="E39" s="183">
        <f t="shared" si="13"/>
        <v>0</v>
      </c>
      <c r="F39" s="183">
        <f t="shared" si="13"/>
        <v>0</v>
      </c>
      <c r="G39" s="183">
        <f t="shared" si="13"/>
        <v>0</v>
      </c>
      <c r="H39" s="183">
        <f t="shared" si="13"/>
        <v>0</v>
      </c>
      <c r="I39" s="183">
        <f t="shared" si="13"/>
        <v>0</v>
      </c>
      <c r="J39" s="183">
        <f t="shared" si="13"/>
        <v>0</v>
      </c>
      <c r="K39" s="183">
        <f t="shared" si="13"/>
        <v>0</v>
      </c>
      <c r="L39" s="183">
        <f t="shared" si="13"/>
        <v>0</v>
      </c>
      <c r="M39" s="183" t="str">
        <f t="shared" si="13"/>
        <v/>
      </c>
    </row>
    <row r="40" spans="2:13">
      <c r="B40" s="69" t="s">
        <v>61</v>
      </c>
      <c r="C40" s="185">
        <f t="shared" ref="C40:M40" si="14">IF(C$4="","",-C7)</f>
        <v>-1263</v>
      </c>
      <c r="D40" s="185">
        <f t="shared" si="14"/>
        <v>-1290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c r="B41" s="69" t="s">
        <v>64</v>
      </c>
      <c r="C41" s="185">
        <f>IF(C$4="","",C39-C40)</f>
        <v>-1371</v>
      </c>
      <c r="D41" s="185">
        <f t="shared" ref="D41:M41" si="15">IF(D$4="","",D39-D40)</f>
        <v>-1554</v>
      </c>
      <c r="E41" s="185">
        <f t="shared" si="15"/>
        <v>0</v>
      </c>
      <c r="F41" s="185">
        <f t="shared" si="15"/>
        <v>0</v>
      </c>
      <c r="G41" s="185">
        <f t="shared" si="15"/>
        <v>0</v>
      </c>
      <c r="H41" s="185">
        <f t="shared" si="15"/>
        <v>0</v>
      </c>
      <c r="I41" s="185">
        <f t="shared" si="15"/>
        <v>0</v>
      </c>
      <c r="J41" s="185">
        <f t="shared" si="15"/>
        <v>0</v>
      </c>
      <c r="K41" s="185">
        <f t="shared" si="15"/>
        <v>0</v>
      </c>
      <c r="L41" s="185">
        <f t="shared" si="15"/>
        <v>0</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1936</v>
      </c>
      <c r="D43" s="186">
        <f t="shared" ref="D43:M43" si="17">IF(D$4="","",D38+D39+D42)</f>
        <v>1900</v>
      </c>
      <c r="E43" s="186">
        <f t="shared" si="17"/>
        <v>4873</v>
      </c>
      <c r="F43" s="186">
        <f t="shared" si="17"/>
        <v>4728</v>
      </c>
      <c r="G43" s="186">
        <f t="shared" si="17"/>
        <v>4461</v>
      </c>
      <c r="H43" s="186">
        <f t="shared" si="17"/>
        <v>4367</v>
      </c>
      <c r="I43" s="186">
        <f t="shared" si="17"/>
        <v>3462.0859999999998</v>
      </c>
      <c r="J43" s="186">
        <f t="shared" si="17"/>
        <v>3323.1469999999999</v>
      </c>
      <c r="K43" s="186">
        <f t="shared" si="17"/>
        <v>3023.893</v>
      </c>
      <c r="L43" s="186">
        <f t="shared" si="17"/>
        <v>2726.8940000000002</v>
      </c>
      <c r="M43" s="186" t="str">
        <f t="shared" si="17"/>
        <v/>
      </c>
    </row>
    <row r="44" spans="2:13">
      <c r="B44" s="43" t="s">
        <v>169</v>
      </c>
      <c r="C44" s="187">
        <f t="shared" ref="C44:M44" si="18">IF(C$4="","",C47-C46-C45-C43)</f>
        <v>-3305</v>
      </c>
      <c r="D44" s="187">
        <f t="shared" si="18"/>
        <v>41</v>
      </c>
      <c r="E44" s="187">
        <f t="shared" si="18"/>
        <v>-2846</v>
      </c>
      <c r="F44" s="187">
        <f t="shared" si="18"/>
        <v>-2787</v>
      </c>
      <c r="G44" s="187">
        <f t="shared" si="18"/>
        <v>-3637</v>
      </c>
      <c r="H44" s="187">
        <f t="shared" si="18"/>
        <v>-2780</v>
      </c>
      <c r="I44" s="187">
        <f t="shared" si="18"/>
        <v>-1691.4389999999999</v>
      </c>
      <c r="J44" s="187">
        <f t="shared" si="18"/>
        <v>-1713.1179999999999</v>
      </c>
      <c r="K44" s="187">
        <f t="shared" si="18"/>
        <v>-1601.0080000000003</v>
      </c>
      <c r="L44" s="187">
        <f t="shared" si="18"/>
        <v>-1535.8270000000002</v>
      </c>
      <c r="M44" s="187" t="str">
        <f t="shared" si="18"/>
        <v/>
      </c>
    </row>
    <row r="45" spans="2:13">
      <c r="B45" s="40" t="s">
        <v>68</v>
      </c>
      <c r="C45" s="188">
        <f t="shared" ref="C45:M45" si="19">IF(C$4="","",C51+C52)</f>
        <v>-496</v>
      </c>
      <c r="D45" s="188">
        <f t="shared" si="19"/>
        <v>-423</v>
      </c>
      <c r="E45" s="188">
        <f t="shared" si="19"/>
        <v>-422</v>
      </c>
      <c r="F45" s="188">
        <f t="shared" si="19"/>
        <v>-415</v>
      </c>
      <c r="G45" s="188">
        <f t="shared" si="19"/>
        <v>-394</v>
      </c>
      <c r="H45" s="188">
        <f t="shared" si="19"/>
        <v>-390</v>
      </c>
      <c r="I45" s="188">
        <f t="shared" si="19"/>
        <v>-350.07299999999998</v>
      </c>
      <c r="J45" s="188">
        <f t="shared" si="19"/>
        <v>-345.82</v>
      </c>
      <c r="K45" s="188">
        <f t="shared" si="19"/>
        <v>-331.22500000000002</v>
      </c>
      <c r="L45" s="188">
        <f t="shared" si="19"/>
        <v>-299.10300000000001</v>
      </c>
      <c r="M45" s="188" t="str">
        <f t="shared" si="19"/>
        <v/>
      </c>
    </row>
    <row r="46" spans="2:13">
      <c r="B46" s="40" t="s">
        <v>50</v>
      </c>
      <c r="C46" s="183">
        <f t="shared" ref="C46:M46" si="20">IF(C$4="","",-C14)</f>
        <v>-210</v>
      </c>
      <c r="D46" s="183">
        <f t="shared" si="20"/>
        <v>-260</v>
      </c>
      <c r="E46" s="183">
        <f t="shared" si="20"/>
        <v>-392</v>
      </c>
      <c r="F46" s="183">
        <f t="shared" si="20"/>
        <v>-212</v>
      </c>
      <c r="G46" s="183">
        <f t="shared" si="20"/>
        <v>-299</v>
      </c>
      <c r="H46" s="183">
        <f t="shared" si="20"/>
        <v>-283</v>
      </c>
      <c r="I46" s="183">
        <f t="shared" si="20"/>
        <v>-244.68100000000001</v>
      </c>
      <c r="J46" s="183">
        <f t="shared" si="20"/>
        <v>-616.30100000000004</v>
      </c>
      <c r="K46" s="183">
        <f t="shared" si="20"/>
        <v>-345.72699999999998</v>
      </c>
      <c r="L46" s="183">
        <f t="shared" si="20"/>
        <v>-382.24</v>
      </c>
      <c r="M46" s="183" t="str">
        <f t="shared" si="20"/>
        <v/>
      </c>
    </row>
    <row r="47" spans="2:13">
      <c r="B47" s="43" t="s">
        <v>42</v>
      </c>
      <c r="C47" s="186">
        <f t="shared" ref="C47:M47" si="21">IF(C$4="","",C15)</f>
        <v>-2075</v>
      </c>
      <c r="D47" s="186">
        <f t="shared" si="21"/>
        <v>1258</v>
      </c>
      <c r="E47" s="186">
        <f t="shared" si="21"/>
        <v>1213</v>
      </c>
      <c r="F47" s="186">
        <f t="shared" si="21"/>
        <v>1314</v>
      </c>
      <c r="G47" s="186">
        <f t="shared" si="21"/>
        <v>131</v>
      </c>
      <c r="H47" s="186">
        <f t="shared" si="21"/>
        <v>914</v>
      </c>
      <c r="I47" s="186">
        <f t="shared" si="21"/>
        <v>1175.893</v>
      </c>
      <c r="J47" s="186">
        <f t="shared" si="21"/>
        <v>647.90800000000002</v>
      </c>
      <c r="K47" s="186">
        <f t="shared" si="21"/>
        <v>745.93299999999999</v>
      </c>
      <c r="L47" s="186">
        <f t="shared" si="21"/>
        <v>509.72399999999999</v>
      </c>
      <c r="M47" s="186" t="str">
        <f t="shared" si="21"/>
        <v/>
      </c>
    </row>
    <row r="48" spans="2:13">
      <c r="B48" s="28" t="s">
        <v>44</v>
      </c>
      <c r="C48" s="183">
        <f t="shared" ref="C48:M48" si="22">IF(C$4="","",MIN(-C16,0))</f>
        <v>0</v>
      </c>
      <c r="D48" s="183">
        <f t="shared" si="22"/>
        <v>-202</v>
      </c>
      <c r="E48" s="183">
        <f t="shared" si="22"/>
        <v>0</v>
      </c>
      <c r="F48" s="183">
        <f t="shared" si="22"/>
        <v>0</v>
      </c>
      <c r="G48" s="183">
        <f t="shared" si="22"/>
        <v>0</v>
      </c>
      <c r="H48" s="183">
        <f t="shared" si="22"/>
        <v>0</v>
      </c>
      <c r="I48" s="183">
        <f t="shared" si="22"/>
        <v>0</v>
      </c>
      <c r="J48" s="183">
        <f t="shared" si="22"/>
        <v>0</v>
      </c>
      <c r="K48" s="183">
        <f t="shared" si="22"/>
        <v>0</v>
      </c>
      <c r="L48" s="183">
        <f t="shared" si="22"/>
        <v>0</v>
      </c>
      <c r="M48" s="183" t="str">
        <f t="shared" si="22"/>
        <v/>
      </c>
    </row>
    <row r="50" spans="2:13">
      <c r="B50" s="16" t="s">
        <v>68</v>
      </c>
    </row>
    <row r="51" spans="2:13">
      <c r="B51" s="40" t="s">
        <v>39</v>
      </c>
      <c r="C51" s="183">
        <f t="shared" ref="C51:M51" si="23">IF(C$4="","",-C12)</f>
        <v>-496</v>
      </c>
      <c r="D51" s="183">
        <f t="shared" si="23"/>
        <v>-423</v>
      </c>
      <c r="E51" s="183">
        <f t="shared" si="23"/>
        <v>-422</v>
      </c>
      <c r="F51" s="183">
        <f t="shared" si="23"/>
        <v>-415</v>
      </c>
      <c r="G51" s="183">
        <f t="shared" si="23"/>
        <v>-394</v>
      </c>
      <c r="H51" s="183">
        <f t="shared" si="23"/>
        <v>-390</v>
      </c>
      <c r="I51" s="183">
        <f t="shared" si="23"/>
        <v>-350.07299999999998</v>
      </c>
      <c r="J51" s="183">
        <f t="shared" si="23"/>
        <v>-345.82</v>
      </c>
      <c r="K51" s="183">
        <f t="shared" si="23"/>
        <v>-331.22500000000002</v>
      </c>
      <c r="L51" s="183">
        <f t="shared" si="23"/>
        <v>-299.10300000000001</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-3305</v>
      </c>
      <c r="D58" s="188">
        <f t="shared" ref="D58:M58" si="28">IF(D$4="","",D44-D55-D56-D57)</f>
        <v>41</v>
      </c>
      <c r="E58" s="188">
        <f t="shared" si="28"/>
        <v>-2846</v>
      </c>
      <c r="F58" s="188">
        <f t="shared" si="28"/>
        <v>-2787</v>
      </c>
      <c r="G58" s="188">
        <f t="shared" si="28"/>
        <v>-3637</v>
      </c>
      <c r="H58" s="188">
        <f t="shared" si="28"/>
        <v>-2780</v>
      </c>
      <c r="I58" s="188">
        <f t="shared" si="28"/>
        <v>-1691.4389999999999</v>
      </c>
      <c r="J58" s="188">
        <f t="shared" si="28"/>
        <v>-1713.1179999999999</v>
      </c>
      <c r="K58" s="188">
        <f t="shared" si="28"/>
        <v>-1601.0080000000003</v>
      </c>
      <c r="L58" s="188">
        <f t="shared" si="28"/>
        <v>-1535.8270000000002</v>
      </c>
      <c r="M58" s="188" t="str">
        <f t="shared" si="28"/>
        <v/>
      </c>
    </row>
    <row r="60" spans="2:13">
      <c r="B60" s="16" t="s">
        <v>51</v>
      </c>
      <c r="C60" s="9"/>
    </row>
    <row r="61" spans="2:13">
      <c r="B61" s="27" t="s">
        <v>47</v>
      </c>
      <c r="C61" s="183">
        <f>IF(C$4="","",-C19)</f>
        <v>-578</v>
      </c>
      <c r="D61" s="183">
        <f t="shared" ref="D61:M61" si="29">IF(D$4="","",-D19)</f>
        <v>-624</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IF(C$4="","",-C20)</f>
        <v>-728</v>
      </c>
      <c r="D62" s="183">
        <f t="shared" ref="D62:M62" si="30">IF(D$4="","",-D20)</f>
        <v>-728</v>
      </c>
      <c r="E62" s="183">
        <f t="shared" si="30"/>
        <v>-650</v>
      </c>
      <c r="F62" s="183">
        <f t="shared" si="30"/>
        <v>-426</v>
      </c>
      <c r="G62" s="183">
        <f t="shared" si="30"/>
        <v>-388</v>
      </c>
      <c r="H62" s="183">
        <f t="shared" si="30"/>
        <v>0</v>
      </c>
      <c r="I62" s="183">
        <f t="shared" si="30"/>
        <v>0</v>
      </c>
      <c r="J62" s="183">
        <f t="shared" si="30"/>
        <v>0</v>
      </c>
      <c r="K62" s="183">
        <f t="shared" si="30"/>
        <v>0</v>
      </c>
      <c r="L62" s="183">
        <f t="shared" si="30"/>
        <v>0</v>
      </c>
      <c r="M62" s="183" t="str">
        <f t="shared" si="30"/>
        <v/>
      </c>
    </row>
    <row r="63" spans="2:13">
      <c r="B63" s="27" t="s">
        <v>52</v>
      </c>
      <c r="C63" s="183">
        <f>IF(C$4="","",-C21)</f>
        <v>-259</v>
      </c>
      <c r="D63" s="183">
        <f t="shared" ref="D63:M63" si="31">IF(D$4="","",-D21)</f>
        <v>-259</v>
      </c>
      <c r="E63" s="183">
        <f t="shared" si="31"/>
        <v>-169</v>
      </c>
      <c r="F63" s="183">
        <f t="shared" si="31"/>
        <v>-340</v>
      </c>
      <c r="G63" s="183">
        <f t="shared" si="31"/>
        <v>-411</v>
      </c>
      <c r="H63" s="183">
        <f t="shared" si="31"/>
        <v>0</v>
      </c>
      <c r="I63" s="183">
        <f t="shared" si="31"/>
        <v>0</v>
      </c>
      <c r="J63" s="183">
        <f t="shared" si="31"/>
        <v>0</v>
      </c>
      <c r="K63" s="183">
        <f t="shared" si="31"/>
        <v>0</v>
      </c>
      <c r="L63" s="183">
        <f t="shared" si="31"/>
        <v>0</v>
      </c>
      <c r="M63" s="183" t="str">
        <f t="shared" si="31"/>
        <v/>
      </c>
    </row>
    <row r="64" spans="2:13">
      <c r="B64" s="27" t="s">
        <v>401</v>
      </c>
      <c r="C64" s="183">
        <f>IF(C$4="","",C22+C23+C24)</f>
        <v>-145</v>
      </c>
      <c r="D64" s="183">
        <f t="shared" ref="D64:M64" si="32">IF(D$4="","",D22+D23+D24)</f>
        <v>159</v>
      </c>
      <c r="E64" s="183">
        <f t="shared" si="32"/>
        <v>-134</v>
      </c>
      <c r="F64" s="183">
        <f t="shared" si="32"/>
        <v>116</v>
      </c>
      <c r="G64" s="183">
        <f t="shared" si="32"/>
        <v>-37</v>
      </c>
      <c r="H64" s="183">
        <f t="shared" si="32"/>
        <v>55</v>
      </c>
      <c r="I64" s="183">
        <f t="shared" si="32"/>
        <v>-14.004000000000133</v>
      </c>
      <c r="J64" s="183">
        <f t="shared" si="32"/>
        <v>-144.91699999999992</v>
      </c>
      <c r="K64" s="183">
        <f t="shared" si="32"/>
        <v>102.10100000000011</v>
      </c>
      <c r="L64" s="183">
        <f t="shared" si="32"/>
        <v>-35.885999999999967</v>
      </c>
      <c r="M64" s="183" t="str">
        <f t="shared" si="32"/>
        <v/>
      </c>
    </row>
    <row r="65" spans="2:13">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169</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27521</v>
      </c>
      <c r="D76" s="188">
        <f t="shared" ref="D76:M76" si="39">IF(D$4="","",D79+D80)</f>
        <v>10374</v>
      </c>
      <c r="E76" s="188">
        <f t="shared" si="39"/>
        <v>10022</v>
      </c>
      <c r="F76" s="188">
        <f t="shared" si="39"/>
        <v>10274</v>
      </c>
      <c r="G76" s="188">
        <f t="shared" si="39"/>
        <v>10333</v>
      </c>
      <c r="H76" s="188">
        <f t="shared" si="39"/>
        <v>11149</v>
      </c>
      <c r="I76" s="188">
        <f t="shared" si="39"/>
        <v>8172.735999999999</v>
      </c>
      <c r="J76" s="188">
        <f t="shared" si="39"/>
        <v>8329.3739999999998</v>
      </c>
      <c r="K76" s="188">
        <f t="shared" si="39"/>
        <v>8003.5950000000003</v>
      </c>
      <c r="L76" s="188">
        <f t="shared" si="39"/>
        <v>8046.6620000000003</v>
      </c>
      <c r="M76" s="188" t="str">
        <f t="shared" si="39"/>
        <v/>
      </c>
    </row>
    <row r="77" spans="2:13">
      <c r="B77" s="93" t="s">
        <v>86</v>
      </c>
      <c r="C77" s="185">
        <f t="shared" ref="C77:H78" si="40">IF(C$4="","",C28)</f>
        <v>676</v>
      </c>
      <c r="D77" s="185">
        <f t="shared" si="40"/>
        <v>709</v>
      </c>
      <c r="E77" s="185">
        <f t="shared" si="40"/>
        <v>655</v>
      </c>
      <c r="F77" s="185">
        <f t="shared" si="40"/>
        <v>722</v>
      </c>
      <c r="G77" s="185">
        <f t="shared" si="40"/>
        <v>672</v>
      </c>
      <c r="H77" s="185">
        <f t="shared" si="40"/>
        <v>670</v>
      </c>
      <c r="I77" s="335"/>
      <c r="J77" s="335"/>
      <c r="K77" s="335"/>
      <c r="L77" s="335"/>
      <c r="M77" s="335"/>
    </row>
    <row r="78" spans="2:13">
      <c r="B78" s="93" t="s">
        <v>87</v>
      </c>
      <c r="C78" s="185">
        <f t="shared" si="40"/>
        <v>0</v>
      </c>
      <c r="D78" s="185">
        <f t="shared" si="40"/>
        <v>0</v>
      </c>
      <c r="E78" s="185">
        <f t="shared" si="40"/>
        <v>0</v>
      </c>
      <c r="F78" s="185">
        <f t="shared" si="40"/>
        <v>0</v>
      </c>
      <c r="G78" s="185">
        <f t="shared" si="40"/>
        <v>0</v>
      </c>
      <c r="H78" s="185">
        <f t="shared" si="40"/>
        <v>0</v>
      </c>
      <c r="I78" s="335"/>
      <c r="J78" s="335"/>
      <c r="K78" s="335"/>
      <c r="L78" s="335"/>
      <c r="M78" s="335"/>
    </row>
    <row r="79" spans="2:13">
      <c r="B79" s="26" t="s">
        <v>40</v>
      </c>
      <c r="C79" s="183">
        <f t="shared" ref="C79:M79" si="41">IF(C$4="","",C30)</f>
        <v>16447</v>
      </c>
      <c r="D79" s="183">
        <f t="shared" si="41"/>
        <v>12939</v>
      </c>
      <c r="E79" s="183">
        <f t="shared" si="41"/>
        <v>13373</v>
      </c>
      <c r="F79" s="183">
        <f t="shared" si="41"/>
        <v>12899</v>
      </c>
      <c r="G79" s="183">
        <f t="shared" si="41"/>
        <v>12618</v>
      </c>
      <c r="H79" s="183">
        <f t="shared" si="41"/>
        <v>11885</v>
      </c>
      <c r="I79" s="183">
        <f t="shared" si="41"/>
        <v>9989.6569999999992</v>
      </c>
      <c r="J79" s="183">
        <f t="shared" si="41"/>
        <v>9853.2479999999996</v>
      </c>
      <c r="K79" s="183">
        <f t="shared" si="41"/>
        <v>8795.61</v>
      </c>
      <c r="L79" s="183">
        <f t="shared" si="41"/>
        <v>8213.1530000000002</v>
      </c>
      <c r="M79" s="183" t="str">
        <f t="shared" si="41"/>
        <v/>
      </c>
    </row>
    <row r="80" spans="2:13">
      <c r="B80" s="26" t="s">
        <v>30</v>
      </c>
      <c r="C80" s="183">
        <f t="shared" ref="C80:M80" si="42">IF(C$4="","",C31)</f>
        <v>11074</v>
      </c>
      <c r="D80" s="183">
        <f t="shared" si="42"/>
        <v>-2565</v>
      </c>
      <c r="E80" s="183">
        <f t="shared" si="42"/>
        <v>-3351</v>
      </c>
      <c r="F80" s="183">
        <f t="shared" si="42"/>
        <v>-2625</v>
      </c>
      <c r="G80" s="183">
        <f t="shared" si="42"/>
        <v>-2285</v>
      </c>
      <c r="H80" s="183">
        <f t="shared" si="42"/>
        <v>-736</v>
      </c>
      <c r="I80" s="183">
        <f t="shared" si="42"/>
        <v>-1816.921</v>
      </c>
      <c r="J80" s="183">
        <f t="shared" si="42"/>
        <v>-1523.874</v>
      </c>
      <c r="K80" s="183">
        <f t="shared" si="42"/>
        <v>-792.01499999999999</v>
      </c>
      <c r="L80" s="183">
        <f t="shared" si="42"/>
        <v>-166.49100000000001</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676</v>
      </c>
      <c r="D4" s="294">
        <v>0.6</v>
      </c>
      <c r="E4" s="25"/>
      <c r="F4" s="4" t="s">
        <v>78</v>
      </c>
      <c r="G4" s="19">
        <v>162</v>
      </c>
      <c r="H4" s="294">
        <v>0.9</v>
      </c>
    </row>
    <row r="5" spans="2:8" ht="15" customHeight="1">
      <c r="B5" s="1" t="s">
        <v>33</v>
      </c>
      <c r="C5" s="19">
        <v>0</v>
      </c>
      <c r="D5" s="294">
        <v>0.6</v>
      </c>
      <c r="E5" s="25"/>
      <c r="F5" s="1" t="s">
        <v>29</v>
      </c>
      <c r="G5" s="19">
        <v>0</v>
      </c>
      <c r="H5" s="294">
        <v>0.7</v>
      </c>
    </row>
    <row r="6" spans="2:8" ht="15" customHeight="1">
      <c r="B6" s="4" t="s">
        <v>10</v>
      </c>
      <c r="C6" s="19">
        <v>0</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290</v>
      </c>
      <c r="D9" s="294">
        <v>0.1</v>
      </c>
      <c r="E9" s="25"/>
      <c r="F9" s="4" t="s">
        <v>181</v>
      </c>
      <c r="G9" s="19">
        <v>0</v>
      </c>
      <c r="H9" s="294">
        <v>0.6</v>
      </c>
    </row>
    <row r="10" spans="2:8" ht="15" customHeight="1">
      <c r="B10" s="4" t="s">
        <v>11</v>
      </c>
      <c r="C10" s="19">
        <v>0</v>
      </c>
      <c r="D10" s="294">
        <v>0.9</v>
      </c>
      <c r="H10" s="295"/>
    </row>
    <row r="11" spans="2:8" ht="15" customHeight="1">
      <c r="B11" s="4" t="s">
        <v>12</v>
      </c>
      <c r="C11" s="19">
        <v>21</v>
      </c>
      <c r="D11" s="294">
        <v>0.05</v>
      </c>
      <c r="H11" s="295"/>
    </row>
    <row r="12" spans="2:8" ht="15" customHeight="1">
      <c r="B12" s="80" t="s">
        <v>72</v>
      </c>
      <c r="C12" s="81">
        <f>SUM(C4:C11)</f>
        <v>987</v>
      </c>
      <c r="D12" s="20">
        <f>C4*D4+C5*D5+C9*D9+C6*D6+C8*D8+C7*D7+C10*D10+C11*D11</f>
        <v>435.65</v>
      </c>
      <c r="F12" s="80" t="s">
        <v>70</v>
      </c>
      <c r="G12" s="81">
        <f>SUM(G4:G9)</f>
        <v>162</v>
      </c>
      <c r="H12" s="20">
        <f>G4*H4+G5*H5+G6*H6+G7*H7+G8*H8+G9*H9</f>
        <v>145.80000000000001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1043</v>
      </c>
      <c r="H17" s="294">
        <v>0.6</v>
      </c>
    </row>
    <row r="18" spans="2:8" ht="15" customHeight="1">
      <c r="B18" s="4" t="s">
        <v>174</v>
      </c>
      <c r="C18" s="19">
        <v>0</v>
      </c>
      <c r="D18" s="294">
        <v>0.6</v>
      </c>
      <c r="F18" s="4" t="s">
        <v>182</v>
      </c>
      <c r="G18" s="19">
        <v>0</v>
      </c>
      <c r="H18" s="294">
        <v>0.1</v>
      </c>
    </row>
    <row r="19" spans="2:8" ht="15" customHeight="1">
      <c r="B19" s="4" t="s">
        <v>26</v>
      </c>
      <c r="C19" s="19">
        <v>2109</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f>8610+1579</f>
        <v>10189</v>
      </c>
      <c r="D21" s="294">
        <v>0.2</v>
      </c>
      <c r="F21" s="1" t="s">
        <v>181</v>
      </c>
      <c r="G21" s="19">
        <v>0</v>
      </c>
      <c r="H21" s="294">
        <v>0.1</v>
      </c>
    </row>
    <row r="22" spans="2:8" ht="15" customHeight="1">
      <c r="B22" s="4" t="s">
        <v>20</v>
      </c>
      <c r="C22" s="19">
        <v>0</v>
      </c>
      <c r="D22" s="294">
        <v>0.9</v>
      </c>
      <c r="H22" s="295"/>
    </row>
    <row r="23" spans="2:8" ht="15" customHeight="1">
      <c r="B23" s="4" t="s">
        <v>21</v>
      </c>
      <c r="C23" s="19">
        <f>12390+641</f>
        <v>13031</v>
      </c>
      <c r="D23" s="294">
        <v>0</v>
      </c>
      <c r="H23" s="295"/>
    </row>
    <row r="24" spans="2:8" ht="15" customHeight="1">
      <c r="B24" s="80" t="s">
        <v>74</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c r="B26" s="16" t="s">
        <v>201</v>
      </c>
      <c r="C26" s="203" t="s">
        <v>137</v>
      </c>
      <c r="F26" s="205" t="s">
        <v>197</v>
      </c>
      <c r="G26" s="206" t="s">
        <v>137</v>
      </c>
      <c r="H26" s="207" t="s">
        <v>35</v>
      </c>
    </row>
    <row r="27" spans="2:8" ht="15" customHeight="1">
      <c r="B27" s="4" t="s">
        <v>5</v>
      </c>
      <c r="C27" s="19">
        <v>172</v>
      </c>
      <c r="F27" s="208" t="s">
        <v>30</v>
      </c>
      <c r="G27" s="85">
        <f>G32-G30</f>
        <v>11074</v>
      </c>
      <c r="H27" s="209">
        <f>H32-G30</f>
        <v>-12991.05</v>
      </c>
    </row>
    <row r="28" spans="2:8" ht="15" customHeight="1">
      <c r="B28" s="4" t="s">
        <v>6</v>
      </c>
      <c r="C28" s="19">
        <v>0</v>
      </c>
      <c r="F28" s="210" t="s">
        <v>245</v>
      </c>
      <c r="G28" s="181">
        <v>0</v>
      </c>
      <c r="H28" s="209"/>
    </row>
    <row r="29" spans="2:8" ht="15" customHeight="1">
      <c r="B29" s="4" t="s">
        <v>7</v>
      </c>
      <c r="C29" s="19">
        <v>0</v>
      </c>
      <c r="F29" s="211" t="s">
        <v>76</v>
      </c>
      <c r="G29" s="14">
        <f>G27-G28</f>
        <v>11074</v>
      </c>
      <c r="H29" s="209">
        <f>H27-G28</f>
        <v>-12991.05</v>
      </c>
    </row>
    <row r="30" spans="2:8" ht="15" customHeight="1">
      <c r="B30" s="2" t="s">
        <v>8</v>
      </c>
      <c r="C30" s="19">
        <v>61</v>
      </c>
      <c r="F30" s="208" t="s">
        <v>23</v>
      </c>
      <c r="G30" s="85">
        <f>C33+C42</f>
        <v>16447</v>
      </c>
      <c r="H30" s="209"/>
    </row>
    <row r="31" spans="2:8" ht="15" customHeight="1">
      <c r="B31" s="80" t="s">
        <v>204</v>
      </c>
      <c r="C31" s="81">
        <f>SUM(C27:C30)</f>
        <v>233</v>
      </c>
      <c r="F31" s="211" t="s">
        <v>77</v>
      </c>
      <c r="G31" s="212">
        <f>C31+C40</f>
        <v>10547</v>
      </c>
      <c r="H31" s="209"/>
    </row>
    <row r="32" spans="2:8" ht="15" customHeight="1">
      <c r="B32" s="4" t="s">
        <v>9</v>
      </c>
      <c r="C32" s="21">
        <f>C33-C31</f>
        <v>2498</v>
      </c>
      <c r="F32" s="213" t="s">
        <v>75</v>
      </c>
      <c r="G32" s="214">
        <f>G35+G40</f>
        <v>27521</v>
      </c>
      <c r="H32" s="209">
        <f>H35+H40</f>
        <v>3455.9500000000003</v>
      </c>
    </row>
    <row r="33" spans="2:8" ht="15" customHeight="1">
      <c r="B33" s="83" t="s">
        <v>4</v>
      </c>
      <c r="C33" s="84">
        <v>2731</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26316</v>
      </c>
      <c r="H35" s="221">
        <f>D12+D24</f>
        <v>2684.3500000000004</v>
      </c>
    </row>
    <row r="36" spans="2:8" ht="15" customHeight="1">
      <c r="B36" s="4" t="s">
        <v>13</v>
      </c>
      <c r="C36" s="19">
        <v>0</v>
      </c>
      <c r="F36" s="211" t="s">
        <v>198</v>
      </c>
      <c r="G36" s="212">
        <f>C4+C15</f>
        <v>676</v>
      </c>
      <c r="H36" s="216"/>
    </row>
    <row r="37" spans="2:8" ht="15" customHeight="1">
      <c r="B37" s="4" t="s">
        <v>14</v>
      </c>
      <c r="C37" s="19">
        <v>0</v>
      </c>
      <c r="F37" s="211" t="s">
        <v>199</v>
      </c>
      <c r="G37" s="212">
        <f>C6</f>
        <v>0</v>
      </c>
      <c r="H37" s="216"/>
    </row>
    <row r="38" spans="2:8" ht="15" customHeight="1">
      <c r="B38" s="4" t="s">
        <v>15</v>
      </c>
      <c r="C38" s="19">
        <v>0</v>
      </c>
      <c r="F38" s="211" t="s">
        <v>200</v>
      </c>
      <c r="G38" s="212">
        <f>C7+C17</f>
        <v>0</v>
      </c>
      <c r="H38" s="216"/>
    </row>
    <row r="39" spans="2:8" ht="15" customHeight="1">
      <c r="B39" s="2" t="s">
        <v>16</v>
      </c>
      <c r="C39" s="19">
        <v>10314</v>
      </c>
      <c r="F39" s="211" t="s">
        <v>80</v>
      </c>
      <c r="G39" s="212">
        <f>C7+C17+C19+C20</f>
        <v>2109</v>
      </c>
      <c r="H39" s="209">
        <f>C7*D7+C17*D17+C19*D19+C20*D20</f>
        <v>210.9</v>
      </c>
    </row>
    <row r="40" spans="2:8" ht="15" customHeight="1">
      <c r="B40" s="80" t="s">
        <v>205</v>
      </c>
      <c r="C40" s="81">
        <f>SUM(C36:C39)</f>
        <v>10314</v>
      </c>
      <c r="F40" s="220" t="s">
        <v>139</v>
      </c>
      <c r="G40" s="214">
        <f>G12+G24</f>
        <v>1205</v>
      </c>
      <c r="H40" s="221">
        <f>H12+H24</f>
        <v>771.59999999999991</v>
      </c>
    </row>
    <row r="41" spans="2:8" ht="15" customHeight="1">
      <c r="B41" s="4" t="s">
        <v>17</v>
      </c>
      <c r="C41" s="21">
        <f>C42-C40</f>
        <v>3402</v>
      </c>
      <c r="F41" s="211" t="s">
        <v>192</v>
      </c>
      <c r="G41" s="212">
        <f>C70</f>
        <v>162</v>
      </c>
      <c r="H41" s="221">
        <f>H40-H42</f>
        <v>145.79999999999995</v>
      </c>
    </row>
    <row r="42" spans="2:8" ht="15" customHeight="1">
      <c r="B42" s="83" t="s">
        <v>22</v>
      </c>
      <c r="C42" s="84">
        <v>13716</v>
      </c>
      <c r="F42" s="222" t="s">
        <v>193</v>
      </c>
      <c r="G42" s="223">
        <f>C82</f>
        <v>1043</v>
      </c>
      <c r="H42" s="224">
        <f>D82</f>
        <v>625.79999999999995</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11074</v>
      </c>
      <c r="D46" s="188">
        <f>H29</f>
        <v>-12991.05</v>
      </c>
      <c r="F46" s="283"/>
    </row>
    <row r="47" spans="2:8" ht="15" customHeight="1">
      <c r="B47" s="1" t="str">
        <f>"Equity per share ("&amp;Market_currency&amp;")"</f>
        <v>Equity per share (USD)</v>
      </c>
      <c r="C47" s="148">
        <f>C46*H1/Common_Shares*Exchange_Rate</f>
        <v>32.699848814135876</v>
      </c>
      <c r="D47" s="148">
        <f>D46*H1/Common_Shares*Exchange_Rate</f>
        <v>-38.360607814419353</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4.0148803043206254</v>
      </c>
      <c r="D50" s="95">
        <f>G31/Normalized_FCF!G8</f>
        <v>5.4478305785123968</v>
      </c>
      <c r="F50" s="283"/>
    </row>
    <row r="51" spans="2:8" ht="15" customHeight="1">
      <c r="B51" s="1" t="s">
        <v>177</v>
      </c>
      <c r="C51" s="202"/>
      <c r="D51" s="92">
        <f>G29/G32</f>
        <v>0.40238363431561353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9.9824344279042757E-2</v>
      </c>
      <c r="D54" s="92">
        <f>Normalized_FCF!G8/G35</f>
        <v>7.3567411460708318E-2</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0.27406353722143195</v>
      </c>
      <c r="F58" s="5"/>
    </row>
    <row r="59" spans="2:8" ht="15" customHeight="1">
      <c r="B59" s="1" t="s">
        <v>93</v>
      </c>
      <c r="C59" s="98"/>
      <c r="D59" s="92">
        <f>G39/G32</f>
        <v>7.6632389811416735E-2</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162</v>
      </c>
      <c r="D66" s="188">
        <f>C66-D75</f>
        <v>-372.31656312939253</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162</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-580.33551679999994</v>
      </c>
      <c r="D73" s="188">
        <f>(Normalized_FCF!C25+Normalized_FCF!C35-Normalized_FCF!C91)/12</f>
        <v>-534.31656312939253</v>
      </c>
      <c r="F73" s="1" t="s">
        <v>359</v>
      </c>
    </row>
    <row r="74" spans="2:6" ht="15" customHeight="1">
      <c r="B74" s="288" t="s">
        <v>329</v>
      </c>
      <c r="C74" s="289">
        <f>-$C$66/C73</f>
        <v>0.27914886356305812</v>
      </c>
      <c r="D74" s="289">
        <f>-$C$66/D73</f>
        <v>0.30319105036010147</v>
      </c>
      <c r="F74" s="283" t="s">
        <v>327</v>
      </c>
    </row>
    <row r="75" spans="2:6" ht="15" customHeight="1">
      <c r="B75" s="80" t="s">
        <v>328</v>
      </c>
      <c r="C75" s="293"/>
      <c r="D75" s="292">
        <f>MAX(-D73*D76,G5)</f>
        <v>534.31656312939253</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1043</v>
      </c>
      <c r="D79" s="188">
        <f>G7*H7+G17*H17</f>
        <v>625.79999999999995</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1043</v>
      </c>
      <c r="D82" s="81">
        <f>SUM(D79:D81)</f>
        <v>625.79999999999995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-10547</v>
      </c>
      <c r="D86" s="248">
        <f>C86*scaling_factor/Common_Shares</f>
        <v>-31.143697439289426</v>
      </c>
      <c r="E86" s="269" t="str">
        <f>Market_currency</f>
        <v>USD</v>
      </c>
    </row>
    <row r="87" spans="2:8" ht="15" customHeight="1">
      <c r="B87" s="267" t="s">
        <v>294</v>
      </c>
      <c r="C87" s="188">
        <f>Valuation_Model!C8*Exchange_Rate</f>
        <v>-372.31656312939253</v>
      </c>
      <c r="D87" s="248">
        <f>C87*scaling_factor/Common_Shares</f>
        <v>-1.0993945571003985</v>
      </c>
      <c r="E87" s="269" t="str">
        <f>Market_currency</f>
        <v>USD</v>
      </c>
    </row>
    <row r="88" spans="2:8" ht="15" customHeight="1">
      <c r="B88" s="268" t="s">
        <v>190</v>
      </c>
      <c r="C88" s="188">
        <f>Valuation_Model!C9*Exchange_Rate</f>
        <v>625.79999999999995</v>
      </c>
      <c r="D88" s="248">
        <f>C88*scaling_factor/Common_Shares</f>
        <v>1.8478928470188039</v>
      </c>
      <c r="E88" s="269" t="str">
        <f>Market_currency</f>
        <v>USD</v>
      </c>
    </row>
    <row r="89" spans="2:8" ht="15" customHeight="1">
      <c r="B89" s="80" t="s">
        <v>298</v>
      </c>
      <c r="C89" s="187">
        <f>SUM(C86:C88)</f>
        <v>-10293.516563129393</v>
      </c>
      <c r="D89" s="271">
        <f>SUM(D86:D88)</f>
        <v>-30.395199149371017</v>
      </c>
      <c r="E89" s="269"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8837.75</v>
      </c>
      <c r="D4" s="57"/>
      <c r="E4" s="300"/>
      <c r="F4" s="57"/>
      <c r="G4" s="183">
        <f>Data!C36</f>
        <v>8699</v>
      </c>
      <c r="H4" s="183">
        <f>Data!D36</f>
        <v>8953</v>
      </c>
      <c r="I4" s="183">
        <f>Data!E36</f>
        <v>9003</v>
      </c>
      <c r="J4" s="183">
        <f>Data!F36</f>
        <v>8696</v>
      </c>
      <c r="K4" s="183">
        <f>Data!G36</f>
        <v>8040</v>
      </c>
      <c r="L4" s="183">
        <f>Data!H36</f>
        <v>7794</v>
      </c>
      <c r="M4" s="183">
        <f>Data!I36</f>
        <v>5770.692</v>
      </c>
      <c r="N4" s="183">
        <f>Data!J36</f>
        <v>5425.1289999999999</v>
      </c>
      <c r="O4" s="183">
        <f>Data!K36</f>
        <v>5017.22</v>
      </c>
      <c r="P4" s="183">
        <f>Data!L36</f>
        <v>4570.058</v>
      </c>
      <c r="Q4" s="183" t="str">
        <f>Data!M36</f>
        <v/>
      </c>
    </row>
    <row r="5" spans="1:17" ht="15.75" customHeight="1">
      <c r="A5" s="10"/>
      <c r="B5" s="2" t="s">
        <v>46</v>
      </c>
      <c r="C5" s="191">
        <f>C25</f>
        <v>-4748.2725559527107</v>
      </c>
      <c r="E5" s="302"/>
      <c r="G5" s="183">
        <f t="shared" ref="G5:Q5" si="1">G25</f>
        <v>-5392</v>
      </c>
      <c r="H5" s="183">
        <f t="shared" si="1"/>
        <v>-5499</v>
      </c>
      <c r="I5" s="183">
        <f t="shared" si="1"/>
        <v>-4130</v>
      </c>
      <c r="J5" s="183">
        <f t="shared" si="1"/>
        <v>-3968</v>
      </c>
      <c r="K5" s="183">
        <f t="shared" si="1"/>
        <v>-3579</v>
      </c>
      <c r="L5" s="183">
        <f t="shared" si="1"/>
        <v>-3427</v>
      </c>
      <c r="M5" s="183">
        <f t="shared" si="1"/>
        <v>-2308.6060000000002</v>
      </c>
      <c r="N5" s="183">
        <f t="shared" si="1"/>
        <v>-2101.982</v>
      </c>
      <c r="O5" s="183">
        <f t="shared" si="1"/>
        <v>-1993.327</v>
      </c>
      <c r="P5" s="183">
        <f t="shared" si="1"/>
        <v>-1843.164</v>
      </c>
      <c r="Q5" s="183" t="str">
        <f t="shared" si="1"/>
        <v/>
      </c>
    </row>
    <row r="6" spans="1:17" ht="15.75" customHeight="1">
      <c r="A6" s="10"/>
      <c r="B6" s="31" t="s">
        <v>48</v>
      </c>
      <c r="C6" s="184">
        <f>C4+C5</f>
        <v>4089.4774440472893</v>
      </c>
      <c r="E6" s="302"/>
      <c r="G6" s="184">
        <f>IF(G4="","",G4+G5)</f>
        <v>3307</v>
      </c>
      <c r="H6" s="184">
        <f t="shared" ref="H6:Q6" si="2">IF(H4="","",H4+H5)</f>
        <v>3454</v>
      </c>
      <c r="I6" s="184">
        <f t="shared" si="2"/>
        <v>4873</v>
      </c>
      <c r="J6" s="184">
        <f t="shared" si="2"/>
        <v>4728</v>
      </c>
      <c r="K6" s="184">
        <f t="shared" si="2"/>
        <v>4461</v>
      </c>
      <c r="L6" s="184">
        <f t="shared" si="2"/>
        <v>4367</v>
      </c>
      <c r="M6" s="184">
        <f t="shared" si="2"/>
        <v>3462.0859999999998</v>
      </c>
      <c r="N6" s="184">
        <f t="shared" si="2"/>
        <v>3323.1469999999999</v>
      </c>
      <c r="O6" s="184">
        <f t="shared" si="2"/>
        <v>3023.893</v>
      </c>
      <c r="P6" s="184">
        <f t="shared" si="2"/>
        <v>2726.8940000000002</v>
      </c>
      <c r="Q6" s="184" t="str">
        <f t="shared" si="2"/>
        <v/>
      </c>
    </row>
    <row r="7" spans="1:17" ht="15.75" customHeight="1">
      <c r="A7" s="10"/>
      <c r="B7" s="8" t="s">
        <v>45</v>
      </c>
      <c r="C7" s="191">
        <f>C35</f>
        <v>-1462.5</v>
      </c>
      <c r="E7" s="302"/>
      <c r="G7" s="191">
        <f t="shared" ref="G7:Q7" si="3">G35</f>
        <v>-1371</v>
      </c>
      <c r="H7" s="191">
        <f t="shared" si="3"/>
        <v>-1554</v>
      </c>
      <c r="I7" s="191">
        <f t="shared" si="3"/>
        <v>0</v>
      </c>
      <c r="J7" s="191">
        <f t="shared" si="3"/>
        <v>0</v>
      </c>
      <c r="K7" s="191">
        <f t="shared" si="3"/>
        <v>0</v>
      </c>
      <c r="L7" s="191">
        <f t="shared" si="3"/>
        <v>0</v>
      </c>
      <c r="M7" s="191">
        <f t="shared" si="3"/>
        <v>0</v>
      </c>
      <c r="N7" s="191">
        <f t="shared" si="3"/>
        <v>0</v>
      </c>
      <c r="O7" s="191">
        <f t="shared" si="3"/>
        <v>0</v>
      </c>
      <c r="P7" s="191">
        <f t="shared" si="3"/>
        <v>0</v>
      </c>
      <c r="Q7" s="191" t="str">
        <f t="shared" si="3"/>
        <v/>
      </c>
    </row>
    <row r="8" spans="1:17" ht="15.75" customHeight="1">
      <c r="A8" s="10"/>
      <c r="B8" s="29" t="s">
        <v>153</v>
      </c>
      <c r="C8" s="192">
        <f>C6+C7</f>
        <v>2626.9774440472893</v>
      </c>
      <c r="D8" s="59"/>
      <c r="E8" s="308"/>
      <c r="F8" s="59"/>
      <c r="G8" s="184">
        <f>IF(G$4="","",G6+G7)</f>
        <v>1936</v>
      </c>
      <c r="H8" s="184">
        <f t="shared" ref="H8:Q8" si="4">IF(H$4="","",H6+H7)</f>
        <v>1900</v>
      </c>
      <c r="I8" s="184">
        <f t="shared" si="4"/>
        <v>4873</v>
      </c>
      <c r="J8" s="184">
        <f t="shared" si="4"/>
        <v>4728</v>
      </c>
      <c r="K8" s="184">
        <f t="shared" si="4"/>
        <v>4461</v>
      </c>
      <c r="L8" s="184">
        <f t="shared" si="4"/>
        <v>4367</v>
      </c>
      <c r="M8" s="184">
        <f t="shared" si="4"/>
        <v>3462.0859999999998</v>
      </c>
      <c r="N8" s="184">
        <f t="shared" si="4"/>
        <v>3323.1469999999999</v>
      </c>
      <c r="O8" s="184">
        <f t="shared" si="4"/>
        <v>3023.893</v>
      </c>
      <c r="P8" s="184">
        <f t="shared" si="4"/>
        <v>2726.8940000000002</v>
      </c>
      <c r="Q8" s="184" t="str">
        <f t="shared" si="4"/>
        <v/>
      </c>
    </row>
    <row r="9" spans="1:17" ht="15.75" customHeight="1">
      <c r="A9" s="10"/>
      <c r="B9" s="2" t="s">
        <v>65</v>
      </c>
      <c r="C9" s="191">
        <f>BS!$G$39*BS!D58</f>
        <v>578</v>
      </c>
      <c r="E9" s="302"/>
      <c r="G9" s="191">
        <f>IF(Data!C61="","",-Data!C61)</f>
        <v>578</v>
      </c>
      <c r="H9" s="191">
        <f>IF(Data!D61="","",-Data!D61)</f>
        <v>624</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-632.31340126010366</v>
      </c>
      <c r="E10" s="302"/>
      <c r="G10" s="191">
        <f>Data!C62</f>
        <v>-728</v>
      </c>
      <c r="H10" s="191">
        <f>Data!D62</f>
        <v>-728</v>
      </c>
      <c r="I10" s="191">
        <f>Data!E62</f>
        <v>-650</v>
      </c>
      <c r="J10" s="191">
        <f>Data!F62</f>
        <v>-426</v>
      </c>
      <c r="K10" s="191">
        <f>Data!G62</f>
        <v>-388</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-496</v>
      </c>
      <c r="E12" s="302"/>
      <c r="G12" s="191">
        <f>G50</f>
        <v>-496</v>
      </c>
      <c r="H12" s="191">
        <f t="shared" ref="H12:Q12" si="6">H50</f>
        <v>-423</v>
      </c>
      <c r="I12" s="191">
        <f t="shared" si="6"/>
        <v>-422</v>
      </c>
      <c r="J12" s="191">
        <f t="shared" si="6"/>
        <v>-415</v>
      </c>
      <c r="K12" s="191">
        <f t="shared" si="6"/>
        <v>-394</v>
      </c>
      <c r="L12" s="191">
        <f t="shared" si="6"/>
        <v>-390</v>
      </c>
      <c r="M12" s="191">
        <f t="shared" si="6"/>
        <v>-350.07299999999998</v>
      </c>
      <c r="N12" s="191">
        <f t="shared" si="6"/>
        <v>-345.82</v>
      </c>
      <c r="O12" s="191">
        <f t="shared" si="6"/>
        <v>-331.22500000000002</v>
      </c>
      <c r="P12" s="191">
        <f t="shared" si="6"/>
        <v>-299.10300000000001</v>
      </c>
      <c r="Q12" s="191" t="str">
        <f t="shared" si="6"/>
        <v/>
      </c>
    </row>
    <row r="13" spans="1:17" ht="15.75" customHeight="1">
      <c r="A13" s="10"/>
      <c r="B13" s="70" t="s">
        <v>165</v>
      </c>
      <c r="C13" s="184">
        <f>SUM(C8:C12)</f>
        <v>2076.6640427871857</v>
      </c>
      <c r="E13" s="302"/>
      <c r="G13" s="184">
        <f>IF(G$4="","",SUM(G8:G12))</f>
        <v>1290</v>
      </c>
      <c r="H13" s="184">
        <f t="shared" ref="H13:Q13" si="7">IF(H$4="","",SUM(H8:H12))</f>
        <v>1373</v>
      </c>
      <c r="I13" s="184">
        <f t="shared" si="7"/>
        <v>3801</v>
      </c>
      <c r="J13" s="184">
        <f t="shared" si="7"/>
        <v>3887</v>
      </c>
      <c r="K13" s="184">
        <f t="shared" si="7"/>
        <v>3679</v>
      </c>
      <c r="L13" s="184">
        <f t="shared" si="7"/>
        <v>3977</v>
      </c>
      <c r="M13" s="184">
        <f t="shared" si="7"/>
        <v>3112.0129999999999</v>
      </c>
      <c r="N13" s="184">
        <f t="shared" si="7"/>
        <v>2977.3269999999998</v>
      </c>
      <c r="O13" s="184">
        <f t="shared" si="7"/>
        <v>2692.6680000000001</v>
      </c>
      <c r="P13" s="184">
        <f t="shared" si="7"/>
        <v>2427.7910000000002</v>
      </c>
      <c r="Q13" s="184" t="str">
        <f t="shared" si="7"/>
        <v/>
      </c>
    </row>
    <row r="14" spans="1:17" ht="15.75" customHeight="1">
      <c r="A14" s="10"/>
      <c r="B14" s="2" t="s">
        <v>63</v>
      </c>
      <c r="C14" s="191">
        <f>-SUM(C8+C11,C12)*C43</f>
        <v>-532.74436101182232</v>
      </c>
      <c r="E14" s="302"/>
      <c r="G14" s="191">
        <f>Data!C46</f>
        <v>-210</v>
      </c>
      <c r="H14" s="191">
        <f>Data!D46</f>
        <v>-260</v>
      </c>
      <c r="I14" s="191">
        <f>Data!E46</f>
        <v>-392</v>
      </c>
      <c r="J14" s="191">
        <f>Data!F46</f>
        <v>-212</v>
      </c>
      <c r="K14" s="191">
        <f>Data!G46</f>
        <v>-299</v>
      </c>
      <c r="L14" s="191">
        <f>Data!H46</f>
        <v>-283</v>
      </c>
      <c r="M14" s="191">
        <f>Data!I46</f>
        <v>-244.68100000000001</v>
      </c>
      <c r="N14" s="191">
        <f>Data!J46</f>
        <v>-616.30100000000004</v>
      </c>
      <c r="O14" s="191">
        <f>Data!K46</f>
        <v>-345.72699999999998</v>
      </c>
      <c r="P14" s="191">
        <f>Data!L46</f>
        <v>-382.24</v>
      </c>
      <c r="Q14" s="191" t="str">
        <f>Data!M46</f>
        <v/>
      </c>
    </row>
    <row r="15" spans="1:17" ht="15.75" customHeight="1">
      <c r="A15" s="10"/>
      <c r="B15" s="40" t="s">
        <v>244</v>
      </c>
      <c r="C15" s="191">
        <f>-C4*C83</f>
        <v>0</v>
      </c>
      <c r="D15" s="60"/>
      <c r="E15" s="309"/>
      <c r="F15" s="60"/>
      <c r="G15" s="183">
        <f>Data!C48</f>
        <v>0</v>
      </c>
      <c r="H15" s="183">
        <f>Data!D48</f>
        <v>-202</v>
      </c>
      <c r="I15" s="183">
        <f>Data!E48</f>
        <v>0</v>
      </c>
      <c r="J15" s="183">
        <f>Data!F48</f>
        <v>0</v>
      </c>
      <c r="K15" s="183">
        <f>Data!G48</f>
        <v>0</v>
      </c>
      <c r="L15" s="183">
        <f>Data!H48</f>
        <v>0</v>
      </c>
      <c r="M15" s="183">
        <f>Data!I48</f>
        <v>0</v>
      </c>
      <c r="N15" s="183">
        <f>Data!J48</f>
        <v>0</v>
      </c>
      <c r="O15" s="183">
        <f>Data!K48</f>
        <v>0</v>
      </c>
      <c r="P15" s="183">
        <f>Data!L48</f>
        <v>0</v>
      </c>
      <c r="Q15" s="183" t="str">
        <f>Data!M48</f>
        <v/>
      </c>
    </row>
    <row r="16" spans="1:17" ht="15.75" customHeight="1">
      <c r="A16" s="10"/>
      <c r="B16" s="41" t="s">
        <v>155</v>
      </c>
      <c r="C16" s="194">
        <f>SUM(C13:C15)</f>
        <v>1543.9196817753634</v>
      </c>
      <c r="D16" s="61"/>
      <c r="E16" s="310"/>
      <c r="F16" s="61"/>
      <c r="G16" s="184">
        <f>IF(G$4="","",SUM(G13:G15))</f>
        <v>1080</v>
      </c>
      <c r="H16" s="184">
        <f t="shared" ref="H16:Q16" si="8">IF(H$4="","",SUM(H13:H15))</f>
        <v>911</v>
      </c>
      <c r="I16" s="184">
        <f t="shared" si="8"/>
        <v>3409</v>
      </c>
      <c r="J16" s="184">
        <f t="shared" si="8"/>
        <v>3675</v>
      </c>
      <c r="K16" s="184">
        <f t="shared" si="8"/>
        <v>3380</v>
      </c>
      <c r="L16" s="184">
        <f t="shared" si="8"/>
        <v>3694</v>
      </c>
      <c r="M16" s="184">
        <f t="shared" si="8"/>
        <v>2867.3319999999999</v>
      </c>
      <c r="N16" s="184">
        <f t="shared" si="8"/>
        <v>2361.0259999999998</v>
      </c>
      <c r="O16" s="184">
        <f t="shared" si="8"/>
        <v>2346.9410000000003</v>
      </c>
      <c r="P16" s="184">
        <f t="shared" si="8"/>
        <v>2045.5510000000002</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1543.9196817753634</v>
      </c>
      <c r="D19" s="27"/>
      <c r="E19" s="299"/>
      <c r="F19" s="27"/>
      <c r="G19" s="186">
        <f>IF(G$4="","",G16+G17)</f>
        <v>1080</v>
      </c>
      <c r="H19" s="186">
        <f t="shared" ref="H19:Q19" si="9">IF(H$4="","",H16+H17)</f>
        <v>911</v>
      </c>
      <c r="I19" s="186">
        <f t="shared" si="9"/>
        <v>3409</v>
      </c>
      <c r="J19" s="186">
        <f t="shared" si="9"/>
        <v>3675</v>
      </c>
      <c r="K19" s="186">
        <f t="shared" si="9"/>
        <v>3380</v>
      </c>
      <c r="L19" s="186">
        <f t="shared" si="9"/>
        <v>3694</v>
      </c>
      <c r="M19" s="186">
        <f t="shared" si="9"/>
        <v>2867.3319999999999</v>
      </c>
      <c r="N19" s="186">
        <f t="shared" si="9"/>
        <v>2361.0259999999998</v>
      </c>
      <c r="O19" s="186">
        <f t="shared" si="9"/>
        <v>2346.9410000000003</v>
      </c>
      <c r="P19" s="186">
        <f t="shared" si="9"/>
        <v>2045.5510000000002</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-4109.1377805440734</v>
      </c>
      <c r="D23" s="58"/>
      <c r="E23" s="301"/>
      <c r="F23" s="58"/>
      <c r="G23" s="183">
        <f>Data!C37</f>
        <v>-4129</v>
      </c>
      <c r="H23" s="183">
        <f>Data!D37</f>
        <v>-4209</v>
      </c>
      <c r="I23" s="183">
        <f>Data!E37</f>
        <v>-4130</v>
      </c>
      <c r="J23" s="183">
        <f>Data!F37</f>
        <v>-3968</v>
      </c>
      <c r="K23" s="183">
        <f>Data!G37</f>
        <v>-3579</v>
      </c>
      <c r="L23" s="183">
        <f>Data!H37</f>
        <v>-3427</v>
      </c>
      <c r="M23" s="183">
        <f>Data!I37</f>
        <v>-2308.6060000000002</v>
      </c>
      <c r="N23" s="183">
        <f>Data!J37</f>
        <v>-2101.982</v>
      </c>
      <c r="O23" s="183">
        <f>Data!K37</f>
        <v>-1993.327</v>
      </c>
      <c r="P23" s="183">
        <f>Data!L37</f>
        <v>-1843.164</v>
      </c>
      <c r="Q23" s="183" t="str">
        <f>Data!M37</f>
        <v/>
      </c>
    </row>
    <row r="24" spans="1:17" ht="15.75" customHeight="1">
      <c r="A24" s="10"/>
      <c r="B24" s="68" t="s">
        <v>62</v>
      </c>
      <c r="C24" s="191">
        <f>-C4*C29</f>
        <v>-639.13477540863767</v>
      </c>
      <c r="D24" s="27"/>
      <c r="E24" s="299"/>
      <c r="F24" s="27"/>
      <c r="G24" s="183">
        <f>Data!C40</f>
        <v>-1263</v>
      </c>
      <c r="H24" s="183">
        <f>Data!D40</f>
        <v>-1290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c r="A25" s="10"/>
      <c r="B25" s="70" t="s">
        <v>46</v>
      </c>
      <c r="C25" s="184">
        <f>C23+C24</f>
        <v>-4748.2725559527107</v>
      </c>
      <c r="D25" s="9"/>
      <c r="E25" s="307"/>
      <c r="F25" s="9"/>
      <c r="G25" s="184">
        <f t="shared" ref="G25:Q25" si="10">IF(G$4="","",G23+G24)</f>
        <v>-5392</v>
      </c>
      <c r="H25" s="184">
        <f t="shared" si="10"/>
        <v>-5499</v>
      </c>
      <c r="I25" s="184">
        <f t="shared" si="10"/>
        <v>-4130</v>
      </c>
      <c r="J25" s="184">
        <f t="shared" si="10"/>
        <v>-3968</v>
      </c>
      <c r="K25" s="184">
        <f t="shared" si="10"/>
        <v>-3579</v>
      </c>
      <c r="L25" s="184">
        <f t="shared" si="10"/>
        <v>-3427</v>
      </c>
      <c r="M25" s="184">
        <f t="shared" si="10"/>
        <v>-2308.6060000000002</v>
      </c>
      <c r="N25" s="184">
        <f t="shared" si="10"/>
        <v>-2101.982</v>
      </c>
      <c r="O25" s="184">
        <f t="shared" si="10"/>
        <v>-1993.327</v>
      </c>
      <c r="P25" s="184">
        <f t="shared" si="10"/>
        <v>-1843.164</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0.46495293265187104</v>
      </c>
      <c r="D28" s="26"/>
      <c r="E28" s="300" t="s">
        <v>341</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300" t="s">
        <v>341</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0.53727165352637385</v>
      </c>
      <c r="E30" s="302"/>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-1462.5</v>
      </c>
      <c r="E33" s="300" t="s">
        <v>341</v>
      </c>
      <c r="G33" s="191">
        <f>Data!C41</f>
        <v>-1371</v>
      </c>
      <c r="H33" s="191">
        <f>Data!D41</f>
        <v>-1554</v>
      </c>
      <c r="I33" s="191">
        <f>Data!E41</f>
        <v>0</v>
      </c>
      <c r="J33" s="191">
        <f>Data!F41</f>
        <v>0</v>
      </c>
      <c r="K33" s="191">
        <f>Data!G41</f>
        <v>0</v>
      </c>
      <c r="L33" s="191">
        <f>Data!H41</f>
        <v>0</v>
      </c>
      <c r="M33" s="191">
        <f>Data!I41</f>
        <v>0</v>
      </c>
      <c r="N33" s="191">
        <f>Data!J41</f>
        <v>0</v>
      </c>
      <c r="O33" s="191">
        <f>Data!K41</f>
        <v>0</v>
      </c>
      <c r="P33" s="191">
        <f>Data!L41</f>
        <v>0</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-1462.5</v>
      </c>
      <c r="D35" s="58"/>
      <c r="E35" s="301"/>
      <c r="F35" s="58"/>
      <c r="G35" s="184">
        <f t="shared" ref="G35:Q35" si="14">IF(G4="","",G33+G34)</f>
        <v>-1371</v>
      </c>
      <c r="H35" s="184">
        <f t="shared" si="14"/>
        <v>-1554</v>
      </c>
      <c r="I35" s="184">
        <f t="shared" si="14"/>
        <v>0</v>
      </c>
      <c r="J35" s="184">
        <f t="shared" si="14"/>
        <v>0</v>
      </c>
      <c r="K35" s="184">
        <f t="shared" si="14"/>
        <v>0</v>
      </c>
      <c r="L35" s="184">
        <f t="shared" si="14"/>
        <v>0</v>
      </c>
      <c r="M35" s="184">
        <f t="shared" si="14"/>
        <v>0</v>
      </c>
      <c r="N35" s="184">
        <f t="shared" si="14"/>
        <v>0</v>
      </c>
      <c r="O35" s="184">
        <f t="shared" si="14"/>
        <v>0</v>
      </c>
      <c r="P35" s="184">
        <f t="shared" si="14"/>
        <v>0</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0.16548329608780515</v>
      </c>
      <c r="D38" s="27"/>
      <c r="E38" s="299"/>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0.16548329608780515</v>
      </c>
      <c r="E40" s="302"/>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-496</v>
      </c>
      <c r="E47" s="302"/>
      <c r="G47" s="191">
        <f>Data!C51</f>
        <v>-496</v>
      </c>
      <c r="H47" s="191">
        <f>Data!D51</f>
        <v>-423</v>
      </c>
      <c r="I47" s="191">
        <f>Data!E51</f>
        <v>-422</v>
      </c>
      <c r="J47" s="191">
        <f>Data!F51</f>
        <v>-415</v>
      </c>
      <c r="K47" s="191">
        <f>Data!G51</f>
        <v>-394</v>
      </c>
      <c r="L47" s="191">
        <f>Data!H51</f>
        <v>-390</v>
      </c>
      <c r="M47" s="191">
        <f>Data!I51</f>
        <v>-350.07299999999998</v>
      </c>
      <c r="N47" s="191">
        <f>Data!J51</f>
        <v>-345.82</v>
      </c>
      <c r="O47" s="191">
        <f>Data!K51</f>
        <v>-331.22500000000002</v>
      </c>
      <c r="P47" s="191">
        <f>Data!L51</f>
        <v>-299.10300000000001</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-496</v>
      </c>
      <c r="E50" s="302"/>
      <c r="G50" s="184">
        <f>IF(G$4="","",(G47+G48))</f>
        <v>-496</v>
      </c>
      <c r="H50" s="184">
        <f t="shared" ref="H50:Q50" si="20">IF(H$4="","",(H47+H48))</f>
        <v>-423</v>
      </c>
      <c r="I50" s="184">
        <f t="shared" si="20"/>
        <v>-422</v>
      </c>
      <c r="J50" s="184">
        <f t="shared" si="20"/>
        <v>-415</v>
      </c>
      <c r="K50" s="184">
        <f t="shared" si="20"/>
        <v>-394</v>
      </c>
      <c r="L50" s="184">
        <f t="shared" si="20"/>
        <v>-390</v>
      </c>
      <c r="M50" s="184">
        <f t="shared" si="20"/>
        <v>-350.07299999999998</v>
      </c>
      <c r="N50" s="184">
        <f t="shared" si="20"/>
        <v>-345.82</v>
      </c>
      <c r="O50" s="184">
        <f t="shared" si="20"/>
        <v>-331.22500000000002</v>
      </c>
      <c r="P50" s="184">
        <f t="shared" si="20"/>
        <v>-299.10300000000001</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4.7027590784109223E-2</v>
      </c>
      <c r="E54" s="299" t="s">
        <v>344</v>
      </c>
      <c r="G54" s="23">
        <f>IFERROR(ABS(Normalized_FCF!G47/BS!$G$31),0)</f>
        <v>4.7027590784109223E-2</v>
      </c>
      <c r="H54" s="170"/>
      <c r="I54" s="170"/>
      <c r="J54" s="170"/>
      <c r="K54" s="170"/>
      <c r="L54" s="170"/>
      <c r="M54" s="170"/>
      <c r="N54" s="170"/>
      <c r="O54" s="170"/>
      <c r="P54" s="170"/>
      <c r="Q54" s="170"/>
    </row>
    <row r="55" spans="1:17" ht="15.75" customHeight="1">
      <c r="A55" s="10"/>
      <c r="B55" s="26" t="s">
        <v>91</v>
      </c>
      <c r="C55" s="42">
        <f>-C8/C47</f>
        <v>5.2963254920308254</v>
      </c>
      <c r="E55" s="302"/>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345</v>
      </c>
      <c r="G62" s="191">
        <f>Data!C58</f>
        <v>-3305</v>
      </c>
      <c r="H62" s="191">
        <f>Data!D58</f>
        <v>41</v>
      </c>
      <c r="I62" s="191">
        <f>Data!E58</f>
        <v>-2846</v>
      </c>
      <c r="J62" s="191">
        <f>Data!F58</f>
        <v>-2787</v>
      </c>
      <c r="K62" s="191">
        <f>Data!G58</f>
        <v>-3637</v>
      </c>
      <c r="L62" s="191">
        <f>Data!H58</f>
        <v>-2780</v>
      </c>
      <c r="M62" s="191">
        <f>Data!I58</f>
        <v>-1691.4389999999999</v>
      </c>
      <c r="N62" s="191">
        <f>Data!J58</f>
        <v>-1713.1179999999999</v>
      </c>
      <c r="O62" s="191">
        <f>Data!K58</f>
        <v>-1601.0080000000003</v>
      </c>
      <c r="P62" s="191">
        <f>Data!L58</f>
        <v>-1535.8270000000002</v>
      </c>
      <c r="Q62" s="191" t="str">
        <f>Data!M58</f>
        <v/>
      </c>
    </row>
    <row r="63" spans="1:17" ht="15.75" customHeight="1">
      <c r="A63" s="10"/>
      <c r="B63" s="31" t="s">
        <v>196</v>
      </c>
      <c r="C63" s="184">
        <f>C61+C62</f>
        <v>0</v>
      </c>
      <c r="E63" s="302"/>
      <c r="G63" s="184">
        <f t="shared" ref="G63:Q63" si="23">IF(G4="","",G61+G62)</f>
        <v>-3305</v>
      </c>
      <c r="H63" s="184">
        <f t="shared" si="23"/>
        <v>41</v>
      </c>
      <c r="I63" s="184">
        <f t="shared" si="23"/>
        <v>-2846</v>
      </c>
      <c r="J63" s="184">
        <f t="shared" si="23"/>
        <v>-2787</v>
      </c>
      <c r="K63" s="184">
        <f t="shared" si="23"/>
        <v>-3637</v>
      </c>
      <c r="L63" s="184">
        <f t="shared" si="23"/>
        <v>-2780</v>
      </c>
      <c r="M63" s="184">
        <f t="shared" si="23"/>
        <v>-1691.4389999999999</v>
      </c>
      <c r="N63" s="184">
        <f t="shared" si="23"/>
        <v>-1713.1179999999999</v>
      </c>
      <c r="O63" s="184">
        <f t="shared" si="23"/>
        <v>-1601.0080000000003</v>
      </c>
      <c r="P63" s="184">
        <f t="shared" si="23"/>
        <v>-1535.8270000000002</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430</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0.53727165352637385</v>
      </c>
      <c r="D73" s="27"/>
      <c r="E73" s="299"/>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48</v>
      </c>
      <c r="C74" s="78">
        <f>ABS(C6/C$4)</f>
        <v>0.46272834647362615</v>
      </c>
      <c r="D74" s="27"/>
      <c r="E74" s="299"/>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45</v>
      </c>
      <c r="C75" s="77">
        <f>ABS(C7/C$4)</f>
        <v>0.16548329608780515</v>
      </c>
      <c r="D75" s="27"/>
      <c r="E75" s="299"/>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153</v>
      </c>
      <c r="C76" s="78">
        <f>ABS(C8/C$4)</f>
        <v>0.297245050385821</v>
      </c>
      <c r="D76" s="27"/>
      <c r="E76" s="299"/>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65</v>
      </c>
      <c r="C77" s="77">
        <f>ABS(C9/C$4)</f>
        <v>6.5401261633334276E-2</v>
      </c>
      <c r="D77" s="27"/>
      <c r="E77" s="299"/>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7.1546875761376333E-2</v>
      </c>
      <c r="D78" s="27"/>
      <c r="E78" s="300" t="s">
        <v>431</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5.6122881955248789E-2</v>
      </c>
      <c r="D80" s="27"/>
      <c r="E80" s="299"/>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165</v>
      </c>
      <c r="C81" s="78">
        <f>C13/C4</f>
        <v>0.23497655430253014</v>
      </c>
      <c r="D81" s="27"/>
      <c r="E81" s="299"/>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63</v>
      </c>
      <c r="C82" s="77">
        <f>ABS(C14/C$4)</f>
        <v>6.0280542107643047E-2</v>
      </c>
      <c r="D82" s="27"/>
      <c r="E82" s="299"/>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0.17469601219488709</v>
      </c>
      <c r="D84" s="27"/>
      <c r="E84" s="299"/>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0.17469601219488709</v>
      </c>
      <c r="D87" s="75"/>
      <c r="E87" s="299"/>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(USD)</v>
      </c>
      <c r="C90" s="114">
        <f>G90</f>
        <v>0.59360000000000002</v>
      </c>
      <c r="E90" s="302"/>
      <c r="G90" s="113">
        <f>Data!C65</f>
        <v>0.59360000000000002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(USD)</v>
      </c>
      <c r="C91" s="74">
        <f>C90*Common_Shares/scaling_factor</f>
        <v>201.02620160000001</v>
      </c>
      <c r="E91" s="302"/>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0.130205090311977</v>
      </c>
      <c r="E92" s="302"/>
      <c r="G92" s="171">
        <f t="shared" ref="G92:Q92" si="38">IF(G$4="","",G90/(G19*scaling_factor/Common_Shares))</f>
        <v>0.18613537185185186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2.7329650092081034E-2</v>
      </c>
      <c r="E93" s="302"/>
      <c r="G93" s="23">
        <f t="shared" ref="G93:Q93" si="39">IF(G$4="","",G90/Market_Price)</f>
        <v>2.7329650092081034E-2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1.5950109207955032E-2</v>
      </c>
      <c r="D96" s="27"/>
      <c r="E96" s="299"/>
      <c r="F96" s="27"/>
      <c r="G96" s="6">
        <f t="shared" ref="G96:Q96" si="40">IF(H4="","",G4/H4-1)</f>
        <v>-2.8370378644029914E-2</v>
      </c>
      <c r="H96" s="6">
        <f t="shared" si="40"/>
        <v>-5.5537043207819492E-3</v>
      </c>
      <c r="I96" s="6">
        <f t="shared" si="40"/>
        <v>3.5303587856485796E-2</v>
      </c>
      <c r="J96" s="6">
        <f t="shared" si="40"/>
        <v>8.1592039800995053E-2</v>
      </c>
      <c r="K96" s="6">
        <f t="shared" si="40"/>
        <v>3.1562740569669012E-2</v>
      </c>
      <c r="L96" s="6">
        <f t="shared" si="40"/>
        <v>0.35061791549436361</v>
      </c>
      <c r="M96" s="6">
        <f t="shared" si="40"/>
        <v>6.3696734215905382E-2</v>
      </c>
      <c r="N96" s="6">
        <f t="shared" si="40"/>
        <v>8.1301796612466504E-2</v>
      </c>
      <c r="O96" s="6">
        <f t="shared" si="40"/>
        <v>9.7846022960758949E-2</v>
      </c>
      <c r="P96" s="6" t="str">
        <f t="shared" si="40"/>
        <v/>
      </c>
      <c r="Q96" s="6" t="str">
        <f t="shared" si="40"/>
        <v/>
      </c>
    </row>
    <row r="97" spans="1:17" ht="15.75" customHeight="1">
      <c r="A97" s="10"/>
      <c r="B97" s="70" t="s">
        <v>165</v>
      </c>
      <c r="C97" s="77">
        <f>C13/G13-1</f>
        <v>0.60981708743192686</v>
      </c>
      <c r="D97" s="27"/>
      <c r="E97" s="299"/>
      <c r="F97" s="27"/>
      <c r="G97" s="6">
        <f t="shared" ref="G97:Q97" si="41">IF(H5="","",G13/H13-1)</f>
        <v>-6.045156591405676E-2</v>
      </c>
      <c r="H97" s="6">
        <f t="shared" si="41"/>
        <v>-0.63877926861352274</v>
      </c>
      <c r="I97" s="6">
        <f t="shared" si="41"/>
        <v>-2.2125032158476943E-2</v>
      </c>
      <c r="J97" s="6">
        <f t="shared" si="41"/>
        <v>5.6537102473498191E-2</v>
      </c>
      <c r="K97" s="6">
        <f t="shared" si="41"/>
        <v>-7.4930852401307479E-2</v>
      </c>
      <c r="L97" s="6">
        <f t="shared" si="41"/>
        <v>0.27795095971642803</v>
      </c>
      <c r="M97" s="6">
        <f t="shared" si="41"/>
        <v>4.5237221171876785E-2</v>
      </c>
      <c r="N97" s="6">
        <f t="shared" si="41"/>
        <v>0.10571633784781476</v>
      </c>
      <c r="O97" s="6">
        <f t="shared" si="41"/>
        <v>0.10910206026795555</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27521</v>
      </c>
      <c r="D101" s="26"/>
      <c r="E101" s="303"/>
      <c r="F101" s="26"/>
      <c r="G101" s="183">
        <f t="shared" ref="G101:Q101" si="42">IF(G$4="","",G105+G104)</f>
        <v>27521</v>
      </c>
      <c r="H101" s="183">
        <f t="shared" si="42"/>
        <v>10374</v>
      </c>
      <c r="I101" s="183">
        <f t="shared" si="42"/>
        <v>10022</v>
      </c>
      <c r="J101" s="183">
        <f t="shared" si="42"/>
        <v>10274</v>
      </c>
      <c r="K101" s="183">
        <f t="shared" si="42"/>
        <v>10333</v>
      </c>
      <c r="L101" s="183">
        <f t="shared" si="42"/>
        <v>11149</v>
      </c>
      <c r="M101" s="183">
        <f t="shared" si="42"/>
        <v>8172.735999999999</v>
      </c>
      <c r="N101" s="183">
        <f t="shared" si="42"/>
        <v>8329.3739999999998</v>
      </c>
      <c r="O101" s="183">
        <f t="shared" si="42"/>
        <v>8003.5950000000003</v>
      </c>
      <c r="P101" s="183">
        <f t="shared" si="42"/>
        <v>8046.6620000000003</v>
      </c>
      <c r="Q101" s="183" t="str">
        <f t="shared" si="42"/>
        <v/>
      </c>
    </row>
    <row r="102" spans="1:17" ht="15.75" customHeight="1">
      <c r="A102" s="10"/>
      <c r="B102" s="93" t="s">
        <v>211</v>
      </c>
      <c r="C102" s="200">
        <f>BS!C4</f>
        <v>676</v>
      </c>
      <c r="D102" s="89"/>
      <c r="E102" s="304"/>
      <c r="F102" s="89"/>
      <c r="G102" s="185">
        <f>IF(G$4="","",Data!D77)</f>
        <v>709</v>
      </c>
      <c r="H102" s="185">
        <f>IF(H$4="","",Data!E77)</f>
        <v>655</v>
      </c>
      <c r="I102" s="185">
        <f>IF(I$4="","",Data!F77)</f>
        <v>722</v>
      </c>
      <c r="J102" s="185">
        <f>IF(J$4="","",Data!G77)</f>
        <v>672</v>
      </c>
      <c r="K102" s="185">
        <f>IF(K$4="","",Data!H77)</f>
        <v>670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0</v>
      </c>
      <c r="D103" s="89"/>
      <c r="E103" s="304"/>
      <c r="F103" s="89"/>
      <c r="G103" s="185">
        <f>IF(G$4="","",Data!D78)</f>
        <v>0</v>
      </c>
      <c r="H103" s="185">
        <f>IF(H$4="","",Data!E78)</f>
        <v>0</v>
      </c>
      <c r="I103" s="185">
        <f>IF(I$4="","",Data!F78)</f>
        <v>0</v>
      </c>
      <c r="J103" s="185">
        <f>IF(J$4="","",Data!G78)</f>
        <v>0</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16447</v>
      </c>
      <c r="D104" s="26"/>
      <c r="E104" s="303"/>
      <c r="F104" s="26"/>
      <c r="G104" s="183">
        <f>Data!C79</f>
        <v>16447</v>
      </c>
      <c r="H104" s="183">
        <f>Data!D79</f>
        <v>12939</v>
      </c>
      <c r="I104" s="183">
        <f>Data!E79</f>
        <v>13373</v>
      </c>
      <c r="J104" s="183">
        <f>Data!F79</f>
        <v>12899</v>
      </c>
      <c r="K104" s="183">
        <f>Data!G79</f>
        <v>12618</v>
      </c>
      <c r="L104" s="183">
        <f>Data!H79</f>
        <v>11885</v>
      </c>
      <c r="M104" s="183">
        <f>Data!I79</f>
        <v>9989.6569999999992</v>
      </c>
      <c r="N104" s="183">
        <f>Data!J79</f>
        <v>9853.2479999999996</v>
      </c>
      <c r="O104" s="183">
        <f>Data!K79</f>
        <v>8795.61</v>
      </c>
      <c r="P104" s="183">
        <f>Data!L79</f>
        <v>8213.1530000000002</v>
      </c>
      <c r="Q104" s="183" t="str">
        <f>Data!M79</f>
        <v/>
      </c>
    </row>
    <row r="105" spans="1:17" ht="15.75" customHeight="1">
      <c r="A105" s="10"/>
      <c r="B105" s="26" t="s">
        <v>30</v>
      </c>
      <c r="C105" s="199">
        <f>BS!G27</f>
        <v>11074</v>
      </c>
      <c r="D105" s="26"/>
      <c r="E105" s="303"/>
      <c r="F105" s="26"/>
      <c r="G105" s="183">
        <f>Data!C80</f>
        <v>11074</v>
      </c>
      <c r="H105" s="183">
        <f>Data!D80</f>
        <v>-2565</v>
      </c>
      <c r="I105" s="183">
        <f>Data!E80</f>
        <v>-3351</v>
      </c>
      <c r="J105" s="183">
        <f>Data!F80</f>
        <v>-2625</v>
      </c>
      <c r="K105" s="183">
        <f>Data!G80</f>
        <v>-2285</v>
      </c>
      <c r="L105" s="183">
        <f>Data!H80</f>
        <v>-736</v>
      </c>
      <c r="M105" s="183">
        <f>Data!I80</f>
        <v>-1816.921</v>
      </c>
      <c r="N105" s="183">
        <f>Data!J80</f>
        <v>-1523.874</v>
      </c>
      <c r="O105" s="183">
        <f>Data!K80</f>
        <v>-792.01499999999999</v>
      </c>
      <c r="P105" s="183">
        <f>Data!L80</f>
        <v>-166.49100000000001</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7.649005685836327E-2</v>
      </c>
      <c r="D108" s="26"/>
      <c r="E108" s="303"/>
      <c r="F108" s="26"/>
      <c r="G108" s="94">
        <f t="shared" ref="G108:Q108" si="43">IF(G$4="","",G102/G$4)</f>
        <v>8.1503621105874238E-2</v>
      </c>
      <c r="H108" s="94">
        <f t="shared" si="43"/>
        <v>7.3159834692281919E-2</v>
      </c>
      <c r="I108" s="94">
        <f t="shared" si="43"/>
        <v>8.019549039209152E-2</v>
      </c>
      <c r="J108" s="94">
        <f t="shared" si="43"/>
        <v>7.7276908923643056E-2</v>
      </c>
      <c r="K108" s="94">
        <f t="shared" si="43"/>
        <v>8.3333333333333329E-2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v>
      </c>
      <c r="D109" s="26"/>
      <c r="E109" s="303"/>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-0.83903614457831321</v>
      </c>
      <c r="H113" s="334">
        <f>IF(H$4="","",Data!D$22/Data!D15)</f>
        <v>1.4705882352941178</v>
      </c>
      <c r="I113" s="334">
        <f>IF(I$4="","",Data!E$22/Data!E15)</f>
        <v>1.6290189612530914</v>
      </c>
      <c r="J113" s="334">
        <f>IF(J$4="","",Data!F$22/Data!F15)</f>
        <v>1.5205479452054795</v>
      </c>
      <c r="K113" s="334">
        <f>IF(K$4="","",Data!G$22/Data!G15)</f>
        <v>15.404580152671755</v>
      </c>
      <c r="L113" s="334">
        <f>IF(L$4="","",Data!H$22/Data!H15)</f>
        <v>2.2067833698030634</v>
      </c>
      <c r="M113" s="334">
        <f>IF(M$4="","",Data!I$22/Data!I15)</f>
        <v>1.5991403979783874</v>
      </c>
      <c r="N113" s="334">
        <f>IF(N$4="","",Data!J$22/Data!J15)</f>
        <v>2.8639698846132475</v>
      </c>
      <c r="O113" s="334">
        <f>IF(O$4="","",Data!K$22/Data!K15)</f>
        <v>2.3048142393485742</v>
      </c>
      <c r="P113" s="334">
        <f>IF(P$4="","",Data!L$22/Data!L15)</f>
        <v>2.4406365013222842</v>
      </c>
      <c r="Q113" s="334" t="str">
        <f>IF(Q$4="","",Data!M$22/Data!M15)</f>
        <v/>
      </c>
    </row>
    <row r="114" spans="1:17" ht="15.75" customHeight="1">
      <c r="A114" s="10"/>
      <c r="B114" s="2" t="s">
        <v>400</v>
      </c>
      <c r="C114" s="170"/>
      <c r="E114" s="302"/>
      <c r="G114" s="334">
        <f>IF(G$4="","",Data!C$22/G19)</f>
        <v>1.6120370370370369</v>
      </c>
      <c r="H114" s="334">
        <f>IF(H$4="","",Data!D$22/H19)</f>
        <v>2.030735455543359</v>
      </c>
      <c r="I114" s="334">
        <f>IF(I$4="","",Data!E$22/I19)</f>
        <v>0.57964212378996771</v>
      </c>
      <c r="J114" s="334">
        <f>IF(J$4="","",Data!F$22/J19)</f>
        <v>0.54367346938775507</v>
      </c>
      <c r="K114" s="334">
        <f>IF(K$4="","",Data!G$22/K19)</f>
        <v>0.59704142011834316</v>
      </c>
      <c r="L114" s="334">
        <f>IF(L$4="","",Data!H$22/L19)</f>
        <v>0.54602057390362746</v>
      </c>
      <c r="M114" s="334">
        <f>IF(M$4="","",Data!I$22/M19)</f>
        <v>0.65580755908279886</v>
      </c>
      <c r="N114" s="334">
        <f>IF(N$4="","",Data!J$22/N19)</f>
        <v>0.78592484792628292</v>
      </c>
      <c r="O114" s="334">
        <f>IF(O$4="","",Data!K$22/O19)</f>
        <v>0.73254376654547337</v>
      </c>
      <c r="P114" s="334">
        <f>IF(P$4="","",Data!L$22/P19)</f>
        <v>0.60817403232674216</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0.23497655430253014</v>
      </c>
      <c r="E117" s="302"/>
      <c r="G117" s="23">
        <f t="shared" ref="G117:Q117" si="45">G81</f>
        <v>0.14829290723071617</v>
      </c>
      <c r="H117" s="23">
        <f t="shared" si="45"/>
        <v>0.15335641684351614</v>
      </c>
      <c r="I117" s="23">
        <f t="shared" si="45"/>
        <v>0.42219260246584472</v>
      </c>
      <c r="J117" s="23">
        <f t="shared" si="45"/>
        <v>0.44698712051517941</v>
      </c>
      <c r="K117" s="23">
        <f t="shared" si="45"/>
        <v>0.45758706467661692</v>
      </c>
      <c r="L117" s="23">
        <f t="shared" si="45"/>
        <v>0.51026430587631511</v>
      </c>
      <c r="M117" s="23">
        <f t="shared" si="45"/>
        <v>0.53927899808203239</v>
      </c>
      <c r="N117" s="23">
        <f t="shared" si="45"/>
        <v>0.54880298698888075</v>
      </c>
      <c r="O117" s="23">
        <f t="shared" si="45"/>
        <v>0.53668525597841032</v>
      </c>
      <c r="P117" s="23">
        <f t="shared" si="45"/>
        <v>0.53123855320873392</v>
      </c>
      <c r="Q117" s="23" t="str">
        <f t="shared" si="45"/>
        <v/>
      </c>
    </row>
    <row r="118" spans="1:17" ht="15.75" customHeight="1">
      <c r="B118" s="7" t="s">
        <v>84</v>
      </c>
      <c r="C118" s="42">
        <f>C4/C101</f>
        <v>0.32112750263435197</v>
      </c>
      <c r="E118" s="302"/>
      <c r="G118" s="42">
        <f t="shared" ref="G118:Q118" si="46">IF(G4="","",G4/G101)</f>
        <v>0.31608589804149556</v>
      </c>
      <c r="H118" s="42">
        <f t="shared" si="46"/>
        <v>0.86302294197031038</v>
      </c>
      <c r="I118" s="42">
        <f t="shared" si="46"/>
        <v>0.8983236878866494</v>
      </c>
      <c r="J118" s="42">
        <f t="shared" si="46"/>
        <v>0.84640840957757446</v>
      </c>
      <c r="K118" s="42">
        <f t="shared" si="46"/>
        <v>0.77808961579405789</v>
      </c>
      <c r="L118" s="42">
        <f t="shared" si="46"/>
        <v>0.69907615032738357</v>
      </c>
      <c r="M118" s="42">
        <f t="shared" si="46"/>
        <v>0.70609059193885626</v>
      </c>
      <c r="N118" s="42">
        <f t="shared" si="46"/>
        <v>0.65132493750430709</v>
      </c>
      <c r="O118" s="42">
        <f t="shared" si="46"/>
        <v>0.62687079993427952</v>
      </c>
      <c r="P118" s="42">
        <f t="shared" si="46"/>
        <v>0.56794457130173981</v>
      </c>
      <c r="Q118" s="42" t="str">
        <f t="shared" si="46"/>
        <v/>
      </c>
    </row>
    <row r="119" spans="1:17" ht="15.75" customHeight="1">
      <c r="B119" s="7" t="s">
        <v>92</v>
      </c>
      <c r="C119" s="15">
        <f>C101/C105</f>
        <v>2.4851905363915479</v>
      </c>
      <c r="D119" s="11"/>
      <c r="E119" s="306"/>
      <c r="F119" s="11"/>
      <c r="G119" s="15">
        <f t="shared" ref="G119:Q119" si="47">IF(G$4="","",G101/G105)</f>
        <v>2.4851905363915479</v>
      </c>
      <c r="H119" s="15">
        <f t="shared" si="47"/>
        <v>-4.0444444444444443</v>
      </c>
      <c r="I119" s="15">
        <f t="shared" si="47"/>
        <v>-2.9907490301402566</v>
      </c>
      <c r="J119" s="15">
        <f t="shared" si="47"/>
        <v>-3.913904761904762</v>
      </c>
      <c r="K119" s="15">
        <f t="shared" si="47"/>
        <v>-4.5221006564551418</v>
      </c>
      <c r="L119" s="15">
        <f t="shared" si="47"/>
        <v>-15.148097826086957</v>
      </c>
      <c r="M119" s="15">
        <f t="shared" si="47"/>
        <v>-4.4981240241045146</v>
      </c>
      <c r="N119" s="15">
        <f t="shared" si="47"/>
        <v>-5.46592041074262</v>
      </c>
      <c r="O119" s="15">
        <f t="shared" si="47"/>
        <v>-10.105357853070965</v>
      </c>
      <c r="P119" s="15">
        <f t="shared" si="47"/>
        <v>-48.330912782072303</v>
      </c>
      <c r="Q119" s="15" t="str">
        <f t="shared" si="47"/>
        <v/>
      </c>
    </row>
    <row r="120" spans="1:17" ht="15.75" customHeight="1">
      <c r="A120" s="10"/>
      <c r="B120" s="70" t="s">
        <v>223</v>
      </c>
      <c r="C120" s="102">
        <f>C8/C105</f>
        <v>0.23722028571855602</v>
      </c>
      <c r="D120" s="103"/>
      <c r="E120" s="305"/>
      <c r="F120" s="103"/>
      <c r="G120" s="102">
        <f t="shared" ref="G120:Q120" si="48">IF(G$4="","",G8/G105)</f>
        <v>0.1748239118656312</v>
      </c>
      <c r="H120" s="102">
        <f t="shared" si="48"/>
        <v>-0.7407407407407407</v>
      </c>
      <c r="I120" s="102">
        <f t="shared" si="48"/>
        <v>-1.4541927782751418</v>
      </c>
      <c r="J120" s="102">
        <f t="shared" si="48"/>
        <v>-1.8011428571428572</v>
      </c>
      <c r="K120" s="102">
        <f t="shared" si="48"/>
        <v>-1.9522975929978119</v>
      </c>
      <c r="L120" s="102">
        <f t="shared" si="48"/>
        <v>-5.9334239130434785</v>
      </c>
      <c r="M120" s="102">
        <f t="shared" si="48"/>
        <v>-1.9054686472334239</v>
      </c>
      <c r="N120" s="102">
        <f t="shared" si="48"/>
        <v>-2.1807229469103087</v>
      </c>
      <c r="O120" s="102">
        <f t="shared" si="48"/>
        <v>-3.8179744070503716</v>
      </c>
      <c r="P120" s="102">
        <f t="shared" si="48"/>
        <v>-16.378627072934872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8">
        <f>C16*$C$3/Common_Shares*Exchange_Rate</f>
        <v>4.5589615473381944</v>
      </c>
      <c r="D124" s="27"/>
      <c r="E124" s="299"/>
      <c r="F124" s="27"/>
      <c r="G124" s="178">
        <f t="shared" ref="G124:Q124" si="49">IF(G$4="","",G16*$C$3/Common_Shares*Exchange_Rate)</f>
        <v>3.1890768213172067</v>
      </c>
      <c r="H124" s="178">
        <f t="shared" si="49"/>
        <v>2.6900453557592363</v>
      </c>
      <c r="I124" s="178">
        <f t="shared" si="49"/>
        <v>10.06626192950959</v>
      </c>
      <c r="J124" s="178">
        <f t="shared" si="49"/>
        <v>10.851719739204384</v>
      </c>
      <c r="K124" s="178">
        <f t="shared" si="49"/>
        <v>9.9806293111594062</v>
      </c>
      <c r="L124" s="178">
        <f t="shared" si="49"/>
        <v>10.907823868468299</v>
      </c>
      <c r="M124" s="178">
        <f t="shared" si="49"/>
        <v>8.4667981668713974</v>
      </c>
      <c r="N124" s="178">
        <f t="shared" si="49"/>
        <v>6.9717530473400737</v>
      </c>
      <c r="O124" s="178">
        <f t="shared" si="49"/>
        <v>6.9301621704620633</v>
      </c>
      <c r="P124" s="178">
        <f t="shared" si="49"/>
        <v>6.0402030378909579</v>
      </c>
      <c r="Q124" s="178" t="str">
        <f t="shared" si="49"/>
        <v/>
      </c>
    </row>
    <row r="125" spans="1:17" ht="15.75" customHeight="1">
      <c r="A125" s="10"/>
      <c r="B125" s="27" t="s">
        <v>270</v>
      </c>
      <c r="C125" s="77">
        <f>C19*Exchange_Rate*$C$3/(Market_Price*Common_Shares)</f>
        <v>0.2098969404851839</v>
      </c>
      <c r="D125" s="27"/>
      <c r="E125" s="299"/>
      <c r="F125" s="27"/>
      <c r="G125" s="77">
        <f t="shared" ref="G125" si="50">IF(G$4="","",G124/Market_Price)</f>
        <v>0.1468267413129469</v>
      </c>
      <c r="H125" s="77">
        <f t="shared" ref="H125" si="51">IF(H$4="","",H124/Market_Price)</f>
        <v>0.12385107531119874</v>
      </c>
      <c r="I125" s="77">
        <f t="shared" ref="I125" si="52">IF(I$4="","",I124/Market_Price)</f>
        <v>0.46345588994058889</v>
      </c>
      <c r="J125" s="77">
        <f t="shared" ref="J125" si="53">IF(J$4="","",J124/Market_Price)</f>
        <v>0.49961877252322212</v>
      </c>
      <c r="K125" s="77">
        <f t="shared" ref="K125" si="54">IF(K$4="","",K124/Market_Price)</f>
        <v>0.45951332003496348</v>
      </c>
      <c r="L125" s="77">
        <f t="shared" ref="L125" si="55">IF(L$4="","",L124/Market_Price)</f>
        <v>0.50220183556483877</v>
      </c>
      <c r="M125" s="77">
        <f t="shared" ref="M125" si="56">IF(M$4="","",M124/Market_Price)</f>
        <v>0.38981575353919878</v>
      </c>
      <c r="N125" s="77">
        <f t="shared" ref="N125" si="57">IF(N$4="","",N124/Market_Price)</f>
        <v>0.32098310531031649</v>
      </c>
      <c r="O125" s="77">
        <f t="shared" ref="O125" si="58">IF(O$4="","",O124/Market_Price)</f>
        <v>0.31906823989236022</v>
      </c>
      <c r="P125" s="77">
        <f t="shared" ref="P125" si="59">IF(P$4="","",P124/Market_Price)</f>
        <v>0.2780940625179999</v>
      </c>
      <c r="Q125" s="77" t="str">
        <f t="shared" ref="Q125" si="60">IF(Q$4="","",Q124/Market_Price)</f>
        <v/>
      </c>
    </row>
    <row r="126" spans="1:17" ht="15.75" customHeight="1">
      <c r="B126" s="2" t="s">
        <v>402</v>
      </c>
      <c r="C126" s="170"/>
      <c r="G126" s="23">
        <f>IF(G$4="","",(Data!C47*$C$3)/(Market_Price*Common_Shares))</f>
        <v>-0.28209767428181931</v>
      </c>
      <c r="H126" s="23">
        <f>IF(H$4="","",(Data!D47*$C$3)/(Market_Price*Common_Shares))</f>
        <v>0.17102596349230298</v>
      </c>
      <c r="I126" s="23">
        <f>IF(I$4="","",(Data!E47*$C$3)/(Market_Price*Common_Shares))</f>
        <v>0.16490818260426351</v>
      </c>
      <c r="J126" s="23">
        <f>IF(J$4="","",(Data!F47*$C$3)/(Market_Price*Common_Shares))</f>
        <v>0.17863920193075208</v>
      </c>
      <c r="K126" s="23">
        <f>IF(K$4="","",(Data!G47*$C$3)/(Market_Price*Common_Shares))</f>
        <v>1.7809539918514857E-2</v>
      </c>
      <c r="L126" s="23">
        <f>IF(L$4="","",(Data!H47*$C$3)/(Market_Price*Common_Shares))</f>
        <v>0.12425892737040137</v>
      </c>
      <c r="M126" s="23">
        <f>IF(M$4="","",(Data!I47*$C$3)/(Market_Price*Common_Shares))</f>
        <v>0.1598634604839862</v>
      </c>
      <c r="N126" s="23">
        <f>IF(N$4="","",(Data!J47*$C$3)/(Market_Price*Common_Shares))</f>
        <v>8.8083537324619265E-2</v>
      </c>
      <c r="O126" s="23">
        <f>IF(O$4="","",(Data!K47*$C$3)/(Market_Price*Common_Shares))</f>
        <v>0.10141010335906521</v>
      </c>
      <c r="P126" s="23">
        <f>IF(P$4="","",(Data!L47*$C$3)/(Market_Price*Common_Shares))</f>
        <v>6.9297327675000506E-2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1543.9196817753634</v>
      </c>
      <c r="D4" t="str">
        <f>Reporting_currency</f>
        <v>USD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19298.996022192041</v>
      </c>
      <c r="D6" t="str">
        <f>Reporting_currency</f>
        <v>USD</v>
      </c>
      <c r="E6" s="348" t="s">
        <v>250</v>
      </c>
      <c r="F6" s="348"/>
      <c r="H6" s="121"/>
    </row>
    <row r="7" spans="2:8">
      <c r="B7" s="149" t="s">
        <v>225</v>
      </c>
      <c r="C7" s="226">
        <f>BS!G31</f>
        <v>10547</v>
      </c>
      <c r="D7" t="str">
        <f>Reporting_currency</f>
        <v>USD</v>
      </c>
      <c r="E7" s="348"/>
      <c r="F7" s="348"/>
      <c r="H7" s="121"/>
    </row>
    <row r="8" spans="2:8">
      <c r="B8" s="149" t="s">
        <v>226</v>
      </c>
      <c r="C8" s="201">
        <f>BS!D66</f>
        <v>-372.31656312939253</v>
      </c>
      <c r="D8" t="str">
        <f>Reporting_currency</f>
        <v>USD</v>
      </c>
      <c r="E8" s="348"/>
      <c r="F8" s="348"/>
      <c r="H8" s="121"/>
    </row>
    <row r="9" spans="2:8">
      <c r="B9" s="227" t="s">
        <v>191</v>
      </c>
      <c r="C9" s="229">
        <f>BS!H42</f>
        <v>625.79999999999995</v>
      </c>
      <c r="D9" t="str">
        <f>Reporting_currency</f>
        <v>USD</v>
      </c>
      <c r="E9" s="348"/>
      <c r="F9" s="348"/>
      <c r="H9" s="121"/>
    </row>
    <row r="10" spans="2:8" ht="13.15">
      <c r="B10" s="150" t="s">
        <v>228</v>
      </c>
      <c r="C10" s="232">
        <f>C6-C7+C8+C9</f>
        <v>9005.4794590626479</v>
      </c>
      <c r="D10" t="str">
        <f>Reporting_currency</f>
        <v>USD</v>
      </c>
      <c r="H10" s="121"/>
    </row>
    <row r="11" spans="2:8" ht="13.15" thickBot="1">
      <c r="B11" s="230" t="s">
        <v>167</v>
      </c>
      <c r="C11" s="231">
        <f>Exchange_Rate</f>
        <v>1</v>
      </c>
      <c r="D11" t="str">
        <f>Thesis!D17</f>
        <v>USD</v>
      </c>
      <c r="H11" s="121"/>
    </row>
    <row r="12" spans="2:8" ht="13.5" thickTop="1">
      <c r="B12" s="150" t="s">
        <v>103</v>
      </c>
      <c r="C12" s="112">
        <f>(C10*scaling_factor)/Common_Shares*Exchange_Rate</f>
        <v>26.591820192356398</v>
      </c>
      <c r="D12" t="str">
        <f>Market_currency</f>
        <v>USD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1.49597842339395E-2</v>
      </c>
      <c r="H16" s="121"/>
    </row>
    <row r="17" spans="2:8" ht="13.25" customHeight="1">
      <c r="B17" s="119" t="s">
        <v>135</v>
      </c>
      <c r="C17" s="163">
        <f>Scenarios!C64</f>
        <v>10</v>
      </c>
      <c r="H17" s="121"/>
    </row>
    <row r="18" spans="2:8" ht="13.25" customHeight="1">
      <c r="B18" s="154" t="s">
        <v>107</v>
      </c>
      <c r="C18" s="141">
        <f>(F52-C7+C8+C9)*Exchange_Rate/Common_Shares*scaling_factor</f>
        <v>29.310620301790603</v>
      </c>
      <c r="D18" t="str">
        <f>Market_currency</f>
        <v>USD</v>
      </c>
      <c r="H18" s="121"/>
    </row>
    <row r="19" spans="2:8">
      <c r="H19" s="121"/>
    </row>
    <row r="20" spans="2:8" ht="13.15">
      <c r="B20" s="129" t="s">
        <v>108</v>
      </c>
      <c r="C20" s="129" t="s">
        <v>109</v>
      </c>
      <c r="D20" s="129" t="s">
        <v>119</v>
      </c>
      <c r="E20" s="129" t="s">
        <v>110</v>
      </c>
      <c r="F20" s="130" t="s">
        <v>111</v>
      </c>
      <c r="H20" s="121"/>
    </row>
    <row r="21" spans="2:8">
      <c r="B21" s="123">
        <v>1</v>
      </c>
      <c r="C21" s="124">
        <f>C4*(1+D21)</f>
        <v>1567.0163870892554</v>
      </c>
      <c r="D21" s="139">
        <f>IF($C$17&lt;B21,0,Valuation_Model!$C$16)</f>
        <v>1.49597842339395E-2</v>
      </c>
      <c r="E21" s="125">
        <f t="shared" ref="E21:E50" si="0">IF($C$17&lt;B21,0,1/(1+Equity_Cost)^B21)</f>
        <v>0.92592592592592582</v>
      </c>
      <c r="F21" s="126">
        <f t="shared" ref="F21:F51" si="1">C21*E21</f>
        <v>1450.9410991567179</v>
      </c>
      <c r="H21" s="121"/>
    </row>
    <row r="22" spans="2:8">
      <c r="B22" s="123">
        <v>2</v>
      </c>
      <c r="C22" s="124">
        <f t="shared" ref="C22:C50" si="2">IF(ROW()-ROW($C$21)&lt;$C$17, $C$21*(1+D22)^(ROW()-ROW($C$21)), 0)</f>
        <v>1590.4586141311581</v>
      </c>
      <c r="D22" s="139">
        <f>IF($C$17&lt;B22,0,Valuation_Model!$C$16)</f>
        <v>1.49597842339395E-2</v>
      </c>
      <c r="E22" s="125">
        <f t="shared" si="0"/>
        <v>0.85733882030178321</v>
      </c>
      <c r="F22" s="126">
        <f t="shared" si="1"/>
        <v>1363.561911978016</v>
      </c>
      <c r="H22" s="121"/>
    </row>
    <row r="23" spans="2:8">
      <c r="B23" s="123">
        <v>3</v>
      </c>
      <c r="C23" s="124">
        <f t="shared" si="2"/>
        <v>1614.2515318315707</v>
      </c>
      <c r="D23" s="139">
        <f>IF($C$17&lt;B23,0,Valuation_Model!$C$16)</f>
        <v>1.49597842339395E-2</v>
      </c>
      <c r="E23" s="125">
        <f t="shared" si="0"/>
        <v>0.79383224102016958</v>
      </c>
      <c r="F23" s="126">
        <f t="shared" si="1"/>
        <v>1281.4449110840974</v>
      </c>
      <c r="H23" s="121"/>
    </row>
    <row r="24" spans="2:8">
      <c r="B24" s="123">
        <v>4</v>
      </c>
      <c r="C24" s="124">
        <f t="shared" si="2"/>
        <v>1638.4003864470774</v>
      </c>
      <c r="D24" s="139">
        <f>IF($C$17&lt;B24,0,Valuation_Model!$C$16)</f>
        <v>1.49597842339395E-2</v>
      </c>
      <c r="E24" s="125">
        <f t="shared" si="0"/>
        <v>0.73502985279645328</v>
      </c>
      <c r="F24" s="126">
        <f t="shared" si="1"/>
        <v>1204.2731948718474</v>
      </c>
      <c r="H24" s="121"/>
    </row>
    <row r="25" spans="2:8">
      <c r="B25" s="123">
        <v>5</v>
      </c>
      <c r="C25" s="124">
        <f t="shared" si="2"/>
        <v>1662.9105027171286</v>
      </c>
      <c r="D25" s="139">
        <f>IF($C$17&lt;B25,0,Valuation_Model!$C$16)</f>
        <v>1.49597842339395E-2</v>
      </c>
      <c r="E25" s="125">
        <f t="shared" si="0"/>
        <v>0.68058319703375303</v>
      </c>
      <c r="F25" s="126">
        <f t="shared" si="1"/>
        <v>1131.7489463202289</v>
      </c>
      <c r="H25" s="121"/>
    </row>
    <row r="26" spans="2:8">
      <c r="B26" s="123">
        <v>6</v>
      </c>
      <c r="C26" s="124">
        <f t="shared" si="2"/>
        <v>1687.7872850381286</v>
      </c>
      <c r="D26" s="139">
        <f>IF($C$17&lt;B26,0,Valuation_Model!$C$16)</f>
        <v>1.49597842339395E-2</v>
      </c>
      <c r="E26" s="125">
        <f t="shared" si="0"/>
        <v>0.63016962688310452</v>
      </c>
      <c r="F26" s="126">
        <f t="shared" si="1"/>
        <v>1063.5922836705254</v>
      </c>
      <c r="H26" s="121"/>
    </row>
    <row r="27" spans="2:8">
      <c r="B27" s="123">
        <v>7</v>
      </c>
      <c r="C27" s="124">
        <f t="shared" si="2"/>
        <v>1713.0362186550856</v>
      </c>
      <c r="D27" s="139">
        <f>IF($C$17&lt;B27,0,Valuation_Model!$C$16)</f>
        <v>1.49597842339395E-2</v>
      </c>
      <c r="E27" s="125">
        <f t="shared" si="0"/>
        <v>0.58349039526213387</v>
      </c>
      <c r="F27" s="126">
        <f t="shared" si="1"/>
        <v>999.54018032140709</v>
      </c>
      <c r="H27" s="121"/>
    </row>
    <row r="28" spans="2:8">
      <c r="B28" s="123">
        <v>8</v>
      </c>
      <c r="C28" s="124">
        <f t="shared" si="2"/>
        <v>1738.6628708710896</v>
      </c>
      <c r="D28" s="139">
        <f>IF($C$17&lt;B28,0,Valuation_Model!$C$16)</f>
        <v>1.49597842339395E-2</v>
      </c>
      <c r="E28" s="125">
        <f t="shared" si="0"/>
        <v>0.54026888450197574</v>
      </c>
      <c r="F28" s="126">
        <f t="shared" si="1"/>
        <v>939.34544977052622</v>
      </c>
      <c r="H28" s="121"/>
    </row>
    <row r="29" spans="2:8">
      <c r="B29" s="123">
        <v>9</v>
      </c>
      <c r="C29" s="124">
        <f t="shared" si="2"/>
        <v>1764.6728922748828</v>
      </c>
      <c r="D29" s="139">
        <f>IF($C$17&lt;B29,0,Valuation_Model!$C$16)</f>
        <v>1.49597842339395E-2</v>
      </c>
      <c r="E29" s="125">
        <f t="shared" si="0"/>
        <v>0.50024896713145905</v>
      </c>
      <c r="F29" s="126">
        <f t="shared" si="1"/>
        <v>882.77579168539467</v>
      </c>
      <c r="H29" s="121"/>
    </row>
    <row r="30" spans="2:8">
      <c r="B30" s="123">
        <v>10</v>
      </c>
      <c r="C30" s="124">
        <f t="shared" si="2"/>
        <v>1791.0720179867972</v>
      </c>
      <c r="D30" s="139">
        <f>IF($C$17&lt;B30,0,Valuation_Model!$C$16)</f>
        <v>1.49597842339395E-2</v>
      </c>
      <c r="E30" s="125">
        <f t="shared" si="0"/>
        <v>0.46319348808468425</v>
      </c>
      <c r="F30" s="126">
        <f t="shared" si="1"/>
        <v>829.61289542217889</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19587.704838615693</v>
      </c>
      <c r="D51" s="140">
        <f>Terminal_Growth</f>
        <v>0</v>
      </c>
      <c r="E51" s="125">
        <f>1/(1+Equity_Cost)^C17</f>
        <v>0.46319348808468425</v>
      </c>
      <c r="F51" s="126">
        <f t="shared" si="1"/>
        <v>9072.8973277716505</v>
      </c>
      <c r="H51" s="121"/>
    </row>
    <row r="52" spans="1:8">
      <c r="C52" s="115"/>
      <c r="E52" s="128" t="s">
        <v>101</v>
      </c>
      <c r="F52" s="138">
        <f>SUM(F21:F51)</f>
        <v>20219.733992052592</v>
      </c>
      <c r="H52" s="121"/>
    </row>
    <row r="53" spans="1:8">
      <c r="C53" s="115"/>
      <c r="H53" s="121"/>
    </row>
    <row r="54" spans="1:8" ht="13.15">
      <c r="B54" s="120" t="s">
        <v>130</v>
      </c>
      <c r="C54" s="137"/>
      <c r="D54" s="137"/>
      <c r="E54" s="118"/>
      <c r="F54" s="118"/>
      <c r="H54" s="121"/>
    </row>
    <row r="55" spans="1:8" ht="13.15">
      <c r="A55" s="134">
        <f>F52</f>
        <v>20219.733992052592</v>
      </c>
      <c r="B55" s="132">
        <f>C78</f>
        <v>-0.05</v>
      </c>
      <c r="C55" s="132">
        <f>C77</f>
        <v>-0.01</v>
      </c>
      <c r="D55" s="132">
        <f>C76</f>
        <v>1.4999999999999999E-2</v>
      </c>
      <c r="E55" s="132">
        <f>C75</f>
        <v>3.5000000000000003E-2</v>
      </c>
      <c r="F55" s="132">
        <f>C74</f>
        <v>5.5E-2</v>
      </c>
      <c r="H55" s="121"/>
    </row>
    <row r="56" spans="1:8" ht="13.15">
      <c r="A56" s="144">
        <v>5</v>
      </c>
      <c r="B56" s="124">
        <f t="dataTable" ref="B56:F61" dt2D="1" dtr="1" r1="C16" r2="C17"/>
        <v>17818.722901835274</v>
      </c>
      <c r="C56" s="124">
        <v>18994.397234776105</v>
      </c>
      <c r="D56" s="124">
        <v>19764.294055126818</v>
      </c>
      <c r="E56" s="124">
        <v>20400.891843841579</v>
      </c>
      <c r="F56" s="124">
        <v>21056.750255914718</v>
      </c>
      <c r="H56" s="121"/>
    </row>
    <row r="57" spans="1:8" ht="13.15">
      <c r="A57" s="144">
        <v>10</v>
      </c>
      <c r="B57" s="124">
        <v>16645.715993657614</v>
      </c>
      <c r="C57" s="124">
        <v>18718.600560690382</v>
      </c>
      <c r="D57" s="124">
        <v>20222.298057937485</v>
      </c>
      <c r="E57" s="124">
        <v>21560.563641786088</v>
      </c>
      <c r="F57" s="124">
        <v>23034.765170543775</v>
      </c>
      <c r="H57" s="121"/>
    </row>
    <row r="58" spans="1:8" ht="13.15">
      <c r="A58" s="144">
        <v>15</v>
      </c>
      <c r="B58" s="124">
        <v>15414.352782109056</v>
      </c>
      <c r="C58" s="124">
        <v>18401.557530483009</v>
      </c>
      <c r="D58" s="124">
        <v>20782.078758971373</v>
      </c>
      <c r="E58" s="124">
        <v>23052.610075736844</v>
      </c>
      <c r="F58" s="124">
        <v>25718.874711721473</v>
      </c>
      <c r="H58" s="121"/>
    </row>
    <row r="59" spans="1:8" ht="13.15">
      <c r="A59" s="145">
        <v>20</v>
      </c>
      <c r="B59" s="124">
        <v>14348.262086889838</v>
      </c>
      <c r="C59" s="124">
        <v>18102.070631485709</v>
      </c>
      <c r="D59" s="124">
        <v>21344.937045637544</v>
      </c>
      <c r="E59" s="124">
        <v>24636.153221686189</v>
      </c>
      <c r="F59" s="124">
        <v>28735.695134019465</v>
      </c>
      <c r="H59" s="121"/>
    </row>
    <row r="60" spans="1:8" ht="13.15">
      <c r="A60" s="145">
        <v>25</v>
      </c>
      <c r="B60" s="124">
        <v>13502.604782293343</v>
      </c>
      <c r="C60" s="124">
        <v>17844.063663757221</v>
      </c>
      <c r="D60" s="124">
        <v>21861.360664038679</v>
      </c>
      <c r="E60" s="124">
        <v>26173.077273760493</v>
      </c>
      <c r="F60" s="124">
        <v>31847.445371511814</v>
      </c>
      <c r="H60" s="121"/>
    </row>
    <row r="61" spans="1:8" ht="13.15">
      <c r="A61" s="145">
        <v>30</v>
      </c>
      <c r="B61" s="124">
        <v>12863.820508775741</v>
      </c>
      <c r="C61" s="124">
        <v>17633.400864593372</v>
      </c>
      <c r="D61" s="124">
        <v>22310.600905433981</v>
      </c>
      <c r="E61" s="124">
        <v>27590.255083891392</v>
      </c>
      <c r="F61" s="124">
        <v>34906.827873129027</v>
      </c>
      <c r="H61" s="121"/>
    </row>
    <row r="62" spans="1:8">
      <c r="C62" s="115"/>
      <c r="D62" s="115"/>
      <c r="E62" s="115"/>
      <c r="F62" s="115"/>
      <c r="H62" s="121"/>
    </row>
    <row r="63" spans="1:8" ht="13.15">
      <c r="B63" s="120" t="s">
        <v>131</v>
      </c>
      <c r="C63" s="115"/>
      <c r="D63" s="115"/>
      <c r="E63" s="115"/>
      <c r="F63" s="115"/>
      <c r="H63" s="121"/>
    </row>
    <row r="64" spans="1:8" ht="13.15">
      <c r="B64" s="133">
        <f>B55</f>
        <v>-0.05</v>
      </c>
      <c r="C64" s="133">
        <f>C55</f>
        <v>-0.01</v>
      </c>
      <c r="D64" s="133">
        <f>D55</f>
        <v>1.4999999999999999E-2</v>
      </c>
      <c r="E64" s="133">
        <f>E55</f>
        <v>3.5000000000000003E-2</v>
      </c>
      <c r="F64" s="133">
        <f>F55</f>
        <v>5.5E-2</v>
      </c>
      <c r="H64" s="121"/>
    </row>
    <row r="65" spans="1:8" ht="13.15">
      <c r="A65" s="144">
        <v>0</v>
      </c>
      <c r="B65" s="125">
        <f>C12</f>
        <v>26.591820192356398</v>
      </c>
      <c r="C65" s="125">
        <f>C12</f>
        <v>26.591820192356398</v>
      </c>
      <c r="D65" s="125">
        <f>C12</f>
        <v>26.591820192356398</v>
      </c>
      <c r="E65" s="142">
        <f>C12</f>
        <v>26.591820192356398</v>
      </c>
      <c r="F65" s="125">
        <f>C12</f>
        <v>26.591820192356398</v>
      </c>
      <c r="H65" s="121"/>
    </row>
    <row r="66" spans="1:8" ht="13.15">
      <c r="A66" s="144">
        <f t="shared" ref="A66:A71" si="3">A56</f>
        <v>5</v>
      </c>
      <c r="B66" s="125">
        <f t="shared" ref="B66:F71" si="4">(B56-$C$7+$C$8+$C$9)/Common_Shares*$C$3*Exchange_Rate</f>
        <v>22.220797324440973</v>
      </c>
      <c r="C66" s="125">
        <f t="shared" si="4"/>
        <v>25.692385995366131</v>
      </c>
      <c r="D66" s="125">
        <f t="shared" si="4"/>
        <v>27.965774981094164</v>
      </c>
      <c r="E66" s="125">
        <f t="shared" si="4"/>
        <v>29.845552066734935</v>
      </c>
      <c r="F66" s="125">
        <f t="shared" si="4"/>
        <v>31.782202863038972</v>
      </c>
      <c r="H66" s="121"/>
    </row>
    <row r="67" spans="1:8" ht="13.15">
      <c r="A67" s="144">
        <f t="shared" si="3"/>
        <v>10</v>
      </c>
      <c r="B67" s="125">
        <f t="shared" si="4"/>
        <v>18.757085155816586</v>
      </c>
      <c r="C67" s="125">
        <f t="shared" si="4"/>
        <v>24.878000087289131</v>
      </c>
      <c r="D67" s="125">
        <f t="shared" si="4"/>
        <v>29.318191600940459</v>
      </c>
      <c r="E67" s="125">
        <f t="shared" si="4"/>
        <v>33.269887669660939</v>
      </c>
      <c r="F67" s="125">
        <f t="shared" si="4"/>
        <v>37.622982044949396</v>
      </c>
      <c r="H67" s="121"/>
    </row>
    <row r="68" spans="1:8" ht="13.15">
      <c r="A68" s="144">
        <f t="shared" si="3"/>
        <v>15</v>
      </c>
      <c r="B68" s="125">
        <f t="shared" si="4"/>
        <v>15.121055640471935</v>
      </c>
      <c r="C68" s="125">
        <f t="shared" si="4"/>
        <v>23.941819921553485</v>
      </c>
      <c r="D68" s="125">
        <f t="shared" si="4"/>
        <v>30.971139433058855</v>
      </c>
      <c r="E68" s="125">
        <f t="shared" si="4"/>
        <v>37.6756753537733</v>
      </c>
      <c r="F68" s="125">
        <f t="shared" si="4"/>
        <v>45.548751974251395</v>
      </c>
      <c r="H68" s="121"/>
    </row>
    <row r="69" spans="1:8" ht="13.15">
      <c r="A69" s="145">
        <f t="shared" si="3"/>
        <v>20</v>
      </c>
      <c r="B69" s="125">
        <f t="shared" si="4"/>
        <v>11.973050894596421</v>
      </c>
      <c r="C69" s="125">
        <f t="shared" si="4"/>
        <v>23.057480358701209</v>
      </c>
      <c r="D69" s="125">
        <f t="shared" si="4"/>
        <v>32.633174910552746</v>
      </c>
      <c r="E69" s="125">
        <f t="shared" si="4"/>
        <v>42.351639004053659</v>
      </c>
      <c r="F69" s="125">
        <f t="shared" si="4"/>
        <v>54.456966865757792</v>
      </c>
      <c r="H69" s="121"/>
    </row>
    <row r="70" spans="1:8" ht="13.15">
      <c r="A70" s="145">
        <f t="shared" si="3"/>
        <v>25</v>
      </c>
      <c r="B70" s="125">
        <f t="shared" si="4"/>
        <v>9.475952645646176</v>
      </c>
      <c r="C70" s="125">
        <f t="shared" si="4"/>
        <v>22.29562476562597</v>
      </c>
      <c r="D70" s="125">
        <f t="shared" si="4"/>
        <v>34.158095828537768</v>
      </c>
      <c r="E70" s="125">
        <f t="shared" si="4"/>
        <v>46.889943513863919</v>
      </c>
      <c r="F70" s="125">
        <f t="shared" si="4"/>
        <v>63.645495158457024</v>
      </c>
    </row>
    <row r="71" spans="1:8" ht="13.15">
      <c r="A71" s="145">
        <f t="shared" si="3"/>
        <v>30</v>
      </c>
      <c r="B71" s="125">
        <f t="shared" si="4"/>
        <v>7.5897192007416052</v>
      </c>
      <c r="C71" s="125">
        <f t="shared" si="4"/>
        <v>21.673569349026682</v>
      </c>
      <c r="D71" s="125">
        <f t="shared" si="4"/>
        <v>35.484634385053234</v>
      </c>
      <c r="E71" s="125">
        <f t="shared" si="4"/>
        <v>51.074655463839406</v>
      </c>
      <c r="F71" s="125">
        <f t="shared" si="4"/>
        <v>72.679389439430082</v>
      </c>
    </row>
    <row r="73" spans="1:8" ht="13.15">
      <c r="B73" s="172" t="s">
        <v>118</v>
      </c>
      <c r="C73" s="172" t="s">
        <v>133</v>
      </c>
      <c r="D73" s="172" t="s">
        <v>113</v>
      </c>
      <c r="E73" s="173" t="s">
        <v>114</v>
      </c>
      <c r="F73" s="173" t="s">
        <v>120</v>
      </c>
    </row>
    <row r="74" spans="1:8">
      <c r="B74" s="128" t="str">
        <f>Scenarios!B54</f>
        <v>Snowball Scenario</v>
      </c>
      <c r="C74" s="143">
        <f>Scenarios!C56</f>
        <v>5.5E-2</v>
      </c>
      <c r="D74" s="146">
        <f>Scenarios!C55</f>
        <v>15</v>
      </c>
      <c r="E74" s="136">
        <f>INDEX(B$65:F$71, MATCH(D74, A$65:A$71, 0), MATCH(C74, B$64:F$64, 0))</f>
        <v>45.548751974251395</v>
      </c>
      <c r="F74" s="143">
        <f>Scenarios!C58</f>
        <v>0.05</v>
      </c>
    </row>
    <row r="75" spans="1:8">
      <c r="B75" s="128" t="str">
        <f>Scenarios!B36</f>
        <v>Optimistic</v>
      </c>
      <c r="C75" s="143">
        <f>Scenarios!C38</f>
        <v>3.5000000000000003E-2</v>
      </c>
      <c r="D75" s="146">
        <f>Scenarios!C37</f>
        <v>10</v>
      </c>
      <c r="E75" s="136">
        <f>INDEX(B$65:F$71, MATCH(D75, A$65:A$71, 0), MATCH(C75, B$64:F$64, 0))</f>
        <v>33.269887669660939</v>
      </c>
      <c r="F75" s="143">
        <f>Scenarios!C40*(1-F$74-F$78)</f>
        <v>0.22499999999999998</v>
      </c>
      <c r="H75" s="121"/>
    </row>
    <row r="76" spans="1:8">
      <c r="B76" s="128" t="str">
        <f>Scenarios!B24</f>
        <v>Base</v>
      </c>
      <c r="C76" s="143">
        <f>Scenarios!C26</f>
        <v>1.4999999999999999E-2</v>
      </c>
      <c r="D76" s="146">
        <f>Scenarios!C25</f>
        <v>10</v>
      </c>
      <c r="E76" s="136">
        <f>INDEX(B$65:F$71, MATCH(D76, A$65:A$71, 0), MATCH(C76, B$64:F$64, 0))</f>
        <v>29.318191600940459</v>
      </c>
      <c r="F76" s="143">
        <f>Scenarios!C28*(1-F$74-F$78)</f>
        <v>0.44999999999999996</v>
      </c>
      <c r="H76" s="121"/>
    </row>
    <row r="77" spans="1:8">
      <c r="B77" s="128" t="str">
        <f>Scenarios!B30</f>
        <v>Pessimistic</v>
      </c>
      <c r="C77" s="143">
        <f>Scenarios!C32</f>
        <v>-0.01</v>
      </c>
      <c r="D77" s="146">
        <f>Scenarios!C31</f>
        <v>10</v>
      </c>
      <c r="E77" s="136">
        <f>INDEX(B$65:F$71, MATCH(D77, A$65:A$71, 0), MATCH(C77, B$64:F$64, 0))</f>
        <v>24.878000087289131</v>
      </c>
      <c r="F77" s="143">
        <f>Scenarios!C34*(1-F$74-F$78)</f>
        <v>0.22499999999999998</v>
      </c>
      <c r="H77" s="121"/>
    </row>
    <row r="78" spans="1:8">
      <c r="B78" s="128" t="str">
        <f>Scenarios!B48</f>
        <v>Devil's advocate</v>
      </c>
      <c r="C78" s="143">
        <f>Scenarios!C50</f>
        <v>-0.05</v>
      </c>
      <c r="D78" s="146">
        <f>Scenarios!C49</f>
        <v>15</v>
      </c>
      <c r="E78" s="136">
        <f>INDEX(B$65:F$71, MATCH(D78, A$65:A$71, 0), MATCH(C78, B$64:F$64, 0))</f>
        <v>15.121055640471935</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B91" sqref="B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-21.72</v>
      </c>
    </row>
    <row r="4" spans="2:9">
      <c r="B4" s="153" t="s">
        <v>147</v>
      </c>
      <c r="C4" s="121">
        <v>3</v>
      </c>
      <c r="D4" s="121"/>
      <c r="E4" s="156" t="s">
        <v>151</v>
      </c>
      <c r="F4" s="156"/>
      <c r="H4" s="276">
        <v>1</v>
      </c>
      <c r="I4" s="264">
        <f t="shared" ref="I4:I13" si="0">IF(ROW()-3 &lt; $C$76, $C$77, IF(ROW()-3 = $C$76, $C$77 + $C$60, ""))</f>
        <v>0.59360000000000002</v>
      </c>
    </row>
    <row r="5" spans="2:9">
      <c r="H5" s="276">
        <v>2</v>
      </c>
      <c r="I5" s="264">
        <f t="shared" si="0"/>
        <v>0.59360000000000002</v>
      </c>
    </row>
    <row r="6" spans="2:9" ht="13.15">
      <c r="B6" s="160" t="s">
        <v>96</v>
      </c>
      <c r="C6" s="107">
        <f>Valuation_Model!C3</f>
        <v>1000000</v>
      </c>
      <c r="E6" s="100" t="s">
        <v>282</v>
      </c>
      <c r="F6" s="100"/>
      <c r="H6" s="276">
        <v>3</v>
      </c>
      <c r="I6" s="264">
        <f t="shared" si="0"/>
        <v>29.903551346473133</v>
      </c>
    </row>
    <row r="7" spans="2:9" ht="12.75" customHeight="1">
      <c r="B7" s="100" t="s">
        <v>276</v>
      </c>
      <c r="C7" s="115">
        <f>Normalized_FCF!G8</f>
        <v>1936</v>
      </c>
      <c r="D7" t="str">
        <f>Reporting_currency</f>
        <v>USD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 Holdings Inc.(SIRI). Each scenario should include the Compound Growth Rate, the Probability Assessment, and the Business Narrative.</v>
      </c>
      <c r="F7" s="350"/>
      <c r="H7" s="276">
        <v>4</v>
      </c>
      <c r="I7" s="264" t="str">
        <f t="shared" si="0"/>
        <v/>
      </c>
    </row>
    <row r="8" spans="2:9">
      <c r="B8" s="100" t="s">
        <v>66</v>
      </c>
      <c r="C8" s="115">
        <f>Normalized_FCF!G19</f>
        <v>1080</v>
      </c>
      <c r="D8" t="str">
        <f>Reporting_currency</f>
        <v>USD</v>
      </c>
      <c r="E8" s="350"/>
      <c r="F8" s="350"/>
      <c r="H8" s="276">
        <v>5</v>
      </c>
      <c r="I8" s="264" t="str">
        <f t="shared" si="0"/>
        <v/>
      </c>
    </row>
    <row r="9" spans="2:9">
      <c r="B9" s="100" t="s">
        <v>57</v>
      </c>
      <c r="C9" s="201">
        <f>Normalized_FCF!C19</f>
        <v>1543.9196817753634</v>
      </c>
      <c r="D9" t="str">
        <f>Reporting_currency</f>
        <v>USD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1.1498217877581318E-4</v>
      </c>
      <c r="D12" s="159"/>
      <c r="E12" s="350"/>
      <c r="F12" s="350"/>
      <c r="H12" s="276">
        <v>9</v>
      </c>
      <c r="I12" s="264" t="str">
        <f t="shared" si="0"/>
        <v/>
      </c>
    </row>
    <row r="13" spans="2:9">
      <c r="B13" s="149" t="s">
        <v>153</v>
      </c>
      <c r="C13" s="159">
        <f ca="1">(Normalized_FCF!G8/OFFSET(Normalized_FCF!G8, 0, $C$4))^(1/$C$4) - 1</f>
        <v>-0.25742105972151286</v>
      </c>
      <c r="E13" s="350"/>
      <c r="F13" s="350"/>
      <c r="H13" s="276">
        <v>10</v>
      </c>
      <c r="I13" s="264" t="str">
        <f t="shared" si="0"/>
        <v/>
      </c>
    </row>
    <row r="14" spans="2:9">
      <c r="B14" s="100" t="s">
        <v>66</v>
      </c>
      <c r="C14" s="159">
        <f ca="1">(Normalized_FCF!G19/OFFSET(Normalized_FCF!G19, 0, $C$4))^(1/$C$4) - 1</f>
        <v>-0.3351523510141251</v>
      </c>
      <c r="E14" s="350"/>
      <c r="F14" s="350"/>
    </row>
    <row r="16" spans="2:9" ht="13.9">
      <c r="B16" s="36" t="s">
        <v>163</v>
      </c>
      <c r="C16" s="37"/>
      <c r="D16" s="37"/>
      <c r="E16" s="37"/>
      <c r="F16" s="37"/>
    </row>
    <row r="17" spans="2:6" ht="13.15">
      <c r="B17" s="109" t="s">
        <v>152</v>
      </c>
      <c r="E17" s="160" t="s">
        <v>337</v>
      </c>
    </row>
    <row r="18" spans="2:6">
      <c r="B18" s="153" t="s">
        <v>134</v>
      </c>
      <c r="C18" s="151">
        <v>10</v>
      </c>
      <c r="E18" s="350" t="s">
        <v>338</v>
      </c>
      <c r="F18" s="351"/>
    </row>
    <row r="19" spans="2:6">
      <c r="E19" s="351"/>
      <c r="F19" s="351"/>
    </row>
    <row r="20" spans="2:6" ht="13.15">
      <c r="B20" s="160" t="s">
        <v>310</v>
      </c>
      <c r="E20" s="351"/>
      <c r="F20" s="351"/>
    </row>
    <row r="21" spans="2:6">
      <c r="B21" s="100" t="s">
        <v>280</v>
      </c>
      <c r="C21" s="161">
        <f>Market_Price</f>
        <v>21.72</v>
      </c>
      <c r="D21" t="str">
        <f>Market_currency</f>
        <v>USD</v>
      </c>
      <c r="E21" s="351"/>
      <c r="F21" s="351"/>
    </row>
    <row r="22" spans="2:6">
      <c r="B22" s="100" t="s">
        <v>281</v>
      </c>
      <c r="C22" s="161">
        <f>Valuation_Model!C12</f>
        <v>26.591820192356398</v>
      </c>
      <c r="D22" t="str">
        <f>Market_currency</f>
        <v>USD</v>
      </c>
      <c r="E22" s="351"/>
      <c r="F22" s="351"/>
    </row>
    <row r="24" spans="2:6" ht="13.15">
      <c r="B24" s="160" t="s">
        <v>116</v>
      </c>
      <c r="E24" s="160" t="s">
        <v>150</v>
      </c>
      <c r="F24" s="160"/>
    </row>
    <row r="25" spans="2:6">
      <c r="B25" s="153" t="s">
        <v>134</v>
      </c>
      <c r="C25" s="167">
        <f>C18</f>
        <v>10</v>
      </c>
      <c r="D25" s="164"/>
      <c r="E25" s="349"/>
      <c r="F25" s="349"/>
    </row>
    <row r="26" spans="2:6">
      <c r="B26" s="119" t="s">
        <v>135</v>
      </c>
      <c r="C26" s="165">
        <v>1.4999999999999999E-2</v>
      </c>
      <c r="D26" s="165"/>
      <c r="E26" s="349"/>
      <c r="F26" s="349"/>
    </row>
    <row r="27" spans="2:6">
      <c r="B27" s="100" t="s">
        <v>114</v>
      </c>
      <c r="C27" s="161">
        <f>Valuation_Model!E76</f>
        <v>29.318191600940459</v>
      </c>
      <c r="D27" s="161" t="str">
        <f>Market_currency</f>
        <v>USD</v>
      </c>
      <c r="E27" s="349"/>
      <c r="F27" s="349"/>
    </row>
    <row r="28" spans="2:6">
      <c r="B28" s="100" t="s">
        <v>148</v>
      </c>
      <c r="C28" s="166">
        <v>0.5</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-0.01</v>
      </c>
      <c r="D32" s="165"/>
      <c r="E32" s="349"/>
      <c r="F32" s="349"/>
    </row>
    <row r="33" spans="2:6">
      <c r="B33" s="100" t="s">
        <v>114</v>
      </c>
      <c r="C33" s="161">
        <f>Valuation_Model!E77</f>
        <v>24.878000087289131</v>
      </c>
      <c r="D33" t="str">
        <f>Market_currency</f>
        <v>USD</v>
      </c>
      <c r="E33" s="349"/>
      <c r="F33" s="349"/>
    </row>
    <row r="34" spans="2:6">
      <c r="B34" s="100" t="s">
        <v>148</v>
      </c>
      <c r="C34" s="166">
        <v>0.25</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3.5000000000000003E-2</v>
      </c>
      <c r="D38" s="165"/>
      <c r="E38" s="349"/>
      <c r="F38" s="349"/>
    </row>
    <row r="39" spans="2:6">
      <c r="B39" s="100" t="s">
        <v>114</v>
      </c>
      <c r="C39" s="161">
        <f>Valuation_Model!E75</f>
        <v>33.269887669660939</v>
      </c>
      <c r="D39" t="str">
        <f>Market_currency</f>
        <v>USD</v>
      </c>
      <c r="E39" s="349"/>
      <c r="F39" s="349"/>
    </row>
    <row r="40" spans="2:6">
      <c r="B40" s="100" t="s">
        <v>148</v>
      </c>
      <c r="C40" s="168">
        <f>1-C28-C34</f>
        <v>0.25</v>
      </c>
      <c r="D40" s="166"/>
      <c r="E40" s="349"/>
      <c r="F40" s="349"/>
    </row>
    <row r="42" spans="2:6" ht="13.15">
      <c r="B42" s="100" t="s">
        <v>121</v>
      </c>
      <c r="C42" s="155">
        <f>C27*C28+C33*C34+C39*C40</f>
        <v>29.196067739707743</v>
      </c>
      <c r="D42" t="str">
        <f>Market_currency</f>
        <v>USD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-0.05</v>
      </c>
      <c r="D50" s="165"/>
      <c r="E50" s="349"/>
      <c r="F50" s="349"/>
    </row>
    <row r="51" spans="2:6">
      <c r="B51" s="100" t="s">
        <v>114</v>
      </c>
      <c r="C51" s="161">
        <f>Valuation_Model!E78</f>
        <v>15.121055640471935</v>
      </c>
      <c r="D51" t="str">
        <f>Market_currency</f>
        <v>USD</v>
      </c>
      <c r="E51" s="349"/>
      <c r="F51" s="349"/>
    </row>
    <row r="52" spans="2:6">
      <c r="B52" s="100" t="s">
        <v>148</v>
      </c>
      <c r="C52" s="166">
        <v>0.05</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5.5E-2</v>
      </c>
      <c r="D56" s="165"/>
      <c r="E56" s="349"/>
      <c r="F56" s="349"/>
    </row>
    <row r="57" spans="2:6">
      <c r="B57" s="100" t="s">
        <v>114</v>
      </c>
      <c r="C57" s="161">
        <f>Valuation_Model!E74</f>
        <v>45.548751974251395</v>
      </c>
      <c r="D57" t="str">
        <f>Market_currency</f>
        <v>USD</v>
      </c>
      <c r="E57" s="349"/>
      <c r="F57" s="349"/>
    </row>
    <row r="58" spans="2:6">
      <c r="B58" s="100" t="s">
        <v>148</v>
      </c>
      <c r="C58" s="166">
        <v>0.05</v>
      </c>
      <c r="D58" s="166"/>
      <c r="E58" s="349"/>
      <c r="F58" s="349"/>
    </row>
    <row r="60" spans="2:6" ht="13.15">
      <c r="B60" s="100" t="s">
        <v>121</v>
      </c>
      <c r="C60" s="155">
        <f>C51*C52+C57*C58+C42*(1-C52-C58)</f>
        <v>29.309951346473134</v>
      </c>
      <c r="D60" t="str">
        <f>Market_currency</f>
        <v>USD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1.49597842339395E-2</v>
      </c>
      <c r="D65" s="152"/>
      <c r="E65" s="281" t="s">
        <v>320</v>
      </c>
    </row>
    <row r="66" spans="2:6">
      <c r="B66" s="100" t="s">
        <v>103</v>
      </c>
      <c r="C66" s="161">
        <f>Valuation_Model!C18</f>
        <v>29.310620301790603</v>
      </c>
      <c r="D66" s="161" t="str">
        <f>Market_currency</f>
        <v>USD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-1.0370265985797507</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0.59360000000000002</v>
      </c>
      <c r="D77" t="str">
        <f>Market_currency</f>
        <v>USD</v>
      </c>
    </row>
    <row r="79" spans="2:6" ht="13.15">
      <c r="B79" s="109" t="s">
        <v>308</v>
      </c>
    </row>
    <row r="80" spans="2:6">
      <c r="B80" s="149" t="s">
        <v>306</v>
      </c>
      <c r="C80" s="168">
        <f>Thesis!C127</f>
        <v>0.3</v>
      </c>
    </row>
    <row r="81" spans="2:8">
      <c r="B81" s="100" t="s">
        <v>122</v>
      </c>
      <c r="C81" s="117">
        <f>PV(C80, C76, -C77, 0)</f>
        <v>1.0780446062812929</v>
      </c>
      <c r="D81" s="117"/>
      <c r="E81" s="100"/>
      <c r="F81" s="100"/>
    </row>
    <row r="82" spans="2:8">
      <c r="B82" s="100" t="s">
        <v>123</v>
      </c>
      <c r="C82" s="117">
        <f>C60/(1+C80)^C76</f>
        <v>13.34089729015618</v>
      </c>
      <c r="D82" s="117"/>
    </row>
    <row r="83" spans="2:8" ht="13.15">
      <c r="B83" s="111" t="s">
        <v>102</v>
      </c>
      <c r="C83" s="112">
        <f>C81+C82</f>
        <v>14.418941896437474</v>
      </c>
      <c r="D83" t="str">
        <f>Market_currency</f>
        <v>USD</v>
      </c>
      <c r="E83" s="147" t="s">
        <v>127</v>
      </c>
      <c r="F83" s="329">
        <f>(1-C83/C60)</f>
        <v>0.5080530251998352</v>
      </c>
    </row>
    <row r="84" spans="2:8">
      <c r="E84" s="121"/>
    </row>
    <row r="85" spans="2:8" ht="13.15">
      <c r="B85" s="109" t="s">
        <v>309</v>
      </c>
    </row>
    <row r="86" spans="2:8">
      <c r="B86" s="149" t="s">
        <v>307</v>
      </c>
      <c r="C86" s="266">
        <f>Market_Price</f>
        <v>21.72</v>
      </c>
      <c r="D86" t="str">
        <f>Market_currency</f>
        <v>USD</v>
      </c>
    </row>
    <row r="87" spans="2:8" ht="13.15">
      <c r="B87" s="100" t="s">
        <v>305</v>
      </c>
      <c r="C87" s="265">
        <f ca="1">IRR(OFFSET($I$3, 0, 0, $C$76 + 1, 1))</f>
        <v>0.12990849663525528</v>
      </c>
    </row>
    <row r="88" spans="2:8">
      <c r="B88" s="100"/>
    </row>
    <row r="89" spans="2:8" ht="13.15">
      <c r="B89" s="109" t="s">
        <v>422</v>
      </c>
    </row>
    <row r="90" spans="2:8">
      <c r="B90" s="149" t="s">
        <v>423</v>
      </c>
      <c r="C90" s="168">
        <f>Thesis!E19</f>
        <v>0.2</v>
      </c>
    </row>
    <row r="91" spans="2:8">
      <c r="B91" s="100" t="s">
        <v>122</v>
      </c>
      <c r="C91" s="117">
        <f>PV(C90, C76, -C77, 0)</f>
        <v>1.2504074074074074</v>
      </c>
      <c r="D91" s="117"/>
      <c r="E91" s="100"/>
      <c r="F91" s="100"/>
    </row>
    <row r="92" spans="2:8">
      <c r="B92" s="100" t="s">
        <v>123</v>
      </c>
      <c r="C92" s="117">
        <f>C60/(1+C90)^C76</f>
        <v>16.961777399579361</v>
      </c>
      <c r="D92" s="117"/>
    </row>
    <row r="93" spans="2:8" ht="13.15">
      <c r="B93" s="111" t="s">
        <v>102</v>
      </c>
      <c r="C93" s="112">
        <f>C91+C92</f>
        <v>18.21218480698677</v>
      </c>
      <c r="D93" t="str">
        <f>Market_currency</f>
        <v>USD</v>
      </c>
      <c r="E93" s="147" t="s">
        <v>127</v>
      </c>
      <c r="F93" s="329">
        <f>(1-C93/C60)</f>
        <v>0.37863476497451642</v>
      </c>
    </row>
    <row r="95" spans="2:8" ht="13.15">
      <c r="B95" s="109" t="s">
        <v>405</v>
      </c>
      <c r="G95" s="2"/>
      <c r="H95" s="316"/>
    </row>
    <row r="96" spans="2:8">
      <c r="B96" s="149" t="s">
        <v>411</v>
      </c>
      <c r="C96" s="135">
        <f>Thesis!C67</f>
        <v>0.08</v>
      </c>
      <c r="G96" s="2"/>
      <c r="H96" s="316"/>
    </row>
    <row r="97" spans="2:8">
      <c r="B97" s="100" t="s">
        <v>122</v>
      </c>
      <c r="C97" s="117">
        <f>PV(C96, C76, -C77, 0)</f>
        <v>1.5297647716303417</v>
      </c>
      <c r="D97" s="117"/>
      <c r="G97" s="2"/>
      <c r="H97" s="316"/>
    </row>
    <row r="98" spans="2:8">
      <c r="B98" s="100" t="s">
        <v>123</v>
      </c>
      <c r="C98" s="117">
        <f>C60/(1+C96)^C76</f>
        <v>23.267184361562904</v>
      </c>
      <c r="D98" s="117"/>
      <c r="G98" s="2"/>
      <c r="H98" s="316"/>
    </row>
    <row r="99" spans="2:8" ht="13.15">
      <c r="B99" s="111" t="s">
        <v>406</v>
      </c>
      <c r="C99" s="112">
        <f>C97+C98</f>
        <v>24.796949133193245</v>
      </c>
      <c r="D99" t="s">
        <v>404</v>
      </c>
      <c r="E99" s="147" t="s">
        <v>127</v>
      </c>
      <c r="F99" s="329">
        <f>(1-C99/C60)</f>
        <v>0.15397508374994073</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2025-05-09T09:21:02Z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