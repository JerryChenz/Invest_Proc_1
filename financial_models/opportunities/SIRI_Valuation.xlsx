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27508931-FC9A-4EB9-8077-EDD3D3BA3EEF}" xr6:coauthVersionLast="47" xr6:coauthVersionMax="47" xr10:uidLastSave="{00000000-0000-0000-0000-000000000000}"/>
  <bookViews>
    <workbookView xWindow="-98" yWindow="-98" windowWidth="17115" windowHeight="10755" firstSheet="7" activeTab="7"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Breakdown" sheetId="12" r:id="rId8"/>
  </sheets>
  <externalReferences>
    <externalReference r:id="rId9"/>
  </externalReferences>
  <definedNames>
    <definedName name="_xlnm._FilterDatabase" localSheetId="4" hidden="1">DCF!$B$73:$H$73</definedName>
    <definedName name="_xlnm._FilterDatabase" localSheetId="5" hidden="1">DDM!$B$68:$H$68</definedName>
    <definedName name="Common_Shares" localSheetId="7">[1]Thesis!$C$6</definedName>
    <definedName name="Common_Shares">Thesis!$C$6</definedName>
    <definedName name="dividend_tax_rate" localSheetId="7">[1]Normalized_FCF!$C$93</definedName>
    <definedName name="dividend_tax_rate">Normalized_FCF!$C$93</definedName>
    <definedName name="Equity_Cost" localSheetId="7">[1]Thesis!$C$86</definedName>
    <definedName name="Equity_Cost">Thesis!$C$86</definedName>
    <definedName name="Exchange_Rate" localSheetId="7">[1]Thesis!$C$16</definedName>
    <definedName name="Exchange_Rate">Thesis!$C$16</definedName>
    <definedName name="Market_currency" localSheetId="7">[1]Thesis!$C$13</definedName>
    <definedName name="Market_currency">Thesis!$C$13</definedName>
    <definedName name="Market_Price" localSheetId="7">[1]Thesis!$C$12</definedName>
    <definedName name="Market_Price">Thesis!$C$12</definedName>
    <definedName name="Reporting_currency" localSheetId="7">[1]Thesis!$C$25</definedName>
    <definedName name="Reporting_currency">Thesis!$C$25</definedName>
    <definedName name="scaling_factor" localSheetId="7">[1]Data!$C$3</definedName>
    <definedName name="scaling_factor">Data!$C$3</definedName>
    <definedName name="Terminal_Growth" localSheetId="7">[1]Thesis!$C$92</definedName>
    <definedName name="Terminal_Growth">Thesis!$C$92</definedName>
    <definedName name="valuation_method" localSheetId="7">[1]Thesis!$E$21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21" i="3"/>
  <c r="C23" i="3"/>
  <c r="C6" i="4"/>
  <c r="C7" i="4"/>
  <c r="D7" i="4"/>
  <c r="D6" i="4" s="1"/>
  <c r="C25" i="4"/>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E38" i="4" s="1"/>
  <c r="F36" i="4"/>
  <c r="D37" i="4"/>
  <c r="E37" i="4"/>
  <c r="F37" i="4"/>
  <c r="F38" i="4" l="1"/>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P94" i="2"/>
  <c r="O94" i="2"/>
  <c r="Q92" i="2"/>
  <c r="Q94" i="2"/>
  <c r="N94" i="2"/>
  <c r="J94" i="2"/>
  <c r="K94" i="2"/>
  <c r="I94" i="2"/>
  <c r="L94" i="2"/>
  <c r="M94" i="2"/>
  <c r="H94" i="2"/>
  <c r="Q121" i="2"/>
  <c r="Q118" i="2"/>
  <c r="Q119" i="2"/>
  <c r="J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N119" i="2" s="1"/>
  <c r="Q55" i="2"/>
  <c r="Q125" i="2"/>
  <c r="Q126" i="2"/>
  <c r="Q102" i="2"/>
  <c r="K102" i="2"/>
  <c r="K119" i="2" s="1"/>
  <c r="I102" i="2"/>
  <c r="I119" i="2" s="1"/>
  <c r="O102" i="2"/>
  <c r="O120" i="2" s="1"/>
  <c r="J102" i="2"/>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N98" i="2" l="1"/>
  <c r="N121" i="2"/>
  <c r="N117" i="2" s="1"/>
  <c r="K16" i="2"/>
  <c r="K19" i="2" s="1"/>
  <c r="K92" i="2" s="1"/>
  <c r="K121" i="2"/>
  <c r="K117" i="2" s="1"/>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84" i="2" l="1"/>
  <c r="K125" i="2"/>
  <c r="K126" i="2" s="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<sst xmlns="http://schemas.openxmlformats.org/spreadsheetml/2006/main" count="687" uniqueCount="466">
  <si>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</si>
  <si>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</si>
  <si>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</si>
  <si>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</si>
  <si>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</si>
  <si>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</si>
  <si>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</si>
  <si>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</si>
  <si>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</si>
  <si>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</si>
  <si>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</si>
  <si>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</si>
  <si>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</si>
  <si>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</si>
  <si>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</si>
  <si>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</si>
  <si>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</si>
  <si>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</si>
  <si>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</si>
  <si>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</si>
  <si>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</si>
  <si>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</si>
  <si>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</si>
  <si>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</si>
  <si>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</si>
  <si>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</si>
  <si>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</si>
  <si>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</si>
  <si>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</si>
  <si>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</si>
  <si>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</si>
  <si>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</si>
  <si>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</si>
  <si>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</si>
  <si>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</si>
  <si>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</si>
  <si>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</si>
  <si>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</si>
  <si>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</si>
  <si>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</si>
  <si>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</si>
  <si>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</si>
  <si>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</si>
  <si>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</si>
  <si>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</si>
  <si>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</si>
  <si>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</si>
  <si>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</si>
  <si>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</si>
  <si>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</si>
  <si>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</si>
  <si>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</si>
  <si>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</si>
  <si>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</si>
  <si>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</si>
  <si>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</si>
  <si>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</si>
  <si>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</si>
  <si>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</si>
  <si>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</si>
  <si>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</si>
  <si>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</si>
  <si>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</si>
  <si>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</si>
  <si>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</si>
  <si>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</si>
  <si>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</si>
  <si>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</si>
  <si>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</si>
  <si>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</si>
  <si>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</si>
  <si>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</si>
  <si>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</si>
  <si>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</si>
  <si>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</si>
  <si>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</si>
  <si>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</si>
  <si>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</si>
  <si>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</si>
  <si>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</si>
  <si>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</si>
  <si>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</si>
  <si>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</si>
  <si>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</si>
  <si>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</si>
  <si>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</si>
  <si>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</si>
  <si>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</si>
  <si>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</si>
  <si>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</si>
  <si>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</si>
  <si>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</si>
  <si>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</si>
  <si>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</si>
  <si>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</si>
  <si>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</si>
  <si>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</si>
  <si>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</si>
  <si>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</si>
  <si>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</si>
  <si>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</si>
  <si>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</si>
  <si>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</si>
  <si>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</si>
  <si>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</si>
  <si>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</si>
  <si>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</si>
  <si>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</si>
  <si>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</si>
  <si>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</si>
  <si>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</si>
  <si>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</si>
  <si>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</si>
  <si>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</si>
  <si>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</si>
  <si>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</si>
  <si>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</si>
  <si>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</si>
  <si>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</si>
  <si>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</si>
  <si>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</si>
  <si>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</si>
  <si>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</si>
  <si>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</si>
  <si>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</si>
  <si>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</si>
  <si>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</si>
  <si>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</si>
  <si>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</si>
  <si>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</si>
  <si>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</si>
  <si>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</si>
  <si>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</si>
  <si>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</si>
  <si>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</si>
  <si>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</si>
  <si>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</si>
  <si>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</si>
  <si>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</si>
  <si>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</si>
  <si>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</si>
  <si>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</si>
  <si>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</si>
  <si>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</si>
  <si>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</si>
  <si>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</si>
  <si>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</si>
  <si>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</si>
  <si>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</si>
  <si>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</si>
  <si>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</si>
  <si>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</si>
  <si>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</si>
  <si>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</si>
  <si>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</si>
  <si>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</si>
  <si>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</si>
  <si>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</si>
  <si>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</si>
  <si>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</si>
  <si>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</si>
  <si>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</si>
  <si>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</si>
  <si>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</si>
  <si>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</si>
  <si>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</si>
  <si>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</si>
  <si>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</si>
  <si>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</si>
  <si>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</si>
  <si>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</si>
  <si>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</si>
  <si>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</si>
  <si>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</si>
  <si>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</si>
  <si>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</si>
  <si>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</si>
  <si>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</si>
  <si>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</si>
  <si>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</si>
  <si>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</si>
  <si>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</si>
  <si>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</si>
  <si>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</si>
  <si>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</si>
  <si>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</si>
  <si>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</si>
  <si>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</si>
  <si>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</si>
  <si>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</si>
  <si>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</si>
  <si>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</si>
  <si>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</si>
  <si>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</si>
  <si>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</si>
  <si>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</si>
  <si>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</si>
  <si>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</si>
  <si>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</si>
  <si>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</si>
  <si>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</si>
  <si>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</si>
  <si>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</si>
  <si>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</si>
  <si>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</si>
  <si>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</si>
  <si>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</si>
  <si>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</si>
  <si>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</si>
  <si>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</si>
  <si>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</si>
  <si>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</si>
  <si>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</si>
  <si>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</si>
  <si>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</si>
  <si>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</si>
  <si>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</si>
  <si>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</si>
  <si>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</si>
  <si>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</si>
  <si>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</si>
  <si>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</si>
  <si>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</si>
  <si>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</si>
  <si>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</si>
  <si>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</si>
  <si>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</si>
  <si>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</si>
  <si>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</si>
  <si>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</si>
  <si>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</si>
  <si>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</si>
  <si>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</si>
  <si>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</si>
  <si>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</si>
  <si>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</si>
  <si>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</si>
  <si>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</si>
  <si>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</si>
  <si>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</si>
  <si>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</si>
  <si>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</si>
  <si>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</si>
  <si>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</si>
  <si>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</si>
  <si>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</si>
  <si>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</si>
  <si>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</si>
  <si>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</si>
  <si>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</si>
  <si>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</si>
  <si>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</si>
  <si>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</si>
  <si>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</si>
  <si>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</si>
  <si>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</si>
  <si>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</si>
  <si>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</si>
  <si>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</si>
  <si>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</si>
  <si>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</si>
  <si>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</si>
  <si>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</si>
  <si>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</si>
  <si>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</si>
  <si>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</si>
  <si>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</si>
  <si>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</si>
  <si>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</si>
  <si>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</si>
  <si>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</si>
  <si>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</si>
  <si>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</si>
  <si>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</si>
  <si>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</si>
  <si>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</si>
  <si>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</si>
  <si>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</si>
  <si>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</si>
  <si>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</si>
  <si>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</si>
  <si>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</si>
  <si>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</si>
  <si>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</si>
  <si>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</si>
  <si>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</si>
  <si>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</si>
  <si>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</si>
  <si>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</si>
  <si>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</si>
  <si>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</si>
  <si>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</si>
  <si>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</si>
  <si>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</si>
  <si>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</si>
  <si>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</si>
  <si>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</si>
  <si>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</si>
  <si>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</si>
  <si>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</si>
  <si>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</si>
  <si>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</si>
  <si>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</si>
  <si>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</si>
  <si>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</si>
  <si>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</si>
  <si>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</si>
  <si>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</si>
  <si>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</si>
  <si>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</si>
  <si>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</si>
  <si>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</si>
  <si>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</si>
  <si>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</si>
  <si>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</si>
  <si>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</si>
  <si>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</si>
  <si>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</si>
  <si>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</si>
  <si>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</si>
  <si>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</si>
  <si>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</si>
  <si>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</si>
  <si>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</si>
  <si>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</si>
  <si>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</si>
  <si>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</si>
  <si>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</si>
  <si>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</si>
  <si>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</si>
  <si>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</si>
  <si>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</si>
  <si>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</si>
  <si>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</si>
  <si>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</si>
  <si>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</si>
  <si>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</si>
  <si>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</si>
  <si>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</si>
  <si>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</si>
  <si>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</si>
  <si>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</si>
  <si>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</si>
  <si>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</si>
  <si>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</si>
  <si>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</si>
  <si>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</si>
  <si>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</si>
  <si>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</si>
  <si>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</si>
  <si>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</si>
  <si>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</si>
  <si>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</si>
  <si>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</si>
  <si>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</si>
  <si>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</si>
  <si>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</si>
  <si>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</si>
  <si>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</si>
  <si>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</si>
  <si>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</si>
  <si>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</si>
  <si>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</si>
  <si>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</si>
  <si>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</si>
  <si>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</si>
  <si>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</si>
  <si>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</si>
  <si>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</si>
  <si>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</si>
  <si>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</si>
  <si>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</si>
  <si>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</si>
  <si>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</si>
  <si>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</si>
  <si>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</si>
  <si>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</si>
  <si>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</si>
  <si>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</si>
  <si>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</si>
  <si>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</si>
  <si>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</si>
  <si>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</si>
  <si>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</si>
  <si>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</si>
  <si>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</si>
  <si>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</si>
  <si>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</si>
  <si>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</si>
  <si>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</si>
  <si>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</si>
  <si>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</si>
  <si>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</si>
  <si>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</si>
  <si>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</si>
  <si>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</si>
  <si>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</si>
  <si>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</si>
  <si>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</si>
  <si>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</si>
  <si>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</si>
  <si>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</si>
  <si>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</si>
  <si>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</si>
  <si>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</si>
  <si>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</si>
  <si>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</si>
  <si>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</si>
  <si>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</si>
  <si>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</si>
  <si>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</si>
  <si>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</si>
  <si>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</si>
  <si>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</si>
  <si>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</si>
  <si>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</si>
  <si>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</si>
  <si>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</si>
  <si>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</si>
  <si>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</si>
  <si>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</si>
  <si>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</si>
  <si>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</si>
  <si>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</si>
  <si>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</si>
  <si>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</si>
  <si>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</si>
  <si>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</si>
  <si>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</si>
  <si>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</si>
  <si>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</si>
  <si>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</si>
  <si>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</si>
  <si>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</si>
  <si>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</si>
  <si>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</si>
  <si>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</si>
  <si>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</si>
  <si>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</si>
  <si>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</si>
  <si>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</si>
  <si>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</si>
  <si>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</si>
  <si>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</si>
  <si>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</si>
  <si>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</si>
  <si>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</si>
  <si>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</si>
  <si>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</si>
  <si>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</si>
  <si>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</si>
  <si>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</si>
  <si>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</si>
  <si>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</si>
  <si>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</si>
  <si>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</si>
  <si>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</si>
  <si>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N</t>
  </si>
  <si>
    <t>Sirius XM</t>
  </si>
  <si>
    <t>SIRI</t>
  </si>
  <si>
    <t/>
  </si>
  <si>
    <t>USD</t>
  </si>
  <si>
    <t>TMT_05</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</si>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</sst>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73">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16" fillId="3" borderId="1" xfId="2" applyFont="1" applyFill="1"/>
    <xf numFmtId="168" fontId="9" fillId="4" borderId="1" xfId="2" applyNumberFormat="1" applyFont="1" applyFill="1" applyAlignment="1">
      <alignment horizontal="center"/>
    </xf>
    <xf numFmtId="0" fontId="59" fillId="0" borderId="1" xfId="2"/>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0CF6FFA8-0417-4A40-B783-09B9C7257902}"/>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SIRI_Valuation_backup.xlsx" TargetMode="External"/><Relationship Id="rId1" Type="http://schemas.openxmlformats.org/officeDocument/2006/relationships/externalLinkPath" Target="SIRI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esis"/>
      <sheetName val="Data"/>
      <sheetName val="BS"/>
      <sheetName val="Normalized_FCF"/>
      <sheetName val="DCF"/>
      <sheetName val="DDM"/>
      <sheetName val="Scenarios"/>
      <sheetName val="Breakdown"/>
    </sheetNames>
    <sheetDataSet>
      <sheetData sheetId="0">
        <row r="6">
          <cell r="C6">
            <v>338656000</v>
          </cell>
        </row>
        <row r="12">
          <cell r="C12">
            <v>23.62</v>
          </cell>
        </row>
        <row r="13">
          <cell r="C13" t="str">
            <v>USD</v>
          </cell>
        </row>
        <row r="16">
          <cell r="C16">
            <v>1</v>
          </cell>
        </row>
        <row r="21">
          <cell r="E21" t="str">
            <v>DCF</v>
          </cell>
        </row>
        <row r="25">
          <cell r="C25" t="str">
            <v>USD</v>
          </cell>
        </row>
        <row r="86">
          <cell r="C86">
            <v>7.4999999999999997E-2</v>
          </cell>
        </row>
        <row r="92">
          <cell r="C92">
            <v>0</v>
          </cell>
        </row>
      </sheetData>
      <sheetData sheetId="1">
        <row r="3">
          <cell r="C3">
            <v>1000000</v>
          </cell>
        </row>
      </sheetData>
      <sheetData sheetId="2"/>
      <sheetData sheetId="3">
        <row r="93">
          <cell r="C93">
            <v>0.3</v>
          </cell>
        </row>
      </sheetData>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58" zoomScale="85" zoomScaleNormal="100" workbookViewId="0">
      <selection activeCell="B184" sqref="B184"/>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45754</v>
      </c>
      <c r="D1" s="316" t="s">
        <v>446</v>
      </c>
      <c r="E1" s="292" t="s">
        <v>350</v>
      </c>
      <c r="F1" s="254" t="s">
        <v>457</v>
      </c>
    </row>
    <row r="2" spans="1:10" ht="13.9">
      <c r="A2" s="222" t="s">
        <v>266</v>
      </c>
      <c r="B2" s="36"/>
      <c r="C2" s="36"/>
      <c r="D2" s="36"/>
      <c r="E2" s="36"/>
      <c r="F2" s="36"/>
      <c r="G2" s="22"/>
      <c r="H2" s="22"/>
      <c r="I2" s="22"/>
      <c r="J2" s="22"/>
    </row>
    <row r="4" spans="1:10">
      <c r="B4" s="45" t="s">
        <v>411</v>
      </c>
      <c r="C4" s="46"/>
      <c r="D4" s="5"/>
      <c r="E4" s="2"/>
      <c r="F4" s="2"/>
    </row>
    <row r="5" spans="1:10" ht="12.4">
      <c r="B5" s="4" t="s">
        <v>312</v>
      </c>
      <c r="C5" s="294" t="s">
        <v>458</v>
      </c>
    </row>
    <row r="6" spans="1:10">
      <c r="B6" s="4" t="s">
        <v>0</v>
      </c>
      <c r="C6" s="51">
        <v>338656000</v>
      </c>
      <c r="E6" s="48"/>
    </row>
    <row r="7" spans="1:10">
      <c r="B7" s="2" t="s">
        <v>306</v>
      </c>
      <c r="C7" s="250">
        <v>6</v>
      </c>
      <c r="D7" s="48"/>
      <c r="E7" s="48"/>
    </row>
    <row r="8" spans="1:10">
      <c r="B8" s="1" t="s">
        <v>267</v>
      </c>
      <c r="C8" s="33">
        <f>EOMONTH(EDATE(BS!C1,C7+2),0)</f>
        <v>45900</v>
      </c>
      <c r="E8" s="48"/>
    </row>
    <row r="9" spans="1:10">
      <c r="E9" s="34"/>
    </row>
    <row r="10" spans="1:10">
      <c r="B10" s="45" t="s">
        <v>414</v>
      </c>
      <c r="C10" s="46"/>
      <c r="E10" s="34"/>
    </row>
    <row r="11" spans="1:10">
      <c r="B11" s="1" t="s">
        <v>413</v>
      </c>
      <c r="C11" s="49" t="s">
        <v>459</v>
      </c>
      <c r="D11" s="49" t="s">
        <v>460</v>
      </c>
      <c r="E11" s="34"/>
    </row>
    <row r="12" spans="1:10">
      <c r="B12" s="4" t="s">
        <v>94</v>
      </c>
      <c r="C12" s="50">
        <v>24.27</v>
      </c>
      <c r="D12" s="50"/>
      <c r="E12" s="48"/>
    </row>
    <row r="13" spans="1:10">
      <c r="B13" s="1" t="s">
        <v>412</v>
      </c>
      <c r="C13" s="48" t="s">
        <v>461</v>
      </c>
      <c r="D13" s="48"/>
      <c r="E13" s="5"/>
    </row>
    <row r="14" spans="1:10">
      <c r="B14" s="4" t="s">
        <v>416</v>
      </c>
      <c r="C14" s="35">
        <f>Thesis!C12*Common_Shares/1000000</f>
        <v>8219.1811199999993</v>
      </c>
      <c r="D14" s="35" t="str">
        <f>IF(D11="","",Thesis!D12*Common_Shares/1000000)</f>
        <v/>
      </c>
      <c r="E14" s="5"/>
    </row>
    <row r="15" spans="1:10">
      <c r="B15" s="4" t="s">
        <v>415</v>
      </c>
      <c r="C15" s="32" t="str">
        <f>IF(C25=C13,C13,C25&amp;"/"&amp;C13)</f>
        <v>USD</v>
      </c>
      <c r="D15" s="32" t="str">
        <f>IF(D11="","",IF(C25=D13,D13,C25&amp;"/"&amp;D13))</f>
        <v/>
      </c>
      <c r="E15" s="5"/>
    </row>
    <row r="16" spans="1:10">
      <c r="B16" s="4" t="s">
        <v>1</v>
      </c>
      <c r="C16" s="50">
        <v>1</v>
      </c>
      <c r="D16" s="50"/>
      <c r="E16" s="5"/>
    </row>
    <row r="17" spans="2:6">
      <c r="D17" s="5"/>
      <c r="E17" s="5"/>
    </row>
    <row r="18" spans="2:6" ht="24.6" customHeight="1">
      <c r="B18" s="361" t="s">
        <v>356</v>
      </c>
      <c r="C18" s="361"/>
      <c r="D18" s="361"/>
      <c r="E18" s="361"/>
      <c r="F18" s="361"/>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435</v>
      </c>
      <c r="E21" s="308" t="s">
        <v>463</v>
      </c>
    </row>
    <row r="22" spans="2:6">
      <c r="B22" s="2" t="s">
        <v>56</v>
      </c>
      <c r="C22" s="48" t="s">
        <v>462</v>
      </c>
      <c r="D22" s="1" t="str">
        <f>IF(valuation_method="DDM","DDM Terminal Value","")</f>
        <v/>
      </c>
      <c r="E22" s="313"/>
    </row>
    <row r="23" spans="2:6">
      <c r="B23" s="1" t="s">
        <v>430</v>
      </c>
      <c r="C23" s="262" t="s">
        <v>457</v>
      </c>
    </row>
    <row r="24" spans="2:6">
      <c r="B24" s="1" t="s">
        <v>431</v>
      </c>
      <c r="C24" s="262" t="s">
        <v>457</v>
      </c>
    </row>
    <row r="25" spans="2:6">
      <c r="B25" s="4" t="s">
        <v>344</v>
      </c>
      <c r="C25" s="48" t="s">
        <v>461</v>
      </c>
      <c r="D25" s="32" t="str">
        <f>IF(D11="","",Market_currency&amp;"/"&amp;D13&amp;":")</f>
        <v/>
      </c>
      <c r="E25" s="299" t="str">
        <f>IF(D11="","",1/Exchange_Rate*D16)</f>
        <v/>
      </c>
    </row>
    <row r="26" spans="2:6">
      <c r="B26" s="1" t="str">
        <f>"Expected Equity Value ("&amp;C13&amp;") :"</f>
        <v>Expected Equity Value (USD) :</v>
      </c>
      <c r="C26" s="304">
        <f>C132</f>
        <v>33.230161875234657</v>
      </c>
      <c r="D26" s="1" t="s">
        <v>396</v>
      </c>
      <c r="E26" s="301">
        <f ca="1">Scenarios!C87</f>
        <v>0.125910335738461</v>
      </c>
    </row>
    <row r="27" spans="2:6">
      <c r="D27" s="5"/>
      <c r="E27" s="5"/>
    </row>
    <row r="28" spans="2:6">
      <c r="B28" s="45" t="s">
        <v>429</v>
      </c>
      <c r="C28" s="309" t="str">
        <f>C145&amp;" ("&amp;Market_currency&amp;")"</f>
        <v>SIRI (USD)</v>
      </c>
      <c r="D28" s="309" t="str">
        <f>IF(D11="","",D145&amp;" ("&amp;D13&amp;")")</f>
        <v/>
      </c>
      <c r="E28" s="305" t="s">
        <v>425</v>
      </c>
      <c r="F28" s="303">
        <v>3</v>
      </c>
    </row>
    <row r="29" spans="2:6">
      <c r="B29" s="1" t="s">
        <v>421</v>
      </c>
      <c r="C29" s="310">
        <f>C149</f>
        <v>14.210808951982788</v>
      </c>
      <c r="D29" s="310" t="str">
        <f>D149</f>
        <v/>
      </c>
      <c r="E29" s="306" t="s">
        <v>420</v>
      </c>
      <c r="F29" s="302">
        <v>0.35</v>
      </c>
    </row>
    <row r="30" spans="2:6">
      <c r="B30" s="1" t="s">
        <v>422</v>
      </c>
      <c r="C30" s="311">
        <f>C157</f>
        <v>17.824937920120146</v>
      </c>
      <c r="D30" s="311" t="str">
        <f>D157</f>
        <v/>
      </c>
      <c r="E30" s="307" t="s">
        <v>433</v>
      </c>
      <c r="F30" s="312">
        <v>0.25</v>
      </c>
    </row>
    <row r="31" spans="2:6">
      <c r="B31" s="1" t="s">
        <v>423</v>
      </c>
      <c r="C31" s="311">
        <f>C165</f>
        <v>27.829540483416785</v>
      </c>
      <c r="D31" s="311" t="str">
        <f>D165</f>
        <v/>
      </c>
      <c r="E31" s="307" t="s">
        <v>432</v>
      </c>
      <c r="F31" s="312">
        <v>7.4999999999999997E-2</v>
      </c>
    </row>
    <row r="32" spans="2:6">
      <c r="B32" s="1" t="s">
        <v>424</v>
      </c>
      <c r="C32" s="311">
        <f>C173</f>
        <v>24.820548736528732</v>
      </c>
      <c r="D32" s="311" t="str">
        <f>D173</f>
        <v/>
      </c>
      <c r="E32" s="307" t="s">
        <v>434</v>
      </c>
      <c r="F32" s="312">
        <v>0.1174</v>
      </c>
    </row>
    <row r="33" spans="1:6">
      <c r="D33" s="5"/>
      <c r="E33" s="5"/>
    </row>
    <row r="34" spans="1:6" ht="13.9">
      <c r="A34" s="222" t="s">
        <v>351</v>
      </c>
      <c r="B34" s="36"/>
      <c r="C34" s="36"/>
      <c r="D34" s="36"/>
      <c r="E34" s="36"/>
      <c r="F34" s="36"/>
    </row>
    <row r="36" spans="1:6" ht="24.6" customHeight="1">
      <c r="B36" s="361" t="s">
        <v>357</v>
      </c>
      <c r="C36" s="361"/>
      <c r="D36" s="361"/>
      <c r="E36" s="361"/>
      <c r="F36" s="361"/>
    </row>
    <row r="37" spans="1:6" ht="24.6" customHeight="1">
      <c r="B37" s="363" t="s">
        <v>336</v>
      </c>
      <c r="C37" s="363"/>
      <c r="D37" s="363"/>
      <c r="E37" s="363"/>
      <c r="F37" s="363"/>
    </row>
    <row r="39" spans="1:6">
      <c r="B39" s="210" t="s">
        <v>229</v>
      </c>
      <c r="C39" s="108">
        <f>scaling_factor</f>
        <v>1000000</v>
      </c>
    </row>
    <row r="40" spans="1:6" ht="24.6" customHeight="1">
      <c r="B40" s="362" t="s">
        <v>230</v>
      </c>
      <c r="C40" s="362"/>
      <c r="D40" s="362"/>
      <c r="E40" s="362"/>
      <c r="F40" s="362"/>
    </row>
    <row r="41" spans="1:6">
      <c r="B41" s="47" t="s">
        <v>231</v>
      </c>
      <c r="C41" s="349">
        <f>Normalized_FCF!C8</f>
        <v>2626.9774440472893</v>
      </c>
      <c r="D41" s="1" t="str">
        <f>Reporting_currency</f>
        <v>USD</v>
      </c>
    </row>
    <row r="42" spans="1:6">
      <c r="B42" s="47"/>
      <c r="C42" s="76"/>
    </row>
    <row r="43" spans="1:6" ht="24.6" customHeight="1">
      <c r="B43" s="362" t="s">
        <v>232</v>
      </c>
      <c r="C43" s="362"/>
      <c r="D43" s="362"/>
      <c r="E43" s="362"/>
      <c r="F43" s="362"/>
    </row>
    <row r="44" spans="1:6">
      <c r="B44" s="47" t="s">
        <v>233</v>
      </c>
      <c r="C44" s="349">
        <f>Normalized_FCF!C9</f>
        <v>578</v>
      </c>
      <c r="D44" s="1" t="str">
        <f>Reporting_currency</f>
        <v>USD</v>
      </c>
    </row>
    <row r="45" spans="1:6">
      <c r="B45" s="52" t="s">
        <v>234</v>
      </c>
      <c r="C45" s="349">
        <f>Normalized_FCF!C10</f>
        <v>-632.31340126010366</v>
      </c>
      <c r="D45" s="1" t="str">
        <f>Reporting_currency</f>
        <v>USD</v>
      </c>
    </row>
    <row r="47" spans="1:6">
      <c r="B47" s="362" t="s">
        <v>235</v>
      </c>
      <c r="C47" s="362"/>
      <c r="D47" s="362"/>
      <c r="E47" s="362"/>
      <c r="F47" s="362"/>
    </row>
    <row r="48" spans="1:6">
      <c r="B48" s="47" t="s">
        <v>236</v>
      </c>
      <c r="C48" s="349">
        <f>Normalized_FCF!C11</f>
        <v>0</v>
      </c>
      <c r="D48" s="1" t="str">
        <f>Reporting_currency</f>
        <v>USD</v>
      </c>
    </row>
    <row r="50" spans="2:6">
      <c r="B50" s="362" t="s">
        <v>239</v>
      </c>
      <c r="C50" s="362"/>
      <c r="D50" s="362"/>
      <c r="E50" s="362"/>
      <c r="F50" s="362"/>
    </row>
    <row r="51" spans="2:6">
      <c r="B51" s="47" t="s">
        <v>337</v>
      </c>
      <c r="C51" s="350">
        <f>Normalized_FCF!C48</f>
        <v>0</v>
      </c>
      <c r="D51" s="1" t="str">
        <f>Reporting_currency</f>
        <v>USD</v>
      </c>
      <c r="E51" s="286"/>
      <c r="F51" s="286"/>
    </row>
    <row r="52" spans="2:6">
      <c r="B52" s="47" t="s">
        <v>338</v>
      </c>
      <c r="C52" s="350">
        <f>Normalized_FCF!C47</f>
        <v>-496</v>
      </c>
      <c r="D52" s="1" t="str">
        <f>Reporting_currency</f>
        <v>USD</v>
      </c>
      <c r="E52" s="286"/>
      <c r="F52" s="286"/>
    </row>
    <row r="53" spans="2:6">
      <c r="B53" s="47" t="s">
        <v>237</v>
      </c>
      <c r="C53" s="349">
        <f>Normalized_FCF!C12</f>
        <v>-496</v>
      </c>
      <c r="D53" s="1" t="str">
        <f>Reporting_currency</f>
        <v>USD</v>
      </c>
    </row>
    <row r="55" spans="2:6">
      <c r="B55" s="1" t="s">
        <v>245</v>
      </c>
    </row>
    <row r="56" spans="2:6">
      <c r="B56" s="47" t="s">
        <v>264</v>
      </c>
      <c r="C56" s="349">
        <f>Normalized_FCF!C15</f>
        <v>0</v>
      </c>
      <c r="D56" s="1" t="str">
        <f>Reporting_currency</f>
        <v>USD</v>
      </c>
    </row>
    <row r="58" spans="2:6">
      <c r="B58" s="362" t="s">
        <v>240</v>
      </c>
      <c r="C58" s="362"/>
      <c r="D58" s="362"/>
      <c r="E58" s="362"/>
      <c r="F58" s="362"/>
    </row>
    <row r="59" spans="2:6">
      <c r="B59" s="47" t="s">
        <v>238</v>
      </c>
      <c r="C59" s="349">
        <f>Normalized_FCF!C14</f>
        <v>-532.74436101182232</v>
      </c>
      <c r="D59" s="1" t="str">
        <f>Reporting_currency</f>
        <v>USD</v>
      </c>
    </row>
    <row r="61" spans="2:6">
      <c r="B61" s="362" t="s">
        <v>335</v>
      </c>
      <c r="C61" s="365"/>
      <c r="D61" s="365"/>
      <c r="E61" s="365"/>
      <c r="F61" s="365"/>
    </row>
    <row r="62" spans="2:6">
      <c r="B62" s="47" t="s">
        <v>241</v>
      </c>
      <c r="C62" s="349">
        <f>Normalized_FCF!C17</f>
        <v>0</v>
      </c>
      <c r="D62" s="1" t="str">
        <f>Reporting_currency</f>
        <v>USD</v>
      </c>
    </row>
    <row r="64" spans="2:6" ht="24.6" customHeight="1">
      <c r="B64" s="361" t="s">
        <v>340</v>
      </c>
      <c r="C64" s="361"/>
      <c r="D64" s="361"/>
      <c r="E64" s="361"/>
      <c r="F64" s="361"/>
    </row>
    <row r="65" spans="1:6" ht="24.6" customHeight="1">
      <c r="B65" s="361" t="s">
        <v>358</v>
      </c>
      <c r="C65" s="361"/>
      <c r="D65" s="361"/>
      <c r="E65" s="361"/>
      <c r="F65" s="361"/>
    </row>
    <row r="67" spans="1:6">
      <c r="B67" s="47" t="s">
        <v>269</v>
      </c>
      <c r="C67" s="349">
        <f>Normalized_FCF!G19</f>
        <v>1080</v>
      </c>
      <c r="D67" s="1" t="str">
        <f>Reporting_currency</f>
        <v>USD</v>
      </c>
    </row>
    <row r="68" spans="1:6">
      <c r="B68" s="47" t="s">
        <v>247</v>
      </c>
      <c r="C68" s="349">
        <f>Normalized_FCF!C19</f>
        <v>1543.9196817753634</v>
      </c>
      <c r="D68" s="1" t="str">
        <f>Reporting_currency</f>
        <v>USD</v>
      </c>
    </row>
    <row r="69" spans="1:6">
      <c r="B69" s="227" t="s">
        <v>387</v>
      </c>
      <c r="C69" s="92">
        <f>Normalized_FCF!C126</f>
        <v>0.18784349185571464</v>
      </c>
      <c r="F69" s="314"/>
    </row>
    <row r="70" spans="1:6">
      <c r="B70" s="227" t="s">
        <v>454</v>
      </c>
      <c r="C70" s="92">
        <f>Normalized_FCF!C94</f>
        <v>1.7120725175113309E-2</v>
      </c>
      <c r="E70" s="47" t="s">
        <v>444</v>
      </c>
      <c r="F70" s="315">
        <f>Normalized_FCF!C92</f>
        <v>0.130205090311977</v>
      </c>
    </row>
    <row r="72" spans="1:6">
      <c r="B72" s="210" t="s">
        <v>447</v>
      </c>
      <c r="C72" s="323" t="s">
        <v>449</v>
      </c>
      <c r="D72" s="323" t="s">
        <v>450</v>
      </c>
    </row>
    <row r="73" spans="1:6">
      <c r="B73" s="47" t="s">
        <v>448</v>
      </c>
      <c r="C73" s="92">
        <f>Normalized_FCF!C121</f>
        <v>0.18752610102828118</v>
      </c>
      <c r="D73" s="92">
        <f>Normalized_FCF!G121</f>
        <v>0.1164890735055084</v>
      </c>
    </row>
    <row r="74" spans="1:6">
      <c r="B74" s="259" t="str">
        <f>Normalized_FCF!B118</f>
        <v>Pre-tax Profit/Sales</v>
      </c>
      <c r="C74" s="322">
        <f>Normalized_FCF!C118</f>
        <v>0.23497655430253014</v>
      </c>
      <c r="D74" s="322">
        <f>Normalized_FCF!G118</f>
        <v>0.14829290723071617</v>
      </c>
    </row>
    <row r="75" spans="1:6">
      <c r="B75" s="259" t="str">
        <f>Normalized_FCF!B119</f>
        <v>Sales/Total Assets</v>
      </c>
      <c r="C75" s="324">
        <f>Normalized_FCF!C119</f>
        <v>0.32112750263435197</v>
      </c>
      <c r="D75" s="324">
        <f>Normalized_FCF!G119</f>
        <v>0.31608589804149556</v>
      </c>
    </row>
    <row r="76" spans="1:6">
      <c r="B76" s="259" t="str">
        <f>Normalized_FCF!B120</f>
        <v>Total Assets/Equity</v>
      </c>
      <c r="C76" s="324">
        <f>Normalized_FCF!C120</f>
        <v>2.4851905363915479</v>
      </c>
      <c r="D76" s="324">
        <f>Normalized_FCF!G120</f>
        <v>2.4851905363915479</v>
      </c>
    </row>
    <row r="78" spans="1:6" ht="13.9">
      <c r="A78" s="222" t="s">
        <v>352</v>
      </c>
      <c r="B78" s="36"/>
      <c r="C78" s="36"/>
      <c r="D78" s="36"/>
      <c r="E78" s="36"/>
      <c r="F78" s="36"/>
    </row>
    <row r="79" spans="1:6">
      <c r="A79" s="209"/>
    </row>
    <row r="80" spans="1:6" ht="24.6" customHeight="1">
      <c r="A80" s="17"/>
      <c r="B80" s="361" t="s">
        <v>359</v>
      </c>
      <c r="C80" s="361"/>
      <c r="D80" s="361"/>
      <c r="E80" s="361"/>
      <c r="F80" s="361"/>
    </row>
    <row r="81" spans="1:6">
      <c r="B81" s="363" t="s">
        <v>251</v>
      </c>
      <c r="C81" s="363"/>
      <c r="D81" s="363"/>
      <c r="E81" s="363"/>
      <c r="F81" s="363"/>
    </row>
    <row r="83" spans="1:6">
      <c r="B83" s="210" t="s">
        <v>229</v>
      </c>
    </row>
    <row r="84" spans="1:6">
      <c r="B84" s="1" t="s">
        <v>427</v>
      </c>
      <c r="C84" s="92">
        <f>F31</f>
        <v>7.4999999999999997E-2</v>
      </c>
    </row>
    <row r="85" spans="1:6">
      <c r="B85" s="1" t="s">
        <v>426</v>
      </c>
      <c r="C85" s="92">
        <f>IF(C23="Y",1%,0)+IF(C24="Y",1%,0)</f>
        <v>0</v>
      </c>
    </row>
    <row r="86" spans="1:6">
      <c r="B86" s="80" t="s">
        <v>246</v>
      </c>
      <c r="C86" s="236">
        <f>F31+C85</f>
        <v>7.4999999999999997E-2</v>
      </c>
    </row>
    <row r="87" spans="1:6">
      <c r="C87" s="121"/>
    </row>
    <row r="88" spans="1:6">
      <c r="B88" s="293" t="s">
        <v>353</v>
      </c>
      <c r="C88" s="121"/>
    </row>
    <row r="89" spans="1:6" ht="24.6" customHeight="1">
      <c r="B89" s="361" t="s">
        <v>360</v>
      </c>
      <c r="C89" s="361"/>
      <c r="D89" s="361"/>
      <c r="E89" s="361"/>
      <c r="F89" s="361"/>
    </row>
    <row r="90" spans="1:6" ht="24.6" customHeight="1">
      <c r="B90" s="361" t="s">
        <v>361</v>
      </c>
      <c r="C90" s="361"/>
      <c r="D90" s="361"/>
      <c r="E90" s="361"/>
      <c r="F90" s="361"/>
    </row>
    <row r="92" spans="1:6">
      <c r="B92" s="47" t="s">
        <v>250</v>
      </c>
      <c r="C92" s="236">
        <v>0</v>
      </c>
    </row>
    <row r="93" spans="1:6">
      <c r="B93" s="47" t="s">
        <v>279</v>
      </c>
      <c r="C93" s="223">
        <f>DCF!C6*scaling_factor*Exchange_Rate/Common_Shares</f>
        <v>60.786153964509253</v>
      </c>
      <c r="D93" s="1" t="str">
        <f>Market_currency</f>
        <v>USD</v>
      </c>
    </row>
    <row r="95" spans="1:6" ht="13.9">
      <c r="A95" s="222" t="s">
        <v>354</v>
      </c>
      <c r="B95" s="36"/>
      <c r="C95" s="36"/>
      <c r="D95" s="36"/>
      <c r="E95" s="36"/>
      <c r="F95" s="36"/>
    </row>
    <row r="96" spans="1:6">
      <c r="A96" s="209"/>
    </row>
    <row r="97" spans="2:6">
      <c r="B97" s="361" t="s">
        <v>362</v>
      </c>
      <c r="C97" s="361"/>
      <c r="D97" s="361"/>
      <c r="E97" s="361"/>
      <c r="F97" s="361"/>
    </row>
    <row r="98" spans="2:6">
      <c r="B98" s="1" t="s">
        <v>252</v>
      </c>
    </row>
    <row r="100" spans="2:6">
      <c r="B100" s="210" t="s">
        <v>229</v>
      </c>
    </row>
    <row r="101" spans="2:6" ht="24.6" customHeight="1">
      <c r="B101" s="361" t="s">
        <v>341</v>
      </c>
      <c r="C101" s="361"/>
      <c r="D101" s="361"/>
      <c r="E101" s="361"/>
      <c r="F101" s="361"/>
    </row>
    <row r="102" spans="2:6">
      <c r="B102" s="47" t="s">
        <v>254</v>
      </c>
      <c r="C102" s="349">
        <f>DCF!C7</f>
        <v>10547</v>
      </c>
      <c r="D102" s="1" t="str">
        <f>Reporting_currency</f>
        <v>USD</v>
      </c>
    </row>
    <row r="103" spans="2:6">
      <c r="B103" s="47" t="s">
        <v>280</v>
      </c>
      <c r="C103" s="223">
        <f>C102*scaling_factor*Exchange_Rate/Common_Shares</f>
        <v>31.143697439289426</v>
      </c>
      <c r="D103" s="1" t="str">
        <f>Market_currency</f>
        <v>USD</v>
      </c>
    </row>
    <row r="104" spans="2:6">
      <c r="B104" s="296" t="s">
        <v>401</v>
      </c>
      <c r="C104" s="325">
        <f>IF(BS!G31/BS!G27&gt;300%,"nm",BS!G31/BS!G27)</f>
        <v>0.95241105291674188</v>
      </c>
    </row>
    <row r="105" spans="2:6">
      <c r="B105" s="296" t="s">
        <v>403</v>
      </c>
      <c r="C105" s="326">
        <f>IF(BS!C50&gt;30,"nm",BS!C50)</f>
        <v>4.0148803043206254</v>
      </c>
    </row>
    <row r="107" spans="2:6">
      <c r="B107" s="1" t="s">
        <v>253</v>
      </c>
    </row>
    <row r="108" spans="2:6">
      <c r="B108" s="47" t="s">
        <v>263</v>
      </c>
      <c r="C108" s="349">
        <f>BS!C66</f>
        <v>162</v>
      </c>
      <c r="D108" s="1" t="str">
        <f>Reporting_currency</f>
        <v>USD</v>
      </c>
    </row>
    <row r="109" spans="2:6">
      <c r="B109" s="47" t="s">
        <v>265</v>
      </c>
      <c r="C109" s="349">
        <f>DCF!C8</f>
        <v>-372.31656312939253</v>
      </c>
      <c r="D109" s="1" t="str">
        <f>Reporting_currency</f>
        <v>USD</v>
      </c>
    </row>
    <row r="110" spans="2:6">
      <c r="B110" s="47" t="s">
        <v>281</v>
      </c>
      <c r="C110" s="223">
        <f>C109*scaling_factor*Exchange_Rate/Common_Shares</f>
        <v>-1.0993945571003985</v>
      </c>
      <c r="D110" s="1" t="str">
        <f>Market_currency</f>
        <v>USD</v>
      </c>
    </row>
    <row r="112" spans="2:6">
      <c r="B112" s="1" t="s">
        <v>255</v>
      </c>
    </row>
    <row r="113" spans="1:6">
      <c r="B113" s="47" t="s">
        <v>256</v>
      </c>
      <c r="C113" s="349">
        <f>DCF!C9</f>
        <v>625.79999999999995</v>
      </c>
      <c r="D113" s="1" t="str">
        <f>Reporting_currency</f>
        <v>USD</v>
      </c>
    </row>
    <row r="114" spans="1:6">
      <c r="B114" s="47" t="s">
        <v>282</v>
      </c>
      <c r="C114" s="223">
        <f>C113*scaling_factor*Exchange_Rate/Common_Shares</f>
        <v>1.8478928470188039</v>
      </c>
      <c r="D114" s="1" t="str">
        <f>Market_currency</f>
        <v>USD</v>
      </c>
    </row>
    <row r="116" spans="1:6" ht="24.6" customHeight="1">
      <c r="B116" s="361" t="s">
        <v>363</v>
      </c>
      <c r="C116" s="361"/>
      <c r="D116" s="361"/>
      <c r="E116" s="361"/>
      <c r="F116" s="361"/>
    </row>
    <row r="118" spans="1:6">
      <c r="B118" s="47" t="s">
        <v>445</v>
      </c>
      <c r="C118" s="223">
        <f>IF(valuation_method="DCF",DCF!C12,DDM!C7)</f>
        <v>30.39095481513823</v>
      </c>
      <c r="D118" s="1" t="str">
        <f>Market_currency</f>
        <v>USD</v>
      </c>
    </row>
    <row r="119" spans="1:6">
      <c r="B119" s="296" t="s">
        <v>402</v>
      </c>
      <c r="C119" s="223">
        <f>BS!D47</f>
        <v>-38.360607814419353</v>
      </c>
      <c r="D119" s="1" t="str">
        <f>Market_currency</f>
        <v>USD</v>
      </c>
    </row>
    <row r="121" spans="1:6" ht="13.9">
      <c r="A121" s="222" t="s">
        <v>355</v>
      </c>
      <c r="B121" s="36"/>
      <c r="C121" s="36"/>
      <c r="D121" s="36"/>
      <c r="E121" s="36"/>
      <c r="F121" s="36"/>
    </row>
    <row r="123" spans="1:6" ht="24.6" customHeight="1">
      <c r="B123" s="362" t="s">
        <v>364</v>
      </c>
      <c r="C123" s="362"/>
      <c r="D123" s="362"/>
      <c r="E123" s="362"/>
      <c r="F123" s="362"/>
    </row>
    <row r="125" spans="1:6" ht="12.4">
      <c r="B125" s="233" t="s">
        <v>116</v>
      </c>
      <c r="C125" s="233" t="s">
        <v>131</v>
      </c>
      <c r="D125" s="233" t="s">
        <v>111</v>
      </c>
      <c r="E125" s="233" t="s">
        <v>258</v>
      </c>
      <c r="F125" s="233" t="s">
        <v>146</v>
      </c>
    </row>
    <row r="126" spans="1:6">
      <c r="B126" s="228" t="str">
        <f>DCF!B74</f>
        <v>Snowball Scenario</v>
      </c>
      <c r="C126" s="229">
        <f>DCF!C74</f>
        <v>5.5E-2</v>
      </c>
      <c r="D126" s="230">
        <f>DCF!D74</f>
        <v>15</v>
      </c>
      <c r="E126" s="231" t="str">
        <f>ROUND(IF(valuation_method="DCF",DCF!E74,DDM!E69),2)&amp;" "&amp;Market_currency</f>
        <v>50.32 USD</v>
      </c>
      <c r="F126" s="232">
        <f>DCF!F74</f>
        <v>0.05</v>
      </c>
    </row>
    <row r="127" spans="1:6">
      <c r="B127" s="218" t="str">
        <f>DCF!B75</f>
        <v>Optimistic</v>
      </c>
      <c r="C127" s="219">
        <f>DCF!C75</f>
        <v>3.5000000000000003E-2</v>
      </c>
      <c r="D127" s="220">
        <f>DCF!D75</f>
        <v>10</v>
      </c>
      <c r="E127" s="231" t="str">
        <f>ROUND(IF(valuation_method="DCF",DCF!E75,DDM!E70),2)&amp;" "&amp;Market_currency</f>
        <v>37.36 USD</v>
      </c>
      <c r="F127" s="221">
        <f>DCF!F75</f>
        <v>0.22499999999999998</v>
      </c>
    </row>
    <row r="128" spans="1:6">
      <c r="B128" s="218" t="str">
        <f>DCF!B76</f>
        <v>Base</v>
      </c>
      <c r="C128" s="219">
        <f>DCF!C76</f>
        <v>1.4999999999999999E-2</v>
      </c>
      <c r="D128" s="220">
        <f>DCF!D76</f>
        <v>10</v>
      </c>
      <c r="E128" s="231" t="str">
        <f>ROUND(IF(valuation_method="DCF",DCF!E76,DDM!E71),2)&amp;" "&amp;Market_currency</f>
        <v>33.24 USD</v>
      </c>
      <c r="F128" s="221">
        <f>DCF!F76</f>
        <v>0.44999999999999996</v>
      </c>
    </row>
    <row r="129" spans="1:6">
      <c r="B129" s="218" t="str">
        <f>DCF!B77</f>
        <v>Pessimistic</v>
      </c>
      <c r="C129" s="219">
        <f>DCF!C77</f>
        <v>-0.01</v>
      </c>
      <c r="D129" s="220">
        <f>DCF!D77</f>
        <v>10</v>
      </c>
      <c r="E129" s="231" t="str">
        <f>ROUND(IF(valuation_method="DCF",DCF!E77,DDM!E72),2)&amp;" "&amp;Market_currency</f>
        <v>28.6 USD</v>
      </c>
      <c r="F129" s="221">
        <f>DCF!F77</f>
        <v>0.22499999999999998</v>
      </c>
    </row>
    <row r="130" spans="1:6">
      <c r="B130" s="218" t="str">
        <f>DCF!B78</f>
        <v>Devil's advocate</v>
      </c>
      <c r="C130" s="219">
        <f>DCF!C78</f>
        <v>-0.05</v>
      </c>
      <c r="D130" s="220">
        <f>DCF!D78</f>
        <v>15</v>
      </c>
      <c r="E130" s="231" t="str">
        <f>ROUND(IF(valuation_method="DCF",DCF!E78,DDM!E73),2)&amp;" "&amp;Market_currency</f>
        <v>18.34 USD</v>
      </c>
      <c r="F130" s="221">
        <f>DCF!F78</f>
        <v>0.05</v>
      </c>
    </row>
    <row r="132" spans="1:6">
      <c r="B132" s="211" t="s">
        <v>257</v>
      </c>
      <c r="C132" s="217">
        <f>Scenarios!C60</f>
        <v>33.230161875234657</v>
      </c>
      <c r="D132" s="212" t="str">
        <f>Market_currency</f>
        <v>USD</v>
      </c>
    </row>
    <row r="134" spans="1:6" ht="24.6" customHeight="1">
      <c r="B134" s="366" t="s">
        <v>367</v>
      </c>
      <c r="C134" s="366"/>
      <c r="D134" s="366"/>
      <c r="E134" s="366"/>
      <c r="F134" s="366"/>
    </row>
    <row r="136" spans="1:6" ht="13.9">
      <c r="A136" s="222" t="s">
        <v>399</v>
      </c>
      <c r="B136" s="36"/>
      <c r="C136" s="36"/>
      <c r="D136" s="36"/>
      <c r="E136" s="36"/>
      <c r="F136" s="36"/>
    </row>
    <row r="138" spans="1:6">
      <c r="B138" s="364" t="s">
        <v>365</v>
      </c>
      <c r="C138" s="364"/>
      <c r="D138" s="364"/>
      <c r="E138" s="364"/>
      <c r="F138" s="364"/>
    </row>
    <row r="139" spans="1:6" ht="24.6" customHeight="1">
      <c r="B139" s="361" t="s">
        <v>366</v>
      </c>
      <c r="C139" s="361"/>
      <c r="D139" s="361"/>
      <c r="E139" s="361"/>
      <c r="F139" s="361"/>
    </row>
    <row r="140" spans="1:6">
      <c r="B140" s="210" t="s">
        <v>229</v>
      </c>
    </row>
    <row r="141" spans="1:6">
      <c r="B141" s="1" t="s">
        <v>262</v>
      </c>
      <c r="C141" s="225">
        <f>F28</f>
        <v>3</v>
      </c>
    </row>
    <row r="142" spans="1:6">
      <c r="B142" s="1" t="s">
        <v>275</v>
      </c>
      <c r="C142" s="224">
        <f>F29</f>
        <v>0.35</v>
      </c>
    </row>
    <row r="143" spans="1:6">
      <c r="B143" s="212" t="s">
        <v>260</v>
      </c>
      <c r="C143" s="213">
        <f>Scenarios!C77</f>
        <v>0.41552</v>
      </c>
      <c r="D143" s="212" t="str">
        <f>Market_currency</f>
        <v>USD</v>
      </c>
    </row>
    <row r="145" spans="2:4">
      <c r="B145" s="210" t="s">
        <v>405</v>
      </c>
      <c r="C145" s="241" t="str">
        <f>C11</f>
        <v>SIRI</v>
      </c>
      <c r="D145" s="241" t="str">
        <f>IF(D11="","",D11)</f>
        <v/>
      </c>
    </row>
    <row r="146" spans="2:4">
      <c r="B146" s="1" t="s">
        <v>404</v>
      </c>
      <c r="C146" s="297">
        <f>F29</f>
        <v>0.35</v>
      </c>
    </row>
    <row r="147" spans="2:4">
      <c r="B147" s="212" t="str">
        <f>"PV("&amp;C141&amp;" yrs of Dividends)"</f>
        <v>PV(3 yrs of Dividends)</v>
      </c>
      <c r="C147" s="216">
        <f>Scenarios!C81</f>
        <v>0.70467193009195761</v>
      </c>
    </row>
    <row r="148" spans="2:4">
      <c r="B148" s="212" t="str">
        <f>"+ PV(Equity Value realized at year "&amp;C141&amp;")"</f>
        <v>+ PV(Equity Value realized at year 3)</v>
      </c>
      <c r="C148" s="216">
        <f>Scenarios!C82</f>
        <v>13.506137021890829</v>
      </c>
    </row>
    <row r="149" spans="2:4">
      <c r="B149" s="80" t="s">
        <v>259</v>
      </c>
      <c r="C149" s="215">
        <f>Scenarios!C83</f>
        <v>14.210808951982788</v>
      </c>
      <c r="D149" s="300" t="str">
        <f>IF($D$11="","",C149*$E$25)</f>
        <v/>
      </c>
    </row>
    <row r="150" spans="2:4">
      <c r="B150" s="259" t="s">
        <v>412</v>
      </c>
      <c r="C150" s="298" t="str">
        <f>Market_currency</f>
        <v>USD</v>
      </c>
      <c r="D150" s="298" t="str">
        <f>IF($D$11="","",D$13)</f>
        <v/>
      </c>
    </row>
    <row r="151" spans="2:4">
      <c r="B151" s="214" t="s">
        <v>261</v>
      </c>
      <c r="C151" s="92">
        <f>Scenarios!F83</f>
        <v>0.57235209971776768</v>
      </c>
    </row>
    <row r="153" spans="2:4">
      <c r="B153" s="210" t="s">
        <v>408</v>
      </c>
    </row>
    <row r="154" spans="2:4">
      <c r="B154" s="1" t="s">
        <v>407</v>
      </c>
      <c r="C154" s="297">
        <f>Scenarios!C90</f>
        <v>0.25</v>
      </c>
    </row>
    <row r="155" spans="2:4">
      <c r="B155" s="212" t="str">
        <f>"PV("&amp;C141&amp;" yrs of Dividends)"</f>
        <v>PV(3 yrs of Dividends)</v>
      </c>
      <c r="C155" s="216">
        <f>Scenarios!C91</f>
        <v>0.81109503999999999</v>
      </c>
    </row>
    <row r="156" spans="2:4">
      <c r="B156" s="212" t="str">
        <f>"+ PV(Equity Value realized at year "&amp;C141&amp;")"</f>
        <v>+ PV(Equity Value realized at year 3)</v>
      </c>
      <c r="C156" s="216">
        <f>Scenarios!C92</f>
        <v>17.013842880120144</v>
      </c>
    </row>
    <row r="157" spans="2:4">
      <c r="B157" s="80" t="s">
        <v>259</v>
      </c>
      <c r="C157" s="215">
        <f>Scenarios!C93</f>
        <v>17.824937920120146</v>
      </c>
      <c r="D157" s="300" t="str">
        <f>IF($D$11="","",C157*$E$25)</f>
        <v/>
      </c>
    </row>
    <row r="158" spans="2:4">
      <c r="B158" s="259" t="s">
        <v>412</v>
      </c>
      <c r="C158" s="298" t="str">
        <f>Market_currency</f>
        <v>USD</v>
      </c>
      <c r="D158" s="298" t="str">
        <f>IF($D$11="","",D$13)</f>
        <v/>
      </c>
    </row>
    <row r="159" spans="2:4">
      <c r="B159" s="214" t="s">
        <v>261</v>
      </c>
      <c r="C159" s="92">
        <f>Scenarios!F93</f>
        <v>0.46359160129748023</v>
      </c>
    </row>
    <row r="161" spans="2:4">
      <c r="B161" s="210" t="s">
        <v>397</v>
      </c>
    </row>
    <row r="162" spans="2:4">
      <c r="B162" s="1" t="s">
        <v>406</v>
      </c>
      <c r="C162" s="92">
        <f>Scenarios!C96</f>
        <v>7.4999999999999997E-2</v>
      </c>
    </row>
    <row r="163" spans="2:4">
      <c r="B163" s="212" t="str">
        <f>"PV("&amp;C141&amp;" yrs of Dividends)"</f>
        <v>PV(3 yrs of Dividends)</v>
      </c>
      <c r="C163" s="216">
        <f>Scenarios!C97</f>
        <v>1.0805704554315967</v>
      </c>
    </row>
    <row r="164" spans="2:4">
      <c r="B164" s="212" t="str">
        <f>"+ PV(Equity Value realized at year "&amp;C141&amp;")"</f>
        <v>+ PV(Equity Value realized at year 3)</v>
      </c>
      <c r="C164" s="216">
        <f>Scenarios!C98</f>
        <v>26.748970027985187</v>
      </c>
    </row>
    <row r="165" spans="2:4">
      <c r="B165" s="80" t="s">
        <v>398</v>
      </c>
      <c r="C165" s="215">
        <f>Scenarios!C99</f>
        <v>27.829540483416785</v>
      </c>
      <c r="D165" s="300" t="str">
        <f>IF($D$11="","",C165*$E$25)</f>
        <v/>
      </c>
    </row>
    <row r="166" spans="2:4">
      <c r="B166" s="259" t="s">
        <v>412</v>
      </c>
      <c r="C166" s="298" t="str">
        <f>Market_currency</f>
        <v>USD</v>
      </c>
      <c r="D166" s="298" t="str">
        <f>IF($D$11="","",D$13)</f>
        <v/>
      </c>
    </row>
    <row r="167" spans="2:4">
      <c r="B167" s="214" t="s">
        <v>261</v>
      </c>
      <c r="C167" s="92">
        <f>Scenarios!F99</f>
        <v>0.16252166968355264</v>
      </c>
    </row>
    <row r="169" spans="2:4">
      <c r="B169" s="210" t="s">
        <v>428</v>
      </c>
    </row>
    <row r="170" spans="2:4">
      <c r="B170" s="1" t="s">
        <v>419</v>
      </c>
      <c r="C170" s="92">
        <f>F32</f>
        <v>0.1174</v>
      </c>
    </row>
    <row r="171" spans="2:4">
      <c r="B171" s="212" t="str">
        <f>"PV("&amp;C141&amp;" yrs of Dividends)"</f>
        <v>PV(3 yrs of Dividends)</v>
      </c>
      <c r="C171" s="216">
        <f>Scenarios!C103</f>
        <v>1.0024848508900275</v>
      </c>
    </row>
    <row r="172" spans="2:4">
      <c r="B172" s="212" t="str">
        <f>"+ PV(Equity Value realized at year "&amp;C141&amp;")"</f>
        <v>+ PV(Equity Value realized at year 3)</v>
      </c>
      <c r="C172" s="216">
        <f>Scenarios!C104</f>
        <v>23.818063885638704</v>
      </c>
    </row>
    <row r="173" spans="2:4">
      <c r="B173" s="80" t="s">
        <v>398</v>
      </c>
      <c r="C173" s="215">
        <f>Scenarios!C105</f>
        <v>24.820548736528732</v>
      </c>
      <c r="D173" s="300" t="str">
        <f>IF($D$11="","",C173*$E$25)</f>
        <v/>
      </c>
    </row>
    <row r="174" spans="2:4">
      <c r="B174" s="259" t="s">
        <v>412</v>
      </c>
      <c r="C174" s="298" t="str">
        <f>Market_currency</f>
        <v>USD</v>
      </c>
      <c r="D174" s="298" t="str">
        <f>IF($D$11="","",D$13)</f>
        <v/>
      </c>
    </row>
    <row r="175" spans="2:4">
      <c r="B175" s="214" t="s">
        <v>261</v>
      </c>
      <c r="C175" s="92">
        <f>Scenarios!F105</f>
        <v>0.25302615290709396</v>
      </c>
    </row>
    <row r="177" spans="1:6" ht="13.9">
      <c r="A177" s="222" t="s">
        <v>371</v>
      </c>
      <c r="B177" s="36"/>
      <c r="C177" s="36"/>
      <c r="D177" s="36"/>
      <c r="E177" s="36"/>
      <c r="F177" s="36"/>
    </row>
    <row r="179" spans="1:6">
      <c r="B179" s="368" t="s">
        <v>373</v>
      </c>
      <c r="C179" s="361"/>
      <c r="D179" s="361"/>
      <c r="E179" s="361"/>
      <c r="F179" s="361"/>
    </row>
    <row r="181" spans="1:6">
      <c r="B181" s="210" t="s">
        <v>372</v>
      </c>
    </row>
    <row r="182" spans="1:6">
      <c r="B182" s="365" t="s">
        <v>377</v>
      </c>
      <c r="C182" s="365"/>
      <c r="D182" s="365"/>
      <c r="E182" s="365"/>
      <c r="F182" s="365"/>
    </row>
    <row r="183" spans="1:6">
      <c r="B183" s="214" t="s">
        <v>374</v>
      </c>
    </row>
    <row r="184" spans="1:6">
      <c r="B184" s="214" t="s">
        <v>375</v>
      </c>
    </row>
    <row r="185" spans="1:6">
      <c r="B185" s="214" t="s">
        <v>376</v>
      </c>
    </row>
    <row r="187" spans="1:6">
      <c r="B187" s="1" t="s">
        <v>381</v>
      </c>
    </row>
    <row r="188" spans="1:6" ht="46.5" customHeight="1">
      <c r="B188" s="362" t="s">
        <v>378</v>
      </c>
      <c r="C188" s="362"/>
      <c r="D188" s="362"/>
      <c r="E188" s="362"/>
      <c r="F188" s="362"/>
    </row>
    <row r="190" spans="1:6">
      <c r="B190" s="1" t="s">
        <v>382</v>
      </c>
    </row>
    <row r="191" spans="1:6" ht="24.6" customHeight="1">
      <c r="B191" s="367" t="s">
        <v>379</v>
      </c>
      <c r="C191" s="367"/>
      <c r="D191" s="367"/>
      <c r="E191" s="367"/>
      <c r="F191" s="367"/>
    </row>
    <row r="192" spans="1:6" ht="24.6" customHeight="1">
      <c r="B192" s="367" t="s">
        <v>380</v>
      </c>
      <c r="C192" s="367"/>
      <c r="D192" s="367"/>
      <c r="E192" s="367"/>
      <c r="F192" s="367"/>
    </row>
    <row r="194" spans="2:2">
      <c r="B194" s="1" t="s">
        <v>386</v>
      </c>
    </row>
    <row r="195" spans="2:2">
      <c r="B195" s="214" t="s">
        <v>383</v>
      </c>
    </row>
    <row r="196" spans="2:2">
      <c r="B196" s="214" t="s">
        <v>384</v>
      </c>
    </row>
    <row r="197" spans="2:2">
      <c r="B197" s="214" t="s">
        <v>385</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USD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1000000</v>
      </c>
    </row>
    <row r="4" spans="2:13">
      <c r="B4" s="32" t="s">
        <v>2</v>
      </c>
      <c r="C4" s="351">
        <v>8699</v>
      </c>
      <c r="D4" s="351">
        <v>8953</v>
      </c>
      <c r="E4" s="351">
        <v>9003</v>
      </c>
      <c r="F4" s="351">
        <v>8696</v>
      </c>
      <c r="G4" s="351">
        <v>8040</v>
      </c>
      <c r="H4" s="351">
        <v>7794</v>
      </c>
      <c r="I4" s="351">
        <v>5770.692</v>
      </c>
      <c r="J4" s="351">
        <v>5425.1289999999999</v>
      </c>
      <c r="K4" s="351">
        <v>5017.22</v>
      </c>
      <c r="L4" s="351">
        <v>4570.058</v>
      </c>
      <c r="M4" s="351"/>
    </row>
    <row r="5" spans="2:13">
      <c r="B5" s="40" t="s">
        <v>43</v>
      </c>
      <c r="C5" s="351">
        <v>4129</v>
      </c>
      <c r="D5" s="351">
        <v>4209</v>
      </c>
      <c r="E5" s="351">
        <v>4130</v>
      </c>
      <c r="F5" s="351">
        <v>3968</v>
      </c>
      <c r="G5" s="351">
        <v>3579</v>
      </c>
      <c r="H5" s="351">
        <v>3427</v>
      </c>
      <c r="I5" s="351">
        <v>2308.6060000000002</v>
      </c>
      <c r="J5" s="351">
        <v>2101.982</v>
      </c>
      <c r="K5" s="351">
        <v>1993.327</v>
      </c>
      <c r="L5" s="351">
        <v>1843.164</v>
      </c>
      <c r="M5" s="351"/>
    </row>
    <row r="6" spans="2:13">
      <c r="B6" s="40" t="s">
        <v>54</v>
      </c>
      <c r="C6" s="351">
        <f>296+497+578+C7</f>
        <v>2634</v>
      </c>
      <c r="D6" s="351">
        <f>322+608+624+D7</f>
        <v>2844</v>
      </c>
      <c r="E6" s="351"/>
      <c r="F6" s="351"/>
      <c r="G6" s="351"/>
      <c r="H6" s="351"/>
      <c r="I6" s="351"/>
      <c r="J6" s="351"/>
      <c r="K6" s="351"/>
      <c r="L6" s="351"/>
      <c r="M6" s="351"/>
    </row>
    <row r="7" spans="2:13">
      <c r="B7" s="69" t="s">
        <v>61</v>
      </c>
      <c r="C7" s="352">
        <f>369+894</f>
        <v>1263</v>
      </c>
      <c r="D7" s="352">
        <f>359+931</f>
        <v>1290</v>
      </c>
      <c r="E7" s="352"/>
      <c r="F7" s="352"/>
      <c r="G7" s="352"/>
      <c r="H7" s="352"/>
      <c r="I7" s="352"/>
      <c r="J7" s="352"/>
      <c r="K7" s="352"/>
      <c r="L7" s="352"/>
      <c r="M7" s="352"/>
    </row>
    <row r="8" spans="2:13">
      <c r="B8" s="40" t="s">
        <v>49</v>
      </c>
      <c r="C8" s="351"/>
      <c r="D8" s="351"/>
      <c r="E8" s="351"/>
      <c r="F8" s="351"/>
      <c r="G8" s="351"/>
      <c r="H8" s="351"/>
      <c r="I8" s="351"/>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496</v>
      </c>
      <c r="D12" s="351">
        <v>423</v>
      </c>
      <c r="E12" s="351">
        <v>422</v>
      </c>
      <c r="F12" s="351">
        <v>415</v>
      </c>
      <c r="G12" s="351">
        <v>394</v>
      </c>
      <c r="H12" s="351">
        <v>390</v>
      </c>
      <c r="I12" s="351">
        <v>350.07299999999998</v>
      </c>
      <c r="J12" s="351">
        <v>345.82</v>
      </c>
      <c r="K12" s="351">
        <v>331.22500000000002</v>
      </c>
      <c r="L12" s="351">
        <v>299.10300000000001</v>
      </c>
      <c r="M12" s="351"/>
    </row>
    <row r="13" spans="2:13">
      <c r="B13" s="40" t="s">
        <v>67</v>
      </c>
      <c r="C13" s="351"/>
      <c r="D13" s="351"/>
      <c r="E13" s="351"/>
      <c r="F13" s="351"/>
      <c r="G13" s="351"/>
      <c r="H13" s="351"/>
      <c r="I13" s="351"/>
      <c r="J13" s="351"/>
      <c r="K13" s="351"/>
      <c r="L13" s="351"/>
      <c r="M13" s="351"/>
    </row>
    <row r="14" spans="2:13">
      <c r="B14" s="40" t="s">
        <v>50</v>
      </c>
      <c r="C14" s="351">
        <v>210</v>
      </c>
      <c r="D14" s="351">
        <v>260</v>
      </c>
      <c r="E14" s="351">
        <v>392</v>
      </c>
      <c r="F14" s="351">
        <v>212</v>
      </c>
      <c r="G14" s="351">
        <v>299</v>
      </c>
      <c r="H14" s="351">
        <v>283</v>
      </c>
      <c r="I14" s="351">
        <v>244.68100000000001</v>
      </c>
      <c r="J14" s="351">
        <v>616.30100000000004</v>
      </c>
      <c r="K14" s="351">
        <v>345.72699999999998</v>
      </c>
      <c r="L14" s="351">
        <v>382.24</v>
      </c>
      <c r="M14" s="351"/>
    </row>
    <row r="15" spans="2:13">
      <c r="B15" s="43" t="s">
        <v>42</v>
      </c>
      <c r="C15" s="353">
        <v>-2075</v>
      </c>
      <c r="D15" s="353">
        <v>1258</v>
      </c>
      <c r="E15" s="353">
        <v>1213</v>
      </c>
      <c r="F15" s="353">
        <v>1314</v>
      </c>
      <c r="G15" s="353">
        <v>131</v>
      </c>
      <c r="H15" s="353">
        <v>914</v>
      </c>
      <c r="I15" s="353">
        <v>1175.893</v>
      </c>
      <c r="J15" s="353">
        <v>647.90800000000002</v>
      </c>
      <c r="K15" s="353">
        <v>745.93299999999999</v>
      </c>
      <c r="L15" s="353">
        <v>509.72399999999999</v>
      </c>
      <c r="M15" s="353"/>
    </row>
    <row r="16" spans="2:13">
      <c r="B16" s="28" t="s">
        <v>44</v>
      </c>
      <c r="C16" s="351">
        <v>-410</v>
      </c>
      <c r="D16" s="351">
        <v>202</v>
      </c>
      <c r="E16" s="351"/>
      <c r="F16" s="351"/>
      <c r="G16" s="351"/>
      <c r="H16" s="351"/>
      <c r="I16" s="351"/>
      <c r="J16" s="351"/>
      <c r="K16" s="351"/>
      <c r="L16" s="351"/>
      <c r="M16" s="351"/>
    </row>
    <row r="18" spans="2:13">
      <c r="B18" s="16" t="s">
        <v>51</v>
      </c>
      <c r="C18" s="9"/>
    </row>
    <row r="19" spans="2:13">
      <c r="B19" s="27" t="s">
        <v>47</v>
      </c>
      <c r="C19" s="351">
        <v>578</v>
      </c>
      <c r="D19" s="351">
        <v>624</v>
      </c>
      <c r="E19" s="351"/>
      <c r="F19" s="351"/>
      <c r="G19" s="351"/>
      <c r="H19" s="351"/>
      <c r="I19" s="351"/>
      <c r="J19" s="351"/>
      <c r="K19" s="351"/>
      <c r="L19" s="351"/>
      <c r="M19" s="351"/>
    </row>
    <row r="20" spans="2:13">
      <c r="B20" s="27" t="s">
        <v>53</v>
      </c>
      <c r="C20" s="351">
        <v>728</v>
      </c>
      <c r="D20" s="351">
        <v>728</v>
      </c>
      <c r="E20" s="351">
        <v>650</v>
      </c>
      <c r="F20" s="351">
        <v>426</v>
      </c>
      <c r="G20" s="351">
        <v>388</v>
      </c>
      <c r="H20" s="351"/>
      <c r="I20" s="351"/>
      <c r="J20" s="351"/>
      <c r="K20" s="351"/>
      <c r="L20" s="351"/>
      <c r="M20" s="351"/>
    </row>
    <row r="21" spans="2:13">
      <c r="B21" s="27" t="s">
        <v>52</v>
      </c>
      <c r="C21" s="351">
        <v>259</v>
      </c>
      <c r="D21" s="351">
        <v>259</v>
      </c>
      <c r="E21" s="351">
        <v>169</v>
      </c>
      <c r="F21" s="351">
        <v>340</v>
      </c>
      <c r="G21" s="351">
        <v>411</v>
      </c>
      <c r="H21" s="351"/>
      <c r="I21" s="351"/>
      <c r="J21" s="351"/>
      <c r="K21" s="351"/>
      <c r="L21" s="351"/>
      <c r="M21" s="351"/>
    </row>
    <row r="22" spans="2:13">
      <c r="B22" s="27" t="s">
        <v>368</v>
      </c>
      <c r="C22" s="351">
        <v>1741</v>
      </c>
      <c r="D22" s="351">
        <v>1850</v>
      </c>
      <c r="E22" s="351">
        <v>1976</v>
      </c>
      <c r="F22" s="351">
        <v>1998</v>
      </c>
      <c r="G22" s="351">
        <v>2018</v>
      </c>
      <c r="H22" s="351">
        <v>2017</v>
      </c>
      <c r="I22" s="351">
        <v>1880.4179999999999</v>
      </c>
      <c r="J22" s="351">
        <v>1855.5889999999999</v>
      </c>
      <c r="K22" s="351">
        <v>1719.2370000000001</v>
      </c>
      <c r="L22" s="351">
        <v>1244.0509999999999</v>
      </c>
      <c r="M22" s="351"/>
    </row>
    <row r="23" spans="2:13">
      <c r="B23" s="27" t="s">
        <v>370</v>
      </c>
      <c r="C23" s="351">
        <v>-970</v>
      </c>
      <c r="D23" s="351">
        <v>-686</v>
      </c>
      <c r="E23" s="351">
        <v>-548</v>
      </c>
      <c r="F23" s="351">
        <v>-200</v>
      </c>
      <c r="G23" s="351">
        <v>-741</v>
      </c>
      <c r="H23" s="351">
        <v>-3</v>
      </c>
      <c r="I23" s="351">
        <v>-379.27600000000001</v>
      </c>
      <c r="J23" s="351">
        <v>-1146.8119999999999</v>
      </c>
      <c r="K23" s="351">
        <v>-210.124</v>
      </c>
      <c r="L23" s="351">
        <v>-138.858</v>
      </c>
      <c r="M23" s="351"/>
    </row>
    <row r="24" spans="2:13">
      <c r="B24" s="27" t="s">
        <v>369</v>
      </c>
      <c r="C24" s="351">
        <v>-916</v>
      </c>
      <c r="D24" s="351">
        <v>-1005</v>
      </c>
      <c r="E24" s="351">
        <v>-1562</v>
      </c>
      <c r="F24" s="351">
        <v>-1682</v>
      </c>
      <c r="G24" s="351">
        <v>-1314</v>
      </c>
      <c r="H24" s="351">
        <v>-1959</v>
      </c>
      <c r="I24" s="351">
        <v>-1515.146</v>
      </c>
      <c r="J24" s="351">
        <v>-853.69399999999996</v>
      </c>
      <c r="K24" s="351">
        <v>-1407.0119999999999</v>
      </c>
      <c r="L24" s="351">
        <v>-1141.079</v>
      </c>
      <c r="M24" s="351"/>
    </row>
    <row r="25" spans="2:13">
      <c r="B25" s="24" t="str">
        <f>"Dividend per share ("&amp;Market_currency&amp;")"</f>
        <v>Dividend per share (USD)</v>
      </c>
      <c r="C25" s="39">
        <f>0.27+0.27+0.027+0.0266</f>
        <v>0.59360000000000002</v>
      </c>
      <c r="D25" s="39"/>
      <c r="E25" s="39"/>
      <c r="F25" s="39"/>
      <c r="G25" s="39"/>
      <c r="H25" s="39"/>
      <c r="I25" s="39"/>
      <c r="J25" s="39"/>
      <c r="K25" s="39"/>
      <c r="L25" s="39"/>
      <c r="M25" s="39"/>
    </row>
    <row r="27" spans="2:13">
      <c r="B27" s="16" t="s">
        <v>28</v>
      </c>
      <c r="C27" s="97" t="s">
        <v>464</v>
      </c>
    </row>
    <row r="28" spans="2:13">
      <c r="B28" s="26" t="s">
        <v>24</v>
      </c>
      <c r="C28" s="333">
        <f>BS!C4</f>
        <v>676</v>
      </c>
      <c r="D28" s="351">
        <v>709</v>
      </c>
      <c r="E28" s="351">
        <v>655</v>
      </c>
      <c r="F28" s="351">
        <v>722</v>
      </c>
      <c r="G28" s="351">
        <v>672</v>
      </c>
      <c r="H28" s="351">
        <v>670</v>
      </c>
      <c r="I28" s="351">
        <v>232.98599999999999</v>
      </c>
      <c r="J28" s="351">
        <v>241.727</v>
      </c>
      <c r="K28" s="351">
        <v>223.029</v>
      </c>
      <c r="L28" s="351">
        <v>234.78200000000001</v>
      </c>
      <c r="M28" s="351"/>
    </row>
    <row r="29" spans="2:13">
      <c r="B29" s="26" t="s">
        <v>32</v>
      </c>
      <c r="C29" s="333">
        <f>BS!C6</f>
        <v>0</v>
      </c>
      <c r="D29" s="351"/>
      <c r="E29" s="351"/>
      <c r="F29" s="351"/>
      <c r="G29" s="351"/>
      <c r="H29" s="351"/>
      <c r="I29" s="351"/>
      <c r="J29" s="351"/>
      <c r="K29" s="351"/>
      <c r="L29" s="351"/>
      <c r="M29" s="351"/>
    </row>
    <row r="30" spans="2:13">
      <c r="B30" s="29" t="s">
        <v>40</v>
      </c>
      <c r="C30" s="334">
        <f>BS!C33+BS!C42</f>
        <v>16447</v>
      </c>
      <c r="D30" s="353">
        <v>12939</v>
      </c>
      <c r="E30" s="353">
        <v>13373</v>
      </c>
      <c r="F30" s="353">
        <v>12899</v>
      </c>
      <c r="G30" s="353">
        <v>12618</v>
      </c>
      <c r="H30" s="353">
        <v>11885</v>
      </c>
      <c r="I30" s="353">
        <v>9989.6569999999992</v>
      </c>
      <c r="J30" s="353">
        <v>9853.2479999999996</v>
      </c>
      <c r="K30" s="353">
        <v>8795.61</v>
      </c>
      <c r="L30" s="353">
        <v>8213.1530000000002</v>
      </c>
      <c r="M30" s="353"/>
    </row>
    <row r="31" spans="2:13">
      <c r="B31" s="29" t="s">
        <v>30</v>
      </c>
      <c r="C31" s="334">
        <f>BS!G27</f>
        <v>11074</v>
      </c>
      <c r="D31" s="353">
        <v>-2565</v>
      </c>
      <c r="E31" s="353">
        <v>-3351</v>
      </c>
      <c r="F31" s="353">
        <v>-2625</v>
      </c>
      <c r="G31" s="353">
        <v>-2285</v>
      </c>
      <c r="H31" s="353">
        <v>-736</v>
      </c>
      <c r="I31" s="353">
        <v>-1816.921</v>
      </c>
      <c r="J31" s="353">
        <v>-1523.874</v>
      </c>
      <c r="K31" s="353">
        <v>-792.01499999999999</v>
      </c>
      <c r="L31" s="353">
        <v>-166.49100000000001</v>
      </c>
      <c r="M31" s="353"/>
    </row>
    <row r="32" spans="2:13">
      <c r="B32" s="26" t="s">
        <v>171</v>
      </c>
      <c r="C32" s="333">
        <f>BS!G28</f>
        <v>0</v>
      </c>
      <c r="D32" s="351"/>
      <c r="E32" s="351"/>
      <c r="F32" s="351"/>
      <c r="G32" s="351"/>
      <c r="H32" s="351"/>
      <c r="I32" s="351"/>
      <c r="J32" s="351"/>
      <c r="K32" s="351"/>
      <c r="L32" s="351"/>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8699</v>
      </c>
      <c r="D36" s="333">
        <f t="shared" si="1"/>
        <v>8953</v>
      </c>
      <c r="E36" s="333">
        <f t="shared" si="1"/>
        <v>9003</v>
      </c>
      <c r="F36" s="333">
        <f t="shared" si="1"/>
        <v>8696</v>
      </c>
      <c r="G36" s="333">
        <f t="shared" si="1"/>
        <v>8040</v>
      </c>
      <c r="H36" s="333">
        <f t="shared" si="1"/>
        <v>7794</v>
      </c>
      <c r="I36" s="333">
        <f t="shared" si="1"/>
        <v>5770.692</v>
      </c>
      <c r="J36" s="333">
        <f t="shared" si="1"/>
        <v>5425.1289999999999</v>
      </c>
      <c r="K36" s="333">
        <f t="shared" si="1"/>
        <v>5017.22</v>
      </c>
      <c r="L36" s="333">
        <f t="shared" si="1"/>
        <v>4570.058</v>
      </c>
      <c r="M36" s="333" t="str">
        <f t="shared" si="1"/>
        <v/>
      </c>
    </row>
    <row r="37" spans="2:13">
      <c r="B37" s="40" t="s">
        <v>43</v>
      </c>
      <c r="C37" s="333">
        <f t="shared" ref="C37:M37" si="2">IF(C$4="","",-C5)</f>
        <v>-4129</v>
      </c>
      <c r="D37" s="333">
        <f t="shared" si="2"/>
        <v>-4209</v>
      </c>
      <c r="E37" s="333">
        <f t="shared" si="2"/>
        <v>-4130</v>
      </c>
      <c r="F37" s="333">
        <f t="shared" si="2"/>
        <v>-3968</v>
      </c>
      <c r="G37" s="333">
        <f t="shared" si="2"/>
        <v>-3579</v>
      </c>
      <c r="H37" s="333">
        <f t="shared" si="2"/>
        <v>-3427</v>
      </c>
      <c r="I37" s="333">
        <f t="shared" si="2"/>
        <v>-2308.6060000000002</v>
      </c>
      <c r="J37" s="333">
        <f t="shared" si="2"/>
        <v>-2101.982</v>
      </c>
      <c r="K37" s="333">
        <f t="shared" si="2"/>
        <v>-1993.327</v>
      </c>
      <c r="L37" s="333">
        <f t="shared" si="2"/>
        <v>-1843.164</v>
      </c>
      <c r="M37" s="333" t="str">
        <f t="shared" si="2"/>
        <v/>
      </c>
    </row>
    <row r="38" spans="2:13">
      <c r="B38" s="31" t="s">
        <v>58</v>
      </c>
      <c r="C38" s="329">
        <f>IF(C36="","",C36+C37)</f>
        <v>4570</v>
      </c>
      <c r="D38" s="329">
        <f t="shared" ref="D38" si="3">IF(D36="","",D36+D37)</f>
        <v>4744</v>
      </c>
      <c r="E38" s="329">
        <f t="shared" ref="E38" si="4">IF(E36="","",E36+E37)</f>
        <v>4873</v>
      </c>
      <c r="F38" s="329">
        <f t="shared" ref="F38" si="5">IF(F36="","",F36+F37)</f>
        <v>4728</v>
      </c>
      <c r="G38" s="329">
        <f t="shared" ref="G38" si="6">IF(G36="","",G36+G37)</f>
        <v>4461</v>
      </c>
      <c r="H38" s="329">
        <f t="shared" ref="H38" si="7">IF(H36="","",H36+H37)</f>
        <v>4367</v>
      </c>
      <c r="I38" s="329">
        <f t="shared" ref="I38" si="8">IF(I36="","",I36+I37)</f>
        <v>3462.0859999999998</v>
      </c>
      <c r="J38" s="329">
        <f t="shared" ref="J38" si="9">IF(J36="","",J36+J37)</f>
        <v>3323.1469999999999</v>
      </c>
      <c r="K38" s="329">
        <f t="shared" ref="K38" si="10">IF(K36="","",K36+K37)</f>
        <v>3023.893</v>
      </c>
      <c r="L38" s="329">
        <f t="shared" ref="L38" si="11">IF(L36="","",L36+L37)</f>
        <v>2726.8940000000002</v>
      </c>
      <c r="M38" s="329" t="str">
        <f t="shared" ref="M38" si="12">IF(M36="","",M36+M37)</f>
        <v/>
      </c>
    </row>
    <row r="39" spans="2:13">
      <c r="B39" s="40" t="s">
        <v>54</v>
      </c>
      <c r="C39" s="333">
        <f t="shared" ref="C39:M39" si="13">IF(C$4="","",-C6)</f>
        <v>-2634</v>
      </c>
      <c r="D39" s="333">
        <f t="shared" si="13"/>
        <v>-2844</v>
      </c>
      <c r="E39" s="333">
        <f t="shared" si="13"/>
        <v>0</v>
      </c>
      <c r="F39" s="333">
        <f t="shared" si="13"/>
        <v>0</v>
      </c>
      <c r="G39" s="333">
        <f t="shared" si="13"/>
        <v>0</v>
      </c>
      <c r="H39" s="333">
        <f t="shared" si="13"/>
        <v>0</v>
      </c>
      <c r="I39" s="333">
        <f t="shared" si="13"/>
        <v>0</v>
      </c>
      <c r="J39" s="333">
        <f t="shared" si="13"/>
        <v>0</v>
      </c>
      <c r="K39" s="333">
        <f t="shared" si="13"/>
        <v>0</v>
      </c>
      <c r="L39" s="333">
        <f t="shared" si="13"/>
        <v>0</v>
      </c>
      <c r="M39" s="333" t="str">
        <f t="shared" si="13"/>
        <v/>
      </c>
    </row>
    <row r="40" spans="2:13">
      <c r="B40" s="69" t="s">
        <v>61</v>
      </c>
      <c r="C40" s="346">
        <f t="shared" ref="C40:M40" si="14">IF(C$4="","",-C7)</f>
        <v>-1263</v>
      </c>
      <c r="D40" s="346">
        <f t="shared" si="14"/>
        <v>-1290</v>
      </c>
      <c r="E40" s="346">
        <f t="shared" si="14"/>
        <v>0</v>
      </c>
      <c r="F40" s="346">
        <f t="shared" si="14"/>
        <v>0</v>
      </c>
      <c r="G40" s="346">
        <f t="shared" si="14"/>
        <v>0</v>
      </c>
      <c r="H40" s="346">
        <f t="shared" si="14"/>
        <v>0</v>
      </c>
      <c r="I40" s="346">
        <f t="shared" si="14"/>
        <v>0</v>
      </c>
      <c r="J40" s="346">
        <f t="shared" si="14"/>
        <v>0</v>
      </c>
      <c r="K40" s="346">
        <f t="shared" si="14"/>
        <v>0</v>
      </c>
      <c r="L40" s="346">
        <f t="shared" si="14"/>
        <v>0</v>
      </c>
      <c r="M40" s="346" t="str">
        <f t="shared" si="14"/>
        <v/>
      </c>
    </row>
    <row r="41" spans="2:13">
      <c r="B41" s="69" t="s">
        <v>64</v>
      </c>
      <c r="C41" s="346">
        <f>IF(C$4="","",C39-C40)</f>
        <v>-1371</v>
      </c>
      <c r="D41" s="346">
        <f t="shared" ref="D41:M41" si="15">IF(D$4="","",D39-D40)</f>
        <v>-1554</v>
      </c>
      <c r="E41" s="346">
        <f t="shared" si="15"/>
        <v>0</v>
      </c>
      <c r="F41" s="346">
        <f t="shared" si="15"/>
        <v>0</v>
      </c>
      <c r="G41" s="346">
        <f t="shared" si="15"/>
        <v>0</v>
      </c>
      <c r="H41" s="346">
        <f t="shared" si="15"/>
        <v>0</v>
      </c>
      <c r="I41" s="346">
        <f t="shared" si="15"/>
        <v>0</v>
      </c>
      <c r="J41" s="346">
        <f t="shared" si="15"/>
        <v>0</v>
      </c>
      <c r="K41" s="346">
        <f t="shared" si="15"/>
        <v>0</v>
      </c>
      <c r="L41" s="346">
        <f t="shared" si="15"/>
        <v>0</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151</v>
      </c>
      <c r="C43" s="334">
        <f>IF(C$4="","",C38+C39+C42)</f>
        <v>1936</v>
      </c>
      <c r="D43" s="334">
        <f t="shared" ref="D43:M43" si="17">IF(D$4="","",D38+D39+D42)</f>
        <v>1900</v>
      </c>
      <c r="E43" s="334">
        <f t="shared" si="17"/>
        <v>4873</v>
      </c>
      <c r="F43" s="334">
        <f t="shared" si="17"/>
        <v>4728</v>
      </c>
      <c r="G43" s="334">
        <f t="shared" si="17"/>
        <v>4461</v>
      </c>
      <c r="H43" s="334">
        <f t="shared" si="17"/>
        <v>4367</v>
      </c>
      <c r="I43" s="334">
        <f t="shared" si="17"/>
        <v>3462.0859999999998</v>
      </c>
      <c r="J43" s="334">
        <f t="shared" si="17"/>
        <v>3323.1469999999999</v>
      </c>
      <c r="K43" s="334">
        <f t="shared" si="17"/>
        <v>3023.893</v>
      </c>
      <c r="L43" s="334">
        <f t="shared" si="17"/>
        <v>2726.8940000000002</v>
      </c>
      <c r="M43" s="334" t="str">
        <f t="shared" si="17"/>
        <v/>
      </c>
    </row>
    <row r="44" spans="2:13">
      <c r="B44" s="43" t="s">
        <v>167</v>
      </c>
      <c r="C44" s="354">
        <f t="shared" ref="C44:M44" si="18">IF(C$4="","",C47-C46-C45-C43)</f>
        <v>-3305</v>
      </c>
      <c r="D44" s="354">
        <f t="shared" si="18"/>
        <v>41</v>
      </c>
      <c r="E44" s="354">
        <f t="shared" si="18"/>
        <v>-2846</v>
      </c>
      <c r="F44" s="354">
        <f t="shared" si="18"/>
        <v>-2787</v>
      </c>
      <c r="G44" s="354">
        <f t="shared" si="18"/>
        <v>-3637</v>
      </c>
      <c r="H44" s="354">
        <f t="shared" si="18"/>
        <v>-2780</v>
      </c>
      <c r="I44" s="354">
        <f t="shared" si="18"/>
        <v>-1691.4389999999999</v>
      </c>
      <c r="J44" s="354">
        <f t="shared" si="18"/>
        <v>-1713.1179999999999</v>
      </c>
      <c r="K44" s="354">
        <f t="shared" si="18"/>
        <v>-1601.0080000000003</v>
      </c>
      <c r="L44" s="354">
        <f t="shared" si="18"/>
        <v>-1535.8270000000002</v>
      </c>
      <c r="M44" s="354" t="str">
        <f t="shared" si="18"/>
        <v/>
      </c>
    </row>
    <row r="45" spans="2:13">
      <c r="B45" s="40" t="s">
        <v>68</v>
      </c>
      <c r="C45" s="349">
        <f t="shared" ref="C45:M45" si="19">IF(C$4="","",C51+C52)</f>
        <v>-496</v>
      </c>
      <c r="D45" s="349">
        <f t="shared" si="19"/>
        <v>-423</v>
      </c>
      <c r="E45" s="349">
        <f t="shared" si="19"/>
        <v>-422</v>
      </c>
      <c r="F45" s="349">
        <f t="shared" si="19"/>
        <v>-415</v>
      </c>
      <c r="G45" s="349">
        <f t="shared" si="19"/>
        <v>-394</v>
      </c>
      <c r="H45" s="349">
        <f t="shared" si="19"/>
        <v>-390</v>
      </c>
      <c r="I45" s="349">
        <f t="shared" si="19"/>
        <v>-350.07299999999998</v>
      </c>
      <c r="J45" s="349">
        <f t="shared" si="19"/>
        <v>-345.82</v>
      </c>
      <c r="K45" s="349">
        <f t="shared" si="19"/>
        <v>-331.22500000000002</v>
      </c>
      <c r="L45" s="349">
        <f t="shared" si="19"/>
        <v>-299.10300000000001</v>
      </c>
      <c r="M45" s="349" t="str">
        <f t="shared" si="19"/>
        <v/>
      </c>
    </row>
    <row r="46" spans="2:13">
      <c r="B46" s="40" t="s">
        <v>50</v>
      </c>
      <c r="C46" s="333">
        <f t="shared" ref="C46:M46" si="20">IF(C$4="","",-C14)</f>
        <v>-210</v>
      </c>
      <c r="D46" s="333">
        <f t="shared" si="20"/>
        <v>-260</v>
      </c>
      <c r="E46" s="333">
        <f t="shared" si="20"/>
        <v>-392</v>
      </c>
      <c r="F46" s="333">
        <f t="shared" si="20"/>
        <v>-212</v>
      </c>
      <c r="G46" s="333">
        <f t="shared" si="20"/>
        <v>-299</v>
      </c>
      <c r="H46" s="333">
        <f t="shared" si="20"/>
        <v>-283</v>
      </c>
      <c r="I46" s="333">
        <f t="shared" si="20"/>
        <v>-244.68100000000001</v>
      </c>
      <c r="J46" s="333">
        <f t="shared" si="20"/>
        <v>-616.30100000000004</v>
      </c>
      <c r="K46" s="333">
        <f t="shared" si="20"/>
        <v>-345.72699999999998</v>
      </c>
      <c r="L46" s="333">
        <f t="shared" si="20"/>
        <v>-382.24</v>
      </c>
      <c r="M46" s="333" t="str">
        <f t="shared" si="20"/>
        <v/>
      </c>
    </row>
    <row r="47" spans="2:13">
      <c r="B47" s="43" t="s">
        <v>42</v>
      </c>
      <c r="C47" s="334">
        <f t="shared" ref="C47:M47" si="21">IF(C$4="","",C15)</f>
        <v>-2075</v>
      </c>
      <c r="D47" s="334">
        <f t="shared" si="21"/>
        <v>1258</v>
      </c>
      <c r="E47" s="334">
        <f t="shared" si="21"/>
        <v>1213</v>
      </c>
      <c r="F47" s="334">
        <f t="shared" si="21"/>
        <v>1314</v>
      </c>
      <c r="G47" s="334">
        <f t="shared" si="21"/>
        <v>131</v>
      </c>
      <c r="H47" s="334">
        <f t="shared" si="21"/>
        <v>914</v>
      </c>
      <c r="I47" s="334">
        <f t="shared" si="21"/>
        <v>1175.893</v>
      </c>
      <c r="J47" s="334">
        <f t="shared" si="21"/>
        <v>647.90800000000002</v>
      </c>
      <c r="K47" s="334">
        <f t="shared" si="21"/>
        <v>745.93299999999999</v>
      </c>
      <c r="L47" s="334">
        <f t="shared" si="21"/>
        <v>509.72399999999999</v>
      </c>
      <c r="M47" s="334" t="str">
        <f t="shared" si="21"/>
        <v/>
      </c>
    </row>
    <row r="48" spans="2:13">
      <c r="B48" s="28" t="s">
        <v>44</v>
      </c>
      <c r="C48" s="333">
        <f t="shared" ref="C48:M48" si="22">IF(C$4="","",MIN(-C16,0))</f>
        <v>0</v>
      </c>
      <c r="D48" s="333">
        <f t="shared" si="22"/>
        <v>-202</v>
      </c>
      <c r="E48" s="333">
        <f t="shared" si="22"/>
        <v>0</v>
      </c>
      <c r="F48" s="333">
        <f t="shared" si="22"/>
        <v>0</v>
      </c>
      <c r="G48" s="333">
        <f t="shared" si="22"/>
        <v>0</v>
      </c>
      <c r="H48" s="333">
        <f t="shared" si="22"/>
        <v>0</v>
      </c>
      <c r="I48" s="333">
        <f t="shared" si="22"/>
        <v>0</v>
      </c>
      <c r="J48" s="333">
        <f t="shared" si="22"/>
        <v>0</v>
      </c>
      <c r="K48" s="333">
        <f t="shared" si="22"/>
        <v>0</v>
      </c>
      <c r="L48" s="333">
        <f t="shared" si="22"/>
        <v>0</v>
      </c>
      <c r="M48" s="333" t="str">
        <f t="shared" si="22"/>
        <v/>
      </c>
    </row>
    <row r="50" spans="2:13">
      <c r="B50" s="16" t="s">
        <v>68</v>
      </c>
    </row>
    <row r="51" spans="2:13">
      <c r="B51" s="40" t="s">
        <v>39</v>
      </c>
      <c r="C51" s="333">
        <f t="shared" ref="C51:M51" si="23">IF(C$4="","",-C12)</f>
        <v>-496</v>
      </c>
      <c r="D51" s="333">
        <f t="shared" si="23"/>
        <v>-423</v>
      </c>
      <c r="E51" s="333">
        <f t="shared" si="23"/>
        <v>-422</v>
      </c>
      <c r="F51" s="333">
        <f t="shared" si="23"/>
        <v>-415</v>
      </c>
      <c r="G51" s="333">
        <f t="shared" si="23"/>
        <v>-394</v>
      </c>
      <c r="H51" s="333">
        <f t="shared" si="23"/>
        <v>-390</v>
      </c>
      <c r="I51" s="333">
        <f t="shared" si="23"/>
        <v>-350.07299999999998</v>
      </c>
      <c r="J51" s="333">
        <f t="shared" si="23"/>
        <v>-345.82</v>
      </c>
      <c r="K51" s="333">
        <f t="shared" si="23"/>
        <v>-331.22500000000002</v>
      </c>
      <c r="L51" s="333">
        <f t="shared" si="23"/>
        <v>-299.10300000000001</v>
      </c>
      <c r="M51" s="333" t="str">
        <f t="shared" si="23"/>
        <v/>
      </c>
    </row>
    <row r="52" spans="2:13">
      <c r="B52" s="40" t="s">
        <v>67</v>
      </c>
      <c r="C52" s="333">
        <f t="shared" ref="C52:M52" si="24">IF(C$4="","",C13)</f>
        <v>0</v>
      </c>
      <c r="D52" s="333">
        <f t="shared" si="24"/>
        <v>0</v>
      </c>
      <c r="E52" s="333">
        <f t="shared" si="24"/>
        <v>0</v>
      </c>
      <c r="F52" s="333">
        <f t="shared" si="24"/>
        <v>0</v>
      </c>
      <c r="G52" s="333">
        <f t="shared" si="24"/>
        <v>0</v>
      </c>
      <c r="H52" s="333">
        <f t="shared" si="24"/>
        <v>0</v>
      </c>
      <c r="I52" s="333">
        <f t="shared" si="24"/>
        <v>0</v>
      </c>
      <c r="J52" s="333">
        <f t="shared" si="24"/>
        <v>0</v>
      </c>
      <c r="K52" s="333">
        <f t="shared" si="24"/>
        <v>0</v>
      </c>
      <c r="L52" s="333">
        <f t="shared" si="24"/>
        <v>0</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-3305</v>
      </c>
      <c r="D58" s="349">
        <f t="shared" ref="D58:M58" si="28">IF(D$4="","",D44-D55-D56-D57)</f>
        <v>41</v>
      </c>
      <c r="E58" s="349">
        <f t="shared" si="28"/>
        <v>-2846</v>
      </c>
      <c r="F58" s="349">
        <f t="shared" si="28"/>
        <v>-2787</v>
      </c>
      <c r="G58" s="349">
        <f t="shared" si="28"/>
        <v>-3637</v>
      </c>
      <c r="H58" s="349">
        <f t="shared" si="28"/>
        <v>-2780</v>
      </c>
      <c r="I58" s="349">
        <f t="shared" si="28"/>
        <v>-1691.4389999999999</v>
      </c>
      <c r="J58" s="349">
        <f t="shared" si="28"/>
        <v>-1713.1179999999999</v>
      </c>
      <c r="K58" s="349">
        <f t="shared" si="28"/>
        <v>-1601.0080000000003</v>
      </c>
      <c r="L58" s="349">
        <f t="shared" si="28"/>
        <v>-1535.8270000000002</v>
      </c>
      <c r="M58" s="349" t="str">
        <f t="shared" si="28"/>
        <v/>
      </c>
    </row>
    <row r="60" spans="2:13">
      <c r="B60" s="16" t="s">
        <v>51</v>
      </c>
      <c r="C60" s="9"/>
    </row>
    <row r="61" spans="2:13">
      <c r="B61" s="27" t="s">
        <v>47</v>
      </c>
      <c r="C61" s="333">
        <f>IF(C$4="","",-C19)</f>
        <v>-578</v>
      </c>
      <c r="D61" s="333">
        <f t="shared" ref="D61:M61" si="29">IF(D$4="","",-D19)</f>
        <v>-624</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53</v>
      </c>
      <c r="C62" s="333">
        <f>IF(C$4="","",IF(C20=0,C61,-C20))</f>
        <v>-728</v>
      </c>
      <c r="D62" s="333">
        <f t="shared" ref="D62:M62" si="30">IF(D$4="","",IF(D20=0,D61,-D20))</f>
        <v>-728</v>
      </c>
      <c r="E62" s="333">
        <f t="shared" si="30"/>
        <v>-650</v>
      </c>
      <c r="F62" s="333">
        <f t="shared" si="30"/>
        <v>-426</v>
      </c>
      <c r="G62" s="333">
        <f t="shared" si="30"/>
        <v>-388</v>
      </c>
      <c r="H62" s="333">
        <f t="shared" si="30"/>
        <v>0</v>
      </c>
      <c r="I62" s="333">
        <f t="shared" si="30"/>
        <v>0</v>
      </c>
      <c r="J62" s="333">
        <f t="shared" si="30"/>
        <v>0</v>
      </c>
      <c r="K62" s="333">
        <f t="shared" si="30"/>
        <v>0</v>
      </c>
      <c r="L62" s="333">
        <f t="shared" si="30"/>
        <v>0</v>
      </c>
      <c r="M62" s="333" t="str">
        <f t="shared" si="30"/>
        <v/>
      </c>
    </row>
    <row r="63" spans="2:13">
      <c r="B63" s="27" t="s">
        <v>52</v>
      </c>
      <c r="C63" s="333">
        <f>IF(C$4="","",-C21)</f>
        <v>-259</v>
      </c>
      <c r="D63" s="333">
        <f t="shared" ref="D63:M63" si="31">IF(D$4="","",-D21)</f>
        <v>-259</v>
      </c>
      <c r="E63" s="333">
        <f t="shared" si="31"/>
        <v>-169</v>
      </c>
      <c r="F63" s="333">
        <f t="shared" si="31"/>
        <v>-340</v>
      </c>
      <c r="G63" s="333">
        <f t="shared" si="31"/>
        <v>-411</v>
      </c>
      <c r="H63" s="333">
        <f t="shared" si="31"/>
        <v>0</v>
      </c>
      <c r="I63" s="333">
        <f t="shared" si="31"/>
        <v>0</v>
      </c>
      <c r="J63" s="333">
        <f t="shared" si="31"/>
        <v>0</v>
      </c>
      <c r="K63" s="333">
        <f t="shared" si="31"/>
        <v>0</v>
      </c>
      <c r="L63" s="333">
        <f t="shared" si="31"/>
        <v>0</v>
      </c>
      <c r="M63" s="333" t="str">
        <f t="shared" si="31"/>
        <v/>
      </c>
    </row>
    <row r="64" spans="2:13">
      <c r="B64" s="27" t="s">
        <v>390</v>
      </c>
      <c r="C64" s="333">
        <f>IF(C$4="","",C22+C23+C24)</f>
        <v>-145</v>
      </c>
      <c r="D64" s="333">
        <f t="shared" ref="D64:M64" si="32">IF(D$4="","",D22+D23+D24)</f>
        <v>159</v>
      </c>
      <c r="E64" s="333">
        <f t="shared" si="32"/>
        <v>-134</v>
      </c>
      <c r="F64" s="333">
        <f t="shared" si="32"/>
        <v>116</v>
      </c>
      <c r="G64" s="333">
        <f t="shared" si="32"/>
        <v>-37</v>
      </c>
      <c r="H64" s="333">
        <f t="shared" si="32"/>
        <v>55</v>
      </c>
      <c r="I64" s="333">
        <f t="shared" si="32"/>
        <v>-14.004000000000133</v>
      </c>
      <c r="J64" s="333">
        <f t="shared" si="32"/>
        <v>-144.91699999999992</v>
      </c>
      <c r="K64" s="333">
        <f t="shared" si="32"/>
        <v>102.10100000000011</v>
      </c>
      <c r="L64" s="333">
        <f t="shared" si="32"/>
        <v>-35.885999999999967</v>
      </c>
      <c r="M64" s="333" t="str">
        <f t="shared" si="32"/>
        <v/>
      </c>
    </row>
    <row r="65" spans="2:13">
      <c r="B65" s="24" t="s">
        <v>36</v>
      </c>
      <c r="C65" s="73">
        <f>IF(C$4="","",C25)</f>
        <v>0.59360000000000002</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-2.8370378644029914E-2</v>
      </c>
      <c r="D68" s="92">
        <f t="shared" si="34"/>
        <v>-5.5537043207819492E-3</v>
      </c>
      <c r="E68" s="92">
        <f t="shared" si="34"/>
        <v>3.5303587856485796E-2</v>
      </c>
      <c r="F68" s="92">
        <f t="shared" si="34"/>
        <v>8.1592039800995053E-2</v>
      </c>
      <c r="G68" s="92">
        <f t="shared" si="34"/>
        <v>3.1562740569669012E-2</v>
      </c>
      <c r="H68" s="92">
        <f t="shared" si="34"/>
        <v>0.35061791549436361</v>
      </c>
      <c r="I68" s="92">
        <f t="shared" si="34"/>
        <v>6.3696734215905382E-2</v>
      </c>
      <c r="J68" s="92">
        <f t="shared" si="34"/>
        <v>8.1301796612466504E-2</v>
      </c>
      <c r="K68" s="92">
        <f t="shared" si="34"/>
        <v>9.7846022960758949E-2</v>
      </c>
      <c r="L68" s="92" t="str">
        <f t="shared" si="34"/>
        <v/>
      </c>
      <c r="M68" s="92" t="str">
        <f t="shared" si="34"/>
        <v/>
      </c>
    </row>
    <row r="69" spans="2:13">
      <c r="B69" s="31" t="s">
        <v>58</v>
      </c>
      <c r="C69" s="92">
        <f>IF(D$36="","",C38/D38-1)</f>
        <v>-3.6677908937605364E-2</v>
      </c>
      <c r="D69" s="92">
        <f t="shared" ref="D69:M69" si="35">IF(E$36="","",D38/E38-1)</f>
        <v>-2.6472398932895547E-2</v>
      </c>
      <c r="E69" s="92">
        <f t="shared" si="35"/>
        <v>3.0668358714043942E-2</v>
      </c>
      <c r="F69" s="92">
        <f t="shared" si="35"/>
        <v>5.9852051109616777E-2</v>
      </c>
      <c r="G69" s="92">
        <f t="shared" si="35"/>
        <v>2.152507442179985E-2</v>
      </c>
      <c r="H69" s="92">
        <f t="shared" si="35"/>
        <v>0.26137825576834328</v>
      </c>
      <c r="I69" s="92">
        <f t="shared" si="35"/>
        <v>4.180946554576126E-2</v>
      </c>
      <c r="J69" s="92">
        <f t="shared" si="35"/>
        <v>9.8963157757235409E-2</v>
      </c>
      <c r="K69" s="92">
        <f t="shared" si="35"/>
        <v>0.10891475796272232</v>
      </c>
      <c r="L69" s="92" t="str">
        <f t="shared" si="35"/>
        <v/>
      </c>
      <c r="M69" s="92" t="str">
        <f t="shared" si="35"/>
        <v/>
      </c>
    </row>
    <row r="70" spans="2:13">
      <c r="B70" s="80" t="str">
        <f>B43</f>
        <v>Operating EBIT</v>
      </c>
      <c r="C70" s="101">
        <f>IF(D$36="","",C43/D43-1)</f>
        <v>1.8947368421052602E-2</v>
      </c>
      <c r="D70" s="101">
        <f t="shared" ref="D70:M70" si="36">IF(E$36="","",D43/E43-1)</f>
        <v>-0.61009644982556943</v>
      </c>
      <c r="E70" s="101">
        <f t="shared" si="36"/>
        <v>3.0668358714043942E-2</v>
      </c>
      <c r="F70" s="101">
        <f t="shared" si="36"/>
        <v>5.9852051109616777E-2</v>
      </c>
      <c r="G70" s="101">
        <f t="shared" si="36"/>
        <v>2.152507442179985E-2</v>
      </c>
      <c r="H70" s="101">
        <f t="shared" si="36"/>
        <v>0.26137825576834328</v>
      </c>
      <c r="I70" s="101">
        <f t="shared" si="36"/>
        <v>4.180946554576126E-2</v>
      </c>
      <c r="J70" s="101">
        <f t="shared" si="36"/>
        <v>9.8963157757235409E-2</v>
      </c>
      <c r="K70" s="101">
        <f t="shared" si="36"/>
        <v>0.10891475796272232</v>
      </c>
      <c r="L70" s="101" t="str">
        <f t="shared" si="36"/>
        <v/>
      </c>
      <c r="M70" s="101" t="str">
        <f t="shared" si="36"/>
        <v/>
      </c>
    </row>
    <row r="71" spans="2:13">
      <c r="B71" s="43" t="s">
        <v>167</v>
      </c>
      <c r="C71" s="101">
        <f>IF(D$36="","",C44/D44-1)</f>
        <v>-81.609756097560975</v>
      </c>
      <c r="D71" s="101">
        <f t="shared" ref="D71:M71" si="37">IF(E$36="","",D44/E44-1)</f>
        <v>-1.0144061841180605</v>
      </c>
      <c r="E71" s="101">
        <f t="shared" si="37"/>
        <v>2.1169716541083572E-2</v>
      </c>
      <c r="F71" s="101">
        <f t="shared" si="37"/>
        <v>-0.23370910090734121</v>
      </c>
      <c r="G71" s="101">
        <f t="shared" si="37"/>
        <v>0.30827338129496407</v>
      </c>
      <c r="H71" s="101">
        <f t="shared" si="37"/>
        <v>0.64357094757777267</v>
      </c>
      <c r="I71" s="101">
        <f t="shared" si="37"/>
        <v>-1.2654703295394754E-2</v>
      </c>
      <c r="J71" s="101">
        <f t="shared" si="37"/>
        <v>7.0024634480277292E-2</v>
      </c>
      <c r="K71" s="101">
        <f t="shared" si="37"/>
        <v>4.2440326937864814E-2</v>
      </c>
      <c r="L71" s="101" t="str">
        <f t="shared" si="37"/>
        <v/>
      </c>
      <c r="M71" s="101" t="str">
        <f t="shared" si="37"/>
        <v/>
      </c>
    </row>
    <row r="72" spans="2:13">
      <c r="B72" s="80" t="str">
        <f>B47</f>
        <v>Reported Net Income</v>
      </c>
      <c r="C72" s="101">
        <f>IF(D$36="","",C47/D47-1)</f>
        <v>-2.6494435612082672</v>
      </c>
      <c r="D72" s="101">
        <f t="shared" ref="D72:M72" si="38">IF(E$36="","",D47/E47-1)</f>
        <v>3.7098103874690924E-2</v>
      </c>
      <c r="E72" s="101">
        <f t="shared" si="38"/>
        <v>-7.6864535768645381E-2</v>
      </c>
      <c r="F72" s="101">
        <f t="shared" si="38"/>
        <v>9.0305343511450378</v>
      </c>
      <c r="G72" s="101">
        <f t="shared" si="38"/>
        <v>-0.85667396061269141</v>
      </c>
      <c r="H72" s="101">
        <f t="shared" si="38"/>
        <v>-0.22271839359533563</v>
      </c>
      <c r="I72" s="101">
        <f t="shared" si="38"/>
        <v>0.81490736339109882</v>
      </c>
      <c r="J72" s="101">
        <f t="shared" si="38"/>
        <v>-0.13141260676226951</v>
      </c>
      <c r="K72" s="101">
        <f t="shared" si="38"/>
        <v>0.4634056862145004</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27521</v>
      </c>
      <c r="D76" s="349">
        <f t="shared" ref="D76:M76" si="39">IF(D$4="","",D79+D80)</f>
        <v>10374</v>
      </c>
      <c r="E76" s="349">
        <f t="shared" si="39"/>
        <v>10022</v>
      </c>
      <c r="F76" s="349">
        <f t="shared" si="39"/>
        <v>10274</v>
      </c>
      <c r="G76" s="349">
        <f t="shared" si="39"/>
        <v>10333</v>
      </c>
      <c r="H76" s="349">
        <f t="shared" si="39"/>
        <v>11149</v>
      </c>
      <c r="I76" s="349">
        <f t="shared" si="39"/>
        <v>8172.735999999999</v>
      </c>
      <c r="J76" s="349">
        <f t="shared" si="39"/>
        <v>8329.3739999999998</v>
      </c>
      <c r="K76" s="349">
        <f t="shared" si="39"/>
        <v>8003.5950000000003</v>
      </c>
      <c r="L76" s="349">
        <f t="shared" si="39"/>
        <v>8046.6620000000003</v>
      </c>
      <c r="M76" s="349" t="str">
        <f t="shared" si="39"/>
        <v/>
      </c>
    </row>
    <row r="77" spans="2:13">
      <c r="B77" s="93" t="s">
        <v>85</v>
      </c>
      <c r="C77" s="318">
        <f t="shared" ref="C77:H78" si="40">IF(C$4="","",C28)</f>
        <v>676</v>
      </c>
      <c r="D77" s="346">
        <f t="shared" si="40"/>
        <v>709</v>
      </c>
      <c r="E77" s="346">
        <f t="shared" si="40"/>
        <v>655</v>
      </c>
      <c r="F77" s="346">
        <f t="shared" si="40"/>
        <v>722</v>
      </c>
      <c r="G77" s="346">
        <f t="shared" si="40"/>
        <v>672</v>
      </c>
      <c r="H77" s="346">
        <f t="shared" si="40"/>
        <v>670</v>
      </c>
      <c r="I77" s="355"/>
      <c r="J77" s="355"/>
      <c r="K77" s="355"/>
      <c r="L77" s="355"/>
      <c r="M77" s="355"/>
    </row>
    <row r="78" spans="2:13">
      <c r="B78" s="93" t="s">
        <v>86</v>
      </c>
      <c r="C78" s="318">
        <f t="shared" si="40"/>
        <v>0</v>
      </c>
      <c r="D78" s="346">
        <f t="shared" si="40"/>
        <v>0</v>
      </c>
      <c r="E78" s="346">
        <f t="shared" si="40"/>
        <v>0</v>
      </c>
      <c r="F78" s="346">
        <f t="shared" si="40"/>
        <v>0</v>
      </c>
      <c r="G78" s="346">
        <f t="shared" si="40"/>
        <v>0</v>
      </c>
      <c r="H78" s="346">
        <f t="shared" si="40"/>
        <v>0</v>
      </c>
      <c r="I78" s="355"/>
      <c r="J78" s="355"/>
      <c r="K78" s="355"/>
      <c r="L78" s="355"/>
      <c r="M78" s="355"/>
    </row>
    <row r="79" spans="2:13">
      <c r="B79" s="26" t="s">
        <v>40</v>
      </c>
      <c r="C79" s="317">
        <f t="shared" ref="C79:M79" si="41">IF(C$4="","",C30)</f>
        <v>16447</v>
      </c>
      <c r="D79" s="333">
        <f t="shared" si="41"/>
        <v>12939</v>
      </c>
      <c r="E79" s="333">
        <f t="shared" si="41"/>
        <v>13373</v>
      </c>
      <c r="F79" s="333">
        <f t="shared" si="41"/>
        <v>12899</v>
      </c>
      <c r="G79" s="333">
        <f t="shared" si="41"/>
        <v>12618</v>
      </c>
      <c r="H79" s="333">
        <f t="shared" si="41"/>
        <v>11885</v>
      </c>
      <c r="I79" s="333">
        <f t="shared" si="41"/>
        <v>9989.6569999999992</v>
      </c>
      <c r="J79" s="333">
        <f t="shared" si="41"/>
        <v>9853.2479999999996</v>
      </c>
      <c r="K79" s="333">
        <f t="shared" si="41"/>
        <v>8795.61</v>
      </c>
      <c r="L79" s="333">
        <f t="shared" si="41"/>
        <v>8213.1530000000002</v>
      </c>
      <c r="M79" s="333" t="str">
        <f t="shared" si="41"/>
        <v/>
      </c>
    </row>
    <row r="80" spans="2:13">
      <c r="B80" s="26" t="s">
        <v>30</v>
      </c>
      <c r="C80" s="317">
        <f t="shared" ref="C80:M80" si="42">IF(C$4="","",C31)</f>
        <v>11074</v>
      </c>
      <c r="D80" s="333">
        <f t="shared" si="42"/>
        <v>-2565</v>
      </c>
      <c r="E80" s="333">
        <f t="shared" si="42"/>
        <v>-3351</v>
      </c>
      <c r="F80" s="333">
        <f t="shared" si="42"/>
        <v>-2625</v>
      </c>
      <c r="G80" s="333">
        <f t="shared" si="42"/>
        <v>-2285</v>
      </c>
      <c r="H80" s="333">
        <f t="shared" si="42"/>
        <v>-736</v>
      </c>
      <c r="I80" s="333">
        <f t="shared" si="42"/>
        <v>-1816.921</v>
      </c>
      <c r="J80" s="333">
        <f t="shared" si="42"/>
        <v>-1523.874</v>
      </c>
      <c r="K80" s="333">
        <f t="shared" si="42"/>
        <v>-792.01499999999999</v>
      </c>
      <c r="L80" s="333">
        <f t="shared" si="42"/>
        <v>-166.49100000000001</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1000000</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v>676</v>
      </c>
      <c r="D4" s="261">
        <v>0.6</v>
      </c>
      <c r="E4" s="25"/>
      <c r="F4" s="4" t="s">
        <v>77</v>
      </c>
      <c r="G4" s="19">
        <v>162</v>
      </c>
      <c r="H4" s="261">
        <v>0.9</v>
      </c>
    </row>
    <row r="5" spans="2:8" ht="15" customHeight="1">
      <c r="B5" s="1" t="s">
        <v>33</v>
      </c>
      <c r="C5" s="19">
        <v>0</v>
      </c>
      <c r="D5" s="261">
        <v>0.6</v>
      </c>
      <c r="E5" s="25"/>
      <c r="F5" s="1" t="s">
        <v>29</v>
      </c>
      <c r="G5" s="19">
        <v>0</v>
      </c>
      <c r="H5" s="261">
        <v>0.7</v>
      </c>
    </row>
    <row r="6" spans="2:8" ht="15" customHeight="1">
      <c r="B6" s="4" t="s">
        <v>10</v>
      </c>
      <c r="C6" s="19">
        <v>0</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290</v>
      </c>
      <c r="D9" s="261">
        <v>0.1</v>
      </c>
      <c r="E9" s="25"/>
      <c r="F9" s="4" t="s">
        <v>179</v>
      </c>
      <c r="G9" s="19">
        <v>0</v>
      </c>
      <c r="H9" s="261">
        <v>0.6</v>
      </c>
    </row>
    <row r="10" spans="2:8" ht="15" customHeight="1">
      <c r="B10" s="4" t="s">
        <v>11</v>
      </c>
      <c r="C10" s="19">
        <v>0</v>
      </c>
      <c r="D10" s="261">
        <v>0.9</v>
      </c>
      <c r="H10" s="262"/>
    </row>
    <row r="11" spans="2:8" ht="15" customHeight="1">
      <c r="B11" s="4" t="s">
        <v>12</v>
      </c>
      <c r="C11" s="19">
        <v>21</v>
      </c>
      <c r="D11" s="261">
        <v>0.05</v>
      </c>
      <c r="H11" s="262"/>
    </row>
    <row r="12" spans="2:8" ht="15" customHeight="1">
      <c r="B12" s="80" t="s">
        <v>72</v>
      </c>
      <c r="C12" s="81">
        <f>SUM(C4:C11)</f>
        <v>987</v>
      </c>
      <c r="D12" s="20">
        <f>C4*D4+C5*D5+C9*D9+C6*D6+C8*D8+C7*D7+C10*D10+C11*D11</f>
        <v>435.65</v>
      </c>
      <c r="F12" s="80" t="s">
        <v>70</v>
      </c>
      <c r="G12" s="81">
        <f>SUM(G4:G9)</f>
        <v>162</v>
      </c>
      <c r="H12" s="20">
        <f>G4*H4+G5*H5+G6*H6+G7*H7+G8*H8+G9*H9</f>
        <v>145.80000000000001</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451</v>
      </c>
      <c r="C15" s="19">
        <v>0</v>
      </c>
      <c r="D15" s="261">
        <v>0.4</v>
      </c>
      <c r="F15" s="4" t="s">
        <v>78</v>
      </c>
      <c r="G15" s="19">
        <v>0</v>
      </c>
      <c r="H15" s="261">
        <v>0.8</v>
      </c>
    </row>
    <row r="16" spans="2:8" ht="15" customHeight="1">
      <c r="B16" s="1" t="s">
        <v>34</v>
      </c>
      <c r="C16" s="19">
        <v>0</v>
      </c>
      <c r="D16" s="261">
        <v>0.5</v>
      </c>
      <c r="F16" s="4" t="s">
        <v>176</v>
      </c>
      <c r="G16" s="19">
        <v>0</v>
      </c>
      <c r="H16" s="261">
        <v>0.6</v>
      </c>
    </row>
    <row r="17" spans="2:8" ht="15" customHeight="1">
      <c r="B17" s="1" t="s">
        <v>69</v>
      </c>
      <c r="C17" s="19">
        <v>0</v>
      </c>
      <c r="D17" s="261">
        <v>0.6</v>
      </c>
      <c r="F17" s="4" t="s">
        <v>177</v>
      </c>
      <c r="G17" s="19">
        <v>1043</v>
      </c>
      <c r="H17" s="261">
        <v>0.6</v>
      </c>
    </row>
    <row r="18" spans="2:8" ht="15" customHeight="1">
      <c r="B18" s="4" t="s">
        <v>172</v>
      </c>
      <c r="C18" s="19">
        <v>0</v>
      </c>
      <c r="D18" s="261">
        <v>0.6</v>
      </c>
      <c r="F18" s="4" t="s">
        <v>180</v>
      </c>
      <c r="G18" s="19">
        <v>0</v>
      </c>
      <c r="H18" s="261">
        <v>0.1</v>
      </c>
    </row>
    <row r="19" spans="2:8" ht="15" customHeight="1">
      <c r="B19" s="4" t="s">
        <v>26</v>
      </c>
      <c r="C19" s="19">
        <v>2109</v>
      </c>
      <c r="D19" s="261">
        <v>0.1</v>
      </c>
      <c r="F19" s="4" t="s">
        <v>181</v>
      </c>
      <c r="G19" s="19">
        <v>0</v>
      </c>
      <c r="H19" s="261">
        <v>0.1</v>
      </c>
    </row>
    <row r="20" spans="2:8" ht="15" customHeight="1">
      <c r="B20" s="4" t="s">
        <v>18</v>
      </c>
      <c r="C20" s="19">
        <v>0</v>
      </c>
      <c r="D20" s="261">
        <v>0.05</v>
      </c>
      <c r="F20" s="4" t="s">
        <v>178</v>
      </c>
      <c r="G20" s="19">
        <v>0</v>
      </c>
      <c r="H20" s="261">
        <v>0.2</v>
      </c>
    </row>
    <row r="21" spans="2:8" ht="15" customHeight="1">
      <c r="B21" s="4" t="s">
        <v>19</v>
      </c>
      <c r="C21" s="19">
        <f>8610+1579</f>
        <v>10189</v>
      </c>
      <c r="D21" s="261">
        <v>0.2</v>
      </c>
      <c r="F21" s="1" t="s">
        <v>179</v>
      </c>
      <c r="G21" s="19">
        <v>0</v>
      </c>
      <c r="H21" s="261">
        <v>0.1</v>
      </c>
    </row>
    <row r="22" spans="2:8" ht="15" customHeight="1">
      <c r="B22" s="4" t="s">
        <v>20</v>
      </c>
      <c r="C22" s="19">
        <v>0</v>
      </c>
      <c r="D22" s="261">
        <v>0.9</v>
      </c>
      <c r="H22" s="262"/>
    </row>
    <row r="23" spans="2:8" ht="15" customHeight="1">
      <c r="B23" s="4" t="s">
        <v>21</v>
      </c>
      <c r="C23" s="19">
        <f>12390+641</f>
        <v>13031</v>
      </c>
      <c r="D23" s="261">
        <v>0</v>
      </c>
      <c r="H23" s="262"/>
    </row>
    <row r="24" spans="2:8" ht="15" customHeight="1">
      <c r="B24" s="80" t="s">
        <v>73</v>
      </c>
      <c r="C24" s="81">
        <f>SUM(C15:C23)</f>
        <v>25329</v>
      </c>
      <c r="D24" s="20">
        <f>C15*D15+C16*D16+C18*D18+C17*D17+C19*D19+C20*D20+C21*D21+C22*D22+C23*D23</f>
        <v>2248.7000000000003</v>
      </c>
      <c r="F24" s="80" t="s">
        <v>71</v>
      </c>
      <c r="G24" s="81">
        <f>SUM(G15:G21)</f>
        <v>1043</v>
      </c>
      <c r="H24" s="20">
        <f>G15*H15+G16*H16+G17*H17+G18*H18+G19*H19+G20*H20+G21*H21</f>
        <v>625.79999999999995</v>
      </c>
    </row>
    <row r="26" spans="2:8" ht="15" customHeight="1">
      <c r="B26" s="16" t="s">
        <v>199</v>
      </c>
      <c r="C26" s="182" t="s">
        <v>135</v>
      </c>
      <c r="F26" s="184" t="s">
        <v>195</v>
      </c>
      <c r="G26" s="185" t="s">
        <v>135</v>
      </c>
      <c r="H26" s="186" t="s">
        <v>35</v>
      </c>
    </row>
    <row r="27" spans="2:8" ht="15" customHeight="1">
      <c r="B27" s="4" t="s">
        <v>5</v>
      </c>
      <c r="C27" s="19">
        <v>172</v>
      </c>
      <c r="F27" s="187" t="s">
        <v>30</v>
      </c>
      <c r="G27" s="85">
        <f>G32-G30</f>
        <v>11074</v>
      </c>
      <c r="H27" s="188">
        <f>H32-G30</f>
        <v>-12991.05</v>
      </c>
    </row>
    <row r="28" spans="2:8" ht="15" customHeight="1">
      <c r="B28" s="4" t="s">
        <v>6</v>
      </c>
      <c r="C28" s="19">
        <v>0</v>
      </c>
      <c r="F28" s="189" t="s">
        <v>243</v>
      </c>
      <c r="G28" s="12">
        <v>0</v>
      </c>
      <c r="H28" s="188"/>
    </row>
    <row r="29" spans="2:8" ht="15" customHeight="1">
      <c r="B29" s="4" t="s">
        <v>7</v>
      </c>
      <c r="C29" s="19">
        <v>0</v>
      </c>
      <c r="F29" s="190" t="s">
        <v>75</v>
      </c>
      <c r="G29" s="14">
        <f>G27-G28</f>
        <v>11074</v>
      </c>
      <c r="H29" s="188">
        <f>H27-G28</f>
        <v>-12991.05</v>
      </c>
    </row>
    <row r="30" spans="2:8" ht="15" customHeight="1">
      <c r="B30" s="2" t="s">
        <v>8</v>
      </c>
      <c r="C30" s="19">
        <v>61</v>
      </c>
      <c r="F30" s="187" t="s">
        <v>23</v>
      </c>
      <c r="G30" s="85">
        <f>C33+C42</f>
        <v>16447</v>
      </c>
      <c r="H30" s="188"/>
    </row>
    <row r="31" spans="2:8" ht="15" customHeight="1">
      <c r="B31" s="80" t="s">
        <v>202</v>
      </c>
      <c r="C31" s="81">
        <f>SUM(C27:C30)</f>
        <v>233</v>
      </c>
      <c r="F31" s="190" t="s">
        <v>76</v>
      </c>
      <c r="G31" s="191">
        <f>C31+C40</f>
        <v>10547</v>
      </c>
      <c r="H31" s="188"/>
    </row>
    <row r="32" spans="2:8" ht="15" customHeight="1">
      <c r="B32" s="4" t="s">
        <v>9</v>
      </c>
      <c r="C32" s="21">
        <f>C33-C31</f>
        <v>2498</v>
      </c>
      <c r="F32" s="192" t="s">
        <v>74</v>
      </c>
      <c r="G32" s="193">
        <f>G35+G40</f>
        <v>27521</v>
      </c>
      <c r="H32" s="188">
        <f>H35+H40</f>
        <v>3455.9500000000003</v>
      </c>
    </row>
    <row r="33" spans="2:8" ht="15" customHeight="1">
      <c r="B33" s="83" t="s">
        <v>4</v>
      </c>
      <c r="C33" s="84">
        <v>2731</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26316</v>
      </c>
      <c r="H35" s="200">
        <f>D12+D24</f>
        <v>2684.3500000000004</v>
      </c>
    </row>
    <row r="36" spans="2:8" ht="15" customHeight="1">
      <c r="B36" s="4" t="s">
        <v>13</v>
      </c>
      <c r="C36" s="19">
        <v>0</v>
      </c>
      <c r="F36" s="190" t="s">
        <v>196</v>
      </c>
      <c r="G36" s="191">
        <f>C4+C15</f>
        <v>676</v>
      </c>
      <c r="H36" s="195"/>
    </row>
    <row r="37" spans="2:8" ht="15" customHeight="1">
      <c r="B37" s="4" t="s">
        <v>14</v>
      </c>
      <c r="C37" s="19">
        <v>0</v>
      </c>
      <c r="F37" s="190" t="s">
        <v>197</v>
      </c>
      <c r="G37" s="191">
        <f>C6</f>
        <v>0</v>
      </c>
      <c r="H37" s="195"/>
    </row>
    <row r="38" spans="2:8" ht="15" customHeight="1">
      <c r="B38" s="4" t="s">
        <v>15</v>
      </c>
      <c r="C38" s="19">
        <v>0</v>
      </c>
      <c r="F38" s="190" t="s">
        <v>198</v>
      </c>
      <c r="G38" s="191">
        <f>C7+C17</f>
        <v>0</v>
      </c>
      <c r="H38" s="195"/>
    </row>
    <row r="39" spans="2:8" ht="15" customHeight="1">
      <c r="B39" s="2" t="s">
        <v>16</v>
      </c>
      <c r="C39" s="19">
        <v>10314</v>
      </c>
      <c r="F39" s="190" t="s">
        <v>79</v>
      </c>
      <c r="G39" s="191">
        <f>C7+C17+C19+C20</f>
        <v>2109</v>
      </c>
      <c r="H39" s="188">
        <f>C7*D7+C17*D17+C19*D19+C20*D20</f>
        <v>210.9</v>
      </c>
    </row>
    <row r="40" spans="2:8" ht="15" customHeight="1">
      <c r="B40" s="80" t="s">
        <v>203</v>
      </c>
      <c r="C40" s="81">
        <f>SUM(C36:C39)</f>
        <v>10314</v>
      </c>
      <c r="F40" s="199" t="s">
        <v>137</v>
      </c>
      <c r="G40" s="193">
        <f>G12+G24</f>
        <v>1205</v>
      </c>
      <c r="H40" s="200">
        <f>H12+H24</f>
        <v>771.59999999999991</v>
      </c>
    </row>
    <row r="41" spans="2:8" ht="15" customHeight="1">
      <c r="B41" s="4" t="s">
        <v>17</v>
      </c>
      <c r="C41" s="21">
        <f>C42-C40</f>
        <v>3402</v>
      </c>
      <c r="F41" s="190" t="s">
        <v>190</v>
      </c>
      <c r="G41" s="191">
        <f>C70</f>
        <v>162</v>
      </c>
      <c r="H41" s="200">
        <f>H40-H42</f>
        <v>145.79999999999995</v>
      </c>
    </row>
    <row r="42" spans="2:8" ht="15" customHeight="1">
      <c r="B42" s="83" t="s">
        <v>22</v>
      </c>
      <c r="C42" s="84">
        <v>13716</v>
      </c>
      <c r="F42" s="201" t="s">
        <v>191</v>
      </c>
      <c r="G42" s="202">
        <f>C82</f>
        <v>1043</v>
      </c>
      <c r="H42" s="203">
        <f>D82</f>
        <v>625.79999999999995</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11074</v>
      </c>
      <c r="D46" s="76">
        <f>H29</f>
        <v>-12991.05</v>
      </c>
      <c r="F46" s="253"/>
    </row>
    <row r="47" spans="2:8" ht="15" customHeight="1">
      <c r="B47" s="1" t="str">
        <f>"Equity per share ("&amp;Market_currency&amp;")"</f>
        <v>Equity per share (USD)</v>
      </c>
      <c r="C47" s="147">
        <f>C46*H1/Common_Shares*Exchange_Rate</f>
        <v>32.699848814135876</v>
      </c>
      <c r="D47" s="147">
        <f>D46*H1/Common_Shares*Exchange_Rate</f>
        <v>-38.360607814419353</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4.0148803043206254</v>
      </c>
      <c r="D50" s="95">
        <f>G31/Normalized_FCF!G8</f>
        <v>5.4478305785123968</v>
      </c>
      <c r="F50" s="253"/>
    </row>
    <row r="51" spans="2:8" ht="15" customHeight="1">
      <c r="B51" s="1" t="s">
        <v>175</v>
      </c>
      <c r="C51" s="181"/>
      <c r="D51" s="92">
        <f>G29/G32</f>
        <v>0.40238363431561353</v>
      </c>
      <c r="F51" s="253"/>
    </row>
    <row r="52" spans="2:8" ht="15" customHeight="1">
      <c r="F52" s="253"/>
    </row>
    <row r="53" spans="2:8" ht="15" customHeight="1">
      <c r="B53" s="157" t="s">
        <v>141</v>
      </c>
      <c r="C53" s="235" t="s">
        <v>57</v>
      </c>
      <c r="D53" s="197" t="s">
        <v>95</v>
      </c>
      <c r="F53" s="253"/>
    </row>
    <row r="54" spans="2:8" ht="15" customHeight="1">
      <c r="B54" s="1" t="s">
        <v>138</v>
      </c>
      <c r="C54" s="92">
        <f>Normalized_FCF!C8/G35</f>
        <v>9.9824344279042757E-2</v>
      </c>
      <c r="D54" s="92">
        <f>Normalized_FCF!G8/G35</f>
        <v>7.3567411460708318E-2</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0.27406353722143195</v>
      </c>
      <c r="F58" s="5"/>
    </row>
    <row r="59" spans="2:8" ht="15" customHeight="1">
      <c r="B59" s="1" t="s">
        <v>92</v>
      </c>
      <c r="C59" s="98"/>
      <c r="D59" s="92">
        <f>G39/G32</f>
        <v>7.6632389811416735E-2</v>
      </c>
      <c r="F59" s="253"/>
    </row>
    <row r="60" spans="2:8" ht="15" customHeight="1">
      <c r="F60" s="253"/>
    </row>
    <row r="61" spans="2:8" ht="15" customHeight="1">
      <c r="B61" s="157" t="s">
        <v>273</v>
      </c>
      <c r="C61" s="235" t="s">
        <v>136</v>
      </c>
      <c r="D61" s="197" t="s">
        <v>95</v>
      </c>
      <c r="F61" s="253"/>
    </row>
    <row r="62" spans="2:8" ht="15" customHeight="1">
      <c r="B62" s="1" t="s">
        <v>244</v>
      </c>
      <c r="C62" s="92">
        <f>IF(G28&lt;=0,0,G28/G29)</f>
        <v>0</v>
      </c>
      <c r="D62" s="92">
        <f>G28/G29</f>
        <v>0</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162</v>
      </c>
      <c r="D66" s="76">
        <f>C66-D75</f>
        <v>-372.31656312939253</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162</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-580.33551679999994</v>
      </c>
      <c r="D73" s="349">
        <f>(Normalized_FCF!C25+Normalized_FCF!C35-Normalized_FCF!C91)/12</f>
        <v>-534.31656312939253</v>
      </c>
      <c r="F73" s="1" t="s">
        <v>348</v>
      </c>
    </row>
    <row r="74" spans="2:6" ht="15" customHeight="1">
      <c r="B74" s="257" t="s">
        <v>318</v>
      </c>
      <c r="C74" s="258">
        <f>-$C$66/C73</f>
        <v>0.27914886356305812</v>
      </c>
      <c r="D74" s="258">
        <f>-$C$66/D73</f>
        <v>0.30319105036010147</v>
      </c>
      <c r="F74" s="253" t="s">
        <v>316</v>
      </c>
    </row>
    <row r="75" spans="2:6" ht="15" customHeight="1">
      <c r="B75" s="80" t="s">
        <v>317</v>
      </c>
      <c r="C75" s="320"/>
      <c r="D75" s="321">
        <f>MAX(-D73*D76,G5)</f>
        <v>534.31656312939253</v>
      </c>
      <c r="F75" s="253" t="s">
        <v>349</v>
      </c>
    </row>
    <row r="76" spans="2:6" ht="15" customHeight="1">
      <c r="B76" s="259" t="s">
        <v>319</v>
      </c>
      <c r="C76" s="260"/>
      <c r="D76" s="290">
        <f>IF(D74&lt;=3,1,IF(D74&gt;18,6,2))</f>
        <v>1</v>
      </c>
      <c r="F76" s="253" t="s">
        <v>320</v>
      </c>
    </row>
    <row r="77" spans="2:6" ht="15" customHeight="1">
      <c r="F77" s="253"/>
    </row>
    <row r="78" spans="2:6" ht="15" customHeight="1">
      <c r="B78" s="16" t="s">
        <v>188</v>
      </c>
      <c r="C78" s="234" t="s">
        <v>135</v>
      </c>
      <c r="D78" s="183" t="s">
        <v>35</v>
      </c>
      <c r="F78" s="253"/>
    </row>
    <row r="79" spans="2:6" ht="15" customHeight="1">
      <c r="B79" s="105" t="s">
        <v>177</v>
      </c>
      <c r="C79" s="20">
        <f>G7+G17</f>
        <v>1043</v>
      </c>
      <c r="D79" s="76">
        <f>G7*H7+G17*H17</f>
        <v>625.79999999999995</v>
      </c>
      <c r="F79" s="253"/>
    </row>
    <row r="80" spans="2:6" ht="15" customHeight="1">
      <c r="B80" s="105" t="s">
        <v>181</v>
      </c>
      <c r="C80" s="20">
        <f>G19</f>
        <v>0</v>
      </c>
      <c r="D80" s="76">
        <f>G19*H19</f>
        <v>0</v>
      </c>
      <c r="F80" s="253"/>
    </row>
    <row r="81" spans="2:8" ht="15" customHeight="1">
      <c r="B81" s="105" t="s">
        <v>179</v>
      </c>
      <c r="C81" s="20">
        <f>G9+G21</f>
        <v>0</v>
      </c>
      <c r="D81" s="76">
        <f>G9*H9+G21*H21</f>
        <v>0</v>
      </c>
      <c r="F81" s="253"/>
    </row>
    <row r="82" spans="2:8" ht="15" customHeight="1">
      <c r="B82" s="80" t="s">
        <v>188</v>
      </c>
      <c r="C82" s="81">
        <f>SUM(C79:C81)</f>
        <v>1043</v>
      </c>
      <c r="D82" s="81">
        <f>SUM(D79:D81)</f>
        <v>625.79999999999995</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-10547</v>
      </c>
      <c r="D86" s="223">
        <f>C86*scaling_factor/Common_Shares</f>
        <v>-31.143697439289426</v>
      </c>
      <c r="E86" s="240" t="str">
        <f>Market_currency</f>
        <v>USD</v>
      </c>
    </row>
    <row r="87" spans="2:8" ht="15" customHeight="1">
      <c r="B87" s="238" t="s">
        <v>286</v>
      </c>
      <c r="C87" s="76">
        <f>DCF!C8*Exchange_Rate</f>
        <v>-372.31656312939253</v>
      </c>
      <c r="D87" s="223">
        <f>C87*scaling_factor/Common_Shares</f>
        <v>-1.0993945571003985</v>
      </c>
      <c r="E87" s="240" t="str">
        <f>Market_currency</f>
        <v>USD</v>
      </c>
    </row>
    <row r="88" spans="2:8" ht="15" customHeight="1">
      <c r="B88" s="239" t="s">
        <v>188</v>
      </c>
      <c r="C88" s="76">
        <f>DCF!C9*Exchange_Rate</f>
        <v>625.79999999999995</v>
      </c>
      <c r="D88" s="223">
        <f>C88*scaling_factor/Common_Shares</f>
        <v>1.8478928470188039</v>
      </c>
      <c r="E88" s="240" t="str">
        <f>Market_currency</f>
        <v>USD</v>
      </c>
    </row>
    <row r="89" spans="2:8" ht="15" customHeight="1">
      <c r="B89" s="80" t="s">
        <v>290</v>
      </c>
      <c r="C89" s="180">
        <f>SUM(C86:C88)</f>
        <v>-10293.516563129393</v>
      </c>
      <c r="D89" s="242">
        <f>SUM(D86:D88)</f>
        <v>-30.395199149371017</v>
      </c>
      <c r="E89" s="240" t="str">
        <f>Market_currency</f>
        <v>USD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USD</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1000000</v>
      </c>
      <c r="D3" s="9"/>
      <c r="E3" s="268"/>
      <c r="F3" s="9"/>
      <c r="G3" s="9"/>
    </row>
    <row r="4" spans="1:17" ht="15.75" customHeight="1">
      <c r="A4" s="10"/>
      <c r="B4" s="26" t="s">
        <v>2</v>
      </c>
      <c r="C4" s="327">
        <f>AVERAGE(G4:J4)</f>
        <v>8837.75</v>
      </c>
      <c r="D4" s="57"/>
      <c r="E4" s="266"/>
      <c r="F4" s="57"/>
      <c r="G4" s="333">
        <f>Data!C36</f>
        <v>8699</v>
      </c>
      <c r="H4" s="333">
        <f>Data!D36</f>
        <v>8953</v>
      </c>
      <c r="I4" s="333">
        <f>Data!E36</f>
        <v>9003</v>
      </c>
      <c r="J4" s="333">
        <f>Data!F36</f>
        <v>8696</v>
      </c>
      <c r="K4" s="333">
        <f>Data!G36</f>
        <v>8040</v>
      </c>
      <c r="L4" s="333">
        <f>Data!H36</f>
        <v>7794</v>
      </c>
      <c r="M4" s="333">
        <f>Data!I36</f>
        <v>5770.692</v>
      </c>
      <c r="N4" s="333">
        <f>Data!J36</f>
        <v>5425.1289999999999</v>
      </c>
      <c r="O4" s="333">
        <f>Data!K36</f>
        <v>5017.22</v>
      </c>
      <c r="P4" s="333">
        <f>Data!L36</f>
        <v>4570.058</v>
      </c>
      <c r="Q4" s="333" t="str">
        <f>Data!M36</f>
        <v/>
      </c>
    </row>
    <row r="5" spans="1:17" ht="15.75" customHeight="1">
      <c r="A5" s="10"/>
      <c r="B5" s="2" t="s">
        <v>46</v>
      </c>
      <c r="C5" s="328">
        <f>C25</f>
        <v>-4748.2725559527107</v>
      </c>
      <c r="E5" s="268"/>
      <c r="G5" s="333">
        <f t="shared" ref="G5:Q5" si="1">G25</f>
        <v>-5392</v>
      </c>
      <c r="H5" s="333">
        <f t="shared" si="1"/>
        <v>-5499</v>
      </c>
      <c r="I5" s="333">
        <f t="shared" si="1"/>
        <v>-4130</v>
      </c>
      <c r="J5" s="333">
        <f t="shared" si="1"/>
        <v>-3968</v>
      </c>
      <c r="K5" s="333">
        <f t="shared" si="1"/>
        <v>-3579</v>
      </c>
      <c r="L5" s="333">
        <f t="shared" si="1"/>
        <v>-3427</v>
      </c>
      <c r="M5" s="333">
        <f t="shared" si="1"/>
        <v>-2308.6060000000002</v>
      </c>
      <c r="N5" s="333">
        <f t="shared" si="1"/>
        <v>-2101.982</v>
      </c>
      <c r="O5" s="333">
        <f t="shared" si="1"/>
        <v>-1993.327</v>
      </c>
      <c r="P5" s="333">
        <f t="shared" si="1"/>
        <v>-1843.164</v>
      </c>
      <c r="Q5" s="333" t="str">
        <f t="shared" si="1"/>
        <v/>
      </c>
    </row>
    <row r="6" spans="1:17" ht="15.75" customHeight="1">
      <c r="A6" s="10"/>
      <c r="B6" s="31" t="s">
        <v>48</v>
      </c>
      <c r="C6" s="329">
        <f>C4+C5</f>
        <v>4089.4774440472893</v>
      </c>
      <c r="E6" s="268"/>
      <c r="G6" s="329">
        <f>IF(G4="","",G4+G5)</f>
        <v>3307</v>
      </c>
      <c r="H6" s="329">
        <f t="shared" ref="H6:Q6" si="2">IF(H4="","",H4+H5)</f>
        <v>3454</v>
      </c>
      <c r="I6" s="329">
        <f t="shared" si="2"/>
        <v>4873</v>
      </c>
      <c r="J6" s="329">
        <f t="shared" si="2"/>
        <v>4728</v>
      </c>
      <c r="K6" s="329">
        <f t="shared" si="2"/>
        <v>4461</v>
      </c>
      <c r="L6" s="329">
        <f t="shared" si="2"/>
        <v>4367</v>
      </c>
      <c r="M6" s="329">
        <f t="shared" si="2"/>
        <v>3462.0859999999998</v>
      </c>
      <c r="N6" s="329">
        <f t="shared" si="2"/>
        <v>3323.1469999999999</v>
      </c>
      <c r="O6" s="329">
        <f t="shared" si="2"/>
        <v>3023.893</v>
      </c>
      <c r="P6" s="329">
        <f t="shared" si="2"/>
        <v>2726.8940000000002</v>
      </c>
      <c r="Q6" s="329" t="str">
        <f t="shared" si="2"/>
        <v/>
      </c>
    </row>
    <row r="7" spans="1:17" ht="15.75" customHeight="1">
      <c r="A7" s="10"/>
      <c r="B7" s="8" t="s">
        <v>45</v>
      </c>
      <c r="C7" s="328">
        <f>C35</f>
        <v>-1462.5</v>
      </c>
      <c r="E7" s="268"/>
      <c r="G7" s="328">
        <f t="shared" ref="G7:Q7" si="3">G35</f>
        <v>-1371</v>
      </c>
      <c r="H7" s="328">
        <f t="shared" si="3"/>
        <v>-1554</v>
      </c>
      <c r="I7" s="328">
        <f t="shared" si="3"/>
        <v>0</v>
      </c>
      <c r="J7" s="328">
        <f t="shared" si="3"/>
        <v>0</v>
      </c>
      <c r="K7" s="328">
        <f t="shared" si="3"/>
        <v>0</v>
      </c>
      <c r="L7" s="328">
        <f t="shared" si="3"/>
        <v>0</v>
      </c>
      <c r="M7" s="328">
        <f t="shared" si="3"/>
        <v>0</v>
      </c>
      <c r="N7" s="328">
        <f t="shared" si="3"/>
        <v>0</v>
      </c>
      <c r="O7" s="328">
        <f t="shared" si="3"/>
        <v>0</v>
      </c>
      <c r="P7" s="328">
        <f t="shared" si="3"/>
        <v>0</v>
      </c>
      <c r="Q7" s="328" t="str">
        <f t="shared" si="3"/>
        <v/>
      </c>
    </row>
    <row r="8" spans="1:17" ht="15.75" customHeight="1">
      <c r="A8" s="10"/>
      <c r="B8" s="29" t="s">
        <v>151</v>
      </c>
      <c r="C8" s="330">
        <f>C6+C7</f>
        <v>2626.9774440472893</v>
      </c>
      <c r="D8" s="59"/>
      <c r="E8" s="274"/>
      <c r="F8" s="59"/>
      <c r="G8" s="329">
        <f>IF(G$4="","",G6+G7)</f>
        <v>1936</v>
      </c>
      <c r="H8" s="329">
        <f t="shared" ref="H8:Q8" si="4">IF(H$4="","",H6+H7)</f>
        <v>1900</v>
      </c>
      <c r="I8" s="329">
        <f t="shared" si="4"/>
        <v>4873</v>
      </c>
      <c r="J8" s="329">
        <f t="shared" si="4"/>
        <v>4728</v>
      </c>
      <c r="K8" s="329">
        <f t="shared" si="4"/>
        <v>4461</v>
      </c>
      <c r="L8" s="329">
        <f t="shared" si="4"/>
        <v>4367</v>
      </c>
      <c r="M8" s="329">
        <f t="shared" si="4"/>
        <v>3462.0859999999998</v>
      </c>
      <c r="N8" s="329">
        <f t="shared" si="4"/>
        <v>3323.1469999999999</v>
      </c>
      <c r="O8" s="329">
        <f t="shared" si="4"/>
        <v>3023.893</v>
      </c>
      <c r="P8" s="329">
        <f t="shared" si="4"/>
        <v>2726.8940000000002</v>
      </c>
      <c r="Q8" s="329" t="str">
        <f t="shared" si="4"/>
        <v/>
      </c>
    </row>
    <row r="9" spans="1:17" ht="15.75" customHeight="1">
      <c r="A9" s="10"/>
      <c r="B9" s="2" t="s">
        <v>65</v>
      </c>
      <c r="C9" s="328">
        <f>BS!$G$39*BS!D58</f>
        <v>578</v>
      </c>
      <c r="E9" s="268"/>
      <c r="G9" s="328">
        <f>IF(Data!C61="","",-Data!C61)</f>
        <v>578</v>
      </c>
      <c r="H9" s="328">
        <f>IF(Data!D61="","",-Data!D61)</f>
        <v>624</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80</v>
      </c>
      <c r="C10" s="328">
        <f>-C4*C78</f>
        <v>-632.31340126010366</v>
      </c>
      <c r="E10" s="268"/>
      <c r="G10" s="328">
        <f>Data!C62</f>
        <v>-728</v>
      </c>
      <c r="H10" s="328">
        <f>Data!D62</f>
        <v>-728</v>
      </c>
      <c r="I10" s="328">
        <f>Data!E62</f>
        <v>-650</v>
      </c>
      <c r="J10" s="328">
        <f>Data!F62</f>
        <v>-426</v>
      </c>
      <c r="K10" s="328">
        <f>Data!G62</f>
        <v>-388</v>
      </c>
      <c r="L10" s="328">
        <f>Data!H62</f>
        <v>0</v>
      </c>
      <c r="M10" s="328">
        <f>Data!I62</f>
        <v>0</v>
      </c>
      <c r="N10" s="328">
        <f>Data!J62</f>
        <v>0</v>
      </c>
      <c r="O10" s="328">
        <f>Data!K62</f>
        <v>0</v>
      </c>
      <c r="P10" s="328">
        <f>Data!L62</f>
        <v>0</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-496</v>
      </c>
      <c r="E12" s="268"/>
      <c r="G12" s="328">
        <f>G50</f>
        <v>-496</v>
      </c>
      <c r="H12" s="328">
        <f t="shared" ref="H12:Q12" si="6">H50</f>
        <v>-423</v>
      </c>
      <c r="I12" s="328">
        <f t="shared" si="6"/>
        <v>-422</v>
      </c>
      <c r="J12" s="328">
        <f t="shared" si="6"/>
        <v>-415</v>
      </c>
      <c r="K12" s="328">
        <f t="shared" si="6"/>
        <v>-394</v>
      </c>
      <c r="L12" s="328">
        <f t="shared" si="6"/>
        <v>-390</v>
      </c>
      <c r="M12" s="328">
        <f t="shared" si="6"/>
        <v>-350.07299999999998</v>
      </c>
      <c r="N12" s="328">
        <f t="shared" si="6"/>
        <v>-345.82</v>
      </c>
      <c r="O12" s="328">
        <f t="shared" si="6"/>
        <v>-331.22500000000002</v>
      </c>
      <c r="P12" s="328">
        <f t="shared" si="6"/>
        <v>-299.10300000000001</v>
      </c>
      <c r="Q12" s="328" t="str">
        <f t="shared" si="6"/>
        <v/>
      </c>
    </row>
    <row r="13" spans="1:17" ht="15.75" customHeight="1">
      <c r="A13" s="10"/>
      <c r="B13" s="70" t="s">
        <v>163</v>
      </c>
      <c r="C13" s="329">
        <f>SUM(C8:C12)</f>
        <v>2076.6640427871857</v>
      </c>
      <c r="E13" s="268"/>
      <c r="G13" s="329">
        <f>IF(G$4="","",SUM(G8:G12))</f>
        <v>1290</v>
      </c>
      <c r="H13" s="329">
        <f t="shared" ref="H13:Q13" si="7">IF(H$4="","",SUM(H8:H12))</f>
        <v>1373</v>
      </c>
      <c r="I13" s="329">
        <f t="shared" si="7"/>
        <v>3801</v>
      </c>
      <c r="J13" s="329">
        <f t="shared" si="7"/>
        <v>3887</v>
      </c>
      <c r="K13" s="329">
        <f t="shared" si="7"/>
        <v>3679</v>
      </c>
      <c r="L13" s="329">
        <f t="shared" si="7"/>
        <v>3977</v>
      </c>
      <c r="M13" s="329">
        <f t="shared" si="7"/>
        <v>3112.0129999999999</v>
      </c>
      <c r="N13" s="329">
        <f t="shared" si="7"/>
        <v>2977.3269999999998</v>
      </c>
      <c r="O13" s="329">
        <f t="shared" si="7"/>
        <v>2692.6680000000001</v>
      </c>
      <c r="P13" s="329">
        <f t="shared" si="7"/>
        <v>2427.7910000000002</v>
      </c>
      <c r="Q13" s="329" t="str">
        <f t="shared" si="7"/>
        <v/>
      </c>
    </row>
    <row r="14" spans="1:17" ht="15.75" customHeight="1">
      <c r="A14" s="10"/>
      <c r="B14" s="2" t="s">
        <v>63</v>
      </c>
      <c r="C14" s="328">
        <f>-SUM(C8+C11,C12)*C43</f>
        <v>-532.74436101182232</v>
      </c>
      <c r="E14" s="268"/>
      <c r="G14" s="328">
        <f>Data!C46</f>
        <v>-210</v>
      </c>
      <c r="H14" s="328">
        <f>Data!D46</f>
        <v>-260</v>
      </c>
      <c r="I14" s="328">
        <f>Data!E46</f>
        <v>-392</v>
      </c>
      <c r="J14" s="328">
        <f>Data!F46</f>
        <v>-212</v>
      </c>
      <c r="K14" s="328">
        <f>Data!G46</f>
        <v>-299</v>
      </c>
      <c r="L14" s="328">
        <f>Data!H46</f>
        <v>-283</v>
      </c>
      <c r="M14" s="328">
        <f>Data!I46</f>
        <v>-244.68100000000001</v>
      </c>
      <c r="N14" s="328">
        <f>Data!J46</f>
        <v>-616.30100000000004</v>
      </c>
      <c r="O14" s="328">
        <f>Data!K46</f>
        <v>-345.72699999999998</v>
      </c>
      <c r="P14" s="328">
        <f>Data!L46</f>
        <v>-382.24</v>
      </c>
      <c r="Q14" s="328" t="str">
        <f>Data!M46</f>
        <v/>
      </c>
    </row>
    <row r="15" spans="1:17" ht="15.75" customHeight="1">
      <c r="A15" s="10"/>
      <c r="B15" s="40" t="s">
        <v>242</v>
      </c>
      <c r="C15" s="328">
        <f>-C4*C83</f>
        <v>0</v>
      </c>
      <c r="D15" s="60"/>
      <c r="E15" s="275"/>
      <c r="F15" s="60"/>
      <c r="G15" s="333">
        <f>Data!C48</f>
        <v>0</v>
      </c>
      <c r="H15" s="333">
        <f>Data!D48</f>
        <v>-202</v>
      </c>
      <c r="I15" s="333">
        <f>Data!E48</f>
        <v>0</v>
      </c>
      <c r="J15" s="333">
        <f>Data!F48</f>
        <v>0</v>
      </c>
      <c r="K15" s="333">
        <f>Data!G48</f>
        <v>0</v>
      </c>
      <c r="L15" s="333">
        <f>Data!H48</f>
        <v>0</v>
      </c>
      <c r="M15" s="333">
        <f>Data!I48</f>
        <v>0</v>
      </c>
      <c r="N15" s="333">
        <f>Data!J48</f>
        <v>0</v>
      </c>
      <c r="O15" s="333">
        <f>Data!K48</f>
        <v>0</v>
      </c>
      <c r="P15" s="333">
        <f>Data!L48</f>
        <v>0</v>
      </c>
      <c r="Q15" s="333" t="str">
        <f>Data!M48</f>
        <v/>
      </c>
    </row>
    <row r="16" spans="1:17" ht="15.75" customHeight="1">
      <c r="A16" s="10"/>
      <c r="B16" s="41" t="s">
        <v>153</v>
      </c>
      <c r="C16" s="332">
        <f>SUM(C13:C15)</f>
        <v>1543.9196817753634</v>
      </c>
      <c r="D16" s="61"/>
      <c r="E16" s="276"/>
      <c r="F16" s="61"/>
      <c r="G16" s="329">
        <f>IF(G$4="","",SUM(G13:G15))</f>
        <v>1080</v>
      </c>
      <c r="H16" s="329">
        <f t="shared" ref="H16:Q16" si="8">IF(H$4="","",SUM(H13:H15))</f>
        <v>911</v>
      </c>
      <c r="I16" s="329">
        <f t="shared" si="8"/>
        <v>3409</v>
      </c>
      <c r="J16" s="329">
        <f t="shared" si="8"/>
        <v>3675</v>
      </c>
      <c r="K16" s="329">
        <f t="shared" si="8"/>
        <v>3380</v>
      </c>
      <c r="L16" s="329">
        <f t="shared" si="8"/>
        <v>3694</v>
      </c>
      <c r="M16" s="329">
        <f t="shared" si="8"/>
        <v>2867.3319999999999</v>
      </c>
      <c r="N16" s="329">
        <f t="shared" si="8"/>
        <v>2361.0259999999998</v>
      </c>
      <c r="O16" s="329">
        <f t="shared" si="8"/>
        <v>2346.9410000000003</v>
      </c>
      <c r="P16" s="329">
        <f t="shared" si="8"/>
        <v>2045.5510000000002</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1543.9196817753634</v>
      </c>
      <c r="D19" s="27"/>
      <c r="E19" s="265"/>
      <c r="F19" s="27"/>
      <c r="G19" s="334">
        <f>IF(G$4="","",G16+G17)</f>
        <v>1080</v>
      </c>
      <c r="H19" s="334">
        <f t="shared" ref="H19:Q19" si="9">IF(H$4="","",H16+H17)</f>
        <v>911</v>
      </c>
      <c r="I19" s="334">
        <f t="shared" si="9"/>
        <v>3409</v>
      </c>
      <c r="J19" s="334">
        <f t="shared" si="9"/>
        <v>3675</v>
      </c>
      <c r="K19" s="334">
        <f t="shared" si="9"/>
        <v>3380</v>
      </c>
      <c r="L19" s="334">
        <f t="shared" si="9"/>
        <v>3694</v>
      </c>
      <c r="M19" s="334">
        <f t="shared" si="9"/>
        <v>2867.3319999999999</v>
      </c>
      <c r="N19" s="334">
        <f t="shared" si="9"/>
        <v>2361.0259999999998</v>
      </c>
      <c r="O19" s="334">
        <f t="shared" si="9"/>
        <v>2346.9410000000003</v>
      </c>
      <c r="P19" s="334">
        <f t="shared" si="9"/>
        <v>2045.5510000000002</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-4109.1377805440734</v>
      </c>
      <c r="D23" s="58"/>
      <c r="E23" s="267"/>
      <c r="F23" s="58"/>
      <c r="G23" s="333">
        <f>Data!C37</f>
        <v>-4129</v>
      </c>
      <c r="H23" s="333">
        <f>Data!D37</f>
        <v>-4209</v>
      </c>
      <c r="I23" s="333">
        <f>Data!E37</f>
        <v>-4130</v>
      </c>
      <c r="J23" s="333">
        <f>Data!F37</f>
        <v>-3968</v>
      </c>
      <c r="K23" s="333">
        <f>Data!G37</f>
        <v>-3579</v>
      </c>
      <c r="L23" s="333">
        <f>Data!H37</f>
        <v>-3427</v>
      </c>
      <c r="M23" s="333">
        <f>Data!I37</f>
        <v>-2308.6060000000002</v>
      </c>
      <c r="N23" s="333">
        <f>Data!J37</f>
        <v>-2101.982</v>
      </c>
      <c r="O23" s="333">
        <f>Data!K37</f>
        <v>-1993.327</v>
      </c>
      <c r="P23" s="333">
        <f>Data!L37</f>
        <v>-1843.164</v>
      </c>
      <c r="Q23" s="333" t="str">
        <f>Data!M37</f>
        <v/>
      </c>
    </row>
    <row r="24" spans="1:17" ht="15.75" customHeight="1">
      <c r="A24" s="10"/>
      <c r="B24" s="68" t="s">
        <v>62</v>
      </c>
      <c r="C24" s="328">
        <f>-C4*C29</f>
        <v>-639.13477540863767</v>
      </c>
      <c r="D24" s="27"/>
      <c r="E24" s="265"/>
      <c r="F24" s="27"/>
      <c r="G24" s="333">
        <f>Data!C40</f>
        <v>-1263</v>
      </c>
      <c r="H24" s="333">
        <f>Data!D40</f>
        <v>-1290</v>
      </c>
      <c r="I24" s="333">
        <f>Data!E40</f>
        <v>0</v>
      </c>
      <c r="J24" s="333">
        <f>Data!F40</f>
        <v>0</v>
      </c>
      <c r="K24" s="333">
        <f>Data!G40</f>
        <v>0</v>
      </c>
      <c r="L24" s="333">
        <f>Data!H40</f>
        <v>0</v>
      </c>
      <c r="M24" s="333">
        <f>Data!I40</f>
        <v>0</v>
      </c>
      <c r="N24" s="333">
        <f>Data!J40</f>
        <v>0</v>
      </c>
      <c r="O24" s="333">
        <f>Data!K40</f>
        <v>0</v>
      </c>
      <c r="P24" s="333">
        <f>Data!L40</f>
        <v>0</v>
      </c>
      <c r="Q24" s="333" t="str">
        <f>Data!M40</f>
        <v/>
      </c>
    </row>
    <row r="25" spans="1:17" ht="15.75" customHeight="1">
      <c r="A25" s="10"/>
      <c r="B25" s="70" t="s">
        <v>46</v>
      </c>
      <c r="C25" s="329">
        <f>C23+C24</f>
        <v>-4748.2725559527107</v>
      </c>
      <c r="D25" s="9"/>
      <c r="E25" s="273"/>
      <c r="F25" s="9"/>
      <c r="G25" s="329">
        <f t="shared" ref="G25:Q25" si="10">IF(G$4="","",G23+G24)</f>
        <v>-5392</v>
      </c>
      <c r="H25" s="329">
        <f t="shared" si="10"/>
        <v>-5499</v>
      </c>
      <c r="I25" s="329">
        <f t="shared" si="10"/>
        <v>-4130</v>
      </c>
      <c r="J25" s="329">
        <f t="shared" si="10"/>
        <v>-3968</v>
      </c>
      <c r="K25" s="329">
        <f t="shared" si="10"/>
        <v>-3579</v>
      </c>
      <c r="L25" s="329">
        <f t="shared" si="10"/>
        <v>-3427</v>
      </c>
      <c r="M25" s="329">
        <f t="shared" si="10"/>
        <v>-2308.6060000000002</v>
      </c>
      <c r="N25" s="329">
        <f t="shared" si="10"/>
        <v>-2101.982</v>
      </c>
      <c r="O25" s="329">
        <f t="shared" si="10"/>
        <v>-1993.327</v>
      </c>
      <c r="P25" s="329">
        <f t="shared" si="10"/>
        <v>-1843.164</v>
      </c>
      <c r="Q25" s="329" t="str">
        <f t="shared" si="10"/>
        <v/>
      </c>
    </row>
    <row r="26" spans="1:17" ht="15.75" customHeight="1">
      <c r="A26" s="10"/>
      <c r="E26" s="268"/>
    </row>
    <row r="27" spans="1:17" ht="15.75" customHeight="1">
      <c r="A27" s="10"/>
      <c r="B27" s="64" t="s">
        <v>205</v>
      </c>
      <c r="E27" s="268"/>
    </row>
    <row r="28" spans="1:17" ht="15.75" customHeight="1">
      <c r="A28" s="10"/>
      <c r="B28" s="26" t="s">
        <v>43</v>
      </c>
      <c r="C28" s="63">
        <f>AVERAGE(G28:J28)</f>
        <v>0.46495293265187104</v>
      </c>
      <c r="D28" s="26"/>
      <c r="E28" s="266" t="s">
        <v>330</v>
      </c>
      <c r="F28" s="26"/>
      <c r="G28" s="13">
        <f t="shared" ref="G28:Q28" si="11">IF(G$4="","",ABS(G23/G$4))</f>
        <v>0.47465225888033108</v>
      </c>
      <c r="H28" s="13">
        <f t="shared" si="11"/>
        <v>0.47012174690048031</v>
      </c>
      <c r="I28" s="13">
        <f t="shared" si="11"/>
        <v>0.45873597689659001</v>
      </c>
      <c r="J28" s="13">
        <f t="shared" si="11"/>
        <v>0.45630174793008282</v>
      </c>
      <c r="K28" s="13">
        <f t="shared" si="11"/>
        <v>0.44514925373134329</v>
      </c>
      <c r="L28" s="13">
        <f t="shared" si="11"/>
        <v>0.43969720297664872</v>
      </c>
      <c r="M28" s="13">
        <f t="shared" si="11"/>
        <v>0.40005704688449845</v>
      </c>
      <c r="N28" s="13">
        <f t="shared" si="11"/>
        <v>0.38745290664977738</v>
      </c>
      <c r="O28" s="13">
        <f t="shared" si="11"/>
        <v>0.39729710875743934</v>
      </c>
      <c r="P28" s="13">
        <f t="shared" si="11"/>
        <v>0.40331304329179191</v>
      </c>
      <c r="Q28" s="13" t="str">
        <f t="shared" si="11"/>
        <v/>
      </c>
    </row>
    <row r="29" spans="1:17" ht="15.75" customHeight="1">
      <c r="A29" s="10"/>
      <c r="B29" s="68" t="str">
        <f>B24</f>
        <v>Selling Expenses</v>
      </c>
      <c r="C29" s="63">
        <f>AVERAGE(G29:J29)</f>
        <v>7.2318720874502862E-2</v>
      </c>
      <c r="D29" s="26"/>
      <c r="E29" s="266" t="s">
        <v>330</v>
      </c>
      <c r="F29" s="26"/>
      <c r="G29" s="13">
        <f t="shared" ref="G29:Q29" si="12">IF(G$4="","",ABS(G24/G$4))</f>
        <v>0.14518910219565467</v>
      </c>
      <c r="H29" s="13">
        <f t="shared" si="12"/>
        <v>0.14408578130235675</v>
      </c>
      <c r="I29" s="13">
        <f t="shared" si="12"/>
        <v>0</v>
      </c>
      <c r="J29" s="13">
        <f t="shared" si="12"/>
        <v>0</v>
      </c>
      <c r="K29" s="13">
        <f t="shared" si="12"/>
        <v>0</v>
      </c>
      <c r="L29" s="13">
        <f t="shared" si="12"/>
        <v>0</v>
      </c>
      <c r="M29" s="13">
        <f t="shared" si="12"/>
        <v>0</v>
      </c>
      <c r="N29" s="13">
        <f t="shared" si="12"/>
        <v>0</v>
      </c>
      <c r="O29" s="13">
        <f t="shared" si="12"/>
        <v>0</v>
      </c>
      <c r="P29" s="13">
        <f t="shared" si="12"/>
        <v>0</v>
      </c>
      <c r="Q29" s="13" t="str">
        <f t="shared" si="12"/>
        <v/>
      </c>
    </row>
    <row r="30" spans="1:17" ht="15.75" customHeight="1">
      <c r="A30" s="10"/>
      <c r="B30" s="70" t="s">
        <v>46</v>
      </c>
      <c r="C30" s="71">
        <f>ABS(C25/$C$4)</f>
        <v>0.53727165352637385</v>
      </c>
      <c r="E30" s="268"/>
      <c r="G30" s="30">
        <f t="shared" ref="G30:Q30" si="13">IF(G$4="","",ABS(G25/G$4))</f>
        <v>0.61984136107598575</v>
      </c>
      <c r="H30" s="30">
        <f t="shared" si="13"/>
        <v>0.61420752820283708</v>
      </c>
      <c r="I30" s="30">
        <f t="shared" si="13"/>
        <v>0.45873597689659001</v>
      </c>
      <c r="J30" s="30">
        <f t="shared" si="13"/>
        <v>0.45630174793008282</v>
      </c>
      <c r="K30" s="30">
        <f t="shared" si="13"/>
        <v>0.44514925373134329</v>
      </c>
      <c r="L30" s="30">
        <f t="shared" si="13"/>
        <v>0.43969720297664872</v>
      </c>
      <c r="M30" s="30">
        <f t="shared" si="13"/>
        <v>0.40005704688449845</v>
      </c>
      <c r="N30" s="30">
        <f t="shared" si="13"/>
        <v>0.38745290664977738</v>
      </c>
      <c r="O30" s="30">
        <f t="shared" si="13"/>
        <v>0.39729710875743934</v>
      </c>
      <c r="P30" s="30">
        <f t="shared" si="13"/>
        <v>0.40331304329179191</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AVERAGE(G33:H33)</f>
        <v>-1462.5</v>
      </c>
      <c r="E33" s="266" t="s">
        <v>330</v>
      </c>
      <c r="G33" s="328">
        <f>Data!C41</f>
        <v>-1371</v>
      </c>
      <c r="H33" s="328">
        <f>Data!D41</f>
        <v>-1554</v>
      </c>
      <c r="I33" s="328">
        <f>Data!E41</f>
        <v>0</v>
      </c>
      <c r="J33" s="328">
        <f>Data!F41</f>
        <v>0</v>
      </c>
      <c r="K33" s="328">
        <f>Data!G41</f>
        <v>0</v>
      </c>
      <c r="L33" s="328">
        <f>Data!H41</f>
        <v>0</v>
      </c>
      <c r="M33" s="328">
        <f>Data!I41</f>
        <v>0</v>
      </c>
      <c r="N33" s="328">
        <f>Data!J41</f>
        <v>0</v>
      </c>
      <c r="O33" s="328">
        <f>Data!K41</f>
        <v>0</v>
      </c>
      <c r="P33" s="328">
        <f>Data!L41</f>
        <v>0</v>
      </c>
      <c r="Q33" s="328" t="str">
        <f>Data!M41</f>
        <v/>
      </c>
    </row>
    <row r="34" spans="1:17" ht="15.75" customHeight="1">
      <c r="A34" s="10"/>
      <c r="B34" s="27" t="s">
        <v>49</v>
      </c>
      <c r="C34" s="340">
        <f>AVERAGE(G34:J34)</f>
        <v>0</v>
      </c>
      <c r="D34" s="58"/>
      <c r="E34" s="266" t="s">
        <v>330</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45</v>
      </c>
      <c r="C35" s="329">
        <f>C33+C34</f>
        <v>-1462.5</v>
      </c>
      <c r="D35" s="58"/>
      <c r="E35" s="267"/>
      <c r="F35" s="58"/>
      <c r="G35" s="329">
        <f t="shared" ref="G35:Q35" si="14">IF(G4="","",G33+G34)</f>
        <v>-1371</v>
      </c>
      <c r="H35" s="329">
        <f t="shared" si="14"/>
        <v>-1554</v>
      </c>
      <c r="I35" s="329">
        <f t="shared" si="14"/>
        <v>0</v>
      </c>
      <c r="J35" s="329">
        <f t="shared" si="14"/>
        <v>0</v>
      </c>
      <c r="K35" s="329">
        <f t="shared" si="14"/>
        <v>0</v>
      </c>
      <c r="L35" s="329">
        <f t="shared" si="14"/>
        <v>0</v>
      </c>
      <c r="M35" s="329">
        <f t="shared" si="14"/>
        <v>0</v>
      </c>
      <c r="N35" s="329">
        <f t="shared" si="14"/>
        <v>0</v>
      </c>
      <c r="O35" s="329">
        <f t="shared" si="14"/>
        <v>0</v>
      </c>
      <c r="P35" s="329">
        <f t="shared" si="14"/>
        <v>0</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0.16548329608780515</v>
      </c>
      <c r="D38" s="27"/>
      <c r="E38" s="265"/>
      <c r="F38" s="27"/>
      <c r="G38" s="13">
        <f t="shared" ref="G38:Q38" si="15">IF(G$4="","",ABS(G33/G$4))</f>
        <v>0.15760432233590069</v>
      </c>
      <c r="H38" s="13">
        <f t="shared" si="15"/>
        <v>0.17357310398749023</v>
      </c>
      <c r="I38" s="13">
        <f t="shared" si="15"/>
        <v>0</v>
      </c>
      <c r="J38" s="13">
        <f t="shared" si="15"/>
        <v>0</v>
      </c>
      <c r="K38" s="13">
        <f t="shared" si="15"/>
        <v>0</v>
      </c>
      <c r="L38" s="13">
        <f t="shared" si="15"/>
        <v>0</v>
      </c>
      <c r="M38" s="13">
        <f t="shared" si="15"/>
        <v>0</v>
      </c>
      <c r="N38" s="13">
        <f t="shared" si="15"/>
        <v>0</v>
      </c>
      <c r="O38" s="13">
        <f t="shared" si="15"/>
        <v>0</v>
      </c>
      <c r="P38" s="13">
        <f t="shared" si="15"/>
        <v>0</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0.16548329608780515</v>
      </c>
      <c r="E40" s="268"/>
      <c r="G40" s="30">
        <f t="shared" ref="G40:Q40" si="17">IF(G$4="","",ABS(G35/G$4))</f>
        <v>0.15760432233590069</v>
      </c>
      <c r="H40" s="30">
        <f t="shared" si="17"/>
        <v>0.17357310398749023</v>
      </c>
      <c r="I40" s="30">
        <f t="shared" si="17"/>
        <v>0</v>
      </c>
      <c r="J40" s="30">
        <f t="shared" si="17"/>
        <v>0</v>
      </c>
      <c r="K40" s="30">
        <f t="shared" si="17"/>
        <v>0</v>
      </c>
      <c r="L40" s="30">
        <f t="shared" si="17"/>
        <v>0</v>
      </c>
      <c r="M40" s="30">
        <f t="shared" si="17"/>
        <v>0</v>
      </c>
      <c r="N40" s="30">
        <f t="shared" si="17"/>
        <v>0</v>
      </c>
      <c r="O40" s="30">
        <f t="shared" si="17"/>
        <v>0</v>
      </c>
      <c r="P40" s="30">
        <f t="shared" si="17"/>
        <v>0</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331</v>
      </c>
      <c r="F43" s="27"/>
      <c r="G43" s="6">
        <f t="shared" ref="G43:Q43" si="18">IF(G$4="","",-G14/SUM(G8+G11,G12))</f>
        <v>0.14583333333333334</v>
      </c>
      <c r="H43" s="6">
        <f t="shared" si="18"/>
        <v>0.17603249830737983</v>
      </c>
      <c r="I43" s="6">
        <f t="shared" si="18"/>
        <v>8.8070096607503937E-2</v>
      </c>
      <c r="J43" s="6">
        <f t="shared" si="18"/>
        <v>4.9153721307674474E-2</v>
      </c>
      <c r="K43" s="6">
        <f t="shared" si="18"/>
        <v>7.3518564052126881E-2</v>
      </c>
      <c r="L43" s="6">
        <f t="shared" si="18"/>
        <v>7.1159165199899427E-2</v>
      </c>
      <c r="M43" s="6">
        <f t="shared" si="18"/>
        <v>7.8624671555035289E-2</v>
      </c>
      <c r="N43" s="6">
        <f t="shared" si="18"/>
        <v>0.20699808922567126</v>
      </c>
      <c r="O43" s="6">
        <f t="shared" si="18"/>
        <v>0.12839570270081568</v>
      </c>
      <c r="P43" s="6">
        <f t="shared" si="18"/>
        <v>0.15744353611987191</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-496</v>
      </c>
      <c r="E47" s="268"/>
      <c r="G47" s="328">
        <f>Data!C51</f>
        <v>-496</v>
      </c>
      <c r="H47" s="328">
        <f>Data!D51</f>
        <v>-423</v>
      </c>
      <c r="I47" s="328">
        <f>Data!E51</f>
        <v>-422</v>
      </c>
      <c r="J47" s="328">
        <f>Data!F51</f>
        <v>-415</v>
      </c>
      <c r="K47" s="328">
        <f>Data!G51</f>
        <v>-394</v>
      </c>
      <c r="L47" s="328">
        <f>Data!H51</f>
        <v>-390</v>
      </c>
      <c r="M47" s="328">
        <f>Data!I51</f>
        <v>-350.07299999999998</v>
      </c>
      <c r="N47" s="328">
        <f>Data!J51</f>
        <v>-345.82</v>
      </c>
      <c r="O47" s="328">
        <f>Data!K51</f>
        <v>-331.22500000000002</v>
      </c>
      <c r="P47" s="328">
        <f>Data!L51</f>
        <v>-299.10300000000001</v>
      </c>
      <c r="Q47" s="328" t="str">
        <f>Data!M51</f>
        <v/>
      </c>
    </row>
    <row r="48" spans="1:17" ht="15.75" customHeight="1">
      <c r="A48" s="10"/>
      <c r="B48" s="2" t="s">
        <v>342</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339</v>
      </c>
      <c r="C49" s="342">
        <f>BS!$C$66*C53</f>
        <v>0</v>
      </c>
      <c r="D49" s="288"/>
      <c r="E49" s="289"/>
      <c r="F49" s="288"/>
      <c r="G49" s="342">
        <f>Data!C52</f>
        <v>0</v>
      </c>
      <c r="H49" s="342">
        <f>Data!D52</f>
        <v>0</v>
      </c>
      <c r="I49" s="342">
        <f>Data!E52</f>
        <v>0</v>
      </c>
      <c r="J49" s="342">
        <f>Data!F52</f>
        <v>0</v>
      </c>
      <c r="K49" s="342">
        <f>Data!G52</f>
        <v>0</v>
      </c>
      <c r="L49" s="342">
        <f>Data!H52</f>
        <v>0</v>
      </c>
      <c r="M49" s="342">
        <f>Data!I52</f>
        <v>0</v>
      </c>
      <c r="N49" s="342">
        <f>Data!J52</f>
        <v>0</v>
      </c>
      <c r="O49" s="342">
        <f>Data!K52</f>
        <v>0</v>
      </c>
      <c r="P49" s="342">
        <f>Data!L52</f>
        <v>0</v>
      </c>
      <c r="Q49" s="342" t="str">
        <f>Data!M52</f>
        <v/>
      </c>
    </row>
    <row r="50" spans="1:17" ht="15.75" customHeight="1">
      <c r="A50" s="10"/>
      <c r="B50" s="70" t="s">
        <v>68</v>
      </c>
      <c r="C50" s="329">
        <f>C47+C48</f>
        <v>-496</v>
      </c>
      <c r="E50" s="268"/>
      <c r="G50" s="329">
        <f>IF(G$4="","",(G47+G48))</f>
        <v>-496</v>
      </c>
      <c r="H50" s="329">
        <f t="shared" ref="H50:Q50" si="20">IF(H$4="","",(H47+H48))</f>
        <v>-423</v>
      </c>
      <c r="I50" s="329">
        <f t="shared" si="20"/>
        <v>-422</v>
      </c>
      <c r="J50" s="329">
        <f t="shared" si="20"/>
        <v>-415</v>
      </c>
      <c r="K50" s="329">
        <f t="shared" si="20"/>
        <v>-394</v>
      </c>
      <c r="L50" s="329">
        <f t="shared" si="20"/>
        <v>-390</v>
      </c>
      <c r="M50" s="329">
        <f t="shared" si="20"/>
        <v>-350.07299999999998</v>
      </c>
      <c r="N50" s="329">
        <f t="shared" si="20"/>
        <v>-345.82</v>
      </c>
      <c r="O50" s="329">
        <f t="shared" si="20"/>
        <v>-331.22500000000002</v>
      </c>
      <c r="P50" s="329">
        <f t="shared" si="20"/>
        <v>-299.10300000000001</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f>G53</f>
        <v>0</v>
      </c>
      <c r="E53" s="265" t="s">
        <v>332</v>
      </c>
      <c r="G53" s="6">
        <f>IF(Normalized_FCF!G4="","",Normalized_FCF!G49/BS!$C$66)</f>
        <v>0</v>
      </c>
      <c r="H53" s="169"/>
      <c r="I53" s="169"/>
      <c r="J53" s="169"/>
      <c r="K53" s="169"/>
      <c r="L53" s="169"/>
      <c r="M53" s="169"/>
      <c r="N53" s="169"/>
      <c r="O53" s="169"/>
      <c r="P53" s="169"/>
      <c r="Q53" s="169"/>
    </row>
    <row r="54" spans="1:17" ht="15.75" customHeight="1">
      <c r="A54" s="10"/>
      <c r="B54" s="8" t="s">
        <v>87</v>
      </c>
      <c r="C54" s="82">
        <f>G54</f>
        <v>4.7027590784109223E-2</v>
      </c>
      <c r="E54" s="265" t="s">
        <v>333</v>
      </c>
      <c r="G54" s="23">
        <f>IFERROR(ABS(Normalized_FCF!G47/BS!$G$31),0)</f>
        <v>4.7027590784109223E-2</v>
      </c>
      <c r="H54" s="169"/>
      <c r="I54" s="169"/>
      <c r="J54" s="169"/>
      <c r="K54" s="169"/>
      <c r="L54" s="169"/>
      <c r="M54" s="169"/>
      <c r="N54" s="169"/>
      <c r="O54" s="169"/>
      <c r="P54" s="169"/>
      <c r="Q54" s="169"/>
    </row>
    <row r="55" spans="1:17" ht="15.75" customHeight="1">
      <c r="A55" s="10"/>
      <c r="B55" s="26" t="s">
        <v>90</v>
      </c>
      <c r="C55" s="42">
        <f>-C8/C47</f>
        <v>5.2963254920308254</v>
      </c>
      <c r="E55" s="268"/>
      <c r="G55" s="42">
        <f t="shared" ref="G55:Q55" si="21">IF(G4="","",-G8/G47)</f>
        <v>3.903225806451613</v>
      </c>
      <c r="H55" s="42">
        <f t="shared" si="21"/>
        <v>4.4917257683215128</v>
      </c>
      <c r="I55" s="42">
        <f t="shared" si="21"/>
        <v>11.54739336492891</v>
      </c>
      <c r="J55" s="42">
        <f t="shared" si="21"/>
        <v>11.392771084337349</v>
      </c>
      <c r="K55" s="42">
        <f t="shared" si="21"/>
        <v>11.32233502538071</v>
      </c>
      <c r="L55" s="42">
        <f t="shared" si="21"/>
        <v>11.197435897435897</v>
      </c>
      <c r="M55" s="42">
        <f t="shared" si="21"/>
        <v>9.8896115952958379</v>
      </c>
      <c r="N55" s="42">
        <f t="shared" si="21"/>
        <v>9.6094702446359381</v>
      </c>
      <c r="O55" s="42">
        <f t="shared" si="21"/>
        <v>9.129422597931919</v>
      </c>
      <c r="P55" s="42">
        <f t="shared" si="21"/>
        <v>9.1169062162532644</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159</v>
      </c>
      <c r="C62" s="343">
        <v>0</v>
      </c>
      <c r="E62" s="266" t="s">
        <v>334</v>
      </c>
      <c r="G62" s="328">
        <f>Data!C58</f>
        <v>-3305</v>
      </c>
      <c r="H62" s="328">
        <f>Data!D58</f>
        <v>41</v>
      </c>
      <c r="I62" s="328">
        <f>Data!E58</f>
        <v>-2846</v>
      </c>
      <c r="J62" s="328">
        <f>Data!F58</f>
        <v>-2787</v>
      </c>
      <c r="K62" s="328">
        <f>Data!G58</f>
        <v>-3637</v>
      </c>
      <c r="L62" s="328">
        <f>Data!H58</f>
        <v>-2780</v>
      </c>
      <c r="M62" s="328">
        <f>Data!I58</f>
        <v>-1691.4389999999999</v>
      </c>
      <c r="N62" s="328">
        <f>Data!J58</f>
        <v>-1713.1179999999999</v>
      </c>
      <c r="O62" s="328">
        <f>Data!K58</f>
        <v>-1601.0080000000003</v>
      </c>
      <c r="P62" s="328">
        <f>Data!L58</f>
        <v>-1535.8270000000002</v>
      </c>
      <c r="Q62" s="328" t="str">
        <f>Data!M58</f>
        <v/>
      </c>
    </row>
    <row r="63" spans="1:17" ht="15.75" customHeight="1">
      <c r="A63" s="10"/>
      <c r="B63" s="31" t="s">
        <v>194</v>
      </c>
      <c r="C63" s="329">
        <f>C61+C62</f>
        <v>0</v>
      </c>
      <c r="E63" s="268"/>
      <c r="G63" s="329">
        <f t="shared" ref="G63:Q63" si="23">IF(G4="","",G61+G62)</f>
        <v>-3305</v>
      </c>
      <c r="H63" s="329">
        <f t="shared" si="23"/>
        <v>41</v>
      </c>
      <c r="I63" s="329">
        <f t="shared" si="23"/>
        <v>-2846</v>
      </c>
      <c r="J63" s="329">
        <f t="shared" si="23"/>
        <v>-2787</v>
      </c>
      <c r="K63" s="329">
        <f t="shared" si="23"/>
        <v>-3637</v>
      </c>
      <c r="L63" s="329">
        <f t="shared" si="23"/>
        <v>-2780</v>
      </c>
      <c r="M63" s="329">
        <f t="shared" si="23"/>
        <v>-1691.4389999999999</v>
      </c>
      <c r="N63" s="329">
        <f t="shared" si="23"/>
        <v>-1713.1179999999999</v>
      </c>
      <c r="O63" s="329">
        <f t="shared" si="23"/>
        <v>-1601.0080000000003</v>
      </c>
      <c r="P63" s="329">
        <f t="shared" si="23"/>
        <v>-1535.8270000000002</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0.53727165352637385</v>
      </c>
      <c r="D73" s="27"/>
      <c r="E73" s="265"/>
      <c r="F73" s="27"/>
      <c r="G73" s="6">
        <f t="shared" ref="G73:Q73" si="24">IF(G$4="","",ABS(G5/G$4))</f>
        <v>0.61984136107598575</v>
      </c>
      <c r="H73" s="6">
        <f t="shared" si="24"/>
        <v>0.61420752820283708</v>
      </c>
      <c r="I73" s="6">
        <f t="shared" si="24"/>
        <v>0.45873597689659001</v>
      </c>
      <c r="J73" s="6">
        <f t="shared" si="24"/>
        <v>0.45630174793008282</v>
      </c>
      <c r="K73" s="6">
        <f t="shared" si="24"/>
        <v>0.44514925373134329</v>
      </c>
      <c r="L73" s="6">
        <f t="shared" si="24"/>
        <v>0.43969720297664872</v>
      </c>
      <c r="M73" s="6">
        <f t="shared" si="24"/>
        <v>0.40005704688449845</v>
      </c>
      <c r="N73" s="6">
        <f t="shared" si="24"/>
        <v>0.38745290664977738</v>
      </c>
      <c r="O73" s="6">
        <f t="shared" si="24"/>
        <v>0.39729710875743934</v>
      </c>
      <c r="P73" s="6">
        <f t="shared" si="24"/>
        <v>0.40331304329179191</v>
      </c>
      <c r="Q73" s="6" t="str">
        <f t="shared" si="24"/>
        <v/>
      </c>
    </row>
    <row r="74" spans="1:17" ht="15.75" customHeight="1">
      <c r="A74" s="10"/>
      <c r="B74" s="31" t="s">
        <v>48</v>
      </c>
      <c r="C74" s="78">
        <f>ABS(C6/C$4)</f>
        <v>0.46272834647362615</v>
      </c>
      <c r="D74" s="27"/>
      <c r="E74" s="265"/>
      <c r="F74" s="27"/>
      <c r="G74" s="65">
        <f t="shared" ref="G74:Q74" si="25">IF(G$4="","",ABS(G6/G$4))</f>
        <v>0.38015863892401425</v>
      </c>
      <c r="H74" s="65">
        <f t="shared" si="25"/>
        <v>0.38579247179716297</v>
      </c>
      <c r="I74" s="65">
        <f t="shared" si="25"/>
        <v>0.54126402310340993</v>
      </c>
      <c r="J74" s="65">
        <f t="shared" si="25"/>
        <v>0.54369825206991718</v>
      </c>
      <c r="K74" s="65">
        <f t="shared" si="25"/>
        <v>0.55485074626865671</v>
      </c>
      <c r="L74" s="65">
        <f t="shared" si="25"/>
        <v>0.56030279702335128</v>
      </c>
      <c r="M74" s="65">
        <f t="shared" si="25"/>
        <v>0.5999429531155015</v>
      </c>
      <c r="N74" s="65">
        <f t="shared" si="25"/>
        <v>0.61254709335022262</v>
      </c>
      <c r="O74" s="65">
        <f t="shared" si="25"/>
        <v>0.6027028912425606</v>
      </c>
      <c r="P74" s="65">
        <f t="shared" si="25"/>
        <v>0.59668695670820815</v>
      </c>
      <c r="Q74" s="65" t="str">
        <f t="shared" si="25"/>
        <v/>
      </c>
    </row>
    <row r="75" spans="1:17" ht="15.75" customHeight="1">
      <c r="A75" s="10"/>
      <c r="B75" s="8" t="s">
        <v>45</v>
      </c>
      <c r="C75" s="77">
        <f>ABS(C7/C$4)</f>
        <v>0.16548329608780515</v>
      </c>
      <c r="D75" s="27"/>
      <c r="E75" s="265"/>
      <c r="F75" s="27"/>
      <c r="G75" s="6">
        <f t="shared" ref="G75:Q75" si="26">IF(G$4="","",ABS(G7/G$4))</f>
        <v>0.15760432233590069</v>
      </c>
      <c r="H75" s="6">
        <f t="shared" si="26"/>
        <v>0.17357310398749023</v>
      </c>
      <c r="I75" s="6">
        <f t="shared" si="26"/>
        <v>0</v>
      </c>
      <c r="J75" s="6">
        <f t="shared" si="26"/>
        <v>0</v>
      </c>
      <c r="K75" s="6">
        <f t="shared" si="26"/>
        <v>0</v>
      </c>
      <c r="L75" s="6">
        <f t="shared" si="26"/>
        <v>0</v>
      </c>
      <c r="M75" s="6">
        <f t="shared" si="26"/>
        <v>0</v>
      </c>
      <c r="N75" s="6">
        <f t="shared" si="26"/>
        <v>0</v>
      </c>
      <c r="O75" s="6">
        <f t="shared" si="26"/>
        <v>0</v>
      </c>
      <c r="P75" s="6">
        <f t="shared" si="26"/>
        <v>0</v>
      </c>
      <c r="Q75" s="6" t="str">
        <f t="shared" si="26"/>
        <v/>
      </c>
    </row>
    <row r="76" spans="1:17" ht="15.75" customHeight="1">
      <c r="A76" s="10"/>
      <c r="B76" s="29" t="s">
        <v>151</v>
      </c>
      <c r="C76" s="78">
        <f>ABS(C8/C$4)</f>
        <v>0.297245050385821</v>
      </c>
      <c r="D76" s="27"/>
      <c r="E76" s="265"/>
      <c r="F76" s="27"/>
      <c r="G76" s="65">
        <f t="shared" ref="G76:Q76" si="27">IF(G$4="","",ABS(G8/G$4))</f>
        <v>0.22255431658811359</v>
      </c>
      <c r="H76" s="65">
        <f t="shared" si="27"/>
        <v>0.21221936780967274</v>
      </c>
      <c r="I76" s="65">
        <f t="shared" si="27"/>
        <v>0.54126402310340993</v>
      </c>
      <c r="J76" s="65">
        <f t="shared" si="27"/>
        <v>0.54369825206991718</v>
      </c>
      <c r="K76" s="65">
        <f t="shared" si="27"/>
        <v>0.55485074626865671</v>
      </c>
      <c r="L76" s="65">
        <f t="shared" si="27"/>
        <v>0.56030279702335128</v>
      </c>
      <c r="M76" s="65">
        <f t="shared" si="27"/>
        <v>0.5999429531155015</v>
      </c>
      <c r="N76" s="65">
        <f t="shared" si="27"/>
        <v>0.61254709335022262</v>
      </c>
      <c r="O76" s="65">
        <f t="shared" si="27"/>
        <v>0.6027028912425606</v>
      </c>
      <c r="P76" s="65">
        <f t="shared" si="27"/>
        <v>0.59668695670820815</v>
      </c>
      <c r="Q76" s="65" t="str">
        <f t="shared" si="27"/>
        <v/>
      </c>
    </row>
    <row r="77" spans="1:17" ht="15.75" customHeight="1">
      <c r="A77" s="10"/>
      <c r="B77" s="2" t="s">
        <v>65</v>
      </c>
      <c r="C77" s="77">
        <f>ABS(C9/C$4)</f>
        <v>6.5401261633334276E-2</v>
      </c>
      <c r="D77" s="27"/>
      <c r="E77" s="265"/>
      <c r="F77" s="27"/>
      <c r="G77" s="6">
        <f t="shared" ref="G77:Q77" si="28">IF(G$4="","",G9/G$4)</f>
        <v>6.6444418898723989E-2</v>
      </c>
      <c r="H77" s="6">
        <f t="shared" si="28"/>
        <v>6.9697308164860944E-2</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80</v>
      </c>
      <c r="C78" s="88">
        <f>MAX(AVERAGE(G78:J78),C77)</f>
        <v>7.1546875761376333E-2</v>
      </c>
      <c r="D78" s="27"/>
      <c r="E78" s="266" t="s">
        <v>465</v>
      </c>
      <c r="F78" s="27"/>
      <c r="G78" s="6">
        <f t="shared" ref="G78:Q78" si="29">IF(G$4="","",-G10/G$4)</f>
        <v>8.3687780204621226E-2</v>
      </c>
      <c r="H78" s="6">
        <f t="shared" si="29"/>
        <v>8.1313526192337768E-2</v>
      </c>
      <c r="I78" s="6">
        <f t="shared" si="29"/>
        <v>7.2198156170165506E-2</v>
      </c>
      <c r="J78" s="6">
        <f t="shared" si="29"/>
        <v>4.8988040478380866E-2</v>
      </c>
      <c r="K78" s="6">
        <f t="shared" si="29"/>
        <v>4.8258706467661693E-2</v>
      </c>
      <c r="L78" s="6">
        <f t="shared" si="29"/>
        <v>0</v>
      </c>
      <c r="M78" s="6">
        <f t="shared" si="29"/>
        <v>0</v>
      </c>
      <c r="N78" s="6">
        <f t="shared" si="29"/>
        <v>0</v>
      </c>
      <c r="O78" s="6">
        <f t="shared" si="29"/>
        <v>0</v>
      </c>
      <c r="P78" s="6">
        <f t="shared" si="29"/>
        <v>0</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5.6122881955248789E-2</v>
      </c>
      <c r="D80" s="27"/>
      <c r="E80" s="265"/>
      <c r="F80" s="27"/>
      <c r="G80" s="6">
        <f t="shared" ref="G80:Q80" si="31">IF(G$4="","",ABS(G12/G$4))</f>
        <v>5.7018048051500174E-2</v>
      </c>
      <c r="H80" s="6">
        <f t="shared" si="31"/>
        <v>4.7246732938679772E-2</v>
      </c>
      <c r="I80" s="6">
        <f t="shared" si="31"/>
        <v>4.6873264467399756E-2</v>
      </c>
      <c r="J80" s="6">
        <f t="shared" si="31"/>
        <v>4.7723091076356944E-2</v>
      </c>
      <c r="K80" s="6">
        <f t="shared" si="31"/>
        <v>4.9004975124378111E-2</v>
      </c>
      <c r="L80" s="6">
        <f t="shared" si="31"/>
        <v>5.0038491147036179E-2</v>
      </c>
      <c r="M80" s="6">
        <f t="shared" si="31"/>
        <v>6.0663955033469122E-2</v>
      </c>
      <c r="N80" s="6">
        <f t="shared" si="31"/>
        <v>6.3744106361341826E-2</v>
      </c>
      <c r="O80" s="6">
        <f t="shared" si="31"/>
        <v>6.6017635264150262E-2</v>
      </c>
      <c r="P80" s="6">
        <f t="shared" si="31"/>
        <v>6.5448403499474186E-2</v>
      </c>
      <c r="Q80" s="6" t="str">
        <f t="shared" si="31"/>
        <v/>
      </c>
    </row>
    <row r="81" spans="1:17" ht="15.75" customHeight="1">
      <c r="A81" s="10"/>
      <c r="B81" s="70" t="s">
        <v>163</v>
      </c>
      <c r="C81" s="78">
        <f>C13/C4</f>
        <v>0.23497655430253014</v>
      </c>
      <c r="D81" s="27"/>
      <c r="E81" s="265"/>
      <c r="F81" s="27"/>
      <c r="G81" s="65">
        <f t="shared" ref="G81:Q81" si="32">IF(G$4="","",G13/G$4)</f>
        <v>0.14829290723071617</v>
      </c>
      <c r="H81" s="65">
        <f t="shared" si="32"/>
        <v>0.15335641684351614</v>
      </c>
      <c r="I81" s="65">
        <f t="shared" si="32"/>
        <v>0.42219260246584472</v>
      </c>
      <c r="J81" s="65">
        <f t="shared" si="32"/>
        <v>0.44698712051517941</v>
      </c>
      <c r="K81" s="65">
        <f t="shared" si="32"/>
        <v>0.45758706467661692</v>
      </c>
      <c r="L81" s="65">
        <f t="shared" si="32"/>
        <v>0.51026430587631511</v>
      </c>
      <c r="M81" s="65">
        <f t="shared" si="32"/>
        <v>0.53927899808203239</v>
      </c>
      <c r="N81" s="65">
        <f t="shared" si="32"/>
        <v>0.54880298698888075</v>
      </c>
      <c r="O81" s="65">
        <f t="shared" si="32"/>
        <v>0.53668525597841032</v>
      </c>
      <c r="P81" s="65">
        <f t="shared" si="32"/>
        <v>0.53123855320873392</v>
      </c>
      <c r="Q81" s="65" t="str">
        <f t="shared" si="32"/>
        <v/>
      </c>
    </row>
    <row r="82" spans="1:17" ht="15.75" customHeight="1">
      <c r="A82" s="10"/>
      <c r="B82" s="2" t="s">
        <v>63</v>
      </c>
      <c r="C82" s="77">
        <f>ABS(C14/C$4)</f>
        <v>6.0280542107643047E-2</v>
      </c>
      <c r="D82" s="27"/>
      <c r="E82" s="265"/>
      <c r="F82" s="27"/>
      <c r="G82" s="6">
        <f t="shared" ref="G82:Q82" si="33">IF(G$4="","",ABS(G14/G$4))</f>
        <v>2.4140705828256122E-2</v>
      </c>
      <c r="H82" s="6">
        <f t="shared" si="33"/>
        <v>2.904054506869206E-2</v>
      </c>
      <c r="I82" s="6">
        <f t="shared" si="33"/>
        <v>4.3541041874930582E-2</v>
      </c>
      <c r="J82" s="6">
        <f t="shared" si="33"/>
        <v>2.437902483900644E-2</v>
      </c>
      <c r="K82" s="6">
        <f t="shared" si="33"/>
        <v>3.7189054726368159E-2</v>
      </c>
      <c r="L82" s="6">
        <f t="shared" si="33"/>
        <v>3.6309982037464716E-2</v>
      </c>
      <c r="M82" s="6">
        <f t="shared" si="33"/>
        <v>4.24006341007283E-2</v>
      </c>
      <c r="N82" s="6">
        <f t="shared" si="33"/>
        <v>0.11360116966803924</v>
      </c>
      <c r="O82" s="6">
        <f t="shared" si="33"/>
        <v>6.8908080570515132E-2</v>
      </c>
      <c r="P82" s="6">
        <f t="shared" si="33"/>
        <v>8.3640076340387809E-2</v>
      </c>
      <c r="Q82" s="6" t="str">
        <f t="shared" si="33"/>
        <v/>
      </c>
    </row>
    <row r="83" spans="1:17" ht="15.75" customHeight="1">
      <c r="A83" s="10"/>
      <c r="B83" s="40" t="str">
        <f>B15</f>
        <v>NCI’s Share of Profits</v>
      </c>
      <c r="C83" s="264">
        <f>MIN(BS!C62,MAX(G83:K83))</f>
        <v>0</v>
      </c>
      <c r="D83" s="27"/>
      <c r="E83" s="265"/>
      <c r="F83" s="27"/>
      <c r="G83" s="6">
        <f t="shared" ref="G83:Q83" si="34">IF(G$4="","",-G15/G$4)</f>
        <v>0</v>
      </c>
      <c r="H83" s="6">
        <f t="shared" si="34"/>
        <v>2.2562269630291523E-2</v>
      </c>
      <c r="I83" s="6">
        <f t="shared" si="34"/>
        <v>0</v>
      </c>
      <c r="J83" s="6">
        <f t="shared" si="34"/>
        <v>0</v>
      </c>
      <c r="K83" s="6">
        <f t="shared" si="34"/>
        <v>0</v>
      </c>
      <c r="L83" s="6">
        <f t="shared" si="34"/>
        <v>0</v>
      </c>
      <c r="M83" s="6">
        <f t="shared" si="34"/>
        <v>0</v>
      </c>
      <c r="N83" s="6">
        <f t="shared" si="34"/>
        <v>0</v>
      </c>
      <c r="O83" s="6">
        <f t="shared" si="34"/>
        <v>0</v>
      </c>
      <c r="P83" s="6">
        <f t="shared" si="34"/>
        <v>0</v>
      </c>
      <c r="Q83" s="6" t="str">
        <f t="shared" si="34"/>
        <v/>
      </c>
    </row>
    <row r="84" spans="1:17" ht="15.75" customHeight="1">
      <c r="A84" s="10"/>
      <c r="B84" s="41" t="s">
        <v>153</v>
      </c>
      <c r="C84" s="78">
        <f>ABS(C16/C$4)</f>
        <v>0.17469601219488709</v>
      </c>
      <c r="D84" s="27"/>
      <c r="E84" s="265"/>
      <c r="F84" s="27"/>
      <c r="G84" s="65">
        <f t="shared" ref="G84:Q84" si="35">IF(G$4="","",ABS(G16/G$4))</f>
        <v>0.12415220140246006</v>
      </c>
      <c r="H84" s="65">
        <f t="shared" si="35"/>
        <v>0.10175360214453257</v>
      </c>
      <c r="I84" s="65">
        <f t="shared" si="35"/>
        <v>0.37865156059091415</v>
      </c>
      <c r="J84" s="65">
        <f t="shared" si="35"/>
        <v>0.42260809567617297</v>
      </c>
      <c r="K84" s="65">
        <f t="shared" si="35"/>
        <v>0.42039800995024873</v>
      </c>
      <c r="L84" s="65">
        <f t="shared" si="35"/>
        <v>0.47395432383885039</v>
      </c>
      <c r="M84" s="65">
        <f t="shared" si="35"/>
        <v>0.49687836398130414</v>
      </c>
      <c r="N84" s="65">
        <f t="shared" si="35"/>
        <v>0.43520181732084157</v>
      </c>
      <c r="O84" s="65">
        <f t="shared" si="35"/>
        <v>0.46777717540789526</v>
      </c>
      <c r="P84" s="65">
        <f t="shared" si="35"/>
        <v>0.44759847686834614</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0.17469601219488709</v>
      </c>
      <c r="D87" s="75"/>
      <c r="E87" s="265"/>
      <c r="F87" s="75"/>
      <c r="G87" s="65">
        <f t="shared" ref="G87:Q87" si="36">IF(G$4="","",ABS(G19/G$4))</f>
        <v>0.12415220140246006</v>
      </c>
      <c r="H87" s="65">
        <f t="shared" si="36"/>
        <v>0.10175360214453257</v>
      </c>
      <c r="I87" s="65">
        <f t="shared" si="36"/>
        <v>0.37865156059091415</v>
      </c>
      <c r="J87" s="65">
        <f t="shared" si="36"/>
        <v>0.42260809567617297</v>
      </c>
      <c r="K87" s="65">
        <f t="shared" si="36"/>
        <v>0.42039800995024873</v>
      </c>
      <c r="L87" s="65">
        <f t="shared" si="36"/>
        <v>0.47395432383885039</v>
      </c>
      <c r="M87" s="65">
        <f t="shared" si="36"/>
        <v>0.49687836398130414</v>
      </c>
      <c r="N87" s="65">
        <f t="shared" si="36"/>
        <v>0.43520181732084157</v>
      </c>
      <c r="O87" s="65">
        <f t="shared" si="36"/>
        <v>0.46777717540789526</v>
      </c>
      <c r="P87" s="65">
        <f t="shared" si="36"/>
        <v>0.44759847686834614</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(USD)</v>
      </c>
      <c r="C90" s="113">
        <f>G90</f>
        <v>0.59360000000000002</v>
      </c>
      <c r="E90" s="268"/>
      <c r="G90" s="112">
        <f>Data!C65</f>
        <v>0.59360000000000002</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(USD)</v>
      </c>
      <c r="C91" s="74">
        <f>C90*Common_Shares/scaling_factor</f>
        <v>201.02620160000001</v>
      </c>
      <c r="E91" s="268"/>
      <c r="G91" s="74">
        <f t="shared" ref="G91:Q91" si="37">IF(G$4="","",G90*Common_Shares/scaling_factor)</f>
        <v>201.02620160000001</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0.130205090311977</v>
      </c>
      <c r="E92" s="268"/>
      <c r="G92" s="170">
        <f t="shared" ref="G92:Q92" si="38">IF(G$4="","",G90/(G19*scaling_factor/Common_Shares))</f>
        <v>0.18613537185185186</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453</v>
      </c>
      <c r="C93" s="356">
        <v>0.3</v>
      </c>
      <c r="E93" s="268"/>
      <c r="G93" s="357"/>
      <c r="H93" s="357"/>
      <c r="I93" s="357"/>
      <c r="J93" s="357"/>
      <c r="K93" s="357"/>
      <c r="L93" s="357"/>
      <c r="M93" s="357"/>
      <c r="N93" s="357"/>
      <c r="O93" s="357"/>
      <c r="P93" s="357"/>
      <c r="Q93" s="357"/>
    </row>
    <row r="94" spans="1:17" ht="15.75" customHeight="1">
      <c r="A94" s="10"/>
      <c r="B94" s="2" t="s">
        <v>452</v>
      </c>
      <c r="C94" s="23">
        <f>(C90*(1-dividend_tax_rate))/Market_Price</f>
        <v>1.7120725175113309E-2</v>
      </c>
      <c r="E94" s="268"/>
      <c r="G94" s="23">
        <f t="shared" ref="G94:Q94" si="39">IF(G$4="","",(G90*(1-dividend_tax_rate))/Market_Price)</f>
        <v>1.7120725175113309E-2</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1.5950109207955032E-2</v>
      </c>
      <c r="D97" s="27"/>
      <c r="E97" s="265"/>
      <c r="F97" s="27"/>
      <c r="G97" s="6">
        <f t="shared" ref="G97:Q97" si="40">IF(H4="","",G4/H4-1)</f>
        <v>-2.8370378644029914E-2</v>
      </c>
      <c r="H97" s="6">
        <f t="shared" si="40"/>
        <v>-5.5537043207819492E-3</v>
      </c>
      <c r="I97" s="6">
        <f t="shared" si="40"/>
        <v>3.5303587856485796E-2</v>
      </c>
      <c r="J97" s="6">
        <f t="shared" si="40"/>
        <v>8.1592039800995053E-2</v>
      </c>
      <c r="K97" s="6">
        <f t="shared" si="40"/>
        <v>3.1562740569669012E-2</v>
      </c>
      <c r="L97" s="6">
        <f t="shared" si="40"/>
        <v>0.35061791549436361</v>
      </c>
      <c r="M97" s="6">
        <f t="shared" si="40"/>
        <v>6.3696734215905382E-2</v>
      </c>
      <c r="N97" s="6">
        <f t="shared" si="40"/>
        <v>8.1301796612466504E-2</v>
      </c>
      <c r="O97" s="6">
        <f t="shared" si="40"/>
        <v>9.7846022960758949E-2</v>
      </c>
      <c r="P97" s="6" t="str">
        <f t="shared" si="40"/>
        <v/>
      </c>
      <c r="Q97" s="6" t="str">
        <f t="shared" si="40"/>
        <v/>
      </c>
    </row>
    <row r="98" spans="1:17" ht="15.75" customHeight="1">
      <c r="A98" s="10"/>
      <c r="B98" s="70" t="s">
        <v>163</v>
      </c>
      <c r="C98" s="77">
        <f>C13/G13-1</f>
        <v>0.60981708743192686</v>
      </c>
      <c r="D98" s="27"/>
      <c r="E98" s="265"/>
      <c r="F98" s="27"/>
      <c r="G98" s="6">
        <f t="shared" ref="G98:Q98" si="41">IF(H5="","",G13/H13-1)</f>
        <v>-6.045156591405676E-2</v>
      </c>
      <c r="H98" s="6">
        <f t="shared" si="41"/>
        <v>-0.63877926861352274</v>
      </c>
      <c r="I98" s="6">
        <f t="shared" si="41"/>
        <v>-2.2125032158476943E-2</v>
      </c>
      <c r="J98" s="6">
        <f t="shared" si="41"/>
        <v>5.6537102473498191E-2</v>
      </c>
      <c r="K98" s="6">
        <f t="shared" si="41"/>
        <v>-7.4930852401307479E-2</v>
      </c>
      <c r="L98" s="6">
        <f t="shared" si="41"/>
        <v>0.27795095971642803</v>
      </c>
      <c r="M98" s="6">
        <f t="shared" si="41"/>
        <v>4.5237221171876785E-2</v>
      </c>
      <c r="N98" s="6">
        <f t="shared" si="41"/>
        <v>0.10571633784781476</v>
      </c>
      <c r="O98" s="6">
        <f t="shared" si="41"/>
        <v>0.10910206026795555</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27521</v>
      </c>
      <c r="D102" s="26"/>
      <c r="E102" s="269"/>
      <c r="F102" s="26"/>
      <c r="G102" s="333">
        <f t="shared" ref="G102:Q102" si="42">IF(G$4="","",G106+G105)</f>
        <v>27521</v>
      </c>
      <c r="H102" s="333">
        <f t="shared" si="42"/>
        <v>10374</v>
      </c>
      <c r="I102" s="333">
        <f t="shared" si="42"/>
        <v>10022</v>
      </c>
      <c r="J102" s="333">
        <f t="shared" si="42"/>
        <v>10274</v>
      </c>
      <c r="K102" s="333">
        <f t="shared" si="42"/>
        <v>10333</v>
      </c>
      <c r="L102" s="333">
        <f t="shared" si="42"/>
        <v>11149</v>
      </c>
      <c r="M102" s="333">
        <f t="shared" si="42"/>
        <v>8172.735999999999</v>
      </c>
      <c r="N102" s="333">
        <f t="shared" si="42"/>
        <v>8329.3739999999998</v>
      </c>
      <c r="O102" s="333">
        <f t="shared" si="42"/>
        <v>8003.5950000000003</v>
      </c>
      <c r="P102" s="333">
        <f t="shared" si="42"/>
        <v>8046.6620000000003</v>
      </c>
      <c r="Q102" s="333" t="str">
        <f t="shared" si="42"/>
        <v/>
      </c>
    </row>
    <row r="103" spans="1:17" ht="15.75" customHeight="1">
      <c r="A103" s="10"/>
      <c r="B103" s="93" t="s">
        <v>209</v>
      </c>
      <c r="C103" s="345">
        <f>BS!C4</f>
        <v>676</v>
      </c>
      <c r="D103" s="89"/>
      <c r="E103" s="270"/>
      <c r="F103" s="89"/>
      <c r="G103" s="346">
        <f>IF(G$4="","",Data!D77)</f>
        <v>709</v>
      </c>
      <c r="H103" s="346">
        <f>IF(H$4="","",Data!E77)</f>
        <v>655</v>
      </c>
      <c r="I103" s="346">
        <f>IF(I$4="","",Data!F77)</f>
        <v>722</v>
      </c>
      <c r="J103" s="346">
        <f>IF(J$4="","",Data!G77)</f>
        <v>672</v>
      </c>
      <c r="K103" s="346">
        <f>IF(K$4="","",Data!H77)</f>
        <v>670</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0</v>
      </c>
      <c r="D104" s="89"/>
      <c r="E104" s="270"/>
      <c r="F104" s="89"/>
      <c r="G104" s="346">
        <f>IF(G$4="","",Data!D78)</f>
        <v>0</v>
      </c>
      <c r="H104" s="346">
        <f>IF(H$4="","",Data!E78)</f>
        <v>0</v>
      </c>
      <c r="I104" s="346">
        <f>IF(I$4="","",Data!F78)</f>
        <v>0</v>
      </c>
      <c r="J104" s="346">
        <f>IF(J$4="","",Data!G78)</f>
        <v>0</v>
      </c>
      <c r="K104" s="346">
        <f>IF(K$4="","",Data!H78)</f>
        <v>0</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16447</v>
      </c>
      <c r="D105" s="26"/>
      <c r="E105" s="269"/>
      <c r="F105" s="26"/>
      <c r="G105" s="333">
        <f>Data!C79</f>
        <v>16447</v>
      </c>
      <c r="H105" s="333">
        <f>Data!D79</f>
        <v>12939</v>
      </c>
      <c r="I105" s="333">
        <f>Data!E79</f>
        <v>13373</v>
      </c>
      <c r="J105" s="333">
        <f>Data!F79</f>
        <v>12899</v>
      </c>
      <c r="K105" s="333">
        <f>Data!G79</f>
        <v>12618</v>
      </c>
      <c r="L105" s="333">
        <f>Data!H79</f>
        <v>11885</v>
      </c>
      <c r="M105" s="333">
        <f>Data!I79</f>
        <v>9989.6569999999992</v>
      </c>
      <c r="N105" s="333">
        <f>Data!J79</f>
        <v>9853.2479999999996</v>
      </c>
      <c r="O105" s="333">
        <f>Data!K79</f>
        <v>8795.61</v>
      </c>
      <c r="P105" s="333">
        <f>Data!L79</f>
        <v>8213.1530000000002</v>
      </c>
      <c r="Q105" s="333" t="str">
        <f>Data!M79</f>
        <v/>
      </c>
    </row>
    <row r="106" spans="1:17" ht="15.75" customHeight="1">
      <c r="A106" s="10"/>
      <c r="B106" s="26" t="s">
        <v>30</v>
      </c>
      <c r="C106" s="344">
        <f>BS!G27</f>
        <v>11074</v>
      </c>
      <c r="D106" s="26"/>
      <c r="E106" s="269"/>
      <c r="F106" s="26"/>
      <c r="G106" s="333">
        <f>Data!C80</f>
        <v>11074</v>
      </c>
      <c r="H106" s="333">
        <f>Data!D80</f>
        <v>-2565</v>
      </c>
      <c r="I106" s="333">
        <f>Data!E80</f>
        <v>-3351</v>
      </c>
      <c r="J106" s="333">
        <f>Data!F80</f>
        <v>-2625</v>
      </c>
      <c r="K106" s="333">
        <f>Data!G80</f>
        <v>-2285</v>
      </c>
      <c r="L106" s="333">
        <f>Data!H80</f>
        <v>-736</v>
      </c>
      <c r="M106" s="333">
        <f>Data!I80</f>
        <v>-1816.921</v>
      </c>
      <c r="N106" s="333">
        <f>Data!J80</f>
        <v>-1523.874</v>
      </c>
      <c r="O106" s="333">
        <f>Data!K80</f>
        <v>-792.01499999999999</v>
      </c>
      <c r="P106" s="333">
        <f>Data!L80</f>
        <v>-166.49100000000001</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7.649005685836327E-2</v>
      </c>
      <c r="D109" s="26"/>
      <c r="E109" s="269"/>
      <c r="F109" s="26"/>
      <c r="G109" s="94">
        <f t="shared" ref="G109:Q109" si="43">IF(G$4="","",G103/G$4)</f>
        <v>8.1503621105874238E-2</v>
      </c>
      <c r="H109" s="94">
        <f t="shared" si="43"/>
        <v>7.3159834692281919E-2</v>
      </c>
      <c r="I109" s="94">
        <f t="shared" si="43"/>
        <v>8.019549039209152E-2</v>
      </c>
      <c r="J109" s="94">
        <f t="shared" si="43"/>
        <v>7.7276908923643056E-2</v>
      </c>
      <c r="K109" s="94">
        <f t="shared" si="43"/>
        <v>8.3333333333333329E-2</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0</v>
      </c>
      <c r="D110" s="26"/>
      <c r="E110" s="269"/>
      <c r="F110" s="26"/>
      <c r="G110" s="94">
        <f t="shared" ref="G110:Q110" si="44">IF(G$4="","",G104/G$4)</f>
        <v>0</v>
      </c>
      <c r="H110" s="94">
        <f t="shared" si="44"/>
        <v>0</v>
      </c>
      <c r="I110" s="94">
        <f t="shared" si="44"/>
        <v>0</v>
      </c>
      <c r="J110" s="94">
        <f t="shared" si="44"/>
        <v>0</v>
      </c>
      <c r="K110" s="94">
        <f t="shared" si="44"/>
        <v>0</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-0.83903614457831321</v>
      </c>
      <c r="H114" s="295">
        <f>IF(H$4="","",Data!D$22/Data!D15)</f>
        <v>1.4705882352941178</v>
      </c>
      <c r="I114" s="295">
        <f>IF(I$4="","",Data!E$22/Data!E15)</f>
        <v>1.6290189612530914</v>
      </c>
      <c r="J114" s="295">
        <f>IF(J$4="","",Data!F$22/Data!F15)</f>
        <v>1.5205479452054795</v>
      </c>
      <c r="K114" s="295">
        <f>IF(K$4="","",Data!G$22/Data!G15)</f>
        <v>15.404580152671755</v>
      </c>
      <c r="L114" s="295">
        <f>IF(L$4="","",Data!H$22/Data!H15)</f>
        <v>2.2067833698030634</v>
      </c>
      <c r="M114" s="295">
        <f>IF(M$4="","",Data!I$22/Data!I15)</f>
        <v>1.5991403979783874</v>
      </c>
      <c r="N114" s="295">
        <f>IF(N$4="","",Data!J$22/Data!J15)</f>
        <v>2.8639698846132475</v>
      </c>
      <c r="O114" s="295">
        <f>IF(O$4="","",Data!K$22/Data!K15)</f>
        <v>2.3048142393485742</v>
      </c>
      <c r="P114" s="295">
        <f>IF(P$4="","",Data!L$22/Data!L15)</f>
        <v>2.4406365013222842</v>
      </c>
      <c r="Q114" s="295" t="str">
        <f>IF(Q$4="","",Data!M$22/Data!M15)</f>
        <v/>
      </c>
    </row>
    <row r="115" spans="1:17" ht="15.75" customHeight="1">
      <c r="A115" s="10"/>
      <c r="B115" s="2" t="s">
        <v>389</v>
      </c>
      <c r="C115" s="169"/>
      <c r="E115" s="268"/>
      <c r="G115" s="295">
        <f>IF(G$4="","",Data!C$22/G19)</f>
        <v>1.6120370370370369</v>
      </c>
      <c r="H115" s="295">
        <f>IF(H$4="","",Data!D$22/H19)</f>
        <v>2.030735455543359</v>
      </c>
      <c r="I115" s="295">
        <f>IF(I$4="","",Data!E$22/I19)</f>
        <v>0.57964212378996771</v>
      </c>
      <c r="J115" s="295">
        <f>IF(J$4="","",Data!F$22/J19)</f>
        <v>0.54367346938775507</v>
      </c>
      <c r="K115" s="295">
        <f>IF(K$4="","",Data!G$22/K19)</f>
        <v>0.59704142011834316</v>
      </c>
      <c r="L115" s="295">
        <f>IF(L$4="","",Data!H$22/L19)</f>
        <v>0.54602057390362746</v>
      </c>
      <c r="M115" s="295">
        <f>IF(M$4="","",Data!I$22/M19)</f>
        <v>0.65580755908279886</v>
      </c>
      <c r="N115" s="295">
        <f>IF(N$4="","",Data!J$22/N19)</f>
        <v>0.78592484792628292</v>
      </c>
      <c r="O115" s="295">
        <f>IF(O$4="","",Data!K$22/O19)</f>
        <v>0.73254376654547337</v>
      </c>
      <c r="P115" s="295">
        <f>IF(P$4="","",Data!L$22/P19)</f>
        <v>0.60817403232674216</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0.23497655430253014</v>
      </c>
      <c r="E118" s="268"/>
      <c r="G118" s="23">
        <f t="shared" ref="G118:Q118" si="45">IF(G4="","",IF(valuation_method="DDM",G13/(G4+G12),G81))</f>
        <v>0.14829290723071617</v>
      </c>
      <c r="H118" s="23">
        <f t="shared" si="45"/>
        <v>0.15335641684351614</v>
      </c>
      <c r="I118" s="23">
        <f t="shared" si="45"/>
        <v>0.42219260246584472</v>
      </c>
      <c r="J118" s="23">
        <f t="shared" si="45"/>
        <v>0.44698712051517941</v>
      </c>
      <c r="K118" s="23">
        <f t="shared" si="45"/>
        <v>0.45758706467661692</v>
      </c>
      <c r="L118" s="23">
        <f t="shared" si="45"/>
        <v>0.51026430587631511</v>
      </c>
      <c r="M118" s="23">
        <f t="shared" si="45"/>
        <v>0.53927899808203239</v>
      </c>
      <c r="N118" s="23">
        <f t="shared" si="45"/>
        <v>0.54880298698888075</v>
      </c>
      <c r="O118" s="23">
        <f t="shared" si="45"/>
        <v>0.53668525597841032</v>
      </c>
      <c r="P118" s="23">
        <f t="shared" si="45"/>
        <v>0.53123855320873392</v>
      </c>
      <c r="Q118" s="23" t="str">
        <f t="shared" si="45"/>
        <v/>
      </c>
    </row>
    <row r="119" spans="1:17" ht="15.75" customHeight="1">
      <c r="B119" s="7" t="s">
        <v>83</v>
      </c>
      <c r="C119" s="42">
        <f>IF(valuation_method="DDM",(C4+C12)/C102,C4/C102)</f>
        <v>0.32112750263435197</v>
      </c>
      <c r="E119" s="268"/>
      <c r="G119" s="42">
        <f t="shared" ref="G119:Q119" si="46">IF(G4="","",IF(valuation_method="DDM",(G4+G12)/G102,G4/G102))</f>
        <v>0.31608589804149556</v>
      </c>
      <c r="H119" s="42">
        <f t="shared" si="46"/>
        <v>0.86302294197031038</v>
      </c>
      <c r="I119" s="42">
        <f t="shared" si="46"/>
        <v>0.8983236878866494</v>
      </c>
      <c r="J119" s="42">
        <f t="shared" si="46"/>
        <v>0.84640840957757446</v>
      </c>
      <c r="K119" s="42">
        <f t="shared" si="46"/>
        <v>0.77808961579405789</v>
      </c>
      <c r="L119" s="42">
        <f t="shared" si="46"/>
        <v>0.69907615032738357</v>
      </c>
      <c r="M119" s="42">
        <f t="shared" si="46"/>
        <v>0.70609059193885626</v>
      </c>
      <c r="N119" s="42">
        <f t="shared" si="46"/>
        <v>0.65132493750430709</v>
      </c>
      <c r="O119" s="42">
        <f t="shared" si="46"/>
        <v>0.62687079993427952</v>
      </c>
      <c r="P119" s="42">
        <f t="shared" si="46"/>
        <v>0.56794457130173981</v>
      </c>
      <c r="Q119" s="42" t="str">
        <f t="shared" si="46"/>
        <v/>
      </c>
    </row>
    <row r="120" spans="1:17" ht="15.75" customHeight="1">
      <c r="B120" s="7" t="s">
        <v>91</v>
      </c>
      <c r="C120" s="15">
        <f>C102/C106</f>
        <v>2.4851905363915479</v>
      </c>
      <c r="D120" s="11"/>
      <c r="E120" s="272"/>
      <c r="F120" s="11"/>
      <c r="G120" s="15">
        <f t="shared" ref="G120:Q120" si="47">IF(G$4="","",G102/G106)</f>
        <v>2.4851905363915479</v>
      </c>
      <c r="H120" s="15">
        <f t="shared" si="47"/>
        <v>-4.0444444444444443</v>
      </c>
      <c r="I120" s="15">
        <f t="shared" si="47"/>
        <v>-2.9907490301402566</v>
      </c>
      <c r="J120" s="15">
        <f t="shared" si="47"/>
        <v>-3.913904761904762</v>
      </c>
      <c r="K120" s="15">
        <f t="shared" si="47"/>
        <v>-4.5221006564551418</v>
      </c>
      <c r="L120" s="15">
        <f t="shared" si="47"/>
        <v>-15.148097826086957</v>
      </c>
      <c r="M120" s="15">
        <f t="shared" si="47"/>
        <v>-4.4981240241045146</v>
      </c>
      <c r="N120" s="15">
        <f t="shared" si="47"/>
        <v>-5.46592041074262</v>
      </c>
      <c r="O120" s="15">
        <f t="shared" si="47"/>
        <v>-10.105357853070965</v>
      </c>
      <c r="P120" s="15">
        <f t="shared" si="47"/>
        <v>-48.330912782072303</v>
      </c>
      <c r="Q120" s="15" t="str">
        <f t="shared" si="47"/>
        <v/>
      </c>
    </row>
    <row r="121" spans="1:17" ht="15.75" customHeight="1">
      <c r="A121" s="10"/>
      <c r="B121" s="70" t="s">
        <v>221</v>
      </c>
      <c r="C121" s="102">
        <f>C13/C106</f>
        <v>0.18752610102828118</v>
      </c>
      <c r="D121" s="103"/>
      <c r="E121" s="271"/>
      <c r="F121" s="103"/>
      <c r="G121" s="102">
        <f t="shared" ref="G121:Q121" si="48">IF(G$4="","",G13/G106)</f>
        <v>0.1164890735055084</v>
      </c>
      <c r="H121" s="102">
        <f t="shared" si="48"/>
        <v>-0.5352826510721248</v>
      </c>
      <c r="I121" s="102">
        <f t="shared" si="48"/>
        <v>-1.1342882721575649</v>
      </c>
      <c r="J121" s="102">
        <f t="shared" si="48"/>
        <v>-1.4807619047619047</v>
      </c>
      <c r="K121" s="102">
        <f t="shared" si="48"/>
        <v>-1.6100656455142233</v>
      </c>
      <c r="L121" s="102">
        <f t="shared" si="48"/>
        <v>-5.4035326086956523</v>
      </c>
      <c r="M121" s="102">
        <f t="shared" si="48"/>
        <v>-1.7127948876148165</v>
      </c>
      <c r="N121" s="102">
        <f t="shared" si="48"/>
        <v>-1.9537881740878837</v>
      </c>
      <c r="O121" s="102">
        <f t="shared" si="48"/>
        <v>-3.3997689437700047</v>
      </c>
      <c r="P121" s="102">
        <f t="shared" si="48"/>
        <v>-14.582115549789478</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(USD)</v>
      </c>
      <c r="C125" s="177">
        <f>C16*$C$3/Common_Shares*Exchange_Rate</f>
        <v>4.5589615473381944</v>
      </c>
      <c r="D125" s="27"/>
      <c r="E125" s="265"/>
      <c r="F125" s="27"/>
      <c r="G125" s="177">
        <f t="shared" ref="G125:Q125" si="49">IF(G$4="","",G16*$C$3/Common_Shares*Exchange_Rate)</f>
        <v>3.1890768213172067</v>
      </c>
      <c r="H125" s="177">
        <f t="shared" si="49"/>
        <v>2.6900453557592363</v>
      </c>
      <c r="I125" s="177">
        <f t="shared" si="49"/>
        <v>10.06626192950959</v>
      </c>
      <c r="J125" s="177">
        <f t="shared" si="49"/>
        <v>10.851719739204384</v>
      </c>
      <c r="K125" s="177">
        <f t="shared" si="49"/>
        <v>9.9806293111594062</v>
      </c>
      <c r="L125" s="177">
        <f t="shared" si="49"/>
        <v>10.907823868468299</v>
      </c>
      <c r="M125" s="177">
        <f t="shared" si="49"/>
        <v>8.4667981668713974</v>
      </c>
      <c r="N125" s="177">
        <f t="shared" si="49"/>
        <v>6.9717530473400737</v>
      </c>
      <c r="O125" s="177">
        <f t="shared" si="49"/>
        <v>6.9301621704620633</v>
      </c>
      <c r="P125" s="177">
        <f t="shared" si="49"/>
        <v>6.0402030378909579</v>
      </c>
      <c r="Q125" s="177" t="str">
        <f t="shared" si="49"/>
        <v/>
      </c>
    </row>
    <row r="126" spans="1:17" ht="15.75" customHeight="1">
      <c r="A126" s="10"/>
      <c r="B126" s="27" t="s">
        <v>268</v>
      </c>
      <c r="C126" s="77">
        <f>C19*Exchange_Rate*$C$3/(Market_Price*Common_Shares)</f>
        <v>0.18784349185571464</v>
      </c>
      <c r="D126" s="27"/>
      <c r="E126" s="265"/>
      <c r="F126" s="27"/>
      <c r="G126" s="77">
        <f t="shared" ref="G126" si="50">IF(G$4="","",G125/Market_Price)</f>
        <v>0.13139995143457794</v>
      </c>
      <c r="H126" s="77">
        <f t="shared" ref="H126" si="51">IF(H$4="","",H125/Market_Price)</f>
        <v>0.11083829236750047</v>
      </c>
      <c r="I126" s="77">
        <f t="shared" ref="I126" si="52">IF(I$4="","",I125/Market_Price)</f>
        <v>0.4147615133708113</v>
      </c>
      <c r="J126" s="77">
        <f t="shared" ref="J126" si="53">IF(J$4="","",J125/Market_Price)</f>
        <v>0.44712483474266107</v>
      </c>
      <c r="K126" s="77">
        <f t="shared" ref="K126" si="54">IF(K$4="","",K125/Market_Price)</f>
        <v>0.41123318134154951</v>
      </c>
      <c r="L126" s="77">
        <f t="shared" ref="L126" si="55">IF(L$4="","",L125/Market_Price)</f>
        <v>0.44943650055493611</v>
      </c>
      <c r="M126" s="77">
        <f t="shared" ref="M126" si="56">IF(M$4="","",M125/Market_Price)</f>
        <v>0.34885859772852895</v>
      </c>
      <c r="N126" s="77">
        <f t="shared" ref="N126" si="57">IF(N$4="","",N125/Market_Price)</f>
        <v>0.28725805716275543</v>
      </c>
      <c r="O126" s="77">
        <f t="shared" ref="O126" si="58">IF(O$4="","",O125/Market_Price)</f>
        <v>0.28554438279612954</v>
      </c>
      <c r="P126" s="77">
        <f t="shared" ref="P126" si="59">IF(P$4="","",P125/Market_Price)</f>
        <v>0.24887527968236334</v>
      </c>
      <c r="Q126" s="77" t="str">
        <f t="shared" ref="Q126" si="60">IF(Q$4="","",Q125/Market_Price)</f>
        <v/>
      </c>
    </row>
    <row r="127" spans="1:17" ht="15.75" customHeight="1">
      <c r="B127" s="2" t="s">
        <v>391</v>
      </c>
      <c r="C127" s="169"/>
      <c r="G127" s="23">
        <f>IF(G$4="","",(Data!C47*$C$3)/(Market_Price*Common_Shares))</f>
        <v>-0.2524582400247678</v>
      </c>
      <c r="H127" s="23">
        <f>IF(H$4="","",(Data!D47*$C$3)/(Market_Price*Common_Shares))</f>
        <v>0.15305661009694357</v>
      </c>
      <c r="I127" s="23">
        <f>IF(I$4="","",(Data!E47*$C$3)/(Market_Price*Common_Shares))</f>
        <v>0.14758161212050283</v>
      </c>
      <c r="J127" s="23">
        <f>IF(J$4="","",(Data!F47*$C$3)/(Market_Price*Common_Shares))</f>
        <v>0.15986994091206985</v>
      </c>
      <c r="K127" s="23">
        <f>IF(K$4="","",(Data!G47*$C$3)/(Market_Price*Common_Shares))</f>
        <v>1.593832744252751E-2</v>
      </c>
      <c r="L127" s="23">
        <f>IF(L$4="","",(Data!H47*$C$3)/(Market_Price*Common_Shares))</f>
        <v>0.11120329223259652</v>
      </c>
      <c r="M127" s="23">
        <f>IF(M$4="","",(Data!I47*$C$3)/(Market_Price*Common_Shares))</f>
        <v>0.1430669287891298</v>
      </c>
      <c r="N127" s="23">
        <f>IF(N$4="","",(Data!J47*$C$3)/(Market_Price*Common_Shares))</f>
        <v>7.8828777531550487E-2</v>
      </c>
      <c r="O127" s="23">
        <f>IF(O$4="","",(Data!K47*$C$3)/(Market_Price*Common_Shares))</f>
        <v>9.0755148123563917E-2</v>
      </c>
      <c r="P127" s="23">
        <f>IF(P$4="","",(Data!L47*$C$3)/(Market_Price*Common_Shares))</f>
        <v>6.2016397078739641E-2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1000000</v>
      </c>
      <c r="E3" s="109" t="s">
        <v>123</v>
      </c>
      <c r="H3" s="120"/>
    </row>
    <row r="4" spans="2:8">
      <c r="B4" s="100" t="s">
        <v>127</v>
      </c>
      <c r="C4" s="338">
        <f>Normalized_FCF!C19</f>
        <v>1543.9196817753634</v>
      </c>
      <c r="D4" t="str">
        <f>Reporting_currency</f>
        <v>USD</v>
      </c>
      <c r="E4" s="100" t="s">
        <v>249</v>
      </c>
      <c r="F4" s="134">
        <f>Terminal_Growth</f>
        <v>0</v>
      </c>
      <c r="H4" s="120"/>
    </row>
    <row r="5" spans="2:8">
      <c r="B5" s="205" t="s">
        <v>122</v>
      </c>
      <c r="C5" s="206">
        <f>Equity_Cost</f>
        <v>7.4999999999999997E-2</v>
      </c>
      <c r="E5" s="148"/>
      <c r="H5" s="120"/>
    </row>
    <row r="6" spans="2:8" ht="13.35" customHeight="1">
      <c r="B6" s="149" t="s">
        <v>227</v>
      </c>
      <c r="C6" s="347">
        <f>(C4*(1+Terminal_Growth))/(Equity_Cost-Terminal_Growth)</f>
        <v>20585.595757004845</v>
      </c>
      <c r="D6" t="str">
        <f>Reporting_currency</f>
        <v>USD</v>
      </c>
      <c r="E6" s="369" t="s">
        <v>248</v>
      </c>
      <c r="F6" s="369"/>
      <c r="H6" s="120"/>
    </row>
    <row r="7" spans="2:8">
      <c r="B7" s="148" t="s">
        <v>223</v>
      </c>
      <c r="C7" s="338">
        <f>BS!G31</f>
        <v>10547</v>
      </c>
      <c r="D7" t="str">
        <f>Reporting_currency</f>
        <v>USD</v>
      </c>
      <c r="E7" s="369"/>
      <c r="F7" s="369"/>
      <c r="H7" s="120"/>
    </row>
    <row r="8" spans="2:8">
      <c r="B8" s="148" t="s">
        <v>224</v>
      </c>
      <c r="C8" s="338">
        <f>BS!D66</f>
        <v>-372.31656312939253</v>
      </c>
      <c r="D8" t="str">
        <f>Reporting_currency</f>
        <v>USD</v>
      </c>
      <c r="E8" s="369"/>
      <c r="F8" s="369"/>
      <c r="H8" s="120"/>
    </row>
    <row r="9" spans="2:8">
      <c r="B9" s="205" t="s">
        <v>189</v>
      </c>
      <c r="C9" s="348">
        <f>BS!H42</f>
        <v>625.79999999999995</v>
      </c>
      <c r="D9" t="str">
        <f>Reporting_currency</f>
        <v>USD</v>
      </c>
      <c r="E9" s="369"/>
      <c r="F9" s="369"/>
      <c r="H9" s="120"/>
    </row>
    <row r="10" spans="2:8" ht="13.15">
      <c r="B10" s="149" t="s">
        <v>226</v>
      </c>
      <c r="C10" s="347">
        <f>C6-C7+C8+C9</f>
        <v>10292.079193875452</v>
      </c>
      <c r="D10" t="str">
        <f>Reporting_currency</f>
        <v>USD</v>
      </c>
      <c r="H10" s="120"/>
    </row>
    <row r="11" spans="2:8" ht="13.15" thickBot="1">
      <c r="B11" s="207" t="s">
        <v>165</v>
      </c>
      <c r="C11" s="208">
        <f>Exchange_Rate</f>
        <v>1</v>
      </c>
      <c r="D11" t="str">
        <f>Thesis!C15</f>
        <v>USD</v>
      </c>
      <c r="H11" s="120"/>
    </row>
    <row r="12" spans="2:8" ht="13.5" thickTop="1">
      <c r="B12" s="149" t="s">
        <v>102</v>
      </c>
      <c r="C12" s="111">
        <f>(C10*scaling_factor)/Common_Shares*Exchange_Rate</f>
        <v>30.39095481513823</v>
      </c>
      <c r="D12" t="str">
        <f>Market_currency</f>
        <v>USD</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1.49597842339395E-2</v>
      </c>
      <c r="H16" s="120"/>
    </row>
    <row r="17" spans="2:17" ht="13.35" customHeight="1">
      <c r="B17" s="118" t="s">
        <v>133</v>
      </c>
      <c r="C17" s="162">
        <f>Scenarios!C64</f>
        <v>10</v>
      </c>
      <c r="H17" s="120"/>
    </row>
    <row r="18" spans="2:17" ht="13.35" customHeight="1">
      <c r="B18" s="153" t="s">
        <v>106</v>
      </c>
      <c r="C18" s="140">
        <f>(F52-C7+C8+C9)*Exchange_Rate/Common_Shares*scaling_factor</f>
        <v>33.228136210024012</v>
      </c>
      <c r="D18" t="str">
        <f>Market_currency</f>
        <v>USD</v>
      </c>
      <c r="H18" s="120"/>
    </row>
    <row r="19" spans="2:17">
      <c r="H19" s="120"/>
    </row>
    <row r="20" spans="2:17" ht="13.15">
      <c r="B20" s="128" t="s">
        <v>107</v>
      </c>
      <c r="C20" s="128" t="s">
        <v>108</v>
      </c>
      <c r="D20" s="128" t="s">
        <v>117</v>
      </c>
      <c r="E20" s="128" t="s">
        <v>109</v>
      </c>
      <c r="F20" s="129" t="s">
        <v>110</v>
      </c>
      <c r="H20" s="120"/>
    </row>
    <row r="21" spans="2:17">
      <c r="B21" s="122">
        <v>1</v>
      </c>
      <c r="C21" s="123">
        <f>C4*(1+D21)</f>
        <v>1567.0163870892554</v>
      </c>
      <c r="D21" s="138">
        <f>IF($C$17&lt;B21,0,DCF!$C$16)</f>
        <v>1.49597842339395E-2</v>
      </c>
      <c r="E21" s="124">
        <f t="shared" ref="E21:E50" si="0">IF($C$17&lt;B21,0,1/(1+Equity_Cost)^B21)</f>
        <v>0.93023255813953487</v>
      </c>
      <c r="F21" s="125">
        <f t="shared" ref="F21:F51" si="1">C21*E21</f>
        <v>1457.6896624086096</v>
      </c>
      <c r="H21" s="120"/>
    </row>
    <row r="22" spans="2:17">
      <c r="B22" s="122">
        <v>2</v>
      </c>
      <c r="C22" s="123">
        <f t="shared" ref="C22:C50" si="2">IF(ROW()-ROW($C$21)&lt;$C$17, $C$21*(1+D22)^(ROW()-ROW($C$21)), 0)</f>
        <v>1590.4586141311581</v>
      </c>
      <c r="D22" s="138">
        <f>IF($C$17&lt;B22,0,DCF!$C$16)</f>
        <v>1.49597842339395E-2</v>
      </c>
      <c r="E22" s="124">
        <f t="shared" si="0"/>
        <v>0.86533261222282321</v>
      </c>
      <c r="F22" s="125">
        <f t="shared" si="1"/>
        <v>1376.2757071984063</v>
      </c>
      <c r="H22" s="120"/>
    </row>
    <row r="23" spans="2:17">
      <c r="B23" s="122">
        <v>3</v>
      </c>
      <c r="C23" s="123">
        <f t="shared" si="2"/>
        <v>1614.2515318315707</v>
      </c>
      <c r="D23" s="138">
        <f>IF($C$17&lt;B23,0,DCF!$C$16)</f>
        <v>1.49597842339395E-2</v>
      </c>
      <c r="E23" s="124">
        <f t="shared" si="0"/>
        <v>0.80496056950960304</v>
      </c>
      <c r="F23" s="125">
        <f t="shared" si="1"/>
        <v>1299.4088323948902</v>
      </c>
      <c r="G23" s="338"/>
      <c r="H23" s="339"/>
      <c r="I23" s="338"/>
      <c r="J23" s="338"/>
      <c r="K23" s="338"/>
      <c r="L23" s="338"/>
      <c r="M23" s="338"/>
      <c r="N23" s="338"/>
      <c r="O23" s="338"/>
      <c r="P23" s="338"/>
      <c r="Q23" s="338"/>
    </row>
    <row r="24" spans="2:17">
      <c r="B24" s="122">
        <v>4</v>
      </c>
      <c r="C24" s="123">
        <f t="shared" si="2"/>
        <v>1638.4003864470774</v>
      </c>
      <c r="D24" s="138">
        <f>IF($C$17&lt;B24,0,DCF!$C$16)</f>
        <v>1.49597842339395E-2</v>
      </c>
      <c r="E24" s="124">
        <f t="shared" si="0"/>
        <v>0.7488005297763749</v>
      </c>
      <c r="F24" s="125">
        <f t="shared" si="1"/>
        <v>1226.8350773573889</v>
      </c>
      <c r="G24" s="338"/>
      <c r="H24" s="339"/>
      <c r="I24" s="338"/>
      <c r="J24" s="338"/>
      <c r="K24" s="338"/>
      <c r="L24" s="338"/>
      <c r="M24" s="338"/>
      <c r="N24" s="338"/>
      <c r="O24" s="338"/>
      <c r="P24" s="338"/>
      <c r="Q24" s="338"/>
    </row>
    <row r="25" spans="2:17">
      <c r="B25" s="122">
        <v>5</v>
      </c>
      <c r="C25" s="123">
        <f t="shared" si="2"/>
        <v>1662.9105027171286</v>
      </c>
      <c r="D25" s="138">
        <f>IF($C$17&lt;B25,0,DCF!$C$16)</f>
        <v>1.49597842339395E-2</v>
      </c>
      <c r="E25" s="124">
        <f t="shared" si="0"/>
        <v>0.69655863235011617</v>
      </c>
      <c r="F25" s="125">
        <f t="shared" si="1"/>
        <v>1158.3146654932873</v>
      </c>
      <c r="G25" s="338"/>
      <c r="H25" s="339"/>
      <c r="I25" s="338"/>
      <c r="J25" s="338"/>
      <c r="K25" s="338"/>
      <c r="L25" s="338"/>
      <c r="M25" s="338"/>
      <c r="N25" s="338"/>
      <c r="O25" s="338"/>
      <c r="P25" s="338"/>
      <c r="Q25" s="338"/>
    </row>
    <row r="26" spans="2:17">
      <c r="B26" s="122">
        <v>6</v>
      </c>
      <c r="C26" s="123">
        <f t="shared" si="2"/>
        <v>1687.7872850381286</v>
      </c>
      <c r="D26" s="138">
        <f>IF($C$17&lt;B26,0,DCF!$C$16)</f>
        <v>1.49597842339395E-2</v>
      </c>
      <c r="E26" s="124">
        <f t="shared" si="0"/>
        <v>0.64796151846522443</v>
      </c>
      <c r="F26" s="125">
        <f t="shared" si="1"/>
        <v>1093.6212120596044</v>
      </c>
      <c r="H26" s="120"/>
    </row>
    <row r="27" spans="2:17">
      <c r="B27" s="122">
        <v>7</v>
      </c>
      <c r="C27" s="123">
        <f t="shared" si="2"/>
        <v>1713.0362186550856</v>
      </c>
      <c r="D27" s="138">
        <f>IF($C$17&lt;B27,0,DCF!$C$16)</f>
        <v>1.49597842339395E-2</v>
      </c>
      <c r="E27" s="124">
        <f t="shared" si="0"/>
        <v>0.60275490089788319</v>
      </c>
      <c r="F27" s="125">
        <f t="shared" si="1"/>
        <v>1032.5409762099307</v>
      </c>
      <c r="H27" s="120"/>
    </row>
    <row r="28" spans="2:17">
      <c r="B28" s="122">
        <v>8</v>
      </c>
      <c r="C28" s="123">
        <f t="shared" si="2"/>
        <v>1738.6628708710896</v>
      </c>
      <c r="D28" s="138">
        <f>IF($C$17&lt;B28,0,DCF!$C$16)</f>
        <v>1.49597842339395E-2</v>
      </c>
      <c r="E28" s="124">
        <f t="shared" si="0"/>
        <v>0.56070223339337966</v>
      </c>
      <c r="F28" s="125">
        <f t="shared" si="1"/>
        <v>974.87215481556518</v>
      </c>
      <c r="H28" s="120"/>
    </row>
    <row r="29" spans="2:17">
      <c r="B29" s="122">
        <v>9</v>
      </c>
      <c r="C29" s="123">
        <f t="shared" si="2"/>
        <v>1764.6728922748828</v>
      </c>
      <c r="D29" s="138">
        <f>IF($C$17&lt;B29,0,DCF!$C$16)</f>
        <v>1.49597842339395E-2</v>
      </c>
      <c r="E29" s="124">
        <f t="shared" si="0"/>
        <v>0.52158347292407414</v>
      </c>
      <c r="F29" s="125">
        <f t="shared" si="1"/>
        <v>920.42421572770388</v>
      </c>
      <c r="H29" s="120"/>
    </row>
    <row r="30" spans="2:17">
      <c r="B30" s="122">
        <v>10</v>
      </c>
      <c r="C30" s="123">
        <f t="shared" si="2"/>
        <v>1791.0720179867972</v>
      </c>
      <c r="D30" s="138">
        <f>IF($C$17&lt;B30,0,DCF!$C$16)</f>
        <v>1.49597842339395E-2</v>
      </c>
      <c r="E30" s="124">
        <f t="shared" si="0"/>
        <v>0.48519392830146441</v>
      </c>
      <c r="F30" s="125">
        <f t="shared" si="1"/>
        <v>869.01726827784523</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20893.55182785674</v>
      </c>
      <c r="D51" s="139">
        <f>Terminal_Growth</f>
        <v>0</v>
      </c>
      <c r="E51" s="124">
        <f>1/(1+Equity_Cost)^C17</f>
        <v>0.48519392830146441</v>
      </c>
      <c r="F51" s="125">
        <f t="shared" si="1"/>
        <v>10137.424487528053</v>
      </c>
      <c r="H51" s="120"/>
    </row>
    <row r="52" spans="1:17">
      <c r="C52" s="114"/>
      <c r="E52" s="127" t="s">
        <v>100</v>
      </c>
      <c r="F52" s="137">
        <f>SUM(F21:F51)</f>
        <v>21546.424259471285</v>
      </c>
      <c r="H52" s="120"/>
    </row>
    <row r="53" spans="1:17">
      <c r="C53" s="114"/>
      <c r="H53" s="120"/>
    </row>
    <row r="54" spans="1:17" ht="13.15">
      <c r="B54" s="119" t="s">
        <v>128</v>
      </c>
      <c r="C54" s="136"/>
      <c r="D54" s="136"/>
      <c r="E54" s="117"/>
      <c r="F54" s="117"/>
      <c r="H54" s="120"/>
    </row>
    <row r="55" spans="1:17" ht="13.15">
      <c r="A55" s="133">
        <f>F52</f>
        <v>21546.424259471285</v>
      </c>
      <c r="B55" s="131">
        <f>C78</f>
        <v>-0.05</v>
      </c>
      <c r="C55" s="131">
        <f>C77</f>
        <v>-0.01</v>
      </c>
      <c r="D55" s="131">
        <f>C76</f>
        <v>1.4999999999999999E-2</v>
      </c>
      <c r="E55" s="131">
        <f>C75</f>
        <v>3.5000000000000003E-2</v>
      </c>
      <c r="F55" s="131">
        <f>C74</f>
        <v>5.5E-2</v>
      </c>
      <c r="H55" s="120"/>
    </row>
    <row r="56" spans="1:17" ht="13.15">
      <c r="A56" s="143">
        <v>5</v>
      </c>
      <c r="B56" s="123">
        <f t="dataTable" ref="B56:F61" dt2D="1" dtr="1" r1="C16" r2="C17"/>
        <v>19031.587888731501</v>
      </c>
      <c r="C56" s="123">
        <v>20266.082975871774</v>
      </c>
      <c r="D56" s="123">
        <v>21073.429731022359</v>
      </c>
      <c r="E56" s="123">
        <v>21740.394521675335</v>
      </c>
      <c r="F56" s="123">
        <v>22427.000625887511</v>
      </c>
      <c r="H56" s="120"/>
    </row>
    <row r="57" spans="1:17" ht="13.15">
      <c r="A57" s="143">
        <v>10</v>
      </c>
      <c r="B57" s="123">
        <v>17813.688084504152</v>
      </c>
      <c r="C57" s="123">
        <v>19979.681198943603</v>
      </c>
      <c r="D57" s="123">
        <v>21549.099355808394</v>
      </c>
      <c r="E57" s="123">
        <v>22944.90854943305</v>
      </c>
      <c r="F57" s="123">
        <v>24481.697611840682</v>
      </c>
      <c r="H57" s="120"/>
    </row>
    <row r="58" spans="1:17" ht="13.15">
      <c r="A58" s="143">
        <v>15</v>
      </c>
      <c r="B58" s="123">
        <v>16505.921872174516</v>
      </c>
      <c r="C58" s="341">
        <v>19642.910127301682</v>
      </c>
      <c r="D58" s="123">
        <v>22143.781608213849</v>
      </c>
      <c r="E58" s="123">
        <v>24530.138787807649</v>
      </c>
      <c r="F58" s="123">
        <v>27333.73532083226</v>
      </c>
      <c r="G58" s="338"/>
      <c r="H58" s="339"/>
      <c r="I58" s="338"/>
      <c r="J58" s="338"/>
      <c r="K58" s="338"/>
      <c r="L58" s="338"/>
      <c r="M58" s="338"/>
      <c r="N58" s="338"/>
      <c r="O58" s="338"/>
      <c r="P58" s="338"/>
      <c r="Q58" s="338"/>
    </row>
    <row r="59" spans="1:17" ht="13.15">
      <c r="A59" s="144">
        <v>20</v>
      </c>
      <c r="B59" s="123">
        <v>15347.362003280659</v>
      </c>
      <c r="C59" s="341">
        <v>19317.395287097537</v>
      </c>
      <c r="D59" s="123">
        <v>22755.62861090753</v>
      </c>
      <c r="E59" s="123">
        <v>26251.683643453507</v>
      </c>
      <c r="F59" s="123">
        <v>30613.825499722654</v>
      </c>
      <c r="G59" s="338"/>
      <c r="H59" s="339"/>
      <c r="I59" s="338"/>
      <c r="J59" s="338"/>
      <c r="K59" s="338"/>
      <c r="L59" s="338"/>
      <c r="M59" s="338"/>
      <c r="N59" s="338"/>
      <c r="O59" s="338"/>
      <c r="P59" s="338"/>
      <c r="Q59" s="338"/>
    </row>
    <row r="60" spans="1:17" ht="13.15">
      <c r="A60" s="144">
        <v>25</v>
      </c>
      <c r="B60" s="123">
        <v>14406.891789847168</v>
      </c>
      <c r="C60" s="341">
        <v>19030.418556472443</v>
      </c>
      <c r="D60" s="123">
        <v>23330.105243206235</v>
      </c>
      <c r="E60" s="123">
        <v>27961.560939178646</v>
      </c>
      <c r="F60" s="123">
        <v>34076.150355479913</v>
      </c>
      <c r="G60" s="338"/>
      <c r="H60" s="339"/>
      <c r="I60" s="338"/>
      <c r="J60" s="338"/>
      <c r="K60" s="338"/>
      <c r="L60" s="338"/>
      <c r="M60" s="338"/>
      <c r="N60" s="338"/>
      <c r="O60" s="338"/>
      <c r="P60" s="338"/>
      <c r="Q60" s="338"/>
    </row>
    <row r="61" spans="1:17" ht="13.15">
      <c r="A61" s="144">
        <v>30</v>
      </c>
      <c r="B61" s="123">
        <v>13679.863491555012</v>
      </c>
      <c r="C61" s="341">
        <v>18790.620516452815</v>
      </c>
      <c r="D61" s="123">
        <v>23841.53694236459</v>
      </c>
      <c r="E61" s="123">
        <v>29575.106189105543</v>
      </c>
      <c r="F61" s="123">
        <v>37559.873600067469</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-0.05</v>
      </c>
      <c r="C64" s="132">
        <f>C55</f>
        <v>-0.01</v>
      </c>
      <c r="D64" s="132">
        <f>D55</f>
        <v>1.4999999999999999E-2</v>
      </c>
      <c r="E64" s="132">
        <f>E55</f>
        <v>3.5000000000000003E-2</v>
      </c>
      <c r="F64" s="132">
        <f>F55</f>
        <v>5.5E-2</v>
      </c>
      <c r="H64" s="120"/>
    </row>
    <row r="65" spans="1:8" ht="13.15">
      <c r="A65" s="143">
        <v>0</v>
      </c>
      <c r="B65" s="124">
        <f>C12</f>
        <v>30.39095481513823</v>
      </c>
      <c r="C65" s="124">
        <f>C12</f>
        <v>30.39095481513823</v>
      </c>
      <c r="D65" s="124">
        <f>C12</f>
        <v>30.39095481513823</v>
      </c>
      <c r="E65" s="141">
        <f>C12</f>
        <v>30.39095481513823</v>
      </c>
      <c r="F65" s="124">
        <f>C12</f>
        <v>30.39095481513823</v>
      </c>
      <c r="H65" s="120"/>
    </row>
    <row r="66" spans="1:8" ht="13.15">
      <c r="A66" s="143">
        <f t="shared" ref="A66:A71" si="3">A56</f>
        <v>5</v>
      </c>
      <c r="B66" s="124">
        <f t="shared" ref="B66:F71" si="4">(B56-$C$7+$C$8+$C$9)/Common_Shares*$C$3*Exchange_Rate</f>
        <v>25.802204377309447</v>
      </c>
      <c r="C66" s="124">
        <f t="shared" si="4"/>
        <v>29.447481848077047</v>
      </c>
      <c r="D66" s="124">
        <f t="shared" si="4"/>
        <v>31.831454832907035</v>
      </c>
      <c r="E66" s="124">
        <f t="shared" si="4"/>
        <v>33.800901087079346</v>
      </c>
      <c r="F66" s="124">
        <f t="shared" si="4"/>
        <v>35.828345172558933</v>
      </c>
      <c r="H66" s="120"/>
    </row>
    <row r="67" spans="1:8" ht="13.15">
      <c r="A67" s="143">
        <f t="shared" si="3"/>
        <v>10</v>
      </c>
      <c r="B67" s="124">
        <f t="shared" si="4"/>
        <v>22.205930269579632</v>
      </c>
      <c r="C67" s="124">
        <f t="shared" si="4"/>
        <v>28.601780673645852</v>
      </c>
      <c r="D67" s="124">
        <f t="shared" si="4"/>
        <v>33.236035365323517</v>
      </c>
      <c r="E67" s="124">
        <f t="shared" si="4"/>
        <v>37.357649019369674</v>
      </c>
      <c r="F67" s="124">
        <f t="shared" si="4"/>
        <v>41.895554925090032</v>
      </c>
      <c r="H67" s="120"/>
    </row>
    <row r="68" spans="1:8" ht="13.15">
      <c r="A68" s="143">
        <f t="shared" si="3"/>
        <v>15</v>
      </c>
      <c r="B68" s="124">
        <f t="shared" si="4"/>
        <v>18.344294236762746</v>
      </c>
      <c r="C68" s="124">
        <f t="shared" si="4"/>
        <v>27.607346582290845</v>
      </c>
      <c r="D68" s="124">
        <f t="shared" si="4"/>
        <v>34.992042205318839</v>
      </c>
      <c r="E68" s="124">
        <f t="shared" si="4"/>
        <v>42.0385943986767</v>
      </c>
      <c r="F68" s="124">
        <f t="shared" si="4"/>
        <v>50.317191361448984</v>
      </c>
      <c r="H68" s="120"/>
    </row>
    <row r="69" spans="1:8" ht="13.15">
      <c r="A69" s="144">
        <f t="shared" si="3"/>
        <v>20</v>
      </c>
      <c r="B69" s="124">
        <f t="shared" si="4"/>
        <v>14.923241992320429</v>
      </c>
      <c r="C69" s="124">
        <f t="shared" si="4"/>
        <v>26.646150441652132</v>
      </c>
      <c r="D69" s="124">
        <f t="shared" si="4"/>
        <v>36.798733959469601</v>
      </c>
      <c r="E69" s="124">
        <f t="shared" si="4"/>
        <v>47.122056246823071</v>
      </c>
      <c r="F69" s="124">
        <f t="shared" si="4"/>
        <v>60.002802066383765</v>
      </c>
      <c r="H69" s="120"/>
    </row>
    <row r="70" spans="1:8" ht="13.15">
      <c r="A70" s="144">
        <f t="shared" si="3"/>
        <v>25</v>
      </c>
      <c r="B70" s="124">
        <f t="shared" si="4"/>
        <v>12.146175548987102</v>
      </c>
      <c r="C70" s="124">
        <f t="shared" si="4"/>
        <v>25.798751515824463</v>
      </c>
      <c r="D70" s="124">
        <f t="shared" si="4"/>
        <v>38.495076656184573</v>
      </c>
      <c r="E70" s="124">
        <f t="shared" si="4"/>
        <v>52.171065553391209</v>
      </c>
      <c r="F70" s="124">
        <f t="shared" si="4"/>
        <v>70.226524238018868</v>
      </c>
    </row>
    <row r="71" spans="1:8" ht="13.15">
      <c r="A71" s="144">
        <f t="shared" si="3"/>
        <v>30</v>
      </c>
      <c r="B71" s="124">
        <f t="shared" si="4"/>
        <v>9.999370831834133</v>
      </c>
      <c r="C71" s="124">
        <f t="shared" si="4"/>
        <v>25.090664135061601</v>
      </c>
      <c r="D71" s="124">
        <f t="shared" si="4"/>
        <v>40.005257190881593</v>
      </c>
      <c r="E71" s="124">
        <f t="shared" si="4"/>
        <v>56.935620883658196</v>
      </c>
      <c r="F71" s="124">
        <f t="shared" si="4"/>
        <v>80.513432618757903</v>
      </c>
    </row>
    <row r="73" spans="1:8" ht="13.15">
      <c r="B73" s="171" t="s">
        <v>116</v>
      </c>
      <c r="C73" s="171" t="s">
        <v>131</v>
      </c>
      <c r="D73" s="171" t="s">
        <v>111</v>
      </c>
      <c r="E73" s="172" t="s">
        <v>112</v>
      </c>
      <c r="F73" s="172" t="s">
        <v>118</v>
      </c>
    </row>
    <row r="74" spans="1:8">
      <c r="B74" s="127" t="str">
        <f>Scenarios!B54</f>
        <v>Snowball Scenario</v>
      </c>
      <c r="C74" s="142">
        <f>Scenarios!C56</f>
        <v>5.5E-2</v>
      </c>
      <c r="D74" s="145">
        <f>Scenarios!C55</f>
        <v>15</v>
      </c>
      <c r="E74" s="135">
        <f>INDEX(B$65:F$71, MATCH(D74, A$65:A$71, 0), MATCH(C74, B$64:F$64, 0))</f>
        <v>50.317191361448984</v>
      </c>
      <c r="F74" s="142">
        <f>Scenarios!C58</f>
        <v>0.05</v>
      </c>
    </row>
    <row r="75" spans="1:8">
      <c r="B75" s="127" t="str">
        <f>Scenarios!B36</f>
        <v>Optimistic</v>
      </c>
      <c r="C75" s="142">
        <f>Scenarios!C38</f>
        <v>3.5000000000000003E-2</v>
      </c>
      <c r="D75" s="145">
        <f>Scenarios!C37</f>
        <v>10</v>
      </c>
      <c r="E75" s="135">
        <f>INDEX(B$65:F$71, MATCH(D75, A$65:A$71, 0), MATCH(C75, B$64:F$64, 0))</f>
        <v>37.357649019369674</v>
      </c>
      <c r="F75" s="142">
        <f>Scenarios!C40*(1-F$74-F$78)</f>
        <v>0.22499999999999998</v>
      </c>
      <c r="H75" s="120"/>
    </row>
    <row r="76" spans="1:8">
      <c r="B76" s="127" t="str">
        <f>Scenarios!B24</f>
        <v>Base</v>
      </c>
      <c r="C76" s="142">
        <f>Scenarios!C26</f>
        <v>1.4999999999999999E-2</v>
      </c>
      <c r="D76" s="145">
        <f>Scenarios!C25</f>
        <v>10</v>
      </c>
      <c r="E76" s="135">
        <f>INDEX(B$65:F$71, MATCH(D76, A$65:A$71, 0), MATCH(C76, B$64:F$64, 0))</f>
        <v>33.236035365323517</v>
      </c>
      <c r="F76" s="142">
        <f>Scenarios!C28*(1-F$74-F$78)</f>
        <v>0.44999999999999996</v>
      </c>
      <c r="H76" s="120"/>
    </row>
    <row r="77" spans="1:8">
      <c r="B77" s="127" t="str">
        <f>Scenarios!B30</f>
        <v>Pessimistic</v>
      </c>
      <c r="C77" s="142">
        <f>Scenarios!C32</f>
        <v>-0.01</v>
      </c>
      <c r="D77" s="145">
        <f>Scenarios!C31</f>
        <v>10</v>
      </c>
      <c r="E77" s="135">
        <f>INDEX(B$65:F$71, MATCH(D77, A$65:A$71, 0), MATCH(C77, B$64:F$64, 0))</f>
        <v>28.601780673645852</v>
      </c>
      <c r="F77" s="142">
        <f>Scenarios!C34*(1-F$74-F$78)</f>
        <v>0.22499999999999998</v>
      </c>
      <c r="H77" s="120"/>
    </row>
    <row r="78" spans="1:8">
      <c r="B78" s="127" t="str">
        <f>Scenarios!B48</f>
        <v>Devil's advocate</v>
      </c>
      <c r="C78" s="142">
        <f>Scenarios!C50</f>
        <v>-0.05</v>
      </c>
      <c r="D78" s="145">
        <f>Scenarios!C49</f>
        <v>15</v>
      </c>
      <c r="E78" s="135">
        <f>INDEX(B$65:F$71, MATCH(D78, A$65:A$71, 0), MATCH(C78, B$64:F$64, 0))</f>
        <v>18.344294236762746</v>
      </c>
      <c r="F78" s="142">
        <f>Scenarios!C52</f>
        <v>0.05</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439</v>
      </c>
      <c r="C2" s="37"/>
      <c r="D2" s="37"/>
      <c r="E2" s="37"/>
      <c r="F2" s="37"/>
      <c r="H2" s="130" t="s">
        <v>59</v>
      </c>
    </row>
    <row r="3" spans="2:8" ht="13.15">
      <c r="B3" s="109" t="s">
        <v>438</v>
      </c>
      <c r="C3" s="107">
        <f>scaling_factor</f>
        <v>1000000</v>
      </c>
      <c r="E3" s="109" t="s">
        <v>123</v>
      </c>
      <c r="H3" s="120"/>
    </row>
    <row r="4" spans="2:8">
      <c r="B4" s="100" t="s">
        <v>436</v>
      </c>
      <c r="C4" s="114">
        <f>Normalized_FCF!C91*(1-dividend_tax_rate)</f>
        <v>140.71834111999999</v>
      </c>
      <c r="D4" t="str">
        <f>Market_currency</f>
        <v>USD</v>
      </c>
      <c r="E4" s="100" t="s">
        <v>249</v>
      </c>
      <c r="F4" s="134">
        <f>Thesis!E22</f>
        <v>0</v>
      </c>
      <c r="H4" s="120"/>
    </row>
    <row r="5" spans="2:8">
      <c r="B5" s="205" t="s">
        <v>122</v>
      </c>
      <c r="C5" s="206">
        <f>Equity_Cost</f>
        <v>7.4999999999999997E-2</v>
      </c>
      <c r="E5" s="148"/>
      <c r="H5" s="120"/>
    </row>
    <row r="6" spans="2:8" ht="13.35" customHeight="1">
      <c r="B6" s="149" t="s">
        <v>437</v>
      </c>
      <c r="C6" s="319">
        <f>(C4*(1+Terminal_Growth))/(Equity_Cost-Terminal_Growth)</f>
        <v>1876.2445482666667</v>
      </c>
      <c r="D6" t="str">
        <f>Reporting_currency</f>
        <v>USD</v>
      </c>
      <c r="E6" s="369"/>
      <c r="F6" s="369"/>
      <c r="H6" s="120"/>
    </row>
    <row r="7" spans="2:8" ht="13.15">
      <c r="B7" s="149" t="s">
        <v>440</v>
      </c>
      <c r="C7" s="111">
        <f>(C6*scaling_factor)/Common_Shares*Exchange_Rate</f>
        <v>5.5402666666666667</v>
      </c>
      <c r="D7" t="str">
        <f>Market_currency</f>
        <v>USD</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1.49597842339395E-2</v>
      </c>
      <c r="H11" s="120"/>
    </row>
    <row r="12" spans="2:8" ht="13.35" customHeight="1">
      <c r="B12" s="118" t="s">
        <v>133</v>
      </c>
      <c r="C12" s="162">
        <f>Scenarios!C64</f>
        <v>10</v>
      </c>
      <c r="H12" s="120"/>
    </row>
    <row r="13" spans="2:8" ht="13.35" customHeight="1">
      <c r="B13" s="153" t="s">
        <v>106</v>
      </c>
      <c r="C13" s="140">
        <f>F47/Common_Shares*scaling_factor</f>
        <v>5.7988574884934616</v>
      </c>
      <c r="D13" t="str">
        <f>Market_currency</f>
        <v>USD</v>
      </c>
      <c r="H13" s="120"/>
    </row>
    <row r="14" spans="2:8">
      <c r="H14" s="120"/>
    </row>
    <row r="15" spans="2:8" ht="13.15">
      <c r="B15" s="128" t="s">
        <v>107</v>
      </c>
      <c r="C15" s="128" t="s">
        <v>442</v>
      </c>
      <c r="D15" s="128" t="s">
        <v>117</v>
      </c>
      <c r="E15" s="128" t="s">
        <v>109</v>
      </c>
      <c r="F15" s="129" t="s">
        <v>441</v>
      </c>
      <c r="H15" s="120"/>
    </row>
    <row r="16" spans="2:8">
      <c r="B16" s="122">
        <v>1</v>
      </c>
      <c r="C16" s="123">
        <f>C4*(1+D16)</f>
        <v>142.82345714091309</v>
      </c>
      <c r="D16" s="138">
        <f>IF($C$12&lt;B16,0,DDM!$C$11)</f>
        <v>1.49597842339395E-2</v>
      </c>
      <c r="E16" s="124">
        <f t="shared" ref="E16:E45" si="0">IF($C$12&lt;B16,0,1/(1+Equity_Cost)^B16)</f>
        <v>0.93023255813953487</v>
      </c>
      <c r="F16" s="125">
        <f t="shared" ref="F16:F46" si="1">C16*E16</f>
        <v>132.8590298985238</v>
      </c>
      <c r="H16" s="120"/>
    </row>
    <row r="17" spans="2:8">
      <c r="B17" s="122">
        <v>2</v>
      </c>
      <c r="C17" s="123">
        <f t="shared" ref="C17:C45" si="2">IF(ROW()-ROW($C$16)&lt;$C$12, $C$16*(1+D17)^(ROW()-ROW($C$16)), 0)</f>
        <v>144.96006524328646</v>
      </c>
      <c r="D17" s="138">
        <f>IF($C$12&lt;B17,0,DDM!$C$11)</f>
        <v>1.49597842339395E-2</v>
      </c>
      <c r="E17" s="124">
        <f t="shared" si="0"/>
        <v>0.86533261222282321</v>
      </c>
      <c r="F17" s="125">
        <f t="shared" si="1"/>
        <v>125.43867192496396</v>
      </c>
      <c r="H17" s="120"/>
    </row>
    <row r="18" spans="2:8">
      <c r="B18" s="122">
        <v>3</v>
      </c>
      <c r="C18" s="123">
        <f t="shared" si="2"/>
        <v>147.12863654186381</v>
      </c>
      <c r="D18" s="138">
        <f>IF($C$12&lt;B18,0,DDM!$C$11)</f>
        <v>1.49597842339395E-2</v>
      </c>
      <c r="E18" s="124">
        <f t="shared" si="0"/>
        <v>0.80496056950960304</v>
      </c>
      <c r="F18" s="125">
        <f t="shared" si="1"/>
        <v>118.43275106191008</v>
      </c>
      <c r="H18" s="120"/>
    </row>
    <row r="19" spans="2:8">
      <c r="B19" s="122">
        <v>4</v>
      </c>
      <c r="C19" s="123">
        <f t="shared" si="2"/>
        <v>149.32964919916381</v>
      </c>
      <c r="D19" s="138">
        <f>IF($C$12&lt;B19,0,DDM!$C$11)</f>
        <v>1.49597842339395E-2</v>
      </c>
      <c r="E19" s="124">
        <f t="shared" si="0"/>
        <v>0.7488005297763749</v>
      </c>
      <c r="F19" s="125">
        <f t="shared" si="1"/>
        <v>111.81812043165408</v>
      </c>
      <c r="H19" s="120"/>
    </row>
    <row r="20" spans="2:8">
      <c r="B20" s="122">
        <v>5</v>
      </c>
      <c r="C20" s="123">
        <f t="shared" si="2"/>
        <v>151.56358853091317</v>
      </c>
      <c r="D20" s="138">
        <f>IF($C$12&lt;B20,0,DDM!$C$11)</f>
        <v>1.49597842339395E-2</v>
      </c>
      <c r="E20" s="124">
        <f t="shared" si="0"/>
        <v>0.69655863235011617</v>
      </c>
      <c r="F20" s="125">
        <f t="shared" si="1"/>
        <v>105.57292594116862</v>
      </c>
      <c r="H20" s="120"/>
    </row>
    <row r="21" spans="2:8">
      <c r="B21" s="122">
        <v>6</v>
      </c>
      <c r="C21" s="123">
        <f t="shared" si="2"/>
        <v>153.83094711305722</v>
      </c>
      <c r="D21" s="138">
        <f>IF($C$12&lt;B21,0,DDM!$C$11)</f>
        <v>1.49597842339395E-2</v>
      </c>
      <c r="E21" s="124">
        <f t="shared" si="0"/>
        <v>0.64796151846522443</v>
      </c>
      <c r="F21" s="125">
        <f t="shared" si="1"/>
        <v>99.676534078320188</v>
      </c>
      <c r="H21" s="120"/>
    </row>
    <row r="22" spans="2:8">
      <c r="B22" s="122">
        <v>7</v>
      </c>
      <c r="C22" s="123">
        <f t="shared" si="2"/>
        <v>156.13222489037111</v>
      </c>
      <c r="D22" s="138">
        <f>IF($C$12&lt;B22,0,DDM!$C$11)</f>
        <v>1.49597842339395E-2</v>
      </c>
      <c r="E22" s="124">
        <f t="shared" si="0"/>
        <v>0.60275490089788319</v>
      </c>
      <c r="F22" s="125">
        <f t="shared" si="1"/>
        <v>94.109463740761655</v>
      </c>
      <c r="H22" s="120"/>
    </row>
    <row r="23" spans="2:8">
      <c r="B23" s="122">
        <v>8</v>
      </c>
      <c r="C23" s="123">
        <f t="shared" si="2"/>
        <v>158.46792928669601</v>
      </c>
      <c r="D23" s="138">
        <f>IF($C$12&lt;B23,0,DDM!$C$11)</f>
        <v>1.49597842339395E-2</v>
      </c>
      <c r="E23" s="124">
        <f t="shared" si="0"/>
        <v>0.56070223339337966</v>
      </c>
      <c r="F23" s="125">
        <f t="shared" si="1"/>
        <v>88.853321872274606</v>
      </c>
      <c r="H23" s="120"/>
    </row>
    <row r="24" spans="2:8">
      <c r="B24" s="122">
        <v>9</v>
      </c>
      <c r="C24" s="123">
        <f t="shared" si="2"/>
        <v>160.83857531682415</v>
      </c>
      <c r="D24" s="138">
        <f>IF($C$12&lt;B24,0,DDM!$C$11)</f>
        <v>1.49597842339395E-2</v>
      </c>
      <c r="E24" s="124">
        <f t="shared" si="0"/>
        <v>0.52158347292407414</v>
      </c>
      <c r="F24" s="125">
        <f t="shared" si="1"/>
        <v>83.890742693909402</v>
      </c>
      <c r="H24" s="120"/>
    </row>
    <row r="25" spans="2:8">
      <c r="B25" s="122">
        <v>10</v>
      </c>
      <c r="C25" s="123">
        <f t="shared" si="2"/>
        <v>163.24468570005808</v>
      </c>
      <c r="D25" s="138">
        <f>IF($C$12&lt;B25,0,DDM!$C$11)</f>
        <v>1.49597842339395E-2</v>
      </c>
      <c r="E25" s="124">
        <f t="shared" si="0"/>
        <v>0.48519392830146441</v>
      </c>
      <c r="F25" s="125">
        <f t="shared" si="1"/>
        <v>79.205330329149078</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1904.3127618788412</v>
      </c>
      <c r="D46" s="139">
        <f>Terminal_Growth</f>
        <v>0</v>
      </c>
      <c r="E46" s="124">
        <f>1/(1+Equity_Cost)^C12</f>
        <v>0.48519392830146441</v>
      </c>
      <c r="F46" s="125">
        <f t="shared" si="1"/>
        <v>923.96098965060617</v>
      </c>
      <c r="H46" s="120"/>
    </row>
    <row r="47" spans="2:8">
      <c r="C47" s="114"/>
      <c r="E47" s="127" t="s">
        <v>100</v>
      </c>
      <c r="F47" s="137">
        <f>SUM(F16:F46)</f>
        <v>1963.8178816232416</v>
      </c>
      <c r="H47" s="120"/>
    </row>
    <row r="48" spans="2:8">
      <c r="C48" s="114"/>
      <c r="H48" s="120"/>
    </row>
    <row r="49" spans="1:8" ht="13.15">
      <c r="B49" s="119" t="s">
        <v>128</v>
      </c>
      <c r="C49" s="136"/>
      <c r="D49" s="136"/>
      <c r="E49" s="117"/>
      <c r="F49" s="117"/>
      <c r="H49" s="120"/>
    </row>
    <row r="50" spans="1:8" ht="13.15">
      <c r="A50" s="133">
        <f>F47</f>
        <v>1963.8178816232416</v>
      </c>
      <c r="B50" s="131">
        <f>C73</f>
        <v>-0.05</v>
      </c>
      <c r="C50" s="131">
        <f>C72</f>
        <v>-0.01</v>
      </c>
      <c r="D50" s="131">
        <f>C71</f>
        <v>1.4999999999999999E-2</v>
      </c>
      <c r="E50" s="131">
        <f>C70</f>
        <v>3.5000000000000003E-2</v>
      </c>
      <c r="F50" s="131">
        <f>C69</f>
        <v>5.5E-2</v>
      </c>
      <c r="H50" s="120"/>
    </row>
    <row r="51" spans="1:8" ht="13.15">
      <c r="A51" s="143">
        <v>5</v>
      </c>
      <c r="B51" s="123">
        <f t="dataTable" ref="B51:F56" dt2D="1" dtr="1" r1="C11" r2="C12"/>
        <v>1734.6067338828288</v>
      </c>
      <c r="C51" s="123">
        <v>1847.1230149003825</v>
      </c>
      <c r="D51" s="123">
        <v>1920.7074749176072</v>
      </c>
      <c r="E51" s="123">
        <v>1981.4970224789229</v>
      </c>
      <c r="F51" s="123">
        <v>2044.0767493443136</v>
      </c>
      <c r="H51" s="120"/>
    </row>
    <row r="52" spans="1:8" ht="13.15">
      <c r="A52" s="143">
        <v>10</v>
      </c>
      <c r="B52" s="123">
        <v>1623.603006082576</v>
      </c>
      <c r="C52" s="123">
        <v>1821.0193364390723</v>
      </c>
      <c r="D52" s="123">
        <v>1964.0616994353586</v>
      </c>
      <c r="E52" s="123">
        <v>2091.2807229152886</v>
      </c>
      <c r="F52" s="123">
        <v>2231.3491539781589</v>
      </c>
      <c r="H52" s="120"/>
    </row>
    <row r="53" spans="1:8" ht="13.15">
      <c r="A53" s="143">
        <v>15</v>
      </c>
      <c r="B53" s="123">
        <v>1504.4085336342437</v>
      </c>
      <c r="C53" s="123">
        <v>1790.3248209807543</v>
      </c>
      <c r="D53" s="123">
        <v>2018.2631589023258</v>
      </c>
      <c r="E53" s="123">
        <v>2235.7642553622782</v>
      </c>
      <c r="F53" s="123">
        <v>2491.2940332088474</v>
      </c>
      <c r="H53" s="120"/>
    </row>
    <row r="54" spans="1:8" ht="13.15">
      <c r="A54" s="144">
        <v>20</v>
      </c>
      <c r="B54" s="123">
        <v>1398.813258981434</v>
      </c>
      <c r="C54" s="123">
        <v>1760.6562385640855</v>
      </c>
      <c r="D54" s="123">
        <v>2074.0290748723164</v>
      </c>
      <c r="E54" s="123">
        <v>2392.6719877461205</v>
      </c>
      <c r="F54" s="123">
        <v>2790.2531397905441</v>
      </c>
      <c r="H54" s="120"/>
    </row>
    <row r="55" spans="1:8" ht="13.15">
      <c r="A55" s="144">
        <v>25</v>
      </c>
      <c r="B55" s="123">
        <v>1313.0954526283515</v>
      </c>
      <c r="C55" s="123">
        <v>1734.5001567741522</v>
      </c>
      <c r="D55" s="123">
        <v>2126.3889221257182</v>
      </c>
      <c r="E55" s="123">
        <v>2548.5162971447239</v>
      </c>
      <c r="F55" s="123">
        <v>3105.8217641638385</v>
      </c>
      <c r="H55" s="120"/>
    </row>
    <row r="56" spans="1:8" ht="13.15">
      <c r="A56" s="144">
        <v>30</v>
      </c>
      <c r="B56" s="123">
        <v>1246.8315029614062</v>
      </c>
      <c r="C56" s="123">
        <v>1712.6441089539783</v>
      </c>
      <c r="D56" s="123">
        <v>2173.0026295298435</v>
      </c>
      <c r="E56" s="123">
        <v>2695.5805606371596</v>
      </c>
      <c r="F56" s="123">
        <v>3423.3407139422575</v>
      </c>
      <c r="H56" s="120"/>
    </row>
    <row r="57" spans="1:8">
      <c r="C57" s="114"/>
      <c r="D57" s="114"/>
      <c r="E57" s="114"/>
      <c r="F57" s="114"/>
      <c r="H57" s="120"/>
    </row>
    <row r="58" spans="1:8" ht="13.15">
      <c r="B58" s="119" t="s">
        <v>129</v>
      </c>
      <c r="C58" s="114"/>
      <c r="D58" s="114"/>
      <c r="E58" s="114"/>
      <c r="F58" s="114"/>
      <c r="H58" s="120"/>
    </row>
    <row r="59" spans="1:8" ht="13.15">
      <c r="B59" s="132">
        <f>B50</f>
        <v>-0.05</v>
      </c>
      <c r="C59" s="132">
        <f>C50</f>
        <v>-0.01</v>
      </c>
      <c r="D59" s="132">
        <f>D50</f>
        <v>1.4999999999999999E-2</v>
      </c>
      <c r="E59" s="132">
        <f>E50</f>
        <v>3.5000000000000003E-2</v>
      </c>
      <c r="F59" s="132">
        <f>F50</f>
        <v>5.5E-2</v>
      </c>
      <c r="H59" s="120"/>
    </row>
    <row r="60" spans="1:8" ht="13.15">
      <c r="A60" s="143">
        <v>0</v>
      </c>
      <c r="B60" s="124">
        <f>C7</f>
        <v>5.5402666666666667</v>
      </c>
      <c r="C60" s="124">
        <f>C7</f>
        <v>5.5402666666666667</v>
      </c>
      <c r="D60" s="124">
        <f>C7</f>
        <v>5.5402666666666667</v>
      </c>
      <c r="E60" s="141">
        <f>C7</f>
        <v>5.5402666666666667</v>
      </c>
      <c r="F60" s="124">
        <f>C7</f>
        <v>5.5402666666666667</v>
      </c>
      <c r="H60" s="120"/>
    </row>
    <row r="61" spans="1:8" ht="13.15">
      <c r="A61" s="143">
        <f t="shared" ref="A61:A66" si="3">A51</f>
        <v>5</v>
      </c>
      <c r="B61" s="124">
        <f t="shared" ref="B61:F66" si="4">B51/Common_Shares*$C$3*Exchange_Rate</f>
        <v>5.122031601043032</v>
      </c>
      <c r="C61" s="124">
        <f t="shared" si="4"/>
        <v>5.454275178648488</v>
      </c>
      <c r="D61" s="124">
        <f t="shared" si="4"/>
        <v>5.6715589711022609</v>
      </c>
      <c r="E61" s="124">
        <f t="shared" si="4"/>
        <v>5.8510613202746233</v>
      </c>
      <c r="F61" s="124">
        <f t="shared" si="4"/>
        <v>6.0358497984512702</v>
      </c>
      <c r="H61" s="120"/>
    </row>
    <row r="62" spans="1:8" ht="13.15">
      <c r="A62" s="143">
        <f t="shared" si="3"/>
        <v>10</v>
      </c>
      <c r="B62" s="124">
        <f t="shared" si="4"/>
        <v>4.7942543645545213</v>
      </c>
      <c r="C62" s="124">
        <f t="shared" si="4"/>
        <v>5.377194960192857</v>
      </c>
      <c r="D62" s="124">
        <f t="shared" si="4"/>
        <v>5.799577445653874</v>
      </c>
      <c r="E62" s="124">
        <f t="shared" si="4"/>
        <v>6.1752360002931841</v>
      </c>
      <c r="F62" s="124">
        <f t="shared" si="4"/>
        <v>6.5888369140902832</v>
      </c>
      <c r="H62" s="120"/>
    </row>
    <row r="63" spans="1:8" ht="13.15">
      <c r="A63" s="143">
        <f t="shared" si="3"/>
        <v>15</v>
      </c>
      <c r="B63" s="124">
        <f t="shared" si="4"/>
        <v>4.4422910966710871</v>
      </c>
      <c r="C63" s="124">
        <f t="shared" si="4"/>
        <v>5.2865586937209272</v>
      </c>
      <c r="D63" s="124">
        <f t="shared" si="4"/>
        <v>5.9596261660869025</v>
      </c>
      <c r="E63" s="124">
        <f t="shared" si="4"/>
        <v>6.6018740413938568</v>
      </c>
      <c r="F63" s="124">
        <f t="shared" si="4"/>
        <v>7.3564148670298097</v>
      </c>
      <c r="H63" s="120"/>
    </row>
    <row r="64" spans="1:8" ht="13.15">
      <c r="A64" s="144">
        <f t="shared" si="3"/>
        <v>20</v>
      </c>
      <c r="B64" s="124">
        <f t="shared" si="4"/>
        <v>4.1304842051563657</v>
      </c>
      <c r="C64" s="124">
        <f t="shared" si="4"/>
        <v>5.1989518525113558</v>
      </c>
      <c r="D64" s="124">
        <f t="shared" si="4"/>
        <v>6.1242944901974754</v>
      </c>
      <c r="E64" s="124">
        <f t="shared" si="4"/>
        <v>7.0651988677186299</v>
      </c>
      <c r="F64" s="124">
        <f t="shared" si="4"/>
        <v>8.2391959386236895</v>
      </c>
      <c r="H64" s="120"/>
    </row>
    <row r="65" spans="1:8" ht="13.15">
      <c r="A65" s="144">
        <f t="shared" si="3"/>
        <v>25</v>
      </c>
      <c r="B65" s="124">
        <f t="shared" si="4"/>
        <v>3.8773724742167612</v>
      </c>
      <c r="C65" s="124">
        <f t="shared" si="4"/>
        <v>5.1217168949439911</v>
      </c>
      <c r="D65" s="124">
        <f t="shared" si="4"/>
        <v>6.2789052080155621</v>
      </c>
      <c r="E65" s="124">
        <f t="shared" si="4"/>
        <v>7.5253835666420326</v>
      </c>
      <c r="F65" s="124">
        <f t="shared" si="4"/>
        <v>9.171022406701308</v>
      </c>
    </row>
    <row r="66" spans="1:8" ht="13.15">
      <c r="A66" s="144">
        <f t="shared" si="3"/>
        <v>30</v>
      </c>
      <c r="B66" s="124">
        <f t="shared" si="4"/>
        <v>3.6817050427614042</v>
      </c>
      <c r="C66" s="124">
        <f t="shared" si="4"/>
        <v>5.05717928799129</v>
      </c>
      <c r="D66" s="124">
        <f t="shared" si="4"/>
        <v>6.4165484430508943</v>
      </c>
      <c r="E66" s="124">
        <f t="shared" si="4"/>
        <v>7.9596421165937095</v>
      </c>
      <c r="F66" s="124">
        <f t="shared" si="4"/>
        <v>10.108607891022919</v>
      </c>
    </row>
    <row r="68" spans="1:8" ht="13.15">
      <c r="B68" s="171" t="s">
        <v>116</v>
      </c>
      <c r="C68" s="171" t="s">
        <v>131</v>
      </c>
      <c r="D68" s="171" t="s">
        <v>111</v>
      </c>
      <c r="E68" s="172" t="s">
        <v>112</v>
      </c>
      <c r="F68" s="172" t="s">
        <v>118</v>
      </c>
    </row>
    <row r="69" spans="1:8">
      <c r="B69" s="127" t="str">
        <f>Scenarios!B54</f>
        <v>Snowball Scenario</v>
      </c>
      <c r="C69" s="142">
        <f>Scenarios!C56</f>
        <v>5.5E-2</v>
      </c>
      <c r="D69" s="145">
        <f>Scenarios!C55</f>
        <v>15</v>
      </c>
      <c r="E69" s="135">
        <f>INDEX(B$60:F$66, MATCH(D69, A$60:A$66, 0), MATCH(C69, B$59:F$59, 0))</f>
        <v>7.3564148670298097</v>
      </c>
      <c r="F69" s="142">
        <f>Scenarios!C58</f>
        <v>0.05</v>
      </c>
    </row>
    <row r="70" spans="1:8">
      <c r="B70" s="127" t="str">
        <f>Scenarios!B36</f>
        <v>Optimistic</v>
      </c>
      <c r="C70" s="142">
        <f>Scenarios!C38</f>
        <v>3.5000000000000003E-2</v>
      </c>
      <c r="D70" s="145">
        <f>Scenarios!C37</f>
        <v>10</v>
      </c>
      <c r="E70" s="135">
        <f>INDEX(B$60:F$66, MATCH(D70, A$60:A$66, 0), MATCH(C70, B$59:F$59, 0))</f>
        <v>6.1752360002931841</v>
      </c>
      <c r="F70" s="142">
        <f>Scenarios!C40*(1-F$69-F$73)</f>
        <v>0.22499999999999998</v>
      </c>
      <c r="H70" s="120"/>
    </row>
    <row r="71" spans="1:8">
      <c r="B71" s="127" t="str">
        <f>Scenarios!B24</f>
        <v>Base</v>
      </c>
      <c r="C71" s="142">
        <f>Scenarios!C26</f>
        <v>1.4999999999999999E-2</v>
      </c>
      <c r="D71" s="145">
        <f>Scenarios!C25</f>
        <v>10</v>
      </c>
      <c r="E71" s="135">
        <f>INDEX(B$60:F$66, MATCH(D71, A$60:A$66, 0), MATCH(C71, B$59:F$59, 0))</f>
        <v>5.799577445653874</v>
      </c>
      <c r="F71" s="142">
        <f>Scenarios!C28*(1-F$69-F$73)</f>
        <v>0.44999999999999996</v>
      </c>
      <c r="H71" s="120"/>
    </row>
    <row r="72" spans="1:8">
      <c r="B72" s="127" t="str">
        <f>Scenarios!B30</f>
        <v>Pessimistic</v>
      </c>
      <c r="C72" s="142">
        <f>Scenarios!C32</f>
        <v>-0.01</v>
      </c>
      <c r="D72" s="145">
        <f>Scenarios!C31</f>
        <v>10</v>
      </c>
      <c r="E72" s="135">
        <f>INDEX(B$60:F$66, MATCH(D72, A$60:A$66, 0), MATCH(C72, B$59:F$59, 0))</f>
        <v>5.377194960192857</v>
      </c>
      <c r="F72" s="142">
        <f>Scenarios!C34*(1-F$69-F$73)</f>
        <v>0.22499999999999998</v>
      </c>
      <c r="H72" s="120"/>
    </row>
    <row r="73" spans="1:8">
      <c r="B73" s="127" t="str">
        <f>Scenarios!B48</f>
        <v>Devil's advocate</v>
      </c>
      <c r="C73" s="142">
        <f>Scenarios!C50</f>
        <v>-0.05</v>
      </c>
      <c r="D73" s="145">
        <f>Scenarios!C49</f>
        <v>15</v>
      </c>
      <c r="E73" s="135">
        <f>INDEX(B$60:F$66, MATCH(D73, A$60:A$66, 0), MATCH(C73, B$59:F$59, 0))</f>
        <v>4.4422910966710871</v>
      </c>
      <c r="F73" s="142">
        <f>Scenarios!C52</f>
        <v>0.05</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-24.27</v>
      </c>
    </row>
    <row r="4" spans="2:9">
      <c r="B4" s="152" t="s">
        <v>145</v>
      </c>
      <c r="C4" s="120">
        <v>3</v>
      </c>
      <c r="D4" s="120"/>
      <c r="E4" s="155" t="s">
        <v>149</v>
      </c>
      <c r="F4" s="155"/>
      <c r="H4" s="247">
        <v>1</v>
      </c>
      <c r="I4" s="124">
        <f t="shared" ref="I4:I13" si="0">IF(ROW()-3 &lt; $C$76, $C$77, IF(ROW()-3 = $C$76, $C$77 + $C$60, ""))</f>
        <v>0.41552</v>
      </c>
    </row>
    <row r="5" spans="2:9">
      <c r="H5" s="247">
        <v>2</v>
      </c>
      <c r="I5" s="124">
        <f t="shared" si="0"/>
        <v>0.41552</v>
      </c>
    </row>
    <row r="6" spans="2:9" ht="13.15">
      <c r="B6" s="159" t="s">
        <v>95</v>
      </c>
      <c r="C6" s="107">
        <f>DCF!C3</f>
        <v>1000000</v>
      </c>
      <c r="E6" s="100" t="s">
        <v>278</v>
      </c>
      <c r="F6" s="100"/>
      <c r="H6" s="247">
        <v>3</v>
      </c>
      <c r="I6" s="124">
        <f t="shared" si="0"/>
        <v>33.645681875234658</v>
      </c>
    </row>
    <row r="7" spans="2:9" ht="12.75" customHeight="1">
      <c r="B7" s="100" t="s">
        <v>274</v>
      </c>
      <c r="C7" s="338">
        <f>Normalized_FCF!G8</f>
        <v>1936</v>
      </c>
      <c r="D7" t="str">
        <f>Reporting_currency</f>
        <v>USD</v>
      </c>
      <c r="E7" s="371"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Sirius XM(SIRI). Each scenario should include the Compound Growth Rate, the Probability Assessment, and the Business Narrative.</v>
      </c>
      <c r="F7" s="371"/>
      <c r="H7" s="247">
        <v>4</v>
      </c>
      <c r="I7" s="124" t="str">
        <f t="shared" si="0"/>
        <v/>
      </c>
    </row>
    <row r="8" spans="2:9">
      <c r="B8" s="100" t="s">
        <v>66</v>
      </c>
      <c r="C8" s="338">
        <f>Normalized_FCF!G19</f>
        <v>1080</v>
      </c>
      <c r="D8" t="str">
        <f>Reporting_currency</f>
        <v>USD</v>
      </c>
      <c r="E8" s="371"/>
      <c r="F8" s="371"/>
      <c r="H8" s="247">
        <v>5</v>
      </c>
      <c r="I8" s="124" t="str">
        <f t="shared" si="0"/>
        <v/>
      </c>
    </row>
    <row r="9" spans="2:9">
      <c r="B9" s="100" t="s">
        <v>57</v>
      </c>
      <c r="C9" s="338">
        <f>Normalized_FCF!C19</f>
        <v>1543.9196817753634</v>
      </c>
      <c r="D9" t="str">
        <f>Reporting_currency</f>
        <v>USD</v>
      </c>
      <c r="E9" s="371"/>
      <c r="F9" s="371"/>
      <c r="H9" s="247">
        <v>6</v>
      </c>
      <c r="I9" s="124" t="str">
        <f t="shared" si="0"/>
        <v/>
      </c>
    </row>
    <row r="10" spans="2:9">
      <c r="E10" s="371"/>
      <c r="F10" s="371"/>
      <c r="H10" s="247">
        <v>7</v>
      </c>
      <c r="I10" s="124" t="str">
        <f t="shared" si="0"/>
        <v/>
      </c>
    </row>
    <row r="11" spans="2:9" ht="13.15">
      <c r="B11" s="159" t="s">
        <v>443</v>
      </c>
      <c r="E11" s="371"/>
      <c r="F11" s="371"/>
      <c r="H11" s="247">
        <v>8</v>
      </c>
      <c r="I11" s="124" t="str">
        <f t="shared" si="0"/>
        <v/>
      </c>
    </row>
    <row r="12" spans="2:9">
      <c r="B12" s="118" t="s">
        <v>143</v>
      </c>
      <c r="C12" s="158">
        <f ca="1">(Normalized_FCF!G4/OFFSET(Normalized_FCF!G4, 0, $C$4))^(1/$C$4) - 1</f>
        <v>1.1498217877581318E-4</v>
      </c>
      <c r="D12" s="158"/>
      <c r="E12" s="371"/>
      <c r="F12" s="371"/>
      <c r="H12" s="247">
        <v>9</v>
      </c>
      <c r="I12" s="124" t="str">
        <f t="shared" si="0"/>
        <v/>
      </c>
    </row>
    <row r="13" spans="2:9">
      <c r="B13" s="148" t="s">
        <v>151</v>
      </c>
      <c r="C13" s="158">
        <f ca="1">(Normalized_FCF!G8/OFFSET(Normalized_FCF!G8, 0, $C$4))^(1/$C$4) - 1</f>
        <v>-0.25742105972151286</v>
      </c>
      <c r="E13" s="371"/>
      <c r="F13" s="371"/>
      <c r="H13" s="247">
        <v>10</v>
      </c>
      <c r="I13" s="124" t="str">
        <f t="shared" si="0"/>
        <v/>
      </c>
    </row>
    <row r="14" spans="2:9">
      <c r="B14" s="100" t="s">
        <v>66</v>
      </c>
      <c r="C14" s="158">
        <f ca="1">(Normalized_FCF!G19/OFFSET(Normalized_FCF!G19, 0, $C$4))^(1/$C$4) - 1</f>
        <v>-0.3351523510141251</v>
      </c>
      <c r="E14" s="371"/>
      <c r="F14" s="371"/>
    </row>
    <row r="16" spans="2:9" ht="13.9">
      <c r="B16" s="36" t="s">
        <v>161</v>
      </c>
      <c r="C16" s="37"/>
      <c r="D16" s="37"/>
      <c r="E16" s="37"/>
      <c r="F16" s="37"/>
    </row>
    <row r="17" spans="2:6" ht="13.15">
      <c r="B17" s="109" t="s">
        <v>150</v>
      </c>
      <c r="E17" s="159" t="s">
        <v>326</v>
      </c>
    </row>
    <row r="18" spans="2:6">
      <c r="B18" s="152" t="s">
        <v>132</v>
      </c>
      <c r="C18" s="150">
        <v>10</v>
      </c>
      <c r="E18" s="371" t="s">
        <v>327</v>
      </c>
      <c r="F18" s="372"/>
    </row>
    <row r="19" spans="2:6">
      <c r="E19" s="372"/>
      <c r="F19" s="372"/>
    </row>
    <row r="20" spans="2:6" ht="13.15">
      <c r="B20" s="159" t="s">
        <v>302</v>
      </c>
      <c r="E20" s="372"/>
      <c r="F20" s="372"/>
    </row>
    <row r="21" spans="2:6">
      <c r="B21" s="100" t="s">
        <v>276</v>
      </c>
      <c r="C21" s="160">
        <f>Market_Price</f>
        <v>24.27</v>
      </c>
      <c r="D21" t="str">
        <f>Market_currency</f>
        <v>USD</v>
      </c>
      <c r="E21" s="372"/>
      <c r="F21" s="372"/>
    </row>
    <row r="22" spans="2:6">
      <c r="B22" s="100" t="s">
        <v>277</v>
      </c>
      <c r="C22" s="160">
        <f>IF(valuation_method="DCF",DCF!C12,DDM!C7)</f>
        <v>30.39095481513823</v>
      </c>
      <c r="D22" t="str">
        <f>Market_currency</f>
        <v>USD</v>
      </c>
      <c r="E22" s="372"/>
      <c r="F22" s="372"/>
    </row>
    <row r="24" spans="2:6" ht="13.15">
      <c r="B24" s="159" t="s">
        <v>114</v>
      </c>
      <c r="E24" s="159" t="s">
        <v>148</v>
      </c>
      <c r="F24" s="159"/>
    </row>
    <row r="25" spans="2:6">
      <c r="B25" s="152" t="s">
        <v>132</v>
      </c>
      <c r="C25" s="166">
        <f>C18</f>
        <v>10</v>
      </c>
      <c r="D25" s="163"/>
      <c r="E25" s="370"/>
      <c r="F25" s="370"/>
    </row>
    <row r="26" spans="2:6">
      <c r="B26" s="118" t="s">
        <v>133</v>
      </c>
      <c r="C26" s="164">
        <v>1.4999999999999999E-2</v>
      </c>
      <c r="D26" s="164"/>
      <c r="E26" s="370"/>
      <c r="F26" s="370"/>
    </row>
    <row r="27" spans="2:6">
      <c r="B27" s="100" t="s">
        <v>112</v>
      </c>
      <c r="C27" s="160">
        <f>IF(valuation_method="DCF",DCF!E76,DDM!E71)</f>
        <v>33.236035365323517</v>
      </c>
      <c r="D27" s="160" t="str">
        <f>Market_currency</f>
        <v>USD</v>
      </c>
      <c r="E27" s="370"/>
      <c r="F27" s="370"/>
    </row>
    <row r="28" spans="2:6">
      <c r="B28" s="100" t="s">
        <v>146</v>
      </c>
      <c r="C28" s="165">
        <v>0.5</v>
      </c>
      <c r="D28" s="165"/>
      <c r="E28" s="370"/>
      <c r="F28" s="370"/>
    </row>
    <row r="30" spans="2:6" ht="13.15">
      <c r="B30" s="159" t="s">
        <v>115</v>
      </c>
      <c r="E30" s="159" t="s">
        <v>148</v>
      </c>
      <c r="F30" s="159"/>
    </row>
    <row r="31" spans="2:6">
      <c r="B31" s="152" t="s">
        <v>132</v>
      </c>
      <c r="C31" s="166">
        <f>C18</f>
        <v>10</v>
      </c>
      <c r="D31" s="163"/>
      <c r="E31" s="370"/>
      <c r="F31" s="370"/>
    </row>
    <row r="32" spans="2:6">
      <c r="B32" s="118" t="s">
        <v>133</v>
      </c>
      <c r="C32" s="164">
        <v>-0.01</v>
      </c>
      <c r="D32" s="164"/>
      <c r="E32" s="370"/>
      <c r="F32" s="370"/>
    </row>
    <row r="33" spans="2:6">
      <c r="B33" s="100" t="s">
        <v>112</v>
      </c>
      <c r="C33" s="160">
        <f>IF(valuation_method="DCF",DCF!E77,DDM!E72)</f>
        <v>28.601780673645852</v>
      </c>
      <c r="D33" t="str">
        <f>Market_currency</f>
        <v>USD</v>
      </c>
      <c r="E33" s="370"/>
      <c r="F33" s="370"/>
    </row>
    <row r="34" spans="2:6">
      <c r="B34" s="100" t="s">
        <v>146</v>
      </c>
      <c r="C34" s="165">
        <v>0.25</v>
      </c>
      <c r="D34" s="165"/>
      <c r="E34" s="370"/>
      <c r="F34" s="370"/>
    </row>
    <row r="36" spans="2:6" ht="13.15">
      <c r="B36" s="159" t="s">
        <v>113</v>
      </c>
      <c r="E36" s="159" t="s">
        <v>148</v>
      </c>
      <c r="F36" s="159"/>
    </row>
    <row r="37" spans="2:6">
      <c r="B37" s="152" t="s">
        <v>132</v>
      </c>
      <c r="C37" s="166">
        <f>C18</f>
        <v>10</v>
      </c>
      <c r="D37" s="163"/>
      <c r="E37" s="370"/>
      <c r="F37" s="370"/>
    </row>
    <row r="38" spans="2:6">
      <c r="B38" s="118" t="s">
        <v>133</v>
      </c>
      <c r="C38" s="164">
        <v>3.5000000000000003E-2</v>
      </c>
      <c r="D38" s="164"/>
      <c r="E38" s="370"/>
      <c r="F38" s="370"/>
    </row>
    <row r="39" spans="2:6">
      <c r="B39" s="100" t="s">
        <v>112</v>
      </c>
      <c r="C39" s="160">
        <f>IF(valuation_method="DCF",DCF!E75,DDM!E70)</f>
        <v>37.357649019369674</v>
      </c>
      <c r="D39" t="str">
        <f>Market_currency</f>
        <v>USD</v>
      </c>
      <c r="E39" s="370"/>
      <c r="F39" s="370"/>
    </row>
    <row r="40" spans="2:6">
      <c r="B40" s="100" t="s">
        <v>146</v>
      </c>
      <c r="C40" s="167">
        <f>1-C28-C34</f>
        <v>0.25</v>
      </c>
      <c r="D40" s="165"/>
      <c r="E40" s="370"/>
      <c r="F40" s="370"/>
    </row>
    <row r="42" spans="2:6" ht="13.15">
      <c r="B42" s="100" t="s">
        <v>119</v>
      </c>
      <c r="C42" s="154">
        <f>C27*C28+C33*C34+C39*C40</f>
        <v>33.107875105915639</v>
      </c>
      <c r="D42" t="str">
        <f>Market_currency</f>
        <v>USD</v>
      </c>
    </row>
    <row r="44" spans="2:6" ht="13.9">
      <c r="B44" s="36" t="s">
        <v>160</v>
      </c>
      <c r="C44" s="37"/>
      <c r="D44" s="37"/>
      <c r="E44" s="37"/>
      <c r="F44" s="37"/>
    </row>
    <row r="45" spans="2:6" ht="13.15">
      <c r="B45" s="109" t="s">
        <v>150</v>
      </c>
    </row>
    <row r="46" spans="2:6">
      <c r="B46" s="152" t="s">
        <v>132</v>
      </c>
      <c r="C46" s="150">
        <v>15</v>
      </c>
      <c r="E46" s="100"/>
      <c r="F46" s="100"/>
    </row>
    <row r="47" spans="2:6" ht="13.15">
      <c r="B47" s="159"/>
      <c r="E47" s="159"/>
      <c r="F47" s="159"/>
    </row>
    <row r="48" spans="2:6" ht="13.15">
      <c r="B48" s="159" t="s">
        <v>164</v>
      </c>
      <c r="E48" s="159" t="s">
        <v>148</v>
      </c>
      <c r="F48" s="159"/>
    </row>
    <row r="49" spans="2:6" ht="12.75" customHeight="1">
      <c r="B49" s="152" t="s">
        <v>132</v>
      </c>
      <c r="C49" s="166">
        <f>C46</f>
        <v>15</v>
      </c>
      <c r="D49" s="163"/>
      <c r="E49" s="370"/>
      <c r="F49" s="370"/>
    </row>
    <row r="50" spans="2:6">
      <c r="B50" s="118" t="s">
        <v>133</v>
      </c>
      <c r="C50" s="164">
        <v>-0.05</v>
      </c>
      <c r="D50" s="164"/>
      <c r="E50" s="370"/>
      <c r="F50" s="370"/>
    </row>
    <row r="51" spans="2:6">
      <c r="B51" s="100" t="s">
        <v>112</v>
      </c>
      <c r="C51" s="160">
        <f>IF(valuation_method="DCF",DCF!E78,DDM!E73)</f>
        <v>18.344294236762746</v>
      </c>
      <c r="D51" t="str">
        <f>Market_currency</f>
        <v>USD</v>
      </c>
      <c r="E51" s="370"/>
      <c r="F51" s="370"/>
    </row>
    <row r="52" spans="2:6">
      <c r="B52" s="100" t="s">
        <v>146</v>
      </c>
      <c r="C52" s="165">
        <v>0.05</v>
      </c>
      <c r="D52" s="165"/>
      <c r="E52" s="370"/>
      <c r="F52" s="370"/>
    </row>
    <row r="54" spans="2:6" ht="13.15">
      <c r="B54" s="159" t="s">
        <v>313</v>
      </c>
      <c r="E54" s="159" t="s">
        <v>148</v>
      </c>
      <c r="F54" s="159"/>
    </row>
    <row r="55" spans="2:6">
      <c r="B55" s="152" t="s">
        <v>132</v>
      </c>
      <c r="C55" s="166">
        <f>C46</f>
        <v>15</v>
      </c>
      <c r="D55" s="163"/>
      <c r="E55" s="370"/>
      <c r="F55" s="370"/>
    </row>
    <row r="56" spans="2:6">
      <c r="B56" s="118" t="s">
        <v>133</v>
      </c>
      <c r="C56" s="164">
        <v>5.5E-2</v>
      </c>
      <c r="D56" s="164"/>
      <c r="E56" s="370"/>
      <c r="F56" s="370"/>
    </row>
    <row r="57" spans="2:6">
      <c r="B57" s="100" t="s">
        <v>112</v>
      </c>
      <c r="C57" s="160">
        <f>IF(valuation_method="DCF",DCF!E74,DDM!E69)</f>
        <v>50.317191361448984</v>
      </c>
      <c r="D57" t="str">
        <f>Market_currency</f>
        <v>USD</v>
      </c>
      <c r="E57" s="370"/>
      <c r="F57" s="370"/>
    </row>
    <row r="58" spans="2:6">
      <c r="B58" s="100" t="s">
        <v>146</v>
      </c>
      <c r="C58" s="165">
        <v>0.05</v>
      </c>
      <c r="D58" s="165"/>
      <c r="E58" s="370"/>
      <c r="F58" s="370"/>
    </row>
    <row r="60" spans="2:6" ht="13.15">
      <c r="B60" s="100" t="s">
        <v>119</v>
      </c>
      <c r="C60" s="154">
        <f>C51*C52+C57*C58+C42*(1-C52-C58)</f>
        <v>33.230161875234657</v>
      </c>
      <c r="D60" t="str">
        <f>Market_currency</f>
        <v>USD</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10</v>
      </c>
      <c r="D64" s="150"/>
      <c r="E64" s="251" t="s">
        <v>392</v>
      </c>
    </row>
    <row r="65" spans="2:6">
      <c r="B65" s="118" t="s">
        <v>133</v>
      </c>
      <c r="C65" s="151">
        <v>1.49597842339395E-2</v>
      </c>
      <c r="D65" s="151"/>
      <c r="E65" s="251" t="s">
        <v>309</v>
      </c>
    </row>
    <row r="66" spans="2:6">
      <c r="B66" s="100" t="s">
        <v>102</v>
      </c>
      <c r="C66" s="160">
        <f>IF(valuation_method="DCF",DCF!C18,DDM!C13)</f>
        <v>33.228136210024012</v>
      </c>
      <c r="D66" s="160" t="str">
        <f>Market_currency</f>
        <v>USD</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-0.91468706241914388</v>
      </c>
    </row>
    <row r="74" spans="2:6" ht="13.9">
      <c r="B74" s="36" t="s">
        <v>126</v>
      </c>
      <c r="C74" s="37"/>
      <c r="D74" s="37"/>
      <c r="E74" s="37"/>
      <c r="F74" s="37"/>
    </row>
    <row r="75" spans="2:6" ht="13.15">
      <c r="B75" s="109" t="s">
        <v>124</v>
      </c>
    </row>
    <row r="76" spans="2:6">
      <c r="B76" s="246" t="s">
        <v>296</v>
      </c>
      <c r="C76" s="245">
        <f>F60</f>
        <v>3</v>
      </c>
      <c r="D76" s="134"/>
    </row>
    <row r="77" spans="2:6">
      <c r="B77" s="100" t="s">
        <v>455</v>
      </c>
      <c r="C77" s="173">
        <f>Normalized_FCF!C90*(1-dividend_tax_rate)</f>
        <v>0.41552</v>
      </c>
      <c r="D77" t="str">
        <f>Market_currency</f>
        <v>USD</v>
      </c>
    </row>
    <row r="79" spans="2:6" ht="13.15">
      <c r="B79" s="109" t="s">
        <v>300</v>
      </c>
    </row>
    <row r="80" spans="2:6">
      <c r="B80" s="148" t="s">
        <v>298</v>
      </c>
      <c r="C80" s="167">
        <f>Thesis!F29</f>
        <v>0.35</v>
      </c>
    </row>
    <row r="81" spans="2:8">
      <c r="B81" s="100" t="s">
        <v>120</v>
      </c>
      <c r="C81" s="116">
        <f>PV(C80, C76, -C77, 0)</f>
        <v>0.70467193009195761</v>
      </c>
      <c r="D81" s="116"/>
      <c r="E81" s="100"/>
      <c r="F81" s="100"/>
    </row>
    <row r="82" spans="2:8">
      <c r="B82" s="100" t="s">
        <v>121</v>
      </c>
      <c r="C82" s="116">
        <f>C60/(1+C80)^C76</f>
        <v>13.506137021890829</v>
      </c>
      <c r="D82" s="116"/>
    </row>
    <row r="83" spans="2:8" ht="13.15">
      <c r="B83" s="110" t="s">
        <v>101</v>
      </c>
      <c r="C83" s="111">
        <f>C81+C82</f>
        <v>14.210808951982788</v>
      </c>
      <c r="D83" t="str">
        <f>Market_currency</f>
        <v>USD</v>
      </c>
      <c r="E83" s="146" t="s">
        <v>125</v>
      </c>
      <c r="F83" s="291">
        <f>(1-C83/C60)</f>
        <v>0.57235209971776768</v>
      </c>
    </row>
    <row r="84" spans="2:8">
      <c r="E84" s="120"/>
    </row>
    <row r="85" spans="2:8" ht="13.15">
      <c r="B85" s="109" t="s">
        <v>301</v>
      </c>
    </row>
    <row r="86" spans="2:8">
      <c r="B86" s="148" t="s">
        <v>299</v>
      </c>
      <c r="C86" s="116">
        <f>Market_Price</f>
        <v>24.27</v>
      </c>
      <c r="D86" t="str">
        <f>Market_currency</f>
        <v>USD</v>
      </c>
    </row>
    <row r="87" spans="2:8" ht="13.15">
      <c r="B87" s="100" t="s">
        <v>297</v>
      </c>
      <c r="C87" s="237">
        <f ca="1">IRR(OFFSET($I$3, 0, 0, $C$76 + 1, 1))</f>
        <v>0.125910335738461</v>
      </c>
    </row>
    <row r="88" spans="2:8">
      <c r="B88" s="100"/>
    </row>
    <row r="89" spans="2:8" ht="13.15">
      <c r="B89" s="109" t="s">
        <v>409</v>
      </c>
    </row>
    <row r="90" spans="2:8">
      <c r="B90" s="148" t="s">
        <v>410</v>
      </c>
      <c r="C90" s="167">
        <f>Thesis!F30</f>
        <v>0.25</v>
      </c>
    </row>
    <row r="91" spans="2:8">
      <c r="B91" s="100" t="s">
        <v>120</v>
      </c>
      <c r="C91" s="116">
        <f>PV(C90, C76, -C77, 0)</f>
        <v>0.81109503999999999</v>
      </c>
      <c r="D91" s="116"/>
      <c r="E91" s="100"/>
      <c r="F91" s="100"/>
    </row>
    <row r="92" spans="2:8">
      <c r="B92" s="100" t="s">
        <v>121</v>
      </c>
      <c r="C92" s="116">
        <f>C60/(1+C90)^C76</f>
        <v>17.013842880120144</v>
      </c>
      <c r="D92" s="116"/>
    </row>
    <row r="93" spans="2:8" ht="13.15">
      <c r="B93" s="110" t="s">
        <v>101</v>
      </c>
      <c r="C93" s="111">
        <f>C91+C92</f>
        <v>17.824937920120146</v>
      </c>
      <c r="D93" t="str">
        <f>Market_currency</f>
        <v>USD</v>
      </c>
      <c r="E93" s="146" t="s">
        <v>125</v>
      </c>
      <c r="F93" s="291">
        <f>(1-C93/C60)</f>
        <v>0.46359160129748023</v>
      </c>
    </row>
    <row r="95" spans="2:8" ht="13.15">
      <c r="B95" s="109" t="s">
        <v>394</v>
      </c>
      <c r="G95" s="2"/>
      <c r="H95" s="281"/>
    </row>
    <row r="96" spans="2:8">
      <c r="B96" s="148" t="s">
        <v>400</v>
      </c>
      <c r="C96" s="134">
        <f>Thesis!F31</f>
        <v>7.4999999999999997E-2</v>
      </c>
      <c r="G96" s="2"/>
      <c r="H96" s="281"/>
    </row>
    <row r="97" spans="2:8">
      <c r="B97" s="100" t="s">
        <v>120</v>
      </c>
      <c r="C97" s="116">
        <f>PV(C96, C76, -C77, 0)</f>
        <v>1.0805704554315967</v>
      </c>
      <c r="D97" s="116"/>
      <c r="G97" s="2"/>
      <c r="H97" s="281"/>
    </row>
    <row r="98" spans="2:8">
      <c r="B98" s="100" t="s">
        <v>121</v>
      </c>
      <c r="C98" s="116">
        <f>C60/(1+C96)^C76</f>
        <v>26.748970027985187</v>
      </c>
      <c r="D98" s="116"/>
      <c r="G98" s="2"/>
      <c r="H98" s="281"/>
    </row>
    <row r="99" spans="2:8" ht="13.15">
      <c r="B99" s="110" t="s">
        <v>395</v>
      </c>
      <c r="C99" s="111">
        <f>C97+C98</f>
        <v>27.829540483416785</v>
      </c>
      <c r="D99" t="s">
        <v>393</v>
      </c>
      <c r="E99" s="146" t="s">
        <v>125</v>
      </c>
      <c r="F99" s="291">
        <f>(1-C99/C60)</f>
        <v>0.16252166968355264</v>
      </c>
    </row>
    <row r="100" spans="2:8">
      <c r="B100" s="100"/>
    </row>
    <row r="101" spans="2:8" ht="13.15">
      <c r="B101" s="109" t="s">
        <v>418</v>
      </c>
    </row>
    <row r="102" spans="2:8">
      <c r="B102" s="148" t="s">
        <v>417</v>
      </c>
      <c r="C102" s="134">
        <f>Thesis!F32</f>
        <v>0.1174</v>
      </c>
    </row>
    <row r="103" spans="2:8">
      <c r="B103" s="100" t="s">
        <v>120</v>
      </c>
      <c r="C103" s="116">
        <f>PV(C102, C76, -C77, 0)</f>
        <v>1.0024848508900275</v>
      </c>
      <c r="D103" s="116"/>
    </row>
    <row r="104" spans="2:8">
      <c r="B104" s="100" t="s">
        <v>121</v>
      </c>
      <c r="C104" s="116">
        <f>C60/(1+C102)^C76</f>
        <v>23.818063885638704</v>
      </c>
      <c r="D104" s="116"/>
    </row>
    <row r="105" spans="2:8" ht="13.15">
      <c r="B105" s="110" t="s">
        <v>395</v>
      </c>
      <c r="C105" s="111">
        <f>C103+C104</f>
        <v>24.820548736528732</v>
      </c>
      <c r="D105" t="s">
        <v>393</v>
      </c>
      <c r="E105" s="146" t="s">
        <v>125</v>
      </c>
      <c r="F105" s="291">
        <f>(1-C105/C66)</f>
        <v>0.25302615290709396</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2E9CB-A937-4BE4-AF3E-63621DFE05B6}">
  <dimension ref="B2:E2"/>
  <sheetViews>
    <sheetView showGridLines="0" tabSelected="1" workbookViewId="0">
      <selection activeCell="E38" sqref="E38"/>
    </sheetView>
  </sheetViews>
  <sheetFormatPr defaultRowHeight="12.75"/>
  <cols>
    <col min="1" max="1" width="2.59765625" style="360" customWidth="1"/>
    <col min="2" max="2" width="22.73046875" style="360" customWidth="1"/>
    <col min="3" max="5" width="20.73046875" style="360" customWidth="1"/>
    <col min="6" max="16384" width="9.06640625" style="360"/>
  </cols>
  <sheetData>
    <row r="2" spans="2:5" ht="13.9">
      <c r="B2" s="358" t="s">
        <v>456</v>
      </c>
      <c r="C2" s="359"/>
      <c r="D2" s="359"/>
      <c r="E2" s="3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Thesis</vt:lpstr>
      <vt:lpstr>Data</vt:lpstr>
      <vt:lpstr>BS</vt:lpstr>
      <vt:lpstr>Normalized_FCF</vt:lpstr>
      <vt:lpstr>DCF</vt:lpstr>
      <vt:lpstr>DDM</vt:lpstr>
      <vt:lpstr>Scenarios</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2025-07-10T09:22:51Z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