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E4BDD73-71FB-49F8-B386-4BA750EABB7D}"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1" r:id="rId8"/>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F38" i="4"/>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P94" i="2"/>
  <c r="O94" i="2"/>
  <c r="N94" i="2"/>
  <c r="J94" i="2"/>
  <c r="Q92" i="2"/>
  <c r="Q94" i="2"/>
  <c r="K94" i="2"/>
  <c r="I94" i="2"/>
  <c r="L94" i="2"/>
  <c r="M94" i="2"/>
  <c r="H94" i="2"/>
  <c r="N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c r="K115"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<sst xmlns="http://schemas.openxmlformats.org/spreadsheetml/2006/main" count="687" uniqueCount="466">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</sst>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457</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458</v>
      </c>
    </row>
    <row r="6" spans="1:10">
      <c r="B6" s="4" t="s">
        <v>0</v>
      </c>
      <c r="C6" s="51">
        <v>338656000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459</v>
      </c>
      <c r="D11" s="49" t="s">
        <v>460</v>
      </c>
      <c r="E11" s="34"/>
    </row>
    <row r="12" spans="1:10">
      <c r="B12" s="4" t="s">
        <v>94</v>
      </c>
      <c r="C12" s="50">
        <v>23.62</v>
      </c>
      <c r="D12" s="50"/>
      <c r="E12" s="48"/>
    </row>
    <row r="13" spans="1:10">
      <c r="B13" s="1" t="s">
        <v>412</v>
      </c>
      <c r="C13" s="48" t="s">
        <v>461</v>
      </c>
      <c r="D13" s="48"/>
      <c r="E13" s="5"/>
    </row>
    <row r="14" spans="1:10">
      <c r="B14" s="4" t="s">
        <v>416</v>
      </c>
      <c r="C14" s="35">
        <f>Thesis!C12*Common_Shares/1000000</f>
        <v>7999.0547200000001</v>
      </c>
      <c r="D14" s="35" t="str">
        <f>IF(D11="","",Thesis!D12*Common_Shares/1000000)</f>
        <v/>
      </c>
      <c r="E14" s="5"/>
    </row>
    <row r="15" spans="1:10">
      <c r="B15" s="4" t="s">
        <v>415</v>
      </c>
      <c r="C15" s="32" t="str">
        <f>IF(C25=C13,C13,C25&amp;"/"&amp;C13)</f>
        <v>USD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462</v>
      </c>
      <c r="D22" s="1" t="str">
        <f>IF(valuation_method="DDM","DDM Terminal Value","")</f>
        <v/>
      </c>
      <c r="E22" s="313"/>
    </row>
    <row r="23" spans="2:6">
      <c r="B23" s="1" t="s">
        <v>430</v>
      </c>
      <c r="C23" s="262" t="s">
        <v>457</v>
      </c>
    </row>
    <row r="24" spans="2:6">
      <c r="B24" s="1" t="s">
        <v>431</v>
      </c>
      <c r="C24" s="262" t="s">
        <v>457</v>
      </c>
    </row>
    <row r="25" spans="2:6">
      <c r="B25" s="4" t="s">
        <v>344</v>
      </c>
      <c r="C25" s="48" t="s">
        <v>461</v>
      </c>
      <c r="D25" s="32" t="str">
        <f>IF(D11="","",Market_currency&amp;"/"&amp;D13&amp;":")</f>
        <v/>
      </c>
      <c r="E25" s="299" t="str">
        <f>IF(D11="","",1/Exchange_Rate*D16)</f>
        <v/>
      </c>
    </row>
    <row r="26" spans="2:6">
      <c r="B26" s="1" t="str">
        <f>"Expected Equity Value ("&amp;C13&amp;") :"</f>
        <v>Expected Equity Value (USD) :</v>
      </c>
      <c r="C26" s="304">
        <f>C132</f>
        <v>33.230161875234657</v>
      </c>
      <c r="D26" s="1" t="s">
        <v>396</v>
      </c>
      <c r="E26" s="301">
        <f ca="1">Scenarios!C87</f>
        <v>0.13629894782965968</v>
      </c>
    </row>
    <row r="27" spans="2:6">
      <c r="D27" s="5"/>
      <c r="E27" s="5"/>
    </row>
    <row r="28" spans="2:6">
      <c r="B28" s="45" t="s">
        <v>429</v>
      </c>
      <c r="C28" s="309" t="str">
        <f>C145&amp;" ("&amp;Market_currency&amp;")"</f>
        <v>SIRI (USD)</v>
      </c>
      <c r="D28" s="309" t="str">
        <f>IF(D11="","",D145&amp;" ("&amp;D13&amp;")")</f>
        <v/>
      </c>
      <c r="E28" s="305" t="s">
        <v>425</v>
      </c>
      <c r="F28" s="303">
        <v>3</v>
      </c>
    </row>
    <row r="29" spans="2:6">
      <c r="B29" s="1" t="s">
        <v>421</v>
      </c>
      <c r="C29" s="310">
        <f>C149</f>
        <v>14.210808951982788</v>
      </c>
      <c r="D29" s="310" t="str">
        <f>D149</f>
        <v/>
      </c>
      <c r="E29" s="306" t="s">
        <v>420</v>
      </c>
      <c r="F29" s="302">
        <v>0.35</v>
      </c>
    </row>
    <row r="30" spans="2:6">
      <c r="B30" s="1" t="s">
        <v>422</v>
      </c>
      <c r="C30" s="311">
        <f>C157</f>
        <v>17.824937920120146</v>
      </c>
      <c r="D30" s="311" t="str">
        <f>D157</f>
        <v/>
      </c>
      <c r="E30" s="307" t="s">
        <v>433</v>
      </c>
      <c r="F30" s="312">
        <v>0.25</v>
      </c>
    </row>
    <row r="31" spans="2:6">
      <c r="B31" s="1" t="s">
        <v>423</v>
      </c>
      <c r="C31" s="311">
        <f>C165</f>
        <v>27.829540483416785</v>
      </c>
      <c r="D31" s="311" t="str">
        <f>D165</f>
        <v/>
      </c>
      <c r="E31" s="307" t="s">
        <v>432</v>
      </c>
      <c r="F31" s="312">
        <v>7.4999999999999997E-2</v>
      </c>
    </row>
    <row r="32" spans="2:6">
      <c r="B32" s="1" t="s">
        <v>424</v>
      </c>
      <c r="C32" s="311">
        <f>C173</f>
        <v>24.820548736528732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2626.9774440472893</v>
      </c>
      <c r="D41" s="1" t="str">
        <f>Reporting_currency</f>
        <v>USD</v>
      </c>
    </row>
    <row r="42" spans="1:6">
      <c r="B42" s="47"/>
      <c r="C42" s="76"/>
    </row>
    <row r="43" spans="1:6" ht="24.6" customHeight="1">
      <c r="B43" s="361" t="s">
        <v>232</v>
      </c>
      <c r="C43" s="361"/>
      <c r="D43" s="361"/>
      <c r="E43" s="361"/>
      <c r="F43" s="361"/>
    </row>
    <row r="44" spans="1:6">
      <c r="B44" s="47" t="s">
        <v>233</v>
      </c>
      <c r="C44" s="349">
        <f>Normalized_FCF!C9</f>
        <v>578</v>
      </c>
      <c r="D44" s="1" t="str">
        <f>Reporting_currency</f>
        <v>USD</v>
      </c>
    </row>
    <row r="45" spans="1:6">
      <c r="B45" s="52" t="s">
        <v>234</v>
      </c>
      <c r="C45" s="349">
        <f>Normalized_FCF!C10</f>
        <v>-632.31340126010366</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0</v>
      </c>
      <c r="D51" s="1" t="str">
        <f>Reporting_currency</f>
        <v>USD</v>
      </c>
      <c r="E51" s="286"/>
      <c r="F51" s="286"/>
    </row>
    <row r="52" spans="2:6">
      <c r="B52" s="47" t="s">
        <v>338</v>
      </c>
      <c r="C52" s="350">
        <f>Normalized_FCF!C47</f>
        <v>-496</v>
      </c>
      <c r="D52" s="1" t="str">
        <f>Reporting_currency</f>
        <v>USD</v>
      </c>
      <c r="E52" s="286"/>
      <c r="F52" s="286"/>
    </row>
    <row r="53" spans="2:6">
      <c r="B53" s="47" t="s">
        <v>237</v>
      </c>
      <c r="C53" s="349">
        <f>Normalized_FCF!C12</f>
        <v>-496</v>
      </c>
      <c r="D53" s="1" t="str">
        <f>Reporting_currency</f>
        <v>USD</v>
      </c>
    </row>
    <row r="55" spans="2:6">
      <c r="B55" s="1" t="s">
        <v>245</v>
      </c>
    </row>
    <row r="56" spans="2:6">
      <c r="B56" s="47" t="s">
        <v>264</v>
      </c>
      <c r="C56" s="349">
        <f>Normalized_FCF!C15</f>
        <v>0</v>
      </c>
      <c r="D56" s="1" t="str">
        <f>Reporting_currency</f>
        <v>USD</v>
      </c>
    </row>
    <row r="58" spans="2:6">
      <c r="B58" s="361" t="s">
        <v>240</v>
      </c>
      <c r="C58" s="361"/>
      <c r="D58" s="361"/>
      <c r="E58" s="361"/>
      <c r="F58" s="361"/>
    </row>
    <row r="59" spans="2:6">
      <c r="B59" s="47" t="s">
        <v>238</v>
      </c>
      <c r="C59" s="349">
        <f>Normalized_FCF!C14</f>
        <v>-532.74436101182232</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1080</v>
      </c>
      <c r="D67" s="1" t="str">
        <f>Reporting_currency</f>
        <v>USD</v>
      </c>
    </row>
    <row r="68" spans="1:6">
      <c r="B68" s="47" t="s">
        <v>247</v>
      </c>
      <c r="C68" s="349">
        <f>Normalized_FCF!C19</f>
        <v>1543.9196817753634</v>
      </c>
      <c r="D68" s="1" t="str">
        <f>Reporting_currency</f>
        <v>USD</v>
      </c>
    </row>
    <row r="69" spans="1:6">
      <c r="B69" s="227" t="s">
        <v>387</v>
      </c>
      <c r="C69" s="92">
        <f>Normalized_FCF!C126</f>
        <v>0.19301276661042313</v>
      </c>
      <c r="F69" s="314"/>
    </row>
    <row r="70" spans="1:6">
      <c r="B70" s="227" t="s">
        <v>454</v>
      </c>
      <c r="C70" s="92">
        <f>Normalized_FCF!C94</f>
        <v>1.7591871295512276E-2</v>
      </c>
      <c r="E70" s="47" t="s">
        <v>444</v>
      </c>
      <c r="F70" s="315">
        <f>Normalized_FCF!C92</f>
        <v>0.130205090311977</v>
      </c>
    </row>
    <row r="72" spans="1:6">
      <c r="B72" s="210" t="s">
        <v>447</v>
      </c>
      <c r="C72" s="323" t="s">
        <v>449</v>
      </c>
      <c r="D72" s="323" t="s">
        <v>450</v>
      </c>
    </row>
    <row r="73" spans="1:6">
      <c r="B73" s="47" t="s">
        <v>448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60.786153964509253</v>
      </c>
      <c r="D93" s="1" t="str">
        <f>Market_currency</f>
        <v>USD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10547</v>
      </c>
      <c r="D102" s="1" t="str">
        <f>Reporting_currency</f>
        <v>USD</v>
      </c>
    </row>
    <row r="103" spans="2:6">
      <c r="B103" s="47" t="s">
        <v>280</v>
      </c>
      <c r="C103" s="223">
        <f>C102*scaling_factor*Exchange_Rate/Common_Shares</f>
        <v>31.143697439289426</v>
      </c>
      <c r="D103" s="1" t="str">
        <f>Market_currency</f>
        <v>USD</v>
      </c>
    </row>
    <row r="104" spans="2:6">
      <c r="B104" s="296" t="s">
        <v>401</v>
      </c>
      <c r="C104" s="325">
        <f>IF(BS!G31/BS!G27&gt;300%,"nm",BS!G31/BS!G27)</f>
        <v>0.95241105291674188</v>
      </c>
    </row>
    <row r="105" spans="2:6">
      <c r="B105" s="296" t="s">
        <v>403</v>
      </c>
      <c r="C105" s="326">
        <f>IF(BS!C50&gt;30,"nm",BS!C50)</f>
        <v>4.0148803043206254</v>
      </c>
    </row>
    <row r="107" spans="2:6">
      <c r="B107" s="1" t="s">
        <v>253</v>
      </c>
    </row>
    <row r="108" spans="2:6">
      <c r="B108" s="47" t="s">
        <v>263</v>
      </c>
      <c r="C108" s="349">
        <f>BS!C66</f>
        <v>162</v>
      </c>
      <c r="D108" s="1" t="str">
        <f>Reporting_currency</f>
        <v>USD</v>
      </c>
    </row>
    <row r="109" spans="2:6">
      <c r="B109" s="47" t="s">
        <v>265</v>
      </c>
      <c r="C109" s="349">
        <f>DCF!C8</f>
        <v>-372.31656312939253</v>
      </c>
      <c r="D109" s="1" t="str">
        <f>Reporting_currency</f>
        <v>USD</v>
      </c>
    </row>
    <row r="110" spans="2:6">
      <c r="B110" s="47" t="s">
        <v>281</v>
      </c>
      <c r="C110" s="223">
        <f>C109*scaling_factor*Exchange_Rate/Common_Shares</f>
        <v>-1.0993945571003985</v>
      </c>
      <c r="D110" s="1" t="str">
        <f>Market_currency</f>
        <v>USD</v>
      </c>
    </row>
    <row r="112" spans="2:6">
      <c r="B112" s="1" t="s">
        <v>255</v>
      </c>
    </row>
    <row r="113" spans="1:6">
      <c r="B113" s="47" t="s">
        <v>256</v>
      </c>
      <c r="C113" s="349">
        <f>DCF!C9</f>
        <v>625.79999999999995</v>
      </c>
      <c r="D113" s="1" t="str">
        <f>Reporting_currency</f>
        <v>USD</v>
      </c>
    </row>
    <row r="114" spans="1:6">
      <c r="B114" s="47" t="s">
        <v>282</v>
      </c>
      <c r="C114" s="223">
        <f>C113*scaling_factor*Exchange_Rate/Common_Shares</f>
        <v>1.8478928470188039</v>
      </c>
      <c r="D114" s="1" t="str">
        <f>Market_currency</f>
        <v>USD</v>
      </c>
    </row>
    <row r="116" spans="1:6" ht="24.6" customHeight="1">
      <c r="B116" s="360" t="s">
        <v>363</v>
      </c>
      <c r="C116" s="360"/>
      <c r="D116" s="360"/>
      <c r="E116" s="360"/>
      <c r="F116" s="360"/>
    </row>
    <row r="118" spans="1:6">
      <c r="B118" s="47" t="s">
        <v>445</v>
      </c>
      <c r="C118" s="223">
        <f>IF(valuation_method="DCF",DCF!C12,DDM!C7)</f>
        <v>30.39095481513823</v>
      </c>
      <c r="D118" s="1" t="str">
        <f>Market_currency</f>
        <v>USD</v>
      </c>
    </row>
    <row r="119" spans="1:6">
      <c r="B119" s="296" t="s">
        <v>402</v>
      </c>
      <c r="C119" s="223">
        <f>BS!D47</f>
        <v>-38.360607814419353</v>
      </c>
      <c r="D119" s="1" t="str">
        <f>Market_currency</f>
        <v>USD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257</v>
      </c>
      <c r="C132" s="217">
        <f>Scenarios!C60</f>
        <v>33.230161875234657</v>
      </c>
      <c r="D132" s="212" t="str">
        <f>Market_currency</f>
        <v>USD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0.41552</v>
      </c>
      <c r="D143" s="212" t="str">
        <f>Market_currency</f>
        <v>USD</v>
      </c>
    </row>
    <row r="145" spans="2:4">
      <c r="B145" s="210" t="s">
        <v>405</v>
      </c>
      <c r="C145" s="241" t="str">
        <f>C11</f>
        <v>SIRI</v>
      </c>
      <c r="D145" s="241" t="str">
        <f>IF(D11="","",D11)</f>
        <v/>
      </c>
    </row>
    <row r="146" spans="2:4">
      <c r="B146" s="1" t="s">
        <v>404</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259</v>
      </c>
      <c r="C149" s="215">
        <f>Scenarios!C83</f>
        <v>14.210808951982788</v>
      </c>
      <c r="D149" s="300" t="str">
        <f>IF($D$11="","",C149*$E$25)</f>
        <v/>
      </c>
    </row>
    <row r="150" spans="2:4">
      <c r="B150" s="259" t="s">
        <v>412</v>
      </c>
      <c r="C150" s="298" t="str">
        <f>Market_currency</f>
        <v>USD</v>
      </c>
      <c r="D150" s="298" t="str">
        <f>IF($D$11="","",D$13)</f>
        <v/>
      </c>
    </row>
    <row r="151" spans="2:4">
      <c r="B151" s="214" t="s">
        <v>261</v>
      </c>
      <c r="C151" s="92">
        <f>Scenarios!F83</f>
        <v>0.57235209971776768</v>
      </c>
    </row>
    <row r="153" spans="2:4">
      <c r="B153" s="210" t="s">
        <v>408</v>
      </c>
    </row>
    <row r="154" spans="2:4">
      <c r="B154" s="1" t="s">
        <v>407</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259</v>
      </c>
      <c r="C157" s="215">
        <f>Scenarios!C93</f>
        <v>17.824937920120146</v>
      </c>
      <c r="D157" s="300" t="str">
        <f>IF($D$11="","",C157*$E$25)</f>
        <v/>
      </c>
    </row>
    <row r="158" spans="2:4">
      <c r="B158" s="259" t="s">
        <v>412</v>
      </c>
      <c r="C158" s="298" t="str">
        <f>Market_currency</f>
        <v>USD</v>
      </c>
      <c r="D158" s="298" t="str">
        <f>IF($D$11="","",D$13)</f>
        <v/>
      </c>
    </row>
    <row r="159" spans="2:4">
      <c r="B159" s="214" t="s">
        <v>261</v>
      </c>
      <c r="C159" s="92">
        <f>Scenarios!F93</f>
        <v>0.46359160129748023</v>
      </c>
    </row>
    <row r="161" spans="2:4">
      <c r="B161" s="210" t="s">
        <v>397</v>
      </c>
    </row>
    <row r="162" spans="2:4">
      <c r="B162" s="1" t="s">
        <v>406</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398</v>
      </c>
      <c r="C165" s="215">
        <f>Scenarios!C99</f>
        <v>27.829540483416785</v>
      </c>
      <c r="D165" s="300" t="str">
        <f>IF($D$11="","",C165*$E$25)</f>
        <v/>
      </c>
    </row>
    <row r="166" spans="2:4">
      <c r="B166" s="259" t="s">
        <v>412</v>
      </c>
      <c r="C166" s="298" t="str">
        <f>Market_currency</f>
        <v>USD</v>
      </c>
      <c r="D166" s="298" t="str">
        <f>IF($D$11="","",D$13)</f>
        <v/>
      </c>
    </row>
    <row r="167" spans="2:4">
      <c r="B167" s="214" t="s">
        <v>261</v>
      </c>
      <c r="C167" s="92">
        <f>Scenarios!F99</f>
        <v>0.16252166968355264</v>
      </c>
    </row>
    <row r="169" spans="2:4">
      <c r="B169" s="210" t="s">
        <v>428</v>
      </c>
    </row>
    <row r="170" spans="2:4">
      <c r="B170" s="1" t="s">
        <v>419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398</v>
      </c>
      <c r="C173" s="215">
        <f>Scenarios!C105</f>
        <v>24.820548736528732</v>
      </c>
      <c r="D173" s="300" t="str">
        <f>IF($D$11="","",C173*$E$25)</f>
        <v/>
      </c>
    </row>
    <row r="174" spans="2:4">
      <c r="B174" s="259" t="s">
        <v>412</v>
      </c>
      <c r="C174" s="298" t="str">
        <f>Market_currency</f>
        <v>USD</v>
      </c>
      <c r="D174" s="298" t="str">
        <f>IF($D$11="","",D$13)</f>
        <v/>
      </c>
    </row>
    <row r="175" spans="2:4">
      <c r="B175" s="214" t="s">
        <v>261</v>
      </c>
      <c r="C175" s="92">
        <f>Scenarios!F105</f>
        <v>0.25302615290709396</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8699</v>
      </c>
      <c r="D4" s="351">
        <v>8953</v>
      </c>
      <c r="E4" s="351">
        <v>9003</v>
      </c>
      <c r="F4" s="351">
        <v>8696</v>
      </c>
      <c r="G4" s="351">
        <v>8040</v>
      </c>
      <c r="H4" s="351">
        <v>7794</v>
      </c>
      <c r="I4" s="351">
        <v>5770.692</v>
      </c>
      <c r="J4" s="351">
        <v>5425.1289999999999</v>
      </c>
      <c r="K4" s="351">
        <v>5017.22</v>
      </c>
      <c r="L4" s="351">
        <v>4570.058</v>
      </c>
      <c r="M4" s="351"/>
    </row>
    <row r="5" spans="2:13">
      <c r="B5" s="40" t="s">
        <v>43</v>
      </c>
      <c r="C5" s="351">
        <v>4129</v>
      </c>
      <c r="D5" s="351">
        <v>4209</v>
      </c>
      <c r="E5" s="351">
        <v>4130</v>
      </c>
      <c r="F5" s="351">
        <v>3968</v>
      </c>
      <c r="G5" s="351">
        <v>3579</v>
      </c>
      <c r="H5" s="351">
        <v>3427</v>
      </c>
      <c r="I5" s="351">
        <v>2308.6060000000002</v>
      </c>
      <c r="J5" s="351">
        <v>2101.982</v>
      </c>
      <c r="K5" s="351">
        <v>1993.327</v>
      </c>
      <c r="L5" s="351">
        <v>1843.164</v>
      </c>
      <c r="M5" s="351"/>
    </row>
    <row r="6" spans="2:13">
      <c r="B6" s="40" t="s">
        <v>54</v>
      </c>
      <c r="C6" s="351">
        <f>296+497+578+C7</f>
        <v>2634</v>
      </c>
      <c r="D6" s="351">
        <f>322+608+624+D7</f>
        <v>2844</v>
      </c>
      <c r="E6" s="351"/>
      <c r="F6" s="351"/>
      <c r="G6" s="351"/>
      <c r="H6" s="351"/>
      <c r="I6" s="351"/>
      <c r="J6" s="351"/>
      <c r="K6" s="351"/>
      <c r="L6" s="351"/>
      <c r="M6" s="351"/>
    </row>
    <row r="7" spans="2:13">
      <c r="B7" s="69" t="s">
        <v>61</v>
      </c>
      <c r="C7" s="352">
        <f>369+894</f>
        <v>1263</v>
      </c>
      <c r="D7" s="352">
        <f>359+931</f>
        <v>1290</v>
      </c>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67</v>
      </c>
      <c r="C13" s="351"/>
      <c r="D13" s="351"/>
      <c r="E13" s="351"/>
      <c r="F13" s="351"/>
      <c r="G13" s="351"/>
      <c r="H13" s="351"/>
      <c r="I13" s="351"/>
      <c r="J13" s="351"/>
      <c r="K13" s="351"/>
      <c r="L13" s="351"/>
      <c r="M13" s="351"/>
    </row>
    <row r="14" spans="2:13">
      <c r="B14" s="40" t="s">
        <v>50</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42</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44</v>
      </c>
      <c r="C16" s="351">
        <v>-410</v>
      </c>
      <c r="D16" s="351">
        <v>202</v>
      </c>
      <c r="E16" s="351"/>
      <c r="F16" s="351"/>
      <c r="G16" s="351"/>
      <c r="H16" s="351"/>
      <c r="I16" s="351"/>
      <c r="J16" s="351"/>
      <c r="K16" s="351"/>
      <c r="L16" s="351"/>
      <c r="M16" s="351"/>
    </row>
    <row r="18" spans="2:13">
      <c r="B18" s="16" t="s">
        <v>51</v>
      </c>
      <c r="C18" s="9"/>
    </row>
    <row r="19" spans="2:13">
      <c r="B19" s="27" t="s">
        <v>47</v>
      </c>
      <c r="C19" s="351">
        <v>578</v>
      </c>
      <c r="D19" s="351">
        <v>624</v>
      </c>
      <c r="E19" s="351"/>
      <c r="F19" s="351"/>
      <c r="G19" s="351"/>
      <c r="H19" s="351"/>
      <c r="I19" s="351"/>
      <c r="J19" s="351"/>
      <c r="K19" s="351"/>
      <c r="L19" s="351"/>
      <c r="M19" s="351"/>
    </row>
    <row r="20" spans="2:13">
      <c r="B20" s="27" t="s">
        <v>53</v>
      </c>
      <c r="C20" s="351">
        <v>728</v>
      </c>
      <c r="D20" s="351">
        <v>728</v>
      </c>
      <c r="E20" s="351">
        <v>650</v>
      </c>
      <c r="F20" s="351">
        <v>426</v>
      </c>
      <c r="G20" s="351">
        <v>388</v>
      </c>
      <c r="H20" s="351"/>
      <c r="I20" s="351"/>
      <c r="J20" s="351"/>
      <c r="K20" s="351"/>
      <c r="L20" s="351"/>
      <c r="M20" s="351"/>
    </row>
    <row r="21" spans="2:13">
      <c r="B21" s="27" t="s">
        <v>52</v>
      </c>
      <c r="C21" s="351">
        <v>259</v>
      </c>
      <c r="D21" s="351">
        <v>259</v>
      </c>
      <c r="E21" s="351">
        <v>169</v>
      </c>
      <c r="F21" s="351">
        <v>340</v>
      </c>
      <c r="G21" s="351">
        <v>411</v>
      </c>
      <c r="H21" s="351"/>
      <c r="I21" s="351"/>
      <c r="J21" s="351"/>
      <c r="K21" s="351"/>
      <c r="L21" s="351"/>
      <c r="M21" s="351"/>
    </row>
    <row r="22" spans="2:13">
      <c r="B22" s="27" t="s">
        <v>368</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370</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369</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464</v>
      </c>
    </row>
    <row r="28" spans="2:13">
      <c r="B28" s="26" t="s">
        <v>24</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32</v>
      </c>
      <c r="C29" s="333">
        <f>BS!C6</f>
        <v>0</v>
      </c>
      <c r="D29" s="351"/>
      <c r="E29" s="351"/>
      <c r="F29" s="351"/>
      <c r="G29" s="351"/>
      <c r="H29" s="351"/>
      <c r="I29" s="351"/>
      <c r="J29" s="351"/>
      <c r="K29" s="351"/>
      <c r="L29" s="351"/>
      <c r="M29" s="351"/>
    </row>
    <row r="30" spans="2:13">
      <c r="B30" s="29" t="s">
        <v>40</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30</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171</v>
      </c>
      <c r="C32" s="333">
        <f>BS!G28</f>
        <v>0</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43</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58</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54</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61</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167</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68</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50</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42</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44</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51</v>
      </c>
      <c r="C60" s="9"/>
    </row>
    <row r="61" spans="2:13">
      <c r="B61" s="27" t="s">
        <v>47</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52</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390</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167</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85</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30</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676</v>
      </c>
      <c r="D4" s="261">
        <v>0.6</v>
      </c>
      <c r="E4" s="25"/>
      <c r="F4" s="4" t="s">
        <v>77</v>
      </c>
      <c r="G4" s="19">
        <v>162</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290</v>
      </c>
      <c r="D9" s="261">
        <v>0.1</v>
      </c>
      <c r="E9" s="25"/>
      <c r="F9" s="4" t="s">
        <v>179</v>
      </c>
      <c r="G9" s="19">
        <v>0</v>
      </c>
      <c r="H9" s="261">
        <v>0.6</v>
      </c>
    </row>
    <row r="10" spans="2:8" ht="15" customHeight="1">
      <c r="B10" s="4" t="s">
        <v>11</v>
      </c>
      <c r="C10" s="19">
        <v>0</v>
      </c>
      <c r="D10" s="261">
        <v>0.9</v>
      </c>
      <c r="H10" s="262"/>
    </row>
    <row r="11" spans="2:8" ht="15" customHeight="1">
      <c r="B11" s="4" t="s">
        <v>12</v>
      </c>
      <c r="C11" s="19">
        <v>21</v>
      </c>
      <c r="D11" s="261">
        <v>0.05</v>
      </c>
      <c r="H11" s="262"/>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1043</v>
      </c>
      <c r="H17" s="261">
        <v>0.6</v>
      </c>
    </row>
    <row r="18" spans="2:8" ht="15" customHeight="1">
      <c r="B18" s="4" t="s">
        <v>172</v>
      </c>
      <c r="C18" s="19">
        <v>0</v>
      </c>
      <c r="D18" s="261">
        <v>0.6</v>
      </c>
      <c r="F18" s="4" t="s">
        <v>180</v>
      </c>
      <c r="G18" s="19">
        <v>0</v>
      </c>
      <c r="H18" s="261">
        <v>0.1</v>
      </c>
    </row>
    <row r="19" spans="2:8" ht="15" customHeight="1">
      <c r="B19" s="4" t="s">
        <v>26</v>
      </c>
      <c r="C19" s="19">
        <v>2109</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f>8610+1579</f>
        <v>10189</v>
      </c>
      <c r="D21" s="261">
        <v>0.2</v>
      </c>
      <c r="F21" s="1" t="s">
        <v>179</v>
      </c>
      <c r="G21" s="19">
        <v>0</v>
      </c>
      <c r="H21" s="261">
        <v>0.1</v>
      </c>
    </row>
    <row r="22" spans="2:8" ht="15" customHeight="1">
      <c r="B22" s="4" t="s">
        <v>20</v>
      </c>
      <c r="C22" s="19">
        <v>0</v>
      </c>
      <c r="D22" s="261">
        <v>0.9</v>
      </c>
      <c r="H22" s="262"/>
    </row>
    <row r="23" spans="2:8" ht="15" customHeight="1">
      <c r="B23" s="4" t="s">
        <v>21</v>
      </c>
      <c r="C23" s="19">
        <f>12390+641</f>
        <v>13031</v>
      </c>
      <c r="D23" s="261">
        <v>0</v>
      </c>
      <c r="H23" s="262"/>
    </row>
    <row r="24" spans="2:8" ht="15" customHeight="1">
      <c r="B24" s="80" t="s">
        <v>73</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199</v>
      </c>
      <c r="C26" s="182" t="s">
        <v>135</v>
      </c>
      <c r="F26" s="184" t="s">
        <v>195</v>
      </c>
      <c r="G26" s="185" t="s">
        <v>135</v>
      </c>
      <c r="H26" s="186" t="s">
        <v>35</v>
      </c>
    </row>
    <row r="27" spans="2:8" ht="15" customHeight="1">
      <c r="B27" s="4" t="s">
        <v>5</v>
      </c>
      <c r="C27" s="19">
        <v>172</v>
      </c>
      <c r="F27" s="187" t="s">
        <v>30</v>
      </c>
      <c r="G27" s="85">
        <f>G32-G30</f>
        <v>11074</v>
      </c>
      <c r="H27" s="188">
        <f>H32-G30</f>
        <v>-12991.05</v>
      </c>
    </row>
    <row r="28" spans="2:8" ht="15" customHeight="1">
      <c r="B28" s="4" t="s">
        <v>6</v>
      </c>
      <c r="C28" s="19">
        <v>0</v>
      </c>
      <c r="F28" s="189" t="s">
        <v>243</v>
      </c>
      <c r="G28" s="12">
        <v>0</v>
      </c>
      <c r="H28" s="188"/>
    </row>
    <row r="29" spans="2:8" ht="15" customHeight="1">
      <c r="B29" s="4" t="s">
        <v>7</v>
      </c>
      <c r="C29" s="19">
        <v>0</v>
      </c>
      <c r="F29" s="190" t="s">
        <v>75</v>
      </c>
      <c r="G29" s="14">
        <f>G27-G28</f>
        <v>11074</v>
      </c>
      <c r="H29" s="188">
        <f>H27-G28</f>
        <v>-12991.05</v>
      </c>
    </row>
    <row r="30" spans="2:8" ht="15" customHeight="1">
      <c r="B30" s="2" t="s">
        <v>8</v>
      </c>
      <c r="C30" s="19">
        <v>61</v>
      </c>
      <c r="F30" s="187" t="s">
        <v>23</v>
      </c>
      <c r="G30" s="85">
        <f>C33+C42</f>
        <v>16447</v>
      </c>
      <c r="H30" s="188"/>
    </row>
    <row r="31" spans="2:8" ht="15" customHeight="1">
      <c r="B31" s="80" t="s">
        <v>202</v>
      </c>
      <c r="C31" s="81">
        <f>SUM(C27:C30)</f>
        <v>233</v>
      </c>
      <c r="F31" s="190" t="s">
        <v>76</v>
      </c>
      <c r="G31" s="191">
        <f>C31+C40</f>
        <v>10547</v>
      </c>
      <c r="H31" s="188"/>
    </row>
    <row r="32" spans="2:8" ht="15" customHeight="1">
      <c r="B32" s="4" t="s">
        <v>9</v>
      </c>
      <c r="C32" s="21">
        <f>C33-C31</f>
        <v>2498</v>
      </c>
      <c r="F32" s="192" t="s">
        <v>74</v>
      </c>
      <c r="G32" s="193">
        <f>G35+G40</f>
        <v>27521</v>
      </c>
      <c r="H32" s="188">
        <f>H35+H40</f>
        <v>3455.9500000000003</v>
      </c>
    </row>
    <row r="33" spans="2:8" ht="15" customHeight="1">
      <c r="B33" s="83" t="s">
        <v>4</v>
      </c>
      <c r="C33" s="84">
        <v>2731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26316</v>
      </c>
      <c r="H35" s="200">
        <f>D12+D24</f>
        <v>2684.3500000000004</v>
      </c>
    </row>
    <row r="36" spans="2:8" ht="15" customHeight="1">
      <c r="B36" s="4" t="s">
        <v>13</v>
      </c>
      <c r="C36" s="19">
        <v>0</v>
      </c>
      <c r="F36" s="190" t="s">
        <v>196</v>
      </c>
      <c r="G36" s="191">
        <f>C4+C15</f>
        <v>676</v>
      </c>
      <c r="H36" s="195"/>
    </row>
    <row r="37" spans="2:8" ht="15" customHeight="1">
      <c r="B37" s="4" t="s">
        <v>14</v>
      </c>
      <c r="C37" s="19">
        <v>0</v>
      </c>
      <c r="F37" s="190" t="s">
        <v>197</v>
      </c>
      <c r="G37" s="191">
        <f>C6</f>
        <v>0</v>
      </c>
      <c r="H37" s="195"/>
    </row>
    <row r="38" spans="2:8" ht="15" customHeight="1">
      <c r="B38" s="4" t="s">
        <v>15</v>
      </c>
      <c r="C38" s="19">
        <v>0</v>
      </c>
      <c r="F38" s="190" t="s">
        <v>198</v>
      </c>
      <c r="G38" s="191">
        <f>C7+C17</f>
        <v>0</v>
      </c>
      <c r="H38" s="195"/>
    </row>
    <row r="39" spans="2:8" ht="15" customHeight="1">
      <c r="B39" s="2" t="s">
        <v>16</v>
      </c>
      <c r="C39" s="19">
        <v>10314</v>
      </c>
      <c r="F39" s="190" t="s">
        <v>79</v>
      </c>
      <c r="G39" s="191">
        <f>C7+C17+C19+C20</f>
        <v>2109</v>
      </c>
      <c r="H39" s="188">
        <f>C7*D7+C17*D17+C19*D19+C20*D20</f>
        <v>210.9</v>
      </c>
    </row>
    <row r="40" spans="2:8" ht="15" customHeight="1">
      <c r="B40" s="80" t="s">
        <v>203</v>
      </c>
      <c r="C40" s="81">
        <f>SUM(C36:C39)</f>
        <v>10314</v>
      </c>
      <c r="F40" s="199" t="s">
        <v>137</v>
      </c>
      <c r="G40" s="193">
        <f>G12+G24</f>
        <v>1205</v>
      </c>
      <c r="H40" s="200">
        <f>H12+H24</f>
        <v>771.59999999999991</v>
      </c>
    </row>
    <row r="41" spans="2:8" ht="15" customHeight="1">
      <c r="B41" s="4" t="s">
        <v>17</v>
      </c>
      <c r="C41" s="21">
        <f>C42-C40</f>
        <v>3402</v>
      </c>
      <c r="F41" s="190" t="s">
        <v>190</v>
      </c>
      <c r="G41" s="191">
        <f>C70</f>
        <v>162</v>
      </c>
      <c r="H41" s="200">
        <f>H40-H42</f>
        <v>145.79999999999995</v>
      </c>
    </row>
    <row r="42" spans="2:8" ht="15" customHeight="1">
      <c r="B42" s="83" t="s">
        <v>22</v>
      </c>
      <c r="C42" s="84">
        <v>13716</v>
      </c>
      <c r="F42" s="201" t="s">
        <v>191</v>
      </c>
      <c r="G42" s="202">
        <f>C82</f>
        <v>1043</v>
      </c>
      <c r="H42" s="203">
        <f>D82</f>
        <v>625.79999999999995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4.0148803043206254</v>
      </c>
      <c r="D50" s="95">
        <f>G31/Normalized_FCF!G8</f>
        <v>5.4478305785123968</v>
      </c>
      <c r="F50" s="253"/>
    </row>
    <row r="51" spans="2:8" ht="15" customHeight="1">
      <c r="B51" s="1" t="s">
        <v>175</v>
      </c>
      <c r="C51" s="181"/>
      <c r="D51" s="92">
        <f>G29/G32</f>
        <v>0.40238363431561353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9.9824344279042757E-2</v>
      </c>
      <c r="D54" s="92">
        <f>Normalized_FCF!G8/G35</f>
        <v>7.3567411460708318E-2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0.27406353722143195</v>
      </c>
      <c r="F58" s="5"/>
    </row>
    <row r="59" spans="2:8" ht="15" customHeight="1">
      <c r="B59" s="1" t="s">
        <v>92</v>
      </c>
      <c r="C59" s="98"/>
      <c r="D59" s="92">
        <f>G39/G32</f>
        <v>7.6632389811416735E-2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162</v>
      </c>
      <c r="D66" s="76">
        <f>C66-D75</f>
        <v>-372.31656312939253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162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-580.33551679999994</v>
      </c>
      <c r="D73" s="349">
        <f>(Normalized_FCF!C25+Normalized_FCF!C35-Normalized_FCF!C91)/12</f>
        <v>-534.31656312939253</v>
      </c>
      <c r="F73" s="1" t="s">
        <v>348</v>
      </c>
    </row>
    <row r="74" spans="2:6" ht="15" customHeight="1">
      <c r="B74" s="257" t="s">
        <v>318</v>
      </c>
      <c r="C74" s="258">
        <f>-$C$66/C73</f>
        <v>0.27914886356305812</v>
      </c>
      <c r="D74" s="258">
        <f>-$C$66/D73</f>
        <v>0.30319105036010147</v>
      </c>
      <c r="F74" s="253" t="s">
        <v>316</v>
      </c>
    </row>
    <row r="75" spans="2:6" ht="15" customHeight="1">
      <c r="B75" s="80" t="s">
        <v>317</v>
      </c>
      <c r="C75" s="320"/>
      <c r="D75" s="321">
        <f>MAX(-D73*D76,G5)</f>
        <v>534.31656312939253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1043</v>
      </c>
      <c r="D79" s="76">
        <f>G7*H7+G17*H17</f>
        <v>625.79999999999995</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1043</v>
      </c>
      <c r="D82" s="81">
        <f>SUM(D79:D81)</f>
        <v>625.79999999999995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-10547</v>
      </c>
      <c r="D86" s="223">
        <f>C86*scaling_factor/Common_Shares</f>
        <v>-31.143697439289426</v>
      </c>
      <c r="E86" s="240" t="str">
        <f>Market_currency</f>
        <v>USD</v>
      </c>
    </row>
    <row r="87" spans="2:8" ht="15" customHeight="1">
      <c r="B87" s="238" t="s">
        <v>286</v>
      </c>
      <c r="C87" s="76">
        <f>DCF!C8*Exchange_Rate</f>
        <v>-372.31656312939253</v>
      </c>
      <c r="D87" s="223">
        <f>C87*scaling_factor/Common_Shares</f>
        <v>-1.0993945571003985</v>
      </c>
      <c r="E87" s="240" t="str">
        <f>Market_currency</f>
        <v>USD</v>
      </c>
    </row>
    <row r="88" spans="2:8" ht="15" customHeight="1">
      <c r="B88" s="239" t="s">
        <v>188</v>
      </c>
      <c r="C88" s="76">
        <f>DCF!C9*Exchange_Rate</f>
        <v>625.79999999999995</v>
      </c>
      <c r="D88" s="223">
        <f>C88*scaling_factor/Common_Shares</f>
        <v>1.8478928470188039</v>
      </c>
      <c r="E88" s="240" t="str">
        <f>Market_currency</f>
        <v>USD</v>
      </c>
    </row>
    <row r="89" spans="2:8" ht="15" customHeight="1">
      <c r="B89" s="80" t="s">
        <v>290</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46</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48</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45</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151</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65</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163</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63</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242</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62</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0.46495293265187104</v>
      </c>
      <c r="D28" s="26"/>
      <c r="E28" s="266" t="s">
        <v>330</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330</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-1462.5</v>
      </c>
      <c r="E33" s="266" t="s">
        <v>330</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4.7027590784109223E-2</v>
      </c>
      <c r="E54" s="265" t="s">
        <v>333</v>
      </c>
      <c r="G54" s="23">
        <f>IFERROR(ABS(Normalized_FCF!G47/BS!$G$31),0)</f>
        <v>4.7027590784109223E-2</v>
      </c>
      <c r="H54" s="169"/>
      <c r="I54" s="169"/>
      <c r="J54" s="169"/>
      <c r="K54" s="169"/>
      <c r="L54" s="169"/>
      <c r="M54" s="169"/>
      <c r="N54" s="169"/>
      <c r="O54" s="169"/>
      <c r="P54" s="169"/>
      <c r="Q54" s="169"/>
    </row>
    <row r="55" spans="1:17" ht="15.75" customHeight="1">
      <c r="A55" s="10"/>
      <c r="B55" s="26" t="s">
        <v>90</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194</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151</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7.1546875761376333E-2</v>
      </c>
      <c r="D78" s="27"/>
      <c r="E78" s="266" t="s">
        <v>465</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163</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0.3</v>
      </c>
      <c r="E93" s="268"/>
      <c r="G93" s="357"/>
      <c r="H93" s="357"/>
      <c r="I93" s="357"/>
      <c r="J93" s="357"/>
      <c r="K93" s="357"/>
      <c r="L93" s="357"/>
      <c r="M93" s="357"/>
      <c r="N93" s="357"/>
      <c r="O93" s="357"/>
      <c r="P93" s="357"/>
      <c r="Q93" s="357"/>
    </row>
    <row r="94" spans="1:17" ht="15.75" customHeight="1">
      <c r="A94" s="10"/>
      <c r="B94" s="2" t="s">
        <v>452</v>
      </c>
      <c r="C94" s="23">
        <f>(C90*(1-dividend_tax_rate))/Market_Price</f>
        <v>1.7591871295512276E-2</v>
      </c>
      <c r="E94" s="268"/>
      <c r="G94" s="23">
        <f t="shared" ref="G94:Q94" si="39">IF(G$4="","",(G90*(1-dividend_tax_rate))/Market_Price)</f>
        <v>1.7591871295512276E-2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163</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209</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30</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389</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83</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91</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221</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268</v>
      </c>
      <c r="C126" s="77">
        <f>C19*Exchange_Rate*$C$3/(Market_Price*Common_Shares)</f>
        <v>0.19301276661042313</v>
      </c>
      <c r="D126" s="27"/>
      <c r="E126" s="265"/>
      <c r="F126" s="27"/>
      <c r="G126" s="77">
        <f t="shared" ref="G126" si="50">IF(G$4="","",G125/Market_Price)</f>
        <v>0.13501595348506379</v>
      </c>
      <c r="H126" s="77">
        <f t="shared" ref="H126" si="51">IF(H$4="","",H125/Market_Price)</f>
        <v>0.11388845706008621</v>
      </c>
      <c r="I126" s="77">
        <f t="shared" ref="I126" si="52">IF(I$4="","",I125/Market_Price)</f>
        <v>0.42617535688016889</v>
      </c>
      <c r="J126" s="77">
        <f t="shared" ref="J126" si="53">IF(J$4="","",J125/Market_Price)</f>
        <v>0.45942928616445317</v>
      </c>
      <c r="K126" s="77">
        <f t="shared" ref="K126" si="54">IF(K$4="","",K125/Market_Price)</f>
        <v>0.42254992849955147</v>
      </c>
      <c r="L126" s="77">
        <f t="shared" ref="L126" si="55">IF(L$4="","",L125/Market_Price)</f>
        <v>0.46180456682761634</v>
      </c>
      <c r="M126" s="77">
        <f t="shared" ref="M126" si="56">IF(M$4="","",M125/Market_Price)</f>
        <v>0.35845885549836565</v>
      </c>
      <c r="N126" s="77">
        <f t="shared" ref="N126" si="57">IF(N$4="","",N125/Market_Price)</f>
        <v>0.2951631264750243</v>
      </c>
      <c r="O126" s="77">
        <f t="shared" ref="O126" si="58">IF(O$4="","",O125/Market_Price)</f>
        <v>0.29340229341498997</v>
      </c>
      <c r="P126" s="77">
        <f t="shared" ref="P126" si="59">IF(P$4="","",P125/Market_Price)</f>
        <v>0.25572409135863494</v>
      </c>
      <c r="Q126" s="77" t="str">
        <f t="shared" ref="Q126" si="60">IF(Q$4="","",Q125/Market_Price)</f>
        <v/>
      </c>
    </row>
    <row r="127" spans="1:17" ht="15.75" customHeight="1">
      <c r="B127" s="2" t="s">
        <v>391</v>
      </c>
      <c r="C127" s="169"/>
      <c r="G127" s="23">
        <f>IF(G$4="","",(Data!C47*$C$3)/(Market_Price*Common_Shares))</f>
        <v>-0.25940565137176608</v>
      </c>
      <c r="H127" s="23">
        <f>IF(H$4="","",(Data!D47*$C$3)/(Market_Price*Common_Shares))</f>
        <v>0.15726858285575024</v>
      </c>
      <c r="I127" s="23">
        <f>IF(I$4="","",(Data!E47*$C$3)/(Market_Price*Common_Shares))</f>
        <v>0.1516429181272059</v>
      </c>
      <c r="J127" s="23">
        <f>IF(J$4="","",(Data!F47*$C$3)/(Market_Price*Common_Shares))</f>
        <v>0.16426941007349427</v>
      </c>
      <c r="K127" s="23">
        <f>IF(K$4="","",(Data!G47*$C$3)/(Market_Price*Common_Shares))</f>
        <v>1.6376935098651256E-2</v>
      </c>
      <c r="L127" s="23">
        <f>IF(L$4="","",(Data!H47*$C$3)/(Market_Price*Common_Shares))</f>
        <v>0.11426350137532251</v>
      </c>
      <c r="M127" s="23">
        <f>IF(M$4="","",(Data!I47*$C$3)/(Market_Price*Common_Shares))</f>
        <v>0.14700399499204825</v>
      </c>
      <c r="N127" s="23">
        <f>IF(N$4="","",(Data!J47*$C$3)/(Market_Price*Common_Shares))</f>
        <v>8.09980707320377E-2</v>
      </c>
      <c r="O127" s="23">
        <f>IF(O$4="","",(Data!K47*$C$3)/(Market_Price*Common_Shares))</f>
        <v>9.3252643732383414E-2</v>
      </c>
      <c r="P127" s="23">
        <f>IF(P$4="","",(Data!L47*$C$3)/(Market_Price*Common_Shares))</f>
        <v>6.3723029513167273E-2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1543.9196817753634</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20585.595757004845</v>
      </c>
      <c r="D6" t="str">
        <f>Reporting_currency</f>
        <v>USD</v>
      </c>
      <c r="E6" s="366" t="s">
        <v>248</v>
      </c>
      <c r="F6" s="366"/>
      <c r="H6" s="120"/>
    </row>
    <row r="7" spans="2:8">
      <c r="B7" s="148" t="s">
        <v>223</v>
      </c>
      <c r="C7" s="338">
        <f>BS!G31</f>
        <v>10547</v>
      </c>
      <c r="D7" t="str">
        <f>Reporting_currency</f>
        <v>USD</v>
      </c>
      <c r="E7" s="366"/>
      <c r="F7" s="366"/>
      <c r="H7" s="120"/>
    </row>
    <row r="8" spans="2:8">
      <c r="B8" s="148" t="s">
        <v>224</v>
      </c>
      <c r="C8" s="338">
        <f>BS!D66</f>
        <v>-372.31656312939253</v>
      </c>
      <c r="D8" t="str">
        <f>Reporting_currency</f>
        <v>USD</v>
      </c>
      <c r="E8" s="366"/>
      <c r="F8" s="366"/>
      <c r="H8" s="120"/>
    </row>
    <row r="9" spans="2:8">
      <c r="B9" s="205" t="s">
        <v>189</v>
      </c>
      <c r="C9" s="348">
        <f>BS!H42</f>
        <v>625.79999999999995</v>
      </c>
      <c r="D9" t="str">
        <f>Reporting_currency</f>
        <v>USD</v>
      </c>
      <c r="E9" s="366"/>
      <c r="F9" s="366"/>
      <c r="H9" s="120"/>
    </row>
    <row r="10" spans="2:8" ht="13.15">
      <c r="B10" s="149" t="s">
        <v>226</v>
      </c>
      <c r="C10" s="347">
        <f>C6-C7+C8+C9</f>
        <v>10292.079193875452</v>
      </c>
      <c r="D10" t="str">
        <f>Reporting_currency</f>
        <v>USD</v>
      </c>
      <c r="H10" s="120"/>
    </row>
    <row r="11" spans="2:8" ht="13.15" thickBot="1">
      <c r="B11" s="207" t="s">
        <v>165</v>
      </c>
      <c r="C11" s="208">
        <f>Exchange_Rate</f>
        <v>1</v>
      </c>
      <c r="D11" t="str">
        <f>Thesis!C15</f>
        <v>USD</v>
      </c>
      <c r="H11" s="120"/>
    </row>
    <row r="12" spans="2:8" ht="13.5" thickTop="1">
      <c r="B12" s="149" t="s">
        <v>102</v>
      </c>
      <c r="C12" s="111">
        <f>(C10*scaling_factor)/Common_Shares*Exchange_Rate</f>
        <v>30.39095481513823</v>
      </c>
      <c r="D12" t="str">
        <f>Market_currency</f>
        <v>USD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1.49597842339395E-2</v>
      </c>
      <c r="H16" s="120"/>
    </row>
    <row r="17" spans="2:17" ht="13.35" customHeight="1">
      <c r="B17" s="118" t="s">
        <v>133</v>
      </c>
      <c r="C17" s="162">
        <f>Scenarios!C64</f>
        <v>10</v>
      </c>
      <c r="H17" s="120"/>
    </row>
    <row r="18" spans="2:17" ht="13.35" customHeight="1">
      <c r="B18" s="153" t="s">
        <v>106</v>
      </c>
      <c r="C18" s="140">
        <f>(F52-C7+C8+C9)*Exchange_Rate/Common_Shares*scaling_factor</f>
        <v>33.228136210024012</v>
      </c>
      <c r="D18" t="str">
        <f>Market_currency</f>
        <v>USD</v>
      </c>
      <c r="H18" s="120"/>
    </row>
    <row r="19" spans="2:17">
      <c r="H19" s="120"/>
    </row>
    <row r="20" spans="2:17" ht="13.15">
      <c r="B20" s="128" t="s">
        <v>107</v>
      </c>
      <c r="C20" s="128" t="s">
        <v>108</v>
      </c>
      <c r="D20" s="128" t="s">
        <v>117</v>
      </c>
      <c r="E20" s="128" t="s">
        <v>109</v>
      </c>
      <c r="F20" s="129" t="s">
        <v>110</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20893.55182785674</v>
      </c>
      <c r="D51" s="139">
        <f>Terminal_Growth</f>
        <v>0</v>
      </c>
      <c r="E51" s="124">
        <f>1/(1+Equity_Cost)^C17</f>
        <v>0.48519392830146441</v>
      </c>
      <c r="F51" s="125">
        <f t="shared" si="1"/>
        <v>10137.424487528053</v>
      </c>
      <c r="H51" s="120"/>
    </row>
    <row r="52" spans="1:17">
      <c r="C52" s="114"/>
      <c r="E52" s="127" t="s">
        <v>100</v>
      </c>
      <c r="F52" s="137">
        <f>SUM(F21:F51)</f>
        <v>21546.424259471285</v>
      </c>
      <c r="H52" s="120"/>
    </row>
    <row r="53" spans="1:17">
      <c r="C53" s="114"/>
      <c r="H53" s="120"/>
    </row>
    <row r="54" spans="1:17" ht="13.15">
      <c r="B54" s="119" t="s">
        <v>128</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116</v>
      </c>
      <c r="C73" s="171" t="s">
        <v>131</v>
      </c>
      <c r="D73" s="171" t="s">
        <v>111</v>
      </c>
      <c r="E73" s="172" t="s">
        <v>112</v>
      </c>
      <c r="F73" s="172" t="s">
        <v>118</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140.71834111999999</v>
      </c>
      <c r="D4" t="str">
        <f>Market_currency</f>
        <v>USD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1876.2445482666667</v>
      </c>
      <c r="D6" t="str">
        <f>Reporting_currency</f>
        <v>USD</v>
      </c>
      <c r="E6" s="366"/>
      <c r="F6" s="366"/>
      <c r="H6" s="120"/>
    </row>
    <row r="7" spans="2:8" ht="13.15">
      <c r="B7" s="149" t="s">
        <v>440</v>
      </c>
      <c r="C7" s="111">
        <f>(C6*scaling_factor)/Common_Shares*Exchange_Rate</f>
        <v>5.5402666666666667</v>
      </c>
      <c r="D7" t="str">
        <f>Market_currency</f>
        <v>USD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1.49597842339395E-2</v>
      </c>
      <c r="H11" s="120"/>
    </row>
    <row r="12" spans="2:8" ht="13.35" customHeight="1">
      <c r="B12" s="118" t="s">
        <v>133</v>
      </c>
      <c r="C12" s="162">
        <f>Scenarios!C64</f>
        <v>10</v>
      </c>
      <c r="H12" s="120"/>
    </row>
    <row r="13" spans="2:8" ht="13.35" customHeight="1">
      <c r="B13" s="153" t="s">
        <v>106</v>
      </c>
      <c r="C13" s="140">
        <f>F47/Common_Shares*scaling_factor</f>
        <v>5.7988574884934616</v>
      </c>
      <c r="D13" t="str">
        <f>Market_currency</f>
        <v>USD</v>
      </c>
      <c r="H13" s="120"/>
    </row>
    <row r="14" spans="2:8">
      <c r="H14" s="120"/>
    </row>
    <row r="15" spans="2:8" ht="13.15">
      <c r="B15" s="128" t="s">
        <v>107</v>
      </c>
      <c r="C15" s="128" t="s">
        <v>442</v>
      </c>
      <c r="D15" s="128" t="s">
        <v>117</v>
      </c>
      <c r="E15" s="128" t="s">
        <v>109</v>
      </c>
      <c r="F15" s="129" t="s">
        <v>441</v>
      </c>
      <c r="H15" s="120"/>
    </row>
    <row r="16" spans="2:8">
      <c r="B16" s="122">
        <v>1</v>
      </c>
      <c r="C16" s="123">
        <f>C4*(1+D16)</f>
        <v>142.82345714091309</v>
      </c>
      <c r="D16" s="138">
        <f>IF($C$12&lt;B16,0,DDM!$C$11)</f>
        <v>1.49597842339395E-2</v>
      </c>
      <c r="E16" s="124">
        <f t="shared" ref="E16:E45" si="0">IF($C$12&lt;B16,0,1/(1+Equity_Cost)^B16)</f>
        <v>0.93023255813953487</v>
      </c>
      <c r="F16" s="125">
        <f t="shared" ref="F16:F46" si="1">C16*E16</f>
        <v>132.8590298985238</v>
      </c>
      <c r="H16" s="120"/>
    </row>
    <row r="17" spans="2:8">
      <c r="B17" s="122">
        <v>2</v>
      </c>
      <c r="C17" s="123">
        <f t="shared" ref="C17:C45" si="2">IF(ROW()-ROW($C$16)&lt;$C$12, $C$16*(1+D17)^(ROW()-ROW($C$16)), 0)</f>
        <v>144.96006524328646</v>
      </c>
      <c r="D17" s="138">
        <f>IF($C$12&lt;B17,0,DDM!$C$11)</f>
        <v>1.49597842339395E-2</v>
      </c>
      <c r="E17" s="124">
        <f t="shared" si="0"/>
        <v>0.86533261222282321</v>
      </c>
      <c r="F17" s="125">
        <f t="shared" si="1"/>
        <v>125.43867192496396</v>
      </c>
      <c r="H17" s="120"/>
    </row>
    <row r="18" spans="2:8">
      <c r="B18" s="122">
        <v>3</v>
      </c>
      <c r="C18" s="123">
        <f t="shared" si="2"/>
        <v>147.12863654186381</v>
      </c>
      <c r="D18" s="138">
        <f>IF($C$12&lt;B18,0,DDM!$C$11)</f>
        <v>1.49597842339395E-2</v>
      </c>
      <c r="E18" s="124">
        <f t="shared" si="0"/>
        <v>0.80496056950960304</v>
      </c>
      <c r="F18" s="125">
        <f t="shared" si="1"/>
        <v>118.43275106191008</v>
      </c>
      <c r="H18" s="120"/>
    </row>
    <row r="19" spans="2:8">
      <c r="B19" s="122">
        <v>4</v>
      </c>
      <c r="C19" s="123">
        <f t="shared" si="2"/>
        <v>149.32964919916381</v>
      </c>
      <c r="D19" s="138">
        <f>IF($C$12&lt;B19,0,DDM!$C$11)</f>
        <v>1.49597842339395E-2</v>
      </c>
      <c r="E19" s="124">
        <f t="shared" si="0"/>
        <v>0.7488005297763749</v>
      </c>
      <c r="F19" s="125">
        <f t="shared" si="1"/>
        <v>111.81812043165408</v>
      </c>
      <c r="H19" s="120"/>
    </row>
    <row r="20" spans="2:8">
      <c r="B20" s="122">
        <v>5</v>
      </c>
      <c r="C20" s="123">
        <f t="shared" si="2"/>
        <v>151.56358853091317</v>
      </c>
      <c r="D20" s="138">
        <f>IF($C$12&lt;B20,0,DDM!$C$11)</f>
        <v>1.49597842339395E-2</v>
      </c>
      <c r="E20" s="124">
        <f t="shared" si="0"/>
        <v>0.69655863235011617</v>
      </c>
      <c r="F20" s="125">
        <f t="shared" si="1"/>
        <v>105.57292594116862</v>
      </c>
      <c r="H20" s="120"/>
    </row>
    <row r="21" spans="2:8">
      <c r="B21" s="122">
        <v>6</v>
      </c>
      <c r="C21" s="123">
        <f t="shared" si="2"/>
        <v>153.83094711305722</v>
      </c>
      <c r="D21" s="138">
        <f>IF($C$12&lt;B21,0,DDM!$C$11)</f>
        <v>1.49597842339395E-2</v>
      </c>
      <c r="E21" s="124">
        <f t="shared" si="0"/>
        <v>0.64796151846522443</v>
      </c>
      <c r="F21" s="125">
        <f t="shared" si="1"/>
        <v>99.676534078320188</v>
      </c>
      <c r="H21" s="120"/>
    </row>
    <row r="22" spans="2:8">
      <c r="B22" s="122">
        <v>7</v>
      </c>
      <c r="C22" s="123">
        <f t="shared" si="2"/>
        <v>156.13222489037111</v>
      </c>
      <c r="D22" s="138">
        <f>IF($C$12&lt;B22,0,DDM!$C$11)</f>
        <v>1.49597842339395E-2</v>
      </c>
      <c r="E22" s="124">
        <f t="shared" si="0"/>
        <v>0.60275490089788319</v>
      </c>
      <c r="F22" s="125">
        <f t="shared" si="1"/>
        <v>94.109463740761655</v>
      </c>
      <c r="H22" s="120"/>
    </row>
    <row r="23" spans="2:8">
      <c r="B23" s="122">
        <v>8</v>
      </c>
      <c r="C23" s="123">
        <f t="shared" si="2"/>
        <v>158.46792928669601</v>
      </c>
      <c r="D23" s="138">
        <f>IF($C$12&lt;B23,0,DDM!$C$11)</f>
        <v>1.49597842339395E-2</v>
      </c>
      <c r="E23" s="124">
        <f t="shared" si="0"/>
        <v>0.56070223339337966</v>
      </c>
      <c r="F23" s="125">
        <f t="shared" si="1"/>
        <v>88.853321872274606</v>
      </c>
      <c r="H23" s="120"/>
    </row>
    <row r="24" spans="2:8">
      <c r="B24" s="122">
        <v>9</v>
      </c>
      <c r="C24" s="123">
        <f t="shared" si="2"/>
        <v>160.83857531682415</v>
      </c>
      <c r="D24" s="138">
        <f>IF($C$12&lt;B24,0,DDM!$C$11)</f>
        <v>1.49597842339395E-2</v>
      </c>
      <c r="E24" s="124">
        <f t="shared" si="0"/>
        <v>0.52158347292407414</v>
      </c>
      <c r="F24" s="125">
        <f t="shared" si="1"/>
        <v>83.890742693909402</v>
      </c>
      <c r="H24" s="120"/>
    </row>
    <row r="25" spans="2:8">
      <c r="B25" s="122">
        <v>10</v>
      </c>
      <c r="C25" s="123">
        <f t="shared" si="2"/>
        <v>163.24468570005808</v>
      </c>
      <c r="D25" s="138">
        <f>IF($C$12&lt;B25,0,DDM!$C$11)</f>
        <v>1.49597842339395E-2</v>
      </c>
      <c r="E25" s="124">
        <f t="shared" si="0"/>
        <v>0.48519392830146441</v>
      </c>
      <c r="F25" s="125">
        <f t="shared" si="1"/>
        <v>79.205330329149078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1904.3127618788412</v>
      </c>
      <c r="D46" s="139">
        <f>Terminal_Growth</f>
        <v>0</v>
      </c>
      <c r="E46" s="124">
        <f>1/(1+Equity_Cost)^C12</f>
        <v>0.48519392830146441</v>
      </c>
      <c r="F46" s="125">
        <f t="shared" si="1"/>
        <v>923.96098965060617</v>
      </c>
      <c r="H46" s="120"/>
    </row>
    <row r="47" spans="2:8">
      <c r="C47" s="114"/>
      <c r="E47" s="127" t="s">
        <v>100</v>
      </c>
      <c r="F47" s="137">
        <f>SUM(F16:F46)</f>
        <v>1963.8178816232416</v>
      </c>
      <c r="H47" s="120"/>
    </row>
    <row r="48" spans="2:8">
      <c r="C48" s="114"/>
      <c r="H48" s="120"/>
    </row>
    <row r="49" spans="1:8" ht="13.15">
      <c r="B49" s="119" t="s">
        <v>128</v>
      </c>
      <c r="C49" s="136"/>
      <c r="D49" s="136"/>
      <c r="E49" s="117"/>
      <c r="F49" s="117"/>
      <c r="H49" s="120"/>
    </row>
    <row r="50" spans="1:8" ht="13.15">
      <c r="A50" s="133">
        <f>F47</f>
        <v>1963.8178816232416</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1734.6067338828288</v>
      </c>
      <c r="C51" s="123">
        <v>1847.1230149003825</v>
      </c>
      <c r="D51" s="123">
        <v>1920.7074749176072</v>
      </c>
      <c r="E51" s="123">
        <v>1981.4970224789229</v>
      </c>
      <c r="F51" s="123">
        <v>2044.0767493443136</v>
      </c>
      <c r="H51" s="120"/>
    </row>
    <row r="52" spans="1:8" ht="13.15">
      <c r="A52" s="143">
        <v>10</v>
      </c>
      <c r="B52" s="123">
        <v>1623.603006082576</v>
      </c>
      <c r="C52" s="123">
        <v>1821.0193364390723</v>
      </c>
      <c r="D52" s="123">
        <v>1964.0616994353586</v>
      </c>
      <c r="E52" s="123">
        <v>2091.2807229152886</v>
      </c>
      <c r="F52" s="123">
        <v>2231.3491539781589</v>
      </c>
      <c r="H52" s="120"/>
    </row>
    <row r="53" spans="1:8" ht="13.15">
      <c r="A53" s="143">
        <v>15</v>
      </c>
      <c r="B53" s="123">
        <v>1504.4085336342437</v>
      </c>
      <c r="C53" s="123">
        <v>1790.3248209807543</v>
      </c>
      <c r="D53" s="123">
        <v>2018.2631589023258</v>
      </c>
      <c r="E53" s="123">
        <v>2235.7642553622782</v>
      </c>
      <c r="F53" s="123">
        <v>2491.2940332088474</v>
      </c>
      <c r="H53" s="120"/>
    </row>
    <row r="54" spans="1:8" ht="13.15">
      <c r="A54" s="144">
        <v>20</v>
      </c>
      <c r="B54" s="123">
        <v>1398.813258981434</v>
      </c>
      <c r="C54" s="123">
        <v>1760.6562385640855</v>
      </c>
      <c r="D54" s="123">
        <v>2074.0290748723164</v>
      </c>
      <c r="E54" s="123">
        <v>2392.6719877461205</v>
      </c>
      <c r="F54" s="123">
        <v>2790.2531397905441</v>
      </c>
      <c r="H54" s="120"/>
    </row>
    <row r="55" spans="1:8" ht="13.15">
      <c r="A55" s="144">
        <v>25</v>
      </c>
      <c r="B55" s="123">
        <v>1313.0954526283515</v>
      </c>
      <c r="C55" s="123">
        <v>1734.5001567741522</v>
      </c>
      <c r="D55" s="123">
        <v>2126.3889221257182</v>
      </c>
      <c r="E55" s="123">
        <v>2548.5162971447239</v>
      </c>
      <c r="F55" s="123">
        <v>3105.8217641638385</v>
      </c>
      <c r="H55" s="120"/>
    </row>
    <row r="56" spans="1:8" ht="13.15">
      <c r="A56" s="144">
        <v>30</v>
      </c>
      <c r="B56" s="123">
        <v>1246.8315029614062</v>
      </c>
      <c r="C56" s="123">
        <v>1712.6441089539783</v>
      </c>
      <c r="D56" s="123">
        <v>2173.0026295298435</v>
      </c>
      <c r="E56" s="123">
        <v>2695.5805606371596</v>
      </c>
      <c r="F56" s="123">
        <v>3423.3407139422575</v>
      </c>
      <c r="H56" s="120"/>
    </row>
    <row r="57" spans="1:8">
      <c r="C57" s="114"/>
      <c r="D57" s="114"/>
      <c r="E57" s="114"/>
      <c r="F57" s="114"/>
      <c r="H57" s="120"/>
    </row>
    <row r="58" spans="1:8" ht="13.15">
      <c r="B58" s="119" t="s">
        <v>129</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5.5402666666666667</v>
      </c>
      <c r="C60" s="124">
        <f>C7</f>
        <v>5.5402666666666667</v>
      </c>
      <c r="D60" s="124">
        <f>C7</f>
        <v>5.5402666666666667</v>
      </c>
      <c r="E60" s="141">
        <f>C7</f>
        <v>5.5402666666666667</v>
      </c>
      <c r="F60" s="124">
        <f>C7</f>
        <v>5.5402666666666667</v>
      </c>
      <c r="H60" s="120"/>
    </row>
    <row r="61" spans="1:8" ht="13.15">
      <c r="A61" s="143">
        <f t="shared" ref="A61:A66" si="3">A51</f>
        <v>5</v>
      </c>
      <c r="B61" s="124">
        <f t="shared" ref="B61:F66" si="4">B51/Common_Shares*$C$3*Exchange_Rate</f>
        <v>5.122031601043032</v>
      </c>
      <c r="C61" s="124">
        <f t="shared" si="4"/>
        <v>5.454275178648488</v>
      </c>
      <c r="D61" s="124">
        <f t="shared" si="4"/>
        <v>5.6715589711022609</v>
      </c>
      <c r="E61" s="124">
        <f t="shared" si="4"/>
        <v>5.8510613202746233</v>
      </c>
      <c r="F61" s="124">
        <f t="shared" si="4"/>
        <v>6.0358497984512702</v>
      </c>
      <c r="H61" s="120"/>
    </row>
    <row r="62" spans="1:8" ht="13.15">
      <c r="A62" s="143">
        <f t="shared" si="3"/>
        <v>10</v>
      </c>
      <c r="B62" s="124">
        <f t="shared" si="4"/>
        <v>4.7942543645545213</v>
      </c>
      <c r="C62" s="124">
        <f t="shared" si="4"/>
        <v>5.377194960192857</v>
      </c>
      <c r="D62" s="124">
        <f t="shared" si="4"/>
        <v>5.799577445653874</v>
      </c>
      <c r="E62" s="124">
        <f t="shared" si="4"/>
        <v>6.1752360002931841</v>
      </c>
      <c r="F62" s="124">
        <f t="shared" si="4"/>
        <v>6.5888369140902832</v>
      </c>
      <c r="H62" s="120"/>
    </row>
    <row r="63" spans="1:8" ht="13.15">
      <c r="A63" s="143">
        <f t="shared" si="3"/>
        <v>15</v>
      </c>
      <c r="B63" s="124">
        <f t="shared" si="4"/>
        <v>4.4422910966710871</v>
      </c>
      <c r="C63" s="124">
        <f t="shared" si="4"/>
        <v>5.2865586937209272</v>
      </c>
      <c r="D63" s="124">
        <f t="shared" si="4"/>
        <v>5.9596261660869025</v>
      </c>
      <c r="E63" s="124">
        <f t="shared" si="4"/>
        <v>6.6018740413938568</v>
      </c>
      <c r="F63" s="124">
        <f t="shared" si="4"/>
        <v>7.3564148670298097</v>
      </c>
      <c r="H63" s="120"/>
    </row>
    <row r="64" spans="1:8" ht="13.15">
      <c r="A64" s="144">
        <f t="shared" si="3"/>
        <v>20</v>
      </c>
      <c r="B64" s="124">
        <f t="shared" si="4"/>
        <v>4.1304842051563657</v>
      </c>
      <c r="C64" s="124">
        <f t="shared" si="4"/>
        <v>5.1989518525113558</v>
      </c>
      <c r="D64" s="124">
        <f t="shared" si="4"/>
        <v>6.1242944901974754</v>
      </c>
      <c r="E64" s="124">
        <f t="shared" si="4"/>
        <v>7.0651988677186299</v>
      </c>
      <c r="F64" s="124">
        <f t="shared" si="4"/>
        <v>8.2391959386236895</v>
      </c>
      <c r="H64" s="120"/>
    </row>
    <row r="65" spans="1:8" ht="13.15">
      <c r="A65" s="144">
        <f t="shared" si="3"/>
        <v>25</v>
      </c>
      <c r="B65" s="124">
        <f t="shared" si="4"/>
        <v>3.8773724742167612</v>
      </c>
      <c r="C65" s="124">
        <f t="shared" si="4"/>
        <v>5.1217168949439911</v>
      </c>
      <c r="D65" s="124">
        <f t="shared" si="4"/>
        <v>6.2789052080155621</v>
      </c>
      <c r="E65" s="124">
        <f t="shared" si="4"/>
        <v>7.5253835666420326</v>
      </c>
      <c r="F65" s="124">
        <f t="shared" si="4"/>
        <v>9.171022406701308</v>
      </c>
    </row>
    <row r="66" spans="1:8" ht="13.15">
      <c r="A66" s="144">
        <f t="shared" si="3"/>
        <v>30</v>
      </c>
      <c r="B66" s="124">
        <f t="shared" si="4"/>
        <v>3.6817050427614042</v>
      </c>
      <c r="C66" s="124">
        <f t="shared" si="4"/>
        <v>5.05717928799129</v>
      </c>
      <c r="D66" s="124">
        <f t="shared" si="4"/>
        <v>6.4165484430508943</v>
      </c>
      <c r="E66" s="124">
        <f t="shared" si="4"/>
        <v>7.9596421165937095</v>
      </c>
      <c r="F66" s="124">
        <f t="shared" si="4"/>
        <v>10.108607891022919</v>
      </c>
    </row>
    <row r="68" spans="1:8" ht="13.15">
      <c r="B68" s="171" t="s">
        <v>116</v>
      </c>
      <c r="C68" s="171" t="s">
        <v>131</v>
      </c>
      <c r="D68" s="171" t="s">
        <v>111</v>
      </c>
      <c r="E68" s="172" t="s">
        <v>112</v>
      </c>
      <c r="F68" s="172" t="s">
        <v>118</v>
      </c>
    </row>
    <row r="69" spans="1:8">
      <c r="B69" s="127" t="str">
        <f>Scenarios!B54</f>
        <v>Snowball Scenario</v>
      </c>
      <c r="C69" s="142">
        <f>Scenarios!C56</f>
        <v>5.5E-2</v>
      </c>
      <c r="D69" s="145">
        <f>Scenarios!C55</f>
        <v>15</v>
      </c>
      <c r="E69" s="135">
        <f>INDEX(B$60:F$66, MATCH(D69, A$60:A$66, 0), MATCH(C69, B$59:F$59, 0))</f>
        <v>7.3564148670298097</v>
      </c>
      <c r="F69" s="142">
        <f>Scenarios!C58</f>
        <v>0.05</v>
      </c>
    </row>
    <row r="70" spans="1:8">
      <c r="B70" s="127" t="str">
        <f>Scenarios!B36</f>
        <v>Optimistic</v>
      </c>
      <c r="C70" s="142">
        <f>Scenarios!C38</f>
        <v>3.5000000000000003E-2</v>
      </c>
      <c r="D70" s="145">
        <f>Scenarios!C37</f>
        <v>10</v>
      </c>
      <c r="E70" s="135">
        <f>INDEX(B$60:F$66, MATCH(D70, A$60:A$66, 0), MATCH(C70, B$59:F$59, 0))</f>
        <v>6.1752360002931841</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5.799577445653874</v>
      </c>
      <c r="F71" s="142">
        <f>Scenarios!C28*(1-F$69-F$73)</f>
        <v>0.44999999999999996</v>
      </c>
      <c r="H71" s="120"/>
    </row>
    <row r="72" spans="1:8">
      <c r="B72" s="127" t="str">
        <f>Scenarios!B30</f>
        <v>Pessimistic</v>
      </c>
      <c r="C72" s="142">
        <f>Scenarios!C32</f>
        <v>-0.01</v>
      </c>
      <c r="D72" s="145">
        <f>Scenarios!C31</f>
        <v>10</v>
      </c>
      <c r="E72" s="135">
        <f>INDEX(B$60:F$66, MATCH(D72, A$60:A$66, 0), MATCH(C72, B$59:F$59, 0))</f>
        <v>5.377194960192857</v>
      </c>
      <c r="F72" s="142">
        <f>Scenarios!C34*(1-F$69-F$73)</f>
        <v>0.22499999999999998</v>
      </c>
      <c r="H72" s="120"/>
    </row>
    <row r="73" spans="1:8">
      <c r="B73" s="127" t="str">
        <f>Scenarios!B48</f>
        <v>Devil's advocate</v>
      </c>
      <c r="C73" s="142">
        <f>Scenarios!C50</f>
        <v>-0.05</v>
      </c>
      <c r="D73" s="145">
        <f>Scenarios!C49</f>
        <v>15</v>
      </c>
      <c r="E73" s="135">
        <f>INDEX(B$60:F$66, MATCH(D73, A$60:A$66, 0), MATCH(C73, B$59:F$59, 0))</f>
        <v>4.4422910966710871</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-23.62</v>
      </c>
    </row>
    <row r="4" spans="2:9">
      <c r="B4" s="152" t="s">
        <v>145</v>
      </c>
      <c r="C4" s="120">
        <v>3</v>
      </c>
      <c r="D4" s="120"/>
      <c r="E4" s="155" t="s">
        <v>149</v>
      </c>
      <c r="F4" s="155"/>
      <c r="H4" s="247">
        <v>1</v>
      </c>
      <c r="I4" s="124">
        <f t="shared" ref="I4:I13" si="0">IF(ROW()-3 &lt; $C$76, $C$77, IF(ROW()-3 = $C$76, $C$77 + $C$60, ""))</f>
        <v>0.41552</v>
      </c>
    </row>
    <row r="5" spans="2:9">
      <c r="H5" s="247">
        <v>2</v>
      </c>
      <c r="I5" s="124">
        <f t="shared" si="0"/>
        <v>0.41552</v>
      </c>
    </row>
    <row r="6" spans="2:9" ht="13.15">
      <c r="B6" s="159" t="s">
        <v>95</v>
      </c>
      <c r="C6" s="107">
        <f>DCF!C3</f>
        <v>1000000</v>
      </c>
      <c r="E6" s="100" t="s">
        <v>278</v>
      </c>
      <c r="F6" s="100"/>
      <c r="H6" s="247">
        <v>3</v>
      </c>
      <c r="I6" s="124">
        <f t="shared" si="0"/>
        <v>33.645681875234658</v>
      </c>
    </row>
    <row r="7" spans="2:9" ht="12.75" customHeight="1">
      <c r="B7" s="100" t="s">
        <v>274</v>
      </c>
      <c r="C7" s="338">
        <f>Normalized_FCF!G8</f>
        <v>1936</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68"/>
      <c r="H7" s="247">
        <v>4</v>
      </c>
      <c r="I7" s="124" t="str">
        <f t="shared" si="0"/>
        <v/>
      </c>
    </row>
    <row r="8" spans="2:9">
      <c r="B8" s="100" t="s">
        <v>66</v>
      </c>
      <c r="C8" s="338">
        <f>Normalized_FCF!G19</f>
        <v>1080</v>
      </c>
      <c r="D8" t="str">
        <f>Reporting_currency</f>
        <v>USD</v>
      </c>
      <c r="E8" s="368"/>
      <c r="F8" s="368"/>
      <c r="H8" s="247">
        <v>5</v>
      </c>
      <c r="I8" s="124" t="str">
        <f t="shared" si="0"/>
        <v/>
      </c>
    </row>
    <row r="9" spans="2:9">
      <c r="B9" s="100" t="s">
        <v>57</v>
      </c>
      <c r="C9" s="338">
        <f>Normalized_FCF!C19</f>
        <v>1543.9196817753634</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1.1498217877581318E-4</v>
      </c>
      <c r="D12" s="158"/>
      <c r="E12" s="368"/>
      <c r="F12" s="368"/>
      <c r="H12" s="247">
        <v>9</v>
      </c>
      <c r="I12" s="124" t="str">
        <f t="shared" si="0"/>
        <v/>
      </c>
    </row>
    <row r="13" spans="2:9">
      <c r="B13" s="148" t="s">
        <v>151</v>
      </c>
      <c r="C13" s="158">
        <f ca="1">(Normalized_FCF!G8/OFFSET(Normalized_FCF!G8, 0, $C$4))^(1/$C$4) - 1</f>
        <v>-0.25742105972151286</v>
      </c>
      <c r="E13" s="368"/>
      <c r="F13" s="368"/>
      <c r="H13" s="247">
        <v>10</v>
      </c>
      <c r="I13" s="124" t="str">
        <f t="shared" si="0"/>
        <v/>
      </c>
    </row>
    <row r="14" spans="2:9">
      <c r="B14" s="100" t="s">
        <v>66</v>
      </c>
      <c r="C14" s="158">
        <f ca="1">(Normalized_FCF!G19/OFFSET(Normalized_FCF!G19, 0, $C$4))^(1/$C$4) - 1</f>
        <v>-0.3351523510141251</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23.62</v>
      </c>
      <c r="D21" t="str">
        <f>Market_currency</f>
        <v>USD</v>
      </c>
      <c r="E21" s="369"/>
      <c r="F21" s="369"/>
    </row>
    <row r="22" spans="2:6">
      <c r="B22" s="100" t="s">
        <v>277</v>
      </c>
      <c r="C22" s="160">
        <f>IF(valuation_method="DCF",DCF!C12,DDM!C7)</f>
        <v>30.39095481513823</v>
      </c>
      <c r="D22" t="str">
        <f>Market_currency</f>
        <v>USD</v>
      </c>
      <c r="E22" s="369"/>
      <c r="F22" s="369"/>
    </row>
    <row r="24" spans="2:6" ht="13.15">
      <c r="B24" s="159" t="s">
        <v>114</v>
      </c>
      <c r="E24" s="159" t="s">
        <v>148</v>
      </c>
      <c r="F24" s="159"/>
    </row>
    <row r="25" spans="2:6">
      <c r="B25" s="152" t="s">
        <v>132</v>
      </c>
      <c r="C25" s="166">
        <f>C18</f>
        <v>10</v>
      </c>
      <c r="D25" s="163"/>
      <c r="E25" s="367"/>
      <c r="F25" s="367"/>
    </row>
    <row r="26" spans="2:6">
      <c r="B26" s="118" t="s">
        <v>133</v>
      </c>
      <c r="C26" s="164">
        <v>1.4999999999999999E-2</v>
      </c>
      <c r="D26" s="164"/>
      <c r="E26" s="367"/>
      <c r="F26" s="367"/>
    </row>
    <row r="27" spans="2:6">
      <c r="B27" s="100" t="s">
        <v>112</v>
      </c>
      <c r="C27" s="160">
        <f>IF(valuation_method="DCF",DCF!E76,DDM!E71)</f>
        <v>33.236035365323517</v>
      </c>
      <c r="D27" s="160" t="str">
        <f>Market_currency</f>
        <v>USD</v>
      </c>
      <c r="E27" s="367"/>
      <c r="F27" s="367"/>
    </row>
    <row r="28" spans="2:6">
      <c r="B28" s="100" t="s">
        <v>146</v>
      </c>
      <c r="C28" s="165">
        <v>0.5</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28.601780673645852</v>
      </c>
      <c r="D33" t="str">
        <f>Market_currency</f>
        <v>USD</v>
      </c>
      <c r="E33" s="367"/>
      <c r="F33" s="367"/>
    </row>
    <row r="34" spans="2:6">
      <c r="B34" s="100" t="s">
        <v>146</v>
      </c>
      <c r="C34" s="165">
        <v>0.25</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3.5000000000000003E-2</v>
      </c>
      <c r="D38" s="164"/>
      <c r="E38" s="367"/>
      <c r="F38" s="367"/>
    </row>
    <row r="39" spans="2:6">
      <c r="B39" s="100" t="s">
        <v>112</v>
      </c>
      <c r="C39" s="160">
        <f>IF(valuation_method="DCF",DCF!E75,DDM!E70)</f>
        <v>37.357649019369674</v>
      </c>
      <c r="D39" t="str">
        <f>Market_currency</f>
        <v>USD</v>
      </c>
      <c r="E39" s="367"/>
      <c r="F39" s="367"/>
    </row>
    <row r="40" spans="2:6">
      <c r="B40" s="100" t="s">
        <v>146</v>
      </c>
      <c r="C40" s="167">
        <f>1-C28-C34</f>
        <v>0.25</v>
      </c>
      <c r="D40" s="165"/>
      <c r="E40" s="367"/>
      <c r="F40" s="367"/>
    </row>
    <row r="42" spans="2:6" ht="13.15">
      <c r="B42" s="100" t="s">
        <v>119</v>
      </c>
      <c r="C42" s="154">
        <f>C27*C28+C33*C34+C39*C40</f>
        <v>33.107875105915639</v>
      </c>
      <c r="D42" t="str">
        <f>Market_currency</f>
        <v>USD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-0.05</v>
      </c>
      <c r="D50" s="164"/>
      <c r="E50" s="367"/>
      <c r="F50" s="367"/>
    </row>
    <row r="51" spans="2:6">
      <c r="B51" s="100" t="s">
        <v>112</v>
      </c>
      <c r="C51" s="160">
        <f>IF(valuation_method="DCF",DCF!E78,DDM!E73)</f>
        <v>18.344294236762746</v>
      </c>
      <c r="D51" t="str">
        <f>Market_currency</f>
        <v>USD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5.5E-2</v>
      </c>
      <c r="D56" s="164"/>
      <c r="E56" s="367"/>
      <c r="F56" s="367"/>
    </row>
    <row r="57" spans="2:6">
      <c r="B57" s="100" t="s">
        <v>112</v>
      </c>
      <c r="C57" s="160">
        <f>IF(valuation_method="DCF",DCF!E74,DDM!E69)</f>
        <v>50.317191361448984</v>
      </c>
      <c r="D57" t="str">
        <f>Market_currency</f>
        <v>USD</v>
      </c>
      <c r="E57" s="367"/>
      <c r="F57" s="367"/>
    </row>
    <row r="58" spans="2:6">
      <c r="B58" s="100" t="s">
        <v>146</v>
      </c>
      <c r="C58" s="165">
        <v>0.05</v>
      </c>
      <c r="D58" s="165"/>
      <c r="E58" s="367"/>
      <c r="F58" s="367"/>
    </row>
    <row r="60" spans="2:6" ht="13.15">
      <c r="B60" s="100" t="s">
        <v>119</v>
      </c>
      <c r="C60" s="154">
        <f>C51*C52+C57*C58+C42*(1-C52-C58)</f>
        <v>33.230161875234657</v>
      </c>
      <c r="D60" t="str">
        <f>Market_currency</f>
        <v>USD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1.49597842339395E-2</v>
      </c>
      <c r="D65" s="151"/>
      <c r="E65" s="251" t="s">
        <v>309</v>
      </c>
    </row>
    <row r="66" spans="2:6">
      <c r="B66" s="100" t="s">
        <v>102</v>
      </c>
      <c r="C66" s="160">
        <f>IF(valuation_method="DCF",DCF!C18,DDM!C13)</f>
        <v>33.228136210024012</v>
      </c>
      <c r="D66" s="160" t="str">
        <f>Market_currency</f>
        <v>USD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-0.91468706241914388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0.41552</v>
      </c>
      <c r="D77" t="str">
        <f>Market_currency</f>
        <v>USD</v>
      </c>
    </row>
    <row r="79" spans="2:6" ht="13.15">
      <c r="B79" s="109" t="s">
        <v>300</v>
      </c>
    </row>
    <row r="80" spans="2:6">
      <c r="B80" s="148" t="s">
        <v>298</v>
      </c>
      <c r="C80" s="167">
        <f>Thesis!F29</f>
        <v>0.35</v>
      </c>
    </row>
    <row r="81" spans="2:8">
      <c r="B81" s="100" t="s">
        <v>120</v>
      </c>
      <c r="C81" s="116">
        <f>PV(C80, C76, -C77, 0)</f>
        <v>0.70467193009195761</v>
      </c>
      <c r="D81" s="116"/>
      <c r="E81" s="100"/>
      <c r="F81" s="100"/>
    </row>
    <row r="82" spans="2:8">
      <c r="B82" s="100" t="s">
        <v>121</v>
      </c>
      <c r="C82" s="116">
        <f>C60/(1+C80)^C76</f>
        <v>13.506137021890829</v>
      </c>
      <c r="D82" s="116"/>
    </row>
    <row r="83" spans="2:8" ht="13.15">
      <c r="B83" s="110" t="s">
        <v>101</v>
      </c>
      <c r="C83" s="111">
        <f>C81+C82</f>
        <v>14.210808951982788</v>
      </c>
      <c r="D83" t="str">
        <f>Market_currency</f>
        <v>USD</v>
      </c>
      <c r="E83" s="146" t="s">
        <v>125</v>
      </c>
      <c r="F83" s="291">
        <f>(1-C83/C60)</f>
        <v>0.57235209971776768</v>
      </c>
    </row>
    <row r="84" spans="2:8">
      <c r="E84" s="120"/>
    </row>
    <row r="85" spans="2:8" ht="13.15">
      <c r="B85" s="109" t="s">
        <v>301</v>
      </c>
    </row>
    <row r="86" spans="2:8">
      <c r="B86" s="148" t="s">
        <v>299</v>
      </c>
      <c r="C86" s="116">
        <f>Market_Price</f>
        <v>23.62</v>
      </c>
      <c r="D86" t="str">
        <f>Market_currency</f>
        <v>USD</v>
      </c>
    </row>
    <row r="87" spans="2:8" ht="13.15">
      <c r="B87" s="100" t="s">
        <v>297</v>
      </c>
      <c r="C87" s="237">
        <f ca="1">IRR(OFFSET($I$3, 0, 0, $C$76 + 1, 1))</f>
        <v>0.13629894782965968</v>
      </c>
    </row>
    <row r="88" spans="2:8">
      <c r="B88" s="100"/>
    </row>
    <row r="89" spans="2:8" ht="13.15">
      <c r="B89" s="109" t="s">
        <v>409</v>
      </c>
    </row>
    <row r="90" spans="2:8">
      <c r="B90" s="148" t="s">
        <v>410</v>
      </c>
      <c r="C90" s="167">
        <f>Thesis!F30</f>
        <v>0.25</v>
      </c>
    </row>
    <row r="91" spans="2:8">
      <c r="B91" s="100" t="s">
        <v>120</v>
      </c>
      <c r="C91" s="116">
        <f>PV(C90, C76, -C77, 0)</f>
        <v>0.81109503999999999</v>
      </c>
      <c r="D91" s="116"/>
      <c r="E91" s="100"/>
      <c r="F91" s="100"/>
    </row>
    <row r="92" spans="2:8">
      <c r="B92" s="100" t="s">
        <v>121</v>
      </c>
      <c r="C92" s="116">
        <f>C60/(1+C90)^C76</f>
        <v>17.013842880120144</v>
      </c>
      <c r="D92" s="116"/>
    </row>
    <row r="93" spans="2:8" ht="13.15">
      <c r="B93" s="110" t="s">
        <v>101</v>
      </c>
      <c r="C93" s="111">
        <f>C91+C92</f>
        <v>17.824937920120146</v>
      </c>
      <c r="D93" t="str">
        <f>Market_currency</f>
        <v>USD</v>
      </c>
      <c r="E93" s="146" t="s">
        <v>125</v>
      </c>
      <c r="F93" s="291">
        <f>(1-C93/C60)</f>
        <v>0.46359160129748023</v>
      </c>
    </row>
    <row r="95" spans="2:8" ht="13.15">
      <c r="B95" s="109" t="s">
        <v>394</v>
      </c>
      <c r="G95" s="2"/>
      <c r="H95" s="281"/>
    </row>
    <row r="96" spans="2:8">
      <c r="B96" s="148" t="s">
        <v>400</v>
      </c>
      <c r="C96" s="134">
        <f>Thesis!F31</f>
        <v>7.4999999999999997E-2</v>
      </c>
      <c r="G96" s="2"/>
      <c r="H96" s="281"/>
    </row>
    <row r="97" spans="2:8">
      <c r="B97" s="100" t="s">
        <v>120</v>
      </c>
      <c r="C97" s="116">
        <f>PV(C96, C76, -C77, 0)</f>
        <v>1.0805704554315967</v>
      </c>
      <c r="D97" s="116"/>
      <c r="G97" s="2"/>
      <c r="H97" s="281"/>
    </row>
    <row r="98" spans="2:8">
      <c r="B98" s="100" t="s">
        <v>121</v>
      </c>
      <c r="C98" s="116">
        <f>C60/(1+C96)^C76</f>
        <v>26.748970027985187</v>
      </c>
      <c r="D98" s="116"/>
      <c r="G98" s="2"/>
      <c r="H98" s="281"/>
    </row>
    <row r="99" spans="2:8" ht="13.15">
      <c r="B99" s="110" t="s">
        <v>395</v>
      </c>
      <c r="C99" s="111">
        <f>C97+C98</f>
        <v>27.829540483416785</v>
      </c>
      <c r="D99" t="s">
        <v>393</v>
      </c>
      <c r="E99" s="146" t="s">
        <v>125</v>
      </c>
      <c r="F99" s="291">
        <f>(1-C99/C60)</f>
        <v>0.16252166968355264</v>
      </c>
    </row>
    <row r="100" spans="2:8">
      <c r="B100" s="100"/>
    </row>
    <row r="101" spans="2:8" ht="13.15">
      <c r="B101" s="109" t="s">
        <v>418</v>
      </c>
    </row>
    <row r="102" spans="2:8">
      <c r="B102" s="148" t="s">
        <v>417</v>
      </c>
      <c r="C102" s="134">
        <f>Thesis!F32</f>
        <v>0.1174</v>
      </c>
    </row>
    <row r="103" spans="2:8">
      <c r="B103" s="100" t="s">
        <v>120</v>
      </c>
      <c r="C103" s="116">
        <f>PV(C102, C76, -C77, 0)</f>
        <v>1.0024848508900275</v>
      </c>
      <c r="D103" s="116"/>
    </row>
    <row r="104" spans="2:8">
      <c r="B104" s="100" t="s">
        <v>121</v>
      </c>
      <c r="C104" s="116">
        <f>C60/(1+C102)^C76</f>
        <v>23.818063885638704</v>
      </c>
      <c r="D104" s="116"/>
    </row>
    <row r="105" spans="2:8" ht="13.15">
      <c r="B105" s="110" t="s">
        <v>395</v>
      </c>
      <c r="C105" s="111">
        <f>C103+C104</f>
        <v>24.820548736528732</v>
      </c>
      <c r="D105" t="s">
        <v>393</v>
      </c>
      <c r="E105" s="146" t="s">
        <v>125</v>
      </c>
      <c r="F105" s="291">
        <f>(1-C105/C66)</f>
        <v>0.25302615290709396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tabSelected="1" workbookViewId="0">
      <selection activeCell="E38" sqref="E38"/>
    </sheetView>
  </sheetViews>
  <sheetFormatPr defaultRowHeight="12.75"/>
  <cols>
    <col min="1" max="1" width="2.59765625" customWidth="1"/>
    <col min="2" max="2" width="22.73046875" customWidth="1"/>
    <col min="3" max="5" width="20.73046875" customWidth="1"/>
  </cols>
  <sheetData>
    <row r="2" spans="2:5" ht="13.9">
      <c r="B2" s="36" t="s">
        <v>456</v>
      </c>
      <c r="C2" s="37"/>
      <c r="D2" s="37"/>
      <c r="E2"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2025-07-09T02:15:51Z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