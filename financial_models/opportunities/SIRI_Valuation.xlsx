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28D90CA-EC91-4DB3-A065-C78BC888BEB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C90" i="9"/>
  <c r="D93" i="9"/>
  <c r="C96" i="9" l="1"/>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N126" i="2"/>
  <c r="N91" i="2"/>
  <c r="I91" i="2"/>
  <c r="D70" i="4"/>
  <c r="F69" i="4"/>
  <c r="G69" i="4"/>
  <c r="Q126" i="2"/>
  <c r="Q92" i="2"/>
  <c r="Q48" i="2"/>
  <c r="Q91" i="2"/>
  <c r="K70" i="4"/>
  <c r="D69" i="4"/>
  <c r="J91" i="2"/>
  <c r="J69" i="4"/>
  <c r="I69" i="4"/>
  <c r="P126" i="2"/>
  <c r="P91" i="2"/>
  <c r="K126" i="2"/>
  <c r="K91" i="2"/>
  <c r="J71" i="4"/>
  <c r="L126" i="2"/>
  <c r="L91" i="2"/>
  <c r="I70" i="4"/>
  <c r="M126" i="2"/>
  <c r="M91" i="2"/>
  <c r="H91" i="2"/>
  <c r="J70" i="4"/>
  <c r="E69" i="4"/>
  <c r="I71" i="4"/>
  <c r="C69" i="4"/>
  <c r="O126" i="2"/>
  <c r="O91" i="2"/>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D71" i="4" s="1"/>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55" i="2"/>
  <c r="O76" i="2"/>
  <c r="O120" i="2"/>
  <c r="H58" i="4"/>
  <c r="H71" i="4"/>
  <c r="C58" i="4"/>
  <c r="C71" i="4"/>
  <c r="O63" i="2"/>
  <c r="E58" i="4"/>
  <c r="I62" i="2" s="1"/>
  <c r="E71" i="4"/>
  <c r="G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I50" i="2" s="1"/>
  <c r="I12" i="2" s="1"/>
  <c r="I80" i="2" s="1"/>
  <c r="M48" i="2"/>
  <c r="M50" i="2" s="1"/>
  <c r="M12" i="2" s="1"/>
  <c r="P48" i="2"/>
  <c r="P50" i="2" s="1"/>
  <c r="P12" i="2" s="1"/>
  <c r="O48" i="2"/>
  <c r="O50" i="2" s="1"/>
  <c r="O12" i="2" s="1"/>
  <c r="L48" i="2"/>
  <c r="L50" i="2" s="1"/>
  <c r="L12" i="2" s="1"/>
  <c r="H48" i="2"/>
  <c r="H50" i="2" s="1"/>
  <c r="H12" i="2" s="1"/>
  <c r="H80" i="2" s="1"/>
  <c r="N48" i="2"/>
  <c r="N50" i="2" s="1"/>
  <c r="N12" i="2" s="1"/>
  <c r="J48" i="2"/>
  <c r="K48" i="2"/>
  <c r="J50" i="2"/>
  <c r="J12" i="2" s="1"/>
  <c r="J80"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92"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J114" i="2" l="1"/>
  <c r="J92" i="2"/>
  <c r="N114" i="2"/>
  <c r="N92" i="2"/>
  <c r="I114" i="2"/>
  <c r="I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<sst xmlns="http://schemas.openxmlformats.org/spreadsheetml/2006/main" count="612" uniqueCount="430">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</sst>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423</v>
      </c>
      <c r="D5" s="49" t="s">
        <v>424</v>
      </c>
    </row>
    <row r="6" spans="1:10">
      <c r="B6" s="4" t="s">
        <v>95</v>
      </c>
      <c r="C6" s="50">
        <v>20.079999999999998</v>
      </c>
      <c r="D6" s="48" t="s">
        <v>425</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6800.2124799999992</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425</v>
      </c>
      <c r="D16" s="32"/>
      <c r="E16" s="5"/>
    </row>
    <row r="17" spans="1:6">
      <c r="B17" s="4" t="s">
        <v>1</v>
      </c>
      <c r="C17" s="50">
        <v>1</v>
      </c>
      <c r="D17" s="32" t="str">
        <f>IF(C16=D6,D6,C16&amp;"/"&amp;D6)</f>
        <v>USD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(USD):</v>
      </c>
      <c r="C20" s="252">
        <f>C133</f>
        <v>14.418941896437474</v>
      </c>
      <c r="D20" s="1" t="s">
        <v>315</v>
      </c>
      <c r="E20" s="330">
        <v>3</v>
      </c>
    </row>
    <row r="21" spans="1:6">
      <c r="B21" s="1" t="s">
        <v>407</v>
      </c>
      <c r="C21" s="280">
        <f ca="1">Scenarios!C87</f>
        <v>0.16060765378265396</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2626.9774440472893</v>
      </c>
      <c r="D30" s="1" t="str">
        <f>Reporting_currency</f>
        <v>USD</v>
      </c>
    </row>
    <row r="31" spans="1:6">
      <c r="B31" s="47"/>
      <c r="C31" s="76"/>
    </row>
    <row r="32" spans="1:6" ht="24.4" customHeight="1">
      <c r="B32" s="343" t="s">
        <v>234</v>
      </c>
      <c r="C32" s="343"/>
      <c r="D32" s="343"/>
      <c r="E32" s="343"/>
      <c r="F32" s="343"/>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3" t="s">
        <v>242</v>
      </c>
      <c r="C47" s="343"/>
      <c r="D47" s="343"/>
      <c r="E47" s="343"/>
      <c r="F47" s="343"/>
    </row>
    <row r="48" spans="2:6">
      <c r="B48" s="47" t="s">
        <v>240</v>
      </c>
      <c r="C48" s="188">
        <f>Normalized_FCF!C14</f>
        <v>-532.74436101182232</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0.22703991769612522</v>
      </c>
    </row>
    <row r="59" spans="1:6">
      <c r="B59" s="254" t="s">
        <v>316</v>
      </c>
      <c r="C59" s="92">
        <f>Normalized_FCF!C93</f>
        <v>2.956175298804781E-2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422</v>
      </c>
    </row>
    <row r="69" spans="1:6">
      <c r="B69" s="1" t="s">
        <v>289</v>
      </c>
      <c r="C69" s="263">
        <f>IF(D69="Y",1%,0)</f>
        <v>0</v>
      </c>
      <c r="D69" s="286" t="s">
        <v>422</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413</v>
      </c>
      <c r="C88" s="337">
        <f>BS!G30/BS!G27</f>
        <v>1.4851905363915479</v>
      </c>
    </row>
    <row r="89" spans="2:6">
      <c r="B89" s="336" t="s">
        <v>414</v>
      </c>
      <c r="C89" s="337">
        <f>BS!G31/BS!G27</f>
        <v>0.95241105291674188</v>
      </c>
    </row>
    <row r="90" spans="2:6">
      <c r="B90" s="336" t="s">
        <v>416</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2" t="s">
        <v>374</v>
      </c>
      <c r="C101" s="342"/>
      <c r="D101" s="342"/>
      <c r="E101" s="342"/>
      <c r="F101" s="342"/>
    </row>
    <row r="103" spans="1:6">
      <c r="B103" s="47" t="s">
        <v>283</v>
      </c>
      <c r="C103" s="248">
        <f>Valuation_Model!C12</f>
        <v>26.591820192356398</v>
      </c>
      <c r="D103" s="1" t="str">
        <f>Market_currency</f>
        <v>USD</v>
      </c>
    </row>
    <row r="104" spans="1:6">
      <c r="B104" s="336" t="s">
        <v>415</v>
      </c>
      <c r="C104" s="248">
        <f>BS!D47</f>
        <v>-38.360607814419353</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0.59360000000000002</v>
      </c>
      <c r="D128" s="236" t="str">
        <f>Market_currency</f>
        <v>USD</v>
      </c>
    </row>
    <row r="130" spans="1:6">
      <c r="B130" s="234" t="s">
        <v>408</v>
      </c>
      <c r="C130" s="337">
        <f>C19</f>
        <v>0.3</v>
      </c>
      <c r="D130" s="1" t="s">
        <v>418</v>
      </c>
    </row>
    <row r="131" spans="1:6">
      <c r="B131" s="236" t="str">
        <f>"PV("&amp;C126&amp;" yrs of Dividends)"</f>
        <v>PV(3 yrs of Dividends)</v>
      </c>
      <c r="C131" s="240">
        <f>Scenarios!C81</f>
        <v>1.0780446062812929</v>
      </c>
    </row>
    <row r="132" spans="1:6">
      <c r="B132" s="236" t="str">
        <f>"+ PV(Equity Value realized at year "&amp;C126&amp;")"</f>
        <v>+ PV(Equity Value realized at year 3)</v>
      </c>
      <c r="C132" s="240">
        <f>Scenarios!C82</f>
        <v>13.34089729015618</v>
      </c>
    </row>
    <row r="133" spans="1:6">
      <c r="B133" s="80" t="s">
        <v>261</v>
      </c>
      <c r="C133" s="239">
        <f>Scenarios!C83</f>
        <v>14.418941896437474</v>
      </c>
      <c r="D133" s="47" t="str">
        <f>Reporting_currency</f>
        <v>USD</v>
      </c>
    </row>
    <row r="134" spans="1:6">
      <c r="B134" s="238" t="s">
        <v>263</v>
      </c>
      <c r="C134" s="92">
        <f>Scenarios!F83</f>
        <v>0.5080530251998352</v>
      </c>
    </row>
    <row r="136" spans="1:6">
      <c r="B136" s="234" t="s">
        <v>409</v>
      </c>
      <c r="C136" s="92">
        <f>Scenarios!C96</f>
        <v>0.08</v>
      </c>
      <c r="D136" s="1" t="s">
        <v>417</v>
      </c>
    </row>
    <row r="137" spans="1:6">
      <c r="B137" s="236" t="str">
        <f>"PV("&amp;C126&amp;" yrs of Dividends)"</f>
        <v>PV(3 yrs of Dividends)</v>
      </c>
      <c r="C137" s="240">
        <f>Scenarios!C97</f>
        <v>1.5297647716303417</v>
      </c>
    </row>
    <row r="138" spans="1:6">
      <c r="B138" s="236" t="str">
        <f>"+ PV(Equity Value realized at year "&amp;C126&amp;")"</f>
        <v>+ PV(Equity Value realized at year 3)</v>
      </c>
      <c r="C138" s="240">
        <f>Scenarios!C98</f>
        <v>23.267184361562904</v>
      </c>
    </row>
    <row r="139" spans="1:6">
      <c r="B139" s="80" t="s">
        <v>410</v>
      </c>
      <c r="C139" s="239">
        <f>Scenarios!C99</f>
        <v>24.796949133193245</v>
      </c>
      <c r="D139" s="101" t="str">
        <f>Reporting_currency</f>
        <v>USD</v>
      </c>
    </row>
    <row r="140" spans="1:6">
      <c r="B140" s="238" t="s">
        <v>263</v>
      </c>
      <c r="C140" s="92">
        <f>Scenarios!F99</f>
        <v>0.15397508374994073</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427</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429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c r="B126" s="2" t="s">
        <v>402</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-20.079999999999998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20.079999999999998</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20.079999999999998</v>
      </c>
      <c r="D86" t="str">
        <f>Market_currency</f>
        <v>USD</v>
      </c>
    </row>
    <row r="87" spans="2:8" ht="13.15">
      <c r="B87" s="100" t="s">
        <v>305</v>
      </c>
      <c r="C87" s="265">
        <f ca="1">IRR(OFFSET($I$3, 0, 0, $C$76 + 1, 1))</f>
        <v>0.16060765378265396</v>
      </c>
    </row>
    <row r="88" spans="2:8">
      <c r="B88" s="100"/>
    </row>
    <row r="89" spans="2:8" ht="13.15">
      <c r="B89" s="109" t="s">
        <v>420</v>
      </c>
    </row>
    <row r="90" spans="2:8">
      <c r="B90" s="149" t="s">
        <v>421</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412</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