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31281EC-BFC9-47DF-9ED4-371439CE4FAF}"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62" i="4"/>
  <c r="E62" i="4"/>
  <c r="F62" i="4"/>
  <c r="G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L9" i="2"/>
  <c r="H62" i="4"/>
  <c r="L10" i="2" s="1"/>
  <c r="O9" i="2"/>
  <c r="K62" i="4"/>
  <c r="O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F71" i="4" l="1"/>
  <c r="Q126" i="2"/>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C67" i="8"/>
  <c r="C70" i="8"/>
  <c r="E66" i="8"/>
  <c r="D70" i="8"/>
  <c r="F70" i="8"/>
  <c r="E67" i="8"/>
  <c r="B70" i="8"/>
  <c r="C66" i="8"/>
  <c r="E70" i="8"/>
  <c r="F71" i="8"/>
  <c r="B67" i="8"/>
  <c r="D66" i="8"/>
  <c r="B66" i="8"/>
  <c r="G54" i="2"/>
  <c r="B69" i="8" l="1"/>
  <c r="B68" i="8"/>
  <c r="D71" i="8"/>
  <c r="F69" i="8"/>
  <c r="F67" i="8"/>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<sst xmlns="http://schemas.openxmlformats.org/spreadsheetml/2006/main" count="626" uniqueCount="439">
  <si>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</si>
  <si>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</si>
  <si>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</si>
  <si>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</si>
  <si>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</si>
  <si>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</si>
  <si>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</si>
  <si>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</si>
  <si>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</si>
  <si>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</si>
  <si>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</si>
  <si>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</si>
  <si>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</si>
  <si>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</si>
  <si>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</si>
  <si>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</si>
  <si>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</si>
  <si>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</si>
  <si>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</si>
  <si>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</si>
  <si>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</si>
  <si>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</si>
  <si>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</si>
  <si>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</si>
  <si>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</si>
  <si>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</si>
  <si>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</si>
  <si>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</si>
  <si>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</si>
  <si>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</si>
  <si>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</si>
  <si>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</si>
  <si>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</si>
  <si>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</si>
  <si>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</si>
  <si>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</si>
  <si>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</si>
  <si>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</si>
  <si>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</si>
  <si>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</si>
  <si>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</si>
  <si>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</si>
  <si>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</si>
  <si>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</si>
  <si>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</si>
  <si>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</si>
  <si>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</si>
  <si>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</si>
  <si>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</si>
  <si>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</si>
  <si>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</si>
  <si>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</si>
  <si>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</si>
  <si>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</si>
  <si>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</si>
  <si>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</si>
  <si>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</si>
  <si>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</si>
  <si>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</si>
  <si>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</si>
  <si>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</si>
  <si>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</si>
  <si>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</si>
  <si>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</si>
  <si>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</si>
  <si>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</si>
  <si>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</si>
  <si>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</si>
  <si>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</si>
  <si>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</si>
  <si>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</si>
  <si>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</si>
  <si>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</si>
  <si>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</si>
  <si>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</si>
  <si>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</si>
  <si>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</si>
  <si>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</si>
  <si>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</si>
  <si>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</si>
  <si>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</si>
  <si>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</si>
  <si>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</si>
  <si>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</si>
  <si>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</si>
  <si>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</si>
  <si>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</si>
  <si>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</si>
  <si>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</si>
  <si>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</si>
  <si>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</si>
  <si>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</si>
  <si>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</si>
  <si>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</si>
  <si>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</si>
  <si>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</si>
  <si>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</si>
  <si>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</si>
  <si>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</si>
  <si>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</si>
  <si>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</si>
  <si>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</si>
  <si>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</si>
  <si>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</si>
  <si>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</si>
  <si>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</si>
  <si>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</si>
  <si>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</si>
  <si>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</si>
  <si>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</si>
  <si>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</si>
  <si>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</si>
  <si>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</si>
  <si>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</si>
  <si>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</si>
  <si>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</si>
  <si>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</si>
  <si>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</si>
  <si>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</si>
  <si>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</si>
  <si>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</si>
  <si>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</si>
  <si>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</si>
  <si>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</si>
  <si>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</si>
  <si>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</si>
  <si>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</si>
  <si>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</si>
  <si>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</si>
  <si>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</si>
  <si>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</si>
  <si>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</si>
  <si>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</si>
  <si>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</si>
  <si>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</si>
  <si>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</si>
  <si>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</si>
  <si>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</si>
  <si>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</si>
  <si>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</si>
  <si>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</si>
  <si>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</si>
  <si>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</si>
  <si>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</si>
  <si>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</si>
  <si>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</si>
  <si>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</si>
  <si>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</si>
  <si>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</si>
  <si>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</si>
  <si>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</si>
  <si>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</si>
  <si>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</si>
  <si>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</si>
  <si>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</si>
  <si>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</si>
  <si>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</si>
  <si>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</si>
  <si>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</si>
  <si>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</si>
  <si>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</si>
  <si>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</si>
  <si>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</si>
  <si>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</si>
  <si>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</si>
  <si>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</si>
  <si>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</si>
  <si>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</si>
  <si>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</si>
  <si>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</si>
  <si>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</si>
  <si>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</si>
  <si>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</si>
  <si>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</si>
  <si>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</si>
  <si>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</si>
  <si>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</si>
  <si>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</si>
  <si>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</si>
  <si>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</si>
  <si>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</si>
  <si>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</si>
  <si>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</si>
  <si>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</si>
  <si>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</si>
  <si>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</si>
  <si>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</si>
  <si>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</si>
  <si>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</si>
  <si>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</si>
  <si>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</si>
  <si>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</si>
  <si>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</si>
  <si>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</si>
  <si>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</si>
  <si>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</si>
  <si>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</si>
  <si>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</si>
  <si>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</si>
  <si>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</si>
  <si>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</si>
  <si>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</si>
  <si>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</si>
  <si>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</si>
  <si>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</si>
  <si>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</si>
  <si>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</si>
  <si>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</si>
  <si>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</si>
  <si>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</si>
  <si>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</si>
  <si>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</si>
  <si>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</si>
  <si>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</si>
  <si>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</si>
  <si>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</si>
  <si>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</si>
  <si>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</si>
  <si>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</si>
  <si>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</si>
  <si>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</si>
  <si>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</si>
  <si>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</si>
  <si>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</si>
  <si>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</si>
  <si>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</si>
  <si>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</si>
  <si>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</si>
  <si>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</si>
  <si>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</si>
  <si>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</si>
  <si>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</si>
  <si>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</si>
  <si>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</si>
  <si>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</si>
  <si>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</si>
  <si>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</si>
  <si>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</si>
  <si>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</si>
  <si>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</si>
  <si>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</si>
  <si>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</si>
  <si>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</si>
  <si>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</si>
  <si>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</si>
  <si>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</si>
  <si>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</si>
  <si>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</si>
  <si>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</si>
  <si>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</si>
  <si>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</si>
  <si>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</si>
  <si>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</si>
  <si>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</si>
  <si>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</si>
  <si>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</si>
  <si>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</si>
  <si>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</si>
  <si>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</si>
  <si>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</si>
  <si>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</si>
  <si>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</si>
  <si>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</si>
  <si>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</si>
  <si>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</si>
  <si>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</si>
  <si>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</si>
  <si>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</si>
  <si>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</si>
  <si>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</si>
  <si>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</si>
  <si>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</si>
  <si>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</si>
  <si>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</si>
  <si>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</si>
  <si>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</si>
  <si>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</si>
  <si>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</si>
  <si>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</si>
  <si>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</si>
  <si>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</si>
  <si>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</si>
  <si>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</si>
  <si>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</si>
  <si>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</si>
  <si>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</si>
  <si>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</si>
  <si>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</si>
  <si>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</si>
  <si>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</si>
  <si>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</si>
  <si>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</si>
  <si>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</si>
  <si>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</si>
  <si>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</si>
  <si>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</si>
  <si>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</si>
  <si>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</si>
  <si>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</si>
  <si>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</si>
  <si>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</si>
  <si>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</si>
  <si>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</si>
  <si>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</si>
  <si>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</si>
  <si>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</si>
  <si>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</si>
  <si>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</si>
  <si>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</si>
  <si>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</si>
  <si>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</si>
  <si>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</si>
  <si>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</si>
  <si>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</si>
  <si>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</si>
  <si>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</si>
  <si>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</si>
  <si>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</si>
  <si>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</si>
  <si>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</si>
  <si>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</si>
  <si>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</si>
  <si>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</si>
  <si>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</si>
  <si>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</si>
  <si>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</si>
  <si>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</si>
  <si>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</si>
  <si>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</si>
  <si>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</si>
  <si>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</si>
  <si>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</si>
  <si>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</si>
  <si>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</si>
  <si>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</si>
  <si>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</si>
  <si>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</si>
  <si>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</si>
  <si>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</si>
  <si>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</si>
  <si>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</si>
  <si>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</si>
  <si>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</si>
  <si>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</si>
  <si>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</si>
  <si>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</si>
  <si>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</si>
  <si>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</si>
  <si>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</si>
  <si>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</si>
  <si>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</si>
  <si>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</si>
  <si>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</si>
  <si>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</si>
  <si>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</si>
  <si>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</si>
  <si>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</si>
  <si>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</si>
  <si>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</si>
  <si>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</si>
  <si>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</si>
  <si>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</si>
  <si>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</si>
  <si>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</si>
  <si>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</si>
  <si>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</si>
  <si>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</si>
  <si>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</si>
  <si>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</si>
  <si>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</si>
  <si>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</si>
  <si>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</si>
  <si>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</si>
  <si>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</si>
  <si>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</si>
  <si>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</si>
  <si>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</si>
  <si>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</si>
  <si>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</si>
  <si>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</si>
  <si>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</si>
  <si>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</si>
  <si>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</si>
  <si>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</si>
  <si>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</si>
  <si>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</si>
  <si>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</si>
  <si>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</si>
  <si>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</si>
  <si>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</si>
  <si>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</si>
  <si>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</si>
  <si>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</si>
  <si>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</si>
  <si>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</si>
  <si>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</si>
  <si>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</si>
  <si>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</si>
  <si>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</si>
  <si>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</si>
  <si>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</si>
  <si>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</si>
  <si>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</si>
  <si>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</si>
  <si>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</si>
  <si>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</si>
  <si>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</si>
  <si>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</si>
  <si>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</si>
  <si>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</si>
  <si>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</si>
  <si>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</si>
  <si>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</si>
  <si>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</si>
  <si>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</si>
  <si>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</si>
  <si>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</si>
  <si>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</si>
  <si>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</si>
  <si>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</si>
  <si>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</si>
  <si>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</si>
  <si>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</si>
  <si>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</si>
  <si>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</si>
  <si>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</si>
  <si>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</si>
  <si>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</si>
  <si>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</si>
  <si>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</si>
  <si>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</si>
  <si>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Sirius XM Holdings Inc.</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</si>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</sst>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21.88</v>
      </c>
      <c r="D12" s="50"/>
      <c r="E12" s="48"/>
    </row>
    <row r="13" spans="1:10">
      <c r="B13" s="1" t="s">
        <v>425</v>
      </c>
      <c r="C13" s="48" t="s">
        <v>434</v>
      </c>
      <c r="D13" s="48"/>
      <c r="E13" s="5"/>
    </row>
    <row r="14" spans="1:10">
      <c r="B14" s="4" t="s">
        <v>429</v>
      </c>
      <c r="C14" s="35">
        <f>Thesis!C12*Common_Shares/1000000</f>
        <v>7409.7932799999999</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11.624652823058726</v>
      </c>
      <c r="D25" s="1" t="s">
        <v>315</v>
      </c>
      <c r="E25" s="330">
        <v>3</v>
      </c>
    </row>
    <row r="26" spans="1:6">
      <c r="B26" s="1" t="s">
        <v>407</v>
      </c>
      <c r="C26" s="280">
        <f ca="1">Scenarios!C87</f>
        <v>0.12708202937377311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2626.9774440472893</v>
      </c>
      <c r="D35" s="1" t="str">
        <f>Reporting_currency</f>
        <v>USD</v>
      </c>
    </row>
    <row r="36" spans="2:6">
      <c r="B36" s="47"/>
      <c r="C36" s="76"/>
    </row>
    <row r="37" spans="2:6" ht="24.4" customHeight="1">
      <c r="B37" s="346" t="s">
        <v>234</v>
      </c>
      <c r="C37" s="346"/>
      <c r="D37" s="346"/>
      <c r="E37" s="346"/>
      <c r="F37" s="346"/>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6" t="s">
        <v>242</v>
      </c>
      <c r="C52" s="346"/>
      <c r="D52" s="346"/>
      <c r="E52" s="346"/>
      <c r="F52" s="346"/>
    </row>
    <row r="53" spans="2:6">
      <c r="B53" s="47" t="s">
        <v>240</v>
      </c>
      <c r="C53" s="188">
        <f>Normalized_FCF!C14</f>
        <v>-532.74436101182232</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0.20836204512514597</v>
      </c>
    </row>
    <row r="64" spans="2:6">
      <c r="B64" s="254" t="s">
        <v>316</v>
      </c>
      <c r="C64" s="92">
        <f>Normalized_FCF!C93</f>
        <v>2.7129798903107863E-2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5" t="s">
        <v>374</v>
      </c>
      <c r="C106" s="345"/>
      <c r="D106" s="345"/>
      <c r="E106" s="345"/>
      <c r="F106" s="345"/>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0.4</v>
      </c>
    </row>
    <row r="137" spans="2:6">
      <c r="B137" s="236" t="str">
        <f>"PV("&amp;C131&amp;" yrs of Dividends)"</f>
        <v>PV(3 yrs of Dividends)</v>
      </c>
      <c r="C137" s="240">
        <f>Scenarios!C81</f>
        <v>0.94318367346938758</v>
      </c>
    </row>
    <row r="138" spans="2:6">
      <c r="B138" s="236" t="str">
        <f>"+ PV(Equity Value realized at year "&amp;C131&amp;")"</f>
        <v>+ PV(Equity Value realized at year 3)</v>
      </c>
      <c r="C138" s="240">
        <f>Scenarios!C82</f>
        <v>10.681469149589338</v>
      </c>
    </row>
    <row r="139" spans="2:6">
      <c r="B139" s="80" t="s">
        <v>261</v>
      </c>
      <c r="C139" s="239">
        <f>Scenarios!C83</f>
        <v>11.624652823058726</v>
      </c>
      <c r="D139" s="342" t="str">
        <f>IF($D$11="","",C139*$E$22)</f>
        <v/>
      </c>
    </row>
    <row r="140" spans="2:6">
      <c r="B140" s="290" t="s">
        <v>425</v>
      </c>
      <c r="C140" s="340" t="str">
        <f>Market_currency</f>
        <v>USD</v>
      </c>
      <c r="D140" s="340" t="str">
        <f>IF($D$11="","",D$13)</f>
        <v/>
      </c>
    </row>
    <row r="141" spans="2:6">
      <c r="B141" s="238" t="s">
        <v>263</v>
      </c>
      <c r="C141" s="92">
        <f>Scenarios!F83</f>
        <v>0.60338887343606862</v>
      </c>
    </row>
    <row r="143" spans="2:6">
      <c r="B143" s="234" t="s">
        <v>421</v>
      </c>
    </row>
    <row r="144" spans="2:6">
      <c r="B144" s="1" t="s">
        <v>420</v>
      </c>
      <c r="C144" s="337">
        <f>Scenarios!C90</f>
        <v>0.2</v>
      </c>
    </row>
    <row r="145" spans="1:6">
      <c r="B145" s="236" t="str">
        <f>"PV("&amp;C131&amp;" yrs of Dividends)"</f>
        <v>PV(3 yrs of Dividends)</v>
      </c>
      <c r="C145" s="240">
        <f>Scenarios!C91</f>
        <v>1.2504074074074074</v>
      </c>
    </row>
    <row r="146" spans="1:6">
      <c r="B146" s="236" t="str">
        <f>"+ PV(Equity Value realized at year "&amp;C131&amp;")"</f>
        <v>+ PV(Equity Value realized at year 3)</v>
      </c>
      <c r="C146" s="240">
        <f>Scenarios!C92</f>
        <v>16.961777399579361</v>
      </c>
    </row>
    <row r="147" spans="1:6">
      <c r="B147" s="80" t="s">
        <v>261</v>
      </c>
      <c r="C147" s="239">
        <f>Scenarios!C93</f>
        <v>18.21218480698677</v>
      </c>
      <c r="D147" s="342" t="str">
        <f>IF($D$11="","",C147*$E$22)</f>
        <v/>
      </c>
    </row>
    <row r="148" spans="1:6">
      <c r="B148" s="290" t="s">
        <v>425</v>
      </c>
      <c r="C148" s="340" t="str">
        <f>Market_currency</f>
        <v>USD</v>
      </c>
      <c r="D148" s="340" t="str">
        <f>IF($D$11="","",D$13)</f>
        <v/>
      </c>
    </row>
    <row r="149" spans="1:6">
      <c r="B149" s="238" t="s">
        <v>263</v>
      </c>
      <c r="C149" s="92">
        <f>Scenarios!F93</f>
        <v>0.37863476497451642</v>
      </c>
    </row>
    <row r="151" spans="1:6">
      <c r="B151" s="234" t="s">
        <v>408</v>
      </c>
    </row>
    <row r="152" spans="1:6">
      <c r="B152" s="1" t="s">
        <v>419</v>
      </c>
      <c r="C152" s="92">
        <f>Scenarios!C96</f>
        <v>0.08</v>
      </c>
    </row>
    <row r="153" spans="1:6">
      <c r="B153" s="236" t="str">
        <f>"PV("&amp;C131&amp;" yrs of Dividends)"</f>
        <v>PV(3 yrs of Dividends)</v>
      </c>
      <c r="C153" s="240">
        <f>Scenarios!C97</f>
        <v>1.5297647716303417</v>
      </c>
    </row>
    <row r="154" spans="1:6">
      <c r="B154" s="236" t="str">
        <f>"+ PV(Equity Value realized at year "&amp;C131&amp;")"</f>
        <v>+ PV(Equity Value realized at year 3)</v>
      </c>
      <c r="C154" s="240">
        <f>Scenarios!C98</f>
        <v>23.267184361562904</v>
      </c>
    </row>
    <row r="155" spans="1:6">
      <c r="B155" s="80" t="s">
        <v>409</v>
      </c>
      <c r="C155" s="239">
        <f>Scenarios!C99</f>
        <v>24.796949133193245</v>
      </c>
      <c r="D155" s="342" t="str">
        <f>IF($D$11="","",C155*$E$22)</f>
        <v/>
      </c>
    </row>
    <row r="156" spans="1:6">
      <c r="B156" s="290" t="s">
        <v>425</v>
      </c>
      <c r="C156" s="340" t="str">
        <f>Market_currency</f>
        <v>USD</v>
      </c>
      <c r="D156" s="340" t="str">
        <f>IF($D$11="","",D$13)</f>
        <v/>
      </c>
    </row>
    <row r="157" spans="1:6">
      <c r="B157" s="238" t="s">
        <v>263</v>
      </c>
      <c r="C157" s="92">
        <f>Scenarios!F99</f>
        <v>0.15397508374994073</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436</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438</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2.7129798903107863E-2</v>
      </c>
      <c r="E93" s="302"/>
      <c r="G93" s="23">
        <f t="shared" ref="G93:Q93" si="39">IF(G$4="","",G90/Market_Price)</f>
        <v>2.7129798903107863E-2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0.20836204512514597</v>
      </c>
      <c r="D125" s="27"/>
      <c r="E125" s="299"/>
      <c r="F125" s="27"/>
      <c r="G125" s="77">
        <f t="shared" ref="G125" si="50">IF(G$4="","",G124/Market_Price)</f>
        <v>0.14575305399073157</v>
      </c>
      <c r="H125" s="77">
        <f t="shared" ref="H125" si="51">IF(H$4="","",H124/Market_Price)</f>
        <v>0.12294540017181153</v>
      </c>
      <c r="I125" s="77">
        <f t="shared" ref="I125" si="52">IF(I$4="","",I124/Market_Price)</f>
        <v>0.46006681579111475</v>
      </c>
      <c r="J125" s="77">
        <f t="shared" ref="J125" si="53">IF(J$4="","",J124/Market_Price)</f>
        <v>0.49596525316290607</v>
      </c>
      <c r="K125" s="77">
        <f t="shared" ref="K125" si="54">IF(K$4="","",K124/Market_Price)</f>
        <v>0.45615307637840069</v>
      </c>
      <c r="L125" s="77">
        <f t="shared" ref="L125" si="55">IF(L$4="","",L124/Market_Price)</f>
        <v>0.49852942726089117</v>
      </c>
      <c r="M125" s="77">
        <f t="shared" ref="M125" si="56">IF(M$4="","",M124/Market_Price)</f>
        <v>0.38696518130125218</v>
      </c>
      <c r="N125" s="77">
        <f t="shared" ref="N125" si="57">IF(N$4="","",N124/Market_Price)</f>
        <v>0.31863587967733425</v>
      </c>
      <c r="O125" s="77">
        <f t="shared" ref="O125" si="58">IF(O$4="","",O124/Market_Price)</f>
        <v>0.31673501693153855</v>
      </c>
      <c r="P125" s="77">
        <f t="shared" ref="P125" si="59">IF(P$4="","",P124/Market_Price)</f>
        <v>0.27606046791092131</v>
      </c>
      <c r="Q125" s="77" t="str">
        <f t="shared" ref="Q125" si="60">IF(Q$4="","",Q124/Market_Price)</f>
        <v/>
      </c>
    </row>
    <row r="126" spans="1:17" ht="15.75" customHeight="1">
      <c r="B126" s="2" t="s">
        <v>402</v>
      </c>
      <c r="C126" s="170"/>
      <c r="G126" s="23">
        <f>IF(G$4="","",(Data!C47*$C$3)/(Market_Price*Common_Shares))</f>
        <v>-0.28003480280626669</v>
      </c>
      <c r="H126" s="23">
        <f>IF(H$4="","",(Data!D47*$C$3)/(Market_Price*Common_Shares))</f>
        <v>0.1697753165929077</v>
      </c>
      <c r="I126" s="23">
        <f>IF(I$4="","",(Data!E47*$C$3)/(Market_Price*Common_Shares))</f>
        <v>0.16370227267662721</v>
      </c>
      <c r="J126" s="23">
        <f>IF(J$4="","",(Data!F47*$C$3)/(Market_Price*Common_Shares))</f>
        <v>0.17733288235539008</v>
      </c>
      <c r="K126" s="23">
        <f>IF(K$4="","",(Data!G47*$C$3)/(Market_Price*Common_Shares))</f>
        <v>1.7679305622949847E-2</v>
      </c>
      <c r="L126" s="23">
        <f>IF(L$4="","",(Data!H47*$C$3)/(Market_Price*Common_Shares))</f>
        <v>0.12335026976623024</v>
      </c>
      <c r="M126" s="23">
        <f>IF(M$4="","",(Data!I47*$C$3)/(Market_Price*Common_Shares))</f>
        <v>0.15869444066326233</v>
      </c>
      <c r="N126" s="23">
        <f>IF(N$4="","",(Data!J47*$C$3)/(Market_Price*Common_Shares))</f>
        <v>8.743941639354344E-2</v>
      </c>
      <c r="O126" s="23">
        <f>IF(O$4="","",(Data!K47*$C$3)/(Market_Price*Common_Shares))</f>
        <v>0.10066853039117442</v>
      </c>
      <c r="P126" s="23">
        <f>IF(P$4="","",(Data!L47*$C$3)/(Market_Price*Common_Shares))</f>
        <v>6.8790583048492282E-2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-21.88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21.88</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9">
        <f>(1-C83/C60)</f>
        <v>0.60338887343606862</v>
      </c>
    </row>
    <row r="84" spans="2:8">
      <c r="E84" s="121"/>
    </row>
    <row r="85" spans="2:8" ht="13.15">
      <c r="B85" s="109" t="s">
        <v>309</v>
      </c>
    </row>
    <row r="86" spans="2:8">
      <c r="B86" s="149" t="s">
        <v>307</v>
      </c>
      <c r="C86" s="266">
        <f>Market_Price</f>
        <v>21.88</v>
      </c>
      <c r="D86" t="str">
        <f>Market_currency</f>
        <v>USD</v>
      </c>
    </row>
    <row r="87" spans="2:8" ht="13.15">
      <c r="B87" s="100" t="s">
        <v>305</v>
      </c>
      <c r="C87" s="265">
        <f ca="1">IRR(OFFSET($I$3, 0, 0, $C$76 + 1, 1))</f>
        <v>0.12708202937377311</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