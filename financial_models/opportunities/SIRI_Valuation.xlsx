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72C3F13-6EA0-4738-B976-563CA4DBE237}" xr6:coauthVersionLast="47" xr6:coauthVersionMax="47" xr10:uidLastSave="{00000000-0000-0000-0000-000000000000}"/>
  <bookViews>
    <workbookView xWindow="368" yWindow="368" windowWidth="12689" windowHeight="764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C28" i="6"/>
  <c r="H1" i="3"/>
  <c r="C3" i="2"/>
  <c r="C3" i="8"/>
  <c r="C90" i="9"/>
  <c r="C136" i="6" s="1"/>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3" i="2"/>
  <c r="C59" i="6" s="1"/>
  <c r="L45" i="4"/>
  <c r="C77" i="9"/>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1" i="9"/>
  <c r="C137" i="6" s="1"/>
  <c r="G72" i="4"/>
  <c r="I72" i="4"/>
  <c r="F72" i="4"/>
  <c r="F71" i="4"/>
  <c r="E72" i="4"/>
  <c r="D72" i="4"/>
  <c r="D70" i="4"/>
  <c r="J72" i="4"/>
  <c r="H72" i="4"/>
  <c r="L69" i="4"/>
  <c r="L70" i="4"/>
  <c r="L72" i="4"/>
  <c r="L71" i="4"/>
  <c r="K72"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88" i="6" l="1"/>
  <c r="C31" i="4"/>
  <c r="C80" i="4" s="1"/>
  <c r="K58" i="4"/>
  <c r="O62" i="2" s="1"/>
  <c r="K71" i="4"/>
  <c r="N126" i="2"/>
  <c r="N91" i="2"/>
  <c r="F69" i="4"/>
  <c r="G69" i="4"/>
  <c r="O126" i="2"/>
  <c r="O91" i="2"/>
  <c r="Q126" i="2"/>
  <c r="Q92" i="2"/>
  <c r="Q48" i="2"/>
  <c r="Q91" i="2"/>
  <c r="K70" i="4"/>
  <c r="D69" i="4"/>
  <c r="J69" i="4"/>
  <c r="I69" i="4"/>
  <c r="J91" i="2"/>
  <c r="K126" i="2"/>
  <c r="K91" i="2"/>
  <c r="J71" i="4"/>
  <c r="L126" i="2"/>
  <c r="L91" i="2"/>
  <c r="I70" i="4"/>
  <c r="M126" i="2"/>
  <c r="M91" i="2"/>
  <c r="H91" i="2"/>
  <c r="J70" i="4"/>
  <c r="E69" i="4"/>
  <c r="I71" i="4"/>
  <c r="C69" i="4"/>
  <c r="I91" i="2"/>
  <c r="P126" i="2"/>
  <c r="P91" i="2"/>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6" i="2" s="1"/>
  <c r="O35" i="2"/>
  <c r="O7" i="2" s="1"/>
  <c r="O82" i="2"/>
  <c r="O40" i="2"/>
  <c r="O28" i="2"/>
  <c r="O75" i="2"/>
  <c r="G105" i="2" l="1"/>
  <c r="G101" i="2" s="1"/>
  <c r="C76" i="4"/>
  <c r="O8" i="2"/>
  <c r="O74" i="2"/>
  <c r="O63" i="2"/>
  <c r="O73" i="2"/>
  <c r="E58" i="4"/>
  <c r="I62" i="2" s="1"/>
  <c r="E71" i="4"/>
  <c r="H58" i="4"/>
  <c r="G71" i="4"/>
  <c r="H71" i="4"/>
  <c r="C58" i="4"/>
  <c r="C71" i="4"/>
  <c r="D71" i="4"/>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76" i="2"/>
  <c r="O55"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P48" i="2"/>
  <c r="K48" i="2"/>
  <c r="O48" i="2"/>
  <c r="O50" i="2" s="1"/>
  <c r="O12" i="2" s="1"/>
  <c r="M48" i="2"/>
  <c r="M50" i="2" s="1"/>
  <c r="M12" i="2" s="1"/>
  <c r="N48" i="2"/>
  <c r="N50" i="2" s="1"/>
  <c r="N12" i="2" s="1"/>
  <c r="L48" i="2"/>
  <c r="L50" i="2" s="1"/>
  <c r="L12" i="2" s="1"/>
  <c r="J48" i="2"/>
  <c r="J50" i="2" s="1"/>
  <c r="J12" i="2" s="1"/>
  <c r="J80" i="2" s="1"/>
  <c r="H48" i="2"/>
  <c r="I48" i="2"/>
  <c r="P50" i="2"/>
  <c r="P12" i="2" s="1"/>
  <c r="G50" i="2"/>
  <c r="G12" i="2" s="1"/>
  <c r="G43" i="2" s="1"/>
  <c r="H50" i="2"/>
  <c r="H12" i="2" s="1"/>
  <c r="H80" i="2" s="1"/>
  <c r="C40" i="6"/>
  <c r="I50" i="2"/>
  <c r="I12" i="2" s="1"/>
  <c r="I80" i="2" s="1"/>
  <c r="K50" i="2"/>
  <c r="K12" i="2" s="1"/>
  <c r="K43"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81" i="2"/>
  <c r="O117" i="2" s="1"/>
  <c r="O16" i="2"/>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92" i="2" s="1"/>
  <c r="P124" i="2"/>
  <c r="P125" i="2" s="1"/>
  <c r="C47" i="2"/>
  <c r="O92" i="2" l="1"/>
  <c r="O114" i="2"/>
  <c r="O87"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92" i="2" l="1"/>
  <c r="N114" i="2"/>
  <c r="I114" i="2"/>
  <c r="I92" i="2"/>
  <c r="J114" i="2"/>
  <c r="J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114" i="2"/>
  <c r="L92"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<sst xmlns="http://schemas.openxmlformats.org/spreadsheetml/2006/main" count="606" uniqueCount="428">
  <si>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</si>
  <si>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</si>
  <si>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</si>
  <si>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</si>
  <si>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</si>
  <si>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</si>
  <si>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</si>
  <si>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</si>
  <si>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</si>
  <si>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</si>
  <si>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</si>
  <si>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</si>
  <si>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</si>
  <si>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</si>
  <si>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</si>
  <si>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</si>
  <si>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</si>
  <si>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</si>
  <si>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</si>
  <si>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</si>
  <si>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</si>
  <si>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</si>
  <si>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</si>
  <si>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</si>
  <si>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</si>
  <si>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</si>
  <si>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</si>
  <si>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</si>
  <si>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</si>
  <si>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</si>
  <si>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</si>
  <si>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</si>
  <si>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</si>
  <si>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</si>
  <si>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</si>
  <si>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</si>
  <si>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</si>
  <si>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</si>
  <si>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</si>
  <si>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</si>
  <si>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</si>
  <si>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</si>
  <si>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</si>
  <si>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</si>
  <si>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</si>
  <si>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</si>
  <si>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</si>
  <si>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</si>
  <si>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</si>
  <si>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</si>
  <si>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</si>
  <si>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</si>
  <si>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</si>
  <si>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</si>
  <si>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</si>
  <si>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</si>
  <si>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</si>
  <si>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</si>
  <si>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</si>
  <si>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</si>
  <si>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</si>
  <si>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</si>
  <si>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</si>
  <si>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</si>
  <si>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</si>
  <si>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</si>
  <si>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</si>
  <si>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</si>
  <si>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</si>
  <si>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</si>
  <si>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</si>
  <si>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</si>
  <si>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</si>
  <si>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</si>
  <si>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</si>
  <si>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</si>
  <si>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</si>
  <si>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</si>
  <si>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</si>
  <si>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</si>
  <si>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</si>
  <si>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</si>
  <si>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</si>
  <si>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</si>
  <si>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</si>
  <si>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</si>
  <si>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</si>
  <si>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</si>
  <si>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</si>
  <si>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</si>
  <si>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</si>
  <si>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</si>
  <si>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</si>
  <si>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</si>
  <si>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</si>
  <si>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</si>
  <si>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</si>
  <si>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</si>
  <si>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</si>
  <si>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</si>
  <si>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</si>
  <si>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</si>
  <si>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</si>
  <si>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</si>
  <si>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</si>
  <si>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</si>
  <si>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</si>
  <si>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</si>
  <si>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</si>
  <si>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</si>
  <si>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</si>
  <si>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</si>
  <si>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</si>
  <si>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</si>
  <si>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</si>
  <si>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</si>
  <si>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</si>
  <si>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</si>
  <si>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</si>
  <si>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</si>
  <si>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</si>
  <si>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</si>
  <si>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</si>
  <si>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</si>
  <si>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</si>
  <si>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</si>
  <si>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</si>
  <si>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</si>
  <si>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</si>
  <si>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</si>
  <si>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</si>
  <si>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</si>
  <si>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</si>
  <si>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</si>
  <si>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</si>
  <si>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</si>
  <si>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</si>
  <si>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</si>
  <si>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</si>
  <si>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</si>
  <si>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</si>
  <si>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</si>
  <si>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</si>
  <si>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</si>
  <si>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</si>
  <si>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</si>
  <si>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</si>
  <si>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</si>
  <si>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</si>
  <si>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</si>
  <si>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</si>
  <si>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</si>
  <si>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</si>
  <si>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</si>
  <si>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</si>
  <si>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</si>
  <si>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</si>
  <si>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</si>
  <si>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</si>
  <si>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</si>
  <si>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</si>
  <si>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</si>
  <si>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</si>
  <si>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</si>
  <si>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</si>
  <si>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</si>
  <si>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</si>
  <si>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</si>
  <si>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</si>
  <si>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</si>
  <si>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</si>
  <si>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</si>
  <si>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</si>
  <si>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</si>
  <si>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</si>
  <si>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</si>
  <si>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</si>
  <si>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</si>
  <si>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</si>
  <si>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</si>
  <si>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</si>
  <si>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</si>
  <si>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</si>
  <si>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</si>
  <si>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</si>
  <si>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</si>
  <si>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</si>
  <si>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</si>
  <si>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</si>
  <si>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</si>
  <si>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</si>
  <si>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</si>
  <si>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</si>
  <si>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</si>
  <si>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</si>
  <si>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</si>
  <si>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</si>
  <si>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</si>
  <si>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</si>
  <si>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</si>
  <si>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</si>
  <si>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</si>
  <si>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</si>
  <si>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</si>
  <si>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</si>
  <si>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</si>
  <si>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</si>
  <si>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</si>
  <si>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</si>
  <si>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</si>
  <si>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</si>
  <si>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</si>
  <si>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</si>
  <si>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</si>
  <si>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</si>
  <si>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</si>
  <si>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</si>
  <si>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</si>
  <si>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</si>
  <si>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</si>
  <si>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</si>
  <si>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</si>
  <si>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</si>
  <si>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</si>
  <si>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</si>
  <si>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</si>
  <si>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</si>
  <si>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</si>
  <si>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</si>
  <si>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</si>
  <si>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</si>
  <si>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</si>
  <si>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</si>
  <si>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</si>
  <si>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</si>
  <si>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</si>
  <si>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</si>
  <si>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</si>
  <si>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</si>
  <si>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</si>
  <si>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</si>
  <si>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</si>
  <si>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</si>
  <si>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</si>
  <si>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</si>
  <si>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</si>
  <si>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</si>
  <si>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</si>
  <si>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</si>
  <si>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</si>
  <si>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</si>
  <si>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</si>
  <si>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</si>
  <si>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</si>
  <si>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</si>
  <si>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</si>
  <si>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</si>
  <si>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</si>
  <si>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</si>
  <si>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</si>
  <si>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</si>
  <si>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</si>
  <si>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</si>
  <si>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</si>
  <si>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</si>
  <si>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</si>
  <si>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</si>
  <si>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</si>
  <si>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</si>
  <si>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</si>
  <si>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</si>
  <si>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</si>
  <si>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</si>
  <si>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</si>
  <si>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</si>
  <si>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</si>
  <si>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</si>
  <si>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</si>
  <si>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</si>
  <si>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</si>
  <si>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</si>
  <si>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</si>
  <si>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</si>
  <si>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</si>
  <si>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</si>
  <si>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</si>
  <si>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</si>
  <si>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</si>
  <si>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</si>
  <si>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</si>
  <si>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</si>
  <si>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</si>
  <si>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</si>
  <si>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</si>
  <si>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</si>
  <si>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</si>
  <si>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</si>
  <si>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</si>
  <si>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</si>
  <si>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</si>
  <si>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</si>
  <si>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</si>
  <si>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</si>
  <si>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</si>
  <si>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</si>
  <si>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</si>
  <si>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</si>
  <si>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</si>
  <si>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</si>
  <si>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</si>
  <si>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</si>
  <si>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</si>
  <si>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</si>
  <si>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</si>
  <si>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</si>
  <si>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</si>
  <si>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</si>
  <si>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</si>
  <si>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</si>
  <si>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</si>
  <si>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</si>
  <si>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</si>
  <si>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</si>
  <si>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</si>
  <si>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</si>
  <si>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</si>
  <si>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</si>
  <si>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</si>
  <si>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</si>
  <si>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</si>
  <si>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</si>
  <si>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</si>
  <si>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</si>
  <si>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</si>
  <si>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</si>
  <si>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</si>
  <si>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</si>
  <si>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</si>
  <si>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</si>
  <si>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</si>
  <si>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</si>
  <si>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</si>
  <si>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</si>
  <si>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</si>
  <si>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</si>
  <si>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</si>
  <si>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</si>
  <si>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</si>
  <si>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</si>
  <si>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</si>
  <si>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</si>
  <si>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</si>
  <si>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</si>
  <si>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</si>
  <si>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</si>
  <si>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</si>
  <si>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</si>
  <si>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</si>
  <si>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</si>
  <si>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</si>
  <si>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</si>
  <si>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</si>
  <si>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</si>
  <si>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</si>
  <si>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</si>
  <si>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</si>
  <si>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</si>
  <si>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</si>
  <si>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</si>
  <si>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</si>
  <si>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</si>
  <si>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</si>
  <si>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</si>
  <si>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</si>
  <si>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</si>
  <si>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</si>
  <si>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</si>
  <si>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</si>
  <si>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</si>
  <si>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</si>
  <si>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</si>
  <si>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</si>
  <si>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</si>
  <si>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</si>
  <si>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</si>
  <si>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</si>
  <si>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</si>
  <si>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</si>
  <si>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</si>
  <si>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</si>
  <si>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</si>
  <si>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</si>
  <si>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</si>
  <si>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</si>
  <si>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</si>
  <si>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</si>
  <si>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</si>
  <si>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</si>
  <si>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</si>
  <si>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</si>
  <si>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</si>
  <si>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</si>
  <si>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</si>
  <si>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</si>
  <si>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</si>
  <si>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</si>
  <si>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</si>
  <si>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</si>
  <si>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</si>
  <si>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</si>
  <si>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</si>
  <si>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</si>
  <si>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</si>
  <si>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</si>
  <si>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</si>
  <si>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</si>
  <si>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</si>
  <si>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</si>
  <si>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</si>
  <si>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</si>
  <si>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N</t>
  </si>
  <si>
    <t>Sirius XM Holdings Inc.</t>
  </si>
  <si>
    <t>SIRI</t>
  </si>
  <si>
    <t>USD</t>
  </si>
  <si>
    <t>TMT_05</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</si>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</sst>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420</v>
      </c>
    </row>
    <row r="2" spans="1:10" ht="13.9">
      <c r="A2" s="247" t="s">
        <v>268</v>
      </c>
      <c r="B2" s="36"/>
      <c r="C2" s="36"/>
      <c r="D2" s="36"/>
      <c r="E2" s="36"/>
      <c r="F2" s="36"/>
      <c r="G2" s="22"/>
      <c r="H2" s="22"/>
      <c r="I2" s="22"/>
      <c r="J2" s="22"/>
    </row>
    <row r="4" spans="1:10">
      <c r="B4" s="45" t="str">
        <f>D5&amp;" Stock Information"</f>
        <v>SIRI Stock Information</v>
      </c>
      <c r="C4" s="46"/>
      <c r="D4" s="5"/>
      <c r="E4" s="2"/>
      <c r="F4" s="2"/>
    </row>
    <row r="5" spans="1:10" ht="12.4">
      <c r="B5" s="4" t="s">
        <v>323</v>
      </c>
      <c r="C5" s="333" t="s">
        <v>421</v>
      </c>
      <c r="D5" s="49" t="s">
        <v>422</v>
      </c>
    </row>
    <row r="6" spans="1:10">
      <c r="B6" s="4" t="s">
        <v>95</v>
      </c>
      <c r="C6" s="50">
        <v>20.079999999999998</v>
      </c>
      <c r="D6" s="48" t="s">
        <v>423</v>
      </c>
      <c r="E6" s="48"/>
    </row>
    <row r="7" spans="1:10">
      <c r="B7" s="4" t="s">
        <v>0</v>
      </c>
      <c r="C7" s="51">
        <v>338656000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(USD):</v>
      </c>
      <c r="C10" s="35">
        <f>Thesis!C6*Thesis!C7/1000000</f>
        <v>6800.2124799999992</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423</v>
      </c>
      <c r="D16" s="32"/>
      <c r="E16" s="5"/>
    </row>
    <row r="17" spans="1:6">
      <c r="B17" s="4" t="s">
        <v>1</v>
      </c>
      <c r="C17" s="50">
        <v>1</v>
      </c>
      <c r="D17" s="32" t="str">
        <f>IF(C16=D6,D6,C16&amp;"/"&amp;D6)</f>
        <v>USD</v>
      </c>
      <c r="E17" s="5"/>
    </row>
    <row r="18" spans="1:6">
      <c r="B18" s="2" t="s">
        <v>56</v>
      </c>
      <c r="C18" s="48" t="s">
        <v>424</v>
      </c>
      <c r="E18" s="5"/>
    </row>
    <row r="19" spans="1:6">
      <c r="B19" s="2" t="s">
        <v>277</v>
      </c>
      <c r="C19" s="249">
        <v>0.25</v>
      </c>
      <c r="D19" s="1" t="s">
        <v>404</v>
      </c>
      <c r="E19" s="336">
        <v>3.4500000000000003E-2</v>
      </c>
    </row>
    <row r="20" spans="1:6">
      <c r="B20" s="2" t="str">
        <f>"Target Buy Price ("&amp;Market_currency&amp;"):"</f>
        <v>Target Buy Price (USD):</v>
      </c>
      <c r="C20" s="252">
        <f>C133</f>
        <v>16.165402289394244</v>
      </c>
      <c r="D20" s="1" t="s">
        <v>315</v>
      </c>
      <c r="E20" s="330">
        <v>3</v>
      </c>
    </row>
    <row r="21" spans="1:6">
      <c r="B21" s="1" t="s">
        <v>408</v>
      </c>
      <c r="C21" s="280">
        <f ca="1">Scenarios!C87</f>
        <v>0.16060765378265396</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2626.9774440472893</v>
      </c>
      <c r="D30" s="1" t="str">
        <f>Reporting_currency</f>
        <v>USD</v>
      </c>
    </row>
    <row r="31" spans="1:6">
      <c r="B31" s="47"/>
      <c r="C31" s="76"/>
    </row>
    <row r="32" spans="1:6" ht="24.4" customHeight="1">
      <c r="B32" s="341" t="s">
        <v>234</v>
      </c>
      <c r="C32" s="341"/>
      <c r="D32" s="341"/>
      <c r="E32" s="341"/>
      <c r="F32" s="341"/>
    </row>
    <row r="33" spans="2:6">
      <c r="B33" s="47" t="s">
        <v>235</v>
      </c>
      <c r="C33" s="188">
        <f>Normalized_FCF!C9</f>
        <v>578</v>
      </c>
      <c r="D33" s="1" t="str">
        <f>Reporting_currency</f>
        <v>USD</v>
      </c>
    </row>
    <row r="34" spans="2:6">
      <c r="B34" s="52" t="s">
        <v>236</v>
      </c>
      <c r="C34" s="188">
        <f>Normalized_FCF!C10</f>
        <v>-632.31340126010366</v>
      </c>
      <c r="D34" s="1" t="str">
        <f>Reporting_currency</f>
        <v>USD</v>
      </c>
    </row>
    <row r="36" spans="2:6">
      <c r="B36" s="341" t="s">
        <v>237</v>
      </c>
      <c r="C36" s="341"/>
      <c r="D36" s="341"/>
      <c r="E36" s="341"/>
      <c r="F36" s="341"/>
    </row>
    <row r="37" spans="2:6">
      <c r="B37" s="47" t="s">
        <v>238</v>
      </c>
      <c r="C37" s="188">
        <f>Normalized_FCF!C11</f>
        <v>0</v>
      </c>
      <c r="D37" s="1" t="str">
        <f>Reporting_currency</f>
        <v>USD</v>
      </c>
    </row>
    <row r="39" spans="2:6">
      <c r="B39" s="341" t="s">
        <v>241</v>
      </c>
      <c r="C39" s="341"/>
      <c r="D39" s="341"/>
      <c r="E39" s="341"/>
      <c r="F39" s="341"/>
    </row>
    <row r="40" spans="2:6">
      <c r="B40" s="47" t="s">
        <v>348</v>
      </c>
      <c r="C40" s="322">
        <f>Normalized_FCF!C48</f>
        <v>0</v>
      </c>
      <c r="D40" s="1" t="str">
        <f>Reporting_currency</f>
        <v>USD</v>
      </c>
      <c r="E40" s="321"/>
      <c r="F40" s="321"/>
    </row>
    <row r="41" spans="2:6">
      <c r="B41" s="47" t="s">
        <v>349</v>
      </c>
      <c r="C41" s="322">
        <f>Normalized_FCF!C47</f>
        <v>-496</v>
      </c>
      <c r="D41" s="1" t="str">
        <f>Reporting_currency</f>
        <v>USD</v>
      </c>
      <c r="E41" s="321"/>
      <c r="F41" s="321"/>
    </row>
    <row r="42" spans="2:6">
      <c r="B42" s="47" t="s">
        <v>239</v>
      </c>
      <c r="C42" s="188">
        <f>Normalized_FCF!C12</f>
        <v>-496</v>
      </c>
      <c r="D42" s="1" t="str">
        <f>Reporting_currency</f>
        <v>USD</v>
      </c>
    </row>
    <row r="44" spans="2:6">
      <c r="B44" s="1" t="s">
        <v>247</v>
      </c>
    </row>
    <row r="45" spans="2:6">
      <c r="B45" s="47" t="s">
        <v>266</v>
      </c>
      <c r="C45" s="188">
        <f>Normalized_FCF!C15</f>
        <v>0</v>
      </c>
      <c r="D45" s="1" t="str">
        <f>Reporting_currency</f>
        <v>USD</v>
      </c>
    </row>
    <row r="47" spans="2:6">
      <c r="B47" s="341" t="s">
        <v>242</v>
      </c>
      <c r="C47" s="341"/>
      <c r="D47" s="341"/>
      <c r="E47" s="341"/>
      <c r="F47" s="341"/>
    </row>
    <row r="48" spans="2:6">
      <c r="B48" s="47" t="s">
        <v>240</v>
      </c>
      <c r="C48" s="188">
        <f>Normalized_FCF!C14</f>
        <v>-532.74436101182232</v>
      </c>
      <c r="D48" s="1" t="str">
        <f>Reporting_currency</f>
        <v>USD</v>
      </c>
    </row>
    <row r="50" spans="1:6">
      <c r="B50" s="341" t="s">
        <v>346</v>
      </c>
      <c r="C50" s="344"/>
      <c r="D50" s="344"/>
      <c r="E50" s="344"/>
      <c r="F50" s="344"/>
    </row>
    <row r="51" spans="1:6">
      <c r="B51" s="47" t="s">
        <v>243</v>
      </c>
      <c r="C51" s="1">
        <f>Normalized_FCF!C17</f>
        <v>0</v>
      </c>
      <c r="D51" s="1" t="str">
        <f>Reporting_currency</f>
        <v>USD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1080</v>
      </c>
      <c r="D56" s="1" t="str">
        <f>Reporting_currency</f>
        <v>USD</v>
      </c>
    </row>
    <row r="57" spans="1:6">
      <c r="B57" s="47" t="s">
        <v>249</v>
      </c>
      <c r="C57" s="188">
        <f>Normalized_FCF!C19</f>
        <v>1543.9196817753634</v>
      </c>
      <c r="D57" s="1" t="str">
        <f>Reporting_currency</f>
        <v>USD</v>
      </c>
    </row>
    <row r="58" spans="1:6">
      <c r="B58" s="254" t="s">
        <v>398</v>
      </c>
      <c r="C58" s="92">
        <f>Normalized_FCF!C125</f>
        <v>0.22703991769612522</v>
      </c>
    </row>
    <row r="59" spans="1:6">
      <c r="B59" s="254" t="s">
        <v>316</v>
      </c>
      <c r="C59" s="92">
        <f>Normalized_FCF!C93</f>
        <v>2.956175298804781E-2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420</v>
      </c>
    </row>
    <row r="69" spans="1:6">
      <c r="B69" s="1" t="s">
        <v>289</v>
      </c>
      <c r="C69" s="263">
        <f>IF(D69="Y",1%,0)</f>
        <v>0</v>
      </c>
      <c r="D69" s="286" t="s">
        <v>420</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56.987019341727418</v>
      </c>
      <c r="D77" s="1" t="str">
        <f>Market_currency</f>
        <v>USD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10547</v>
      </c>
      <c r="D86" s="1" t="str">
        <f>Reporting_currency</f>
        <v>USD</v>
      </c>
    </row>
    <row r="87" spans="2:6">
      <c r="B87" s="47" t="s">
        <v>285</v>
      </c>
      <c r="C87" s="248">
        <f>C86*scaling_factor*Exchange_Rate/Common_Shares</f>
        <v>31.143697439289426</v>
      </c>
      <c r="D87" s="1" t="str">
        <f>Market_currency</f>
        <v>USD</v>
      </c>
    </row>
    <row r="88" spans="2:6">
      <c r="B88" s="337" t="s">
        <v>414</v>
      </c>
      <c r="C88" s="338">
        <f>BS!G30/BS!G27</f>
        <v>1.4851905363915479</v>
      </c>
    </row>
    <row r="89" spans="2:6">
      <c r="B89" s="337" t="s">
        <v>415</v>
      </c>
      <c r="C89" s="338">
        <f>BS!G31/BS!G27</f>
        <v>0.95241105291674188</v>
      </c>
    </row>
    <row r="90" spans="2:6">
      <c r="B90" s="337" t="s">
        <v>417</v>
      </c>
      <c r="C90" s="339">
        <f>BS!C50</f>
        <v>4.0148803043206254</v>
      </c>
    </row>
    <row r="92" spans="2:6">
      <c r="B92" s="1" t="s">
        <v>255</v>
      </c>
    </row>
    <row r="93" spans="2:6">
      <c r="B93" s="47" t="s">
        <v>265</v>
      </c>
      <c r="C93" s="188">
        <f>BS!C66</f>
        <v>162</v>
      </c>
      <c r="D93" s="1" t="str">
        <f>Reporting_currency</f>
        <v>USD</v>
      </c>
    </row>
    <row r="94" spans="2:6">
      <c r="B94" s="47" t="s">
        <v>267</v>
      </c>
      <c r="C94" s="188">
        <f>Valuation_Model!C8</f>
        <v>-372.31656312939253</v>
      </c>
      <c r="D94" s="1" t="str">
        <f>Reporting_currency</f>
        <v>USD</v>
      </c>
    </row>
    <row r="95" spans="2:6">
      <c r="B95" s="47" t="s">
        <v>286</v>
      </c>
      <c r="C95" s="248">
        <f>C94*scaling_factor*Exchange_Rate/Common_Shares</f>
        <v>-1.0993945571003985</v>
      </c>
      <c r="D95" s="1" t="str">
        <f>Market_currency</f>
        <v>USD</v>
      </c>
    </row>
    <row r="97" spans="1:6">
      <c r="B97" s="1" t="s">
        <v>257</v>
      </c>
    </row>
    <row r="98" spans="1:6">
      <c r="B98" s="47" t="s">
        <v>258</v>
      </c>
      <c r="C98" s="188">
        <f>Valuation_Model!C9</f>
        <v>625.79999999999995</v>
      </c>
      <c r="D98" s="1" t="str">
        <f>Reporting_currency</f>
        <v>USD</v>
      </c>
    </row>
    <row r="99" spans="1:6">
      <c r="B99" s="47" t="s">
        <v>287</v>
      </c>
      <c r="C99" s="248">
        <f>C98*scaling_factor*Exchange_Rate/Common_Shares</f>
        <v>1.8478928470188039</v>
      </c>
      <c r="D99" s="1" t="str">
        <f>Market_currency</f>
        <v>USD</v>
      </c>
    </row>
    <row r="101" spans="1:6" ht="24.4" customHeight="1">
      <c r="B101" s="340" t="s">
        <v>374</v>
      </c>
      <c r="C101" s="340"/>
      <c r="D101" s="340"/>
      <c r="E101" s="340"/>
      <c r="F101" s="340"/>
    </row>
    <row r="103" spans="1:6">
      <c r="B103" s="47" t="s">
        <v>283</v>
      </c>
      <c r="C103" s="248">
        <f>Valuation_Model!C12</f>
        <v>26.591820192356398</v>
      </c>
      <c r="D103" s="1" t="str">
        <f>Market_currency</f>
        <v>USD</v>
      </c>
    </row>
    <row r="104" spans="1:6">
      <c r="B104" s="337" t="s">
        <v>416</v>
      </c>
      <c r="C104" s="248">
        <f>BS!D47</f>
        <v>-38.360607814419353</v>
      </c>
      <c r="D104" s="1" t="str">
        <f>Market_currency</f>
        <v>USD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5.5E-2</v>
      </c>
      <c r="D111" s="257">
        <f>Valuation_Model!D74</f>
        <v>15</v>
      </c>
      <c r="E111" s="258" t="str">
        <f>ROUND(Valuation_Model!E74,2)&amp;" "&amp;Market_currency</f>
        <v>45.55 USD</v>
      </c>
      <c r="F111" s="259">
        <f>Valuation_Model!F74</f>
        <v>0.05</v>
      </c>
    </row>
    <row r="112" spans="1:6">
      <c r="B112" s="242" t="str">
        <f>Valuation_Model!B75</f>
        <v>Optimistic</v>
      </c>
      <c r="C112" s="243">
        <f>Valuation_Model!C75</f>
        <v>3.5000000000000003E-2</v>
      </c>
      <c r="D112" s="244">
        <f>Valuation_Model!D75</f>
        <v>10</v>
      </c>
      <c r="E112" s="245" t="str">
        <f>ROUND(Valuation_Model!E75,2)&amp;" "&amp;Market_currency</f>
        <v>33.27 USD</v>
      </c>
      <c r="F112" s="246">
        <f>Valuation_Model!F75</f>
        <v>0.22499999999999998</v>
      </c>
    </row>
    <row r="113" spans="1:6">
      <c r="B113" s="242" t="str">
        <f>Valuation_Model!B76</f>
        <v>Base</v>
      </c>
      <c r="C113" s="243">
        <f>Valuation_Model!C76</f>
        <v>1.4999999999999999E-2</v>
      </c>
      <c r="D113" s="244">
        <f>Valuation_Model!D76</f>
        <v>10</v>
      </c>
      <c r="E113" s="245" t="str">
        <f>ROUND(Valuation_Model!E76,2)&amp;" "&amp;Market_currency</f>
        <v>29.32 USD</v>
      </c>
      <c r="F113" s="246">
        <f>Valuation_Model!F76</f>
        <v>0.44999999999999996</v>
      </c>
    </row>
    <row r="114" spans="1:6">
      <c r="B114" s="242" t="str">
        <f>Valuation_Model!B77</f>
        <v>Pessimistic</v>
      </c>
      <c r="C114" s="243">
        <f>Valuation_Model!C77</f>
        <v>-0.01</v>
      </c>
      <c r="D114" s="244">
        <f>Valuation_Model!D77</f>
        <v>10</v>
      </c>
      <c r="E114" s="245" t="str">
        <f>ROUND(Valuation_Model!E77,2)&amp;" "&amp;Market_currency</f>
        <v>24.88 USD</v>
      </c>
      <c r="F114" s="246">
        <f>Valuation_Model!F77</f>
        <v>0.22499999999999998</v>
      </c>
    </row>
    <row r="115" spans="1:6">
      <c r="B115" s="242" t="str">
        <f>Valuation_Model!B78</f>
        <v>Devil's advocate</v>
      </c>
      <c r="C115" s="243">
        <f>Valuation_Model!C78</f>
        <v>-0.05</v>
      </c>
      <c r="D115" s="244">
        <f>Valuation_Model!D78</f>
        <v>15</v>
      </c>
      <c r="E115" s="245" t="str">
        <f>ROUND(Valuation_Model!E78,2)&amp;" "&amp;Market_currency</f>
        <v>15.12 USD</v>
      </c>
      <c r="F115" s="246">
        <f>Valuation_Model!F78</f>
        <v>0.05</v>
      </c>
    </row>
    <row r="117" spans="1:6">
      <c r="B117" s="235" t="s">
        <v>259</v>
      </c>
      <c r="C117" s="241">
        <f>Scenarios!C60</f>
        <v>29.309951346473134</v>
      </c>
      <c r="D117" s="236" t="str">
        <f>Market_currency</f>
        <v>USD</v>
      </c>
    </row>
    <row r="119" spans="1:6" ht="24.4" customHeight="1">
      <c r="B119" s="345" t="s">
        <v>378</v>
      </c>
      <c r="C119" s="345"/>
      <c r="D119" s="345"/>
      <c r="E119" s="345"/>
      <c r="F119" s="345"/>
    </row>
    <row r="121" spans="1:6" ht="13.9">
      <c r="A121" s="247" t="s">
        <v>412</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0.59360000000000002</v>
      </c>
      <c r="D128" s="236" t="str">
        <f>Market_currency</f>
        <v>USD</v>
      </c>
    </row>
    <row r="130" spans="1:6">
      <c r="B130" s="234" t="s">
        <v>409</v>
      </c>
      <c r="C130" s="338">
        <f>C19</f>
        <v>0.25</v>
      </c>
      <c r="D130" s="1" t="s">
        <v>419</v>
      </c>
    </row>
    <row r="131" spans="1:6">
      <c r="B131" s="236" t="str">
        <f>"PV("&amp;C126&amp;" yrs of Dividends)"</f>
        <v>PV(3 yrs of Dividends)</v>
      </c>
      <c r="C131" s="240">
        <f>Scenarios!C81</f>
        <v>1.1587072</v>
      </c>
    </row>
    <row r="132" spans="1:6">
      <c r="B132" s="236" t="str">
        <f>"+ PV(Equity Value realized at year "&amp;C126&amp;")"</f>
        <v>+ PV(Equity Value realized at year 3)</v>
      </c>
      <c r="C132" s="240">
        <f>Scenarios!C82</f>
        <v>15.006695089394245</v>
      </c>
    </row>
    <row r="133" spans="1:6">
      <c r="B133" s="80" t="s">
        <v>261</v>
      </c>
      <c r="C133" s="239">
        <f>Scenarios!C83</f>
        <v>16.165402289394244</v>
      </c>
      <c r="D133" s="47" t="str">
        <f>Reporting_currency</f>
        <v>USD</v>
      </c>
    </row>
    <row r="134" spans="1:6">
      <c r="B134" s="238" t="s">
        <v>263</v>
      </c>
      <c r="C134" s="92">
        <f>Scenarios!F83</f>
        <v>0.44846710599062711</v>
      </c>
    </row>
    <row r="136" spans="1:6">
      <c r="B136" s="234" t="s">
        <v>410</v>
      </c>
      <c r="C136" s="92">
        <f>Scenarios!C90</f>
        <v>0.06</v>
      </c>
      <c r="D136" s="1" t="s">
        <v>418</v>
      </c>
    </row>
    <row r="137" spans="1:6">
      <c r="B137" s="236" t="str">
        <f>"PV("&amp;C126&amp;" yrs of Dividends)"</f>
        <v>PV(3 yrs of Dividends)</v>
      </c>
      <c r="C137" s="240">
        <f>Scenarios!C91</f>
        <v>1.5866998932004295</v>
      </c>
    </row>
    <row r="138" spans="1:6">
      <c r="B138" s="236" t="str">
        <f>"+ PV(Equity Value realized at year "&amp;C126&amp;")"</f>
        <v>+ PV(Equity Value realized at year 3)</v>
      </c>
      <c r="C138" s="240">
        <f>Scenarios!C92</f>
        <v>24.609200335237418</v>
      </c>
    </row>
    <row r="139" spans="1:6">
      <c r="B139" s="80" t="s">
        <v>411</v>
      </c>
      <c r="C139" s="239">
        <f>Scenarios!C93</f>
        <v>26.195900228437846</v>
      </c>
      <c r="D139" s="101" t="str">
        <f>Reporting_currency</f>
        <v>USD</v>
      </c>
    </row>
    <row r="140" spans="1:6">
      <c r="B140" s="238" t="s">
        <v>263</v>
      </c>
      <c r="C140" s="92">
        <f>Scenarios!F93</f>
        <v>0.10624552327719927</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9">
        <f>369+894</f>
        <v>1263</v>
      </c>
      <c r="D7" s="189">
        <f>359+931</f>
        <v>1290</v>
      </c>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379</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381</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380</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425</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-728</v>
      </c>
      <c r="D62" s="183">
        <f t="shared" ref="D62:M62" si="30">IF(D$4="","",-D20)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401</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676</v>
      </c>
      <c r="D4" s="294">
        <v>0.6</v>
      </c>
      <c r="E4" s="25"/>
      <c r="F4" s="4" t="s">
        <v>78</v>
      </c>
      <c r="G4" s="19">
        <v>162</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290</v>
      </c>
      <c r="D9" s="294">
        <v>0.1</v>
      </c>
      <c r="E9" s="25"/>
      <c r="F9" s="4" t="s">
        <v>181</v>
      </c>
      <c r="G9" s="19">
        <v>0</v>
      </c>
      <c r="H9" s="294">
        <v>0.6</v>
      </c>
    </row>
    <row r="10" spans="2:8" ht="15" customHeight="1">
      <c r="B10" s="4" t="s">
        <v>11</v>
      </c>
      <c r="C10" s="19">
        <v>0</v>
      </c>
      <c r="D10" s="294">
        <v>0.9</v>
      </c>
      <c r="H10" s="295"/>
    </row>
    <row r="11" spans="2:8" ht="15" customHeight="1">
      <c r="B11" s="4" t="s">
        <v>12</v>
      </c>
      <c r="C11" s="19">
        <v>21</v>
      </c>
      <c r="D11" s="294">
        <v>0.05</v>
      </c>
      <c r="H11" s="295"/>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1043</v>
      </c>
      <c r="H17" s="294">
        <v>0.6</v>
      </c>
    </row>
    <row r="18" spans="2:8" ht="15" customHeight="1">
      <c r="B18" s="4" t="s">
        <v>174</v>
      </c>
      <c r="C18" s="19">
        <v>0</v>
      </c>
      <c r="D18" s="294">
        <v>0.6</v>
      </c>
      <c r="F18" s="4" t="s">
        <v>182</v>
      </c>
      <c r="G18" s="19">
        <v>0</v>
      </c>
      <c r="H18" s="294">
        <v>0.1</v>
      </c>
    </row>
    <row r="19" spans="2:8" ht="15" customHeight="1">
      <c r="B19" s="4" t="s">
        <v>26</v>
      </c>
      <c r="C19" s="19">
        <v>2109</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f>8610+1579</f>
        <v>10189</v>
      </c>
      <c r="D21" s="294">
        <v>0.2</v>
      </c>
      <c r="F21" s="1" t="s">
        <v>181</v>
      </c>
      <c r="G21" s="19">
        <v>0</v>
      </c>
      <c r="H21" s="294">
        <v>0.1</v>
      </c>
    </row>
    <row r="22" spans="2:8" ht="15" customHeight="1">
      <c r="B22" s="4" t="s">
        <v>20</v>
      </c>
      <c r="C22" s="19">
        <v>0</v>
      </c>
      <c r="D22" s="294">
        <v>0.9</v>
      </c>
      <c r="H22" s="295"/>
    </row>
    <row r="23" spans="2:8" ht="15" customHeight="1">
      <c r="B23" s="4" t="s">
        <v>21</v>
      </c>
      <c r="C23" s="19">
        <f>12390+641</f>
        <v>13031</v>
      </c>
      <c r="D23" s="294">
        <v>0</v>
      </c>
      <c r="H23" s="295"/>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3" t="s">
        <v>137</v>
      </c>
      <c r="F26" s="205" t="s">
        <v>197</v>
      </c>
      <c r="G26" s="206" t="s">
        <v>137</v>
      </c>
      <c r="H26" s="207" t="s">
        <v>35</v>
      </c>
    </row>
    <row r="27" spans="2:8" ht="15" customHeight="1">
      <c r="B27" s="4" t="s">
        <v>5</v>
      </c>
      <c r="C27" s="19">
        <v>172</v>
      </c>
      <c r="F27" s="208" t="s">
        <v>30</v>
      </c>
      <c r="G27" s="85">
        <f>G32-G30</f>
        <v>11074</v>
      </c>
      <c r="H27" s="209">
        <f>H32-G30</f>
        <v>-12991.05</v>
      </c>
    </row>
    <row r="28" spans="2:8" ht="15" customHeight="1">
      <c r="B28" s="4" t="s">
        <v>6</v>
      </c>
      <c r="C28" s="19">
        <v>0</v>
      </c>
      <c r="F28" s="210" t="s">
        <v>245</v>
      </c>
      <c r="G28" s="181">
        <v>0</v>
      </c>
      <c r="H28" s="209"/>
    </row>
    <row r="29" spans="2:8" ht="15" customHeight="1">
      <c r="B29" s="4" t="s">
        <v>7</v>
      </c>
      <c r="C29" s="19">
        <v>0</v>
      </c>
      <c r="F29" s="211" t="s">
        <v>76</v>
      </c>
      <c r="G29" s="14">
        <f>G27-G28</f>
        <v>11074</v>
      </c>
      <c r="H29" s="209">
        <f>H27-G28</f>
        <v>-12991.05</v>
      </c>
    </row>
    <row r="30" spans="2:8" ht="15" customHeight="1">
      <c r="B30" s="2" t="s">
        <v>8</v>
      </c>
      <c r="C30" s="19">
        <v>61</v>
      </c>
      <c r="F30" s="208" t="s">
        <v>23</v>
      </c>
      <c r="G30" s="85">
        <f>C33+C42</f>
        <v>16447</v>
      </c>
      <c r="H30" s="209"/>
    </row>
    <row r="31" spans="2:8" ht="15" customHeight="1">
      <c r="B31" s="80" t="s">
        <v>204</v>
      </c>
      <c r="C31" s="81">
        <f>SUM(C27:C30)</f>
        <v>233</v>
      </c>
      <c r="F31" s="211" t="s">
        <v>77</v>
      </c>
      <c r="G31" s="212">
        <f>C31+C40</f>
        <v>10547</v>
      </c>
      <c r="H31" s="209"/>
    </row>
    <row r="32" spans="2:8" ht="15" customHeight="1">
      <c r="B32" s="4" t="s">
        <v>9</v>
      </c>
      <c r="C32" s="21">
        <f>C33-C31</f>
        <v>2498</v>
      </c>
      <c r="F32" s="213" t="s">
        <v>75</v>
      </c>
      <c r="G32" s="214">
        <f>G35+G40</f>
        <v>27521</v>
      </c>
      <c r="H32" s="209">
        <f>H35+H40</f>
        <v>3455.9500000000003</v>
      </c>
    </row>
    <row r="33" spans="2:8" ht="15" customHeight="1">
      <c r="B33" s="83" t="s">
        <v>4</v>
      </c>
      <c r="C33" s="84">
        <v>2731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26316</v>
      </c>
      <c r="H35" s="221">
        <f>D12+D24</f>
        <v>2684.3500000000004</v>
      </c>
    </row>
    <row r="36" spans="2:8" ht="15" customHeight="1">
      <c r="B36" s="4" t="s">
        <v>13</v>
      </c>
      <c r="C36" s="19">
        <v>0</v>
      </c>
      <c r="F36" s="211" t="s">
        <v>198</v>
      </c>
      <c r="G36" s="212">
        <f>C4+C15</f>
        <v>676</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10314</v>
      </c>
      <c r="F39" s="211" t="s">
        <v>80</v>
      </c>
      <c r="G39" s="212">
        <f>C7+C17+C19+C20</f>
        <v>2109</v>
      </c>
      <c r="H39" s="209">
        <f>C7*D7+C17*D17+C19*D19+C20*D20</f>
        <v>210.9</v>
      </c>
    </row>
    <row r="40" spans="2:8" ht="15" customHeight="1">
      <c r="B40" s="80" t="s">
        <v>205</v>
      </c>
      <c r="C40" s="81">
        <f>SUM(C36:C39)</f>
        <v>10314</v>
      </c>
      <c r="F40" s="220" t="s">
        <v>139</v>
      </c>
      <c r="G40" s="214">
        <f>G12+G24</f>
        <v>1205</v>
      </c>
      <c r="H40" s="221">
        <f>H12+H24</f>
        <v>771.59999999999991</v>
      </c>
    </row>
    <row r="41" spans="2:8" ht="15" customHeight="1">
      <c r="B41" s="4" t="s">
        <v>17</v>
      </c>
      <c r="C41" s="21">
        <f>C42-C40</f>
        <v>3402</v>
      </c>
      <c r="F41" s="211" t="s">
        <v>192</v>
      </c>
      <c r="G41" s="212">
        <f>C70</f>
        <v>162</v>
      </c>
      <c r="H41" s="221">
        <f>H40-H42</f>
        <v>145.79999999999995</v>
      </c>
    </row>
    <row r="42" spans="2:8" ht="15" customHeight="1">
      <c r="B42" s="83" t="s">
        <v>22</v>
      </c>
      <c r="C42" s="84">
        <v>13716</v>
      </c>
      <c r="F42" s="222" t="s">
        <v>193</v>
      </c>
      <c r="G42" s="223">
        <f>C82</f>
        <v>1043</v>
      </c>
      <c r="H42" s="224">
        <f>D82</f>
        <v>625.79999999999995</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11074</v>
      </c>
      <c r="D46" s="188">
        <f>H29</f>
        <v>-12991.05</v>
      </c>
      <c r="F46" s="283"/>
    </row>
    <row r="47" spans="2:8" ht="15" customHeight="1">
      <c r="B47" s="1" t="str">
        <f>"Equity per share ("&amp;Market_currency&amp;")"</f>
        <v>Equity per share (USD)</v>
      </c>
      <c r="C47" s="148">
        <f>C46*H1/Common_Shares*Exchange_Rate</f>
        <v>32.699848814135876</v>
      </c>
      <c r="D47" s="148">
        <f>D46*H1/Common_Shares*Exchange_Rate</f>
        <v>-38.360607814419353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4.0148803043206254</v>
      </c>
      <c r="D50" s="95">
        <f>G31/Normalized_FCF!G8</f>
        <v>5.4478305785123968</v>
      </c>
      <c r="F50" s="283"/>
    </row>
    <row r="51" spans="2:8" ht="15" customHeight="1">
      <c r="B51" s="1" t="s">
        <v>177</v>
      </c>
      <c r="C51" s="202"/>
      <c r="D51" s="92">
        <f>G29/G32</f>
        <v>0.40238363431561353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9.9824344279042757E-2</v>
      </c>
      <c r="D54" s="92">
        <f>Normalized_FCF!G8/G35</f>
        <v>7.3567411460708318E-2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0.27406353722143195</v>
      </c>
      <c r="F58" s="5"/>
    </row>
    <row r="59" spans="2:8" ht="15" customHeight="1">
      <c r="B59" s="1" t="s">
        <v>93</v>
      </c>
      <c r="C59" s="98"/>
      <c r="D59" s="92">
        <f>G39/G32</f>
        <v>7.6632389811416735E-2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162</v>
      </c>
      <c r="D66" s="188">
        <f>C66-D75</f>
        <v>-372.31656312939253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162</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-580.33551679999994</v>
      </c>
      <c r="D73" s="188">
        <f>(Normalized_FCF!C25+Normalized_FCF!C35-Normalized_FCF!C91)/12</f>
        <v>-534.31656312939253</v>
      </c>
      <c r="F73" s="1" t="s">
        <v>359</v>
      </c>
    </row>
    <row r="74" spans="2:6" ht="15" customHeight="1">
      <c r="B74" s="288" t="s">
        <v>329</v>
      </c>
      <c r="C74" s="289">
        <f>-$C$66/C73</f>
        <v>0.27914886356305812</v>
      </c>
      <c r="D74" s="289">
        <f>-$C$66/D73</f>
        <v>0.30319105036010147</v>
      </c>
      <c r="F74" s="283" t="s">
        <v>327</v>
      </c>
    </row>
    <row r="75" spans="2:6" ht="15" customHeight="1">
      <c r="B75" s="80" t="s">
        <v>328</v>
      </c>
      <c r="C75" s="293"/>
      <c r="D75" s="292">
        <f>MAX(-D73*D76,G5)</f>
        <v>534.31656312939253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1043</v>
      </c>
      <c r="D79" s="188">
        <f>G7*H7+G17*H17</f>
        <v>625.79999999999995</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1043</v>
      </c>
      <c r="D82" s="81">
        <f>SUM(D79:D81)</f>
        <v>625.79999999999995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-10547</v>
      </c>
      <c r="D86" s="248">
        <f>C86*scaling_factor/Common_Shares</f>
        <v>-31.143697439289426</v>
      </c>
      <c r="E86" s="269" t="str">
        <f>Market_currency</f>
        <v>USD</v>
      </c>
    </row>
    <row r="87" spans="2:8" ht="15" customHeight="1">
      <c r="B87" s="267" t="s">
        <v>294</v>
      </c>
      <c r="C87" s="188">
        <f>Valuation_Model!C8*Exchange_Rate</f>
        <v>-372.31656312939253</v>
      </c>
      <c r="D87" s="248">
        <f>C87*scaling_factor/Common_Shares</f>
        <v>-1.0993945571003985</v>
      </c>
      <c r="E87" s="269" t="str">
        <f>Market_currency</f>
        <v>USD</v>
      </c>
    </row>
    <row r="88" spans="2:8" ht="15" customHeight="1">
      <c r="B88" s="268" t="s">
        <v>190</v>
      </c>
      <c r="C88" s="188">
        <f>Valuation_Model!C9*Exchange_Rate</f>
        <v>625.79999999999995</v>
      </c>
      <c r="D88" s="248">
        <f>C88*scaling_factor/Common_Shares</f>
        <v>1.8478928470188039</v>
      </c>
      <c r="E88" s="269" t="str">
        <f>Market_currency</f>
        <v>USD</v>
      </c>
    </row>
    <row r="89" spans="2:8" ht="15" customHeight="1">
      <c r="B89" s="80" t="s">
        <v>298</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0.46495293265187104</v>
      </c>
      <c r="D28" s="26"/>
      <c r="E28" s="300" t="s">
        <v>341</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300" t="s">
        <v>341</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-1462.5</v>
      </c>
      <c r="E33" s="300" t="s">
        <v>341</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9" t="s">
        <v>344</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426</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300" t="s">
        <v>427</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302"/>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302"/>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2.956175298804781E-2</v>
      </c>
      <c r="E93" s="302"/>
      <c r="G93" s="23">
        <f t="shared" ref="G93:Q93" si="39">IF(G$4="","",G90/Market_Price)</f>
        <v>2.956175298804781E-2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c r="A114" s="10"/>
      <c r="B114" s="2" t="s">
        <v>400</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0.22703991769612522</v>
      </c>
      <c r="D125" s="27"/>
      <c r="E125" s="299"/>
      <c r="F125" s="27"/>
      <c r="G125" s="77">
        <f t="shared" ref="G125" si="50">IF(G$4="","",G124/Market_Price)</f>
        <v>0.15881856679866568</v>
      </c>
      <c r="H125" s="77">
        <f t="shared" ref="H125" si="51">IF(H$4="","",H124/Market_Price)</f>
        <v>0.13396640217924485</v>
      </c>
      <c r="I125" s="77">
        <f t="shared" ref="I125" si="52">IF(I$4="","",I124/Market_Price)</f>
        <v>0.50130786501541791</v>
      </c>
      <c r="J125" s="77">
        <f t="shared" ref="J125" si="53">IF(J$4="","",J124/Market_Price)</f>
        <v>0.5404242898010152</v>
      </c>
      <c r="K125" s="77">
        <f t="shared" ref="K125" si="54">IF(K$4="","",K124/Market_Price)</f>
        <v>0.49704329238841671</v>
      </c>
      <c r="L125" s="77">
        <f t="shared" ref="L125" si="55">IF(L$4="","",L124/Market_Price)</f>
        <v>0.54321832014284366</v>
      </c>
      <c r="M125" s="77">
        <f t="shared" ref="M125" si="56">IF(M$4="","",M124/Market_Price)</f>
        <v>0.42165329516291822</v>
      </c>
      <c r="N125" s="77">
        <f t="shared" ref="N125" si="57">IF(N$4="","",N124/Market_Price)</f>
        <v>0.34719885693924674</v>
      </c>
      <c r="O125" s="77">
        <f t="shared" ref="O125" si="58">IF(O$4="","",O124/Market_Price)</f>
        <v>0.34512759813058086</v>
      </c>
      <c r="P125" s="77">
        <f t="shared" ref="P125" si="59">IF(P$4="","",P124/Market_Price)</f>
        <v>0.3008069241977569</v>
      </c>
      <c r="Q125" s="77" t="str">
        <f t="shared" ref="Q125" si="60">IF(Q$4="","",Q124/Market_Price)</f>
        <v/>
      </c>
    </row>
    <row r="126" spans="1:17" ht="15.75" customHeight="1">
      <c r="B126" s="2" t="s">
        <v>402</v>
      </c>
      <c r="C126" s="170"/>
      <c r="G126" s="23">
        <f>IF(G$4="","",(Data!C47*$C$3)/(Market_Price*Common_Shares))</f>
        <v>-0.30513752417336232</v>
      </c>
      <c r="H126" s="23">
        <f>IF(H$4="","",(Data!D47*$C$3)/(Market_Price*Common_Shares))</f>
        <v>0.18499421947474209</v>
      </c>
      <c r="I126" s="23">
        <f>IF(I$4="","",(Data!E47*$C$3)/(Market_Price*Common_Shares))</f>
        <v>0.17837677919146436</v>
      </c>
      <c r="J126" s="23">
        <f>IF(J$4="","",(Data!F47*$C$3)/(Market_Price*Common_Shares))</f>
        <v>0.19322925627170995</v>
      </c>
      <c r="K126" s="23">
        <f>IF(K$4="","",(Data!G47*$C$3)/(Market_Price*Common_Shares))</f>
        <v>1.9264103935764082E-2</v>
      </c>
      <c r="L126" s="23">
        <f>IF(L$4="","",(Data!H47*$C$3)/(Market_Price*Common_Shares))</f>
        <v>0.13440756486479671</v>
      </c>
      <c r="M126" s="23">
        <f>IF(M$4="","",(Data!I47*$C$3)/(Market_Price*Common_Shares))</f>
        <v>0.17292003793387353</v>
      </c>
      <c r="N126" s="23">
        <f>IF(N$4="","",(Data!J47*$C$3)/(Market_Price*Common_Shares))</f>
        <v>9.5277611090175837E-2</v>
      </c>
      <c r="O126" s="23">
        <f>IF(O$4="","",(Data!K47*$C$3)/(Market_Price*Common_Shares))</f>
        <v>0.10969260184058251</v>
      </c>
      <c r="P126" s="23">
        <f>IF(P$4="","",(Data!L47*$C$3)/(Market_Price*Common_Shares))</f>
        <v>7.4957069576743585E-2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19298.996022192041</v>
      </c>
      <c r="D6" t="str">
        <f>Reporting_currency</f>
        <v>USD</v>
      </c>
      <c r="E6" s="348" t="s">
        <v>250</v>
      </c>
      <c r="F6" s="348"/>
      <c r="H6" s="121"/>
    </row>
    <row r="7" spans="2:8">
      <c r="B7" s="149" t="s">
        <v>225</v>
      </c>
      <c r="C7" s="226">
        <f>BS!G31</f>
        <v>10547</v>
      </c>
      <c r="D7" t="str">
        <f>Reporting_currency</f>
        <v>USD</v>
      </c>
      <c r="E7" s="348"/>
      <c r="F7" s="348"/>
      <c r="H7" s="121"/>
    </row>
    <row r="8" spans="2:8">
      <c r="B8" s="149" t="s">
        <v>226</v>
      </c>
      <c r="C8" s="201">
        <f>BS!D66</f>
        <v>-372.31656312939253</v>
      </c>
      <c r="D8" t="str">
        <f>Reporting_currency</f>
        <v>USD</v>
      </c>
      <c r="E8" s="348"/>
      <c r="F8" s="348"/>
      <c r="H8" s="121"/>
    </row>
    <row r="9" spans="2:8">
      <c r="B9" s="227" t="s">
        <v>191</v>
      </c>
      <c r="C9" s="229">
        <f>BS!H42</f>
        <v>625.79999999999995</v>
      </c>
      <c r="D9" t="str">
        <f>Reporting_currency</f>
        <v>USD</v>
      </c>
      <c r="E9" s="348"/>
      <c r="F9" s="348"/>
      <c r="H9" s="121"/>
    </row>
    <row r="10" spans="2:8" ht="13.15">
      <c r="B10" s="150" t="s">
        <v>228</v>
      </c>
      <c r="C10" s="232">
        <f>C6-C7+C8+C9</f>
        <v>9005.4794590626479</v>
      </c>
      <c r="D10" t="str">
        <f>Reporting_currency</f>
        <v>USD</v>
      </c>
      <c r="H10" s="121"/>
    </row>
    <row r="11" spans="2:8" ht="13.15" thickBot="1">
      <c r="B11" s="230" t="s">
        <v>167</v>
      </c>
      <c r="C11" s="231">
        <f>Exchange_Rate</f>
        <v>1</v>
      </c>
      <c r="D11" t="str">
        <f>Thesis!D17</f>
        <v>USD</v>
      </c>
      <c r="H11" s="121"/>
    </row>
    <row r="12" spans="2:8" ht="13.5" thickTop="1">
      <c r="B12" s="150" t="s">
        <v>103</v>
      </c>
      <c r="C12" s="112">
        <f>(C10*scaling_factor)/Common_Shares*Exchange_Rate</f>
        <v>26.591820192356398</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1.49597842339395E-2</v>
      </c>
      <c r="H16" s="121"/>
    </row>
    <row r="17" spans="2:8" ht="13.25" customHeight="1">
      <c r="B17" s="119" t="s">
        <v>135</v>
      </c>
      <c r="C17" s="163">
        <f>Scenarios!C64</f>
        <v>10</v>
      </c>
      <c r="H17" s="121"/>
    </row>
    <row r="18" spans="2:8" ht="13.25" customHeight="1">
      <c r="B18" s="154" t="s">
        <v>107</v>
      </c>
      <c r="C18" s="141">
        <f>(F52-C7+C8+C9)*Exchange_Rate/Common_Shares*scaling_factor</f>
        <v>29.310620301790603</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IF($C$17&lt;B21,0,Valuation_Model!$C$16)</f>
        <v>1.49597842339395E-2</v>
      </c>
      <c r="E21" s="125">
        <f t="shared" ref="E21:E50" si="0">IF($C$17&lt;B21,0,1/(1+Equity_Cost)^B21)</f>
        <v>0.92592592592592582</v>
      </c>
      <c r="F21" s="126">
        <f t="shared" ref="F21:F51" si="1">C21*E21</f>
        <v>1450.9410991567179</v>
      </c>
      <c r="H21" s="121"/>
    </row>
    <row r="22" spans="2:8">
      <c r="B22" s="123">
        <v>2</v>
      </c>
      <c r="C22" s="124">
        <f t="shared" ref="C22:C50" si="2">IF(ROW()-ROW($C$21)&lt;$C$17, $C$21*(1+D22)^(ROW()-ROW($C$21)), 0)</f>
        <v>1590.4586141311581</v>
      </c>
      <c r="D22" s="139">
        <f>IF($C$17&lt;B22,0,Valuation_Model!$C$16)</f>
        <v>1.49597842339395E-2</v>
      </c>
      <c r="E22" s="125">
        <f t="shared" si="0"/>
        <v>0.85733882030178321</v>
      </c>
      <c r="F22" s="126">
        <f t="shared" si="1"/>
        <v>1363.561911978016</v>
      </c>
      <c r="H22" s="121"/>
    </row>
    <row r="23" spans="2:8">
      <c r="B23" s="123">
        <v>3</v>
      </c>
      <c r="C23" s="124">
        <f t="shared" si="2"/>
        <v>1614.2515318315707</v>
      </c>
      <c r="D23" s="139">
        <f>IF($C$17&lt;B23,0,Valuation_Model!$C$16)</f>
        <v>1.49597842339395E-2</v>
      </c>
      <c r="E23" s="125">
        <f t="shared" si="0"/>
        <v>0.79383224102016958</v>
      </c>
      <c r="F23" s="126">
        <f t="shared" si="1"/>
        <v>1281.4449110840974</v>
      </c>
      <c r="H23" s="121"/>
    </row>
    <row r="24" spans="2:8">
      <c r="B24" s="123">
        <v>4</v>
      </c>
      <c r="C24" s="124">
        <f t="shared" si="2"/>
        <v>1638.4003864470774</v>
      </c>
      <c r="D24" s="139">
        <f>IF($C$17&lt;B24,0,Valuation_Model!$C$16)</f>
        <v>1.49597842339395E-2</v>
      </c>
      <c r="E24" s="125">
        <f t="shared" si="0"/>
        <v>0.73502985279645328</v>
      </c>
      <c r="F24" s="126">
        <f t="shared" si="1"/>
        <v>1204.2731948718474</v>
      </c>
      <c r="H24" s="121"/>
    </row>
    <row r="25" spans="2:8">
      <c r="B25" s="123">
        <v>5</v>
      </c>
      <c r="C25" s="124">
        <f t="shared" si="2"/>
        <v>1662.9105027171286</v>
      </c>
      <c r="D25" s="139">
        <f>IF($C$17&lt;B25,0,Valuation_Model!$C$16)</f>
        <v>1.49597842339395E-2</v>
      </c>
      <c r="E25" s="125">
        <f t="shared" si="0"/>
        <v>0.68058319703375303</v>
      </c>
      <c r="F25" s="126">
        <f t="shared" si="1"/>
        <v>1131.7489463202289</v>
      </c>
      <c r="H25" s="121"/>
    </row>
    <row r="26" spans="2:8">
      <c r="B26" s="123">
        <v>6</v>
      </c>
      <c r="C26" s="124">
        <f t="shared" si="2"/>
        <v>1687.7872850381286</v>
      </c>
      <c r="D26" s="139">
        <f>IF($C$17&lt;B26,0,Valuation_Model!$C$16)</f>
        <v>1.49597842339395E-2</v>
      </c>
      <c r="E26" s="125">
        <f t="shared" si="0"/>
        <v>0.63016962688310452</v>
      </c>
      <c r="F26" s="126">
        <f t="shared" si="1"/>
        <v>1063.5922836705254</v>
      </c>
      <c r="H26" s="121"/>
    </row>
    <row r="27" spans="2:8">
      <c r="B27" s="123">
        <v>7</v>
      </c>
      <c r="C27" s="124">
        <f t="shared" si="2"/>
        <v>1713.0362186550856</v>
      </c>
      <c r="D27" s="139">
        <f>IF($C$17&lt;B27,0,Valuation_Model!$C$16)</f>
        <v>1.49597842339395E-2</v>
      </c>
      <c r="E27" s="125">
        <f t="shared" si="0"/>
        <v>0.58349039526213387</v>
      </c>
      <c r="F27" s="126">
        <f t="shared" si="1"/>
        <v>999.54018032140709</v>
      </c>
      <c r="H27" s="121"/>
    </row>
    <row r="28" spans="2:8">
      <c r="B28" s="123">
        <v>8</v>
      </c>
      <c r="C28" s="124">
        <f t="shared" si="2"/>
        <v>1738.6628708710896</v>
      </c>
      <c r="D28" s="139">
        <f>IF($C$17&lt;B28,0,Valuation_Model!$C$16)</f>
        <v>1.49597842339395E-2</v>
      </c>
      <c r="E28" s="125">
        <f t="shared" si="0"/>
        <v>0.54026888450197574</v>
      </c>
      <c r="F28" s="126">
        <f t="shared" si="1"/>
        <v>939.34544977052622</v>
      </c>
      <c r="H28" s="121"/>
    </row>
    <row r="29" spans="2:8">
      <c r="B29" s="123">
        <v>9</v>
      </c>
      <c r="C29" s="124">
        <f t="shared" si="2"/>
        <v>1764.6728922748828</v>
      </c>
      <c r="D29" s="139">
        <f>IF($C$17&lt;B29,0,Valuation_Model!$C$16)</f>
        <v>1.49597842339395E-2</v>
      </c>
      <c r="E29" s="125">
        <f t="shared" si="0"/>
        <v>0.50024896713145905</v>
      </c>
      <c r="F29" s="126">
        <f t="shared" si="1"/>
        <v>882.77579168539467</v>
      </c>
      <c r="H29" s="121"/>
    </row>
    <row r="30" spans="2:8">
      <c r="B30" s="123">
        <v>10</v>
      </c>
      <c r="C30" s="124">
        <f t="shared" si="2"/>
        <v>1791.0720179867972</v>
      </c>
      <c r="D30" s="139">
        <f>IF($C$17&lt;B30,0,Valuation_Model!$C$16)</f>
        <v>1.49597842339395E-2</v>
      </c>
      <c r="E30" s="125">
        <f t="shared" si="0"/>
        <v>0.46319348808468425</v>
      </c>
      <c r="F30" s="126">
        <f t="shared" si="1"/>
        <v>829.61289542217889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19587.704838615693</v>
      </c>
      <c r="D51" s="140">
        <f>Terminal_Growth</f>
        <v>0</v>
      </c>
      <c r="E51" s="125">
        <f>1/(1+Equity_Cost)^C17</f>
        <v>0.46319348808468425</v>
      </c>
      <c r="F51" s="126">
        <f t="shared" si="1"/>
        <v>9072.8973277716505</v>
      </c>
      <c r="H51" s="121"/>
    </row>
    <row r="52" spans="1:8">
      <c r="C52" s="115"/>
      <c r="E52" s="128" t="s">
        <v>101</v>
      </c>
      <c r="F52" s="138">
        <f>SUM(F21:F51)</f>
        <v>20219.733992052592</v>
      </c>
      <c r="H52" s="121"/>
    </row>
    <row r="53" spans="1:8">
      <c r="C53" s="115"/>
      <c r="H53" s="121"/>
    </row>
    <row r="54" spans="1:8" ht="13.15">
      <c r="B54" s="120" t="s">
        <v>130</v>
      </c>
      <c r="C54" s="137"/>
      <c r="D54" s="137"/>
      <c r="E54" s="118"/>
      <c r="F54" s="118"/>
      <c r="H54" s="121"/>
    </row>
    <row r="55" spans="1:8" ht="13.15">
      <c r="A55" s="134">
        <f>F52</f>
        <v>20219.733992052592</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17818.722901835274</v>
      </c>
      <c r="C56" s="124">
        <v>18994.397234776105</v>
      </c>
      <c r="D56" s="124">
        <v>19764.294055126818</v>
      </c>
      <c r="E56" s="124">
        <v>20400.891843841579</v>
      </c>
      <c r="F56" s="124">
        <v>21056.750255914718</v>
      </c>
      <c r="H56" s="121"/>
    </row>
    <row r="57" spans="1:8" ht="13.15">
      <c r="A57" s="144">
        <v>10</v>
      </c>
      <c r="B57" s="124">
        <v>16645.715993657614</v>
      </c>
      <c r="C57" s="124">
        <v>18718.600560690382</v>
      </c>
      <c r="D57" s="124">
        <v>20222.298057937485</v>
      </c>
      <c r="E57" s="124">
        <v>21560.563641786088</v>
      </c>
      <c r="F57" s="124">
        <v>23034.765170543775</v>
      </c>
      <c r="H57" s="121"/>
    </row>
    <row r="58" spans="1:8" ht="13.15">
      <c r="A58" s="144">
        <v>15</v>
      </c>
      <c r="B58" s="124">
        <v>15414.352782109056</v>
      </c>
      <c r="C58" s="124">
        <v>18401.557530483009</v>
      </c>
      <c r="D58" s="124">
        <v>20782.078758971373</v>
      </c>
      <c r="E58" s="124">
        <v>23052.610075736844</v>
      </c>
      <c r="F58" s="124">
        <v>25718.874711721473</v>
      </c>
      <c r="H58" s="121"/>
    </row>
    <row r="59" spans="1:8" ht="13.15">
      <c r="A59" s="145">
        <v>20</v>
      </c>
      <c r="B59" s="124">
        <v>14348.262086889838</v>
      </c>
      <c r="C59" s="124">
        <v>18102.070631485709</v>
      </c>
      <c r="D59" s="124">
        <v>21344.937045637544</v>
      </c>
      <c r="E59" s="124">
        <v>24636.153221686189</v>
      </c>
      <c r="F59" s="124">
        <v>28735.695134019465</v>
      </c>
      <c r="H59" s="121"/>
    </row>
    <row r="60" spans="1:8" ht="13.15">
      <c r="A60" s="145">
        <v>25</v>
      </c>
      <c r="B60" s="124">
        <v>13502.604782293343</v>
      </c>
      <c r="C60" s="124">
        <v>17844.063663757221</v>
      </c>
      <c r="D60" s="124">
        <v>21861.360664038679</v>
      </c>
      <c r="E60" s="124">
        <v>26173.077273760493</v>
      </c>
      <c r="F60" s="124">
        <v>31847.445371511814</v>
      </c>
      <c r="H60" s="121"/>
    </row>
    <row r="61" spans="1:8" ht="13.15">
      <c r="A61" s="145">
        <v>30</v>
      </c>
      <c r="B61" s="124">
        <v>12863.820508775741</v>
      </c>
      <c r="C61" s="124">
        <v>17633.400864593372</v>
      </c>
      <c r="D61" s="124">
        <v>22310.600905433981</v>
      </c>
      <c r="E61" s="124">
        <v>27590.255083891392</v>
      </c>
      <c r="F61" s="124">
        <v>34906.827873129027</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26.591820192356398</v>
      </c>
      <c r="C65" s="125">
        <f>C12</f>
        <v>26.591820192356398</v>
      </c>
      <c r="D65" s="125">
        <f>C12</f>
        <v>26.591820192356398</v>
      </c>
      <c r="E65" s="142">
        <f>C12</f>
        <v>26.591820192356398</v>
      </c>
      <c r="F65" s="125">
        <f>C12</f>
        <v>26.591820192356398</v>
      </c>
      <c r="H65" s="121"/>
    </row>
    <row r="66" spans="1:8" ht="13.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45.548751974251395</v>
      </c>
      <c r="F74" s="143">
        <f>Scenarios!C58</f>
        <v>0.05</v>
      </c>
    </row>
    <row r="75" spans="1:8">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c r="B78" s="128" t="str">
        <f>Scenarios!B48</f>
        <v>Devil's advocate</v>
      </c>
      <c r="C78" s="143">
        <f>Scenarios!C50</f>
        <v>-0.05</v>
      </c>
      <c r="D78" s="146">
        <f>Scenarios!C49</f>
        <v>15</v>
      </c>
      <c r="E78" s="136">
        <f>INDEX(B$65:F$71, MATCH(D78, A$65:A$71, 0), MATCH(C78, B$64:F$64, 0))</f>
        <v>15.121055640471935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-20.079999999999998</v>
      </c>
    </row>
    <row r="4" spans="2:9">
      <c r="B4" s="153" t="s">
        <v>147</v>
      </c>
      <c r="C4" s="121">
        <v>3</v>
      </c>
      <c r="D4" s="121"/>
      <c r="E4" s="156" t="s">
        <v>151</v>
      </c>
      <c r="F4" s="156"/>
      <c r="H4" s="276">
        <v>1</v>
      </c>
      <c r="I4" s="264">
        <f t="shared" ref="I4:I13" si="0">IF(ROW()-3 &lt; $C$76, $C$77, IF(ROW()-3 = $C$76, $C$77 + $C$60, ""))</f>
        <v>0.59360000000000002</v>
      </c>
    </row>
    <row r="5" spans="2:9">
      <c r="H5" s="276">
        <v>2</v>
      </c>
      <c r="I5" s="264">
        <f t="shared" si="0"/>
        <v>0.59360000000000002</v>
      </c>
    </row>
    <row r="6" spans="2:9" ht="13.15">
      <c r="B6" s="160" t="s">
        <v>96</v>
      </c>
      <c r="C6" s="107">
        <f>Valuation_Model!C3</f>
        <v>1000000</v>
      </c>
      <c r="E6" s="100" t="s">
        <v>282</v>
      </c>
      <c r="F6" s="100"/>
      <c r="H6" s="276">
        <v>3</v>
      </c>
      <c r="I6" s="264">
        <f t="shared" si="0"/>
        <v>29.903551346473133</v>
      </c>
    </row>
    <row r="7" spans="2:9" ht="12.75" customHeight="1">
      <c r="B7" s="100" t="s">
        <v>276</v>
      </c>
      <c r="C7" s="115">
        <f>Normalized_FCF!G8</f>
        <v>1936</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 Holdings Inc.(SIRI). Each scenario should include the Compound Growth Rate, the Probability Assessment, and the Business Narrative.</v>
      </c>
      <c r="F7" s="350"/>
      <c r="H7" s="276">
        <v>4</v>
      </c>
      <c r="I7" s="264" t="str">
        <f t="shared" si="0"/>
        <v/>
      </c>
    </row>
    <row r="8" spans="2:9">
      <c r="B8" s="100" t="s">
        <v>66</v>
      </c>
      <c r="C8" s="115">
        <f>Normalized_FCF!G19</f>
        <v>1080</v>
      </c>
      <c r="D8" t="str">
        <f>Reporting_currency</f>
        <v>USD</v>
      </c>
      <c r="E8" s="350"/>
      <c r="F8" s="350"/>
      <c r="H8" s="276">
        <v>5</v>
      </c>
      <c r="I8" s="264" t="str">
        <f t="shared" si="0"/>
        <v/>
      </c>
    </row>
    <row r="9" spans="2:9">
      <c r="B9" s="100" t="s">
        <v>57</v>
      </c>
      <c r="C9" s="201">
        <f>Normalized_FCF!C19</f>
        <v>1543.9196817753634</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1.1498217877581318E-4</v>
      </c>
      <c r="D12" s="159"/>
      <c r="E12" s="350"/>
      <c r="F12" s="350"/>
      <c r="H12" s="276">
        <v>9</v>
      </c>
      <c r="I12" s="264" t="str">
        <f t="shared" si="0"/>
        <v/>
      </c>
    </row>
    <row r="13" spans="2:9">
      <c r="B13" s="149" t="s">
        <v>153</v>
      </c>
      <c r="C13" s="159">
        <f ca="1">(Normalized_FCF!G8/OFFSET(Normalized_FCF!G8, 0, $C$4))^(1/$C$4) - 1</f>
        <v>-0.25742105972151286</v>
      </c>
      <c r="E13" s="350"/>
      <c r="F13" s="350"/>
      <c r="H13" s="276">
        <v>10</v>
      </c>
      <c r="I13" s="264" t="str">
        <f t="shared" si="0"/>
        <v/>
      </c>
    </row>
    <row r="14" spans="2:9">
      <c r="B14" s="100" t="s">
        <v>66</v>
      </c>
      <c r="C14" s="159">
        <f ca="1">(Normalized_FCF!G19/OFFSET(Normalized_FCF!G19, 0, $C$4))^(1/$C$4) - 1</f>
        <v>-0.3351523510141251</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20.079999999999998</v>
      </c>
      <c r="D21" t="str">
        <f>Market_currency</f>
        <v>USD</v>
      </c>
      <c r="E21" s="351"/>
      <c r="F21" s="351"/>
    </row>
    <row r="22" spans="2:6">
      <c r="B22" s="100" t="s">
        <v>281</v>
      </c>
      <c r="C22" s="161">
        <f>Valuation_Model!C12</f>
        <v>26.591820192356398</v>
      </c>
      <c r="D22" t="str">
        <f>Market_currency</f>
        <v>USD</v>
      </c>
      <c r="E22" s="351"/>
      <c r="F22" s="351"/>
    </row>
    <row r="24" spans="2:6" ht="13.15">
      <c r="B24" s="160" t="s">
        <v>116</v>
      </c>
      <c r="E24" s="160" t="s">
        <v>150</v>
      </c>
      <c r="F24" s="160"/>
    </row>
    <row r="25" spans="2:6">
      <c r="B25" s="153" t="s">
        <v>134</v>
      </c>
      <c r="C25" s="167">
        <f>C18</f>
        <v>10</v>
      </c>
      <c r="D25" s="164"/>
      <c r="E25" s="349"/>
      <c r="F25" s="349"/>
    </row>
    <row r="26" spans="2:6">
      <c r="B26" s="119" t="s">
        <v>135</v>
      </c>
      <c r="C26" s="165">
        <v>1.4999999999999999E-2</v>
      </c>
      <c r="D26" s="165"/>
      <c r="E26" s="349"/>
      <c r="F26" s="349"/>
    </row>
    <row r="27" spans="2:6">
      <c r="B27" s="100" t="s">
        <v>114</v>
      </c>
      <c r="C27" s="161">
        <f>Valuation_Model!E76</f>
        <v>29.318191600940459</v>
      </c>
      <c r="D27" s="161" t="str">
        <f>Market_currency</f>
        <v>USD</v>
      </c>
      <c r="E27" s="349"/>
      <c r="F27" s="349"/>
    </row>
    <row r="28" spans="2:6">
      <c r="B28" s="100" t="s">
        <v>148</v>
      </c>
      <c r="C28" s="166">
        <v>0.5</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-0.01</v>
      </c>
      <c r="D32" s="165"/>
      <c r="E32" s="349"/>
      <c r="F32" s="349"/>
    </row>
    <row r="33" spans="2:6">
      <c r="B33" s="100" t="s">
        <v>114</v>
      </c>
      <c r="C33" s="161">
        <f>Valuation_Model!E77</f>
        <v>24.878000087289131</v>
      </c>
      <c r="D33" t="str">
        <f>Market_currency</f>
        <v>USD</v>
      </c>
      <c r="E33" s="349"/>
      <c r="F33" s="349"/>
    </row>
    <row r="34" spans="2:6">
      <c r="B34" s="100" t="s">
        <v>148</v>
      </c>
      <c r="C34" s="166">
        <v>0.25</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3.5000000000000003E-2</v>
      </c>
      <c r="D38" s="165"/>
      <c r="E38" s="349"/>
      <c r="F38" s="349"/>
    </row>
    <row r="39" spans="2:6">
      <c r="B39" s="100" t="s">
        <v>114</v>
      </c>
      <c r="C39" s="161">
        <f>Valuation_Model!E75</f>
        <v>33.269887669660939</v>
      </c>
      <c r="D39" t="str">
        <f>Market_currency</f>
        <v>USD</v>
      </c>
      <c r="E39" s="349"/>
      <c r="F39" s="349"/>
    </row>
    <row r="40" spans="2:6">
      <c r="B40" s="100" t="s">
        <v>148</v>
      </c>
      <c r="C40" s="168">
        <f>1-C28-C34</f>
        <v>0.25</v>
      </c>
      <c r="D40" s="166"/>
      <c r="E40" s="349"/>
      <c r="F40" s="349"/>
    </row>
    <row r="42" spans="2:6" ht="13.15">
      <c r="B42" s="100" t="s">
        <v>121</v>
      </c>
      <c r="C42" s="155">
        <f>C27*C28+C33*C34+C39*C40</f>
        <v>29.196067739707743</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-0.05</v>
      </c>
      <c r="D50" s="165"/>
      <c r="E50" s="349"/>
      <c r="F50" s="349"/>
    </row>
    <row r="51" spans="2:6">
      <c r="B51" s="100" t="s">
        <v>114</v>
      </c>
      <c r="C51" s="161">
        <f>Valuation_Model!E78</f>
        <v>15.121055640471935</v>
      </c>
      <c r="D51" t="str">
        <f>Market_currency</f>
        <v>USD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5.5E-2</v>
      </c>
      <c r="D56" s="165"/>
      <c r="E56" s="349"/>
      <c r="F56" s="349"/>
    </row>
    <row r="57" spans="2:6">
      <c r="B57" s="100" t="s">
        <v>114</v>
      </c>
      <c r="C57" s="161">
        <f>Valuation_Model!E74</f>
        <v>45.548751974251395</v>
      </c>
      <c r="D57" t="str">
        <f>Market_currency</f>
        <v>USD</v>
      </c>
      <c r="E57" s="349"/>
      <c r="F57" s="349"/>
    </row>
    <row r="58" spans="2:6">
      <c r="B58" s="100" t="s">
        <v>148</v>
      </c>
      <c r="C58" s="166">
        <v>0.05</v>
      </c>
      <c r="D58" s="166"/>
      <c r="E58" s="349"/>
      <c r="F58" s="349"/>
    </row>
    <row r="60" spans="2:6" ht="13.15">
      <c r="B60" s="100" t="s">
        <v>121</v>
      </c>
      <c r="C60" s="155">
        <f>C51*C52+C57*C58+C42*(1-C52-C58)</f>
        <v>29.309951346473134</v>
      </c>
      <c r="D60" t="str">
        <f>Market_currency</f>
        <v>USD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1.49597842339395E-2</v>
      </c>
      <c r="D65" s="152"/>
      <c r="E65" s="281" t="s">
        <v>320</v>
      </c>
    </row>
    <row r="66" spans="2:6">
      <c r="B66" s="100" t="s">
        <v>103</v>
      </c>
      <c r="C66" s="161">
        <f>Valuation_Model!C18</f>
        <v>29.310620301790603</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-1.0370265985797507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0.59360000000000002</v>
      </c>
      <c r="D77" t="str">
        <f>Market_currency</f>
        <v>USD</v>
      </c>
    </row>
    <row r="79" spans="2:6" ht="13.15">
      <c r="B79" s="109" t="s">
        <v>308</v>
      </c>
    </row>
    <row r="80" spans="2:6">
      <c r="B80" s="149" t="s">
        <v>306</v>
      </c>
      <c r="C80" s="168">
        <f>Thesis!C127</f>
        <v>0.25</v>
      </c>
    </row>
    <row r="81" spans="2:8">
      <c r="B81" s="100" t="s">
        <v>122</v>
      </c>
      <c r="C81" s="117">
        <f>PV(C80, C76, -C77, 0)</f>
        <v>1.1587072</v>
      </c>
      <c r="D81" s="117"/>
      <c r="E81" s="100"/>
      <c r="F81" s="100"/>
    </row>
    <row r="82" spans="2:8">
      <c r="B82" s="100" t="s">
        <v>123</v>
      </c>
      <c r="C82" s="117">
        <f>C60/(1+C80)^C76</f>
        <v>15.006695089394245</v>
      </c>
      <c r="D82" s="117"/>
    </row>
    <row r="83" spans="2:8" ht="13.15">
      <c r="B83" s="111" t="s">
        <v>102</v>
      </c>
      <c r="C83" s="112">
        <f>C81+C82</f>
        <v>16.165402289394244</v>
      </c>
      <c r="D83" t="str">
        <f>Market_currency</f>
        <v>USD</v>
      </c>
      <c r="E83" s="147" t="s">
        <v>127</v>
      </c>
      <c r="F83" s="329">
        <f>(1-C83/C60)</f>
        <v>0.44846710599062711</v>
      </c>
    </row>
    <row r="84" spans="2:8">
      <c r="E84" s="121"/>
    </row>
    <row r="85" spans="2:8" ht="13.15">
      <c r="B85" s="109" t="s">
        <v>309</v>
      </c>
    </row>
    <row r="86" spans="2:8">
      <c r="B86" s="149" t="s">
        <v>307</v>
      </c>
      <c r="C86" s="266">
        <f>Market_Price</f>
        <v>20.079999999999998</v>
      </c>
      <c r="D86" t="str">
        <f>Market_currency</f>
        <v>USD</v>
      </c>
    </row>
    <row r="87" spans="2:8" ht="13.15">
      <c r="B87" s="100" t="s">
        <v>305</v>
      </c>
      <c r="C87" s="265">
        <f ca="1">IRR(OFFSET($I$3, 0, 0, $C$76 + 1, 1))</f>
        <v>0.16060765378265396</v>
      </c>
    </row>
    <row r="88" spans="2:8">
      <c r="B88" s="100"/>
    </row>
    <row r="89" spans="2:8" ht="13.15">
      <c r="B89" s="109" t="s">
        <v>406</v>
      </c>
    </row>
    <row r="90" spans="2:8">
      <c r="B90" s="149" t="s">
        <v>413</v>
      </c>
      <c r="C90" s="135">
        <f>MAX(6%,(Thesis!E19+Thesis!C67)/2)</f>
        <v>0.06</v>
      </c>
    </row>
    <row r="91" spans="2:8">
      <c r="B91" s="100" t="s">
        <v>122</v>
      </c>
      <c r="C91" s="117">
        <f>PV(C90, C76, -C77, 0)</f>
        <v>1.5866998932004295</v>
      </c>
      <c r="D91" s="117"/>
    </row>
    <row r="92" spans="2:8">
      <c r="B92" s="100" t="s">
        <v>123</v>
      </c>
      <c r="C92" s="117">
        <f>C60/(1+C90)^C76</f>
        <v>24.609200335237418</v>
      </c>
      <c r="D92" s="117"/>
    </row>
    <row r="93" spans="2:8" ht="13.15">
      <c r="B93" s="111" t="s">
        <v>407</v>
      </c>
      <c r="C93" s="112">
        <f>C91+C92</f>
        <v>26.195900228437846</v>
      </c>
      <c r="D93" t="s">
        <v>405</v>
      </c>
      <c r="E93" s="147" t="s">
        <v>127</v>
      </c>
      <c r="F93" s="329">
        <f>(1-C93/C60)</f>
        <v>0.10624552327719927</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