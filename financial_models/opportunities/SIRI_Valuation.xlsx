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D8613A-2427-4849-BD9F-4F9A73036F5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<sst xmlns="http://schemas.openxmlformats.org/spreadsheetml/2006/main" count="686" uniqueCount="465">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</sst>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23.62</v>
      </c>
      <c r="D12" s="50"/>
      <c r="E12" s="48"/>
    </row>
    <row r="13" spans="1:10">
      <c r="B13" s="1" t="s">
        <v>412</v>
      </c>
      <c r="C13" s="48" t="s">
        <v>460</v>
      </c>
      <c r="D13" s="48"/>
      <c r="E13" s="5"/>
    </row>
    <row r="14" spans="1:10">
      <c r="B14" s="4" t="s">
        <v>416</v>
      </c>
      <c r="C14" s="35">
        <f>Thesis!C12*Common_Shares/1000000</f>
        <v>7999.0547200000001</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0.13629894782965968</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14.210808951982788</v>
      </c>
      <c r="D29" s="310" t="str">
        <f>D149</f>
        <v/>
      </c>
      <c r="E29" s="306" t="s">
        <v>420</v>
      </c>
      <c r="F29" s="302">
        <v>0.35</v>
      </c>
    </row>
    <row r="30" spans="2:6">
      <c r="B30" s="1" t="s">
        <v>422</v>
      </c>
      <c r="C30" s="311">
        <f>C157</f>
        <v>17.824937920120146</v>
      </c>
      <c r="D30" s="311" t="str">
        <f>D157</f>
        <v/>
      </c>
      <c r="E30" s="307" t="s">
        <v>433</v>
      </c>
      <c r="F30" s="312">
        <v>0.25</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2626.9774440472893</v>
      </c>
      <c r="D41" s="1" t="str">
        <f>Reporting_currency</f>
        <v>USD</v>
      </c>
    </row>
    <row r="42" spans="1:6">
      <c r="B42" s="47"/>
      <c r="C42" s="76"/>
    </row>
    <row r="43" spans="1:6" ht="24.6" customHeight="1">
      <c r="B43" s="361" t="s">
        <v>232</v>
      </c>
      <c r="C43" s="361"/>
      <c r="D43" s="361"/>
      <c r="E43" s="361"/>
      <c r="F43" s="361"/>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-532.74436101182232</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0.19301276661042313</v>
      </c>
      <c r="F69" s="314"/>
    </row>
    <row r="70" spans="1:6">
      <c r="B70" s="227" t="s">
        <v>454</v>
      </c>
      <c r="C70" s="92">
        <f>Normalized_FCF!C94</f>
        <v>1.7591871295512276E-2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60" t="s">
        <v>363</v>
      </c>
      <c r="C116" s="360"/>
      <c r="D116" s="360"/>
      <c r="E116" s="360"/>
      <c r="F116" s="360"/>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259</v>
      </c>
      <c r="C149" s="215">
        <f>Scenarios!C83</f>
        <v>14.210808951982788</v>
      </c>
      <c r="D149" s="300" t="str">
        <f>IF($D$11="","",C149*$E$25)</f>
        <v/>
      </c>
    </row>
    <row r="150" spans="2:4">
      <c r="B150" s="259" t="s">
        <v>412</v>
      </c>
      <c r="C150" s="298" t="str">
        <f>Market_currency</f>
        <v>USD</v>
      </c>
      <c r="D150" s="298" t="str">
        <f>IF($D$11="","",D$13)</f>
        <v/>
      </c>
    </row>
    <row r="151" spans="2:4">
      <c r="B151" s="214" t="s">
        <v>261</v>
      </c>
      <c r="C151" s="92">
        <f>Scenarios!F83</f>
        <v>0.57235209971776768</v>
      </c>
    </row>
    <row r="153" spans="2:4">
      <c r="B153" s="210" t="s">
        <v>408</v>
      </c>
    </row>
    <row r="154" spans="2:4">
      <c r="B154" s="1" t="s">
        <v>407</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259</v>
      </c>
      <c r="C157" s="215">
        <f>Scenarios!C93</f>
        <v>17.824937920120146</v>
      </c>
      <c r="D157" s="300" t="str">
        <f>IF($D$11="","",C157*$E$25)</f>
        <v/>
      </c>
    </row>
    <row r="158" spans="2:4">
      <c r="B158" s="259" t="s">
        <v>412</v>
      </c>
      <c r="C158" s="298" t="str">
        <f>Market_currency</f>
        <v>USD</v>
      </c>
      <c r="D158" s="298" t="str">
        <f>IF($D$11="","",D$13)</f>
        <v/>
      </c>
    </row>
    <row r="159" spans="2:4">
      <c r="B159" s="214" t="s">
        <v>261</v>
      </c>
      <c r="C159" s="92">
        <f>Scenarios!F93</f>
        <v>0.46359160129748023</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1.7591871295512276E-2</v>
      </c>
      <c r="E94" s="268"/>
      <c r="G94" s="23">
        <f t="shared" ref="G94:Q94" si="39">IF(G$4="","",(G90*(1-dividend_tax_rate))/Market_Price)</f>
        <v>1.7591871295512276E-2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0.19301276661042313</v>
      </c>
      <c r="D126" s="27"/>
      <c r="E126" s="265"/>
      <c r="F126" s="27"/>
      <c r="G126" s="77">
        <f t="shared" ref="G126" si="50">IF(G$4="","",G125/Market_Price)</f>
        <v>0.13501595348506379</v>
      </c>
      <c r="H126" s="77">
        <f t="shared" ref="H126" si="51">IF(H$4="","",H125/Market_Price)</f>
        <v>0.11388845706008621</v>
      </c>
      <c r="I126" s="77">
        <f t="shared" ref="I126" si="52">IF(I$4="","",I125/Market_Price)</f>
        <v>0.42617535688016889</v>
      </c>
      <c r="J126" s="77">
        <f t="shared" ref="J126" si="53">IF(J$4="","",J125/Market_Price)</f>
        <v>0.45942928616445317</v>
      </c>
      <c r="K126" s="77">
        <f t="shared" ref="K126" si="54">IF(K$4="","",K125/Market_Price)</f>
        <v>0.42254992849955147</v>
      </c>
      <c r="L126" s="77">
        <f t="shared" ref="L126" si="55">IF(L$4="","",L125/Market_Price)</f>
        <v>0.46180456682761634</v>
      </c>
      <c r="M126" s="77">
        <f t="shared" ref="M126" si="56">IF(M$4="","",M125/Market_Price)</f>
        <v>0.35845885549836565</v>
      </c>
      <c r="N126" s="77">
        <f t="shared" ref="N126" si="57">IF(N$4="","",N125/Market_Price)</f>
        <v>0.2951631264750243</v>
      </c>
      <c r="O126" s="77">
        <f t="shared" ref="O126" si="58">IF(O$4="","",O125/Market_Price)</f>
        <v>0.29340229341498997</v>
      </c>
      <c r="P126" s="77">
        <f t="shared" ref="P126" si="59">IF(P$4="","",P125/Market_Price)</f>
        <v>0.25572409135863494</v>
      </c>
      <c r="Q126" s="77" t="str">
        <f t="shared" ref="Q126" si="60">IF(Q$4="","",Q125/Market_Price)</f>
        <v/>
      </c>
    </row>
    <row r="127" spans="1:17" ht="15.75" customHeight="1">
      <c r="B127" s="2" t="s">
        <v>391</v>
      </c>
      <c r="C127" s="169"/>
      <c r="G127" s="23">
        <f>IF(G$4="","",(Data!C47*$C$3)/(Market_Price*Common_Shares))</f>
        <v>-0.25940565137176608</v>
      </c>
      <c r="H127" s="23">
        <f>IF(H$4="","",(Data!D47*$C$3)/(Market_Price*Common_Shares))</f>
        <v>0.15726858285575024</v>
      </c>
      <c r="I127" s="23">
        <f>IF(I$4="","",(Data!E47*$C$3)/(Market_Price*Common_Shares))</f>
        <v>0.1516429181272059</v>
      </c>
      <c r="J127" s="23">
        <f>IF(J$4="","",(Data!F47*$C$3)/(Market_Price*Common_Shares))</f>
        <v>0.16426941007349427</v>
      </c>
      <c r="K127" s="23">
        <f>IF(K$4="","",(Data!G47*$C$3)/(Market_Price*Common_Shares))</f>
        <v>1.6376935098651256E-2</v>
      </c>
      <c r="L127" s="23">
        <f>IF(L$4="","",(Data!H47*$C$3)/(Market_Price*Common_Shares))</f>
        <v>0.11426350137532251</v>
      </c>
      <c r="M127" s="23">
        <f>IF(M$4="","",(Data!I47*$C$3)/(Market_Price*Common_Shares))</f>
        <v>0.14700399499204825</v>
      </c>
      <c r="N127" s="23">
        <f>IF(N$4="","",(Data!J47*$C$3)/(Market_Price*Common_Shares))</f>
        <v>8.09980707320377E-2</v>
      </c>
      <c r="O127" s="23">
        <f>IF(O$4="","",(Data!K47*$C$3)/(Market_Price*Common_Shares))</f>
        <v>9.3252643732383414E-2</v>
      </c>
      <c r="P127" s="23">
        <f>IF(P$4="","",(Data!L47*$C$3)/(Market_Price*Common_Shares))</f>
        <v>6.3723029513167273E-2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-23.62</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23.62</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0.35</v>
      </c>
    </row>
    <row r="81" spans="2:8">
      <c r="B81" s="100" t="s">
        <v>120</v>
      </c>
      <c r="C81" s="116">
        <f>PV(C80, C76, -C77, 0)</f>
        <v>0.70467193009195761</v>
      </c>
      <c r="D81" s="116"/>
      <c r="E81" s="100"/>
      <c r="F81" s="100"/>
    </row>
    <row r="82" spans="2:8">
      <c r="B82" s="100" t="s">
        <v>121</v>
      </c>
      <c r="C82" s="116">
        <f>C60/(1+C80)^C76</f>
        <v>13.506137021890829</v>
      </c>
      <c r="D82" s="116"/>
    </row>
    <row r="83" spans="2:8" ht="13.15">
      <c r="B83" s="110" t="s">
        <v>101</v>
      </c>
      <c r="C83" s="111">
        <f>C81+C82</f>
        <v>14.210808951982788</v>
      </c>
      <c r="D83" t="str">
        <f>Market_currency</f>
        <v>USD</v>
      </c>
      <c r="E83" s="146" t="s">
        <v>125</v>
      </c>
      <c r="F83" s="291">
        <f>(1-C83/C60)</f>
        <v>0.57235209971776768</v>
      </c>
    </row>
    <row r="84" spans="2:8">
      <c r="E84" s="120"/>
    </row>
    <row r="85" spans="2:8" ht="13.15">
      <c r="B85" s="109" t="s">
        <v>301</v>
      </c>
    </row>
    <row r="86" spans="2:8">
      <c r="B86" s="148" t="s">
        <v>299</v>
      </c>
      <c r="C86" s="116">
        <f>Market_Price</f>
        <v>23.62</v>
      </c>
      <c r="D86" t="str">
        <f>Market_currency</f>
        <v>USD</v>
      </c>
    </row>
    <row r="87" spans="2:8" ht="13.15">
      <c r="B87" s="100" t="s">
        <v>297</v>
      </c>
      <c r="C87" s="237">
        <f ca="1">IRR(OFFSET($I$3, 0, 0, $C$76 + 1, 1))</f>
        <v>0.13629894782965968</v>
      </c>
    </row>
    <row r="88" spans="2:8">
      <c r="B88" s="100"/>
    </row>
    <row r="89" spans="2:8" ht="13.15">
      <c r="B89" s="109" t="s">
        <v>409</v>
      </c>
    </row>
    <row r="90" spans="2:8">
      <c r="B90" s="148" t="s">
        <v>410</v>
      </c>
      <c r="C90" s="167">
        <f>Thesis!F30</f>
        <v>0.25</v>
      </c>
    </row>
    <row r="91" spans="2:8">
      <c r="B91" s="100" t="s">
        <v>120</v>
      </c>
      <c r="C91" s="116">
        <f>PV(C90, C76, -C77, 0)</f>
        <v>0.81109503999999999</v>
      </c>
      <c r="D91" s="116"/>
      <c r="E91" s="100"/>
      <c r="F91" s="100"/>
    </row>
    <row r="92" spans="2:8">
      <c r="B92" s="100" t="s">
        <v>121</v>
      </c>
      <c r="C92" s="116">
        <f>C60/(1+C90)^C76</f>
        <v>17.013842880120144</v>
      </c>
      <c r="D92" s="116"/>
    </row>
    <row r="93" spans="2:8" ht="13.15">
      <c r="B93" s="110" t="s">
        <v>101</v>
      </c>
      <c r="C93" s="111">
        <f>C91+C92</f>
        <v>17.824937920120146</v>
      </c>
      <c r="D93" t="str">
        <f>Market_currency</f>
        <v>USD</v>
      </c>
      <c r="E93" s="146" t="s">
        <v>125</v>
      </c>
      <c r="F93" s="291">
        <f>(1-C93/C60)</f>
        <v>0.46359160129748023</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