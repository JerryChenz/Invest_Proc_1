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4B4F4D-D461-44C6-849F-1A530259193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<sst xmlns="http://schemas.openxmlformats.org/spreadsheetml/2006/main" count="836" uniqueCount="560">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</sst>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24.27</v>
      </c>
      <c r="D12" s="50"/>
      <c r="E12" s="48"/>
    </row>
    <row r="13" spans="1:10">
      <c r="B13" s="1" t="s">
        <v>485</v>
      </c>
      <c r="C13" s="32" t="str">
        <f>Market_currency</f>
        <v>USD</v>
      </c>
      <c r="D13" s="48"/>
      <c r="E13" s="5"/>
    </row>
    <row r="14" spans="1:10">
      <c r="B14" s="4" t="s">
        <v>486</v>
      </c>
      <c r="C14" s="35">
        <f>投资主题!C12*Common_Shares/1000000</f>
        <v>8219.1811199999993</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0.125910335738461</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1000000</v>
      </c>
    </row>
    <row r="40" spans="1:6">
      <c r="B40" s="367" t="s">
        <v>494</v>
      </c>
      <c r="C40" s="367"/>
      <c r="D40" s="367"/>
      <c r="E40" s="367"/>
      <c r="F40" s="367"/>
    </row>
    <row r="41" spans="1:6">
      <c r="B41" s="47" t="s">
        <v>228</v>
      </c>
      <c r="C41" s="349">
        <f>Normalized_FCF!C8</f>
        <v>2626.9774440472893</v>
      </c>
      <c r="D41" s="1" t="str">
        <f>Reporting_currency</f>
        <v>USD</v>
      </c>
    </row>
    <row r="42" spans="1:6">
      <c r="B42" s="47"/>
      <c r="C42" s="76"/>
    </row>
    <row r="43" spans="1:6" ht="24.6" customHeight="1">
      <c r="B43" s="367" t="s">
        <v>495</v>
      </c>
      <c r="C43" s="367"/>
      <c r="D43" s="367"/>
      <c r="E43" s="367"/>
      <c r="F43" s="367"/>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67" t="s">
        <v>496</v>
      </c>
      <c r="C47" s="367"/>
      <c r="D47" s="367"/>
      <c r="E47" s="367"/>
      <c r="F47" s="367"/>
    </row>
    <row r="48" spans="1:6">
      <c r="B48" s="47" t="s">
        <v>233</v>
      </c>
      <c r="C48" s="349">
        <f>Normalized_FCF!C11</f>
        <v>0</v>
      </c>
      <c r="D48" s="1" t="str">
        <f>Reporting_currency</f>
        <v>USD</v>
      </c>
    </row>
    <row r="50" spans="2:6">
      <c r="B50" s="367" t="s">
        <v>497</v>
      </c>
      <c r="C50" s="367"/>
      <c r="D50" s="367"/>
      <c r="E50" s="367"/>
      <c r="F50" s="367"/>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67" t="s">
        <v>237</v>
      </c>
      <c r="C58" s="367"/>
      <c r="D58" s="367"/>
      <c r="E58" s="367"/>
      <c r="F58" s="367"/>
    </row>
    <row r="59" spans="2:6">
      <c r="B59" s="47" t="s">
        <v>235</v>
      </c>
      <c r="C59" s="349">
        <f>Normalized_FCF!C14</f>
        <v>-532.74436101182232</v>
      </c>
      <c r="D59" s="1" t="str">
        <f>Reporting_currency</f>
        <v>USD</v>
      </c>
    </row>
    <row r="61" spans="2:6">
      <c r="B61" s="367"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0.18784349185571464</v>
      </c>
      <c r="F69" s="314"/>
    </row>
    <row r="70" spans="1:6">
      <c r="B70" s="227" t="s">
        <v>434</v>
      </c>
      <c r="C70" s="92">
        <f>Normalized_FCF!C94</f>
        <v>1.7120725175113309E-2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1" t="s">
        <v>516</v>
      </c>
      <c r="C116" s="371"/>
      <c r="D116" s="371"/>
      <c r="E116" s="371"/>
      <c r="F116" s="371"/>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24.27</v>
      </c>
      <c r="D12" s="50"/>
      <c r="E12" s="48"/>
    </row>
    <row r="13" spans="1:10">
      <c r="B13" s="1" t="s">
        <v>464</v>
      </c>
      <c r="C13" s="48" t="s">
        <v>555</v>
      </c>
      <c r="D13" s="48"/>
      <c r="E13" s="5"/>
    </row>
    <row r="14" spans="1:10">
      <c r="B14" s="4" t="s">
        <v>465</v>
      </c>
      <c r="C14" s="35">
        <f>Thesis!C12*Common_Shares/1000000</f>
        <v>8219.1811199999993</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0.125910335738461</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2626.9774440472893</v>
      </c>
      <c r="D41" s="1" t="str">
        <f>Reporting_currency</f>
        <v>USD</v>
      </c>
    </row>
    <row r="42" spans="1:6">
      <c r="B42" s="47"/>
      <c r="C42" s="76"/>
    </row>
    <row r="43" spans="1:6" ht="24.6" customHeight="1">
      <c r="B43" s="367" t="s">
        <v>229</v>
      </c>
      <c r="C43" s="367"/>
      <c r="D43" s="367"/>
      <c r="E43" s="367"/>
      <c r="F43" s="367"/>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67" t="s">
        <v>232</v>
      </c>
      <c r="C47" s="367"/>
      <c r="D47" s="367"/>
      <c r="E47" s="367"/>
      <c r="F47" s="367"/>
    </row>
    <row r="48" spans="1:6">
      <c r="B48" s="47" t="s">
        <v>233</v>
      </c>
      <c r="C48" s="349">
        <f>Normalized_FCF!C11</f>
        <v>0</v>
      </c>
      <c r="D48" s="1" t="str">
        <f>Reporting_currency</f>
        <v>USD</v>
      </c>
    </row>
    <row r="50" spans="2:6">
      <c r="B50" s="367" t="s">
        <v>236</v>
      </c>
      <c r="C50" s="367"/>
      <c r="D50" s="367"/>
      <c r="E50" s="367"/>
      <c r="F50" s="367"/>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67" t="s">
        <v>237</v>
      </c>
      <c r="C58" s="367"/>
      <c r="D58" s="367"/>
      <c r="E58" s="367"/>
      <c r="F58" s="367"/>
    </row>
    <row r="59" spans="2:6">
      <c r="B59" s="47" t="s">
        <v>235</v>
      </c>
      <c r="C59" s="349">
        <f>Normalized_FCF!C14</f>
        <v>-532.74436101182232</v>
      </c>
      <c r="D59" s="1" t="str">
        <f>Reporting_currency</f>
        <v>USD</v>
      </c>
    </row>
    <row r="61" spans="2:6">
      <c r="B61" s="367"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0.18784349185571464</v>
      </c>
      <c r="F69" s="314"/>
    </row>
    <row r="70" spans="1:6">
      <c r="B70" s="227" t="s">
        <v>434</v>
      </c>
      <c r="C70" s="92">
        <f>Normalized_FCF!C94</f>
        <v>1.7120725175113309E-2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1" t="s">
        <v>352</v>
      </c>
      <c r="C116" s="371"/>
      <c r="D116" s="371"/>
      <c r="E116" s="371"/>
      <c r="F116" s="371"/>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1.7120725175113309E-2</v>
      </c>
      <c r="E94" s="268"/>
      <c r="G94" s="23">
        <f t="shared" ref="G94:Q94" si="39">IF(G$4="","",(G90*(1-dividend_tax_rate))/Market_Price)</f>
        <v>1.7120725175113309E-2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0.18784349185571464</v>
      </c>
      <c r="D126" s="27"/>
      <c r="E126" s="265"/>
      <c r="F126" s="27"/>
      <c r="G126" s="77">
        <f t="shared" ref="G126" si="50">IF(G$4="","",G125/Market_Price)</f>
        <v>0.13139995143457794</v>
      </c>
      <c r="H126" s="77">
        <f t="shared" ref="H126" si="51">IF(H$4="","",H125/Market_Price)</f>
        <v>0.11083829236750047</v>
      </c>
      <c r="I126" s="77">
        <f t="shared" ref="I126" si="52">IF(I$4="","",I125/Market_Price)</f>
        <v>0.4147615133708113</v>
      </c>
      <c r="J126" s="77">
        <f t="shared" ref="J126" si="53">IF(J$4="","",J125/Market_Price)</f>
        <v>0.44712483474266107</v>
      </c>
      <c r="K126" s="77">
        <f t="shared" ref="K126" si="54">IF(K$4="","",K125/Market_Price)</f>
        <v>0.41123318134154951</v>
      </c>
      <c r="L126" s="77">
        <f t="shared" ref="L126" si="55">IF(L$4="","",L125/Market_Price)</f>
        <v>0.44943650055493611</v>
      </c>
      <c r="M126" s="77">
        <f t="shared" ref="M126" si="56">IF(M$4="","",M125/Market_Price)</f>
        <v>0.34885859772852895</v>
      </c>
      <c r="N126" s="77">
        <f t="shared" ref="N126" si="57">IF(N$4="","",N125/Market_Price)</f>
        <v>0.28725805716275543</v>
      </c>
      <c r="O126" s="77">
        <f t="shared" ref="O126" si="58">IF(O$4="","",O125/Market_Price)</f>
        <v>0.28554438279612954</v>
      </c>
      <c r="P126" s="77">
        <f t="shared" ref="P126" si="59">IF(P$4="","",P125/Market_Price)</f>
        <v>0.24887527968236334</v>
      </c>
      <c r="Q126" s="77" t="str">
        <f t="shared" ref="Q126" si="60">IF(Q$4="","",Q125/Market_Price)</f>
        <v/>
      </c>
    </row>
    <row r="127" spans="1:17" ht="15.75" customHeight="1">
      <c r="B127" s="2" t="s">
        <v>375</v>
      </c>
      <c r="C127" s="169"/>
      <c r="G127" s="23">
        <f>IF(G$4="","",(Data!C47*$C$3)/(Market_Price*Common_Shares))</f>
        <v>-0.2524582400247678</v>
      </c>
      <c r="H127" s="23">
        <f>IF(H$4="","",(Data!D47*$C$3)/(Market_Price*Common_Shares))</f>
        <v>0.15305661009694357</v>
      </c>
      <c r="I127" s="23">
        <f>IF(I$4="","",(Data!E47*$C$3)/(Market_Price*Common_Shares))</f>
        <v>0.14758161212050283</v>
      </c>
      <c r="J127" s="23">
        <f>IF(J$4="","",(Data!F47*$C$3)/(Market_Price*Common_Shares))</f>
        <v>0.15986994091206985</v>
      </c>
      <c r="K127" s="23">
        <f>IF(K$4="","",(Data!G47*$C$3)/(Market_Price*Common_Shares))</f>
        <v>1.593832744252751E-2</v>
      </c>
      <c r="L127" s="23">
        <f>IF(L$4="","",(Data!H47*$C$3)/(Market_Price*Common_Shares))</f>
        <v>0.11120329223259652</v>
      </c>
      <c r="M127" s="23">
        <f>IF(M$4="","",(Data!I47*$C$3)/(Market_Price*Common_Shares))</f>
        <v>0.1430669287891298</v>
      </c>
      <c r="N127" s="23">
        <f>IF(N$4="","",(Data!J47*$C$3)/(Market_Price*Common_Shares))</f>
        <v>7.8828777531550487E-2</v>
      </c>
      <c r="O127" s="23">
        <f>IF(O$4="","",(Data!K47*$C$3)/(Market_Price*Common_Shares))</f>
        <v>9.0755148123563917E-2</v>
      </c>
      <c r="P127" s="23">
        <f>IF(P$4="","",(Data!L47*$C$3)/(Market_Price*Common_Shares))</f>
        <v>6.2016397078739641E-2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5" t="s">
        <v>245</v>
      </c>
      <c r="F6" s="375"/>
      <c r="H6" s="120"/>
    </row>
    <row r="7" spans="2:8">
      <c r="B7" s="148" t="s">
        <v>220</v>
      </c>
      <c r="C7" s="338">
        <f>BS!G31</f>
        <v>10547</v>
      </c>
      <c r="D7" t="str">
        <f>Reporting_currency</f>
        <v>USD</v>
      </c>
      <c r="E7" s="375"/>
      <c r="F7" s="375"/>
      <c r="H7" s="120"/>
    </row>
    <row r="8" spans="2:8">
      <c r="B8" s="148" t="s">
        <v>221</v>
      </c>
      <c r="C8" s="338">
        <f>BS!D66</f>
        <v>-372.31656312939253</v>
      </c>
      <c r="D8" t="str">
        <f>Reporting_currency</f>
        <v>USD</v>
      </c>
      <c r="E8" s="375"/>
      <c r="F8" s="375"/>
      <c r="H8" s="120"/>
    </row>
    <row r="9" spans="2:8">
      <c r="B9" s="205" t="s">
        <v>186</v>
      </c>
      <c r="C9" s="348">
        <f>BS!H42</f>
        <v>625.79999999999995</v>
      </c>
      <c r="D9" t="str">
        <f>Reporting_currency</f>
        <v>USD</v>
      </c>
      <c r="E9" s="375"/>
      <c r="F9" s="375"/>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5"/>
      <c r="F6" s="375"/>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-24.27</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77"/>
      <c r="H7" s="247">
        <v>4</v>
      </c>
      <c r="I7" s="124" t="str">
        <f t="shared" si="0"/>
        <v/>
      </c>
    </row>
    <row r="8" spans="2:9">
      <c r="B8" s="100" t="s">
        <v>64</v>
      </c>
      <c r="C8" s="338">
        <f>Normalized_FCF!G19</f>
        <v>1080</v>
      </c>
      <c r="D8" t="str">
        <f>Reporting_currency</f>
        <v>USD</v>
      </c>
      <c r="E8" s="377"/>
      <c r="F8" s="377"/>
      <c r="H8" s="247">
        <v>5</v>
      </c>
      <c r="I8" s="124" t="str">
        <f t="shared" si="0"/>
        <v/>
      </c>
    </row>
    <row r="9" spans="2:9">
      <c r="B9" s="100" t="s">
        <v>55</v>
      </c>
      <c r="C9" s="338">
        <f>Normalized_FCF!C19</f>
        <v>1543.9196817753634</v>
      </c>
      <c r="D9" t="str">
        <f>Reporting_currency</f>
        <v>USD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1.1498217877581318E-4</v>
      </c>
      <c r="D12" s="158"/>
      <c r="E12" s="377"/>
      <c r="F12" s="377"/>
      <c r="H12" s="247">
        <v>9</v>
      </c>
      <c r="I12" s="124" t="str">
        <f t="shared" si="0"/>
        <v/>
      </c>
    </row>
    <row r="13" spans="2:9">
      <c r="B13" s="148" t="s">
        <v>148</v>
      </c>
      <c r="C13" s="158">
        <f ca="1">(Normalized_FCF!G8/OFFSET(Normalized_FCF!G8, 0, $C$4))^(1/$C$4) - 1</f>
        <v>-0.25742105972151286</v>
      </c>
      <c r="E13" s="377"/>
      <c r="F13" s="377"/>
      <c r="H13" s="247">
        <v>10</v>
      </c>
      <c r="I13" s="124" t="str">
        <f t="shared" si="0"/>
        <v/>
      </c>
    </row>
    <row r="14" spans="2:9">
      <c r="B14" s="100" t="s">
        <v>64</v>
      </c>
      <c r="C14" s="158">
        <f ca="1">(Normalized_FCF!G19/OFFSET(Normalized_FCF!G19, 0, $C$4))^(1/$C$4) - 1</f>
        <v>-0.3351523510141251</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24.27</v>
      </c>
      <c r="D21" t="str">
        <f>Market_currency</f>
        <v>USD</v>
      </c>
      <c r="E21" s="378"/>
      <c r="F21" s="378"/>
    </row>
    <row r="22" spans="2:6">
      <c r="B22" s="100" t="s">
        <v>273</v>
      </c>
      <c r="C22" s="160">
        <f>IF(valuation_method="DCF",DCF!C12,DDM!C7)</f>
        <v>30.39095481513823</v>
      </c>
      <c r="D22" t="str">
        <f>Market_currency</f>
        <v>USD</v>
      </c>
      <c r="E22" s="378"/>
      <c r="F22" s="378"/>
    </row>
    <row r="24" spans="2:6" ht="13.15">
      <c r="B24" s="159" t="s">
        <v>111</v>
      </c>
      <c r="E24" s="159" t="s">
        <v>145</v>
      </c>
      <c r="F24" s="159"/>
    </row>
    <row r="25" spans="2:6">
      <c r="B25" s="152" t="s">
        <v>129</v>
      </c>
      <c r="C25" s="166">
        <f>C18</f>
        <v>10</v>
      </c>
      <c r="D25" s="163"/>
      <c r="E25" s="376"/>
      <c r="F25" s="376"/>
    </row>
    <row r="26" spans="2:6">
      <c r="B26" s="118" t="s">
        <v>130</v>
      </c>
      <c r="C26" s="164">
        <v>1.4999999999999999E-2</v>
      </c>
      <c r="D26" s="164"/>
      <c r="E26" s="376"/>
      <c r="F26" s="376"/>
    </row>
    <row r="27" spans="2:6">
      <c r="B27" s="100" t="s">
        <v>109</v>
      </c>
      <c r="C27" s="160">
        <f>IF(valuation_method="DCF",DCF!E76,DDM!E71)</f>
        <v>33.236035365323517</v>
      </c>
      <c r="D27" s="160" t="str">
        <f>Market_currency</f>
        <v>USD</v>
      </c>
      <c r="E27" s="376"/>
      <c r="F27" s="376"/>
    </row>
    <row r="28" spans="2:6">
      <c r="B28" s="100" t="s">
        <v>143</v>
      </c>
      <c r="C28" s="165">
        <v>0.5</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-0.01</v>
      </c>
      <c r="D32" s="164"/>
      <c r="E32" s="376"/>
      <c r="F32" s="376"/>
    </row>
    <row r="33" spans="2:6">
      <c r="B33" s="100" t="s">
        <v>109</v>
      </c>
      <c r="C33" s="160">
        <f>IF(valuation_method="DCF",DCF!E77,DDM!E72)</f>
        <v>28.601780673645852</v>
      </c>
      <c r="D33" t="str">
        <f>Market_currency</f>
        <v>USD</v>
      </c>
      <c r="E33" s="376"/>
      <c r="F33" s="376"/>
    </row>
    <row r="34" spans="2:6">
      <c r="B34" s="100" t="s">
        <v>143</v>
      </c>
      <c r="C34" s="165">
        <v>0.25</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3.5000000000000003E-2</v>
      </c>
      <c r="D38" s="164"/>
      <c r="E38" s="376"/>
      <c r="F38" s="376"/>
    </row>
    <row r="39" spans="2:6">
      <c r="B39" s="100" t="s">
        <v>109</v>
      </c>
      <c r="C39" s="160">
        <f>IF(valuation_method="DCF",DCF!E75,DDM!E70)</f>
        <v>37.357649019369674</v>
      </c>
      <c r="D39" t="str">
        <f>Market_currency</f>
        <v>USD</v>
      </c>
      <c r="E39" s="376"/>
      <c r="F39" s="376"/>
    </row>
    <row r="40" spans="2:6">
      <c r="B40" s="100" t="s">
        <v>143</v>
      </c>
      <c r="C40" s="167">
        <f>1-C28-C34</f>
        <v>0.25</v>
      </c>
      <c r="D40" s="165"/>
      <c r="E40" s="376"/>
      <c r="F40" s="376"/>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-0.05</v>
      </c>
      <c r="D50" s="164"/>
      <c r="E50" s="376"/>
      <c r="F50" s="376"/>
    </row>
    <row r="51" spans="2:6">
      <c r="B51" s="100" t="s">
        <v>109</v>
      </c>
      <c r="C51" s="160">
        <f>IF(valuation_method="DCF",DCF!E78,DDM!E73)</f>
        <v>18.344294236762746</v>
      </c>
      <c r="D51" t="str">
        <f>Market_currency</f>
        <v>USD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5.5E-2</v>
      </c>
      <c r="D56" s="164"/>
      <c r="E56" s="376"/>
      <c r="F56" s="376"/>
    </row>
    <row r="57" spans="2:6">
      <c r="B57" s="100" t="s">
        <v>109</v>
      </c>
      <c r="C57" s="160">
        <f>IF(valuation_method="DCF",DCF!E74,DDM!E69)</f>
        <v>50.317191361448984</v>
      </c>
      <c r="D57" t="str">
        <f>Market_currency</f>
        <v>USD</v>
      </c>
      <c r="E57" s="376"/>
      <c r="F57" s="376"/>
    </row>
    <row r="58" spans="2:6">
      <c r="B58" s="100" t="s">
        <v>143</v>
      </c>
      <c r="C58" s="165">
        <v>0.05</v>
      </c>
      <c r="D58" s="165"/>
      <c r="E58" s="376"/>
      <c r="F58" s="376"/>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24.27</v>
      </c>
      <c r="D86" t="str">
        <f>Market_currency</f>
        <v>USD</v>
      </c>
    </row>
    <row r="87" spans="2:8" ht="13.15">
      <c r="B87" s="100" t="s">
        <v>293</v>
      </c>
      <c r="C87" s="237">
        <f ca="1">IRR(OFFSET($I$3, 0, 0, $C$76 + 1, 1))</f>
        <v>0.125910335738461</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