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025E51A-AB72-4CD3-A70E-1266FEDAF65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C25" i="4" l="1"/>
  <c r="E85" i="2"/>
  <c r="E86" i="2"/>
  <c r="C83" i="2"/>
  <c r="C78" i="2"/>
  <c r="C66" i="2"/>
  <c r="C67" i="2"/>
  <c r="C68" i="2"/>
  <c r="C53" i="2"/>
  <c r="C54" i="2"/>
  <c r="C33" i="2"/>
  <c r="C34" i="2"/>
  <c r="C28" i="2"/>
  <c r="C29" i="2"/>
  <c r="C4" i="2"/>
  <c r="C21" i="3"/>
  <c r="C23" i="3"/>
  <c r="C7" i="4"/>
  <c r="C6" i="4" s="1"/>
  <c r="D7" i="4"/>
  <c r="D6" i="4" s="1"/>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<sst xmlns="http://schemas.openxmlformats.org/spreadsheetml/2006/main" count="836" uniqueCount="560">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</sst>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D4274F09-E7B7-4EF6-8786-461D4D972C0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338656000</v>
          </cell>
        </row>
        <row r="12">
          <cell r="C12">
            <v>21.62</v>
          </cell>
        </row>
        <row r="13">
          <cell r="C13" t="str">
            <v>USD</v>
          </cell>
        </row>
        <row r="16">
          <cell r="C16">
            <v>1</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0.3</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30" sqref="C30"/>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23.64</v>
      </c>
      <c r="D12" s="50"/>
      <c r="E12" s="48"/>
    </row>
    <row r="13" spans="1:10">
      <c r="B13" s="1" t="s">
        <v>464</v>
      </c>
      <c r="C13" s="48" t="s">
        <v>555</v>
      </c>
      <c r="D13" s="48"/>
      <c r="E13" s="5"/>
    </row>
    <row r="14" spans="1:10">
      <c r="B14" s="4" t="s">
        <v>465</v>
      </c>
      <c r="C14" s="35">
        <f>Thesis!C12*Common_Shares/1000000</f>
        <v>8005.8278399999999</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33.245001875234657</v>
      </c>
      <c r="D26" s="1" t="s">
        <v>380</v>
      </c>
      <c r="E26" s="301">
        <f ca="1">Scenarios!C87</f>
        <v>0.13140279900680429</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14.005438973829049</v>
      </c>
      <c r="D29" s="310" t="str">
        <f>D149</f>
        <v/>
      </c>
      <c r="E29" s="306" t="s">
        <v>400</v>
      </c>
      <c r="F29" s="302">
        <v>0.35</v>
      </c>
    </row>
    <row r="30" spans="2:6">
      <c r="B30" s="1" t="s">
        <v>402</v>
      </c>
      <c r="C30" s="311">
        <f>C157</f>
        <v>17.589207488120145</v>
      </c>
      <c r="D30" s="311" t="str">
        <f>D157</f>
        <v/>
      </c>
      <c r="E30" s="307" t="s">
        <v>413</v>
      </c>
      <c r="F30" s="312">
        <v>0.25</v>
      </c>
    </row>
    <row r="31" spans="2:6">
      <c r="B31" s="1" t="s">
        <v>403</v>
      </c>
      <c r="C31" s="311">
        <f>C165</f>
        <v>27.517314961638828</v>
      </c>
      <c r="D31" s="311" t="str">
        <f>D165</f>
        <v/>
      </c>
      <c r="E31" s="307" t="s">
        <v>412</v>
      </c>
      <c r="F31" s="312">
        <v>7.4999999999999997E-2</v>
      </c>
    </row>
    <row r="32" spans="2:6">
      <c r="B32" s="1" t="s">
        <v>404</v>
      </c>
      <c r="C32" s="311">
        <f>C173</f>
        <v>24.530440005494061</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2626.9774440472893</v>
      </c>
      <c r="D41" s="1" t="str">
        <f>Reporting_currency</f>
        <v>USD</v>
      </c>
    </row>
    <row r="42" spans="1:6">
      <c r="B42" s="47"/>
      <c r="C42" s="76"/>
    </row>
    <row r="43" spans="1:6" ht="24.6" customHeight="1">
      <c r="B43" s="373" t="s">
        <v>229</v>
      </c>
      <c r="C43" s="373"/>
      <c r="D43" s="373"/>
      <c r="E43" s="373"/>
      <c r="F43" s="373"/>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3" t="s">
        <v>232</v>
      </c>
      <c r="C47" s="373"/>
      <c r="D47" s="373"/>
      <c r="E47" s="373"/>
      <c r="F47" s="373"/>
    </row>
    <row r="48" spans="1:6">
      <c r="B48" s="47" t="s">
        <v>233</v>
      </c>
      <c r="C48" s="349">
        <f>Normalized_FCF!C11</f>
        <v>0</v>
      </c>
      <c r="D48" s="1" t="str">
        <f>Reporting_currency</f>
        <v>USD</v>
      </c>
    </row>
    <row r="50" spans="2:6">
      <c r="B50" s="373" t="s">
        <v>236</v>
      </c>
      <c r="C50" s="373"/>
      <c r="D50" s="373"/>
      <c r="E50" s="373"/>
      <c r="F50" s="373"/>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3" t="s">
        <v>237</v>
      </c>
      <c r="C58" s="373"/>
      <c r="D58" s="373"/>
      <c r="E58" s="373"/>
      <c r="F58" s="373"/>
    </row>
    <row r="59" spans="2:6">
      <c r="B59" s="47" t="s">
        <v>235</v>
      </c>
      <c r="C59" s="349">
        <f>Normalized_FCF!C14</f>
        <v>-532.74436101182232</v>
      </c>
      <c r="D59" s="1" t="str">
        <f>Reporting_currency</f>
        <v>USD</v>
      </c>
    </row>
    <row r="61" spans="2:6">
      <c r="B61" s="373" t="s">
        <v>329</v>
      </c>
      <c r="C61" s="374"/>
      <c r="D61" s="374"/>
      <c r="E61" s="374"/>
      <c r="F61" s="374"/>
    </row>
    <row r="62" spans="2:6">
      <c r="B62" s="47" t="s">
        <v>238</v>
      </c>
      <c r="C62" s="349">
        <f>Normalized_FCF!C17</f>
        <v>0</v>
      </c>
      <c r="D62" s="1" t="str">
        <f>Reporting_currency</f>
        <v>USD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0.19284947323765625</v>
      </c>
      <c r="F69" s="314"/>
    </row>
    <row r="70" spans="1:6">
      <c r="B70" s="227" t="s">
        <v>434</v>
      </c>
      <c r="C70" s="92">
        <f>Normalized_FCF!C94</f>
        <v>1.2303891708967849E-2</v>
      </c>
      <c r="E70" s="47" t="s">
        <v>424</v>
      </c>
      <c r="F70" s="315">
        <f>Normalized_FCF!C92</f>
        <v>9.1143563218383905E-2</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-367.29090808939259</v>
      </c>
      <c r="D109" s="1" t="str">
        <f>Reporting_currency</f>
        <v>USD</v>
      </c>
    </row>
    <row r="110" spans="2:6">
      <c r="B110" s="47" t="s">
        <v>277</v>
      </c>
      <c r="C110" s="223">
        <f>C109*scaling_factor*Exchange_Rate/Common_Shares</f>
        <v>-1.0845545571003987</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2" t="s">
        <v>352</v>
      </c>
      <c r="C116" s="372"/>
      <c r="D116" s="372"/>
      <c r="E116" s="372"/>
      <c r="F116" s="372"/>
    </row>
    <row r="118" spans="1:6">
      <c r="B118" s="47" t="s">
        <v>425</v>
      </c>
      <c r="C118" s="223">
        <f>IF(valuation_method="DCF",DCF!C12,DDM!C7)</f>
        <v>30.405794815138226</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50.33 USD</v>
      </c>
      <c r="F126" s="232">
        <f>DCF!F74</f>
        <v>0.05</v>
      </c>
    </row>
    <row r="127" spans="1:6">
      <c r="B127" s="218" t="str">
        <f>DCF!B75</f>
        <v>Optimistic</v>
      </c>
      <c r="C127" s="219">
        <f>DCF!C75</f>
        <v>3.5000000000000003E-2</v>
      </c>
      <c r="D127" s="220">
        <f>DCF!D75</f>
        <v>10</v>
      </c>
      <c r="E127" s="231" t="str">
        <f>ROUND(IF(valuation_method="DCF",DCF!E75,DDM!E70),2)&amp;" "&amp;Market_currency</f>
        <v>37.37 USD</v>
      </c>
      <c r="F127" s="221">
        <f>DCF!F75</f>
        <v>0.22499999999999998</v>
      </c>
    </row>
    <row r="128" spans="1:6">
      <c r="B128" s="218" t="str">
        <f>DCF!B76</f>
        <v>Base</v>
      </c>
      <c r="C128" s="219">
        <f>DCF!C76</f>
        <v>1.4999999999999999E-2</v>
      </c>
      <c r="D128" s="220">
        <f>DCF!D76</f>
        <v>10</v>
      </c>
      <c r="E128" s="231" t="str">
        <f>ROUND(IF(valuation_method="DCF",DCF!E76,DDM!E71),2)&amp;" "&amp;Market_currency</f>
        <v>33.25 USD</v>
      </c>
      <c r="F128" s="221">
        <f>DCF!F76</f>
        <v>0.44999999999999996</v>
      </c>
    </row>
    <row r="129" spans="1:6">
      <c r="B129" s="218" t="str">
        <f>DCF!B77</f>
        <v>Pessimistic</v>
      </c>
      <c r="C129" s="219">
        <f>DCF!C77</f>
        <v>-0.01</v>
      </c>
      <c r="D129" s="220">
        <f>DCF!D77</f>
        <v>10</v>
      </c>
      <c r="E129" s="231" t="str">
        <f>ROUND(IF(valuation_method="DCF",DCF!E77,DDM!E72),2)&amp;" "&amp;Market_currency</f>
        <v>28.62 USD</v>
      </c>
      <c r="F129" s="221">
        <f>DCF!F77</f>
        <v>0.22499999999999998</v>
      </c>
    </row>
    <row r="130" spans="1:6">
      <c r="B130" s="218" t="str">
        <f>DCF!B78</f>
        <v>Devil's advocate</v>
      </c>
      <c r="C130" s="219">
        <f>DCF!C78</f>
        <v>-0.05</v>
      </c>
      <c r="D130" s="220">
        <f>DCF!D78</f>
        <v>15</v>
      </c>
      <c r="E130" s="231" t="str">
        <f>ROUND(IF(valuation_method="DCF",DCF!E78,DDM!E73),2)&amp;" "&amp;Market_currency</f>
        <v>18.36 USD</v>
      </c>
      <c r="F130" s="221">
        <f>DCF!F78</f>
        <v>0.05</v>
      </c>
    </row>
    <row r="132" spans="1:6">
      <c r="B132" s="211" t="s">
        <v>254</v>
      </c>
      <c r="C132" s="217">
        <f>Scenarios!C60</f>
        <v>33.245001875234657</v>
      </c>
      <c r="D132" s="212" t="str">
        <f>Market_currency</f>
        <v>USD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0.29086399999999996</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0.49327035106437028</v>
      </c>
    </row>
    <row r="148" spans="2:4">
      <c r="B148" s="212" t="str">
        <f>"+ PV(Equity Value realized at year "&amp;C141&amp;")"</f>
        <v>+ PV(Equity Value realized at year 3)</v>
      </c>
      <c r="C148" s="216">
        <f>Scenarios!C82</f>
        <v>13.51216862276468</v>
      </c>
    </row>
    <row r="149" spans="2:4">
      <c r="B149" s="80" t="s">
        <v>256</v>
      </c>
      <c r="C149" s="215">
        <f>Scenarios!C83</f>
        <v>14.005438973829049</v>
      </c>
      <c r="D149" s="300" t="str">
        <f>IF($D$11="","",C149*$E$25)</f>
        <v/>
      </c>
    </row>
    <row r="150" spans="2:4">
      <c r="B150" s="259" t="s">
        <v>395</v>
      </c>
      <c r="C150" s="298" t="str">
        <f>Market_currency</f>
        <v>USD</v>
      </c>
      <c r="D150" s="298" t="str">
        <f>IF($D$11="","",D$13)</f>
        <v/>
      </c>
    </row>
    <row r="151" spans="2:4">
      <c r="B151" s="214" t="s">
        <v>258</v>
      </c>
      <c r="C151" s="92">
        <f>Scenarios!F83</f>
        <v>0.57872046371391006</v>
      </c>
    </row>
    <row r="153" spans="2:4">
      <c r="B153" s="210" t="s">
        <v>391</v>
      </c>
    </row>
    <row r="154" spans="2:4">
      <c r="B154" s="1" t="s">
        <v>390</v>
      </c>
      <c r="C154" s="297">
        <f>Scenarios!C90</f>
        <v>0.25</v>
      </c>
    </row>
    <row r="155" spans="2:4">
      <c r="B155" s="212" t="str">
        <f>"PV("&amp;C141&amp;" yrs of Dividends)"</f>
        <v>PV(3 yrs of Dividends)</v>
      </c>
      <c r="C155" s="216">
        <f>Scenarios!C91</f>
        <v>0.56776652799999983</v>
      </c>
    </row>
    <row r="156" spans="2:4">
      <c r="B156" s="212" t="str">
        <f>"+ PV(Equity Value realized at year "&amp;C141&amp;")"</f>
        <v>+ PV(Equity Value realized at year 3)</v>
      </c>
      <c r="C156" s="216">
        <f>Scenarios!C92</f>
        <v>17.021440960120145</v>
      </c>
    </row>
    <row r="157" spans="2:4">
      <c r="B157" s="80" t="s">
        <v>256</v>
      </c>
      <c r="C157" s="215">
        <f>Scenarios!C93</f>
        <v>17.589207488120145</v>
      </c>
      <c r="D157" s="300" t="str">
        <f>IF($D$11="","",C157*$E$25)</f>
        <v/>
      </c>
    </row>
    <row r="158" spans="2:4">
      <c r="B158" s="259" t="s">
        <v>395</v>
      </c>
      <c r="C158" s="298" t="str">
        <f>Market_currency</f>
        <v>USD</v>
      </c>
      <c r="D158" s="298" t="str">
        <f>IF($D$11="","",D$13)</f>
        <v/>
      </c>
    </row>
    <row r="159" spans="2:4">
      <c r="B159" s="214" t="s">
        <v>258</v>
      </c>
      <c r="C159" s="92">
        <f>Scenarios!F93</f>
        <v>0.47092174775231554</v>
      </c>
    </row>
    <row r="161" spans="2:4">
      <c r="B161" s="210" t="s">
        <v>381</v>
      </c>
    </row>
    <row r="162" spans="2:4">
      <c r="B162" s="1" t="s">
        <v>389</v>
      </c>
      <c r="C162" s="92">
        <f>Scenarios!C96</f>
        <v>7.4999999999999997E-2</v>
      </c>
    </row>
    <row r="163" spans="2:4">
      <c r="B163" s="212" t="str">
        <f>"PV("&amp;C141&amp;" yrs of Dividends)"</f>
        <v>PV(3 yrs of Dividends)</v>
      </c>
      <c r="C163" s="216">
        <f>Scenarios!C97</f>
        <v>0.75639931880211753</v>
      </c>
    </row>
    <row r="164" spans="2:4">
      <c r="B164" s="212" t="str">
        <f>"+ PV(Equity Value realized at year "&amp;C141&amp;")"</f>
        <v>+ PV(Equity Value realized at year 3)</v>
      </c>
      <c r="C164" s="216">
        <f>Scenarios!C98</f>
        <v>26.760915642836711</v>
      </c>
    </row>
    <row r="165" spans="2:4">
      <c r="B165" s="80" t="s">
        <v>382</v>
      </c>
      <c r="C165" s="215">
        <f>Scenarios!C99</f>
        <v>27.517314961638828</v>
      </c>
      <c r="D165" s="300" t="str">
        <f>IF($D$11="","",C165*$E$25)</f>
        <v/>
      </c>
    </row>
    <row r="166" spans="2:4">
      <c r="B166" s="259" t="s">
        <v>395</v>
      </c>
      <c r="C166" s="298" t="str">
        <f>Market_currency</f>
        <v>USD</v>
      </c>
      <c r="D166" s="298" t="str">
        <f>IF($D$11="","",D$13)</f>
        <v/>
      </c>
    </row>
    <row r="167" spans="2:4">
      <c r="B167" s="214" t="s">
        <v>258</v>
      </c>
      <c r="C167" s="92">
        <f>Scenarios!F99</f>
        <v>0.17228715868602729</v>
      </c>
    </row>
    <row r="169" spans="2:4">
      <c r="B169" s="210" t="s">
        <v>408</v>
      </c>
    </row>
    <row r="170" spans="2:4">
      <c r="B170" s="1" t="s">
        <v>399</v>
      </c>
      <c r="C170" s="92">
        <f>F32</f>
        <v>0.1174</v>
      </c>
    </row>
    <row r="171" spans="2:4">
      <c r="B171" s="212" t="str">
        <f>"PV("&amp;C141&amp;" yrs of Dividends)"</f>
        <v>PV(3 yrs of Dividends)</v>
      </c>
      <c r="C171" s="216">
        <f>Scenarios!C103</f>
        <v>0.70173939562301912</v>
      </c>
    </row>
    <row r="172" spans="2:4">
      <c r="B172" s="212" t="str">
        <f>"+ PV(Equity Value realized at year "&amp;C141&amp;")"</f>
        <v>+ PV(Equity Value realized at year 3)</v>
      </c>
      <c r="C172" s="216">
        <f>Scenarios!C104</f>
        <v>23.828700609871042</v>
      </c>
    </row>
    <row r="173" spans="2:4">
      <c r="B173" s="80" t="s">
        <v>382</v>
      </c>
      <c r="C173" s="215">
        <f>Scenarios!C105</f>
        <v>24.530440005494061</v>
      </c>
      <c r="D173" s="300" t="str">
        <f>IF($D$11="","",C173*$E$25)</f>
        <v/>
      </c>
    </row>
    <row r="174" spans="2:4">
      <c r="B174" s="259" t="s">
        <v>395</v>
      </c>
      <c r="C174" s="298" t="str">
        <f>Market_currency</f>
        <v>USD</v>
      </c>
      <c r="D174" s="298" t="str">
        <f>IF($D$11="","",D$13)</f>
        <v/>
      </c>
    </row>
    <row r="175" spans="2:4">
      <c r="B175" s="214" t="s">
        <v>258</v>
      </c>
      <c r="C175" s="92">
        <f>Scenarios!F105</f>
        <v>0.2620865276768688</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(0.27+0.27+0.027+0.0266)*0.7</f>
        <v>0.41552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0.41552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-367.29090808939259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-575.30986175999999</v>
      </c>
      <c r="D73" s="349">
        <f>(Normalized_FCF!C25+Normalized_FCF!C35-Normalized_FCF!C91)/12</f>
        <v>-529.29090808939259</v>
      </c>
      <c r="F73" s="1" t="s">
        <v>342</v>
      </c>
    </row>
    <row r="74" spans="2:6" ht="15" customHeight="1">
      <c r="B74" s="257" t="s">
        <v>312</v>
      </c>
      <c r="C74" s="258">
        <f>-$C$66/C73</f>
        <v>0.28158738580354975</v>
      </c>
      <c r="D74" s="258">
        <f>-$C$66/D73</f>
        <v>0.30606987107482986</v>
      </c>
      <c r="F74" s="253" t="s">
        <v>310</v>
      </c>
    </row>
    <row r="75" spans="2:6" ht="15" customHeight="1">
      <c r="B75" s="80" t="s">
        <v>311</v>
      </c>
      <c r="C75" s="320"/>
      <c r="D75" s="321">
        <f>MAX(-D73*D76,G5)</f>
        <v>529.29090808939259</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-367.29090808939259</v>
      </c>
      <c r="D87" s="223">
        <f>C87*scaling_factor/Common_Shares</f>
        <v>-1.0845545571003987</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-10288.490908089394</v>
      </c>
      <c r="D89" s="242">
        <f>SUM(D86:D88)</f>
        <v>-30.380359149371017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0.41552</v>
      </c>
      <c r="E90" s="268"/>
      <c r="G90" s="112">
        <f>Data!C65</f>
        <v>0.41552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140.71834111999999</v>
      </c>
      <c r="E91" s="268"/>
      <c r="G91" s="74">
        <f t="shared" ref="G91:Q91" si="37">IF(G$4="","",G90*Common_Shares/scaling_factor)</f>
        <v>140.71834111999999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9.1143563218383905E-2</v>
      </c>
      <c r="E92" s="268"/>
      <c r="G92" s="170">
        <f t="shared" ref="G92:Q92" si="38">IF(G$4="","",G90/(G19*scaling_factor/Common_Shares))</f>
        <v>0.1302947602962963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1.2303891708967849E-2</v>
      </c>
      <c r="E94" s="268"/>
      <c r="G94" s="23">
        <f t="shared" ref="G94:Q94" si="39">IF(G$4="","",(G90*(1-dividend_tax_rate))/Market_Price)</f>
        <v>1.2303891708967849E-2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0.19284947323765625</v>
      </c>
      <c r="D126" s="27"/>
      <c r="E126" s="265"/>
      <c r="F126" s="27"/>
      <c r="G126" s="77">
        <f t="shared" ref="G126" si="50">IF(G$4="","",G125/Market_Price)</f>
        <v>0.13490172679006796</v>
      </c>
      <c r="H126" s="77">
        <f t="shared" ref="H126" si="51">IF(H$4="","",H125/Market_Price)</f>
        <v>0.11379210472754807</v>
      </c>
      <c r="I126" s="77">
        <f t="shared" ref="I126" si="52">IF(I$4="","",I125/Market_Price)</f>
        <v>0.42581480243272379</v>
      </c>
      <c r="J126" s="77">
        <f t="shared" ref="J126" si="53">IF(J$4="","",J125/Market_Price)</f>
        <v>0.4590405981050924</v>
      </c>
      <c r="K126" s="77">
        <f t="shared" ref="K126" si="54">IF(K$4="","",K125/Market_Price)</f>
        <v>0.4221924412503979</v>
      </c>
      <c r="L126" s="77">
        <f t="shared" ref="L126" si="55">IF(L$4="","",L125/Market_Price)</f>
        <v>0.4614138692245473</v>
      </c>
      <c r="M126" s="77">
        <f t="shared" ref="M126" si="56">IF(M$4="","",M125/Market_Price)</f>
        <v>0.35815559081520293</v>
      </c>
      <c r="N126" s="77">
        <f t="shared" ref="N126" si="57">IF(N$4="","",N125/Market_Price)</f>
        <v>0.29491341147800648</v>
      </c>
      <c r="O126" s="77">
        <f t="shared" ref="O126" si="58">IF(O$4="","",O125/Market_Price)</f>
        <v>0.29315406812445277</v>
      </c>
      <c r="P126" s="77">
        <f t="shared" ref="P126" si="59">IF(P$4="","",P125/Market_Price)</f>
        <v>0.25550774271958365</v>
      </c>
      <c r="Q126" s="77" t="str">
        <f t="shared" ref="Q126" si="60">IF(Q$4="","",Q125/Market_Price)</f>
        <v/>
      </c>
    </row>
    <row r="127" spans="1:17" ht="15.75" customHeight="1">
      <c r="B127" s="2" t="s">
        <v>375</v>
      </c>
      <c r="C127" s="169"/>
      <c r="G127" s="23">
        <f>IF(G$4="","",(Data!C47*$C$3)/(Market_Price*Common_Shares))</f>
        <v>-0.25918618804573246</v>
      </c>
      <c r="H127" s="23">
        <f>IF(H$4="","",(Data!D47*$C$3)/(Market_Price*Common_Shares))</f>
        <v>0.15713552990917176</v>
      </c>
      <c r="I127" s="23">
        <f>IF(I$4="","",(Data!E47*$C$3)/(Market_Price*Common_Shares))</f>
        <v>0.15151462462625226</v>
      </c>
      <c r="J127" s="23">
        <f>IF(J$4="","",(Data!F47*$C$3)/(Market_Price*Common_Shares))</f>
        <v>0.16413043426124937</v>
      </c>
      <c r="K127" s="23">
        <f>IF(K$4="","",(Data!G47*$C$3)/(Market_Price*Common_Shares))</f>
        <v>1.6363079823610096E-2</v>
      </c>
      <c r="L127" s="23">
        <f>IF(L$4="","",(Data!H47*$C$3)/(Market_Price*Common_Shares))</f>
        <v>0.11416683174640938</v>
      </c>
      <c r="M127" s="23">
        <f>IF(M$4="","",(Data!I47*$C$3)/(Market_Price*Common_Shares))</f>
        <v>0.14687962612995684</v>
      </c>
      <c r="N127" s="23">
        <f>IF(N$4="","",(Data!J47*$C$3)/(Market_Price*Common_Shares))</f>
        <v>8.0929544445462367E-2</v>
      </c>
      <c r="O127" s="23">
        <f>IF(O$4="","",(Data!K47*$C$3)/(Market_Price*Common_Shares))</f>
        <v>9.3173749786755342E-2</v>
      </c>
      <c r="P127" s="23">
        <f>IF(P$4="","",(Data!L47*$C$3)/(Market_Price*Common_Shares))</f>
        <v>6.3669118320685752E-2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-367.29090808939259</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10297.104848915451</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30.405794815138226</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33.242976210024011</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30.405794815138226</v>
      </c>
      <c r="C65" s="124">
        <f>C12</f>
        <v>30.405794815138226</v>
      </c>
      <c r="D65" s="124">
        <f>C12</f>
        <v>30.405794815138226</v>
      </c>
      <c r="E65" s="141">
        <f>C12</f>
        <v>30.405794815138226</v>
      </c>
      <c r="F65" s="124">
        <f>C12</f>
        <v>30.405794815138226</v>
      </c>
      <c r="H65" s="120"/>
    </row>
    <row r="66" spans="1:8" ht="13.15">
      <c r="A66" s="143">
        <f t="shared" ref="A66:A71" si="3">A56</f>
        <v>5</v>
      </c>
      <c r="B66" s="124">
        <f t="shared" ref="B66:F71" si="4">(B56-$C$7+$C$8+$C$9)/Common_Shares*$C$3*Exchange_Rate</f>
        <v>25.817044377309447</v>
      </c>
      <c r="C66" s="124">
        <f t="shared" si="4"/>
        <v>29.462321848077046</v>
      </c>
      <c r="D66" s="124">
        <f t="shared" si="4"/>
        <v>31.846294832907038</v>
      </c>
      <c r="E66" s="124">
        <f t="shared" si="4"/>
        <v>33.815741087079338</v>
      </c>
      <c r="F66" s="124">
        <f t="shared" si="4"/>
        <v>35.843185172558933</v>
      </c>
      <c r="H66" s="120"/>
    </row>
    <row r="67" spans="1:8" ht="13.15">
      <c r="A67" s="143">
        <f t="shared" si="3"/>
        <v>10</v>
      </c>
      <c r="B67" s="124">
        <f t="shared" si="4"/>
        <v>22.220770269579635</v>
      </c>
      <c r="C67" s="124">
        <f t="shared" si="4"/>
        <v>28.616620673645851</v>
      </c>
      <c r="D67" s="124">
        <f t="shared" si="4"/>
        <v>33.250875365323516</v>
      </c>
      <c r="E67" s="124">
        <f t="shared" si="4"/>
        <v>37.372489019369674</v>
      </c>
      <c r="F67" s="124">
        <f t="shared" si="4"/>
        <v>41.910394925090024</v>
      </c>
      <c r="H67" s="120"/>
    </row>
    <row r="68" spans="1:8" ht="13.15">
      <c r="A68" s="143">
        <f t="shared" si="3"/>
        <v>15</v>
      </c>
      <c r="B68" s="124">
        <f t="shared" si="4"/>
        <v>18.359134236762745</v>
      </c>
      <c r="C68" s="124">
        <f t="shared" si="4"/>
        <v>27.622186582290844</v>
      </c>
      <c r="D68" s="124">
        <f t="shared" si="4"/>
        <v>35.006882205318831</v>
      </c>
      <c r="E68" s="124">
        <f t="shared" si="4"/>
        <v>42.0534343986767</v>
      </c>
      <c r="F68" s="124">
        <f t="shared" si="4"/>
        <v>50.332031361448983</v>
      </c>
      <c r="H68" s="120"/>
    </row>
    <row r="69" spans="1:8" ht="13.15">
      <c r="A69" s="144">
        <f t="shared" si="3"/>
        <v>20</v>
      </c>
      <c r="B69" s="124">
        <f t="shared" si="4"/>
        <v>14.938081992320429</v>
      </c>
      <c r="C69" s="124">
        <f t="shared" si="4"/>
        <v>26.660990441652128</v>
      </c>
      <c r="D69" s="124">
        <f t="shared" si="4"/>
        <v>36.813573959469601</v>
      </c>
      <c r="E69" s="124">
        <f t="shared" si="4"/>
        <v>47.136896246823071</v>
      </c>
      <c r="F69" s="124">
        <f t="shared" si="4"/>
        <v>60.017642066383772</v>
      </c>
      <c r="H69" s="120"/>
    </row>
    <row r="70" spans="1:8" ht="13.15">
      <c r="A70" s="144">
        <f t="shared" si="3"/>
        <v>25</v>
      </c>
      <c r="B70" s="124">
        <f t="shared" si="4"/>
        <v>12.161015548987102</v>
      </c>
      <c r="C70" s="124">
        <f t="shared" si="4"/>
        <v>25.813591515824466</v>
      </c>
      <c r="D70" s="124">
        <f t="shared" si="4"/>
        <v>38.509916656184572</v>
      </c>
      <c r="E70" s="124">
        <f t="shared" si="4"/>
        <v>52.185905553391208</v>
      </c>
      <c r="F70" s="124">
        <f t="shared" si="4"/>
        <v>70.241364238018875</v>
      </c>
    </row>
    <row r="71" spans="1:8" ht="13.15">
      <c r="A71" s="144">
        <f t="shared" si="3"/>
        <v>30</v>
      </c>
      <c r="B71" s="124">
        <f t="shared" si="4"/>
        <v>10.014210831834133</v>
      </c>
      <c r="C71" s="124">
        <f t="shared" si="4"/>
        <v>25.105504135061601</v>
      </c>
      <c r="D71" s="124">
        <f t="shared" si="4"/>
        <v>40.020097190881593</v>
      </c>
      <c r="E71" s="124">
        <f t="shared" si="4"/>
        <v>56.950460883658195</v>
      </c>
      <c r="F71" s="124">
        <f t="shared" si="4"/>
        <v>80.528272618757896</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50.332031361448983</v>
      </c>
      <c r="F74" s="142">
        <f>Scenarios!C58</f>
        <v>0.05</v>
      </c>
    </row>
    <row r="75" spans="1:8">
      <c r="B75" s="127" t="str">
        <f>Scenarios!B36</f>
        <v>Optimistic</v>
      </c>
      <c r="C75" s="142">
        <f>Scenarios!C38</f>
        <v>3.5000000000000003E-2</v>
      </c>
      <c r="D75" s="145">
        <f>Scenarios!C37</f>
        <v>10</v>
      </c>
      <c r="E75" s="135">
        <f>INDEX(B$65:F$71, MATCH(D75, A$65:A$71, 0), MATCH(C75, B$64:F$64, 0))</f>
        <v>37.372489019369674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33.250875365323516</v>
      </c>
      <c r="F76" s="142">
        <f>Scenarios!C28*(1-F$74-F$78)</f>
        <v>0.44999999999999996</v>
      </c>
      <c r="H76" s="120"/>
    </row>
    <row r="77" spans="1:8">
      <c r="B77" s="127" t="str">
        <f>Scenarios!B30</f>
        <v>Pessimistic</v>
      </c>
      <c r="C77" s="142">
        <f>Scenarios!C32</f>
        <v>-0.01</v>
      </c>
      <c r="D77" s="145">
        <f>Scenarios!C31</f>
        <v>10</v>
      </c>
      <c r="E77" s="135">
        <f>INDEX(B$65:F$71, MATCH(D77, A$65:A$71, 0), MATCH(C77, B$64:F$64, 0))</f>
        <v>28.616620673645851</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18.359134236762745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98.502838783999991</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1313.3711837866665</v>
      </c>
      <c r="D6" t="str">
        <f>Reporting_currency</f>
        <v>USD</v>
      </c>
      <c r="E6" s="378"/>
      <c r="F6" s="378"/>
      <c r="H6" s="120"/>
    </row>
    <row r="7" spans="2:8" ht="13.15">
      <c r="B7" s="149" t="s">
        <v>420</v>
      </c>
      <c r="C7" s="111">
        <f>(C6*scaling_factor)/Common_Shares*Exchange_Rate</f>
        <v>3.8781866666666658</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4.0592002419454225</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99.976419998639159</v>
      </c>
      <c r="D16" s="138">
        <f>IF($C$12&lt;B16,0,DDM!$C$11)</f>
        <v>1.49597842339395E-2</v>
      </c>
      <c r="E16" s="124">
        <f t="shared" ref="E16:E45" si="0">IF($C$12&lt;B16,0,1/(1+Equity_Cost)^B16)</f>
        <v>0.93023255813953487</v>
      </c>
      <c r="F16" s="125">
        <f t="shared" ref="F16:F46" si="1">C16*E16</f>
        <v>93.001320928966663</v>
      </c>
      <c r="H16" s="120"/>
    </row>
    <row r="17" spans="2:8">
      <c r="B17" s="122">
        <v>2</v>
      </c>
      <c r="C17" s="123">
        <f t="shared" ref="C17:C45" si="2">IF(ROW()-ROW($C$16)&lt;$C$12, $C$16*(1+D17)^(ROW()-ROW($C$16)), 0)</f>
        <v>101.47204567030052</v>
      </c>
      <c r="D17" s="138">
        <f>IF($C$12&lt;B17,0,DDM!$C$11)</f>
        <v>1.49597842339395E-2</v>
      </c>
      <c r="E17" s="124">
        <f t="shared" si="0"/>
        <v>0.86533261222282321</v>
      </c>
      <c r="F17" s="125">
        <f t="shared" si="1"/>
        <v>87.807070347474763</v>
      </c>
      <c r="H17" s="120"/>
    </row>
    <row r="18" spans="2:8">
      <c r="B18" s="122">
        <v>3</v>
      </c>
      <c r="C18" s="123">
        <f t="shared" si="2"/>
        <v>102.99004557930466</v>
      </c>
      <c r="D18" s="138">
        <f>IF($C$12&lt;B18,0,DDM!$C$11)</f>
        <v>1.49597842339395E-2</v>
      </c>
      <c r="E18" s="124">
        <f t="shared" si="0"/>
        <v>0.80496056950960304</v>
      </c>
      <c r="F18" s="125">
        <f t="shared" si="1"/>
        <v>82.90292574333705</v>
      </c>
      <c r="H18" s="120"/>
    </row>
    <row r="19" spans="2:8">
      <c r="B19" s="122">
        <v>4</v>
      </c>
      <c r="C19" s="123">
        <f t="shared" si="2"/>
        <v>104.53075443941466</v>
      </c>
      <c r="D19" s="138">
        <f>IF($C$12&lt;B19,0,DDM!$C$11)</f>
        <v>1.49597842339395E-2</v>
      </c>
      <c r="E19" s="124">
        <f t="shared" si="0"/>
        <v>0.7488005297763749</v>
      </c>
      <c r="F19" s="125">
        <f t="shared" si="1"/>
        <v>78.272684302157856</v>
      </c>
      <c r="H19" s="120"/>
    </row>
    <row r="20" spans="2:8">
      <c r="B20" s="122">
        <v>5</v>
      </c>
      <c r="C20" s="123">
        <f t="shared" si="2"/>
        <v>106.09451197163921</v>
      </c>
      <c r="D20" s="138">
        <f>IF($C$12&lt;B20,0,DDM!$C$11)</f>
        <v>1.49597842339395E-2</v>
      </c>
      <c r="E20" s="124">
        <f t="shared" si="0"/>
        <v>0.69655863235011617</v>
      </c>
      <c r="F20" s="125">
        <f t="shared" si="1"/>
        <v>73.901048158818028</v>
      </c>
      <c r="H20" s="120"/>
    </row>
    <row r="21" spans="2:8">
      <c r="B21" s="122">
        <v>6</v>
      </c>
      <c r="C21" s="123">
        <f t="shared" si="2"/>
        <v>107.68166297914004</v>
      </c>
      <c r="D21" s="138">
        <f>IF($C$12&lt;B21,0,DDM!$C$11)</f>
        <v>1.49597842339395E-2</v>
      </c>
      <c r="E21" s="124">
        <f t="shared" si="0"/>
        <v>0.64796151846522443</v>
      </c>
      <c r="F21" s="125">
        <f t="shared" si="1"/>
        <v>69.773573854824122</v>
      </c>
      <c r="H21" s="120"/>
    </row>
    <row r="22" spans="2:8">
      <c r="B22" s="122">
        <v>7</v>
      </c>
      <c r="C22" s="123">
        <f t="shared" si="2"/>
        <v>109.29255742325977</v>
      </c>
      <c r="D22" s="138">
        <f>IF($C$12&lt;B22,0,DDM!$C$11)</f>
        <v>1.49597842339395E-2</v>
      </c>
      <c r="E22" s="124">
        <f t="shared" si="0"/>
        <v>0.60275490089788319</v>
      </c>
      <c r="F22" s="125">
        <f t="shared" si="1"/>
        <v>65.876624618533143</v>
      </c>
      <c r="H22" s="120"/>
    </row>
    <row r="23" spans="2:8">
      <c r="B23" s="122">
        <v>8</v>
      </c>
      <c r="C23" s="123">
        <f t="shared" si="2"/>
        <v>110.92755050068719</v>
      </c>
      <c r="D23" s="138">
        <f>IF($C$12&lt;B23,0,DDM!$C$11)</f>
        <v>1.49597842339395E-2</v>
      </c>
      <c r="E23" s="124">
        <f t="shared" si="0"/>
        <v>0.56070223339337966</v>
      </c>
      <c r="F23" s="125">
        <f t="shared" si="1"/>
        <v>62.19732531059222</v>
      </c>
      <c r="H23" s="120"/>
    </row>
    <row r="24" spans="2:8">
      <c r="B24" s="122">
        <v>9</v>
      </c>
      <c r="C24" s="123">
        <f t="shared" si="2"/>
        <v>112.5870027217769</v>
      </c>
      <c r="D24" s="138">
        <f>IF($C$12&lt;B24,0,DDM!$C$11)</f>
        <v>1.49597842339395E-2</v>
      </c>
      <c r="E24" s="124">
        <f t="shared" si="0"/>
        <v>0.52158347292407414</v>
      </c>
      <c r="F24" s="125">
        <f t="shared" si="1"/>
        <v>58.723519885736586</v>
      </c>
      <c r="H24" s="120"/>
    </row>
    <row r="25" spans="2:8">
      <c r="B25" s="122">
        <v>10</v>
      </c>
      <c r="C25" s="123">
        <f t="shared" si="2"/>
        <v>114.27127999004064</v>
      </c>
      <c r="D25" s="138">
        <f>IF($C$12&lt;B25,0,DDM!$C$11)</f>
        <v>1.49597842339395E-2</v>
      </c>
      <c r="E25" s="124">
        <f t="shared" si="0"/>
        <v>0.48519392830146441</v>
      </c>
      <c r="F25" s="125">
        <f t="shared" si="1"/>
        <v>55.443731230404339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1333.0189333151889</v>
      </c>
      <c r="D46" s="139">
        <f>Terminal_Growth</f>
        <v>0</v>
      </c>
      <c r="E46" s="124">
        <f>1/(1+Equity_Cost)^C12</f>
        <v>0.48519392830146441</v>
      </c>
      <c r="F46" s="125">
        <f t="shared" si="1"/>
        <v>646.77269275542426</v>
      </c>
      <c r="H46" s="120"/>
    </row>
    <row r="47" spans="2:8">
      <c r="C47" s="114"/>
      <c r="E47" s="127" t="s">
        <v>97</v>
      </c>
      <c r="F47" s="137">
        <f>SUM(F16:F46)</f>
        <v>1374.6725171362689</v>
      </c>
      <c r="H47" s="120"/>
    </row>
    <row r="48" spans="2:8">
      <c r="C48" s="114"/>
      <c r="H48" s="120"/>
    </row>
    <row r="49" spans="1:8" ht="13.15">
      <c r="B49" s="119" t="s">
        <v>125</v>
      </c>
      <c r="C49" s="136"/>
      <c r="D49" s="136"/>
      <c r="E49" s="117"/>
      <c r="F49" s="117"/>
      <c r="H49" s="120"/>
    </row>
    <row r="50" spans="1:8" ht="13.15">
      <c r="A50" s="133">
        <f>F47</f>
        <v>1374.6725171362689</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1214.2247137179802</v>
      </c>
      <c r="C51" s="123">
        <v>1292.9861104302677</v>
      </c>
      <c r="D51" s="123">
        <v>1344.4952324423248</v>
      </c>
      <c r="E51" s="123">
        <v>1387.0479157352461</v>
      </c>
      <c r="F51" s="123">
        <v>1430.8537245410196</v>
      </c>
      <c r="H51" s="120"/>
    </row>
    <row r="52" spans="1:8" ht="13.15">
      <c r="A52" s="143">
        <v>10</v>
      </c>
      <c r="B52" s="123">
        <v>1136.5221042578032</v>
      </c>
      <c r="C52" s="123">
        <v>1274.7135355073506</v>
      </c>
      <c r="D52" s="123">
        <v>1374.8431896047507</v>
      </c>
      <c r="E52" s="123">
        <v>1463.8965060407018</v>
      </c>
      <c r="F52" s="123">
        <v>1561.9444077847113</v>
      </c>
      <c r="H52" s="120"/>
    </row>
    <row r="53" spans="1:8" ht="13.15">
      <c r="A53" s="143">
        <v>15</v>
      </c>
      <c r="B53" s="123">
        <v>1053.0859735439706</v>
      </c>
      <c r="C53" s="123">
        <v>1253.2273746865278</v>
      </c>
      <c r="D53" s="123">
        <v>1412.784211231628</v>
      </c>
      <c r="E53" s="123">
        <v>1565.0349787535943</v>
      </c>
      <c r="F53" s="123">
        <v>1743.9058232461934</v>
      </c>
      <c r="H53" s="120"/>
    </row>
    <row r="54" spans="1:8" ht="13.15">
      <c r="A54" s="144">
        <v>20</v>
      </c>
      <c r="B54" s="123">
        <v>979.16928128700374</v>
      </c>
      <c r="C54" s="123">
        <v>1232.4593669948599</v>
      </c>
      <c r="D54" s="123">
        <v>1451.8203524106211</v>
      </c>
      <c r="E54" s="123">
        <v>1674.8703914222838</v>
      </c>
      <c r="F54" s="123">
        <v>1953.1771978533816</v>
      </c>
      <c r="H54" s="120"/>
    </row>
    <row r="55" spans="1:8" ht="13.15">
      <c r="A55" s="144">
        <v>25</v>
      </c>
      <c r="B55" s="123">
        <v>919.16681683984598</v>
      </c>
      <c r="C55" s="123">
        <v>1214.1501097419064</v>
      </c>
      <c r="D55" s="123">
        <v>1488.4722454880025</v>
      </c>
      <c r="E55" s="123">
        <v>1783.9614080013066</v>
      </c>
      <c r="F55" s="123">
        <v>2174.0752349146874</v>
      </c>
      <c r="H55" s="120"/>
    </row>
    <row r="56" spans="1:8" ht="13.15">
      <c r="A56" s="144">
        <v>30</v>
      </c>
      <c r="B56" s="123">
        <v>872.78205207298413</v>
      </c>
      <c r="C56" s="123">
        <v>1198.8508762677848</v>
      </c>
      <c r="D56" s="123">
        <v>1521.1018406708895</v>
      </c>
      <c r="E56" s="123">
        <v>1886.9063924460108</v>
      </c>
      <c r="F56" s="123">
        <v>2396.3384997595808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3.8781866666666658</v>
      </c>
      <c r="C60" s="124">
        <f>C7</f>
        <v>3.8781866666666658</v>
      </c>
      <c r="D60" s="124">
        <f>C7</f>
        <v>3.8781866666666658</v>
      </c>
      <c r="E60" s="141">
        <f>C7</f>
        <v>3.8781866666666658</v>
      </c>
      <c r="F60" s="124">
        <f>C7</f>
        <v>3.8781866666666658</v>
      </c>
      <c r="H60" s="120"/>
    </row>
    <row r="61" spans="1:8" ht="13.15">
      <c r="A61" s="143">
        <f t="shared" ref="A61:A66" si="3">A51</f>
        <v>5</v>
      </c>
      <c r="B61" s="124">
        <f t="shared" ref="B61:F66" si="4">B51/Common_Shares*$C$3*Exchange_Rate</f>
        <v>3.5854221207301218</v>
      </c>
      <c r="C61" s="124">
        <f t="shared" si="4"/>
        <v>3.8179926250539418</v>
      </c>
      <c r="D61" s="124">
        <f t="shared" si="4"/>
        <v>3.9700912797715815</v>
      </c>
      <c r="E61" s="124">
        <f t="shared" si="4"/>
        <v>4.095742924192237</v>
      </c>
      <c r="F61" s="124">
        <f t="shared" si="4"/>
        <v>4.2250948589158899</v>
      </c>
      <c r="H61" s="120"/>
    </row>
    <row r="62" spans="1:8" ht="13.15">
      <c r="A62" s="143">
        <f t="shared" si="3"/>
        <v>10</v>
      </c>
      <c r="B62" s="124">
        <f t="shared" si="4"/>
        <v>3.3559780551881651</v>
      </c>
      <c r="C62" s="124">
        <f t="shared" si="4"/>
        <v>3.7640364721350004</v>
      </c>
      <c r="D62" s="124">
        <f t="shared" si="4"/>
        <v>4.0597042119577118</v>
      </c>
      <c r="E62" s="124">
        <f t="shared" si="4"/>
        <v>4.3226652002052282</v>
      </c>
      <c r="F62" s="124">
        <f t="shared" si="4"/>
        <v>4.6121858398631979</v>
      </c>
      <c r="H62" s="120"/>
    </row>
    <row r="63" spans="1:8" ht="13.15">
      <c r="A63" s="143">
        <f t="shared" si="3"/>
        <v>15</v>
      </c>
      <c r="B63" s="124">
        <f t="shared" si="4"/>
        <v>3.109603767669761</v>
      </c>
      <c r="C63" s="124">
        <f t="shared" si="4"/>
        <v>3.7005910856046484</v>
      </c>
      <c r="D63" s="124">
        <f t="shared" si="4"/>
        <v>4.1717383162608312</v>
      </c>
      <c r="E63" s="124">
        <f t="shared" si="4"/>
        <v>4.6213118289756991</v>
      </c>
      <c r="F63" s="124">
        <f t="shared" si="4"/>
        <v>5.1494904069208678</v>
      </c>
      <c r="H63" s="120"/>
    </row>
    <row r="64" spans="1:8" ht="13.15">
      <c r="A64" s="144">
        <f t="shared" si="3"/>
        <v>20</v>
      </c>
      <c r="B64" s="124">
        <f t="shared" si="4"/>
        <v>2.8913389436094556</v>
      </c>
      <c r="C64" s="124">
        <f t="shared" si="4"/>
        <v>3.639266296757949</v>
      </c>
      <c r="D64" s="124">
        <f t="shared" si="4"/>
        <v>4.2870061431382318</v>
      </c>
      <c r="E64" s="124">
        <f t="shared" si="4"/>
        <v>4.9456392074030395</v>
      </c>
      <c r="F64" s="124">
        <f t="shared" si="4"/>
        <v>5.7674371570365839</v>
      </c>
      <c r="H64" s="120"/>
    </row>
    <row r="65" spans="1:8" ht="13.15">
      <c r="A65" s="144">
        <f t="shared" si="3"/>
        <v>25</v>
      </c>
      <c r="B65" s="124">
        <f t="shared" si="4"/>
        <v>2.7141607319517327</v>
      </c>
      <c r="C65" s="124">
        <f t="shared" si="4"/>
        <v>3.5852018264607932</v>
      </c>
      <c r="D65" s="124">
        <f t="shared" si="4"/>
        <v>4.3952336456108929</v>
      </c>
      <c r="E65" s="124">
        <f t="shared" si="4"/>
        <v>5.2677684966494214</v>
      </c>
      <c r="F65" s="124">
        <f t="shared" si="4"/>
        <v>6.4197156846909174</v>
      </c>
    </row>
    <row r="66" spans="1:8" ht="13.15">
      <c r="A66" s="144">
        <f t="shared" si="3"/>
        <v>30</v>
      </c>
      <c r="B66" s="124">
        <f t="shared" si="4"/>
        <v>2.5771935299329822</v>
      </c>
      <c r="C66" s="124">
        <f t="shared" si="4"/>
        <v>3.5400255015939028</v>
      </c>
      <c r="D66" s="124">
        <f t="shared" si="4"/>
        <v>4.4915839101356223</v>
      </c>
      <c r="E66" s="124">
        <f t="shared" si="4"/>
        <v>5.5717494816155941</v>
      </c>
      <c r="F66" s="124">
        <f t="shared" si="4"/>
        <v>7.0760255237160443</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5.1494904069208678</v>
      </c>
      <c r="F69" s="142">
        <f>Scenarios!C58</f>
        <v>0.05</v>
      </c>
    </row>
    <row r="70" spans="1:8">
      <c r="B70" s="127" t="str">
        <f>Scenarios!B36</f>
        <v>Optimistic</v>
      </c>
      <c r="C70" s="142">
        <f>Scenarios!C38</f>
        <v>3.5000000000000003E-2</v>
      </c>
      <c r="D70" s="145">
        <f>Scenarios!C37</f>
        <v>10</v>
      </c>
      <c r="E70" s="135">
        <f>INDEX(B$60:F$66, MATCH(D70, A$60:A$66, 0), MATCH(C70, B$59:F$59, 0))</f>
        <v>4.3226652002052282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4.0597042119577118</v>
      </c>
      <c r="F71" s="142">
        <f>Scenarios!C28*(1-F$69-F$73)</f>
        <v>0.44999999999999996</v>
      </c>
      <c r="H71" s="120"/>
    </row>
    <row r="72" spans="1:8">
      <c r="B72" s="127" t="str">
        <f>Scenarios!B30</f>
        <v>Pessimistic</v>
      </c>
      <c r="C72" s="142">
        <f>Scenarios!C32</f>
        <v>-0.01</v>
      </c>
      <c r="D72" s="145">
        <f>Scenarios!C31</f>
        <v>10</v>
      </c>
      <c r="E72" s="135">
        <f>INDEX(B$60:F$66, MATCH(D72, A$60:A$66, 0), MATCH(C72, B$59:F$59, 0))</f>
        <v>3.7640364721350004</v>
      </c>
      <c r="F72" s="142">
        <f>Scenarios!C34*(1-F$69-F$73)</f>
        <v>0.22499999999999998</v>
      </c>
      <c r="H72" s="120"/>
    </row>
    <row r="73" spans="1:8">
      <c r="B73" s="127" t="str">
        <f>Scenarios!B48</f>
        <v>Devil's advocate</v>
      </c>
      <c r="C73" s="142">
        <f>Scenarios!C50</f>
        <v>-0.05</v>
      </c>
      <c r="D73" s="145">
        <f>Scenarios!C49</f>
        <v>15</v>
      </c>
      <c r="E73" s="135">
        <f>INDEX(B$60:F$66, MATCH(D73, A$60:A$66, 0), MATCH(C73, B$59:F$59, 0))</f>
        <v>3.109603767669761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-23.64</v>
      </c>
    </row>
    <row r="4" spans="2:9">
      <c r="B4" s="152" t="s">
        <v>142</v>
      </c>
      <c r="C4" s="120">
        <v>3</v>
      </c>
      <c r="D4" s="120"/>
      <c r="E4" s="155" t="s">
        <v>146</v>
      </c>
      <c r="F4" s="155"/>
      <c r="H4" s="247">
        <v>1</v>
      </c>
      <c r="I4" s="124">
        <f t="shared" ref="I4:I13" si="0">IF(ROW()-3 &lt; $C$76, $C$77, IF(ROW()-3 = $C$76, $C$77 + $C$60, ""))</f>
        <v>0.29086399999999996</v>
      </c>
    </row>
    <row r="5" spans="2:9">
      <c r="H5" s="247">
        <v>2</v>
      </c>
      <c r="I5" s="124">
        <f t="shared" si="0"/>
        <v>0.29086399999999996</v>
      </c>
    </row>
    <row r="6" spans="2:9" ht="13.15">
      <c r="B6" s="159" t="s">
        <v>92</v>
      </c>
      <c r="C6" s="107">
        <f>DCF!C3</f>
        <v>1000000</v>
      </c>
      <c r="E6" s="100" t="s">
        <v>274</v>
      </c>
      <c r="F6" s="100"/>
      <c r="H6" s="247">
        <v>3</v>
      </c>
      <c r="I6" s="124">
        <f t="shared" si="0"/>
        <v>33.535865875234656</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23.64</v>
      </c>
      <c r="D21" t="str">
        <f>Market_currency</f>
        <v>USD</v>
      </c>
      <c r="E21" s="381"/>
      <c r="F21" s="381"/>
    </row>
    <row r="22" spans="2:6">
      <c r="B22" s="100" t="s">
        <v>273</v>
      </c>
      <c r="C22" s="160">
        <f>IF(valuation_method="DCF",DCF!C12,DDM!C7)</f>
        <v>30.405794815138226</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33.250875365323516</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28.616620673645851</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37.372489019369674</v>
      </c>
      <c r="D39" t="str">
        <f>Market_currency</f>
        <v>USD</v>
      </c>
      <c r="E39" s="379"/>
      <c r="F39" s="379"/>
    </row>
    <row r="40" spans="2:6">
      <c r="B40" s="100" t="s">
        <v>143</v>
      </c>
      <c r="C40" s="167">
        <f>1-C28-C34</f>
        <v>0.25</v>
      </c>
      <c r="D40" s="165"/>
      <c r="E40" s="379"/>
      <c r="F40" s="379"/>
    </row>
    <row r="42" spans="2:6" ht="13.15">
      <c r="B42" s="100" t="s">
        <v>116</v>
      </c>
      <c r="C42" s="154">
        <f>C27*C28+C33*C34+C39*C40</f>
        <v>33.122715105915638</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18.359134236762745</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50.332031361448983</v>
      </c>
      <c r="D57" t="str">
        <f>Market_currency</f>
        <v>USD</v>
      </c>
      <c r="E57" s="379"/>
      <c r="F57" s="379"/>
    </row>
    <row r="58" spans="2:6">
      <c r="B58" s="100" t="s">
        <v>143</v>
      </c>
      <c r="C58" s="165">
        <v>0.05</v>
      </c>
      <c r="D58" s="165"/>
      <c r="E58" s="379"/>
      <c r="F58" s="379"/>
    </row>
    <row r="60" spans="2:6" ht="13.15">
      <c r="B60" s="100" t="s">
        <v>116</v>
      </c>
      <c r="C60" s="154">
        <f>C51*C52+C57*C58+C42*(1-C52-C58)</f>
        <v>33.245001875234657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33.242976210024011</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-0.91383237887564661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0.29086399999999996</v>
      </c>
      <c r="D77" t="str">
        <f>Market_currency</f>
        <v>USD</v>
      </c>
    </row>
    <row r="79" spans="2:6" ht="13.15">
      <c r="B79" s="109" t="s">
        <v>296</v>
      </c>
    </row>
    <row r="80" spans="2:6">
      <c r="B80" s="148" t="s">
        <v>294</v>
      </c>
      <c r="C80" s="167">
        <f>Thesis!F29</f>
        <v>0.35</v>
      </c>
    </row>
    <row r="81" spans="2:8">
      <c r="B81" s="100" t="s">
        <v>117</v>
      </c>
      <c r="C81" s="116">
        <f>PV(C80, C76, -C77, 0)</f>
        <v>0.49327035106437028</v>
      </c>
      <c r="D81" s="116"/>
      <c r="E81" s="100"/>
      <c r="F81" s="100"/>
    </row>
    <row r="82" spans="2:8">
      <c r="B82" s="100" t="s">
        <v>118</v>
      </c>
      <c r="C82" s="116">
        <f>C60/(1+C80)^C76</f>
        <v>13.51216862276468</v>
      </c>
      <c r="D82" s="116"/>
    </row>
    <row r="83" spans="2:8" ht="13.15">
      <c r="B83" s="110" t="s">
        <v>98</v>
      </c>
      <c r="C83" s="111">
        <f>C81+C82</f>
        <v>14.005438973829049</v>
      </c>
      <c r="D83" t="str">
        <f>Market_currency</f>
        <v>USD</v>
      </c>
      <c r="E83" s="146" t="s">
        <v>122</v>
      </c>
      <c r="F83" s="291">
        <f>(1-C83/C60)</f>
        <v>0.57872046371391006</v>
      </c>
    </row>
    <row r="84" spans="2:8">
      <c r="E84" s="120"/>
    </row>
    <row r="85" spans="2:8" ht="13.15">
      <c r="B85" s="109" t="s">
        <v>297</v>
      </c>
    </row>
    <row r="86" spans="2:8">
      <c r="B86" s="148" t="s">
        <v>295</v>
      </c>
      <c r="C86" s="116">
        <f>Market_Price</f>
        <v>23.64</v>
      </c>
      <c r="D86" t="str">
        <f>Market_currency</f>
        <v>USD</v>
      </c>
    </row>
    <row r="87" spans="2:8" ht="13.15">
      <c r="B87" s="100" t="s">
        <v>293</v>
      </c>
      <c r="C87" s="237">
        <f ca="1">IRR(OFFSET($I$3, 0, 0, $C$76 + 1, 1))</f>
        <v>0.13140279900680429</v>
      </c>
    </row>
    <row r="88" spans="2:8">
      <c r="B88" s="100"/>
    </row>
    <row r="89" spans="2:8" ht="13.15">
      <c r="B89" s="109" t="s">
        <v>392</v>
      </c>
    </row>
    <row r="90" spans="2:8">
      <c r="B90" s="148" t="s">
        <v>393</v>
      </c>
      <c r="C90" s="167">
        <f>Thesis!F30</f>
        <v>0.25</v>
      </c>
    </row>
    <row r="91" spans="2:8">
      <c r="B91" s="100" t="s">
        <v>117</v>
      </c>
      <c r="C91" s="116">
        <f>PV(C90, C76, -C77, 0)</f>
        <v>0.56776652799999983</v>
      </c>
      <c r="D91" s="116"/>
      <c r="E91" s="100"/>
      <c r="F91" s="100"/>
    </row>
    <row r="92" spans="2:8">
      <c r="B92" s="100" t="s">
        <v>118</v>
      </c>
      <c r="C92" s="116">
        <f>C60/(1+C90)^C76</f>
        <v>17.021440960120145</v>
      </c>
      <c r="D92" s="116"/>
    </row>
    <row r="93" spans="2:8" ht="13.15">
      <c r="B93" s="110" t="s">
        <v>98</v>
      </c>
      <c r="C93" s="111">
        <f>C91+C92</f>
        <v>17.589207488120145</v>
      </c>
      <c r="D93" t="str">
        <f>Market_currency</f>
        <v>USD</v>
      </c>
      <c r="E93" s="146" t="s">
        <v>122</v>
      </c>
      <c r="F93" s="291">
        <f>(1-C93/C60)</f>
        <v>0.47092174775231554</v>
      </c>
    </row>
    <row r="95" spans="2:8" ht="13.15">
      <c r="B95" s="109" t="s">
        <v>378</v>
      </c>
      <c r="G95" s="2"/>
      <c r="H95" s="281"/>
    </row>
    <row r="96" spans="2:8">
      <c r="B96" s="148" t="s">
        <v>383</v>
      </c>
      <c r="C96" s="134">
        <f>Thesis!F31</f>
        <v>7.4999999999999997E-2</v>
      </c>
      <c r="G96" s="2"/>
      <c r="H96" s="281"/>
    </row>
    <row r="97" spans="2:8">
      <c r="B97" s="100" t="s">
        <v>117</v>
      </c>
      <c r="C97" s="116">
        <f>PV(C96, C76, -C77, 0)</f>
        <v>0.75639931880211753</v>
      </c>
      <c r="D97" s="116"/>
      <c r="G97" s="2"/>
      <c r="H97" s="281"/>
    </row>
    <row r="98" spans="2:8">
      <c r="B98" s="100" t="s">
        <v>118</v>
      </c>
      <c r="C98" s="116">
        <f>C60/(1+C96)^C76</f>
        <v>26.760915642836711</v>
      </c>
      <c r="D98" s="116"/>
      <c r="G98" s="2"/>
      <c r="H98" s="281"/>
    </row>
    <row r="99" spans="2:8" ht="13.15">
      <c r="B99" s="110" t="s">
        <v>379</v>
      </c>
      <c r="C99" s="111">
        <f>C97+C98</f>
        <v>27.517314961638828</v>
      </c>
      <c r="D99" t="s">
        <v>377</v>
      </c>
      <c r="E99" s="146" t="s">
        <v>122</v>
      </c>
      <c r="F99" s="291">
        <f>(1-C99/C60)</f>
        <v>0.17228715868602729</v>
      </c>
    </row>
    <row r="100" spans="2:8">
      <c r="B100" s="100"/>
    </row>
    <row r="101" spans="2:8" ht="13.15">
      <c r="B101" s="109" t="s">
        <v>398</v>
      </c>
    </row>
    <row r="102" spans="2:8">
      <c r="B102" s="148" t="s">
        <v>397</v>
      </c>
      <c r="C102" s="134">
        <f>Thesis!F32</f>
        <v>0.1174</v>
      </c>
    </row>
    <row r="103" spans="2:8">
      <c r="B103" s="100" t="s">
        <v>117</v>
      </c>
      <c r="C103" s="116">
        <f>PV(C102, C76, -C77, 0)</f>
        <v>0.70173939562301912</v>
      </c>
      <c r="D103" s="116"/>
    </row>
    <row r="104" spans="2:8">
      <c r="B104" s="100" t="s">
        <v>118</v>
      </c>
      <c r="C104" s="116">
        <f>C60/(1+C102)^C76</f>
        <v>23.828700609871042</v>
      </c>
      <c r="D104" s="116"/>
    </row>
    <row r="105" spans="2:8" ht="13.15">
      <c r="B105" s="110" t="s">
        <v>379</v>
      </c>
      <c r="C105" s="111">
        <f>C103+C104</f>
        <v>24.530440005494061</v>
      </c>
      <c r="D105" t="s">
        <v>377</v>
      </c>
      <c r="E105" s="146" t="s">
        <v>122</v>
      </c>
      <c r="F105" s="291">
        <f>(1-C105/C66)</f>
        <v>0.2620865276768688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23.64</v>
      </c>
      <c r="D12" s="50"/>
      <c r="E12" s="48"/>
    </row>
    <row r="13" spans="1:10">
      <c r="B13" s="1" t="s">
        <v>485</v>
      </c>
      <c r="C13" s="32" t="str">
        <f>Market_currency</f>
        <v>USD</v>
      </c>
      <c r="D13" s="48"/>
      <c r="E13" s="5"/>
    </row>
    <row r="14" spans="1:10">
      <c r="B14" s="4" t="s">
        <v>486</v>
      </c>
      <c r="C14" s="35">
        <f>投资主题!C12*Common_Shares/1000000</f>
        <v>8005.8278399999999</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33.245001875234657</v>
      </c>
      <c r="D26" s="1" t="s">
        <v>446</v>
      </c>
      <c r="E26" s="301">
        <f ca="1">Scenarios!C87</f>
        <v>0.13140279900680429</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14.005438973829049</v>
      </c>
      <c r="D29" s="310" t="str">
        <f>D149</f>
        <v/>
      </c>
      <c r="E29" s="306" t="s">
        <v>455</v>
      </c>
      <c r="F29" s="362">
        <f>Thesis!F29</f>
        <v>0.35</v>
      </c>
    </row>
    <row r="30" spans="2:6">
      <c r="B30" s="1" t="s">
        <v>450</v>
      </c>
      <c r="C30" s="311">
        <f>C157</f>
        <v>17.589207488120145</v>
      </c>
      <c r="D30" s="311" t="str">
        <f>D157</f>
        <v/>
      </c>
      <c r="E30" s="307" t="s">
        <v>454</v>
      </c>
      <c r="F30" s="224">
        <f>Thesis!F30</f>
        <v>0.25</v>
      </c>
    </row>
    <row r="31" spans="2:6">
      <c r="B31" s="1" t="s">
        <v>451</v>
      </c>
      <c r="C31" s="311">
        <f>C165</f>
        <v>27.517314961638828</v>
      </c>
      <c r="D31" s="311" t="str">
        <f>D165</f>
        <v/>
      </c>
      <c r="E31" s="307" t="s">
        <v>491</v>
      </c>
      <c r="F31" s="224">
        <f>Thesis!F31</f>
        <v>7.4999999999999997E-2</v>
      </c>
    </row>
    <row r="32" spans="2:6">
      <c r="B32" s="1" t="s">
        <v>452</v>
      </c>
      <c r="C32" s="311">
        <f>C173</f>
        <v>24.530440005494061</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1000000</v>
      </c>
    </row>
    <row r="40" spans="1:6">
      <c r="B40" s="373" t="s">
        <v>494</v>
      </c>
      <c r="C40" s="373"/>
      <c r="D40" s="373"/>
      <c r="E40" s="373"/>
      <c r="F40" s="373"/>
    </row>
    <row r="41" spans="1:6">
      <c r="B41" s="47" t="s">
        <v>228</v>
      </c>
      <c r="C41" s="349">
        <f>Normalized_FCF!C8</f>
        <v>2626.9774440472893</v>
      </c>
      <c r="D41" s="1" t="str">
        <f>Reporting_currency</f>
        <v>USD</v>
      </c>
    </row>
    <row r="42" spans="1:6">
      <c r="B42" s="47"/>
      <c r="C42" s="76"/>
    </row>
    <row r="43" spans="1:6" ht="24.6" customHeight="1">
      <c r="B43" s="373" t="s">
        <v>495</v>
      </c>
      <c r="C43" s="373"/>
      <c r="D43" s="373"/>
      <c r="E43" s="373"/>
      <c r="F43" s="373"/>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3" t="s">
        <v>496</v>
      </c>
      <c r="C47" s="373"/>
      <c r="D47" s="373"/>
      <c r="E47" s="373"/>
      <c r="F47" s="373"/>
    </row>
    <row r="48" spans="1:6">
      <c r="B48" s="47" t="s">
        <v>233</v>
      </c>
      <c r="C48" s="349">
        <f>Normalized_FCF!C11</f>
        <v>0</v>
      </c>
      <c r="D48" s="1" t="str">
        <f>Reporting_currency</f>
        <v>USD</v>
      </c>
    </row>
    <row r="50" spans="2:6">
      <c r="B50" s="373" t="s">
        <v>497</v>
      </c>
      <c r="C50" s="373"/>
      <c r="D50" s="373"/>
      <c r="E50" s="373"/>
      <c r="F50" s="373"/>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3" t="s">
        <v>237</v>
      </c>
      <c r="C58" s="373"/>
      <c r="D58" s="373"/>
      <c r="E58" s="373"/>
      <c r="F58" s="373"/>
    </row>
    <row r="59" spans="2:6">
      <c r="B59" s="47" t="s">
        <v>235</v>
      </c>
      <c r="C59" s="349">
        <f>Normalized_FCF!C14</f>
        <v>-532.74436101182232</v>
      </c>
      <c r="D59" s="1" t="str">
        <f>Reporting_currency</f>
        <v>USD</v>
      </c>
    </row>
    <row r="61" spans="2:6">
      <c r="B61" s="373" t="s">
        <v>499</v>
      </c>
      <c r="C61" s="374"/>
      <c r="D61" s="374"/>
      <c r="E61" s="374"/>
      <c r="F61" s="374"/>
    </row>
    <row r="62" spans="2:6">
      <c r="B62" s="47" t="s">
        <v>238</v>
      </c>
      <c r="C62" s="349">
        <f>Normalized_FCF!C17</f>
        <v>0</v>
      </c>
      <c r="D62" s="1" t="str">
        <f>Reporting_currency</f>
        <v>USD</v>
      </c>
    </row>
    <row r="64" spans="2:6">
      <c r="B64" s="372" t="s">
        <v>500</v>
      </c>
      <c r="C64" s="372"/>
      <c r="D64" s="372"/>
      <c r="E64" s="372"/>
      <c r="F64" s="372"/>
    </row>
    <row r="65" spans="1:6">
      <c r="B65" s="372" t="s">
        <v>501</v>
      </c>
      <c r="C65" s="372"/>
      <c r="D65" s="372"/>
      <c r="E65" s="372"/>
      <c r="F65" s="372"/>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0.19284947323765625</v>
      </c>
      <c r="F69" s="314"/>
    </row>
    <row r="70" spans="1:6">
      <c r="B70" s="227" t="s">
        <v>434</v>
      </c>
      <c r="C70" s="92">
        <f>Normalized_FCF!C94</f>
        <v>1.2303891708967849E-2</v>
      </c>
      <c r="E70" s="47" t="s">
        <v>503</v>
      </c>
      <c r="F70" s="315">
        <f>Normalized_FCF!C92</f>
        <v>9.1143563218383905E-2</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-367.29090808939259</v>
      </c>
      <c r="D109" s="1" t="str">
        <f>Reporting_currency</f>
        <v>USD</v>
      </c>
    </row>
    <row r="110" spans="2:6">
      <c r="B110" s="47" t="s">
        <v>277</v>
      </c>
      <c r="C110" s="223">
        <f>C109*scaling_factor*Exchange_Rate/Common_Shares</f>
        <v>-1.0845545571003987</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2" t="s">
        <v>516</v>
      </c>
      <c r="C116" s="372"/>
      <c r="D116" s="372"/>
      <c r="E116" s="372"/>
      <c r="F116" s="372"/>
    </row>
    <row r="118" spans="1:6">
      <c r="B118" s="47" t="s">
        <v>517</v>
      </c>
      <c r="C118" s="223">
        <f>IF(valuation_method="DCF",DCF!C12,DDM!C7)</f>
        <v>30.405794815138226</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50.33 USD</v>
      </c>
      <c r="F126" s="232">
        <f>DCF!F74</f>
        <v>0.05</v>
      </c>
    </row>
    <row r="127" spans="1:6">
      <c r="B127" s="218" t="str">
        <f>DCF!B75</f>
        <v>Optimistic</v>
      </c>
      <c r="C127" s="219">
        <f>DCF!C75</f>
        <v>3.5000000000000003E-2</v>
      </c>
      <c r="D127" s="220">
        <f>DCF!D75</f>
        <v>10</v>
      </c>
      <c r="E127" s="231" t="str">
        <f>ROUND(IF(valuation_method="DCF",DCF!E75,DDM!E70),2)&amp;" "&amp;Market_currency</f>
        <v>37.37 USD</v>
      </c>
      <c r="F127" s="221">
        <f>DCF!F75</f>
        <v>0.22499999999999998</v>
      </c>
    </row>
    <row r="128" spans="1:6">
      <c r="B128" s="218" t="str">
        <f>DCF!B76</f>
        <v>Base</v>
      </c>
      <c r="C128" s="219">
        <f>DCF!C76</f>
        <v>1.4999999999999999E-2</v>
      </c>
      <c r="D128" s="220">
        <f>DCF!D76</f>
        <v>10</v>
      </c>
      <c r="E128" s="231" t="str">
        <f>ROUND(IF(valuation_method="DCF",DCF!E76,DDM!E71),2)&amp;" "&amp;Market_currency</f>
        <v>33.25 USD</v>
      </c>
      <c r="F128" s="221">
        <f>DCF!F76</f>
        <v>0.44999999999999996</v>
      </c>
    </row>
    <row r="129" spans="1:6">
      <c r="B129" s="218" t="str">
        <f>DCF!B77</f>
        <v>Pessimistic</v>
      </c>
      <c r="C129" s="219">
        <f>DCF!C77</f>
        <v>-0.01</v>
      </c>
      <c r="D129" s="220">
        <f>DCF!D77</f>
        <v>10</v>
      </c>
      <c r="E129" s="231" t="str">
        <f>ROUND(IF(valuation_method="DCF",DCF!E77,DDM!E72),2)&amp;" "&amp;Market_currency</f>
        <v>28.62 USD</v>
      </c>
      <c r="F129" s="221">
        <f>DCF!F77</f>
        <v>0.22499999999999998</v>
      </c>
    </row>
    <row r="130" spans="1:6">
      <c r="B130" s="218" t="str">
        <f>DCF!B78</f>
        <v>Devil's advocate</v>
      </c>
      <c r="C130" s="219">
        <f>DCF!C78</f>
        <v>-0.05</v>
      </c>
      <c r="D130" s="220">
        <f>DCF!D78</f>
        <v>15</v>
      </c>
      <c r="E130" s="231" t="str">
        <f>ROUND(IF(valuation_method="DCF",DCF!E78,DDM!E73),2)&amp;" "&amp;Market_currency</f>
        <v>18.36 USD</v>
      </c>
      <c r="F130" s="221">
        <f>DCF!F78</f>
        <v>0.05</v>
      </c>
    </row>
    <row r="132" spans="1:6">
      <c r="B132" s="211" t="s">
        <v>254</v>
      </c>
      <c r="C132" s="217">
        <f>Scenarios!C60</f>
        <v>33.245001875234657</v>
      </c>
      <c r="D132" s="212" t="str">
        <f>Market_currency</f>
        <v>USD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0.29086399999999996</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0.49327035106437028</v>
      </c>
    </row>
    <row r="148" spans="2:4">
      <c r="B148" s="212" t="str">
        <f>"+ PV(Equity Value realized at year "&amp;C141&amp;")"</f>
        <v>+ PV(Equity Value realized at year 3)</v>
      </c>
      <c r="C148" s="216">
        <f>Scenarios!C82</f>
        <v>13.51216862276468</v>
      </c>
    </row>
    <row r="149" spans="2:4">
      <c r="B149" s="80" t="s">
        <v>256</v>
      </c>
      <c r="C149" s="215">
        <f>Scenarios!C83</f>
        <v>14.005438973829049</v>
      </c>
      <c r="D149" s="300" t="str">
        <f>IF($D$11="","",C149*$E$25)</f>
        <v/>
      </c>
    </row>
    <row r="150" spans="2:4">
      <c r="B150" s="259" t="s">
        <v>532</v>
      </c>
      <c r="C150" s="298" t="str">
        <f>Market_currency</f>
        <v>USD</v>
      </c>
      <c r="D150" s="298" t="str">
        <f>IF($D$11="","",D$13)</f>
        <v/>
      </c>
    </row>
    <row r="151" spans="2:4">
      <c r="B151" s="214" t="s">
        <v>533</v>
      </c>
      <c r="C151" s="92">
        <f>Scenarios!F83</f>
        <v>0.57872046371391006</v>
      </c>
    </row>
    <row r="153" spans="2:4">
      <c r="B153" s="210" t="s">
        <v>391</v>
      </c>
    </row>
    <row r="154" spans="2:4">
      <c r="B154" s="1" t="s">
        <v>390</v>
      </c>
      <c r="C154" s="297">
        <f>Scenarios!C90</f>
        <v>0.25</v>
      </c>
    </row>
    <row r="155" spans="2:4">
      <c r="B155" s="212" t="str">
        <f>"PV("&amp;C141&amp;" yrs of Dividends)"</f>
        <v>PV(3 yrs of Dividends)</v>
      </c>
      <c r="C155" s="216">
        <f>Scenarios!C91</f>
        <v>0.56776652799999983</v>
      </c>
    </row>
    <row r="156" spans="2:4">
      <c r="B156" s="212" t="str">
        <f>"+ PV(Equity Value realized at year "&amp;C141&amp;")"</f>
        <v>+ PV(Equity Value realized at year 3)</v>
      </c>
      <c r="C156" s="216">
        <f>Scenarios!C92</f>
        <v>17.021440960120145</v>
      </c>
    </row>
    <row r="157" spans="2:4">
      <c r="B157" s="80" t="s">
        <v>256</v>
      </c>
      <c r="C157" s="215">
        <f>Scenarios!C93</f>
        <v>17.589207488120145</v>
      </c>
      <c r="D157" s="300" t="str">
        <f>IF($D$11="","",C157*$E$25)</f>
        <v/>
      </c>
    </row>
    <row r="158" spans="2:4">
      <c r="B158" s="259" t="s">
        <v>532</v>
      </c>
      <c r="C158" s="298" t="str">
        <f>Market_currency</f>
        <v>USD</v>
      </c>
      <c r="D158" s="298" t="str">
        <f>IF($D$11="","",D$13)</f>
        <v/>
      </c>
    </row>
    <row r="159" spans="2:4">
      <c r="B159" s="214" t="s">
        <v>533</v>
      </c>
      <c r="C159" s="92">
        <f>Scenarios!F93</f>
        <v>0.47092174775231554</v>
      </c>
    </row>
    <row r="161" spans="2:4">
      <c r="B161" s="210" t="s">
        <v>381</v>
      </c>
    </row>
    <row r="162" spans="2:4">
      <c r="B162" s="1" t="s">
        <v>389</v>
      </c>
      <c r="C162" s="92">
        <f>Scenarios!C96</f>
        <v>7.4999999999999997E-2</v>
      </c>
    </row>
    <row r="163" spans="2:4">
      <c r="B163" s="212" t="str">
        <f>"PV("&amp;C141&amp;" yrs of Dividends)"</f>
        <v>PV(3 yrs of Dividends)</v>
      </c>
      <c r="C163" s="216">
        <f>Scenarios!C97</f>
        <v>0.75639931880211753</v>
      </c>
    </row>
    <row r="164" spans="2:4">
      <c r="B164" s="212" t="str">
        <f>"+ PV(Equity Value realized at year "&amp;C141&amp;")"</f>
        <v>+ PV(Equity Value realized at year 3)</v>
      </c>
      <c r="C164" s="216">
        <f>Scenarios!C98</f>
        <v>26.760915642836711</v>
      </c>
    </row>
    <row r="165" spans="2:4">
      <c r="B165" s="80" t="s">
        <v>382</v>
      </c>
      <c r="C165" s="215">
        <f>Scenarios!C99</f>
        <v>27.517314961638828</v>
      </c>
      <c r="D165" s="300" t="str">
        <f>IF($D$11="","",C165*$E$25)</f>
        <v/>
      </c>
    </row>
    <row r="166" spans="2:4">
      <c r="B166" s="259" t="s">
        <v>532</v>
      </c>
      <c r="C166" s="298" t="str">
        <f>Market_currency</f>
        <v>USD</v>
      </c>
      <c r="D166" s="298" t="str">
        <f>IF($D$11="","",D$13)</f>
        <v/>
      </c>
    </row>
    <row r="167" spans="2:4">
      <c r="B167" s="214" t="s">
        <v>533</v>
      </c>
      <c r="C167" s="92">
        <f>Scenarios!F99</f>
        <v>0.17228715868602729</v>
      </c>
    </row>
    <row r="169" spans="2:4">
      <c r="B169" s="210" t="s">
        <v>408</v>
      </c>
    </row>
    <row r="170" spans="2:4">
      <c r="B170" s="1" t="s">
        <v>399</v>
      </c>
      <c r="C170" s="92">
        <f>F32</f>
        <v>0.1174</v>
      </c>
    </row>
    <row r="171" spans="2:4">
      <c r="B171" s="212" t="str">
        <f>"PV("&amp;C141&amp;" yrs of Dividends)"</f>
        <v>PV(3 yrs of Dividends)</v>
      </c>
      <c r="C171" s="216">
        <f>Scenarios!C103</f>
        <v>0.70173939562301912</v>
      </c>
    </row>
    <row r="172" spans="2:4">
      <c r="B172" s="212" t="str">
        <f>"+ PV(Equity Value realized at year "&amp;C141&amp;")"</f>
        <v>+ PV(Equity Value realized at year 3)</v>
      </c>
      <c r="C172" s="216">
        <f>Scenarios!C104</f>
        <v>23.828700609871042</v>
      </c>
    </row>
    <row r="173" spans="2:4">
      <c r="B173" s="80" t="s">
        <v>382</v>
      </c>
      <c r="C173" s="215">
        <f>Scenarios!C105</f>
        <v>24.530440005494061</v>
      </c>
      <c r="D173" s="300" t="str">
        <f>IF($D$11="","",C173*$E$25)</f>
        <v/>
      </c>
    </row>
    <row r="174" spans="2:4">
      <c r="B174" s="259" t="s">
        <v>532</v>
      </c>
      <c r="C174" s="298" t="str">
        <f>Market_currency</f>
        <v>USD</v>
      </c>
      <c r="D174" s="298" t="str">
        <f>IF($D$11="","",D$13)</f>
        <v/>
      </c>
    </row>
    <row r="175" spans="2:4">
      <c r="B175" s="214" t="s">
        <v>533</v>
      </c>
      <c r="C175" s="92">
        <f>Scenarios!F105</f>
        <v>0.2620865276768688</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43104-02E8-4D2F-8A04-3D527EF60897}">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