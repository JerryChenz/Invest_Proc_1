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99AE5AD-5024-431A-9382-6CA8F2983DA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5" i="4" l="1"/>
  <c r="D6" i="4"/>
  <c r="C6" i="4"/>
  <c r="C23" i="3" l="1"/>
  <c r="C21" i="3"/>
  <c r="D7" i="4"/>
  <c r="C7" i="4"/>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F71" i="4" s="1"/>
  <c r="L38" i="4"/>
  <c r="L43" i="4" s="1"/>
  <c r="L44" i="4" s="1"/>
  <c r="L58" i="4" s="1"/>
  <c r="P62" i="2" s="1"/>
  <c r="E38" i="4"/>
  <c r="E43" i="4" s="1"/>
  <c r="M38" i="4"/>
  <c r="C10" i="6"/>
  <c r="B4" i="6"/>
  <c r="F69" i="4" l="1"/>
  <c r="D70" i="4"/>
  <c r="H70" i="4"/>
  <c r="E70" i="4"/>
  <c r="D69" i="4"/>
  <c r="I69" i="4"/>
  <c r="I70" i="4"/>
  <c r="H69" i="4"/>
  <c r="E69" i="4"/>
  <c r="I71" i="4"/>
  <c r="F70" i="4"/>
  <c r="K70" i="4"/>
  <c r="C70" i="4"/>
  <c r="K58" i="4"/>
  <c r="O62" i="2" s="1"/>
  <c r="K71" i="4"/>
  <c r="L126" i="2"/>
  <c r="J70" i="4"/>
  <c r="K69" i="4"/>
  <c r="G70" i="4"/>
  <c r="M126" i="2"/>
  <c r="N126" i="2"/>
  <c r="G69" i="4"/>
  <c r="J69" i="4"/>
  <c r="C69" i="4"/>
  <c r="P126" i="2"/>
  <c r="O126" i="2"/>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H58" i="4" l="1"/>
  <c r="H71" i="4"/>
  <c r="E58" i="4"/>
  <c r="E71" i="4"/>
  <c r="O63" i="2"/>
  <c r="D71" i="4"/>
  <c r="O8" i="2"/>
  <c r="O74" i="2"/>
  <c r="C58" i="4"/>
  <c r="G62" i="2" s="1"/>
  <c r="G63" i="2" s="1"/>
  <c r="C71" i="4"/>
  <c r="O40" i="2"/>
  <c r="O30" i="2"/>
  <c r="O73" i="2"/>
  <c r="G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120" i="2" l="1"/>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I48" i="2" l="1"/>
  <c r="J48" i="2"/>
  <c r="J50" i="2" s="1"/>
  <c r="J12" i="2" s="1"/>
  <c r="J80" i="2" s="1"/>
  <c r="M48" i="2"/>
  <c r="M50" i="2" s="1"/>
  <c r="M12" i="2" s="1"/>
  <c r="K48" i="2"/>
  <c r="K50" i="2" s="1"/>
  <c r="K12" i="2" s="1"/>
  <c r="K43" i="2" s="1"/>
  <c r="N48" i="2"/>
  <c r="N50" i="2" s="1"/>
  <c r="N12" i="2" s="1"/>
  <c r="G48" i="2"/>
  <c r="G50" i="2" s="1"/>
  <c r="G12" i="2" s="1"/>
  <c r="G43" i="2" s="1"/>
  <c r="P48" i="2"/>
  <c r="P50" i="2" s="1"/>
  <c r="P12" i="2" s="1"/>
  <c r="O48" i="2"/>
  <c r="O50" i="2" s="1"/>
  <c r="O12" i="2" s="1"/>
  <c r="L48" i="2"/>
  <c r="L50" i="2" s="1"/>
  <c r="L12" i="2" s="1"/>
  <c r="H48" i="2"/>
  <c r="H50" i="2" s="1"/>
  <c r="H12" i="2" s="1"/>
  <c r="H80"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9" i="2" l="1"/>
  <c r="O124" i="2"/>
  <c r="O125" i="2" s="1"/>
  <c r="O84" i="2"/>
  <c r="P84" i="2"/>
  <c r="P19" i="2"/>
  <c r="P124" i="2"/>
  <c r="P125" i="2" s="1"/>
  <c r="C47" i="2"/>
  <c r="O114" i="2" l="1"/>
  <c r="O92" i="2"/>
  <c r="O87"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39" i="8" l="1"/>
  <c r="F39" i="8" s="1"/>
  <c r="C37" i="8"/>
  <c r="F37"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<sst xmlns="http://schemas.openxmlformats.org/spreadsheetml/2006/main" count="589" uniqueCount="415">
  <si>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</si>
  <si>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</si>
  <si>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</si>
  <si>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</si>
  <si>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</si>
  <si>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</si>
  <si>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</si>
  <si>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</si>
  <si>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</si>
  <si>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</si>
  <si>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</si>
  <si>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</si>
  <si>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</si>
  <si>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</si>
  <si>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</si>
  <si>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</si>
  <si>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</si>
  <si>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</si>
  <si>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</si>
  <si>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</si>
  <si>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</si>
  <si>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</si>
  <si>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</si>
  <si>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</si>
  <si>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</si>
  <si>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</si>
  <si>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</si>
  <si>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</si>
  <si>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</si>
  <si>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</si>
  <si>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</si>
  <si>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</si>
  <si>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</si>
  <si>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</si>
  <si>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</si>
  <si>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</si>
  <si>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</si>
  <si>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</si>
  <si>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</si>
  <si>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</si>
  <si>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</si>
  <si>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</si>
  <si>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</si>
  <si>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</si>
  <si>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</si>
  <si>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</si>
  <si>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</si>
  <si>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</si>
  <si>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</si>
  <si>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</si>
  <si>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</si>
  <si>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</si>
  <si>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</si>
  <si>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</si>
  <si>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</si>
  <si>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</si>
  <si>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</si>
  <si>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</si>
  <si>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</si>
  <si>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</si>
  <si>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</si>
  <si>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</si>
  <si>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</si>
  <si>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</si>
  <si>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</si>
  <si>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</si>
  <si>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</si>
  <si>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</si>
  <si>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</si>
  <si>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</si>
  <si>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</si>
  <si>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</si>
  <si>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</si>
  <si>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</si>
  <si>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</si>
  <si>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</si>
  <si>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</si>
  <si>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</si>
  <si>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</si>
  <si>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</si>
  <si>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</si>
  <si>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</si>
  <si>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</si>
  <si>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</si>
  <si>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</si>
  <si>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</si>
  <si>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</si>
  <si>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</si>
  <si>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</si>
  <si>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</si>
  <si>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</si>
  <si>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</si>
  <si>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</si>
  <si>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</si>
  <si>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</si>
  <si>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</si>
  <si>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</si>
  <si>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</si>
  <si>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</si>
  <si>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</si>
  <si>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</si>
  <si>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</si>
  <si>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</si>
  <si>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</si>
  <si>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</si>
  <si>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</si>
  <si>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</si>
  <si>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</si>
  <si>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</si>
  <si>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</si>
  <si>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</si>
  <si>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</si>
  <si>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</si>
  <si>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</si>
  <si>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</si>
  <si>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</si>
  <si>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</si>
  <si>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</si>
  <si>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</si>
  <si>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</si>
  <si>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</si>
  <si>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</si>
  <si>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</si>
  <si>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</si>
  <si>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</si>
  <si>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</si>
  <si>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</si>
  <si>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</si>
  <si>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</si>
  <si>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</si>
  <si>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</si>
  <si>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</si>
  <si>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</si>
  <si>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</si>
  <si>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</si>
  <si>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</si>
  <si>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</si>
  <si>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</si>
  <si>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</si>
  <si>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</si>
  <si>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</si>
  <si>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</si>
  <si>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</si>
  <si>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</si>
  <si>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</si>
  <si>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</si>
  <si>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</si>
  <si>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</si>
  <si>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</si>
  <si>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</si>
  <si>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</si>
  <si>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</si>
  <si>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</si>
  <si>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</si>
  <si>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</si>
  <si>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</si>
  <si>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</si>
  <si>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</si>
  <si>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</si>
  <si>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</si>
  <si>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</si>
  <si>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</si>
  <si>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</si>
  <si>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</si>
  <si>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</si>
  <si>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</si>
  <si>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</si>
  <si>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</si>
  <si>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</si>
  <si>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</si>
  <si>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</si>
  <si>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</si>
  <si>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</si>
  <si>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</si>
  <si>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</si>
  <si>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</si>
  <si>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</si>
  <si>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</si>
  <si>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</si>
  <si>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</si>
  <si>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</si>
  <si>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</si>
  <si>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</si>
  <si>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</si>
  <si>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</si>
  <si>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</si>
  <si>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</si>
  <si>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</si>
  <si>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</si>
  <si>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</si>
  <si>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</si>
  <si>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</si>
  <si>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</si>
  <si>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</si>
  <si>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</si>
  <si>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</si>
  <si>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</si>
  <si>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</si>
  <si>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</si>
  <si>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</si>
  <si>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</si>
  <si>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</si>
  <si>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</si>
  <si>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</si>
  <si>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</si>
  <si>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</si>
  <si>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</si>
  <si>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</si>
  <si>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</si>
  <si>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</si>
  <si>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</si>
  <si>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</si>
  <si>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</si>
  <si>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</si>
  <si>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</si>
  <si>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</si>
  <si>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</si>
  <si>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</si>
  <si>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</si>
  <si>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</si>
  <si>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</si>
  <si>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</si>
  <si>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</si>
  <si>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</si>
  <si>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</si>
  <si>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</si>
  <si>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</si>
  <si>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</si>
  <si>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</si>
  <si>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</si>
  <si>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</si>
  <si>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</si>
  <si>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</si>
  <si>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</si>
  <si>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</si>
  <si>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</si>
  <si>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</si>
  <si>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</si>
  <si>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</si>
  <si>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</si>
  <si>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</si>
  <si>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</si>
  <si>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</si>
  <si>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</si>
  <si>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</si>
  <si>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</si>
  <si>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</si>
  <si>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</si>
  <si>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</si>
  <si>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</si>
  <si>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</si>
  <si>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</si>
  <si>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</si>
  <si>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</si>
  <si>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</si>
  <si>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</si>
  <si>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</si>
  <si>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</si>
  <si>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</si>
  <si>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</si>
  <si>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</si>
  <si>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</si>
  <si>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</si>
  <si>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</si>
  <si>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</si>
  <si>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</si>
  <si>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</si>
  <si>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</si>
  <si>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</si>
  <si>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</si>
  <si>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</si>
  <si>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</si>
  <si>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</si>
  <si>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</si>
  <si>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</si>
  <si>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</si>
  <si>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</si>
  <si>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</si>
  <si>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</si>
  <si>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</si>
  <si>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</si>
  <si>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</si>
  <si>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</si>
  <si>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</si>
  <si>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</si>
  <si>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</si>
  <si>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</si>
  <si>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</si>
  <si>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</si>
  <si>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</si>
  <si>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</si>
  <si>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</si>
  <si>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</si>
  <si>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</si>
  <si>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</si>
  <si>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</si>
  <si>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</si>
  <si>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</si>
  <si>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</si>
  <si>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</si>
  <si>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</si>
  <si>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</si>
  <si>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</si>
  <si>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</si>
  <si>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</si>
  <si>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</si>
  <si>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</si>
  <si>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</si>
  <si>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</si>
  <si>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</si>
  <si>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</si>
  <si>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</si>
  <si>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</si>
  <si>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</si>
  <si>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</si>
  <si>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</si>
  <si>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</si>
  <si>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</si>
  <si>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</si>
  <si>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</si>
  <si>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</si>
  <si>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</si>
  <si>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</si>
  <si>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</si>
  <si>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</si>
  <si>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</si>
  <si>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</si>
  <si>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</si>
  <si>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</si>
  <si>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</si>
  <si>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</si>
  <si>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</si>
  <si>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</si>
  <si>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</si>
  <si>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</si>
  <si>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</si>
  <si>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</si>
  <si>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</si>
  <si>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</si>
  <si>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</si>
  <si>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</si>
  <si>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</si>
  <si>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</si>
  <si>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</si>
  <si>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</si>
  <si>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</si>
  <si>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</si>
  <si>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</si>
  <si>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</si>
  <si>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</si>
  <si>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</si>
  <si>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</si>
  <si>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</si>
  <si>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</si>
  <si>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</si>
  <si>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</si>
  <si>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</si>
  <si>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</si>
  <si>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</si>
  <si>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</si>
  <si>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</si>
  <si>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</si>
  <si>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</si>
  <si>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</si>
  <si>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</si>
  <si>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</si>
  <si>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</si>
  <si>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</si>
  <si>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</si>
  <si>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</si>
  <si>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</si>
  <si>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</si>
  <si>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</si>
  <si>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</si>
  <si>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</si>
  <si>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</si>
  <si>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</si>
  <si>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</si>
  <si>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</si>
  <si>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</si>
  <si>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</si>
  <si>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</si>
  <si>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</si>
  <si>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</si>
  <si>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</si>
  <si>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</si>
  <si>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</si>
  <si>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</si>
  <si>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</si>
  <si>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</si>
  <si>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</si>
  <si>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</si>
  <si>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</si>
  <si>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</si>
  <si>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</si>
  <si>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</si>
  <si>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</si>
  <si>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</si>
  <si>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</si>
  <si>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</si>
  <si>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</si>
  <si>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</si>
  <si>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</si>
  <si>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</si>
  <si>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</si>
  <si>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</si>
  <si>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</si>
  <si>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</si>
  <si>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</si>
  <si>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</si>
  <si>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</si>
  <si>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SIRI</t>
    <phoneticPr fontId="2" type="noConversion"/>
  </si>
  <si>
    <t>USD</t>
    <phoneticPr fontId="2" type="noConversion"/>
  </si>
  <si>
    <t>Sirius XM Holdings Inc.</t>
    <phoneticPr fontId="2" type="noConversion"/>
  </si>
  <si>
    <t>TMT_05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</si>
</sst>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D19" sqref="D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326</v>
      </c>
      <c r="C5" s="333" t="s">
        <v>413</v>
      </c>
      <c r="D5" s="49" t="s">
        <v>411</v>
      </c>
    </row>
    <row r="6" spans="1:10" x14ac:dyDescent="0.35">
      <c r="B6" s="4" t="s">
        <v>95</v>
      </c>
      <c r="C6" s="50">
        <v>20.079999999999998</v>
      </c>
      <c r="D6" s="48" t="s">
        <v>412</v>
      </c>
      <c r="E6" s="48"/>
    </row>
    <row r="7" spans="1:10" x14ac:dyDescent="0.35">
      <c r="B7" s="4" t="s">
        <v>0</v>
      </c>
      <c r="C7" s="51">
        <v>338656000</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16.165402289394244</v>
      </c>
      <c r="D20" s="1" t="s">
        <v>318</v>
      </c>
      <c r="E20" s="330">
        <v>3</v>
      </c>
    </row>
    <row r="21" spans="1:6" x14ac:dyDescent="0.35">
      <c r="B21" s="1" t="s">
        <v>373</v>
      </c>
      <c r="C21" s="280">
        <f ca="1">Scenarios!C87</f>
        <v>0.16060765378265396</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231</v>
      </c>
      <c r="C28" s="108">
        <f>Data!C3</f>
        <v>1000000</v>
      </c>
    </row>
    <row r="29" spans="1:6" ht="24.4" customHeight="1" x14ac:dyDescent="0.35">
      <c r="B29" s="337" t="s">
        <v>232</v>
      </c>
      <c r="C29" s="337"/>
      <c r="D29" s="337"/>
      <c r="E29" s="337"/>
      <c r="F29" s="337"/>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37" t="s">
        <v>234</v>
      </c>
      <c r="C32" s="337"/>
      <c r="D32" s="337"/>
      <c r="E32" s="337"/>
      <c r="F32" s="337"/>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37" t="s">
        <v>237</v>
      </c>
      <c r="C36" s="337"/>
      <c r="D36" s="337"/>
      <c r="E36" s="337"/>
      <c r="F36" s="337"/>
    </row>
    <row r="37" spans="2:6" x14ac:dyDescent="0.35">
      <c r="B37" s="47" t="s">
        <v>238</v>
      </c>
      <c r="C37" s="188">
        <f>Normalized_FCF!C11</f>
        <v>0</v>
      </c>
      <c r="D37" s="1" t="str">
        <f>Reporting_currency</f>
        <v>USD</v>
      </c>
    </row>
    <row r="39" spans="2:6" x14ac:dyDescent="0.35">
      <c r="B39" s="337" t="s">
        <v>241</v>
      </c>
      <c r="C39" s="337"/>
      <c r="D39" s="337"/>
      <c r="E39" s="337"/>
      <c r="F39" s="337"/>
    </row>
    <row r="40" spans="2:6" x14ac:dyDescent="0.35">
      <c r="B40" s="47" t="s">
        <v>352</v>
      </c>
      <c r="C40" s="322">
        <f>Normalized_FCF!C48</f>
        <v>0</v>
      </c>
      <c r="D40" s="1" t="str">
        <f>Reporting_currency</f>
        <v>USD</v>
      </c>
      <c r="E40" s="321"/>
      <c r="F40" s="321"/>
    </row>
    <row r="41" spans="2:6" x14ac:dyDescent="0.35">
      <c r="B41" s="47" t="s">
        <v>353</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267</v>
      </c>
      <c r="C45" s="188">
        <f>Normalized_FCF!C15</f>
        <v>0</v>
      </c>
      <c r="D45" s="1" t="str">
        <f>Reporting_currency</f>
        <v>USD</v>
      </c>
    </row>
    <row r="47" spans="2:6" x14ac:dyDescent="0.35">
      <c r="B47" s="337" t="s">
        <v>242</v>
      </c>
      <c r="C47" s="337"/>
      <c r="D47" s="337"/>
      <c r="E47" s="337"/>
      <c r="F47" s="337"/>
    </row>
    <row r="48" spans="2:6" x14ac:dyDescent="0.35">
      <c r="B48" s="47" t="s">
        <v>240</v>
      </c>
      <c r="C48" s="188">
        <f>Normalized_FCF!C14</f>
        <v>-532.74436101182232</v>
      </c>
      <c r="D48" s="1" t="str">
        <f>Reporting_currency</f>
        <v>USD</v>
      </c>
    </row>
    <row r="50" spans="1:6" x14ac:dyDescent="0.35">
      <c r="B50" s="337" t="s">
        <v>350</v>
      </c>
      <c r="C50" s="340"/>
      <c r="D50" s="340"/>
      <c r="E50" s="340"/>
      <c r="F50" s="340"/>
    </row>
    <row r="51" spans="1:6" x14ac:dyDescent="0.35">
      <c r="B51" s="47" t="s">
        <v>243</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272</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405</v>
      </c>
      <c r="C58" s="92">
        <f>Normalized_FCF!C125</f>
        <v>0.22703991769612522</v>
      </c>
    </row>
    <row r="59" spans="1:6" x14ac:dyDescent="0.35">
      <c r="B59" s="254" t="s">
        <v>319</v>
      </c>
      <c r="C59" s="92">
        <f>Normalized_FCF!C93</f>
        <v>2.956175298804781E-2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253</v>
      </c>
      <c r="C64" s="338"/>
      <c r="D64" s="338"/>
      <c r="E64" s="338"/>
      <c r="F64" s="338"/>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252</v>
      </c>
      <c r="C76" s="263">
        <v>0</v>
      </c>
    </row>
    <row r="77" spans="1:6" x14ac:dyDescent="0.35">
      <c r="B77" s="47" t="s">
        <v>286</v>
      </c>
      <c r="C77" s="248">
        <f>Valuation_Model!C6*C28*Exchange_Rate/Common_Shares</f>
        <v>56.987019341727418</v>
      </c>
      <c r="D77" s="1" t="str">
        <f>Market_currency</f>
        <v>USD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254</v>
      </c>
    </row>
    <row r="84" spans="2:6" x14ac:dyDescent="0.35">
      <c r="B84" s="234" t="s">
        <v>231</v>
      </c>
    </row>
    <row r="85" spans="2:6" ht="24.4" customHeight="1" x14ac:dyDescent="0.35">
      <c r="B85" s="336" t="s">
        <v>356</v>
      </c>
      <c r="C85" s="336"/>
      <c r="D85" s="336"/>
      <c r="E85" s="336"/>
      <c r="F85" s="336"/>
    </row>
    <row r="86" spans="2:6" x14ac:dyDescent="0.35">
      <c r="B86" s="47" t="s">
        <v>256</v>
      </c>
      <c r="C86" s="188">
        <f>Valuation_Model!C7</f>
        <v>10547</v>
      </c>
      <c r="D86" s="1" t="str">
        <f>Reporting_currency</f>
        <v>USD</v>
      </c>
    </row>
    <row r="87" spans="2:6" x14ac:dyDescent="0.35">
      <c r="B87" s="47" t="s">
        <v>287</v>
      </c>
      <c r="C87" s="248">
        <f>C86*C28*Exchange_Rate/Common_Shares</f>
        <v>31.143697439289426</v>
      </c>
      <c r="D87" s="1" t="str">
        <f>Market_currency</f>
        <v>USD</v>
      </c>
    </row>
    <row r="89" spans="2:6" x14ac:dyDescent="0.35">
      <c r="B89" s="1" t="s">
        <v>255</v>
      </c>
    </row>
    <row r="90" spans="2:6" x14ac:dyDescent="0.35">
      <c r="B90" s="47" t="s">
        <v>266</v>
      </c>
      <c r="C90" s="188">
        <f>BS!C66</f>
        <v>162</v>
      </c>
      <c r="D90" s="1" t="str">
        <f>Reporting_currency</f>
        <v>USD</v>
      </c>
    </row>
    <row r="91" spans="2:6" x14ac:dyDescent="0.35">
      <c r="B91" s="47" t="s">
        <v>268</v>
      </c>
      <c r="C91" s="188">
        <f>Valuation_Model!C8</f>
        <v>-372.31656312939253</v>
      </c>
      <c r="D91" s="1" t="str">
        <f>Reporting_currency</f>
        <v>USD</v>
      </c>
    </row>
    <row r="92" spans="2:6" x14ac:dyDescent="0.35">
      <c r="B92" s="47" t="s">
        <v>288</v>
      </c>
      <c r="C92" s="248">
        <f>C91*C28*Exchange_Rate/Common_Shares</f>
        <v>-1.0993945571003985</v>
      </c>
      <c r="D92" s="1" t="str">
        <f>Market_currency</f>
        <v>USD</v>
      </c>
    </row>
    <row r="94" spans="2:6" x14ac:dyDescent="0.35">
      <c r="B94" s="1" t="s">
        <v>257</v>
      </c>
    </row>
    <row r="95" spans="2:6" x14ac:dyDescent="0.35">
      <c r="B95" s="47" t="s">
        <v>258</v>
      </c>
      <c r="C95" s="188">
        <f>Valuation_Model!C9</f>
        <v>625.79999999999995</v>
      </c>
      <c r="D95" s="1" t="str">
        <f>Reporting_currency</f>
        <v>USD</v>
      </c>
    </row>
    <row r="96" spans="2:6" x14ac:dyDescent="0.35">
      <c r="B96" s="47" t="s">
        <v>289</v>
      </c>
      <c r="C96" s="248">
        <f>C95*C28*Exchange_Rate/Common_Shares</f>
        <v>1.8478928470188039</v>
      </c>
      <c r="D96" s="1" t="str">
        <f>Market_currency</f>
        <v>USD</v>
      </c>
    </row>
    <row r="98" spans="1:6" ht="24.4" customHeight="1" x14ac:dyDescent="0.35">
      <c r="B98" s="336" t="s">
        <v>381</v>
      </c>
      <c r="C98" s="336"/>
      <c r="D98" s="336"/>
      <c r="E98" s="336"/>
      <c r="F98" s="336"/>
    </row>
    <row r="100" spans="1:6" x14ac:dyDescent="0.35">
      <c r="B100" s="47" t="s">
        <v>285</v>
      </c>
      <c r="C100" s="248">
        <f>Valuation_Model!C12</f>
        <v>26.591820192356398</v>
      </c>
      <c r="D100" s="1" t="str">
        <f>Market_currency</f>
        <v>USD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5.5E-2</v>
      </c>
      <c r="D107" s="257">
        <f>Valuation_Model!D74</f>
        <v>15</v>
      </c>
      <c r="E107" s="258" t="str">
        <f>ROUND(Valuation_Model!E74,2)&amp;" "&amp;Market_currency</f>
        <v>45.55 USD</v>
      </c>
      <c r="F107" s="259">
        <f>Valuation_Model!F74</f>
        <v>0.05</v>
      </c>
    </row>
    <row r="108" spans="1:6" x14ac:dyDescent="0.35">
      <c r="B108" s="242" t="str">
        <f>Valuation_Model!B75</f>
        <v>Optimistic</v>
      </c>
      <c r="C108" s="243">
        <f>Valuation_Model!C75</f>
        <v>3.5000000000000003E-2</v>
      </c>
      <c r="D108" s="244">
        <f>Valuation_Model!D75</f>
        <v>10</v>
      </c>
      <c r="E108" s="245" t="str">
        <f>ROUND(Valuation_Model!E75,2)&amp;" "&amp;Market_currency</f>
        <v>33.27 USD</v>
      </c>
      <c r="F108" s="246">
        <f>Valuation_Model!F75</f>
        <v>0.22499999999999998</v>
      </c>
    </row>
    <row r="109" spans="1:6" x14ac:dyDescent="0.35">
      <c r="B109" s="242" t="str">
        <f>Valuation_Model!B76</f>
        <v>Base</v>
      </c>
      <c r="C109" s="243">
        <f>Valuation_Model!C76</f>
        <v>1.4999999999999999E-2</v>
      </c>
      <c r="D109" s="244">
        <f>Valuation_Model!D76</f>
        <v>10</v>
      </c>
      <c r="E109" s="245" t="str">
        <f>ROUND(Valuation_Model!E76,2)&amp;" "&amp;Market_currency</f>
        <v>29.32 USD</v>
      </c>
      <c r="F109" s="246">
        <f>Valuation_Model!F76</f>
        <v>0.44999999999999996</v>
      </c>
    </row>
    <row r="110" spans="1:6" x14ac:dyDescent="0.35">
      <c r="B110" s="242" t="str">
        <f>Valuation_Model!B77</f>
        <v>Pessimistic</v>
      </c>
      <c r="C110" s="243">
        <f>Valuation_Model!C77</f>
        <v>-0.01</v>
      </c>
      <c r="D110" s="244">
        <f>Valuation_Model!D77</f>
        <v>10</v>
      </c>
      <c r="E110" s="245" t="str">
        <f>ROUND(Valuation_Model!E77,2)&amp;" "&amp;Market_currency</f>
        <v>24.88 USD</v>
      </c>
      <c r="F110" s="246">
        <f>Valuation_Model!F77</f>
        <v>0.22499999999999998</v>
      </c>
    </row>
    <row r="111" spans="1:6" x14ac:dyDescent="0.35">
      <c r="B111" s="242" t="str">
        <f>Valuation_Model!B78</f>
        <v>Devil's advocate</v>
      </c>
      <c r="C111" s="243">
        <f>Valuation_Model!C78</f>
        <v>-0.05</v>
      </c>
      <c r="D111" s="244">
        <f>Valuation_Model!D78</f>
        <v>15</v>
      </c>
      <c r="E111" s="245" t="str">
        <f>ROUND(Valuation_Model!E78,2)&amp;" "&amp;Market_currency</f>
        <v>15.12 USD</v>
      </c>
      <c r="F111" s="246">
        <f>Valuation_Model!F78</f>
        <v>0.05</v>
      </c>
    </row>
    <row r="113" spans="1:6" x14ac:dyDescent="0.35">
      <c r="B113" s="235" t="s">
        <v>259</v>
      </c>
      <c r="C113" s="241">
        <f>Scenarios!C60</f>
        <v>29.309951346473134</v>
      </c>
      <c r="D113" s="236" t="str">
        <f>Market_currency</f>
        <v>USD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0.59360000000000002</v>
      </c>
      <c r="D124" s="236" t="str">
        <f>Market_currency</f>
        <v>USD</v>
      </c>
    </row>
    <row r="126" spans="1:6" x14ac:dyDescent="0.35">
      <c r="B126" s="234" t="s">
        <v>264</v>
      </c>
    </row>
    <row r="127" spans="1:6" x14ac:dyDescent="0.35">
      <c r="B127" s="236" t="str">
        <f>"PV("&amp;C122&amp;" yrs of Dividends)"</f>
        <v>PV(3 yrs of Dividends)</v>
      </c>
      <c r="C127" s="240">
        <f>Scenarios!C81</f>
        <v>1.1587072</v>
      </c>
    </row>
    <row r="128" spans="1:6" x14ac:dyDescent="0.35">
      <c r="B128" s="236" t="str">
        <f>"+ PV(Equity Value realized at year "&amp;C122&amp;")"</f>
        <v>+ PV(Equity Value realized at year 3)</v>
      </c>
      <c r="C128" s="240">
        <f>Scenarios!C82</f>
        <v>15.006695089394245</v>
      </c>
    </row>
    <row r="129" spans="1:6" x14ac:dyDescent="0.35">
      <c r="B129" s="80" t="s">
        <v>261</v>
      </c>
      <c r="C129" s="239">
        <f>Scenarios!C83</f>
        <v>16.165402289394244</v>
      </c>
      <c r="D129" s="47" t="str">
        <f>Reporting_currency</f>
        <v>USD</v>
      </c>
    </row>
    <row r="130" spans="1:6" x14ac:dyDescent="0.35">
      <c r="B130" s="238" t="s">
        <v>263</v>
      </c>
      <c r="C130" s="92">
        <f>Scenarios!F83</f>
        <v>0.44846710599062711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5" sqref="D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386</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388</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387</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220</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0</v>
      </c>
      <c r="D62" s="92">
        <f>G28/G29</f>
        <v>0</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-580.33551679999994</v>
      </c>
      <c r="D73" s="188">
        <f>(Normalized_FCF!C25+Normalized_FCF!C35-Normalized_FCF!C91)/12</f>
        <v>-534.31656312939253</v>
      </c>
      <c r="F73" s="1" t="s">
        <v>363</v>
      </c>
    </row>
    <row r="74" spans="2:6" ht="15" customHeight="1" x14ac:dyDescent="0.35">
      <c r="B74" s="288" t="s">
        <v>333</v>
      </c>
      <c r="C74" s="289">
        <f>-$C$66/C73</f>
        <v>0.27914886356305812</v>
      </c>
      <c r="D74" s="289">
        <f>-$C$66/D73</f>
        <v>0.30319105036010147</v>
      </c>
      <c r="F74" s="283" t="s">
        <v>330</v>
      </c>
    </row>
    <row r="75" spans="2:6" ht="15" customHeight="1" x14ac:dyDescent="0.35">
      <c r="B75" s="80" t="s">
        <v>331</v>
      </c>
      <c r="C75" s="293"/>
      <c r="D75" s="292">
        <f>MAX(-D73*D76,G5)</f>
        <v>534.31656312939253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-10547</v>
      </c>
      <c r="D86" s="248">
        <f>C86*$H$1/Common_Shares</f>
        <v>-31.143697439289426</v>
      </c>
      <c r="E86" s="269" t="str">
        <f>Market_currency</f>
        <v>USD</v>
      </c>
    </row>
    <row r="87" spans="2:8" ht="15" customHeight="1" x14ac:dyDescent="0.35">
      <c r="B87" s="267" t="s">
        <v>297</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301</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9" sqref="C19"/>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345</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345</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345</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346</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348</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366</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407</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271</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409</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7" sqref="C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4" t="s">
        <v>250</v>
      </c>
      <c r="F6" s="344"/>
      <c r="H6" s="121"/>
    </row>
    <row r="7" spans="2:8" x14ac:dyDescent="0.35">
      <c r="B7" s="149" t="s">
        <v>225</v>
      </c>
      <c r="C7" s="226">
        <f>BS!G31</f>
        <v>10547</v>
      </c>
      <c r="D7" t="str">
        <f>Reporting_currency</f>
        <v>USD</v>
      </c>
      <c r="E7" s="344"/>
      <c r="F7" s="344"/>
      <c r="H7" s="121"/>
    </row>
    <row r="8" spans="2:8" x14ac:dyDescent="0.35">
      <c r="B8" s="149" t="s">
        <v>226</v>
      </c>
      <c r="C8" s="201">
        <f>BS!D66</f>
        <v>-372.31656312939253</v>
      </c>
      <c r="D8" t="str">
        <f>Reporting_currency</f>
        <v>USD</v>
      </c>
      <c r="E8" s="344"/>
      <c r="F8" s="344"/>
      <c r="H8" s="121"/>
    </row>
    <row r="9" spans="2:8" x14ac:dyDescent="0.35">
      <c r="B9" s="227" t="s">
        <v>191</v>
      </c>
      <c r="C9" s="229">
        <f>BS!H42</f>
        <v>625.79999999999995</v>
      </c>
      <c r="D9" t="str">
        <f>Reporting_currency</f>
        <v>USD</v>
      </c>
      <c r="E9" s="344"/>
      <c r="F9" s="344"/>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1.4959784233939497E-2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1.4959784233939497E-2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1.4959784233939497E-2</v>
      </c>
      <c r="E22" s="125">
        <f t="shared" si="0"/>
        <v>0.85733882030178321</v>
      </c>
      <c r="F22" s="126">
        <f t="shared" si="1"/>
        <v>1363.561911978016</v>
      </c>
      <c r="H22" s="121"/>
    </row>
    <row r="23" spans="2:8" x14ac:dyDescent="0.35">
      <c r="B23" s="123">
        <v>3</v>
      </c>
      <c r="C23" s="124">
        <f t="shared" si="2"/>
        <v>1614.2515318315707</v>
      </c>
      <c r="D23" s="139">
        <f>IF($C$17&lt;B23,0,Valuation_Model!$C$16)</f>
        <v>1.4959784233939497E-2</v>
      </c>
      <c r="E23" s="125">
        <f t="shared" si="0"/>
        <v>0.79383224102016958</v>
      </c>
      <c r="F23" s="126">
        <f t="shared" si="1"/>
        <v>1281.4449110840974</v>
      </c>
      <c r="H23" s="121"/>
    </row>
    <row r="24" spans="2:8" x14ac:dyDescent="0.35">
      <c r="B24" s="123">
        <v>4</v>
      </c>
      <c r="C24" s="124">
        <f t="shared" si="2"/>
        <v>1638.4003864470774</v>
      </c>
      <c r="D24" s="139">
        <f>IF($C$17&lt;B24,0,Valuation_Model!$C$16)</f>
        <v>1.4959784233939497E-2</v>
      </c>
      <c r="E24" s="125">
        <f t="shared" si="0"/>
        <v>0.73502985279645328</v>
      </c>
      <c r="F24" s="126">
        <f t="shared" si="1"/>
        <v>1204.2731948718474</v>
      </c>
      <c r="H24" s="121"/>
    </row>
    <row r="25" spans="2:8" x14ac:dyDescent="0.35">
      <c r="B25" s="123">
        <v>5</v>
      </c>
      <c r="C25" s="124">
        <f t="shared" si="2"/>
        <v>1662.9105027171286</v>
      </c>
      <c r="D25" s="139">
        <f>IF($C$17&lt;B25,0,Valuation_Model!$C$16)</f>
        <v>1.4959784233939497E-2</v>
      </c>
      <c r="E25" s="125">
        <f t="shared" si="0"/>
        <v>0.68058319703375303</v>
      </c>
      <c r="F25" s="126">
        <f t="shared" si="1"/>
        <v>1131.7489463202289</v>
      </c>
      <c r="H25" s="121"/>
    </row>
    <row r="26" spans="2:8" x14ac:dyDescent="0.35">
      <c r="B26" s="123">
        <v>6</v>
      </c>
      <c r="C26" s="124">
        <f t="shared" si="2"/>
        <v>1687.7872850381286</v>
      </c>
      <c r="D26" s="139">
        <f>IF($C$17&lt;B26,0,Valuation_Model!$C$16)</f>
        <v>1.4959784233939497E-2</v>
      </c>
      <c r="E26" s="125">
        <f t="shared" si="0"/>
        <v>0.63016962688310452</v>
      </c>
      <c r="F26" s="126">
        <f t="shared" si="1"/>
        <v>1063.5922836705254</v>
      </c>
      <c r="H26" s="121"/>
    </row>
    <row r="27" spans="2:8" x14ac:dyDescent="0.35">
      <c r="B27" s="123">
        <v>7</v>
      </c>
      <c r="C27" s="124">
        <f t="shared" si="2"/>
        <v>1713.0362186550856</v>
      </c>
      <c r="D27" s="139">
        <f>IF($C$17&lt;B27,0,Valuation_Model!$C$16)</f>
        <v>1.4959784233939497E-2</v>
      </c>
      <c r="E27" s="125">
        <f t="shared" si="0"/>
        <v>0.58349039526213387</v>
      </c>
      <c r="F27" s="126">
        <f t="shared" si="1"/>
        <v>999.54018032140709</v>
      </c>
      <c r="H27" s="121"/>
    </row>
    <row r="28" spans="2:8" x14ac:dyDescent="0.35">
      <c r="B28" s="123">
        <v>8</v>
      </c>
      <c r="C28" s="124">
        <f t="shared" si="2"/>
        <v>1738.6628708710896</v>
      </c>
      <c r="D28" s="139">
        <f>IF($C$17&lt;B28,0,Valuation_Model!$C$16)</f>
        <v>1.4959784233939497E-2</v>
      </c>
      <c r="E28" s="125">
        <f t="shared" si="0"/>
        <v>0.54026888450197574</v>
      </c>
      <c r="F28" s="126">
        <f t="shared" si="1"/>
        <v>939.34544977052622</v>
      </c>
      <c r="H28" s="121"/>
    </row>
    <row r="29" spans="2:8" x14ac:dyDescent="0.35">
      <c r="B29" s="123">
        <v>9</v>
      </c>
      <c r="C29" s="124">
        <f t="shared" si="2"/>
        <v>1764.6728922748828</v>
      </c>
      <c r="D29" s="139">
        <f>IF($C$17&lt;B29,0,Valuation_Model!$C$16)</f>
        <v>1.4959784233939497E-2</v>
      </c>
      <c r="E29" s="125">
        <f t="shared" si="0"/>
        <v>0.50024896713145905</v>
      </c>
      <c r="F29" s="126">
        <f t="shared" si="1"/>
        <v>882.77579168539467</v>
      </c>
      <c r="H29" s="121"/>
    </row>
    <row r="30" spans="2:8" x14ac:dyDescent="0.35">
      <c r="B30" s="123">
        <v>10</v>
      </c>
      <c r="C30" s="124">
        <f t="shared" si="2"/>
        <v>1791.0720179867972</v>
      </c>
      <c r="D30" s="139">
        <f>IF($C$17&lt;B30,0,Valuation_Model!$C$16)</f>
        <v>1.4959784233939497E-2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9"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284</v>
      </c>
      <c r="F6" s="100"/>
      <c r="H6" s="276">
        <v>3</v>
      </c>
      <c r="I6" s="264">
        <f t="shared" si="0"/>
        <v>29.903551346473133</v>
      </c>
    </row>
    <row r="7" spans="2:9" ht="12.75" customHeight="1" x14ac:dyDescent="0.35">
      <c r="B7" s="100" t="s">
        <v>278</v>
      </c>
      <c r="C7" s="115">
        <f>Normalized_FCF!G8</f>
        <v>1936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46"/>
      <c r="H7" s="276">
        <v>4</v>
      </c>
      <c r="I7" s="264" t="str">
        <f t="shared" si="0"/>
        <v/>
      </c>
    </row>
    <row r="8" spans="2:9" x14ac:dyDescent="0.35">
      <c r="B8" s="100" t="s">
        <v>66</v>
      </c>
      <c r="C8" s="115">
        <f>Normalized_FCF!G19</f>
        <v>1080</v>
      </c>
      <c r="D8" t="str">
        <f>Reporting_currency</f>
        <v>USD</v>
      </c>
      <c r="E8" s="346"/>
      <c r="F8" s="346"/>
      <c r="H8" s="276">
        <v>5</v>
      </c>
      <c r="I8" s="264" t="str">
        <f t="shared" si="0"/>
        <v/>
      </c>
    </row>
    <row r="9" spans="2:9" x14ac:dyDescent="0.35">
      <c r="B9" s="100" t="s">
        <v>57</v>
      </c>
      <c r="C9" s="201">
        <f>Normalized_FCF!C19</f>
        <v>1543.9196817753634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1.1498217877581318E-4</v>
      </c>
      <c r="D12" s="159"/>
      <c r="E12" s="346"/>
      <c r="F12" s="346"/>
      <c r="H12" s="276">
        <v>9</v>
      </c>
      <c r="I12" s="264" t="str">
        <f t="shared" si="0"/>
        <v/>
      </c>
    </row>
    <row r="13" spans="2:9" x14ac:dyDescent="0.35">
      <c r="B13" s="149" t="s">
        <v>153</v>
      </c>
      <c r="C13" s="159">
        <f ca="1">(Normalized_FCF!G8/OFFSET(Normalized_FCF!G8, 0, $C$4))^(1/$C$4) - 1</f>
        <v>-0.25742105972151286</v>
      </c>
      <c r="E13" s="346"/>
      <c r="F13" s="346"/>
      <c r="H13" s="276">
        <v>10</v>
      </c>
      <c r="I13" s="264" t="str">
        <f t="shared" si="0"/>
        <v/>
      </c>
    </row>
    <row r="14" spans="2:9" x14ac:dyDescent="0.35">
      <c r="B14" s="100" t="s">
        <v>66</v>
      </c>
      <c r="C14" s="159">
        <f ca="1">(Normalized_FCF!G19/OFFSET(Normalized_FCF!G19, 0, $C$4))^(1/$C$4) - 1</f>
        <v>-0.3351523510141251</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10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20.079999999999998</v>
      </c>
      <c r="D21" t="str">
        <f>Market_currency</f>
        <v>USD</v>
      </c>
      <c r="E21" s="347"/>
      <c r="F21" s="347"/>
    </row>
    <row r="22" spans="2:6" x14ac:dyDescent="0.35">
      <c r="B22" s="100" t="s">
        <v>283</v>
      </c>
      <c r="C22" s="161">
        <f>Valuation_Model!C12</f>
        <v>26.591820192356398</v>
      </c>
      <c r="D22" t="str">
        <f>Market_currency</f>
        <v>USD</v>
      </c>
      <c r="E22" s="347"/>
      <c r="F22" s="347"/>
    </row>
    <row r="24" spans="2:6" ht="13.15" x14ac:dyDescent="0.4">
      <c r="B24" s="160" t="s">
        <v>116</v>
      </c>
      <c r="E24" s="160" t="s">
        <v>150</v>
      </c>
      <c r="F24" s="160"/>
    </row>
    <row r="25" spans="2:6" x14ac:dyDescent="0.35">
      <c r="B25" s="153" t="s">
        <v>134</v>
      </c>
      <c r="C25" s="167">
        <f>C18</f>
        <v>10</v>
      </c>
      <c r="D25" s="164"/>
      <c r="E25" s="345"/>
      <c r="F25" s="345"/>
    </row>
    <row r="26" spans="2:6" x14ac:dyDescent="0.35">
      <c r="B26" s="119" t="s">
        <v>135</v>
      </c>
      <c r="C26" s="165">
        <v>1.4999999999999999E-2</v>
      </c>
      <c r="D26" s="165"/>
      <c r="E26" s="345"/>
      <c r="F26" s="345"/>
    </row>
    <row r="27" spans="2:6" x14ac:dyDescent="0.35">
      <c r="B27" s="100" t="s">
        <v>114</v>
      </c>
      <c r="C27" s="161">
        <f>Valuation_Model!E76</f>
        <v>29.318191600940459</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10</v>
      </c>
      <c r="D31" s="164"/>
      <c r="E31" s="345"/>
      <c r="F31" s="345"/>
    </row>
    <row r="32" spans="2:6" x14ac:dyDescent="0.35">
      <c r="B32" s="119" t="s">
        <v>135</v>
      </c>
      <c r="C32" s="165">
        <v>-0.01</v>
      </c>
      <c r="D32" s="165"/>
      <c r="E32" s="345"/>
      <c r="F32" s="345"/>
    </row>
    <row r="33" spans="2:6" x14ac:dyDescent="0.35">
      <c r="B33" s="100" t="s">
        <v>114</v>
      </c>
      <c r="C33" s="161">
        <f>Valuation_Model!E77</f>
        <v>24.878000087289131</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10</v>
      </c>
      <c r="D37" s="164"/>
      <c r="E37" s="345"/>
      <c r="F37" s="345"/>
    </row>
    <row r="38" spans="2:6" x14ac:dyDescent="0.35">
      <c r="B38" s="119" t="s">
        <v>135</v>
      </c>
      <c r="C38" s="165">
        <v>3.5000000000000003E-2</v>
      </c>
      <c r="D38" s="165"/>
      <c r="E38" s="345"/>
      <c r="F38" s="345"/>
    </row>
    <row r="39" spans="2:6" x14ac:dyDescent="0.35">
      <c r="B39" s="100" t="s">
        <v>114</v>
      </c>
      <c r="C39" s="161">
        <f>Valuation_Model!E75</f>
        <v>33.269887669660939</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5"/>
      <c r="F49" s="345"/>
    </row>
    <row r="50" spans="2:6" x14ac:dyDescent="0.35">
      <c r="B50" s="119" t="s">
        <v>135</v>
      </c>
      <c r="C50" s="165">
        <v>-0.05</v>
      </c>
      <c r="D50" s="165"/>
      <c r="E50" s="345"/>
      <c r="F50" s="345"/>
    </row>
    <row r="51" spans="2:6" x14ac:dyDescent="0.35">
      <c r="B51" s="100" t="s">
        <v>114</v>
      </c>
      <c r="C51" s="161">
        <f>Valuation_Model!E78</f>
        <v>15.121055640471935</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15</v>
      </c>
      <c r="D55" s="164"/>
      <c r="E55" s="345"/>
      <c r="F55" s="345"/>
    </row>
    <row r="56" spans="2:6" x14ac:dyDescent="0.35">
      <c r="B56" s="119" t="s">
        <v>135</v>
      </c>
      <c r="C56" s="165">
        <v>5.5E-2</v>
      </c>
      <c r="D56" s="165"/>
      <c r="E56" s="345"/>
      <c r="F56" s="345"/>
    </row>
    <row r="57" spans="2:6" x14ac:dyDescent="0.35">
      <c r="B57" s="100" t="s">
        <v>114</v>
      </c>
      <c r="C57" s="161">
        <f>Valuation_Model!E74</f>
        <v>45.548751974251395</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29.309951346473134</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10</v>
      </c>
      <c r="D64" s="151"/>
      <c r="E64" s="281" t="s">
        <v>410</v>
      </c>
    </row>
    <row r="65" spans="2:6" x14ac:dyDescent="0.35">
      <c r="B65" s="119" t="s">
        <v>135</v>
      </c>
      <c r="C65" s="152">
        <v>1.4959784233939497E-2</v>
      </c>
      <c r="D65" s="152"/>
      <c r="E65" s="281" t="s">
        <v>323</v>
      </c>
    </row>
    <row r="66" spans="2:6" x14ac:dyDescent="0.35">
      <c r="B66" s="100" t="s">
        <v>103</v>
      </c>
      <c r="C66" s="161">
        <f>Valuation_Model!C18</f>
        <v>29.310620301790603</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0.59360000000000002</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312</v>
      </c>
    </row>
    <row r="86" spans="2:8" x14ac:dyDescent="0.35">
      <c r="B86" s="149" t="s">
        <v>310</v>
      </c>
      <c r="C86" s="266">
        <f>Market_Price</f>
        <v>20.079999999999998</v>
      </c>
      <c r="D86" t="str">
        <f>Market_currency</f>
        <v>USD</v>
      </c>
    </row>
    <row r="87" spans="2:8" ht="13.15" x14ac:dyDescent="0.4">
      <c r="B87" s="100" t="s">
        <v>308</v>
      </c>
      <c r="C87" s="265">
        <f ca="1">IRR(OFFSET($I$3, 0, 0, $C$76 + 1, 1))</f>
        <v>0.16060765378265396</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