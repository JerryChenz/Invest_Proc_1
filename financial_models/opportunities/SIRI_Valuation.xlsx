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1A1A8A1-4257-4C0F-997B-5024DCEC7EAD}" xr6:coauthVersionLast="47" xr6:coauthVersionMax="47" xr10:uidLastSave="{00000000-0000-0000-0000-000000000000}"/>
  <bookViews>
    <workbookView xWindow="1103" yWindow="1103"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I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<sst xmlns="http://schemas.openxmlformats.org/spreadsheetml/2006/main" count="836" uniqueCount="560">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</sst>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662652A-510E-4396-9AB0-DF7801887B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338656000</v>
          </cell>
        </row>
        <row r="12">
          <cell r="C12">
            <v>24.27</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21.18</v>
      </c>
      <c r="D12" s="50"/>
      <c r="E12" s="48"/>
    </row>
    <row r="13" spans="1:10">
      <c r="B13" s="1" t="s">
        <v>485</v>
      </c>
      <c r="C13" s="32" t="str">
        <f>Market_currency</f>
        <v>USD</v>
      </c>
      <c r="D13" s="48"/>
      <c r="E13" s="5"/>
    </row>
    <row r="14" spans="1:10">
      <c r="B14" s="4" t="s">
        <v>486</v>
      </c>
      <c r="C14" s="35">
        <f>投资主题!C12*Common_Shares/1000000</f>
        <v>7172.7340800000002</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33.230161875234657</v>
      </c>
      <c r="D26" s="1" t="s">
        <v>446</v>
      </c>
      <c r="E26" s="301">
        <f ca="1">Scenarios!C87</f>
        <v>0.17902473459302337</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14.210808951982788</v>
      </c>
      <c r="D29" s="310" t="str">
        <f>D149</f>
        <v/>
      </c>
      <c r="E29" s="306" t="s">
        <v>455</v>
      </c>
      <c r="F29" s="362">
        <f>Thesis!F29</f>
        <v>0.35</v>
      </c>
    </row>
    <row r="30" spans="2:6">
      <c r="B30" s="1" t="s">
        <v>450</v>
      </c>
      <c r="C30" s="311">
        <f>C157</f>
        <v>17.824937920120146</v>
      </c>
      <c r="D30" s="311" t="str">
        <f>D157</f>
        <v/>
      </c>
      <c r="E30" s="307" t="s">
        <v>454</v>
      </c>
      <c r="F30" s="224">
        <f>Thesis!F30</f>
        <v>0.25</v>
      </c>
    </row>
    <row r="31" spans="2:6">
      <c r="B31" s="1" t="s">
        <v>451</v>
      </c>
      <c r="C31" s="311">
        <f>C165</f>
        <v>27.829540483416785</v>
      </c>
      <c r="D31" s="311" t="str">
        <f>D165</f>
        <v/>
      </c>
      <c r="E31" s="307" t="s">
        <v>491</v>
      </c>
      <c r="F31" s="224">
        <f>Thesis!F31</f>
        <v>7.4999999999999997E-2</v>
      </c>
    </row>
    <row r="32" spans="2:6">
      <c r="B32" s="1" t="s">
        <v>452</v>
      </c>
      <c r="C32" s="311">
        <f>C173</f>
        <v>24.820548736528732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495</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0.21524842055421123</v>
      </c>
      <c r="F69" s="314"/>
    </row>
    <row r="70" spans="1:6">
      <c r="B70" s="227" t="s">
        <v>434</v>
      </c>
      <c r="C70" s="92">
        <f>Normalized_FCF!C94</f>
        <v>1.9618508026440037E-2</v>
      </c>
      <c r="E70" s="47" t="s">
        <v>503</v>
      </c>
      <c r="F70" s="315">
        <f>Normalized_FCF!C92</f>
        <v>0.130205090311977</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4" t="s">
        <v>516</v>
      </c>
      <c r="C116" s="374"/>
      <c r="D116" s="374"/>
      <c r="E116" s="374"/>
      <c r="F116" s="374"/>
    </row>
    <row r="118" spans="1:6">
      <c r="B118" s="47" t="s">
        <v>517</v>
      </c>
      <c r="C118" s="223">
        <f>IF(valuation_method="DCF",DCF!C12,DDM!C7)</f>
        <v>30.39095481513823</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0.41552</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532</v>
      </c>
      <c r="C150" s="298" t="str">
        <f>Market_currency</f>
        <v>USD</v>
      </c>
      <c r="D150" s="298" t="str">
        <f>IF($D$11="","",D$13)</f>
        <v/>
      </c>
    </row>
    <row r="151" spans="2:4">
      <c r="B151" s="214" t="s">
        <v>533</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532</v>
      </c>
      <c r="C158" s="298" t="str">
        <f>Market_currency</f>
        <v>USD</v>
      </c>
      <c r="D158" s="298" t="str">
        <f>IF($D$11="","",D$13)</f>
        <v/>
      </c>
    </row>
    <row r="159" spans="2:4">
      <c r="B159" s="214" t="s">
        <v>533</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532</v>
      </c>
      <c r="C166" s="298" t="str">
        <f>Market_currency</f>
        <v>USD</v>
      </c>
      <c r="D166" s="298" t="str">
        <f>IF($D$11="","",D$13)</f>
        <v/>
      </c>
    </row>
    <row r="167" spans="2:4">
      <c r="B167" s="214" t="s">
        <v>533</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532</v>
      </c>
      <c r="C174" s="298" t="str">
        <f>Market_currency</f>
        <v>USD</v>
      </c>
      <c r="D174" s="298" t="str">
        <f>IF($D$11="","",D$13)</f>
        <v/>
      </c>
    </row>
    <row r="175" spans="2:4">
      <c r="B175" s="214" t="s">
        <v>533</v>
      </c>
      <c r="C175" s="92">
        <f>Scenarios!F105</f>
        <v>0.25302615290709396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21.18</v>
      </c>
      <c r="D12" s="50"/>
      <c r="E12" s="48"/>
    </row>
    <row r="13" spans="1:10">
      <c r="B13" s="1" t="s">
        <v>464</v>
      </c>
      <c r="C13" s="48" t="s">
        <v>555</v>
      </c>
      <c r="D13" s="48"/>
      <c r="E13" s="5"/>
    </row>
    <row r="14" spans="1:10">
      <c r="B14" s="4" t="s">
        <v>465</v>
      </c>
      <c r="C14" s="35">
        <f>Thesis!C12*Common_Shares/1000000</f>
        <v>7172.7340800000002</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33.230161875234657</v>
      </c>
      <c r="D26" s="1" t="s">
        <v>380</v>
      </c>
      <c r="E26" s="301">
        <f ca="1">Scenarios!C87</f>
        <v>0.17902473459302337</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14.210808951982788</v>
      </c>
      <c r="D29" s="310" t="str">
        <f>D149</f>
        <v/>
      </c>
      <c r="E29" s="306" t="s">
        <v>400</v>
      </c>
      <c r="F29" s="302">
        <v>0.35</v>
      </c>
    </row>
    <row r="30" spans="2:6">
      <c r="B30" s="1" t="s">
        <v>402</v>
      </c>
      <c r="C30" s="311">
        <f>C157</f>
        <v>17.824937920120146</v>
      </c>
      <c r="D30" s="311" t="str">
        <f>D157</f>
        <v/>
      </c>
      <c r="E30" s="307" t="s">
        <v>413</v>
      </c>
      <c r="F30" s="312">
        <v>0.25</v>
      </c>
    </row>
    <row r="31" spans="2:6">
      <c r="B31" s="1" t="s">
        <v>403</v>
      </c>
      <c r="C31" s="311">
        <f>C165</f>
        <v>27.829540483416785</v>
      </c>
      <c r="D31" s="311" t="str">
        <f>D165</f>
        <v/>
      </c>
      <c r="E31" s="307" t="s">
        <v>412</v>
      </c>
      <c r="F31" s="312">
        <v>7.4999999999999997E-2</v>
      </c>
    </row>
    <row r="32" spans="2:6">
      <c r="B32" s="1" t="s">
        <v>404</v>
      </c>
      <c r="C32" s="311">
        <f>C173</f>
        <v>24.820548736528732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229</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0.21524842055421123</v>
      </c>
      <c r="F69" s="314"/>
    </row>
    <row r="70" spans="1:6">
      <c r="B70" s="227" t="s">
        <v>434</v>
      </c>
      <c r="C70" s="92">
        <f>Normalized_FCF!C94</f>
        <v>1.9618508026440037E-2</v>
      </c>
      <c r="E70" s="47" t="s">
        <v>424</v>
      </c>
      <c r="F70" s="315">
        <f>Normalized_FCF!C92</f>
        <v>0.130205090311977</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4" t="s">
        <v>352</v>
      </c>
      <c r="C116" s="374"/>
      <c r="D116" s="374"/>
      <c r="E116" s="374"/>
      <c r="F116" s="374"/>
    </row>
    <row r="118" spans="1:6">
      <c r="B118" s="47" t="s">
        <v>425</v>
      </c>
      <c r="C118" s="223">
        <f>IF(valuation_method="DCF",DCF!C12,DDM!C7)</f>
        <v>30.39095481513823</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0.41552</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395</v>
      </c>
      <c r="C150" s="298" t="str">
        <f>Market_currency</f>
        <v>USD</v>
      </c>
      <c r="D150" s="298" t="str">
        <f>IF($D$11="","",D$13)</f>
        <v/>
      </c>
    </row>
    <row r="151" spans="2:4">
      <c r="B151" s="214" t="s">
        <v>258</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395</v>
      </c>
      <c r="C158" s="298" t="str">
        <f>Market_currency</f>
        <v>USD</v>
      </c>
      <c r="D158" s="298" t="str">
        <f>IF($D$11="","",D$13)</f>
        <v/>
      </c>
    </row>
    <row r="159" spans="2:4">
      <c r="B159" s="214" t="s">
        <v>258</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395</v>
      </c>
      <c r="C166" s="298" t="str">
        <f>Market_currency</f>
        <v>USD</v>
      </c>
      <c r="D166" s="298" t="str">
        <f>IF($D$11="","",D$13)</f>
        <v/>
      </c>
    </row>
    <row r="167" spans="2:4">
      <c r="B167" s="214" t="s">
        <v>258</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395</v>
      </c>
      <c r="C174" s="298" t="str">
        <f>Market_currency</f>
        <v>USD</v>
      </c>
      <c r="D174" s="298" t="str">
        <f>IF($D$11="","",D$13)</f>
        <v/>
      </c>
    </row>
    <row r="175" spans="2:4">
      <c r="B175" s="214" t="s">
        <v>258</v>
      </c>
      <c r="C175" s="92">
        <f>Scenarios!F105</f>
        <v>0.25302615290709396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-372.31656312939253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-580.33551679999994</v>
      </c>
      <c r="D73" s="349">
        <f>(Normalized_FCF!C25+Normalized_FCF!C35-Normalized_FCF!C91)/12</f>
        <v>-534.31656312939253</v>
      </c>
      <c r="F73" s="1" t="s">
        <v>342</v>
      </c>
    </row>
    <row r="74" spans="2:6" ht="15" customHeight="1">
      <c r="B74" s="257" t="s">
        <v>312</v>
      </c>
      <c r="C74" s="258">
        <f>-$C$66/C73</f>
        <v>0.27914886356305812</v>
      </c>
      <c r="D74" s="258">
        <f>-$C$66/D73</f>
        <v>0.30319105036010147</v>
      </c>
      <c r="F74" s="253" t="s">
        <v>310</v>
      </c>
    </row>
    <row r="75" spans="2:6" ht="15" customHeight="1">
      <c r="B75" s="80" t="s">
        <v>311</v>
      </c>
      <c r="C75" s="320"/>
      <c r="D75" s="321">
        <f>MAX(-D73*D76,G5)</f>
        <v>534.31656312939253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-372.31656312939253</v>
      </c>
      <c r="D87" s="223">
        <f>C87*scaling_factor/Common_Shares</f>
        <v>-1.0993945571003985</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1.9618508026440037E-2</v>
      </c>
      <c r="E94" s="268"/>
      <c r="G94" s="23">
        <f t="shared" ref="G94:Q94" si="39">IF(G$4="","",(G90*(1-dividend_tax_rate))/Market_Price)</f>
        <v>1.9618508026440037E-2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0.21524842055421123</v>
      </c>
      <c r="D126" s="27"/>
      <c r="E126" s="265"/>
      <c r="F126" s="27"/>
      <c r="G126" s="77">
        <f t="shared" ref="G126" si="50">IF(G$4="","",G125/Market_Price)</f>
        <v>0.15057019930676141</v>
      </c>
      <c r="H126" s="77">
        <f t="shared" ref="H126" si="51">IF(H$4="","",H125/Market_Price)</f>
        <v>0.12700875145227744</v>
      </c>
      <c r="I126" s="77">
        <f t="shared" ref="I126" si="52">IF(I$4="","",I125/Market_Price)</f>
        <v>0.47527204577476817</v>
      </c>
      <c r="J126" s="77">
        <f t="shared" ref="J126" si="53">IF(J$4="","",J125/Market_Price)</f>
        <v>0.51235692819661871</v>
      </c>
      <c r="K126" s="77">
        <f t="shared" ref="K126" si="54">IF(K$4="","",K125/Market_Price)</f>
        <v>0.47122895708967927</v>
      </c>
      <c r="L126" s="77">
        <f t="shared" ref="L126" si="55">IF(L$4="","",L125/Market_Price)</f>
        <v>0.51500584836960805</v>
      </c>
      <c r="M126" s="77">
        <f t="shared" ref="M126" si="56">IF(M$4="","",M125/Market_Price)</f>
        <v>0.39975439881356928</v>
      </c>
      <c r="N126" s="77">
        <f t="shared" ref="N126" si="57">IF(N$4="","",N125/Market_Price)</f>
        <v>0.32916681054485714</v>
      </c>
      <c r="O126" s="77">
        <f t="shared" ref="O126" si="58">IF(O$4="","",O125/Market_Price)</f>
        <v>0.32720312419556485</v>
      </c>
      <c r="P126" s="77">
        <f t="shared" ref="P126" si="59">IF(P$4="","",P125/Market_Price)</f>
        <v>0.28518427940939367</v>
      </c>
      <c r="Q126" s="77" t="str">
        <f t="shared" ref="Q126" si="60">IF(Q$4="","",Q125/Market_Price)</f>
        <v/>
      </c>
    </row>
    <row r="127" spans="1:17" ht="15.75" customHeight="1">
      <c r="B127" s="2" t="s">
        <v>375</v>
      </c>
      <c r="C127" s="169"/>
      <c r="G127" s="23">
        <f>IF(G$4="","",(Data!C47*$C$3)/(Market_Price*Common_Shares))</f>
        <v>-0.28928996626067588</v>
      </c>
      <c r="H127" s="23">
        <f>IF(H$4="","",(Data!D47*$C$3)/(Market_Price*Common_Shares))</f>
        <v>0.17538639882213505</v>
      </c>
      <c r="I127" s="23">
        <f>IF(I$4="","",(Data!E47*$C$3)/(Market_Price*Common_Shares))</f>
        <v>0.16911264051768668</v>
      </c>
      <c r="J127" s="23">
        <f>IF(J$4="","",(Data!F47*$C$3)/(Market_Price*Common_Shares))</f>
        <v>0.18319374248989306</v>
      </c>
      <c r="K127" s="23">
        <f>IF(K$4="","",(Data!G47*$C$3)/(Market_Price*Common_Shares))</f>
        <v>1.8263607508505319E-2</v>
      </c>
      <c r="L127" s="23">
        <f>IF(L$4="","",(Data!H47*$C$3)/(Market_Price*Common_Shares))</f>
        <v>0.12742700200590734</v>
      </c>
      <c r="M127" s="23">
        <f>IF(M$4="","",(Data!I47*$C$3)/(Market_Price*Common_Shares))</f>
        <v>0.16393929941983854</v>
      </c>
      <c r="N127" s="23">
        <f>IF(N$4="","",(Data!J47*$C$3)/(Market_Price*Common_Shares))</f>
        <v>9.0329293233745528E-2</v>
      </c>
      <c r="O127" s="23">
        <f>IF(O$4="","",(Data!K47*$C$3)/(Market_Price*Common_Shares))</f>
        <v>0.10399563007360228</v>
      </c>
      <c r="P127" s="23">
        <f>IF(P$4="","",(Data!L47*$C$3)/(Market_Price*Common_Shares))</f>
        <v>7.1064115066147834E-2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-372.31656312939253</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10292.079193875452</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30.39095481513823</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33.228136210024012</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140.71834111999999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1876.2445482666667</v>
      </c>
      <c r="D6" t="str">
        <f>Reporting_currency</f>
        <v>USD</v>
      </c>
      <c r="E6" s="378"/>
      <c r="F6" s="378"/>
      <c r="H6" s="120"/>
    </row>
    <row r="7" spans="2:8" ht="13.15">
      <c r="B7" s="149" t="s">
        <v>420</v>
      </c>
      <c r="C7" s="111">
        <f>(C6*scaling_factor)/Common_Shares*Exchange_Rate</f>
        <v>5.5402666666666667</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5.7988574884934616</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1904.3127618788412</v>
      </c>
      <c r="D46" s="139">
        <f>Terminal_Growth</f>
        <v>0</v>
      </c>
      <c r="E46" s="124">
        <f>1/(1+Equity_Cost)^C12</f>
        <v>0.48519392830146441</v>
      </c>
      <c r="F46" s="125">
        <f t="shared" si="1"/>
        <v>923.96098965060617</v>
      </c>
      <c r="H46" s="120"/>
    </row>
    <row r="47" spans="2:8">
      <c r="C47" s="114"/>
      <c r="E47" s="127" t="s">
        <v>97</v>
      </c>
      <c r="F47" s="137">
        <f>SUM(F16:F46)</f>
        <v>1963.8178816232416</v>
      </c>
      <c r="H47" s="120"/>
    </row>
    <row r="48" spans="2:8">
      <c r="C48" s="114"/>
      <c r="H48" s="120"/>
    </row>
    <row r="49" spans="1:8" ht="13.15">
      <c r="B49" s="119" t="s">
        <v>125</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-21.18</v>
      </c>
    </row>
    <row r="4" spans="2:9">
      <c r="B4" s="152" t="s">
        <v>142</v>
      </c>
      <c r="C4" s="120">
        <v>3</v>
      </c>
      <c r="D4" s="120"/>
      <c r="E4" s="155" t="s">
        <v>146</v>
      </c>
      <c r="F4" s="155"/>
      <c r="H4" s="247">
        <v>1</v>
      </c>
      <c r="I4" s="124">
        <f t="shared" ref="I4:I13" si="0">IF(ROW()-3 &lt; $C$76, $C$77, IF(ROW()-3 = $C$76, $C$77 + $C$60, ""))</f>
        <v>0.41552</v>
      </c>
    </row>
    <row r="5" spans="2:9">
      <c r="H5" s="247">
        <v>2</v>
      </c>
      <c r="I5" s="124">
        <f t="shared" si="0"/>
        <v>0.41552</v>
      </c>
    </row>
    <row r="6" spans="2:9" ht="13.15">
      <c r="B6" s="159" t="s">
        <v>92</v>
      </c>
      <c r="C6" s="107">
        <f>DCF!C3</f>
        <v>1000000</v>
      </c>
      <c r="E6" s="100" t="s">
        <v>274</v>
      </c>
      <c r="F6" s="100"/>
      <c r="H6" s="247">
        <v>3</v>
      </c>
      <c r="I6" s="124">
        <f t="shared" si="0"/>
        <v>33.645681875234658</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21.18</v>
      </c>
      <c r="D21" t="str">
        <f>Market_currency</f>
        <v>USD</v>
      </c>
      <c r="E21" s="381"/>
      <c r="F21" s="381"/>
    </row>
    <row r="22" spans="2:6">
      <c r="B22" s="100" t="s">
        <v>273</v>
      </c>
      <c r="C22" s="160">
        <f>IF(valuation_method="DCF",DCF!C12,DDM!C7)</f>
        <v>30.39095481513823</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33.236035365323517</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28.601780673645852</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37.357649019369674</v>
      </c>
      <c r="D39" t="str">
        <f>Market_currency</f>
        <v>USD</v>
      </c>
      <c r="E39" s="379"/>
      <c r="F39" s="379"/>
    </row>
    <row r="40" spans="2:6">
      <c r="B40" s="100" t="s">
        <v>143</v>
      </c>
      <c r="C40" s="167">
        <f>1-C28-C34</f>
        <v>0.25</v>
      </c>
      <c r="D40" s="165"/>
      <c r="E40" s="379"/>
      <c r="F40" s="379"/>
    </row>
    <row r="42" spans="2:6" ht="13.15">
      <c r="B42" s="100" t="s">
        <v>116</v>
      </c>
      <c r="C42" s="154">
        <f>C27*C28+C33*C34+C39*C40</f>
        <v>33.107875105915639</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18.344294236762746</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50.317191361448984</v>
      </c>
      <c r="D57" t="str">
        <f>Market_currency</f>
        <v>USD</v>
      </c>
      <c r="E57" s="379"/>
      <c r="F57" s="379"/>
    </row>
    <row r="58" spans="2:6">
      <c r="B58" s="100" t="s">
        <v>143</v>
      </c>
      <c r="C58" s="165">
        <v>0.05</v>
      </c>
      <c r="D58" s="165"/>
      <c r="E58" s="379"/>
      <c r="F58" s="379"/>
    </row>
    <row r="60" spans="2:6" ht="13.15">
      <c r="B60" s="100" t="s">
        <v>116</v>
      </c>
      <c r="C60" s="154">
        <f>C51*C52+C57*C58+C42*(1-C52-C58)</f>
        <v>33.230161875234657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33.228136210024012</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-0.91468706241914388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0.41552</v>
      </c>
      <c r="D77" t="str">
        <f>Market_currency</f>
        <v>USD</v>
      </c>
    </row>
    <row r="79" spans="2:6" ht="13.15">
      <c r="B79" s="109" t="s">
        <v>296</v>
      </c>
    </row>
    <row r="80" spans="2:6">
      <c r="B80" s="148" t="s">
        <v>294</v>
      </c>
      <c r="C80" s="167">
        <f>Thesis!F29</f>
        <v>0.35</v>
      </c>
    </row>
    <row r="81" spans="2:8">
      <c r="B81" s="100" t="s">
        <v>117</v>
      </c>
      <c r="C81" s="116">
        <f>PV(C80, C76, -C77, 0)</f>
        <v>0.70467193009195761</v>
      </c>
      <c r="D81" s="116"/>
      <c r="E81" s="100"/>
      <c r="F81" s="100"/>
    </row>
    <row r="82" spans="2:8">
      <c r="B82" s="100" t="s">
        <v>118</v>
      </c>
      <c r="C82" s="116">
        <f>C60/(1+C80)^C76</f>
        <v>13.506137021890829</v>
      </c>
      <c r="D82" s="116"/>
    </row>
    <row r="83" spans="2:8" ht="13.15">
      <c r="B83" s="110" t="s">
        <v>98</v>
      </c>
      <c r="C83" s="111">
        <f>C81+C82</f>
        <v>14.210808951982788</v>
      </c>
      <c r="D83" t="str">
        <f>Market_currency</f>
        <v>USD</v>
      </c>
      <c r="E83" s="146" t="s">
        <v>122</v>
      </c>
      <c r="F83" s="291">
        <f>(1-C83/C60)</f>
        <v>0.57235209971776768</v>
      </c>
    </row>
    <row r="84" spans="2:8">
      <c r="E84" s="120"/>
    </row>
    <row r="85" spans="2:8" ht="13.15">
      <c r="B85" s="109" t="s">
        <v>297</v>
      </c>
    </row>
    <row r="86" spans="2:8">
      <c r="B86" s="148" t="s">
        <v>295</v>
      </c>
      <c r="C86" s="116">
        <f>Market_Price</f>
        <v>21.18</v>
      </c>
      <c r="D86" t="str">
        <f>Market_currency</f>
        <v>USD</v>
      </c>
    </row>
    <row r="87" spans="2:8" ht="13.15">
      <c r="B87" s="100" t="s">
        <v>293</v>
      </c>
      <c r="C87" s="237">
        <f ca="1">IRR(OFFSET($I$3, 0, 0, $C$76 + 1, 1))</f>
        <v>0.17902473459302337</v>
      </c>
    </row>
    <row r="88" spans="2:8">
      <c r="B88" s="100"/>
    </row>
    <row r="89" spans="2:8" ht="13.15">
      <c r="B89" s="109" t="s">
        <v>392</v>
      </c>
    </row>
    <row r="90" spans="2:8">
      <c r="B90" s="148" t="s">
        <v>393</v>
      </c>
      <c r="C90" s="167">
        <f>Thesis!F30</f>
        <v>0.25</v>
      </c>
    </row>
    <row r="91" spans="2:8">
      <c r="B91" s="100" t="s">
        <v>117</v>
      </c>
      <c r="C91" s="116">
        <f>PV(C90, C76, -C77, 0)</f>
        <v>0.81109503999999999</v>
      </c>
      <c r="D91" s="116"/>
      <c r="E91" s="100"/>
      <c r="F91" s="100"/>
    </row>
    <row r="92" spans="2:8">
      <c r="B92" s="100" t="s">
        <v>118</v>
      </c>
      <c r="C92" s="116">
        <f>C60/(1+C90)^C76</f>
        <v>17.013842880120144</v>
      </c>
      <c r="D92" s="116"/>
    </row>
    <row r="93" spans="2:8" ht="13.15">
      <c r="B93" s="110" t="s">
        <v>98</v>
      </c>
      <c r="C93" s="111">
        <f>C91+C92</f>
        <v>17.824937920120146</v>
      </c>
      <c r="D93" t="str">
        <f>Market_currency</f>
        <v>USD</v>
      </c>
      <c r="E93" s="146" t="s">
        <v>122</v>
      </c>
      <c r="F93" s="291">
        <f>(1-C93/C60)</f>
        <v>0.46359160129748023</v>
      </c>
    </row>
    <row r="95" spans="2:8" ht="13.15">
      <c r="B95" s="109" t="s">
        <v>378</v>
      </c>
      <c r="G95" s="2"/>
      <c r="H95" s="281"/>
    </row>
    <row r="96" spans="2:8">
      <c r="B96" s="148" t="s">
        <v>383</v>
      </c>
      <c r="C96" s="134">
        <f>Thesis!F31</f>
        <v>7.4999999999999997E-2</v>
      </c>
      <c r="G96" s="2"/>
      <c r="H96" s="281"/>
    </row>
    <row r="97" spans="2:8">
      <c r="B97" s="100" t="s">
        <v>117</v>
      </c>
      <c r="C97" s="116">
        <f>PV(C96, C76, -C77, 0)</f>
        <v>1.0805704554315967</v>
      </c>
      <c r="D97" s="116"/>
      <c r="G97" s="2"/>
      <c r="H97" s="281"/>
    </row>
    <row r="98" spans="2:8">
      <c r="B98" s="100" t="s">
        <v>118</v>
      </c>
      <c r="C98" s="116">
        <f>C60/(1+C96)^C76</f>
        <v>26.748970027985187</v>
      </c>
      <c r="D98" s="116"/>
      <c r="G98" s="2"/>
      <c r="H98" s="281"/>
    </row>
    <row r="99" spans="2:8" ht="13.15">
      <c r="B99" s="110" t="s">
        <v>379</v>
      </c>
      <c r="C99" s="111">
        <f>C97+C98</f>
        <v>27.829540483416785</v>
      </c>
      <c r="D99" t="s">
        <v>377</v>
      </c>
      <c r="E99" s="146" t="s">
        <v>122</v>
      </c>
      <c r="F99" s="291">
        <f>(1-C99/C60)</f>
        <v>0.16252166968355264</v>
      </c>
    </row>
    <row r="100" spans="2:8">
      <c r="B100" s="100"/>
    </row>
    <row r="101" spans="2:8" ht="13.15">
      <c r="B101" s="109" t="s">
        <v>398</v>
      </c>
    </row>
    <row r="102" spans="2:8">
      <c r="B102" s="148" t="s">
        <v>397</v>
      </c>
      <c r="C102" s="134">
        <f>Thesis!F32</f>
        <v>0.1174</v>
      </c>
    </row>
    <row r="103" spans="2:8">
      <c r="B103" s="100" t="s">
        <v>117</v>
      </c>
      <c r="C103" s="116">
        <f>PV(C102, C76, -C77, 0)</f>
        <v>1.0024848508900275</v>
      </c>
      <c r="D103" s="116"/>
    </row>
    <row r="104" spans="2:8">
      <c r="B104" s="100" t="s">
        <v>118</v>
      </c>
      <c r="C104" s="116">
        <f>C60/(1+C102)^C76</f>
        <v>23.818063885638704</v>
      </c>
      <c r="D104" s="116"/>
    </row>
    <row r="105" spans="2:8" ht="13.15">
      <c r="B105" s="110" t="s">
        <v>379</v>
      </c>
      <c r="C105" s="111">
        <f>C103+C104</f>
        <v>24.820548736528732</v>
      </c>
      <c r="D105" t="s">
        <v>377</v>
      </c>
      <c r="E105" s="146" t="s">
        <v>122</v>
      </c>
      <c r="F105" s="291">
        <f>(1-C105/C66)</f>
        <v>0.25302615290709396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75127-6726-4527-9427-2DE89C7D80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2025-08-04T10:32:02Z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