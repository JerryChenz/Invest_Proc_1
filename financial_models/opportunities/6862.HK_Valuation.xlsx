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5F94B03A-733F-4D01-8ACE-82C84E562D05}"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Breakdown" sheetId="11" r:id="rId7"/>
    <sheet name="投资主题" sheetId="12" r:id="rId8"/>
  </sheets>
  <definedNames>
    <definedName name="_xlnm._FilterDatabase" localSheetId="4" hidden="1">DCF!$B$73:$J$73</definedName>
    <definedName name="Common_Shares">Thesis!$C$6</definedName>
    <definedName name="dividend_tax_rate">Normalized_FCF!$C$91</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Thesis!$E$23</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 i="2" l="1"/>
  <c r="D9" i="4"/>
  <c r="C9" i="4"/>
  <c r="C29" i="2"/>
  <c r="H12" i="3"/>
  <c r="G12" i="3"/>
  <c r="G7" i="3"/>
  <c r="C4" i="3"/>
  <c r="G17" i="3"/>
  <c r="C19" i="3"/>
  <c r="D6" i="4"/>
  <c r="C6" i="4"/>
  <c r="I3" i="9"/>
  <c r="C46" i="9"/>
  <c r="C16" i="8" l="1"/>
  <c r="F10" i="8"/>
  <c r="F32" i="12"/>
  <c r="C170" i="12" s="1"/>
  <c r="F31" i="12"/>
  <c r="C84" i="12" s="1"/>
  <c r="F30" i="12"/>
  <c r="F29" i="12"/>
  <c r="C142" i="12" s="1"/>
  <c r="F28" i="12"/>
  <c r="C141" i="12" s="1"/>
  <c r="E22" i="12"/>
  <c r="E21" i="12"/>
  <c r="C25" i="12"/>
  <c r="C24" i="12"/>
  <c r="C23" i="12"/>
  <c r="C22" i="12"/>
  <c r="C16" i="12"/>
  <c r="C13" i="12"/>
  <c r="B26" i="12" s="1"/>
  <c r="C11" i="12"/>
  <c r="C145" i="12" s="1"/>
  <c r="C28" i="12" s="1"/>
  <c r="C12" i="12"/>
  <c r="C14" i="12" s="1"/>
  <c r="D22" i="12"/>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D119" i="12"/>
  <c r="D118" i="12"/>
  <c r="D114" i="12"/>
  <c r="D113" i="12"/>
  <c r="D110" i="12"/>
  <c r="D109" i="12"/>
  <c r="D108" i="12"/>
  <c r="D103" i="12"/>
  <c r="D102" i="12"/>
  <c r="D93" i="12"/>
  <c r="B76" i="12"/>
  <c r="B75" i="12"/>
  <c r="B74" i="12"/>
  <c r="D68" i="12"/>
  <c r="D67" i="12"/>
  <c r="D62" i="12"/>
  <c r="D59" i="12"/>
  <c r="D56" i="12"/>
  <c r="D53" i="12"/>
  <c r="D52" i="12"/>
  <c r="D51" i="12"/>
  <c r="D48" i="12"/>
  <c r="D45" i="12"/>
  <c r="D44" i="12"/>
  <c r="D41" i="12"/>
  <c r="C39" i="12"/>
  <c r="D28" i="12"/>
  <c r="E25" i="12"/>
  <c r="D25" i="12"/>
  <c r="D15" i="12"/>
  <c r="D14" i="12"/>
  <c r="C8" i="12"/>
  <c r="B89" i="2"/>
  <c r="B88" i="2"/>
  <c r="B75" i="6"/>
  <c r="B76" i="6"/>
  <c r="B74" i="6"/>
  <c r="I10" i="8"/>
  <c r="C146" i="12" l="1"/>
  <c r="B163" i="12"/>
  <c r="B164" i="12"/>
  <c r="B171" i="12"/>
  <c r="C85" i="12"/>
  <c r="C86" i="12" s="1"/>
  <c r="C15" i="12"/>
  <c r="B147" i="12"/>
  <c r="B172" i="12"/>
  <c r="B148" i="12"/>
  <c r="B155" i="12"/>
  <c r="B156" i="12"/>
  <c r="D36" i="4"/>
  <c r="E36" i="4"/>
  <c r="F36" i="4"/>
  <c r="D37" i="4"/>
  <c r="E37" i="4"/>
  <c r="F37" i="4"/>
  <c r="F38" i="4" l="1"/>
  <c r="E38" i="4"/>
  <c r="D38" i="4"/>
  <c r="B26" i="6"/>
  <c r="C85" i="9"/>
  <c r="C84" i="6"/>
  <c r="C85" i="6"/>
  <c r="C86" i="6" s="1"/>
  <c r="C170" i="6"/>
  <c r="D174" i="6"/>
  <c r="C174" i="6"/>
  <c r="C107" i="9"/>
  <c r="M62" i="4"/>
  <c r="D145" i="6"/>
  <c r="D166" i="6"/>
  <c r="D158" i="6"/>
  <c r="D150" i="6"/>
  <c r="C145" i="6"/>
  <c r="C28" i="6" s="1"/>
  <c r="D15" i="6"/>
  <c r="C166" i="6"/>
  <c r="C158" i="6"/>
  <c r="C150" i="6"/>
  <c r="D14" i="6"/>
  <c r="C14" i="6"/>
  <c r="C5" i="8" l="1"/>
  <c r="C95" i="9"/>
  <c r="D98" i="9"/>
  <c r="C154" i="6" l="1"/>
  <c r="C154" i="12"/>
  <c r="C101" i="9"/>
  <c r="C39" i="6"/>
  <c r="H1" i="3"/>
  <c r="C3" i="2"/>
  <c r="C3" i="8"/>
  <c r="C146" i="6"/>
  <c r="D119" i="6"/>
  <c r="C69" i="9"/>
  <c r="M69" i="4"/>
  <c r="M70" i="4"/>
  <c r="M71" i="4"/>
  <c r="M72" i="4"/>
  <c r="C32" i="4"/>
  <c r="C30" i="4"/>
  <c r="C29" i="4"/>
  <c r="C28" i="4"/>
  <c r="D64" i="4"/>
  <c r="E64" i="4"/>
  <c r="F64" i="4"/>
  <c r="G64" i="4"/>
  <c r="H64" i="4"/>
  <c r="I64" i="4"/>
  <c r="J64" i="4"/>
  <c r="K64" i="4"/>
  <c r="L64" i="4"/>
  <c r="M64" i="4"/>
  <c r="C64" i="4"/>
  <c r="E83" i="2"/>
  <c r="E84" i="2"/>
  <c r="D52" i="6"/>
  <c r="D51" i="6"/>
  <c r="F60" i="9"/>
  <c r="C162" i="6" l="1"/>
  <c r="C162" i="12"/>
  <c r="C40" i="3"/>
  <c r="C8" i="6" l="1"/>
  <c r="C76" i="9"/>
  <c r="D71" i="9"/>
  <c r="D18" i="8"/>
  <c r="D22" i="9"/>
  <c r="D21" i="9"/>
  <c r="D9" i="9"/>
  <c r="D91" i="9"/>
  <c r="C91" i="9"/>
  <c r="C81" i="9"/>
  <c r="E87" i="3"/>
  <c r="E88" i="3"/>
  <c r="E89" i="3"/>
  <c r="E86" i="3"/>
  <c r="I10" i="9" l="1"/>
  <c r="I8" i="9"/>
  <c r="I7" i="9"/>
  <c r="I9" i="9"/>
  <c r="D114" i="6"/>
  <c r="D110" i="6"/>
  <c r="D103" i="6"/>
  <c r="D93" i="6"/>
  <c r="E7" i="9"/>
  <c r="D8" i="9"/>
  <c r="D7" i="9"/>
  <c r="C21" i="9"/>
  <c r="D67" i="6"/>
  <c r="B123" i="2"/>
  <c r="C141" i="6"/>
  <c r="C142" i="6"/>
  <c r="D108" i="6"/>
  <c r="D118" i="6"/>
  <c r="D143" i="6"/>
  <c r="D132" i="6"/>
  <c r="F78" i="8"/>
  <c r="F130" i="12" s="1"/>
  <c r="F74" i="8"/>
  <c r="D113" i="6"/>
  <c r="D109" i="6"/>
  <c r="D102" i="6"/>
  <c r="D68" i="6"/>
  <c r="D56" i="6"/>
  <c r="B81"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12" i="9"/>
  <c r="D7" i="8"/>
  <c r="D8" i="8"/>
  <c r="D9" i="8"/>
  <c r="D6" i="8"/>
  <c r="Q96" i="2" l="1"/>
  <c r="G38" i="3"/>
  <c r="G37" i="3"/>
  <c r="D81" i="3"/>
  <c r="D80" i="3"/>
  <c r="C81" i="3"/>
  <c r="C80" i="3"/>
  <c r="C69" i="3"/>
  <c r="H24" i="3" l="1"/>
  <c r="C37"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C56" i="2" s="1"/>
  <c r="D79" i="3"/>
  <c r="D82" i="3" s="1"/>
  <c r="H42" i="3" s="1"/>
  <c r="C9" i="8" s="1"/>
  <c r="C79" i="3"/>
  <c r="C82" i="3" s="1"/>
  <c r="G42" i="3" s="1"/>
  <c r="B47" i="3"/>
  <c r="D88" i="9"/>
  <c r="D82" i="9"/>
  <c r="D60" i="9"/>
  <c r="D57" i="9"/>
  <c r="D51" i="9"/>
  <c r="D42" i="9"/>
  <c r="D39" i="9"/>
  <c r="D27" i="9"/>
  <c r="D33" i="9"/>
  <c r="D12" i="8"/>
  <c r="C11" i="8"/>
  <c r="D10" i="8"/>
  <c r="B78" i="8"/>
  <c r="B77" i="8"/>
  <c r="B76" i="8"/>
  <c r="B75" i="8"/>
  <c r="B74" i="8"/>
  <c r="C74" i="8"/>
  <c r="C126" i="12" s="1"/>
  <c r="C55" i="9"/>
  <c r="C49" i="9"/>
  <c r="C40" i="9"/>
  <c r="E55" i="4"/>
  <c r="I57" i="2" s="1"/>
  <c r="F55" i="4"/>
  <c r="J57" i="2" s="1"/>
  <c r="G55" i="4"/>
  <c r="K57" i="2" s="1"/>
  <c r="H55" i="4"/>
  <c r="L57" i="2" s="1"/>
  <c r="I55" i="4"/>
  <c r="M57" i="2" s="1"/>
  <c r="J55" i="4"/>
  <c r="N57" i="2" s="1"/>
  <c r="K55" i="4"/>
  <c r="O57" i="2" s="1"/>
  <c r="L55" i="4"/>
  <c r="P57" i="2" s="1"/>
  <c r="M55" i="4"/>
  <c r="Q57" i="2" s="1"/>
  <c r="D55" i="4"/>
  <c r="H57" i="2" s="1"/>
  <c r="C55" i="4"/>
  <c r="G57" i="2" s="1"/>
  <c r="G30" i="3"/>
  <c r="C68" i="3"/>
  <c r="C66" i="2"/>
  <c r="C58" i="2" s="1"/>
  <c r="B130" i="6" l="1"/>
  <c r="B130" i="12"/>
  <c r="B128" i="6"/>
  <c r="B128" i="12"/>
  <c r="B126" i="6"/>
  <c r="B126" i="12"/>
  <c r="B129" i="6"/>
  <c r="B129" i="12"/>
  <c r="B127" i="6"/>
  <c r="B127" i="12"/>
  <c r="C88" i="3"/>
  <c r="D88" i="3" s="1"/>
  <c r="C113" i="12"/>
  <c r="C114" i="12" s="1"/>
  <c r="F75" i="8"/>
  <c r="D74" i="8"/>
  <c r="F55" i="8"/>
  <c r="F64" i="8" s="1"/>
  <c r="C126" i="6"/>
  <c r="C113" i="6"/>
  <c r="C114" i="6" s="1"/>
  <c r="G65" i="2"/>
  <c r="C65" i="2" s="1"/>
  <c r="C57" i="2" s="1"/>
  <c r="D126" i="6" l="1"/>
  <c r="D126" i="12"/>
  <c r="F127" i="6"/>
  <c r="F127" i="12"/>
  <c r="C77" i="8"/>
  <c r="C129" i="12" s="1"/>
  <c r="C31" i="9"/>
  <c r="D78" i="8"/>
  <c r="C25" i="9"/>
  <c r="C76" i="8"/>
  <c r="C128" i="12" s="1"/>
  <c r="C78" i="8"/>
  <c r="C130" i="12" s="1"/>
  <c r="D75" i="8"/>
  <c r="C75" i="8"/>
  <c r="C127" i="12" s="1"/>
  <c r="C17" i="8"/>
  <c r="Q95" i="2"/>
  <c r="G51" i="8"/>
  <c r="A71" i="8"/>
  <c r="A70" i="8"/>
  <c r="A50" i="8" l="1"/>
  <c r="A42" i="8"/>
  <c r="A34" i="8"/>
  <c r="D35" i="8"/>
  <c r="D43" i="8"/>
  <c r="D40" i="8"/>
  <c r="A49" i="8"/>
  <c r="A41" i="8"/>
  <c r="A33" i="8"/>
  <c r="D36" i="8"/>
  <c r="D44" i="8"/>
  <c r="D48" i="8"/>
  <c r="A48" i="8"/>
  <c r="A40" i="8"/>
  <c r="A32" i="8"/>
  <c r="D37" i="8"/>
  <c r="D45" i="8"/>
  <c r="A46" i="8"/>
  <c r="D31" i="8"/>
  <c r="D47" i="8"/>
  <c r="A37" i="8"/>
  <c r="A47" i="8"/>
  <c r="A39" i="8"/>
  <c r="A31" i="8"/>
  <c r="D38" i="8"/>
  <c r="D46" i="8"/>
  <c r="A38" i="8"/>
  <c r="D39" i="8"/>
  <c r="A45" i="8"/>
  <c r="D32" i="8"/>
  <c r="A44" i="8"/>
  <c r="A36" i="8"/>
  <c r="D33" i="8"/>
  <c r="D41" i="8"/>
  <c r="D49" i="8"/>
  <c r="A43" i="8"/>
  <c r="A35" i="8"/>
  <c r="D34" i="8"/>
  <c r="D42" i="8"/>
  <c r="D50" i="8"/>
  <c r="D130" i="6"/>
  <c r="D130" i="12"/>
  <c r="D127" i="6"/>
  <c r="D127" i="12"/>
  <c r="D77" i="8"/>
  <c r="D76" i="8"/>
  <c r="C59" i="2"/>
  <c r="C61" i="2" s="1"/>
  <c r="D55" i="8"/>
  <c r="C128" i="6"/>
  <c r="B55" i="8"/>
  <c r="B64" i="8" s="1"/>
  <c r="C130" i="6"/>
  <c r="C55" i="8"/>
  <c r="C129" i="6"/>
  <c r="E55" i="8"/>
  <c r="C127" i="6"/>
  <c r="H35" i="3"/>
  <c r="H40" i="3"/>
  <c r="H41" i="3" s="1"/>
  <c r="H51" i="8"/>
  <c r="H22" i="8"/>
  <c r="H28" i="8"/>
  <c r="H27" i="8"/>
  <c r="H39" i="8"/>
  <c r="H38" i="8"/>
  <c r="H21" i="8"/>
  <c r="H43" i="8"/>
  <c r="H29" i="8"/>
  <c r="H47" i="8"/>
  <c r="H37" i="8"/>
  <c r="H46" i="8"/>
  <c r="H35" i="8"/>
  <c r="H45" i="8"/>
  <c r="H31" i="8"/>
  <c r="H36" i="8"/>
  <c r="H44" i="8"/>
  <c r="H30" i="8"/>
  <c r="H50" i="8"/>
  <c r="H42" i="8"/>
  <c r="H34" i="8"/>
  <c r="H26" i="8"/>
  <c r="H49" i="8"/>
  <c r="H41" i="8"/>
  <c r="H33" i="8"/>
  <c r="H25" i="8"/>
  <c r="H48" i="8"/>
  <c r="H40" i="8"/>
  <c r="H32" i="8"/>
  <c r="H24" i="8"/>
  <c r="H23" i="8"/>
  <c r="E36" i="8" l="1"/>
  <c r="F36" i="8"/>
  <c r="E44" i="8"/>
  <c r="F44" i="8"/>
  <c r="E46" i="8"/>
  <c r="F46" i="8"/>
  <c r="E39" i="8"/>
  <c r="F39" i="8"/>
  <c r="E43" i="8"/>
  <c r="F43" i="8"/>
  <c r="E45" i="8"/>
  <c r="F45" i="8"/>
  <c r="E47" i="8"/>
  <c r="F47" i="8"/>
  <c r="E37" i="8"/>
  <c r="F37" i="8"/>
  <c r="E38" i="8"/>
  <c r="F38" i="8"/>
  <c r="E41" i="8"/>
  <c r="F41" i="8"/>
  <c r="E42" i="8"/>
  <c r="F42" i="8"/>
  <c r="E48" i="8"/>
  <c r="F48" i="8"/>
  <c r="E40" i="8"/>
  <c r="F40" i="8"/>
  <c r="E49" i="8"/>
  <c r="F49" i="8"/>
  <c r="E50" i="8"/>
  <c r="F50" i="8"/>
  <c r="G31" i="8"/>
  <c r="G35" i="8"/>
  <c r="G33" i="8"/>
  <c r="G34" i="8"/>
  <c r="G32" i="8"/>
  <c r="G48" i="8"/>
  <c r="C48" i="8"/>
  <c r="G36" i="8"/>
  <c r="C36" i="8"/>
  <c r="G44" i="8"/>
  <c r="C44" i="8"/>
  <c r="G46" i="8"/>
  <c r="C46" i="8"/>
  <c r="G39" i="8"/>
  <c r="C39" i="8"/>
  <c r="G43" i="8"/>
  <c r="C43" i="8"/>
  <c r="G45" i="8"/>
  <c r="C45" i="8"/>
  <c r="G47" i="8"/>
  <c r="C47" i="8"/>
  <c r="G37" i="8"/>
  <c r="C37" i="8"/>
  <c r="G38" i="8"/>
  <c r="C38" i="8"/>
  <c r="G41" i="8"/>
  <c r="C41" i="8"/>
  <c r="G42" i="8"/>
  <c r="C42" i="8"/>
  <c r="G40" i="8"/>
  <c r="C40" i="8"/>
  <c r="G49" i="8"/>
  <c r="C49" i="8"/>
  <c r="G50" i="8"/>
  <c r="C50" i="8"/>
  <c r="D128" i="6"/>
  <c r="D128" i="12"/>
  <c r="D129" i="6"/>
  <c r="D129" i="12"/>
  <c r="C11" i="2"/>
  <c r="H32" i="3"/>
  <c r="H27" i="3" s="1"/>
  <c r="H29" i="3" s="1"/>
  <c r="D46" i="3" s="1"/>
  <c r="D47" i="3" s="1"/>
  <c r="D64" i="8"/>
  <c r="E64" i="8"/>
  <c r="A67" i="8"/>
  <c r="A68" i="8"/>
  <c r="A69" i="8"/>
  <c r="A66" i="8"/>
  <c r="D4" i="8"/>
  <c r="C48" i="6" l="1"/>
  <c r="C48" i="12"/>
  <c r="C119" i="6"/>
  <c r="C119"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C12" i="3"/>
  <c r="M45" i="4"/>
  <c r="D46" i="4"/>
  <c r="H14" i="2" s="1"/>
  <c r="E46" i="4"/>
  <c r="I14" i="2" s="1"/>
  <c r="F46" i="4"/>
  <c r="J14" i="2" s="1"/>
  <c r="G46" i="4"/>
  <c r="K14" i="2" s="1"/>
  <c r="H46" i="4"/>
  <c r="L14" i="2" s="1"/>
  <c r="I46" i="4"/>
  <c r="M14" i="2" s="1"/>
  <c r="J46" i="4"/>
  <c r="N14" i="2" s="1"/>
  <c r="K46" i="4"/>
  <c r="O14" i="2" s="1"/>
  <c r="L46" i="4"/>
  <c r="P14" i="2" s="1"/>
  <c r="M46" i="4"/>
  <c r="Q14"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82" i="9" l="1"/>
  <c r="C92" i="2"/>
  <c r="C70"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7" i="2" s="1"/>
  <c r="C108" i="6"/>
  <c r="J45" i="4"/>
  <c r="I45" i="4"/>
  <c r="G35" i="3"/>
  <c r="G40" i="3"/>
  <c r="D58" i="3"/>
  <c r="D76" i="4"/>
  <c r="C45" i="4"/>
  <c r="F45" i="4"/>
  <c r="D45" i="4"/>
  <c r="G45" i="4"/>
  <c r="E45" i="4"/>
  <c r="H45" i="4"/>
  <c r="I41" i="4"/>
  <c r="J41" i="4"/>
  <c r="K41" i="4"/>
  <c r="L41" i="4"/>
  <c r="M41" i="4"/>
  <c r="D41" i="4"/>
  <c r="G36" i="4"/>
  <c r="H36" i="4"/>
  <c r="I36" i="4"/>
  <c r="J36" i="4"/>
  <c r="K36" i="4"/>
  <c r="L36" i="4"/>
  <c r="M36" i="4"/>
  <c r="C36" i="4"/>
  <c r="B31" i="2"/>
  <c r="B30" i="2"/>
  <c r="C143" i="12" l="1"/>
  <c r="I4" i="9"/>
  <c r="I5" i="9"/>
  <c r="C96" i="9"/>
  <c r="C108" i="9"/>
  <c r="C70" i="6"/>
  <c r="C89" i="2"/>
  <c r="C143" i="6"/>
  <c r="C102" i="9"/>
  <c r="G72" i="4"/>
  <c r="I72" i="4"/>
  <c r="F72" i="4"/>
  <c r="E72" i="4"/>
  <c r="D72" i="4"/>
  <c r="J72" i="4"/>
  <c r="H72" i="4"/>
  <c r="L69" i="4"/>
  <c r="L70" i="4"/>
  <c r="L72" i="4"/>
  <c r="L71" i="4"/>
  <c r="K72" i="4"/>
  <c r="C72" i="4"/>
  <c r="C86" i="9"/>
  <c r="C9" i="2"/>
  <c r="G41" i="3"/>
  <c r="G32" i="3"/>
  <c r="G27" i="3"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I35" i="2" l="1"/>
  <c r="I26" i="2"/>
  <c r="G35" i="2"/>
  <c r="C35" i="2" s="1"/>
  <c r="G26" i="2"/>
  <c r="K35" i="2"/>
  <c r="K26" i="2"/>
  <c r="K32" i="2" s="1"/>
  <c r="Q35" i="2"/>
  <c r="Q26" i="2"/>
  <c r="Q5" i="2" s="1"/>
  <c r="P96" i="2" s="1"/>
  <c r="J35" i="2"/>
  <c r="J26" i="2"/>
  <c r="L35" i="2"/>
  <c r="L26" i="2"/>
  <c r="N26" i="2"/>
  <c r="N35" i="2"/>
  <c r="N7" i="2" s="1"/>
  <c r="N73" i="2" s="1"/>
  <c r="P26" i="2"/>
  <c r="P5" i="2" s="1"/>
  <c r="P35" i="2"/>
  <c r="P7" i="2" s="1"/>
  <c r="P73" i="2" s="1"/>
  <c r="O26" i="2"/>
  <c r="O35" i="2"/>
  <c r="M26" i="2"/>
  <c r="M35" i="2"/>
  <c r="H26" i="2"/>
  <c r="H35" i="2"/>
  <c r="H38" i="2" s="1"/>
  <c r="Q90" i="2"/>
  <c r="Q92" i="2"/>
  <c r="G92" i="2"/>
  <c r="C25" i="2"/>
  <c r="F71" i="4"/>
  <c r="M92" i="2"/>
  <c r="N92" i="2"/>
  <c r="P92" i="2"/>
  <c r="O92" i="2"/>
  <c r="L92" i="2"/>
  <c r="J92" i="2"/>
  <c r="I92" i="2"/>
  <c r="K92" i="2"/>
  <c r="C44" i="6"/>
  <c r="C44" i="12"/>
  <c r="H92" i="2"/>
  <c r="C147" i="6"/>
  <c r="C147" i="12"/>
  <c r="C163" i="6"/>
  <c r="C163" i="12"/>
  <c r="C171" i="6"/>
  <c r="C171" i="12"/>
  <c r="C155" i="6"/>
  <c r="C155" i="12"/>
  <c r="Q119" i="2"/>
  <c r="Q116" i="2"/>
  <c r="Q117"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31" i="4"/>
  <c r="C80" i="4" s="1"/>
  <c r="C76" i="4" s="1"/>
  <c r="G112" i="2"/>
  <c r="G125" i="2"/>
  <c r="H112" i="2"/>
  <c r="H125" i="2"/>
  <c r="J112" i="2"/>
  <c r="J125" i="2"/>
  <c r="I112" i="2"/>
  <c r="I125" i="2"/>
  <c r="K112" i="2"/>
  <c r="M112" i="2"/>
  <c r="L112" i="2"/>
  <c r="N112" i="2"/>
  <c r="P112" i="2"/>
  <c r="O112" i="2"/>
  <c r="Q112" i="2"/>
  <c r="Q113" i="2"/>
  <c r="Q19" i="2"/>
  <c r="Q48" i="2"/>
  <c r="Q12" i="2" s="1"/>
  <c r="Q79" i="2"/>
  <c r="Q41" i="2"/>
  <c r="C12" i="9"/>
  <c r="H100" i="2"/>
  <c r="P100" i="2"/>
  <c r="P118" i="2" s="1"/>
  <c r="M100" i="2"/>
  <c r="M117" i="2" s="1"/>
  <c r="N100" i="2"/>
  <c r="N117" i="2" s="1"/>
  <c r="Q53" i="2"/>
  <c r="Q123" i="2"/>
  <c r="Q124" i="2"/>
  <c r="Q100" i="2"/>
  <c r="K100" i="2"/>
  <c r="K117" i="2" s="1"/>
  <c r="I100" i="2"/>
  <c r="O100" i="2"/>
  <c r="O118" i="2" s="1"/>
  <c r="J100" i="2"/>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11" i="2" s="1"/>
  <c r="G59" i="2"/>
  <c r="I59" i="2"/>
  <c r="I11" i="2" s="1"/>
  <c r="Q59" i="2"/>
  <c r="Q11" i="2" s="1"/>
  <c r="Q61" i="2"/>
  <c r="M59" i="2"/>
  <c r="P59" i="2"/>
  <c r="P11" i="2" s="1"/>
  <c r="P77" i="2" s="1"/>
  <c r="J59" i="2"/>
  <c r="J11" i="2" s="1"/>
  <c r="N59" i="2"/>
  <c r="K59" i="2"/>
  <c r="K11" i="2" s="1"/>
  <c r="O59" i="2"/>
  <c r="O11" i="2" s="1"/>
  <c r="O77" i="2" s="1"/>
  <c r="L59" i="2"/>
  <c r="L11" i="2" s="1"/>
  <c r="F58" i="4"/>
  <c r="J60" i="2" s="1"/>
  <c r="D58" i="4"/>
  <c r="H60" i="2" s="1"/>
  <c r="G58" i="4"/>
  <c r="H44" i="4"/>
  <c r="E44" i="4"/>
  <c r="C44" i="4"/>
  <c r="Q13" i="2"/>
  <c r="Q16" i="2"/>
  <c r="C104" i="2"/>
  <c r="G51" i="2"/>
  <c r="M95" i="2"/>
  <c r="O95" i="2"/>
  <c r="P95" i="2"/>
  <c r="N95" i="2"/>
  <c r="L95" i="2"/>
  <c r="G95" i="2"/>
  <c r="I95" i="2"/>
  <c r="C100" i="2"/>
  <c r="D59" i="3"/>
  <c r="K95" i="2"/>
  <c r="H95" i="2"/>
  <c r="J95" i="2"/>
  <c r="Q118" i="2"/>
  <c r="Q107" i="2"/>
  <c r="Q108" i="2"/>
  <c r="K80" i="2"/>
  <c r="Q77" i="2"/>
  <c r="J30" i="2"/>
  <c r="P81" i="2"/>
  <c r="G76" i="2"/>
  <c r="G101" i="2"/>
  <c r="G107" i="2" s="1"/>
  <c r="G102" i="2"/>
  <c r="G108" i="2" s="1"/>
  <c r="L81" i="2"/>
  <c r="J75" i="2"/>
  <c r="P75" i="2"/>
  <c r="I32" i="2"/>
  <c r="Q7" i="2"/>
  <c r="Q75" i="2"/>
  <c r="H30" i="2"/>
  <c r="Q6" i="2"/>
  <c r="Q81" i="2"/>
  <c r="Q73" i="2"/>
  <c r="Q85" i="2"/>
  <c r="I80" i="2"/>
  <c r="Q82" i="2"/>
  <c r="Q78" i="2"/>
  <c r="Q80" i="2"/>
  <c r="Q71" i="2"/>
  <c r="Q30" i="2"/>
  <c r="Q74" i="2"/>
  <c r="Q38" i="2"/>
  <c r="Q31" i="2"/>
  <c r="Q32" i="2"/>
  <c r="Q29" i="2"/>
  <c r="Q72" i="2"/>
  <c r="Q76" i="2"/>
  <c r="J38" i="2"/>
  <c r="I30" i="2"/>
  <c r="H31" i="2"/>
  <c r="H80" i="2"/>
  <c r="I31" i="2"/>
  <c r="H81" i="2"/>
  <c r="H75" i="2"/>
  <c r="H76" i="2"/>
  <c r="I76" i="2"/>
  <c r="H29" i="2"/>
  <c r="I75" i="2"/>
  <c r="I29" i="2"/>
  <c r="H32" i="2"/>
  <c r="I81" i="2"/>
  <c r="J31" i="2"/>
  <c r="L76" i="2"/>
  <c r="J81" i="2"/>
  <c r="J76" i="2"/>
  <c r="J32" i="2"/>
  <c r="J29" i="2"/>
  <c r="L29" i="2"/>
  <c r="L32" i="2"/>
  <c r="L38" i="2"/>
  <c r="J80" i="2"/>
  <c r="L80" i="2"/>
  <c r="L75" i="2"/>
  <c r="L30" i="2"/>
  <c r="G38" i="2"/>
  <c r="L31" i="2"/>
  <c r="G81" i="2"/>
  <c r="G75" i="2"/>
  <c r="G31" i="2"/>
  <c r="G80" i="2"/>
  <c r="K29" i="2"/>
  <c r="K30" i="2"/>
  <c r="K75" i="2"/>
  <c r="G30" i="2"/>
  <c r="P31" i="2"/>
  <c r="P80" i="2"/>
  <c r="P30" i="2"/>
  <c r="G29" i="2"/>
  <c r="P29" i="2"/>
  <c r="K31" i="2"/>
  <c r="K81" i="2"/>
  <c r="P76" i="2"/>
  <c r="K76" i="2"/>
  <c r="B1" i="4"/>
  <c r="O76" i="2"/>
  <c r="O75" i="2"/>
  <c r="O81" i="2"/>
  <c r="M76" i="2"/>
  <c r="M81" i="2"/>
  <c r="M75" i="2"/>
  <c r="N76" i="2"/>
  <c r="N81" i="2"/>
  <c r="N75" i="2"/>
  <c r="I38" i="2"/>
  <c r="M80" i="2"/>
  <c r="M31" i="2"/>
  <c r="M7" i="2"/>
  <c r="M73" i="2" s="1"/>
  <c r="M29" i="2"/>
  <c r="M30" i="2"/>
  <c r="M5" i="2"/>
  <c r="N29" i="2"/>
  <c r="N80" i="2"/>
  <c r="N31" i="2"/>
  <c r="N5" i="2"/>
  <c r="N30" i="2"/>
  <c r="O31" i="2"/>
  <c r="O30" i="2"/>
  <c r="O5" i="2"/>
  <c r="O6" i="2" s="1"/>
  <c r="O7" i="2"/>
  <c r="O73" i="2" s="1"/>
  <c r="O80" i="2"/>
  <c r="O29" i="2"/>
  <c r="F5" i="8" l="1"/>
  <c r="O117" i="2"/>
  <c r="P117" i="2"/>
  <c r="O32" i="2"/>
  <c r="O72" i="2"/>
  <c r="O8" i="2"/>
  <c r="H58" i="4"/>
  <c r="L60" i="2" s="1"/>
  <c r="G71" i="4"/>
  <c r="H71" i="4"/>
  <c r="O38" i="2"/>
  <c r="O61" i="2"/>
  <c r="O71" i="2"/>
  <c r="C58" i="4"/>
  <c r="G60" i="2" s="1"/>
  <c r="G61" i="2" s="1"/>
  <c r="C71" i="4"/>
  <c r="E58" i="4"/>
  <c r="I60" i="2" s="1"/>
  <c r="E71" i="4"/>
  <c r="D71" i="4"/>
  <c r="G104" i="2"/>
  <c r="G100" i="2" s="1"/>
  <c r="G118" i="2" s="1"/>
  <c r="P38" i="2"/>
  <c r="P32" i="2"/>
  <c r="P61" i="2"/>
  <c r="P6" i="2"/>
  <c r="P71" i="2"/>
  <c r="C23" i="2"/>
  <c r="C26" i="2" s="1"/>
  <c r="C47" i="2"/>
  <c r="C24" i="2"/>
  <c r="C109" i="2"/>
  <c r="G32" i="2"/>
  <c r="C17" i="2"/>
  <c r="M61" i="2"/>
  <c r="M11" i="2"/>
  <c r="N61" i="2"/>
  <c r="N11" i="2"/>
  <c r="G67" i="2"/>
  <c r="G11" i="2"/>
  <c r="N71" i="2"/>
  <c r="M6" i="2"/>
  <c r="M8" i="2" s="1"/>
  <c r="C95" i="2"/>
  <c r="J61" i="2"/>
  <c r="J77" i="2" s="1"/>
  <c r="H61" i="2"/>
  <c r="H77" i="2" s="1"/>
  <c r="N38" i="2"/>
  <c r="N118" i="2"/>
  <c r="M118" i="2"/>
  <c r="M38" i="2"/>
  <c r="N6" i="2"/>
  <c r="N8" i="2" s="1"/>
  <c r="M32" i="2"/>
  <c r="M71" i="2"/>
  <c r="N32" i="2"/>
  <c r="K60" i="2"/>
  <c r="C118" i="2"/>
  <c r="C55" i="3"/>
  <c r="L118" i="2"/>
  <c r="J118" i="2"/>
  <c r="H118" i="2"/>
  <c r="K118" i="2"/>
  <c r="I118" i="2"/>
  <c r="H5" i="2"/>
  <c r="I5" i="2"/>
  <c r="C107" i="2"/>
  <c r="C108" i="2"/>
  <c r="K5" i="2"/>
  <c r="J7" i="2"/>
  <c r="J73" i="2" s="1"/>
  <c r="C75" i="2"/>
  <c r="C76" i="2" s="1"/>
  <c r="F8" i="8" s="1"/>
  <c r="L5" i="2"/>
  <c r="G7" i="2"/>
  <c r="G73" i="2" s="1"/>
  <c r="J5" i="2"/>
  <c r="L7" i="2"/>
  <c r="L73" i="2" s="1"/>
  <c r="H7" i="2"/>
  <c r="H73" i="2" s="1"/>
  <c r="G5" i="2"/>
  <c r="G71" i="2" s="1"/>
  <c r="K7" i="2"/>
  <c r="K73" i="2" s="1"/>
  <c r="K38" i="2"/>
  <c r="I7" i="2"/>
  <c r="I73" i="2" s="1"/>
  <c r="C7" i="2"/>
  <c r="F7" i="8" s="1"/>
  <c r="C76" i="6" l="1"/>
  <c r="C76" i="12"/>
  <c r="D76" i="6"/>
  <c r="D76" i="12"/>
  <c r="C62" i="6"/>
  <c r="C62" i="12"/>
  <c r="M72" i="2"/>
  <c r="O53" i="2"/>
  <c r="O74" i="2"/>
  <c r="M53" i="2"/>
  <c r="M77" i="2"/>
  <c r="P72" i="2"/>
  <c r="P8" i="2"/>
  <c r="N77" i="2"/>
  <c r="N53" i="2"/>
  <c r="C10" i="2"/>
  <c r="C45" i="12" s="1"/>
  <c r="K71" i="2"/>
  <c r="I71" i="2"/>
  <c r="H71" i="2"/>
  <c r="J71" i="2"/>
  <c r="L71" i="2"/>
  <c r="L61" i="2"/>
  <c r="L77" i="2" s="1"/>
  <c r="K61" i="2"/>
  <c r="K77" i="2" s="1"/>
  <c r="I61" i="2"/>
  <c r="I77" i="2" s="1"/>
  <c r="N72" i="2"/>
  <c r="C77" i="2"/>
  <c r="H6" i="2"/>
  <c r="H8" i="2" s="1"/>
  <c r="K6" i="2"/>
  <c r="K8" i="2" s="1"/>
  <c r="G6" i="2"/>
  <c r="G8" i="2" s="1"/>
  <c r="I6" i="2"/>
  <c r="I8" i="2" s="1"/>
  <c r="L6" i="2"/>
  <c r="L8" i="2" s="1"/>
  <c r="J6" i="2"/>
  <c r="J8" i="2" s="1"/>
  <c r="C73" i="2"/>
  <c r="C38" i="2"/>
  <c r="L53" i="2" l="1"/>
  <c r="P53" i="2"/>
  <c r="P74" i="2"/>
  <c r="C32" i="2"/>
  <c r="F6" i="8" s="1"/>
  <c r="C5" i="2"/>
  <c r="C6" i="2" s="1"/>
  <c r="C8" i="2" s="1"/>
  <c r="C41" i="12" s="1"/>
  <c r="C45" i="6"/>
  <c r="I53" i="2"/>
  <c r="H53" i="2"/>
  <c r="J53" i="2"/>
  <c r="G53" i="2"/>
  <c r="C7" i="9"/>
  <c r="K53" i="2"/>
  <c r="C13" i="9"/>
  <c r="G77" i="2"/>
  <c r="L72" i="2"/>
  <c r="I72" i="2"/>
  <c r="H72" i="2"/>
  <c r="G72" i="2"/>
  <c r="K72" i="2"/>
  <c r="J72" i="2"/>
  <c r="C103" i="2"/>
  <c r="C64" i="9" l="1"/>
  <c r="I6" i="8" s="1"/>
  <c r="D51" i="8" s="1"/>
  <c r="D21" i="8"/>
  <c r="D55" i="3"/>
  <c r="G29" i="3"/>
  <c r="D62" i="3" s="1"/>
  <c r="I4" i="8" l="1"/>
  <c r="D29" i="8"/>
  <c r="D28" i="8"/>
  <c r="A28" i="8"/>
  <c r="G28" i="8" s="1"/>
  <c r="A27" i="8"/>
  <c r="G27" i="8" s="1"/>
  <c r="D30" i="8"/>
  <c r="A29" i="8"/>
  <c r="G29" i="8" s="1"/>
  <c r="A26" i="8"/>
  <c r="G26" i="8" s="1"/>
  <c r="A30" i="8"/>
  <c r="G30" i="8" s="1"/>
  <c r="D26" i="8"/>
  <c r="D27" i="8"/>
  <c r="D51" i="3"/>
  <c r="C46" i="3"/>
  <c r="C47" i="3" s="1"/>
  <c r="C62" i="3"/>
  <c r="C81" i="2" s="1"/>
  <c r="C65" i="9" l="1"/>
  <c r="I7" i="8"/>
  <c r="I5" i="8"/>
  <c r="C15" i="2"/>
  <c r="C56" i="12" s="1"/>
  <c r="G1" i="2"/>
  <c r="D24" i="8" l="1"/>
  <c r="D22" i="8"/>
  <c r="A23" i="8"/>
  <c r="G23" i="8" s="1"/>
  <c r="D25" i="8"/>
  <c r="A24" i="8"/>
  <c r="G24" i="8" s="1"/>
  <c r="A21" i="8"/>
  <c r="G21" i="8" s="1"/>
  <c r="D23" i="8"/>
  <c r="A22" i="8"/>
  <c r="G22" i="8" s="1"/>
  <c r="A25" i="8"/>
  <c r="G25" i="8" s="1"/>
  <c r="C56" i="6"/>
  <c r="D73" i="3"/>
  <c r="C73" i="3"/>
  <c r="C74" i="3" s="1"/>
  <c r="F1" i="3"/>
  <c r="H1" i="2"/>
  <c r="E1" i="4"/>
  <c r="F1" i="4" s="1"/>
  <c r="G1" i="4" s="1"/>
  <c r="H1" i="4" s="1"/>
  <c r="I1" i="4" s="1"/>
  <c r="J1" i="4" s="1"/>
  <c r="K1" i="4" s="1"/>
  <c r="L1" i="4" s="1"/>
  <c r="M1" i="4" s="1"/>
  <c r="C21" i="8" l="1"/>
  <c r="C22" i="8" s="1"/>
  <c r="C23" i="8" s="1"/>
  <c r="C24" i="8" s="1"/>
  <c r="C25" i="8" s="1"/>
  <c r="C26" i="8" s="1"/>
  <c r="C27" i="8" s="1"/>
  <c r="C28" i="8" s="1"/>
  <c r="E21" i="8"/>
  <c r="E22" i="8" s="1"/>
  <c r="E23" i="8" s="1"/>
  <c r="E24" i="8" s="1"/>
  <c r="E25" i="8" s="1"/>
  <c r="E26" i="8" s="1"/>
  <c r="E27" i="8" s="1"/>
  <c r="E28" i="8" s="1"/>
  <c r="E29" i="8" s="1"/>
  <c r="E30" i="8" s="1"/>
  <c r="E31" i="8" s="1"/>
  <c r="E32" i="8" s="1"/>
  <c r="E33" i="8" s="1"/>
  <c r="E34" i="8" s="1"/>
  <c r="E35" i="8" s="1"/>
  <c r="E51" i="8" s="1"/>
  <c r="C29" i="8"/>
  <c r="D74" i="3"/>
  <c r="D76" i="3" s="1"/>
  <c r="C6" i="9"/>
  <c r="C30" i="8" l="1"/>
  <c r="D75" i="3"/>
  <c r="Q115" i="2"/>
  <c r="C31" i="8" l="1"/>
  <c r="F31" i="8" s="1"/>
  <c r="C46" i="2"/>
  <c r="C51" i="12" s="1"/>
  <c r="D66" i="3"/>
  <c r="C71" i="2"/>
  <c r="C41" i="3"/>
  <c r="C32" i="8" l="1"/>
  <c r="F32" i="8" s="1"/>
  <c r="C8" i="8"/>
  <c r="L46" i="2"/>
  <c r="L48" i="2" s="1"/>
  <c r="L12" i="2" s="1"/>
  <c r="K46" i="2"/>
  <c r="K48" i="2" s="1"/>
  <c r="K12" i="2" s="1"/>
  <c r="K41" i="2" s="1"/>
  <c r="M46" i="2"/>
  <c r="M48" i="2" s="1"/>
  <c r="M12" i="2" s="1"/>
  <c r="P46" i="2"/>
  <c r="P48" i="2" s="1"/>
  <c r="P12" i="2" s="1"/>
  <c r="O46" i="2"/>
  <c r="O48" i="2" s="1"/>
  <c r="O12" i="2" s="1"/>
  <c r="N46" i="2"/>
  <c r="N48" i="2" s="1"/>
  <c r="N12" i="2" s="1"/>
  <c r="G46" i="2"/>
  <c r="G48" i="2" s="1"/>
  <c r="G12" i="2" s="1"/>
  <c r="J46" i="2"/>
  <c r="J48" i="2" s="1"/>
  <c r="J12" i="2" s="1"/>
  <c r="H46" i="2"/>
  <c r="H48" i="2" s="1"/>
  <c r="H12" i="2" s="1"/>
  <c r="I46" i="2"/>
  <c r="I48" i="2" s="1"/>
  <c r="I12" i="2" s="1"/>
  <c r="C51" i="6"/>
  <c r="C31" i="3"/>
  <c r="C33" i="8" l="1"/>
  <c r="F33" i="8" s="1"/>
  <c r="I78" i="2"/>
  <c r="I117" i="2"/>
  <c r="H78" i="2"/>
  <c r="H117" i="2"/>
  <c r="J78" i="2"/>
  <c r="J117" i="2"/>
  <c r="C109" i="6"/>
  <c r="C110" i="6" s="1"/>
  <c r="C109" i="12"/>
  <c r="C110" i="12" s="1"/>
  <c r="G41" i="2"/>
  <c r="G117" i="2"/>
  <c r="C87" i="3"/>
  <c r="D87" i="3" s="1"/>
  <c r="O78" i="2"/>
  <c r="O13" i="2"/>
  <c r="O119" i="2" s="1"/>
  <c r="O115" i="2" s="1"/>
  <c r="O41" i="2"/>
  <c r="L78" i="2"/>
  <c r="L41" i="2"/>
  <c r="K78" i="2"/>
  <c r="P78" i="2"/>
  <c r="P13" i="2"/>
  <c r="P119" i="2" s="1"/>
  <c r="P115" i="2" s="1"/>
  <c r="P41" i="2"/>
  <c r="M78" i="2"/>
  <c r="M41" i="2"/>
  <c r="J41" i="2"/>
  <c r="H41" i="2"/>
  <c r="I41" i="2"/>
  <c r="N78" i="2"/>
  <c r="N41" i="2"/>
  <c r="G78" i="2"/>
  <c r="C41" i="6"/>
  <c r="C72" i="2"/>
  <c r="C32" i="3"/>
  <c r="G31" i="3"/>
  <c r="B1" i="2"/>
  <c r="C34" i="8" l="1"/>
  <c r="F34" i="8" s="1"/>
  <c r="C104" i="6"/>
  <c r="C104" i="12"/>
  <c r="D75" i="6"/>
  <c r="D75" i="12"/>
  <c r="O79" i="2"/>
  <c r="O116" i="2" s="1"/>
  <c r="O16" i="2"/>
  <c r="C7" i="8"/>
  <c r="P79" i="2"/>
  <c r="P116" i="2" s="1"/>
  <c r="P16" i="2"/>
  <c r="O96" i="2"/>
  <c r="G52" i="2"/>
  <c r="C35" i="8" l="1"/>
  <c r="F35" i="8" s="1"/>
  <c r="C86" i="3"/>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O82" i="2"/>
  <c r="O19" i="2"/>
  <c r="O90" i="2" s="1"/>
  <c r="O123" i="2"/>
  <c r="O124" i="2" s="1"/>
  <c r="P82" i="2"/>
  <c r="P19" i="2"/>
  <c r="P90" i="2" s="1"/>
  <c r="P123" i="2"/>
  <c r="P124" i="2" s="1"/>
  <c r="C45" i="2"/>
  <c r="C52" i="12" s="1"/>
  <c r="C51" i="8" l="1"/>
  <c r="C89" i="3"/>
  <c r="O113" i="2"/>
  <c r="O85" i="2"/>
  <c r="P113" i="2"/>
  <c r="P85" i="2"/>
  <c r="C53" i="2"/>
  <c r="C52" i="6"/>
  <c r="E78" i="8"/>
  <c r="E130" i="12" s="1"/>
  <c r="C48" i="2"/>
  <c r="C12" i="2" s="1"/>
  <c r="F9" i="8" s="1"/>
  <c r="I1" i="2"/>
  <c r="F22" i="8" l="1"/>
  <c r="F23" i="8"/>
  <c r="F24" i="8"/>
  <c r="F25" i="8"/>
  <c r="F26" i="8"/>
  <c r="F27" i="8"/>
  <c r="F28" i="8"/>
  <c r="F29" i="8"/>
  <c r="F30" i="8"/>
  <c r="F51" i="8"/>
  <c r="F21" i="8"/>
  <c r="C117" i="2"/>
  <c r="C53" i="12"/>
  <c r="E130" i="6"/>
  <c r="C51" i="9"/>
  <c r="C13" i="2"/>
  <c r="C14" i="2"/>
  <c r="C53" i="6"/>
  <c r="C78" i="2"/>
  <c r="J1" i="2"/>
  <c r="K1" i="2" s="1"/>
  <c r="L1" i="2" s="1"/>
  <c r="M1" i="2" s="1"/>
  <c r="N1" i="2" s="1"/>
  <c r="O1" i="2" s="1"/>
  <c r="P1" i="2" s="1"/>
  <c r="Q1" i="2" s="1"/>
  <c r="C59" i="6" l="1"/>
  <c r="C59" i="12"/>
  <c r="C75" i="6"/>
  <c r="C75" i="12"/>
  <c r="C119" i="2"/>
  <c r="C16" i="2"/>
  <c r="C19" i="2" s="1"/>
  <c r="C90" i="2" l="1"/>
  <c r="F70" i="12" s="1"/>
  <c r="C68" i="12"/>
  <c r="C73" i="6"/>
  <c r="C73" i="12"/>
  <c r="C4" i="8"/>
  <c r="F70" i="6" l="1"/>
  <c r="C64" i="8" l="1"/>
  <c r="E74" i="8" l="1"/>
  <c r="E126" i="12" s="1"/>
  <c r="E75" i="8"/>
  <c r="E127" i="12" s="1"/>
  <c r="E77" i="8"/>
  <c r="E129" i="12" s="1"/>
  <c r="E76" i="8"/>
  <c r="E128" i="12" s="1"/>
  <c r="E129" i="6" l="1"/>
  <c r="C33" i="9"/>
  <c r="E128" i="6"/>
  <c r="C27" i="9"/>
  <c r="E126" i="6"/>
  <c r="C57" i="9"/>
  <c r="E127" i="6"/>
  <c r="C39" i="9"/>
  <c r="C42" i="9" l="1"/>
  <c r="C60" i="9" s="1"/>
  <c r="I6" i="9" s="1"/>
  <c r="C97" i="9" l="1"/>
  <c r="C132" i="12"/>
  <c r="C26" i="12" s="1"/>
  <c r="C132" i="6"/>
  <c r="C26" i="6" s="1"/>
  <c r="C87" i="9"/>
  <c r="C92" i="9"/>
  <c r="E26" i="12" s="1"/>
  <c r="C103" i="9"/>
  <c r="F77" i="9"/>
  <c r="C77" i="9" s="1"/>
  <c r="C109" i="9"/>
  <c r="H74" i="2"/>
  <c r="H13" i="2"/>
  <c r="H119" i="2" l="1"/>
  <c r="H115" i="2" s="1"/>
  <c r="C110" i="9"/>
  <c r="C172" i="12"/>
  <c r="C88" i="9"/>
  <c r="C148" i="12"/>
  <c r="C164" i="6"/>
  <c r="C164" i="12"/>
  <c r="C156" i="6"/>
  <c r="C156" i="12"/>
  <c r="C172" i="6"/>
  <c r="C148" i="6"/>
  <c r="C104" i="9"/>
  <c r="D173" i="6"/>
  <c r="E26" i="6"/>
  <c r="C98" i="9"/>
  <c r="C157" i="12" s="1"/>
  <c r="C30" i="12" s="1"/>
  <c r="H16" i="2"/>
  <c r="H19" i="2" s="1"/>
  <c r="H90" i="2" s="1"/>
  <c r="H79" i="2"/>
  <c r="H116" i="2" s="1"/>
  <c r="C165" i="6" l="1"/>
  <c r="C31" i="6" s="1"/>
  <c r="C165" i="12"/>
  <c r="C31" i="12" s="1"/>
  <c r="F88" i="9"/>
  <c r="C149" i="12"/>
  <c r="C29" i="12" s="1"/>
  <c r="C149" i="6"/>
  <c r="C29" i="6" s="1"/>
  <c r="C173" i="6"/>
  <c r="C32" i="6" s="1"/>
  <c r="C173" i="12"/>
  <c r="C32" i="12" s="1"/>
  <c r="F104" i="9"/>
  <c r="D165" i="6"/>
  <c r="D149" i="6"/>
  <c r="H113" i="2"/>
  <c r="F98" i="9"/>
  <c r="C157" i="6"/>
  <c r="H123" i="2"/>
  <c r="H124" i="2" s="1"/>
  <c r="H82" i="2"/>
  <c r="G74" i="2"/>
  <c r="D54" i="3"/>
  <c r="D50" i="3"/>
  <c r="G13" i="2"/>
  <c r="C167" i="6" l="1"/>
  <c r="C167" i="12"/>
  <c r="C151" i="12"/>
  <c r="C151" i="6"/>
  <c r="C159" i="6"/>
  <c r="C159" i="12"/>
  <c r="G96" i="2"/>
  <c r="G119" i="2"/>
  <c r="D73" i="12" s="1"/>
  <c r="C30" i="6"/>
  <c r="D157" i="6"/>
  <c r="H85" i="2"/>
  <c r="G16" i="2"/>
  <c r="G19" i="2" s="1"/>
  <c r="G79" i="2"/>
  <c r="G116" i="2" l="1"/>
  <c r="D74" i="12" s="1"/>
  <c r="G90" i="2"/>
  <c r="C67" i="12"/>
  <c r="G115" i="2"/>
  <c r="D73" i="6"/>
  <c r="G113" i="2"/>
  <c r="G123" i="2"/>
  <c r="G124" i="2" s="1"/>
  <c r="G82" i="2"/>
  <c r="J74" i="2"/>
  <c r="I74" i="2"/>
  <c r="N74" i="2"/>
  <c r="L74" i="2"/>
  <c r="J13" i="2"/>
  <c r="M74" i="2"/>
  <c r="L13" i="2"/>
  <c r="L119" i="2" s="1"/>
  <c r="L115" i="2" s="1"/>
  <c r="K13" i="2"/>
  <c r="N13" i="2"/>
  <c r="M13" i="2"/>
  <c r="M119" i="2" s="1"/>
  <c r="M115" i="2" s="1"/>
  <c r="I13" i="2"/>
  <c r="K74" i="2"/>
  <c r="K16" i="2" l="1"/>
  <c r="K19" i="2" s="1"/>
  <c r="K90" i="2" s="1"/>
  <c r="K119" i="2"/>
  <c r="K115" i="2" s="1"/>
  <c r="N96" i="2"/>
  <c r="N119" i="2"/>
  <c r="N115" i="2" s="1"/>
  <c r="D74" i="6"/>
  <c r="I119" i="2"/>
  <c r="I115" i="2" s="1"/>
  <c r="J119" i="2"/>
  <c r="J115" i="2" s="1"/>
  <c r="K113" i="2"/>
  <c r="C8" i="9"/>
  <c r="C67" i="6"/>
  <c r="G85" i="2"/>
  <c r="K79" i="2"/>
  <c r="K116" i="2" s="1"/>
  <c r="K96" i="2"/>
  <c r="L96" i="2"/>
  <c r="M96" i="2"/>
  <c r="I96" i="2"/>
  <c r="H96" i="2"/>
  <c r="J96" i="2"/>
  <c r="I16" i="2"/>
  <c r="I19" i="2" s="1"/>
  <c r="I90" i="2" s="1"/>
  <c r="I79" i="2"/>
  <c r="I116" i="2" s="1"/>
  <c r="N16" i="2"/>
  <c r="N19" i="2" s="1"/>
  <c r="N90" i="2" s="1"/>
  <c r="N79" i="2"/>
  <c r="N116" i="2" s="1"/>
  <c r="L16" i="2"/>
  <c r="L79" i="2"/>
  <c r="L116" i="2" s="1"/>
  <c r="J16" i="2"/>
  <c r="J19" i="2" s="1"/>
  <c r="J90" i="2" s="1"/>
  <c r="J79" i="2"/>
  <c r="J116" i="2" s="1"/>
  <c r="M16" i="2"/>
  <c r="M79" i="2"/>
  <c r="M116" i="2" s="1"/>
  <c r="K123" i="2"/>
  <c r="K124" i="2" s="1"/>
  <c r="K82" i="2"/>
  <c r="N82" i="2" l="1"/>
  <c r="L123" i="2"/>
  <c r="L124" i="2" s="1"/>
  <c r="L19" i="2"/>
  <c r="N113" i="2"/>
  <c r="I113" i="2"/>
  <c r="J113" i="2"/>
  <c r="M123" i="2"/>
  <c r="M124" i="2" s="1"/>
  <c r="M19" i="2"/>
  <c r="M90" i="2" s="1"/>
  <c r="I123" i="2"/>
  <c r="I124" i="2" s="1"/>
  <c r="J82" i="2"/>
  <c r="N123" i="2"/>
  <c r="N124" i="2" s="1"/>
  <c r="M82" i="2"/>
  <c r="I85" i="2"/>
  <c r="I82" i="2"/>
  <c r="J123" i="2"/>
  <c r="J124" i="2" s="1"/>
  <c r="K85" i="2"/>
  <c r="L82" i="2"/>
  <c r="N85" i="2"/>
  <c r="C74" i="2"/>
  <c r="C50" i="3"/>
  <c r="C54" i="3"/>
  <c r="L85" i="2" l="1"/>
  <c r="L90" i="2"/>
  <c r="C105" i="6"/>
  <c r="C105" i="12"/>
  <c r="M113" i="2"/>
  <c r="L113" i="2"/>
  <c r="C14" i="9"/>
  <c r="M85" i="2"/>
  <c r="C79" i="2"/>
  <c r="C96" i="2"/>
  <c r="J85" i="2"/>
  <c r="C80" i="2"/>
  <c r="C116" i="2" l="1"/>
  <c r="C74" i="12" s="1"/>
  <c r="C123" i="2"/>
  <c r="C74" i="6" l="1"/>
  <c r="C82" i="2"/>
  <c r="C9" i="9"/>
  <c r="C68" i="6" l="1"/>
  <c r="C124" i="2"/>
  <c r="C85" i="2"/>
  <c r="C69" i="6" l="1"/>
  <c r="C69" i="12"/>
  <c r="C6" i="8"/>
  <c r="C93" i="6" l="1"/>
  <c r="C93" i="12"/>
  <c r="I46" i="8"/>
  <c r="I49" i="8"/>
  <c r="I43" i="8"/>
  <c r="I47" i="8"/>
  <c r="I44" i="8"/>
  <c r="I45" i="8"/>
  <c r="I50" i="8"/>
  <c r="I48" i="8"/>
  <c r="I41" i="8"/>
  <c r="I42" i="8"/>
  <c r="I36" i="8"/>
  <c r="I39" i="8"/>
  <c r="I40" i="8"/>
  <c r="I38" i="8"/>
  <c r="I37" i="8"/>
  <c r="C10" i="8"/>
  <c r="C12" i="8" s="1"/>
  <c r="C118" i="12" s="1"/>
  <c r="I24" i="8"/>
  <c r="I30" i="8"/>
  <c r="I35" i="8"/>
  <c r="I51" i="8"/>
  <c r="I28" i="8"/>
  <c r="I31" i="8"/>
  <c r="I29" i="8"/>
  <c r="I21" i="8"/>
  <c r="I23" i="8"/>
  <c r="I32" i="8"/>
  <c r="I34" i="8"/>
  <c r="I25" i="8"/>
  <c r="I26" i="8"/>
  <c r="I27" i="8"/>
  <c r="I33" i="8"/>
  <c r="I22" i="8"/>
  <c r="C118" i="6" l="1"/>
  <c r="C22" i="9"/>
  <c r="C74" i="9" s="1"/>
  <c r="E65" i="8"/>
  <c r="F65" i="8"/>
  <c r="C65" i="8"/>
  <c r="B65" i="8"/>
  <c r="D65" i="8"/>
  <c r="I52" i="8"/>
  <c r="C18" i="8" s="1"/>
  <c r="C71" i="9" s="1"/>
  <c r="C75" i="9" l="1"/>
  <c r="C21" i="6" s="1"/>
  <c r="F110" i="9"/>
  <c r="A55" i="8"/>
  <c r="C175" i="6" l="1"/>
  <c r="C175" i="12"/>
  <c r="C21" i="12"/>
</calcChain>
</file>

<file path=xl/sharedStrings.xml><?xml version="1.0" encoding="utf-8"?>
<sst xmlns="http://schemas.openxmlformats.org/spreadsheetml/2006/main" count="819" uniqueCount="566">
  <si>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</si>
  <si>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</si>
  <si>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</si>
  <si>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</si>
  <si>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</si>
  <si>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</si>
  <si>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</si>
  <si>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</si>
  <si>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</si>
  <si>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</si>
  <si>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</si>
  <si>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</si>
  <si>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</si>
  <si>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</si>
  <si>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</si>
  <si>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</si>
  <si>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</si>
  <si>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</si>
  <si>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</si>
  <si>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</si>
  <si>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</si>
  <si>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</si>
  <si>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</si>
  <si>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</si>
  <si>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</si>
  <si>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</si>
  <si>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</si>
  <si>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</si>
  <si>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</si>
  <si>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</si>
  <si>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</si>
  <si>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</si>
  <si>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</si>
  <si>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</si>
  <si>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</si>
  <si>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</si>
  <si>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</si>
  <si>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</si>
  <si>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</si>
  <si>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</si>
  <si>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</si>
  <si>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</si>
  <si>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</si>
  <si>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</si>
  <si>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</si>
  <si>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</si>
  <si>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</si>
  <si>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</si>
  <si>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</si>
  <si>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</si>
  <si>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</si>
  <si>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</si>
  <si>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</si>
  <si>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</si>
  <si>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</si>
  <si>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</si>
  <si>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</si>
  <si>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</si>
  <si>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</si>
  <si>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</si>
  <si>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</si>
  <si>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</si>
  <si>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</si>
  <si>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</si>
  <si>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</si>
  <si>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</si>
  <si>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</si>
  <si>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</si>
  <si>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</si>
  <si>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</si>
  <si>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</si>
  <si>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</si>
  <si>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</si>
  <si>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</si>
  <si>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</si>
  <si>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</si>
  <si>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</si>
  <si>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</si>
  <si>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</si>
  <si>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</si>
  <si>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</si>
  <si>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</si>
  <si>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</si>
  <si>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</si>
  <si>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</si>
  <si>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</si>
  <si>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</si>
  <si>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</si>
  <si>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</si>
  <si>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</si>
  <si>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</si>
  <si>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</si>
  <si>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</si>
  <si>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</si>
  <si>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</si>
  <si>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</si>
  <si>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</si>
  <si>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</si>
  <si>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</si>
  <si>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</si>
  <si>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</si>
  <si>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</si>
  <si>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</si>
  <si>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</si>
  <si>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</si>
  <si>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</si>
  <si>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</si>
  <si>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</si>
  <si>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</si>
  <si>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</si>
  <si>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</si>
  <si>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</si>
  <si>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</si>
  <si>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</si>
  <si>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</si>
  <si>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</si>
  <si>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</si>
  <si>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</si>
  <si>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</si>
  <si>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</si>
  <si>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</si>
  <si>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</si>
  <si>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</si>
  <si>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</si>
  <si>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</si>
  <si>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</si>
  <si>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</si>
  <si>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</si>
  <si>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</si>
  <si>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</si>
  <si>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</si>
  <si>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</si>
  <si>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</si>
  <si>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</si>
  <si>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</si>
  <si>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</si>
  <si>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</si>
  <si>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</si>
  <si>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</si>
  <si>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</si>
  <si>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</si>
  <si>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</si>
  <si>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</si>
  <si>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</si>
  <si>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</si>
  <si>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</si>
  <si>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</si>
  <si>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</si>
  <si>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</si>
  <si>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</si>
  <si>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</si>
  <si>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</si>
  <si>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</si>
  <si>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</si>
  <si>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</si>
  <si>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</si>
  <si>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</si>
  <si>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</si>
  <si>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</si>
  <si>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</si>
  <si>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</si>
  <si>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</si>
  <si>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</si>
  <si>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</si>
  <si>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</si>
  <si>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</si>
  <si>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</si>
  <si>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</si>
  <si>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</si>
  <si>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</si>
  <si>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</si>
  <si>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</si>
  <si>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</si>
  <si>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</si>
  <si>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</si>
  <si>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</si>
  <si>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</si>
  <si>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</si>
  <si>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</si>
  <si>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</si>
  <si>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</si>
  <si>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</si>
  <si>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</si>
  <si>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</si>
  <si>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</si>
  <si>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</si>
  <si>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</si>
  <si>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</si>
  <si>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</si>
  <si>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</si>
  <si>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</si>
  <si>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</si>
  <si>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</si>
  <si>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</si>
  <si>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</si>
  <si>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</si>
  <si>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</si>
  <si>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</si>
  <si>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</si>
  <si>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</si>
  <si>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</si>
  <si>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</si>
  <si>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</si>
  <si>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</si>
  <si>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</si>
  <si>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</si>
  <si>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</si>
  <si>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</si>
  <si>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</si>
  <si>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</si>
  <si>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</si>
  <si>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</si>
  <si>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</si>
  <si>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</si>
  <si>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</si>
  <si>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</si>
  <si>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</si>
  <si>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</si>
  <si>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</si>
  <si>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</si>
  <si>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</si>
  <si>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</si>
  <si>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</si>
  <si>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</si>
  <si>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</si>
  <si>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</si>
  <si>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</si>
  <si>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</si>
  <si>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</si>
  <si>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</si>
  <si>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</si>
  <si>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</si>
  <si>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</si>
  <si>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</si>
  <si>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</si>
  <si>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</si>
  <si>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</si>
  <si>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</si>
  <si>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</si>
  <si>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</si>
  <si>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</si>
  <si>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</si>
  <si>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</si>
  <si>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</si>
  <si>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</si>
  <si>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</si>
  <si>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</si>
  <si>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</si>
  <si>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</si>
  <si>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</si>
  <si>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</si>
  <si>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</si>
  <si>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</si>
  <si>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</si>
  <si>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</si>
  <si>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</si>
  <si>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</si>
  <si>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</si>
  <si>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</si>
  <si>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</si>
  <si>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</si>
  <si>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</si>
  <si>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</si>
  <si>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</si>
  <si>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</si>
  <si>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</si>
  <si>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</si>
  <si>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</si>
  <si>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</si>
  <si>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</si>
  <si>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</si>
  <si>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</si>
  <si>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</si>
  <si>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</si>
  <si>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</si>
  <si>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</si>
  <si>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</si>
  <si>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</si>
  <si>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</si>
  <si>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</si>
  <si>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</si>
  <si>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</si>
  <si>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</si>
  <si>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</si>
  <si>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</si>
  <si>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</si>
  <si>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</si>
  <si>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</si>
  <si>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</si>
  <si>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</si>
  <si>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</si>
  <si>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</si>
  <si>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</si>
  <si>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</si>
  <si>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</si>
  <si>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</si>
  <si>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</si>
  <si>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</si>
  <si>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</si>
  <si>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</si>
  <si>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</si>
  <si>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</si>
  <si>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</si>
  <si>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</si>
  <si>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</si>
  <si>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</si>
  <si>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</si>
  <si>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</si>
  <si>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</si>
  <si>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</si>
  <si>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</si>
  <si>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</si>
  <si>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</si>
  <si>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</si>
  <si>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</si>
  <si>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</si>
  <si>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</si>
  <si>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</si>
  <si>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</si>
  <si>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</si>
  <si>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</si>
  <si>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</si>
  <si>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</si>
  <si>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</si>
  <si>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</si>
  <si>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</si>
  <si>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</si>
  <si>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</si>
  <si>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</si>
  <si>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</si>
  <si>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</si>
  <si>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</si>
  <si>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</si>
  <si>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</si>
  <si>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</si>
  <si>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</si>
  <si>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</si>
  <si>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</si>
  <si>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</si>
  <si>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</si>
  <si>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</si>
  <si>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</si>
  <si>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</si>
  <si>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</si>
  <si>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</si>
  <si>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</si>
  <si>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</si>
  <si>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</si>
  <si>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</si>
  <si>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</si>
  <si>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</si>
  <si>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</si>
  <si>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</si>
  <si>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</si>
  <si>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</si>
  <si>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</si>
  <si>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</si>
  <si>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</si>
  <si>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</si>
  <si>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</si>
  <si>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</si>
  <si>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</si>
  <si>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</si>
  <si>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</si>
  <si>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</si>
  <si>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</si>
  <si>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</si>
  <si>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</si>
  <si>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</si>
  <si>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</si>
  <si>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</si>
  <si>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</si>
  <si>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</si>
  <si>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</si>
  <si>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</si>
  <si>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</si>
  <si>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</si>
  <si>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</si>
  <si>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</si>
  <si>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</si>
  <si>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</si>
  <si>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</si>
  <si>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</si>
  <si>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</si>
  <si>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</si>
  <si>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</si>
  <si>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</si>
  <si>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</si>
  <si>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</si>
  <si>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</si>
  <si>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</si>
  <si>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</si>
  <si>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</si>
  <si>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</si>
  <si>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</si>
  <si>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</si>
  <si>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</si>
  <si>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</si>
  <si>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</si>
  <si>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</si>
  <si>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</si>
  <si>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Business Model Risk Premium:</t>
  </si>
  <si>
    <t>Management Risk Premium:</t>
  </si>
  <si>
    <t>Base equity cost</t>
  </si>
  <si>
    <t>Entry yield</t>
  </si>
  <si>
    <t>Benchmark yield</t>
  </si>
  <si>
    <t>Valuation Method</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</si>
  <si>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</si>
  <si>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</si>
  <si>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</si>
  <si>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</si>
  <si>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</si>
  <si>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</si>
  <si>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</si>
  <si>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</si>
  <si>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</si>
  <si>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</si>
  <si>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</si>
  <si>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</si>
  <si>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</si>
  <si>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</si>
  <si>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</si>
  <si>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</si>
  <si>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</si>
  <si>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</si>
  <si>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</si>
  <si>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</si>
  <si>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</si>
  <si>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</si>
  <si>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</si>
  <si>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</si>
  <si>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</si>
  <si>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</si>
  <si>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</si>
  <si>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</si>
  <si>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</si>
  <si>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</si>
  <si>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</si>
  <si>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</si>
  <si>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</si>
  <si>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</si>
  <si>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</si>
  <si>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</si>
  <si>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</si>
  <si>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</si>
  <si>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</si>
  <si>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</si>
  <si>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</si>
  <si>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</si>
  <si>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</si>
  <si>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</si>
  <si>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</si>
  <si>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</si>
  <si>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</si>
  <si>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</si>
  <si>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</si>
  <si>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</si>
  <si>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</si>
  <si>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</si>
  <si>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</si>
  <si>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</si>
  <si>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</si>
  <si>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</si>
  <si>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</si>
  <si>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</si>
  <si>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</si>
  <si>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</si>
  <si>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</si>
  <si>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</si>
  <si>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</si>
  <si>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</si>
  <si>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</si>
  <si>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</si>
  <si>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</si>
  <si>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</si>
  <si>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</si>
  <si>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</si>
  <si>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</si>
  <si>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</si>
  <si>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</si>
  <si>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</si>
  <si>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</si>
  <si>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</si>
  <si>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</si>
  <si>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</si>
  <si>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</si>
  <si>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</si>
  <si>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</si>
  <si>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</si>
  <si>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</si>
  <si>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</si>
  <si>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</si>
  <si>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</si>
  <si>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</si>
  <si>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</si>
  <si>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</si>
  <si>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</si>
  <si>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</si>
  <si>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</si>
  <si>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</si>
  <si>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</si>
  <si>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</si>
  <si>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</si>
  <si>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</si>
  <si>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</si>
  <si>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</si>
  <si>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</si>
  <si>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</si>
  <si>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</si>
  <si>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</si>
  <si>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</si>
  <si>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</si>
  <si>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</si>
  <si>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</si>
  <si>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</si>
  <si>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</si>
  <si>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</si>
  <si>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</si>
  <si>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</si>
  <si>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</si>
  <si>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</si>
  <si>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</si>
  <si>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</si>
  <si>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</si>
  <si>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</si>
  <si>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</si>
  <si>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</si>
  <si>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</si>
  <si>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</si>
  <si>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</si>
  <si>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</si>
  <si>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</si>
  <si>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</si>
  <si>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</si>
  <si>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</si>
  <si>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DCF</t>
  </si>
  <si>
    <t>CNY</t>
  </si>
  <si>
    <t>N</t>
  </si>
  <si>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</si>
  <si>
    <t>Normalized FCFE</t>
  </si>
  <si>
    <t>Revenues</t>
  </si>
  <si>
    <t>Contribution Margin</t>
  </si>
  <si>
    <t>Fixed Costs</t>
  </si>
  <si>
    <t>G&amp;A and other Opex</t>
  </si>
  <si>
    <t>Tax rate</t>
  </si>
  <si>
    <t>Maintenance Capex</t>
  </si>
  <si>
    <t>D&amp;A - Maintenance Capx</t>
  </si>
  <si>
    <t>Other Income</t>
  </si>
  <si>
    <t>Change year</t>
  </si>
  <si>
    <t>Stage</t>
  </si>
  <si>
    <t>High Growth Rate_II</t>
  </si>
  <si>
    <t>Contribution Margin_II</t>
  </si>
  <si>
    <t>DCF Type</t>
  </si>
  <si>
    <t>*It calculates Annual Return</t>
  </si>
  <si>
    <t>Warning: Do Not Remove this logic*</t>
  </si>
  <si>
    <t>Try obtain this number by reverse engineering.</t>
  </si>
  <si>
    <t>海底捞</t>
  </si>
  <si>
    <t>CNS_01</t>
  </si>
  <si>
    <t>6862.HK</t>
  </si>
  <si>
    <t>Assets held for sale</t>
  </si>
  <si>
    <t>Use the marginal tax rate</t>
  </si>
  <si>
    <t>Valuation Conclusion</t>
  </si>
  <si>
    <t>Price Targets</t>
  </si>
  <si>
    <t>I</t>
  </si>
  <si>
    <t>Normalized Values</t>
  </si>
  <si>
    <t>Note on g=0: It's to avoid overestimating the stock’s value, especially if future growth is uncertain or unreliable.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</si>
</sst>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85">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3"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0" fontId="25" fillId="0" borderId="0" xfId="0" applyFont="1" applyAlignment="1">
      <alignment horizontal="right"/>
    </xf>
    <xf numFmtId="10" fontId="3" fillId="0" borderId="0" xfId="0" applyNumberFormat="1" applyFont="1" applyAlignment="1">
      <alignment horizontal="right"/>
    </xf>
    <xf numFmtId="175" fontId="25" fillId="0" borderId="3" xfId="0" applyNumberFormat="1" applyFont="1" applyBorder="1" applyAlignment="1">
      <alignment vertical="center"/>
    </xf>
    <xf numFmtId="0" fontId="1" fillId="0" borderId="0" xfId="0" quotePrefix="1" applyFont="1" applyAlignment="1">
      <alignment wrapText="1"/>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32" fillId="0" borderId="0" xfId="0" quotePrefix="1" applyFont="1" applyAlignment="1">
      <alignment horizontal="left"/>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xf numFmtId="10" fontId="47" fillId="0" borderId="0" xfId="0" applyNumberFormat="1" applyFont="1" applyAlignment="1">
      <alignment horizontal="right"/>
    </xf>
  </cellXfs>
  <cellStyles count="2">
    <cellStyle name="常规" xfId="0" builtinId="0"/>
    <cellStyle name="常规 2 2" xfId="1" xr:uid="{A35F4541-DCCE-4554-A311-39480A36979A}"/>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topLeftCell="A88" zoomScale="85" zoomScaleNormal="100" workbookViewId="0">
      <selection activeCell="C108" sqref="C108"/>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45917</v>
      </c>
      <c r="D1" s="310" t="s">
        <v>410</v>
      </c>
      <c r="E1" s="288" t="s">
        <v>335</v>
      </c>
      <c r="F1" s="250" t="s">
        <v>537</v>
      </c>
    </row>
    <row r="2" spans="1:10" ht="13.9">
      <c r="A2" s="218" t="s">
        <v>260</v>
      </c>
      <c r="B2" s="36"/>
      <c r="C2" s="36"/>
      <c r="D2" s="36"/>
      <c r="E2" s="36"/>
      <c r="F2" s="36"/>
      <c r="G2" s="22"/>
      <c r="H2" s="22"/>
      <c r="I2" s="22"/>
      <c r="J2" s="22"/>
    </row>
    <row r="4" spans="1:10">
      <c r="B4" s="45" t="s">
        <v>386</v>
      </c>
      <c r="C4" s="46"/>
      <c r="D4" s="5"/>
      <c r="E4" s="2"/>
      <c r="F4" s="2"/>
    </row>
    <row r="5" spans="1:10" ht="12.4">
      <c r="B5" s="4" t="s">
        <v>442</v>
      </c>
      <c r="C5" s="290" t="s">
        <v>556</v>
      </c>
    </row>
    <row r="6" spans="1:10">
      <c r="B6" s="4" t="s">
        <v>443</v>
      </c>
      <c r="C6" s="51">
        <v>5574000000</v>
      </c>
      <c r="E6" s="48"/>
    </row>
    <row r="7" spans="1:10">
      <c r="B7" s="2" t="s">
        <v>444</v>
      </c>
      <c r="C7" s="246">
        <v>6</v>
      </c>
      <c r="D7" s="48"/>
      <c r="E7" s="48"/>
    </row>
    <row r="8" spans="1:10">
      <c r="B8" s="1" t="s">
        <v>445</v>
      </c>
      <c r="C8" s="33">
        <f>EOMONTH(EDATE(BS!C1,C7+2),0)</f>
        <v>46265</v>
      </c>
      <c r="E8" s="48"/>
    </row>
    <row r="9" spans="1:10">
      <c r="E9" s="34"/>
    </row>
    <row r="10" spans="1:10">
      <c r="B10" s="45" t="s">
        <v>388</v>
      </c>
      <c r="C10" s="46"/>
      <c r="E10" s="34"/>
    </row>
    <row r="11" spans="1:10">
      <c r="B11" s="1" t="s">
        <v>446</v>
      </c>
      <c r="C11" s="49" t="s">
        <v>558</v>
      </c>
      <c r="D11" s="49"/>
      <c r="E11" s="34"/>
    </row>
    <row r="12" spans="1:10">
      <c r="B12" s="4" t="s">
        <v>447</v>
      </c>
      <c r="C12" s="50">
        <v>13.11</v>
      </c>
      <c r="D12" s="50"/>
      <c r="E12" s="48"/>
    </row>
    <row r="13" spans="1:10">
      <c r="B13" s="1" t="s">
        <v>448</v>
      </c>
      <c r="C13" s="48" t="s">
        <v>369</v>
      </c>
      <c r="D13" s="48"/>
      <c r="E13" s="5"/>
    </row>
    <row r="14" spans="1:10">
      <c r="B14" s="4" t="s">
        <v>449</v>
      </c>
      <c r="C14" s="35">
        <f>Thesis!C12*Common_Shares/1000000</f>
        <v>73075.14</v>
      </c>
      <c r="D14" s="35" t="str">
        <f>IF(D11="","",Thesis!D12*Common_Shares/1000000)</f>
        <v/>
      </c>
      <c r="E14" s="5"/>
    </row>
    <row r="15" spans="1:10">
      <c r="B15" s="4" t="s">
        <v>450</v>
      </c>
      <c r="C15" s="32" t="str">
        <f>IF(C25=C13,C13,C25&amp;"/"&amp;C13)</f>
        <v>CNY/HKD</v>
      </c>
      <c r="D15" s="32" t="str">
        <f>IF(D11="","",IF(C25=D13,D13,C25&amp;"/"&amp;D13))</f>
        <v/>
      </c>
      <c r="E15" s="5"/>
    </row>
    <row r="16" spans="1:10">
      <c r="B16" s="4" t="s">
        <v>451</v>
      </c>
      <c r="C16" s="50">
        <v>1.0923594000000001</v>
      </c>
      <c r="D16" s="50"/>
      <c r="E16" s="5"/>
    </row>
    <row r="17" spans="2:6">
      <c r="D17" s="5"/>
      <c r="E17" s="5"/>
    </row>
    <row r="18" spans="2:6" ht="24.6" customHeight="1">
      <c r="B18" s="374" t="s">
        <v>452</v>
      </c>
      <c r="C18" s="374"/>
      <c r="D18" s="374"/>
      <c r="E18" s="374"/>
      <c r="F18" s="374"/>
    </row>
    <row r="20" spans="2:6">
      <c r="B20" s="45" t="s">
        <v>561</v>
      </c>
      <c r="C20" s="46"/>
      <c r="D20" s="5"/>
    </row>
    <row r="21" spans="2:6">
      <c r="B21" s="2" t="s">
        <v>330</v>
      </c>
      <c r="C21" s="32" t="str">
        <f>IF(Scenarios!C74="Y",Scenarios!B74,"")&amp;IF(Scenarios!C75="Y",Scenarios!B75,"")&amp;IF(Scenarios!C76="Y",Scenarios!B76,"")&amp;" "&amp;IF(Scenarios!C77="Y",Scenarios!B77,"")</f>
        <v xml:space="preserve">Low Growth </v>
      </c>
    </row>
    <row r="22" spans="2:6">
      <c r="B22" s="2" t="s">
        <v>54</v>
      </c>
      <c r="C22" s="48" t="s">
        <v>557</v>
      </c>
      <c r="E22" s="82"/>
    </row>
    <row r="23" spans="2:6">
      <c r="B23" s="1" t="s">
        <v>401</v>
      </c>
      <c r="C23" s="258" t="s">
        <v>307</v>
      </c>
      <c r="D23" s="1" t="s">
        <v>406</v>
      </c>
      <c r="E23" s="250" t="s">
        <v>535</v>
      </c>
    </row>
    <row r="24" spans="2:6">
      <c r="B24" s="1" t="s">
        <v>402</v>
      </c>
      <c r="C24" s="258" t="s">
        <v>307</v>
      </c>
      <c r="D24" s="32" t="s">
        <v>403</v>
      </c>
      <c r="E24" s="384">
        <v>7.4999999999999997E-2</v>
      </c>
    </row>
    <row r="25" spans="2:6">
      <c r="B25" s="4" t="s">
        <v>329</v>
      </c>
      <c r="C25" s="48" t="s">
        <v>536</v>
      </c>
      <c r="D25" s="32" t="s">
        <v>397</v>
      </c>
      <c r="E25" s="299">
        <v>3</v>
      </c>
    </row>
    <row r="26" spans="2:6">
      <c r="B26" s="1" t="str">
        <f>"Expected Equity Value ("&amp;C13&amp;") :"</f>
        <v>Expected Equity Value (HKD) :</v>
      </c>
      <c r="C26" s="300">
        <f>C132</f>
        <v>12.001067299630469</v>
      </c>
      <c r="D26" s="1" t="s">
        <v>372</v>
      </c>
      <c r="E26" s="369">
        <f ca="1">Scenarios!C92</f>
        <v>-2.9030190583519189E-2</v>
      </c>
    </row>
    <row r="27" spans="2:6">
      <c r="D27" s="5"/>
      <c r="E27" s="5"/>
    </row>
    <row r="28" spans="2:6">
      <c r="B28" s="45" t="s">
        <v>562</v>
      </c>
      <c r="C28" s="304" t="str">
        <f>C145&amp;" ("&amp;Market_currency&amp;")"</f>
        <v>6862.HK (HKD)</v>
      </c>
    </row>
    <row r="29" spans="2:6">
      <c r="B29" s="1" t="s">
        <v>393</v>
      </c>
      <c r="C29" s="305">
        <f>C149</f>
        <v>4.877739084338959</v>
      </c>
      <c r="D29" s="40" t="s">
        <v>392</v>
      </c>
      <c r="E29" s="298">
        <v>0.35</v>
      </c>
    </row>
    <row r="30" spans="2:6">
      <c r="B30" s="1" t="s">
        <v>394</v>
      </c>
      <c r="C30" s="306">
        <f>C157</f>
        <v>6.1445464574108</v>
      </c>
      <c r="D30" s="32" t="s">
        <v>404</v>
      </c>
      <c r="E30" s="307">
        <v>0.25</v>
      </c>
    </row>
    <row r="31" spans="2:6">
      <c r="B31" s="1" t="s">
        <v>395</v>
      </c>
      <c r="C31" s="306">
        <f>C165</f>
        <v>9.6603859682336157</v>
      </c>
      <c r="D31" s="32" t="s">
        <v>405</v>
      </c>
      <c r="E31" s="307">
        <v>0.1174</v>
      </c>
    </row>
    <row r="32" spans="2:6">
      <c r="B32" s="1" t="s">
        <v>396</v>
      </c>
      <c r="C32" s="306">
        <f>C173</f>
        <v>8.6018897142802313</v>
      </c>
    </row>
    <row r="33" spans="1:6">
      <c r="D33" s="5"/>
      <c r="E33" s="5"/>
    </row>
    <row r="34" spans="1:6" ht="13.9">
      <c r="A34" s="218" t="s">
        <v>337</v>
      </c>
      <c r="B34" s="36"/>
      <c r="C34" s="36"/>
      <c r="D34" s="36"/>
      <c r="E34" s="36"/>
      <c r="F34" s="36"/>
    </row>
    <row r="36" spans="1:6">
      <c r="B36" s="374" t="s">
        <v>453</v>
      </c>
      <c r="C36" s="374"/>
      <c r="D36" s="374"/>
      <c r="E36" s="374"/>
      <c r="F36" s="374"/>
    </row>
    <row r="37" spans="1:6" ht="24.6" customHeight="1">
      <c r="B37" s="377" t="s">
        <v>321</v>
      </c>
      <c r="C37" s="377"/>
      <c r="D37" s="377"/>
      <c r="E37" s="377"/>
      <c r="F37" s="377"/>
    </row>
    <row r="39" spans="1:6">
      <c r="B39" s="206" t="s">
        <v>224</v>
      </c>
      <c r="C39" s="108">
        <f>scaling_factor</f>
        <v>1000</v>
      </c>
    </row>
    <row r="40" spans="1:6" ht="24.6" customHeight="1">
      <c r="B40" s="375" t="s">
        <v>225</v>
      </c>
      <c r="C40" s="375"/>
      <c r="D40" s="375"/>
      <c r="E40" s="375"/>
      <c r="F40" s="375"/>
    </row>
    <row r="41" spans="1:6">
      <c r="B41" s="47" t="s">
        <v>226</v>
      </c>
      <c r="C41" s="340">
        <f>Normalized_FCF!C8</f>
        <v>4831254.0052873231</v>
      </c>
      <c r="D41" s="1" t="str">
        <f>Reporting_currency</f>
        <v>CNY</v>
      </c>
    </row>
    <row r="42" spans="1:6">
      <c r="B42" s="47"/>
      <c r="C42" s="76"/>
    </row>
    <row r="43" spans="1:6" ht="24.6" customHeight="1">
      <c r="B43" s="375" t="s">
        <v>227</v>
      </c>
      <c r="C43" s="375"/>
      <c r="D43" s="375"/>
      <c r="E43" s="375"/>
      <c r="F43" s="375"/>
    </row>
    <row r="44" spans="1:6">
      <c r="B44" s="47" t="s">
        <v>228</v>
      </c>
      <c r="C44" s="340">
        <f>Normalized_FCF!C9</f>
        <v>0</v>
      </c>
      <c r="D44" s="1" t="str">
        <f>Reporting_currency</f>
        <v>CNY</v>
      </c>
    </row>
    <row r="45" spans="1:6">
      <c r="B45" s="52" t="s">
        <v>229</v>
      </c>
      <c r="C45" s="340">
        <f>Normalized_FCF!C10</f>
        <v>0</v>
      </c>
      <c r="D45" s="1" t="str">
        <f>Reporting_currency</f>
        <v>CNY</v>
      </c>
    </row>
    <row r="47" spans="1:6">
      <c r="B47" s="375" t="s">
        <v>230</v>
      </c>
      <c r="C47" s="375"/>
      <c r="D47" s="375"/>
      <c r="E47" s="375"/>
      <c r="F47" s="375"/>
    </row>
    <row r="48" spans="1:6">
      <c r="B48" s="47" t="s">
        <v>231</v>
      </c>
      <c r="C48" s="340">
        <f>Normalized_FCF!C11</f>
        <v>51775</v>
      </c>
      <c r="D48" s="1" t="str">
        <f>Reporting_currency</f>
        <v>CNY</v>
      </c>
    </row>
    <row r="50" spans="2:6">
      <c r="B50" s="375" t="s">
        <v>234</v>
      </c>
      <c r="C50" s="375"/>
      <c r="D50" s="375"/>
      <c r="E50" s="375"/>
      <c r="F50" s="375"/>
    </row>
    <row r="51" spans="2:6">
      <c r="B51" s="47" t="s">
        <v>322</v>
      </c>
      <c r="C51" s="341">
        <f>Normalized_FCF!C46</f>
        <v>62121.272491187796</v>
      </c>
      <c r="D51" s="1" t="str">
        <f>Reporting_currency</f>
        <v>CNY</v>
      </c>
      <c r="E51" s="282"/>
      <c r="F51" s="282"/>
    </row>
    <row r="52" spans="2:6">
      <c r="B52" s="47" t="s">
        <v>323</v>
      </c>
      <c r="C52" s="341">
        <f>Normalized_FCF!C45</f>
        <v>-154206.15</v>
      </c>
      <c r="D52" s="1" t="str">
        <f>Reporting_currency</f>
        <v>CNY</v>
      </c>
      <c r="E52" s="282"/>
      <c r="F52" s="282"/>
    </row>
    <row r="53" spans="2:6">
      <c r="B53" s="47" t="s">
        <v>232</v>
      </c>
      <c r="C53" s="340">
        <f>Normalized_FCF!C12</f>
        <v>-92084.877508812206</v>
      </c>
      <c r="D53" s="1" t="str">
        <f>Reporting_currency</f>
        <v>CNY</v>
      </c>
    </row>
    <row r="55" spans="2:6">
      <c r="B55" s="1" t="s">
        <v>240</v>
      </c>
    </row>
    <row r="56" spans="2:6">
      <c r="B56" s="47" t="s">
        <v>258</v>
      </c>
      <c r="C56" s="340">
        <f>Normalized_FCF!C15</f>
        <v>0</v>
      </c>
      <c r="D56" s="1" t="str">
        <f>Reporting_currency</f>
        <v>CNY</v>
      </c>
    </row>
    <row r="58" spans="2:6">
      <c r="B58" s="375" t="s">
        <v>235</v>
      </c>
      <c r="C58" s="375"/>
      <c r="D58" s="375"/>
      <c r="E58" s="375"/>
      <c r="F58" s="375"/>
    </row>
    <row r="59" spans="2:6">
      <c r="B59" s="47" t="s">
        <v>233</v>
      </c>
      <c r="C59" s="340">
        <f>Normalized_FCF!C14</f>
        <v>-1197736.0319446276</v>
      </c>
      <c r="D59" s="1" t="str">
        <f>Reporting_currency</f>
        <v>CNY</v>
      </c>
    </row>
    <row r="61" spans="2:6">
      <c r="B61" s="375" t="s">
        <v>320</v>
      </c>
      <c r="C61" s="376"/>
      <c r="D61" s="376"/>
      <c r="E61" s="376"/>
      <c r="F61" s="376"/>
    </row>
    <row r="62" spans="2:6">
      <c r="B62" s="47" t="s">
        <v>236</v>
      </c>
      <c r="C62" s="340">
        <f>Normalized_FCF!C17</f>
        <v>0</v>
      </c>
      <c r="D62" s="1" t="str">
        <f>Reporting_currency</f>
        <v>CNY</v>
      </c>
    </row>
    <row r="64" spans="2:6" ht="24.6" customHeight="1">
      <c r="B64" s="374" t="s">
        <v>325</v>
      </c>
      <c r="C64" s="374"/>
      <c r="D64" s="374"/>
      <c r="E64" s="374"/>
      <c r="F64" s="374"/>
    </row>
    <row r="65" spans="1:6" ht="24.6" customHeight="1">
      <c r="B65" s="374" t="s">
        <v>340</v>
      </c>
      <c r="C65" s="374"/>
      <c r="D65" s="374"/>
      <c r="E65" s="374"/>
      <c r="F65" s="374"/>
    </row>
    <row r="67" spans="1:6">
      <c r="B67" s="47" t="s">
        <v>262</v>
      </c>
      <c r="C67" s="340">
        <f>Normalized_FCF!G19</f>
        <v>3856188.6842916571</v>
      </c>
      <c r="D67" s="1" t="str">
        <f>Reporting_currency</f>
        <v>CNY</v>
      </c>
    </row>
    <row r="68" spans="1:6">
      <c r="B68" s="47" t="s">
        <v>242</v>
      </c>
      <c r="C68" s="340">
        <f>Normalized_FCF!C19</f>
        <v>3593208.0958338827</v>
      </c>
      <c r="D68" s="1" t="str">
        <f>Reporting_currency</f>
        <v>CNY</v>
      </c>
    </row>
    <row r="69" spans="1:6">
      <c r="B69" s="223" t="s">
        <v>363</v>
      </c>
      <c r="C69" s="92">
        <f>Normalized_FCF!C124</f>
        <v>5.3712858294082538E-2</v>
      </c>
      <c r="F69" s="308"/>
    </row>
    <row r="70" spans="1:6">
      <c r="B70" s="223" t="s">
        <v>418</v>
      </c>
      <c r="C70" s="92">
        <f>Normalized_FCF!C92</f>
        <v>0</v>
      </c>
      <c r="E70" s="47" t="s">
        <v>408</v>
      </c>
      <c r="F70" s="309">
        <f>Normalized_FCF!C90</f>
        <v>0</v>
      </c>
    </row>
    <row r="72" spans="1:6">
      <c r="B72" s="206" t="s">
        <v>411</v>
      </c>
      <c r="C72" s="316" t="s">
        <v>413</v>
      </c>
      <c r="D72" s="316" t="s">
        <v>414</v>
      </c>
    </row>
    <row r="73" spans="1:6">
      <c r="B73" s="47" t="s">
        <v>412</v>
      </c>
      <c r="C73" s="92">
        <f>Normalized_FCF!C119</f>
        <v>0.45989402134433366</v>
      </c>
      <c r="D73" s="92">
        <f>Normalized_FCF!G119</f>
        <v>0.55558184848754988</v>
      </c>
    </row>
    <row r="74" spans="1:6">
      <c r="B74" s="255" t="str">
        <f>Normalized_FCF!B116</f>
        <v>Pre-tax Profit/Sales</v>
      </c>
      <c r="C74" s="315">
        <f>Normalized_FCF!C116</f>
        <v>0.11378828939016356</v>
      </c>
      <c r="D74" s="315">
        <f>Normalized_FCF!G116</f>
        <v>0.13537163034994637</v>
      </c>
    </row>
    <row r="75" spans="1:6">
      <c r="B75" s="255" t="str">
        <f>Normalized_FCF!B117</f>
        <v>Sales/Total Assets</v>
      </c>
      <c r="C75" s="317">
        <f>Normalized_FCF!C117</f>
        <v>1.8481867572101047</v>
      </c>
      <c r="D75" s="317">
        <f>Normalized_FCF!G117</f>
        <v>1.8767483725766319</v>
      </c>
    </row>
    <row r="76" spans="1:6">
      <c r="B76" s="255" t="str">
        <f>Normalized_FCF!B118</f>
        <v>Total Assets/Equity</v>
      </c>
      <c r="C76" s="317">
        <f>Normalized_FCF!C118</f>
        <v>2.1868265656161521</v>
      </c>
      <c r="D76" s="317">
        <f>Normalized_FCF!G118</f>
        <v>2.1868265656161521</v>
      </c>
    </row>
    <row r="78" spans="1:6" ht="13.9">
      <c r="A78" s="218" t="s">
        <v>454</v>
      </c>
      <c r="B78" s="36"/>
      <c r="C78" s="36"/>
      <c r="D78" s="36"/>
      <c r="E78" s="36"/>
      <c r="F78" s="36"/>
    </row>
    <row r="79" spans="1:6">
      <c r="A79" s="205"/>
    </row>
    <row r="80" spans="1:6">
      <c r="A80" s="17"/>
      <c r="B80" s="374" t="s">
        <v>455</v>
      </c>
      <c r="C80" s="374"/>
      <c r="D80" s="374"/>
      <c r="E80" s="374"/>
      <c r="F80" s="374"/>
    </row>
    <row r="81" spans="1:6">
      <c r="B81" s="377" t="s">
        <v>245</v>
      </c>
      <c r="C81" s="377"/>
      <c r="D81" s="377"/>
      <c r="E81" s="377"/>
      <c r="F81" s="377"/>
    </row>
    <row r="83" spans="1:6">
      <c r="B83" s="206" t="s">
        <v>224</v>
      </c>
    </row>
    <row r="84" spans="1:6">
      <c r="B84" s="1" t="s">
        <v>399</v>
      </c>
      <c r="C84" s="92">
        <f>E24</f>
        <v>7.4999999999999997E-2</v>
      </c>
    </row>
    <row r="85" spans="1:6">
      <c r="B85" s="1" t="s">
        <v>398</v>
      </c>
      <c r="C85" s="92">
        <f>IF(C23="Y",1%,0)+IF(C24="Y",1%,0)</f>
        <v>0</v>
      </c>
    </row>
    <row r="86" spans="1:6">
      <c r="B86" s="80" t="s">
        <v>241</v>
      </c>
      <c r="C86" s="232">
        <f>E24+C85</f>
        <v>7.4999999999999997E-2</v>
      </c>
    </row>
    <row r="87" spans="1:6">
      <c r="C87" s="121"/>
    </row>
    <row r="88" spans="1:6">
      <c r="B88" s="289" t="s">
        <v>338</v>
      </c>
      <c r="C88" s="121"/>
    </row>
    <row r="89" spans="1:6" ht="24.6" customHeight="1">
      <c r="B89" s="374" t="s">
        <v>341</v>
      </c>
      <c r="C89" s="374"/>
      <c r="D89" s="374"/>
      <c r="E89" s="374"/>
      <c r="F89" s="374"/>
    </row>
    <row r="90" spans="1:6" ht="24.6" customHeight="1">
      <c r="B90" s="374" t="s">
        <v>342</v>
      </c>
      <c r="C90" s="374"/>
      <c r="D90" s="374"/>
      <c r="E90" s="374"/>
      <c r="F90" s="374"/>
    </row>
    <row r="92" spans="1:6">
      <c r="B92" s="47" t="s">
        <v>244</v>
      </c>
      <c r="C92" s="232">
        <v>0</v>
      </c>
    </row>
    <row r="93" spans="1:6">
      <c r="B93" s="47" t="s">
        <v>272</v>
      </c>
      <c r="C93" s="219">
        <f>DCF!C6*scaling_factor*Exchange_Rate/Common_Shares</f>
        <v>9.3890076298056311</v>
      </c>
      <c r="D93" s="1" t="str">
        <f>Market_currency</f>
        <v>HKD</v>
      </c>
    </row>
    <row r="95" spans="1:6" ht="13.9">
      <c r="A95" s="218" t="s">
        <v>339</v>
      </c>
      <c r="B95" s="36"/>
      <c r="C95" s="36"/>
      <c r="D95" s="36"/>
      <c r="E95" s="36"/>
      <c r="F95" s="36"/>
    </row>
    <row r="96" spans="1:6">
      <c r="A96" s="205"/>
    </row>
    <row r="97" spans="2:6">
      <c r="B97" s="374" t="s">
        <v>343</v>
      </c>
      <c r="C97" s="374"/>
      <c r="D97" s="374"/>
      <c r="E97" s="374"/>
      <c r="F97" s="374"/>
    </row>
    <row r="98" spans="2:6">
      <c r="B98" s="1" t="s">
        <v>246</v>
      </c>
    </row>
    <row r="100" spans="2:6">
      <c r="B100" s="206" t="s">
        <v>224</v>
      </c>
    </row>
    <row r="101" spans="2:6" ht="24.6" customHeight="1">
      <c r="B101" s="374" t="s">
        <v>326</v>
      </c>
      <c r="C101" s="374"/>
      <c r="D101" s="374"/>
      <c r="E101" s="374"/>
      <c r="F101" s="374"/>
    </row>
    <row r="102" spans="2:6">
      <c r="B102" s="47" t="s">
        <v>248</v>
      </c>
      <c r="C102" s="340">
        <f>DCF!C7</f>
        <v>6168246</v>
      </c>
      <c r="D102" s="1" t="str">
        <f>Reporting_currency</f>
        <v>CNY</v>
      </c>
    </row>
    <row r="103" spans="2:6">
      <c r="B103" s="47" t="s">
        <v>273</v>
      </c>
      <c r="C103" s="219">
        <f>C102*scaling_factor*Exchange_Rate/Common_Shares</f>
        <v>1.2088162001457483</v>
      </c>
      <c r="D103" s="1" t="str">
        <f>Market_currency</f>
        <v>HKD</v>
      </c>
    </row>
    <row r="104" spans="2:6">
      <c r="B104" s="292" t="s">
        <v>376</v>
      </c>
      <c r="C104" s="318">
        <f>IF(BS!G31/BS!G27&gt;300%,"nm",BS!G31/BS!G27)</f>
        <v>0.59210447501011765</v>
      </c>
    </row>
    <row r="105" spans="2:6">
      <c r="B105" s="292" t="s">
        <v>378</v>
      </c>
      <c r="C105" s="319">
        <f>IF(BS!C50&gt;30,"nm",BS!C50)</f>
        <v>1.2767380877199737</v>
      </c>
    </row>
    <row r="107" spans="2:6">
      <c r="B107" s="1" t="s">
        <v>247</v>
      </c>
    </row>
    <row r="108" spans="2:6">
      <c r="B108" s="47" t="s">
        <v>257</v>
      </c>
      <c r="C108" s="340">
        <f>BS!C66</f>
        <v>7848668</v>
      </c>
      <c r="D108" s="1" t="str">
        <f>Reporting_currency</f>
        <v>CNY</v>
      </c>
    </row>
    <row r="109" spans="2:6">
      <c r="B109" s="47" t="s">
        <v>259</v>
      </c>
      <c r="C109" s="340">
        <f>DCF!C8</f>
        <v>4742604.3754406106</v>
      </c>
      <c r="D109" s="1" t="str">
        <f>Reporting_currency</f>
        <v>CNY</v>
      </c>
    </row>
    <row r="110" spans="2:6">
      <c r="B110" s="47" t="s">
        <v>274</v>
      </c>
      <c r="C110" s="219">
        <f>C109*scaling_factor*Exchange_Rate/Common_Shares</f>
        <v>0.92942742554604973</v>
      </c>
      <c r="D110" s="1" t="str">
        <f>Market_currency</f>
        <v>HKD</v>
      </c>
    </row>
    <row r="112" spans="2:6">
      <c r="B112" s="1" t="s">
        <v>249</v>
      </c>
    </row>
    <row r="113" spans="1:6">
      <c r="B113" s="47" t="s">
        <v>250</v>
      </c>
      <c r="C113" s="340">
        <f>DCF!C9</f>
        <v>2656436.4</v>
      </c>
      <c r="D113" s="1" t="str">
        <f>Reporting_currency</f>
        <v>CNY</v>
      </c>
    </row>
    <row r="114" spans="1:6">
      <c r="B114" s="47" t="s">
        <v>275</v>
      </c>
      <c r="C114" s="219">
        <f>C113*scaling_factor*Exchange_Rate/Common_Shares</f>
        <v>0.52059262146432728</v>
      </c>
      <c r="D114" s="1" t="str">
        <f>Market_currency</f>
        <v>HKD</v>
      </c>
    </row>
    <row r="116" spans="1:6" ht="24.6" customHeight="1">
      <c r="B116" s="374" t="s">
        <v>344</v>
      </c>
      <c r="C116" s="374"/>
      <c r="D116" s="374"/>
      <c r="E116" s="374"/>
      <c r="F116" s="374"/>
    </row>
    <row r="118" spans="1:6">
      <c r="B118" s="47" t="s">
        <v>409</v>
      </c>
      <c r="C118" s="219">
        <f>IF(valuation_method="DCF",DCF!C12,#REF!)</f>
        <v>9.6302114766702562</v>
      </c>
      <c r="D118" s="1" t="str">
        <f>Market_currency</f>
        <v>HKD</v>
      </c>
    </row>
    <row r="119" spans="1:6">
      <c r="B119" s="292" t="s">
        <v>533</v>
      </c>
      <c r="C119" s="219">
        <f>BS!D47</f>
        <v>5.2355704265199289E-2</v>
      </c>
      <c r="D119" s="1" t="str">
        <f>Market_currency</f>
        <v>HKD</v>
      </c>
    </row>
    <row r="121" spans="1:6" ht="13.9">
      <c r="A121" s="218" t="s">
        <v>456</v>
      </c>
      <c r="B121" s="36"/>
      <c r="C121" s="36"/>
      <c r="D121" s="36"/>
      <c r="E121" s="36"/>
      <c r="F121" s="36"/>
    </row>
    <row r="123" spans="1:6">
      <c r="B123" s="375" t="s">
        <v>457</v>
      </c>
      <c r="C123" s="375"/>
      <c r="D123" s="375"/>
      <c r="E123" s="375"/>
      <c r="F123" s="375"/>
    </row>
    <row r="125" spans="1:6" ht="12.4">
      <c r="B125" s="229" t="s">
        <v>113</v>
      </c>
      <c r="C125" s="229" t="s">
        <v>127</v>
      </c>
      <c r="D125" s="229" t="s">
        <v>108</v>
      </c>
      <c r="E125" s="229" t="s">
        <v>252</v>
      </c>
      <c r="F125" s="229" t="s">
        <v>142</v>
      </c>
    </row>
    <row r="126" spans="1:6">
      <c r="B126" s="224" t="str">
        <f>DCF!B74</f>
        <v>Snowball Scenario</v>
      </c>
      <c r="C126" s="225">
        <f>DCF!C74</f>
        <v>0.12</v>
      </c>
      <c r="D126" s="226">
        <f>DCF!D74</f>
        <v>5</v>
      </c>
      <c r="E126" s="227" t="str">
        <f>ROUND(IF(valuation_method="DCF",DCF!E74,#REF!),2)&amp;" "&amp;Market_currency</f>
        <v>15.81 HKD</v>
      </c>
      <c r="F126" s="228">
        <f>DCF!F74</f>
        <v>0.05</v>
      </c>
    </row>
    <row r="127" spans="1:6">
      <c r="B127" s="214" t="str">
        <f>DCF!B75</f>
        <v>Optimistic</v>
      </c>
      <c r="C127" s="215">
        <f>DCF!C75</f>
        <v>0.08</v>
      </c>
      <c r="D127" s="216">
        <f>DCF!D75</f>
        <v>5</v>
      </c>
      <c r="E127" s="227" t="str">
        <f>ROUND(IF(valuation_method="DCF",DCF!E75,#REF!),2)&amp;" "&amp;Market_currency</f>
        <v>13.45 HKD</v>
      </c>
      <c r="F127" s="217">
        <f>DCF!F75</f>
        <v>0.18</v>
      </c>
    </row>
    <row r="128" spans="1:6">
      <c r="B128" s="214" t="str">
        <f>DCF!B76</f>
        <v>Base</v>
      </c>
      <c r="C128" s="215">
        <f>DCF!C76</f>
        <v>0.05</v>
      </c>
      <c r="D128" s="216">
        <f>DCF!D76</f>
        <v>5</v>
      </c>
      <c r="E128" s="227" t="str">
        <f>ROUND(IF(valuation_method="DCF",DCF!E76,#REF!),2)&amp;" "&amp;Market_currency</f>
        <v>11.89 HKD</v>
      </c>
      <c r="F128" s="217">
        <f>DCF!F76</f>
        <v>0.53999999999999992</v>
      </c>
    </row>
    <row r="129" spans="1:6">
      <c r="B129" s="214" t="str">
        <f>DCF!B77</f>
        <v>Pessimistic</v>
      </c>
      <c r="C129" s="215">
        <f>DCF!C77</f>
        <v>0.02</v>
      </c>
      <c r="D129" s="216">
        <f>DCF!D77</f>
        <v>5</v>
      </c>
      <c r="E129" s="227" t="str">
        <f>ROUND(IF(valuation_method="DCF",DCF!E77,#REF!),2)&amp;" "&amp;Market_currency</f>
        <v>10.48 HKD</v>
      </c>
      <c r="F129" s="217">
        <f>DCF!F77</f>
        <v>0.18</v>
      </c>
    </row>
    <row r="130" spans="1:6">
      <c r="B130" s="214" t="str">
        <f>DCF!B78</f>
        <v>Devil's advocate</v>
      </c>
      <c r="C130" s="215">
        <f>DCF!C78</f>
        <v>0</v>
      </c>
      <c r="D130" s="216">
        <f>DCF!D78</f>
        <v>5</v>
      </c>
      <c r="E130" s="227" t="str">
        <f>ROUND(IF(valuation_method="DCF",DCF!E78,#REF!),2)&amp;" "&amp;Market_currency</f>
        <v>9.63 HKD</v>
      </c>
      <c r="F130" s="217">
        <f>DCF!F78</f>
        <v>0.05</v>
      </c>
    </row>
    <row r="132" spans="1:6">
      <c r="B132" s="207" t="s">
        <v>251</v>
      </c>
      <c r="C132" s="213">
        <f>Scenarios!C60</f>
        <v>12.001067299630469</v>
      </c>
      <c r="D132" s="208" t="str">
        <f>Market_currency</f>
        <v>HKD</v>
      </c>
    </row>
    <row r="134" spans="1:6" ht="24.6" customHeight="1">
      <c r="B134" s="378" t="s">
        <v>458</v>
      </c>
      <c r="C134" s="378"/>
      <c r="D134" s="378"/>
      <c r="E134" s="378"/>
      <c r="F134" s="378"/>
    </row>
    <row r="136" spans="1:6" ht="13.9">
      <c r="A136" s="218" t="s">
        <v>459</v>
      </c>
      <c r="B136" s="36"/>
      <c r="C136" s="36"/>
      <c r="D136" s="36"/>
      <c r="E136" s="36"/>
      <c r="F136" s="36"/>
    </row>
    <row r="138" spans="1:6">
      <c r="B138" s="379" t="s">
        <v>345</v>
      </c>
      <c r="C138" s="379"/>
      <c r="D138" s="379"/>
      <c r="E138" s="379"/>
      <c r="F138" s="379"/>
    </row>
    <row r="139" spans="1:6">
      <c r="B139" s="374" t="s">
        <v>460</v>
      </c>
      <c r="C139" s="374"/>
      <c r="D139" s="374"/>
      <c r="E139" s="374"/>
      <c r="F139" s="374"/>
    </row>
    <row r="140" spans="1:6">
      <c r="B140" s="206" t="s">
        <v>224</v>
      </c>
    </row>
    <row r="141" spans="1:6">
      <c r="B141" s="1" t="s">
        <v>256</v>
      </c>
      <c r="C141" s="221">
        <f>E25</f>
        <v>3</v>
      </c>
    </row>
    <row r="142" spans="1:6">
      <c r="B142" s="1" t="s">
        <v>268</v>
      </c>
      <c r="C142" s="220">
        <f>E29</f>
        <v>0.35</v>
      </c>
    </row>
    <row r="143" spans="1:6">
      <c r="B143" s="208" t="s">
        <v>254</v>
      </c>
      <c r="C143" s="209">
        <f>Scenarios!C82</f>
        <v>0</v>
      </c>
      <c r="D143" s="208" t="str">
        <f>Market_currency</f>
        <v>HKD</v>
      </c>
    </row>
    <row r="145" spans="2:4">
      <c r="B145" s="206" t="s">
        <v>380</v>
      </c>
      <c r="C145" s="237" t="str">
        <f>C11</f>
        <v>6862.HK</v>
      </c>
      <c r="D145" s="237" t="str">
        <f>IF(D11="","",D11)</f>
        <v/>
      </c>
    </row>
    <row r="146" spans="2:4">
      <c r="B146" s="1" t="s">
        <v>379</v>
      </c>
      <c r="C146" s="293">
        <f>E29</f>
        <v>0.35</v>
      </c>
    </row>
    <row r="147" spans="2:4">
      <c r="B147" s="208" t="str">
        <f>"PV("&amp;C141&amp;" yrs of Dividends)"</f>
        <v>PV(3 yrs of Dividends)</v>
      </c>
      <c r="C147" s="212">
        <f>Scenarios!C86</f>
        <v>0</v>
      </c>
    </row>
    <row r="148" spans="2:4">
      <c r="B148" s="208" t="str">
        <f>"+ PV(Equity Value realized at year "&amp;C141&amp;")"</f>
        <v>+ PV(Equity Value realized at year 3)</v>
      </c>
      <c r="C148" s="212">
        <f>Scenarios!C87</f>
        <v>4.877739084338959</v>
      </c>
    </row>
    <row r="149" spans="2:4">
      <c r="B149" s="80" t="s">
        <v>253</v>
      </c>
      <c r="C149" s="211">
        <f>Scenarios!C88</f>
        <v>4.877739084338959</v>
      </c>
      <c r="D149" s="296" t="str">
        <f>IF($D$11="","",C149*#REF!)</f>
        <v/>
      </c>
    </row>
    <row r="150" spans="2:4">
      <c r="B150" s="255" t="s">
        <v>387</v>
      </c>
      <c r="C150" s="294" t="str">
        <f>Market_currency</f>
        <v>HKD</v>
      </c>
      <c r="D150" s="294" t="str">
        <f>IF($D$11="","",D$13)</f>
        <v/>
      </c>
    </row>
    <row r="151" spans="2:4">
      <c r="B151" s="210" t="s">
        <v>255</v>
      </c>
      <c r="C151" s="92">
        <f>Scenarios!F88</f>
        <v>0.59355789259767322</v>
      </c>
    </row>
    <row r="153" spans="2:4">
      <c r="B153" s="206" t="s">
        <v>383</v>
      </c>
    </row>
    <row r="154" spans="2:4">
      <c r="B154" s="1" t="s">
        <v>382</v>
      </c>
      <c r="C154" s="293">
        <f>Scenarios!C95</f>
        <v>0.25</v>
      </c>
    </row>
    <row r="155" spans="2:4">
      <c r="B155" s="208" t="str">
        <f>"PV("&amp;C141&amp;" yrs of Dividends)"</f>
        <v>PV(3 yrs of Dividends)</v>
      </c>
      <c r="C155" s="212">
        <f>Scenarios!C96</f>
        <v>0</v>
      </c>
    </row>
    <row r="156" spans="2:4">
      <c r="B156" s="208" t="str">
        <f>"+ PV(Equity Value realized at year "&amp;C141&amp;")"</f>
        <v>+ PV(Equity Value realized at year 3)</v>
      </c>
      <c r="C156" s="212">
        <f>Scenarios!C97</f>
        <v>6.1445464574108</v>
      </c>
    </row>
    <row r="157" spans="2:4">
      <c r="B157" s="80" t="s">
        <v>253</v>
      </c>
      <c r="C157" s="211">
        <f>Scenarios!C98</f>
        <v>6.1445464574108</v>
      </c>
      <c r="D157" s="296" t="str">
        <f>IF($D$11="","",C157*#REF!)</f>
        <v/>
      </c>
    </row>
    <row r="158" spans="2:4">
      <c r="B158" s="255" t="s">
        <v>387</v>
      </c>
      <c r="C158" s="294" t="str">
        <f>Market_currency</f>
        <v>HKD</v>
      </c>
      <c r="D158" s="294" t="str">
        <f>IF($D$11="","",D$13)</f>
        <v/>
      </c>
    </row>
    <row r="159" spans="2:4">
      <c r="B159" s="210" t="s">
        <v>255</v>
      </c>
      <c r="C159" s="92">
        <f>Scenarios!F98</f>
        <v>0.48799999999999999</v>
      </c>
    </row>
    <row r="161" spans="2:4">
      <c r="B161" s="206" t="s">
        <v>373</v>
      </c>
    </row>
    <row r="162" spans="2:4">
      <c r="B162" s="1" t="s">
        <v>381</v>
      </c>
      <c r="C162" s="92">
        <f>Scenarios!C101</f>
        <v>7.4999999999999997E-2</v>
      </c>
    </row>
    <row r="163" spans="2:4">
      <c r="B163" s="208" t="str">
        <f>"PV("&amp;C141&amp;" yrs of Dividends)"</f>
        <v>PV(3 yrs of Dividends)</v>
      </c>
      <c r="C163" s="212">
        <f>Scenarios!C102</f>
        <v>0</v>
      </c>
    </row>
    <row r="164" spans="2:4">
      <c r="B164" s="208" t="str">
        <f>"+ PV(Equity Value realized at year "&amp;C141&amp;")"</f>
        <v>+ PV(Equity Value realized at year 3)</v>
      </c>
      <c r="C164" s="212">
        <f>Scenarios!C103</f>
        <v>9.6603859682336157</v>
      </c>
    </row>
    <row r="165" spans="2:4">
      <c r="B165" s="80" t="s">
        <v>374</v>
      </c>
      <c r="C165" s="211">
        <f>Scenarios!C104</f>
        <v>9.6603859682336157</v>
      </c>
      <c r="D165" s="296" t="str">
        <f>IF($D$11="","",C165*#REF!)</f>
        <v/>
      </c>
    </row>
    <row r="166" spans="2:4">
      <c r="B166" s="255" t="s">
        <v>387</v>
      </c>
      <c r="C166" s="294" t="str">
        <f>Market_currency</f>
        <v>HKD</v>
      </c>
      <c r="D166" s="294" t="str">
        <f>IF($D$11="","",D$13)</f>
        <v/>
      </c>
    </row>
    <row r="167" spans="2:4">
      <c r="B167" s="210" t="s">
        <v>255</v>
      </c>
      <c r="C167" s="92">
        <f>Scenarios!F104</f>
        <v>0.19503943049039696</v>
      </c>
    </row>
    <row r="169" spans="2:4">
      <c r="B169" s="206" t="s">
        <v>400</v>
      </c>
    </row>
    <row r="170" spans="2:4">
      <c r="B170" s="1" t="s">
        <v>391</v>
      </c>
      <c r="C170" s="92">
        <f>E31</f>
        <v>0.1174</v>
      </c>
    </row>
    <row r="171" spans="2:4">
      <c r="B171" s="208" t="str">
        <f>"PV("&amp;C141&amp;" yrs of Dividends)"</f>
        <v>PV(3 yrs of Dividends)</v>
      </c>
      <c r="C171" s="212">
        <f>Scenarios!C108</f>
        <v>0</v>
      </c>
    </row>
    <row r="172" spans="2:4">
      <c r="B172" s="208" t="str">
        <f>"+ PV(Equity Value realized at year "&amp;C141&amp;")"</f>
        <v>+ PV(Equity Value realized at year 3)</v>
      </c>
      <c r="C172" s="212">
        <f>Scenarios!C109</f>
        <v>8.6018897142802313</v>
      </c>
    </row>
    <row r="173" spans="2:4">
      <c r="B173" s="80" t="s">
        <v>374</v>
      </c>
      <c r="C173" s="211">
        <f>Scenarios!C110</f>
        <v>8.6018897142802313</v>
      </c>
      <c r="D173" s="296" t="str">
        <f>IF($D$11="","",C173*#REF!)</f>
        <v/>
      </c>
    </row>
    <row r="174" spans="2:4">
      <c r="B174" s="255" t="s">
        <v>387</v>
      </c>
      <c r="C174" s="294" t="str">
        <f>Market_currency</f>
        <v>HKD</v>
      </c>
      <c r="D174" s="294" t="str">
        <f>IF($D$11="","",D$13)</f>
        <v/>
      </c>
    </row>
    <row r="175" spans="2:4">
      <c r="B175" s="210" t="s">
        <v>255</v>
      </c>
      <c r="C175" s="92">
        <f>Scenarios!F110</f>
        <v>0.28348538574706383</v>
      </c>
    </row>
    <row r="177" spans="1:6" ht="13.9">
      <c r="A177" s="218" t="s">
        <v>349</v>
      </c>
      <c r="B177" s="36"/>
      <c r="C177" s="36"/>
      <c r="D177" s="36"/>
      <c r="E177" s="36"/>
      <c r="F177" s="36"/>
    </row>
    <row r="179" spans="1:6">
      <c r="B179" s="373" t="s">
        <v>461</v>
      </c>
      <c r="C179" s="374"/>
      <c r="D179" s="374"/>
      <c r="E179" s="374"/>
      <c r="F179" s="374"/>
    </row>
    <row r="181" spans="1:6">
      <c r="B181" s="206" t="s">
        <v>350</v>
      </c>
    </row>
    <row r="182" spans="1:6">
      <c r="B182" s="376" t="s">
        <v>354</v>
      </c>
      <c r="C182" s="376"/>
      <c r="D182" s="376"/>
      <c r="E182" s="376"/>
      <c r="F182" s="376"/>
    </row>
    <row r="183" spans="1:6">
      <c r="B183" s="210" t="s">
        <v>351</v>
      </c>
    </row>
    <row r="184" spans="1:6">
      <c r="B184" s="210" t="s">
        <v>352</v>
      </c>
    </row>
    <row r="185" spans="1:6">
      <c r="B185" s="210" t="s">
        <v>353</v>
      </c>
    </row>
    <row r="187" spans="1:6">
      <c r="B187" s="1" t="s">
        <v>357</v>
      </c>
    </row>
    <row r="188" spans="1:6" ht="34.35" customHeight="1">
      <c r="B188" s="375" t="s">
        <v>462</v>
      </c>
      <c r="C188" s="375"/>
      <c r="D188" s="375"/>
      <c r="E188" s="375"/>
      <c r="F188" s="375"/>
    </row>
    <row r="190" spans="1:6">
      <c r="B190" s="1" t="s">
        <v>358</v>
      </c>
    </row>
    <row r="191" spans="1:6" ht="24.6" customHeight="1">
      <c r="B191" s="372" t="s">
        <v>355</v>
      </c>
      <c r="C191" s="372"/>
      <c r="D191" s="372"/>
      <c r="E191" s="372"/>
      <c r="F191" s="372"/>
    </row>
    <row r="192" spans="1:6" ht="24.6" customHeight="1">
      <c r="B192" s="372" t="s">
        <v>356</v>
      </c>
      <c r="C192" s="372"/>
      <c r="D192" s="372"/>
      <c r="E192" s="372"/>
      <c r="F192" s="372"/>
    </row>
    <row r="194" spans="2:2">
      <c r="B194" s="1" t="s">
        <v>362</v>
      </c>
    </row>
    <row r="195" spans="2:2">
      <c r="B195" s="210" t="s">
        <v>359</v>
      </c>
    </row>
    <row r="196" spans="2:2">
      <c r="B196" s="210" t="s">
        <v>360</v>
      </c>
    </row>
    <row r="197" spans="2:2">
      <c r="B197" s="210" t="s">
        <v>361</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 xr:uid="{00000000-0002-0000-0000-000001000000}">
      <formula1>"HKD,USD,CNY,EUR"</formula1>
    </dataValidation>
    <dataValidation type="list" allowBlank="1" showInputMessage="1" showErrorMessage="1" sqref="E23"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38" activePane="bottomRight" state="frozen"/>
      <selection pane="topRight" activeCell="C1" sqref="C1"/>
      <selection pane="bottomLeft" activeCell="A2" sqref="A2"/>
      <selection pane="bottomRight" activeCell="C60" sqref="C60"/>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1000</v>
      </c>
    </row>
    <row r="4" spans="2:13">
      <c r="B4" s="32" t="s">
        <v>0</v>
      </c>
      <c r="C4" s="342">
        <v>42754687</v>
      </c>
      <c r="D4" s="342">
        <v>41453348</v>
      </c>
      <c r="E4" s="342"/>
      <c r="F4" s="342"/>
      <c r="G4" s="342"/>
      <c r="H4" s="342"/>
      <c r="I4" s="342"/>
      <c r="J4" s="342"/>
      <c r="K4" s="342"/>
      <c r="L4" s="342"/>
      <c r="M4" s="342"/>
    </row>
    <row r="5" spans="2:13">
      <c r="B5" s="40" t="s">
        <v>41</v>
      </c>
      <c r="C5" s="342">
        <v>16211077</v>
      </c>
      <c r="D5" s="342">
        <v>16946214</v>
      </c>
      <c r="E5" s="342"/>
      <c r="F5" s="342"/>
      <c r="G5" s="342"/>
      <c r="H5" s="342"/>
      <c r="I5" s="342"/>
      <c r="J5" s="342"/>
      <c r="K5" s="342"/>
      <c r="L5" s="342"/>
      <c r="M5" s="342"/>
    </row>
    <row r="6" spans="2:13">
      <c r="B6" s="40" t="s">
        <v>52</v>
      </c>
      <c r="C6" s="342">
        <f>14113263+425543+1465696+2558496+257408+1864070</f>
        <v>20684476</v>
      </c>
      <c r="D6" s="342">
        <f>13039844+361903+1374307+2945399+204302+1611015</f>
        <v>19536770</v>
      </c>
      <c r="E6" s="342"/>
      <c r="F6" s="342"/>
      <c r="G6" s="342"/>
      <c r="H6" s="342"/>
      <c r="I6" s="342"/>
      <c r="J6" s="342"/>
      <c r="K6" s="342"/>
      <c r="L6" s="342"/>
      <c r="M6" s="342"/>
    </row>
    <row r="7" spans="2:13">
      <c r="B7" s="69" t="s">
        <v>59</v>
      </c>
      <c r="C7" s="343"/>
      <c r="D7" s="343"/>
      <c r="E7" s="343"/>
      <c r="F7" s="343"/>
      <c r="G7" s="343"/>
      <c r="H7" s="343"/>
      <c r="I7" s="343"/>
      <c r="J7" s="343"/>
      <c r="K7" s="343"/>
      <c r="L7" s="343"/>
      <c r="M7" s="343"/>
    </row>
    <row r="8" spans="2:13">
      <c r="B8" s="40" t="s">
        <v>47</v>
      </c>
      <c r="C8" s="342"/>
      <c r="D8" s="342"/>
      <c r="E8" s="342"/>
      <c r="F8" s="342"/>
      <c r="G8" s="342"/>
      <c r="H8" s="342"/>
      <c r="I8" s="342"/>
      <c r="J8" s="342"/>
      <c r="K8" s="342"/>
      <c r="L8" s="342"/>
      <c r="M8" s="342"/>
    </row>
    <row r="9" spans="2:13">
      <c r="B9" s="40" t="s">
        <v>154</v>
      </c>
      <c r="C9" s="342">
        <f>56897-5122</f>
        <v>51775</v>
      </c>
      <c r="D9" s="342">
        <f>53372-7509</f>
        <v>45863</v>
      </c>
      <c r="E9" s="342"/>
      <c r="F9" s="342"/>
      <c r="G9" s="342"/>
      <c r="H9" s="342"/>
      <c r="I9" s="342"/>
      <c r="J9" s="342"/>
      <c r="K9" s="342"/>
      <c r="L9" s="342"/>
      <c r="M9" s="342"/>
    </row>
    <row r="10" spans="2:13">
      <c r="B10" s="40" t="s">
        <v>162</v>
      </c>
      <c r="C10" s="342"/>
      <c r="D10" s="342"/>
      <c r="E10" s="342"/>
      <c r="F10" s="342"/>
      <c r="G10" s="342"/>
      <c r="H10" s="342"/>
      <c r="I10" s="342"/>
      <c r="J10" s="342"/>
      <c r="K10" s="342"/>
      <c r="L10" s="342"/>
      <c r="M10" s="342"/>
    </row>
    <row r="11" spans="2:13">
      <c r="B11" s="40" t="s">
        <v>153</v>
      </c>
      <c r="C11" s="342"/>
      <c r="D11" s="342"/>
      <c r="E11" s="342"/>
      <c r="F11" s="342"/>
      <c r="G11" s="342"/>
      <c r="H11" s="342"/>
      <c r="I11" s="342"/>
      <c r="J11" s="342"/>
      <c r="K11" s="342"/>
      <c r="L11" s="342"/>
      <c r="M11" s="342"/>
    </row>
    <row r="12" spans="2:13">
      <c r="B12" s="40" t="s">
        <v>37</v>
      </c>
      <c r="C12" s="342">
        <v>274678</v>
      </c>
      <c r="D12" s="342">
        <v>351430</v>
      </c>
      <c r="E12" s="342"/>
      <c r="F12" s="342"/>
      <c r="G12" s="342"/>
      <c r="H12" s="342"/>
      <c r="I12" s="342"/>
      <c r="J12" s="342"/>
      <c r="K12" s="342"/>
      <c r="L12" s="342"/>
      <c r="M12" s="342"/>
    </row>
    <row r="13" spans="2:13">
      <c r="B13" s="40" t="s">
        <v>65</v>
      </c>
      <c r="C13" s="342">
        <v>382926</v>
      </c>
      <c r="D13" s="342">
        <v>326889</v>
      </c>
      <c r="E13" s="342"/>
      <c r="F13" s="342"/>
      <c r="G13" s="342"/>
      <c r="H13" s="342"/>
      <c r="I13" s="342"/>
      <c r="J13" s="342"/>
      <c r="K13" s="342"/>
      <c r="L13" s="342"/>
      <c r="M13" s="342"/>
    </row>
    <row r="14" spans="2:13">
      <c r="B14" s="40" t="s">
        <v>48</v>
      </c>
      <c r="C14" s="342">
        <v>1923777</v>
      </c>
      <c r="D14" s="342">
        <v>1337673</v>
      </c>
      <c r="E14" s="342"/>
      <c r="F14" s="342"/>
      <c r="G14" s="342"/>
      <c r="H14" s="342"/>
      <c r="I14" s="342"/>
      <c r="J14" s="342"/>
      <c r="K14" s="342"/>
      <c r="L14" s="342"/>
      <c r="M14" s="342"/>
    </row>
    <row r="15" spans="2:13">
      <c r="B15" s="43" t="s">
        <v>40</v>
      </c>
      <c r="C15" s="344">
        <v>4708084</v>
      </c>
      <c r="D15" s="344">
        <v>4499080</v>
      </c>
      <c r="E15" s="344"/>
      <c r="F15" s="344"/>
      <c r="G15" s="344"/>
      <c r="H15" s="344"/>
      <c r="I15" s="344"/>
      <c r="J15" s="344"/>
      <c r="K15" s="344"/>
      <c r="L15" s="344"/>
      <c r="M15" s="344"/>
    </row>
    <row r="16" spans="2:13">
      <c r="B16" s="28" t="s">
        <v>42</v>
      </c>
      <c r="C16" s="342">
        <v>7806</v>
      </c>
      <c r="D16" s="342">
        <v>3681</v>
      </c>
      <c r="E16" s="342"/>
      <c r="F16" s="342"/>
      <c r="G16" s="342"/>
      <c r="H16" s="342"/>
      <c r="I16" s="342"/>
      <c r="J16" s="342"/>
      <c r="K16" s="342"/>
      <c r="L16" s="342"/>
      <c r="M16" s="342"/>
    </row>
    <row r="18" spans="2:13">
      <c r="B18" s="16" t="s">
        <v>49</v>
      </c>
      <c r="C18" s="9"/>
    </row>
    <row r="19" spans="2:13">
      <c r="B19" s="27" t="s">
        <v>45</v>
      </c>
      <c r="C19" s="342"/>
      <c r="D19" s="342"/>
      <c r="E19" s="342"/>
      <c r="F19" s="342"/>
      <c r="G19" s="342"/>
      <c r="H19" s="342"/>
      <c r="I19" s="342"/>
      <c r="J19" s="342"/>
      <c r="K19" s="342"/>
      <c r="L19" s="342"/>
      <c r="M19" s="342"/>
    </row>
    <row r="20" spans="2:13">
      <c r="B20" s="27" t="s">
        <v>51</v>
      </c>
      <c r="C20" s="342"/>
      <c r="D20" s="342"/>
      <c r="E20" s="342"/>
      <c r="F20" s="342"/>
      <c r="G20" s="342"/>
      <c r="H20" s="342"/>
      <c r="I20" s="342"/>
      <c r="J20" s="342"/>
      <c r="K20" s="342"/>
      <c r="L20" s="342"/>
      <c r="M20" s="342"/>
    </row>
    <row r="21" spans="2:13">
      <c r="B21" s="27" t="s">
        <v>50</v>
      </c>
      <c r="C21" s="342"/>
      <c r="D21" s="342"/>
      <c r="E21" s="342"/>
      <c r="F21" s="342"/>
      <c r="G21" s="342"/>
      <c r="H21" s="342"/>
      <c r="I21" s="342"/>
      <c r="J21" s="342"/>
      <c r="K21" s="342"/>
      <c r="L21" s="342"/>
      <c r="M21" s="342"/>
    </row>
    <row r="22" spans="2:13">
      <c r="B22" s="27" t="s">
        <v>346</v>
      </c>
      <c r="C22" s="342">
        <v>7634465</v>
      </c>
      <c r="D22" s="342">
        <v>9000350</v>
      </c>
      <c r="E22" s="342">
        <v>6152295</v>
      </c>
      <c r="F22" s="342">
        <v>3806125</v>
      </c>
      <c r="G22" s="342">
        <v>2921451</v>
      </c>
      <c r="H22" s="342">
        <v>4580484</v>
      </c>
      <c r="I22" s="342">
        <v>2388393</v>
      </c>
      <c r="J22" s="342">
        <v>1399716</v>
      </c>
      <c r="K22" s="342">
        <v>1414061</v>
      </c>
      <c r="L22" s="342">
        <v>641989</v>
      </c>
      <c r="M22" s="342"/>
    </row>
    <row r="23" spans="2:13">
      <c r="B23" s="27" t="s">
        <v>348</v>
      </c>
      <c r="C23" s="342">
        <v>-91488</v>
      </c>
      <c r="D23" s="342">
        <v>-5310684</v>
      </c>
      <c r="E23" s="342">
        <v>-756888</v>
      </c>
      <c r="F23" s="342">
        <v>-4952514</v>
      </c>
      <c r="G23" s="342">
        <v>-4691020</v>
      </c>
      <c r="H23" s="342">
        <v>-5026276</v>
      </c>
      <c r="I23" s="342">
        <v>-3867075</v>
      </c>
      <c r="J23" s="342">
        <v>-1564855</v>
      </c>
      <c r="K23" s="342">
        <v>-1280876</v>
      </c>
      <c r="L23" s="342">
        <v>-915920</v>
      </c>
      <c r="M23" s="342"/>
    </row>
    <row r="24" spans="2:13">
      <c r="B24" s="27" t="s">
        <v>347</v>
      </c>
      <c r="C24" s="342">
        <v>-7630060</v>
      </c>
      <c r="D24" s="342">
        <v>-3501732</v>
      </c>
      <c r="E24" s="342">
        <v>-4987546</v>
      </c>
      <c r="F24" s="342">
        <v>4310825</v>
      </c>
      <c r="G24" s="342">
        <v>2339705</v>
      </c>
      <c r="H24" s="342">
        <v>-1489718</v>
      </c>
      <c r="I24" s="342">
        <v>5339398</v>
      </c>
      <c r="J24" s="342">
        <v>104943</v>
      </c>
      <c r="K24" s="342">
        <v>157735</v>
      </c>
      <c r="L24" s="342">
        <v>158591</v>
      </c>
      <c r="M24" s="342"/>
    </row>
    <row r="25" spans="2:13">
      <c r="B25" s="24" t="str">
        <f>"Dividend per share ("&amp;Market_currency&amp;")"</f>
        <v>Dividend per share (HKD)</v>
      </c>
      <c r="C25" s="39">
        <v>0</v>
      </c>
      <c r="D25" s="39"/>
      <c r="E25" s="39"/>
      <c r="F25" s="39"/>
      <c r="G25" s="39"/>
      <c r="H25" s="39"/>
      <c r="I25" s="39"/>
      <c r="J25" s="39"/>
      <c r="K25" s="39"/>
      <c r="L25" s="39"/>
      <c r="M25" s="39"/>
    </row>
    <row r="27" spans="2:13">
      <c r="B27" s="16" t="s">
        <v>26</v>
      </c>
      <c r="C27" s="97" t="s">
        <v>213</v>
      </c>
    </row>
    <row r="28" spans="2:13">
      <c r="B28" s="26" t="s">
        <v>22</v>
      </c>
      <c r="C28" s="325">
        <f>BS!C4</f>
        <v>1791826</v>
      </c>
      <c r="D28" s="342">
        <v>411995</v>
      </c>
      <c r="E28" s="342">
        <v>306856</v>
      </c>
      <c r="F28" s="342">
        <v>367668</v>
      </c>
      <c r="G28" s="342">
        <v>275233</v>
      </c>
      <c r="H28" s="342">
        <v>203571</v>
      </c>
      <c r="I28" s="342">
        <v>150093</v>
      </c>
      <c r="J28" s="342">
        <v>172951</v>
      </c>
      <c r="K28" s="342">
        <v>63644</v>
      </c>
      <c r="L28" s="342">
        <v>29587</v>
      </c>
      <c r="M28" s="342"/>
    </row>
    <row r="29" spans="2:13">
      <c r="B29" s="26" t="s">
        <v>30</v>
      </c>
      <c r="C29" s="325">
        <f>BS!C6</f>
        <v>1060641</v>
      </c>
      <c r="D29" s="342">
        <v>1074627</v>
      </c>
      <c r="E29" s="342">
        <v>1141813</v>
      </c>
      <c r="F29" s="342">
        <v>1456237</v>
      </c>
      <c r="G29" s="342">
        <v>1154215</v>
      </c>
      <c r="H29" s="342">
        <v>1199666</v>
      </c>
      <c r="I29" s="342">
        <v>457124</v>
      </c>
      <c r="J29" s="342">
        <v>95118</v>
      </c>
      <c r="K29" s="342">
        <v>49707</v>
      </c>
      <c r="L29" s="342">
        <v>41065</v>
      </c>
      <c r="M29" s="342"/>
    </row>
    <row r="30" spans="2:13">
      <c r="B30" s="29" t="s">
        <v>38</v>
      </c>
      <c r="C30" s="326">
        <f>BS!C33+BS!C42</f>
        <v>12363761</v>
      </c>
      <c r="D30" s="344">
        <v>13160058</v>
      </c>
      <c r="E30" s="344">
        <v>13983063</v>
      </c>
      <c r="F30" s="344">
        <v>20092862</v>
      </c>
      <c r="G30" s="344">
        <v>17289886</v>
      </c>
      <c r="H30" s="344">
        <v>9987899</v>
      </c>
      <c r="I30" s="344">
        <v>3315085</v>
      </c>
      <c r="J30" s="344">
        <v>2644844</v>
      </c>
      <c r="K30" s="344">
        <v>1677783</v>
      </c>
      <c r="L30" s="344">
        <v>1249700</v>
      </c>
      <c r="M30" s="344"/>
    </row>
    <row r="31" spans="2:13">
      <c r="B31" s="29" t="s">
        <v>28</v>
      </c>
      <c r="C31" s="326">
        <f>BS!G27</f>
        <v>10417496</v>
      </c>
      <c r="D31" s="344">
        <v>11516940</v>
      </c>
      <c r="E31" s="344">
        <v>7456092</v>
      </c>
      <c r="F31" s="344">
        <v>7928625</v>
      </c>
      <c r="G31" s="344">
        <v>10237258</v>
      </c>
      <c r="H31" s="344">
        <v>10626033</v>
      </c>
      <c r="I31" s="344">
        <v>8629558</v>
      </c>
      <c r="J31" s="344">
        <v>1090981</v>
      </c>
      <c r="K31" s="344">
        <v>1071740</v>
      </c>
      <c r="L31" s="344">
        <v>1156918</v>
      </c>
      <c r="M31" s="344"/>
    </row>
    <row r="32" spans="2:13">
      <c r="B32" s="26" t="s">
        <v>167</v>
      </c>
      <c r="C32" s="325">
        <f>BS!G28</f>
        <v>-16298</v>
      </c>
      <c r="D32" s="342">
        <v>-9690</v>
      </c>
      <c r="E32" s="342">
        <v>12905</v>
      </c>
      <c r="F32" s="342">
        <v>14065</v>
      </c>
      <c r="G32" s="342">
        <v>3307</v>
      </c>
      <c r="H32" s="342">
        <v>3032</v>
      </c>
      <c r="I32" s="342">
        <v>4586</v>
      </c>
      <c r="J32" s="342">
        <v>1896</v>
      </c>
      <c r="K32" s="342">
        <v>269723</v>
      </c>
      <c r="L32" s="342">
        <v>437690</v>
      </c>
      <c r="M32" s="342"/>
    </row>
    <row r="34" spans="2:13" ht="13.9">
      <c r="B34" s="36" t="s">
        <v>79</v>
      </c>
      <c r="C34" s="37"/>
      <c r="D34" s="37"/>
      <c r="E34" s="37"/>
      <c r="F34" s="37"/>
      <c r="G34" s="37"/>
      <c r="H34" s="37"/>
      <c r="I34" s="37"/>
      <c r="J34" s="37"/>
      <c r="K34" s="37"/>
      <c r="L34" s="37"/>
      <c r="M34" s="37"/>
    </row>
    <row r="35" spans="2:13">
      <c r="B35" s="16" t="s">
        <v>25</v>
      </c>
    </row>
    <row r="36" spans="2:13">
      <c r="B36" s="32" t="s">
        <v>0</v>
      </c>
      <c r="C36" s="325">
        <f t="shared" ref="C36:M36" si="1">IF(C$4="","",C4)</f>
        <v>42754687</v>
      </c>
      <c r="D36" s="325">
        <f t="shared" si="1"/>
        <v>41453348</v>
      </c>
      <c r="E36" s="325" t="str">
        <f t="shared" si="1"/>
        <v/>
      </c>
      <c r="F36" s="325" t="str">
        <f t="shared" si="1"/>
        <v/>
      </c>
      <c r="G36" s="325" t="str">
        <f t="shared" si="1"/>
        <v/>
      </c>
      <c r="H36" s="325" t="str">
        <f t="shared" si="1"/>
        <v/>
      </c>
      <c r="I36" s="325" t="str">
        <f t="shared" si="1"/>
        <v/>
      </c>
      <c r="J36" s="325" t="str">
        <f t="shared" si="1"/>
        <v/>
      </c>
      <c r="K36" s="325" t="str">
        <f t="shared" si="1"/>
        <v/>
      </c>
      <c r="L36" s="325" t="str">
        <f t="shared" si="1"/>
        <v/>
      </c>
      <c r="M36" s="325" t="str">
        <f t="shared" si="1"/>
        <v/>
      </c>
    </row>
    <row r="37" spans="2:13">
      <c r="B37" s="40" t="s">
        <v>41</v>
      </c>
      <c r="C37" s="325">
        <f t="shared" ref="C37:M37" si="2">IF(C$4="","",-C5)</f>
        <v>-16211077</v>
      </c>
      <c r="D37" s="325">
        <f t="shared" si="2"/>
        <v>-16946214</v>
      </c>
      <c r="E37" s="325" t="str">
        <f t="shared" si="2"/>
        <v/>
      </c>
      <c r="F37" s="325" t="str">
        <f t="shared" si="2"/>
        <v/>
      </c>
      <c r="G37" s="325" t="str">
        <f t="shared" si="2"/>
        <v/>
      </c>
      <c r="H37" s="325" t="str">
        <f t="shared" si="2"/>
        <v/>
      </c>
      <c r="I37" s="325" t="str">
        <f t="shared" si="2"/>
        <v/>
      </c>
      <c r="J37" s="325" t="str">
        <f t="shared" si="2"/>
        <v/>
      </c>
      <c r="K37" s="325" t="str">
        <f t="shared" si="2"/>
        <v/>
      </c>
      <c r="L37" s="325" t="str">
        <f t="shared" si="2"/>
        <v/>
      </c>
      <c r="M37" s="325" t="str">
        <f t="shared" si="2"/>
        <v/>
      </c>
    </row>
    <row r="38" spans="2:13">
      <c r="B38" s="31" t="s">
        <v>56</v>
      </c>
      <c r="C38" s="322">
        <f>IF(C36="","",C36+C37)</f>
        <v>26543610</v>
      </c>
      <c r="D38" s="322">
        <f t="shared" ref="D38" si="3">IF(D36="","",D36+D37)</f>
        <v>24507134</v>
      </c>
      <c r="E38" s="322" t="str">
        <f t="shared" ref="E38" si="4">IF(E36="","",E36+E37)</f>
        <v/>
      </c>
      <c r="F38" s="322" t="str">
        <f t="shared" ref="F38" si="5">IF(F36="","",F36+F37)</f>
        <v/>
      </c>
      <c r="G38" s="322" t="str">
        <f t="shared" ref="G38" si="6">IF(G36="","",G36+G37)</f>
        <v/>
      </c>
      <c r="H38" s="322" t="str">
        <f t="shared" ref="H38" si="7">IF(H36="","",H36+H37)</f>
        <v/>
      </c>
      <c r="I38" s="322" t="str">
        <f t="shared" ref="I38" si="8">IF(I36="","",I36+I37)</f>
        <v/>
      </c>
      <c r="J38" s="322" t="str">
        <f t="shared" ref="J38" si="9">IF(J36="","",J36+J37)</f>
        <v/>
      </c>
      <c r="K38" s="322" t="str">
        <f t="shared" ref="K38" si="10">IF(K36="","",K36+K37)</f>
        <v/>
      </c>
      <c r="L38" s="322" t="str">
        <f t="shared" ref="L38" si="11">IF(L36="","",L36+L37)</f>
        <v/>
      </c>
      <c r="M38" s="322" t="str">
        <f t="shared" ref="M38" si="12">IF(M36="","",M36+M37)</f>
        <v/>
      </c>
    </row>
    <row r="39" spans="2:13">
      <c r="B39" s="40" t="s">
        <v>52</v>
      </c>
      <c r="C39" s="325">
        <f t="shared" ref="C39:M39" si="13">IF(C$4="","",-C6)</f>
        <v>-20684476</v>
      </c>
      <c r="D39" s="325">
        <f t="shared" si="13"/>
        <v>-19536770</v>
      </c>
      <c r="E39" s="325" t="str">
        <f t="shared" si="13"/>
        <v/>
      </c>
      <c r="F39" s="325" t="str">
        <f t="shared" si="13"/>
        <v/>
      </c>
      <c r="G39" s="325" t="str">
        <f t="shared" si="13"/>
        <v/>
      </c>
      <c r="H39" s="325" t="str">
        <f t="shared" si="13"/>
        <v/>
      </c>
      <c r="I39" s="325" t="str">
        <f t="shared" si="13"/>
        <v/>
      </c>
      <c r="J39" s="325" t="str">
        <f t="shared" si="13"/>
        <v/>
      </c>
      <c r="K39" s="325" t="str">
        <f t="shared" si="13"/>
        <v/>
      </c>
      <c r="L39" s="325" t="str">
        <f t="shared" si="13"/>
        <v/>
      </c>
      <c r="M39" s="325" t="str">
        <f t="shared" si="13"/>
        <v/>
      </c>
    </row>
    <row r="40" spans="2:13">
      <c r="B40" s="69" t="s">
        <v>59</v>
      </c>
      <c r="C40" s="337">
        <f t="shared" ref="C40:M40" si="14">IF(C$4="","",-C7)</f>
        <v>0</v>
      </c>
      <c r="D40" s="337">
        <f t="shared" si="14"/>
        <v>0</v>
      </c>
      <c r="E40" s="337" t="str">
        <f t="shared" si="14"/>
        <v/>
      </c>
      <c r="F40" s="337" t="str">
        <f t="shared" si="14"/>
        <v/>
      </c>
      <c r="G40" s="337" t="str">
        <f t="shared" si="14"/>
        <v/>
      </c>
      <c r="H40" s="337" t="str">
        <f t="shared" si="14"/>
        <v/>
      </c>
      <c r="I40" s="337" t="str">
        <f t="shared" si="14"/>
        <v/>
      </c>
      <c r="J40" s="337" t="str">
        <f t="shared" si="14"/>
        <v/>
      </c>
      <c r="K40" s="337" t="str">
        <f t="shared" si="14"/>
        <v/>
      </c>
      <c r="L40" s="337" t="str">
        <f t="shared" si="14"/>
        <v/>
      </c>
      <c r="M40" s="337" t="str">
        <f t="shared" si="14"/>
        <v/>
      </c>
    </row>
    <row r="41" spans="2:13">
      <c r="B41" s="69" t="s">
        <v>62</v>
      </c>
      <c r="C41" s="337">
        <f>IF(C$4="","",C39-C40)</f>
        <v>-20684476</v>
      </c>
      <c r="D41" s="337">
        <f t="shared" ref="D41:M41" si="15">IF(D$4="","",D39-D40)</f>
        <v>-19536770</v>
      </c>
      <c r="E41" s="337" t="str">
        <f t="shared" si="15"/>
        <v/>
      </c>
      <c r="F41" s="337" t="str">
        <f t="shared" si="15"/>
        <v/>
      </c>
      <c r="G41" s="337" t="str">
        <f t="shared" si="15"/>
        <v/>
      </c>
      <c r="H41" s="337" t="str">
        <f t="shared" si="15"/>
        <v/>
      </c>
      <c r="I41" s="337" t="str">
        <f t="shared" si="15"/>
        <v/>
      </c>
      <c r="J41" s="337" t="str">
        <f t="shared" si="15"/>
        <v/>
      </c>
      <c r="K41" s="337" t="str">
        <f t="shared" si="15"/>
        <v/>
      </c>
      <c r="L41" s="337" t="str">
        <f t="shared" si="15"/>
        <v/>
      </c>
      <c r="M41" s="337" t="str">
        <f t="shared" si="15"/>
        <v/>
      </c>
    </row>
    <row r="42" spans="2:13">
      <c r="B42" s="40" t="s">
        <v>47</v>
      </c>
      <c r="C42" s="325">
        <f t="shared" ref="C42:M42" si="16">IF(C$4="","",-C8)</f>
        <v>0</v>
      </c>
      <c r="D42" s="325">
        <f t="shared" si="16"/>
        <v>0</v>
      </c>
      <c r="E42" s="325" t="str">
        <f t="shared" si="16"/>
        <v/>
      </c>
      <c r="F42" s="325" t="str">
        <f t="shared" si="16"/>
        <v/>
      </c>
      <c r="G42" s="325" t="str">
        <f t="shared" si="16"/>
        <v/>
      </c>
      <c r="H42" s="325" t="str">
        <f t="shared" si="16"/>
        <v/>
      </c>
      <c r="I42" s="325" t="str">
        <f t="shared" si="16"/>
        <v/>
      </c>
      <c r="J42" s="325" t="str">
        <f t="shared" si="16"/>
        <v/>
      </c>
      <c r="K42" s="325" t="str">
        <f t="shared" si="16"/>
        <v/>
      </c>
      <c r="L42" s="325" t="str">
        <f t="shared" si="16"/>
        <v/>
      </c>
      <c r="M42" s="325" t="str">
        <f t="shared" si="16"/>
        <v/>
      </c>
    </row>
    <row r="43" spans="2:13">
      <c r="B43" s="43" t="s">
        <v>147</v>
      </c>
      <c r="C43" s="326">
        <f>IF(C$4="","",C38+C39+C42)</f>
        <v>5859134</v>
      </c>
      <c r="D43" s="326">
        <f t="shared" ref="D43:M43" si="17">IF(D$4="","",D38+D39+D42)</f>
        <v>4970364</v>
      </c>
      <c r="E43" s="326" t="str">
        <f t="shared" si="17"/>
        <v/>
      </c>
      <c r="F43" s="326" t="str">
        <f t="shared" si="17"/>
        <v/>
      </c>
      <c r="G43" s="326" t="str">
        <f t="shared" si="17"/>
        <v/>
      </c>
      <c r="H43" s="326" t="str">
        <f t="shared" si="17"/>
        <v/>
      </c>
      <c r="I43" s="326" t="str">
        <f t="shared" si="17"/>
        <v/>
      </c>
      <c r="J43" s="326" t="str">
        <f t="shared" si="17"/>
        <v/>
      </c>
      <c r="K43" s="326" t="str">
        <f t="shared" si="17"/>
        <v/>
      </c>
      <c r="L43" s="326" t="str">
        <f t="shared" si="17"/>
        <v/>
      </c>
      <c r="M43" s="326" t="str">
        <f t="shared" si="17"/>
        <v/>
      </c>
    </row>
    <row r="44" spans="2:13">
      <c r="B44" s="43" t="s">
        <v>163</v>
      </c>
      <c r="C44" s="345">
        <f t="shared" ref="C44:M44" si="18">IF(C$4="","",C47-C46-C45-C43)</f>
        <v>664479</v>
      </c>
      <c r="D44" s="345">
        <f t="shared" si="18"/>
        <v>890930</v>
      </c>
      <c r="E44" s="345" t="str">
        <f t="shared" si="18"/>
        <v/>
      </c>
      <c r="F44" s="345" t="str">
        <f t="shared" si="18"/>
        <v/>
      </c>
      <c r="G44" s="345" t="str">
        <f t="shared" si="18"/>
        <v/>
      </c>
      <c r="H44" s="345" t="str">
        <f t="shared" si="18"/>
        <v/>
      </c>
      <c r="I44" s="345" t="str">
        <f t="shared" si="18"/>
        <v/>
      </c>
      <c r="J44" s="345" t="str">
        <f t="shared" si="18"/>
        <v/>
      </c>
      <c r="K44" s="345" t="str">
        <f t="shared" si="18"/>
        <v/>
      </c>
      <c r="L44" s="345" t="str">
        <f t="shared" si="18"/>
        <v/>
      </c>
      <c r="M44" s="345" t="str">
        <f t="shared" si="18"/>
        <v/>
      </c>
    </row>
    <row r="45" spans="2:13">
      <c r="B45" s="40" t="s">
        <v>66</v>
      </c>
      <c r="C45" s="340">
        <f t="shared" ref="C45:M45" si="19">IF(C$4="","",C51+C52)</f>
        <v>108248</v>
      </c>
      <c r="D45" s="340">
        <f t="shared" si="19"/>
        <v>-24541</v>
      </c>
      <c r="E45" s="340" t="str">
        <f t="shared" si="19"/>
        <v/>
      </c>
      <c r="F45" s="340" t="str">
        <f t="shared" si="19"/>
        <v/>
      </c>
      <c r="G45" s="340" t="str">
        <f t="shared" si="19"/>
        <v/>
      </c>
      <c r="H45" s="340" t="str">
        <f t="shared" si="19"/>
        <v/>
      </c>
      <c r="I45" s="340" t="str">
        <f t="shared" si="19"/>
        <v/>
      </c>
      <c r="J45" s="340" t="str">
        <f t="shared" si="19"/>
        <v/>
      </c>
      <c r="K45" s="340" t="str">
        <f t="shared" si="19"/>
        <v/>
      </c>
      <c r="L45" s="340" t="str">
        <f t="shared" si="19"/>
        <v/>
      </c>
      <c r="M45" s="340" t="str">
        <f t="shared" si="19"/>
        <v/>
      </c>
    </row>
    <row r="46" spans="2:13">
      <c r="B46" s="40" t="s">
        <v>48</v>
      </c>
      <c r="C46" s="325">
        <f t="shared" ref="C46:M46" si="20">IF(C$4="","",-C14)</f>
        <v>-1923777</v>
      </c>
      <c r="D46" s="325">
        <f t="shared" si="20"/>
        <v>-1337673</v>
      </c>
      <c r="E46" s="325" t="str">
        <f t="shared" si="20"/>
        <v/>
      </c>
      <c r="F46" s="325" t="str">
        <f t="shared" si="20"/>
        <v/>
      </c>
      <c r="G46" s="325" t="str">
        <f t="shared" si="20"/>
        <v/>
      </c>
      <c r="H46" s="325" t="str">
        <f t="shared" si="20"/>
        <v/>
      </c>
      <c r="I46" s="325" t="str">
        <f t="shared" si="20"/>
        <v/>
      </c>
      <c r="J46" s="325" t="str">
        <f t="shared" si="20"/>
        <v/>
      </c>
      <c r="K46" s="325" t="str">
        <f t="shared" si="20"/>
        <v/>
      </c>
      <c r="L46" s="325" t="str">
        <f t="shared" si="20"/>
        <v/>
      </c>
      <c r="M46" s="325" t="str">
        <f t="shared" si="20"/>
        <v/>
      </c>
    </row>
    <row r="47" spans="2:13">
      <c r="B47" s="43" t="s">
        <v>40</v>
      </c>
      <c r="C47" s="326">
        <f t="shared" ref="C47:M47" si="21">IF(C$4="","",C15)</f>
        <v>4708084</v>
      </c>
      <c r="D47" s="326">
        <f t="shared" si="21"/>
        <v>4499080</v>
      </c>
      <c r="E47" s="326" t="str">
        <f t="shared" si="21"/>
        <v/>
      </c>
      <c r="F47" s="326" t="str">
        <f t="shared" si="21"/>
        <v/>
      </c>
      <c r="G47" s="326" t="str">
        <f t="shared" si="21"/>
        <v/>
      </c>
      <c r="H47" s="326" t="str">
        <f t="shared" si="21"/>
        <v/>
      </c>
      <c r="I47" s="326" t="str">
        <f t="shared" si="21"/>
        <v/>
      </c>
      <c r="J47" s="326" t="str">
        <f t="shared" si="21"/>
        <v/>
      </c>
      <c r="K47" s="326" t="str">
        <f t="shared" si="21"/>
        <v/>
      </c>
      <c r="L47" s="326" t="str">
        <f t="shared" si="21"/>
        <v/>
      </c>
      <c r="M47" s="326" t="str">
        <f t="shared" si="21"/>
        <v/>
      </c>
    </row>
    <row r="48" spans="2:13">
      <c r="B48" s="28" t="s">
        <v>42</v>
      </c>
      <c r="C48" s="325">
        <f t="shared" ref="C48:M48" si="22">IF(C$4="","",MIN(-C16,0))</f>
        <v>-7806</v>
      </c>
      <c r="D48" s="325">
        <f t="shared" si="22"/>
        <v>-3681</v>
      </c>
      <c r="E48" s="325" t="str">
        <f t="shared" si="22"/>
        <v/>
      </c>
      <c r="F48" s="325" t="str">
        <f t="shared" si="22"/>
        <v/>
      </c>
      <c r="G48" s="325" t="str">
        <f t="shared" si="22"/>
        <v/>
      </c>
      <c r="H48" s="325" t="str">
        <f t="shared" si="22"/>
        <v/>
      </c>
      <c r="I48" s="325" t="str">
        <f t="shared" si="22"/>
        <v/>
      </c>
      <c r="J48" s="325" t="str">
        <f t="shared" si="22"/>
        <v/>
      </c>
      <c r="K48" s="325" t="str">
        <f t="shared" si="22"/>
        <v/>
      </c>
      <c r="L48" s="325" t="str">
        <f t="shared" si="22"/>
        <v/>
      </c>
      <c r="M48" s="325" t="str">
        <f t="shared" si="22"/>
        <v/>
      </c>
    </row>
    <row r="50" spans="2:13">
      <c r="B50" s="16" t="s">
        <v>66</v>
      </c>
    </row>
    <row r="51" spans="2:13">
      <c r="B51" s="40" t="s">
        <v>37</v>
      </c>
      <c r="C51" s="325">
        <f t="shared" ref="C51:M51" si="23">IF(C$4="","",-C12)</f>
        <v>-274678</v>
      </c>
      <c r="D51" s="325">
        <f t="shared" si="23"/>
        <v>-351430</v>
      </c>
      <c r="E51" s="325" t="str">
        <f t="shared" si="23"/>
        <v/>
      </c>
      <c r="F51" s="325" t="str">
        <f t="shared" si="23"/>
        <v/>
      </c>
      <c r="G51" s="325" t="str">
        <f t="shared" si="23"/>
        <v/>
      </c>
      <c r="H51" s="325" t="str">
        <f t="shared" si="23"/>
        <v/>
      </c>
      <c r="I51" s="325" t="str">
        <f t="shared" si="23"/>
        <v/>
      </c>
      <c r="J51" s="325" t="str">
        <f t="shared" si="23"/>
        <v/>
      </c>
      <c r="K51" s="325" t="str">
        <f t="shared" si="23"/>
        <v/>
      </c>
      <c r="L51" s="325" t="str">
        <f t="shared" si="23"/>
        <v/>
      </c>
      <c r="M51" s="325" t="str">
        <f t="shared" si="23"/>
        <v/>
      </c>
    </row>
    <row r="52" spans="2:13">
      <c r="B52" s="40" t="s">
        <v>65</v>
      </c>
      <c r="C52" s="325">
        <f t="shared" ref="C52:M52" si="24">IF(C$4="","",C13)</f>
        <v>382926</v>
      </c>
      <c r="D52" s="325">
        <f t="shared" si="24"/>
        <v>326889</v>
      </c>
      <c r="E52" s="325" t="str">
        <f t="shared" si="24"/>
        <v/>
      </c>
      <c r="F52" s="325" t="str">
        <f t="shared" si="24"/>
        <v/>
      </c>
      <c r="G52" s="325" t="str">
        <f t="shared" si="24"/>
        <v/>
      </c>
      <c r="H52" s="325" t="str">
        <f t="shared" si="24"/>
        <v/>
      </c>
      <c r="I52" s="325" t="str">
        <f t="shared" si="24"/>
        <v/>
      </c>
      <c r="J52" s="325" t="str">
        <f t="shared" si="24"/>
        <v/>
      </c>
      <c r="K52" s="325" t="str">
        <f t="shared" si="24"/>
        <v/>
      </c>
      <c r="L52" s="325" t="str">
        <f t="shared" si="24"/>
        <v/>
      </c>
      <c r="M52" s="325" t="str">
        <f t="shared" si="24"/>
        <v/>
      </c>
    </row>
    <row r="54" spans="2:13">
      <c r="B54" s="170" t="s">
        <v>163</v>
      </c>
    </row>
    <row r="55" spans="2:13">
      <c r="B55" s="40" t="s">
        <v>154</v>
      </c>
      <c r="C55" s="340">
        <f t="shared" ref="C55:M55" si="25">IF(C$4="","",C9)</f>
        <v>51775</v>
      </c>
      <c r="D55" s="340">
        <f t="shared" si="25"/>
        <v>45863</v>
      </c>
      <c r="E55" s="340" t="str">
        <f t="shared" si="25"/>
        <v/>
      </c>
      <c r="F55" s="340" t="str">
        <f t="shared" si="25"/>
        <v/>
      </c>
      <c r="G55" s="340" t="str">
        <f t="shared" si="25"/>
        <v/>
      </c>
      <c r="H55" s="340" t="str">
        <f t="shared" si="25"/>
        <v/>
      </c>
      <c r="I55" s="340" t="str">
        <f t="shared" si="25"/>
        <v/>
      </c>
      <c r="J55" s="340" t="str">
        <f t="shared" si="25"/>
        <v/>
      </c>
      <c r="K55" s="340" t="str">
        <f t="shared" si="25"/>
        <v/>
      </c>
      <c r="L55" s="340" t="str">
        <f t="shared" si="25"/>
        <v/>
      </c>
      <c r="M55" s="340" t="str">
        <f t="shared" si="25"/>
        <v/>
      </c>
    </row>
    <row r="56" spans="2:13">
      <c r="B56" s="40" t="s">
        <v>162</v>
      </c>
      <c r="C56" s="340">
        <f t="shared" ref="C56:M56" si="26">IF(C$4="","",C10)</f>
        <v>0</v>
      </c>
      <c r="D56" s="340">
        <f t="shared" si="26"/>
        <v>0</v>
      </c>
      <c r="E56" s="340" t="str">
        <f t="shared" si="26"/>
        <v/>
      </c>
      <c r="F56" s="340" t="str">
        <f t="shared" si="26"/>
        <v/>
      </c>
      <c r="G56" s="340" t="str">
        <f t="shared" si="26"/>
        <v/>
      </c>
      <c r="H56" s="340" t="str">
        <f t="shared" si="26"/>
        <v/>
      </c>
      <c r="I56" s="340" t="str">
        <f t="shared" si="26"/>
        <v/>
      </c>
      <c r="J56" s="340" t="str">
        <f t="shared" si="26"/>
        <v/>
      </c>
      <c r="K56" s="340" t="str">
        <f t="shared" si="26"/>
        <v/>
      </c>
      <c r="L56" s="340" t="str">
        <f t="shared" si="26"/>
        <v/>
      </c>
      <c r="M56" s="340" t="str">
        <f t="shared" si="26"/>
        <v/>
      </c>
    </row>
    <row r="57" spans="2:13">
      <c r="B57" s="40" t="s">
        <v>153</v>
      </c>
      <c r="C57" s="340">
        <f t="shared" ref="C57:M57" si="27">IF(C$4="","",C11)</f>
        <v>0</v>
      </c>
      <c r="D57" s="340">
        <f t="shared" si="27"/>
        <v>0</v>
      </c>
      <c r="E57" s="340" t="str">
        <f t="shared" si="27"/>
        <v/>
      </c>
      <c r="F57" s="340" t="str">
        <f t="shared" si="27"/>
        <v/>
      </c>
      <c r="G57" s="340" t="str">
        <f t="shared" si="27"/>
        <v/>
      </c>
      <c r="H57" s="340" t="str">
        <f t="shared" si="27"/>
        <v/>
      </c>
      <c r="I57" s="340" t="str">
        <f t="shared" si="27"/>
        <v/>
      </c>
      <c r="J57" s="340" t="str">
        <f t="shared" si="27"/>
        <v/>
      </c>
      <c r="K57" s="340" t="str">
        <f t="shared" si="27"/>
        <v/>
      </c>
      <c r="L57" s="340" t="str">
        <f t="shared" si="27"/>
        <v/>
      </c>
      <c r="M57" s="340" t="str">
        <f t="shared" si="27"/>
        <v/>
      </c>
    </row>
    <row r="58" spans="2:13">
      <c r="B58" s="40" t="s">
        <v>155</v>
      </c>
      <c r="C58" s="340">
        <f>IF(C$4="","",C44-C55-C56-C57)</f>
        <v>612704</v>
      </c>
      <c r="D58" s="340">
        <f t="shared" ref="D58:M58" si="28">IF(D$4="","",D44-D55-D56-D57)</f>
        <v>845067</v>
      </c>
      <c r="E58" s="340" t="str">
        <f t="shared" si="28"/>
        <v/>
      </c>
      <c r="F58" s="340" t="str">
        <f t="shared" si="28"/>
        <v/>
      </c>
      <c r="G58" s="340" t="str">
        <f t="shared" si="28"/>
        <v/>
      </c>
      <c r="H58" s="340" t="str">
        <f t="shared" si="28"/>
        <v/>
      </c>
      <c r="I58" s="340" t="str">
        <f t="shared" si="28"/>
        <v/>
      </c>
      <c r="J58" s="340" t="str">
        <f t="shared" si="28"/>
        <v/>
      </c>
      <c r="K58" s="340" t="str">
        <f t="shared" si="28"/>
        <v/>
      </c>
      <c r="L58" s="340" t="str">
        <f t="shared" si="28"/>
        <v/>
      </c>
      <c r="M58" s="340" t="str">
        <f t="shared" si="28"/>
        <v/>
      </c>
    </row>
    <row r="60" spans="2:13">
      <c r="B60" s="16" t="s">
        <v>49</v>
      </c>
      <c r="C60" s="9"/>
    </row>
    <row r="61" spans="2:13">
      <c r="B61" s="27" t="s">
        <v>45</v>
      </c>
      <c r="C61" s="325">
        <f>IF(C$4="","",-C19)</f>
        <v>0</v>
      </c>
      <c r="D61" s="325">
        <f t="shared" ref="D61:M61" si="29">IF(D$4="","",-D19)</f>
        <v>0</v>
      </c>
      <c r="E61" s="325" t="str">
        <f t="shared" si="29"/>
        <v/>
      </c>
      <c r="F61" s="325" t="str">
        <f t="shared" si="29"/>
        <v/>
      </c>
      <c r="G61" s="325" t="str">
        <f t="shared" si="29"/>
        <v/>
      </c>
      <c r="H61" s="325" t="str">
        <f t="shared" si="29"/>
        <v/>
      </c>
      <c r="I61" s="325" t="str">
        <f t="shared" si="29"/>
        <v/>
      </c>
      <c r="J61" s="325" t="str">
        <f t="shared" si="29"/>
        <v/>
      </c>
      <c r="K61" s="325" t="str">
        <f t="shared" si="29"/>
        <v/>
      </c>
      <c r="L61" s="325" t="str">
        <f t="shared" si="29"/>
        <v/>
      </c>
      <c r="M61" s="325" t="str">
        <f t="shared" si="29"/>
        <v/>
      </c>
    </row>
    <row r="62" spans="2:13">
      <c r="B62" s="27" t="s">
        <v>51</v>
      </c>
      <c r="C62" s="325">
        <f>IF(C$4="","",IF(C20=0,C61,-C20))</f>
        <v>0</v>
      </c>
      <c r="D62" s="325">
        <f t="shared" ref="D62:M62" si="30">IF(D$4="","",IF(D20=0,D61,-D20))</f>
        <v>0</v>
      </c>
      <c r="E62" s="325" t="str">
        <f t="shared" si="30"/>
        <v/>
      </c>
      <c r="F62" s="325" t="str">
        <f t="shared" si="30"/>
        <v/>
      </c>
      <c r="G62" s="325" t="str">
        <f t="shared" si="30"/>
        <v/>
      </c>
      <c r="H62" s="325" t="str">
        <f t="shared" si="30"/>
        <v/>
      </c>
      <c r="I62" s="325" t="str">
        <f t="shared" si="30"/>
        <v/>
      </c>
      <c r="J62" s="325" t="str">
        <f t="shared" si="30"/>
        <v/>
      </c>
      <c r="K62" s="325" t="str">
        <f t="shared" si="30"/>
        <v/>
      </c>
      <c r="L62" s="325" t="str">
        <f t="shared" si="30"/>
        <v/>
      </c>
      <c r="M62" s="325" t="str">
        <f t="shared" si="30"/>
        <v/>
      </c>
    </row>
    <row r="63" spans="2:13">
      <c r="B63" s="27" t="s">
        <v>50</v>
      </c>
      <c r="C63" s="325">
        <f>IF(C$4="","",-C21)</f>
        <v>0</v>
      </c>
      <c r="D63" s="325">
        <f t="shared" ref="D63:M63" si="31">IF(D$4="","",-D21)</f>
        <v>0</v>
      </c>
      <c r="E63" s="325" t="str">
        <f t="shared" si="31"/>
        <v/>
      </c>
      <c r="F63" s="325" t="str">
        <f t="shared" si="31"/>
        <v/>
      </c>
      <c r="G63" s="325" t="str">
        <f t="shared" si="31"/>
        <v/>
      </c>
      <c r="H63" s="325" t="str">
        <f t="shared" si="31"/>
        <v/>
      </c>
      <c r="I63" s="325" t="str">
        <f t="shared" si="31"/>
        <v/>
      </c>
      <c r="J63" s="325" t="str">
        <f t="shared" si="31"/>
        <v/>
      </c>
      <c r="K63" s="325" t="str">
        <f t="shared" si="31"/>
        <v/>
      </c>
      <c r="L63" s="325" t="str">
        <f t="shared" si="31"/>
        <v/>
      </c>
      <c r="M63" s="325" t="str">
        <f t="shared" si="31"/>
        <v/>
      </c>
    </row>
    <row r="64" spans="2:13">
      <c r="B64" s="27" t="s">
        <v>366</v>
      </c>
      <c r="C64" s="325">
        <f>IF(C$4="","",C22+C23+C24)</f>
        <v>-87083</v>
      </c>
      <c r="D64" s="325">
        <f t="shared" ref="D64:M64" si="32">IF(D$4="","",D22+D23+D24)</f>
        <v>187934</v>
      </c>
      <c r="E64" s="325" t="str">
        <f t="shared" si="32"/>
        <v/>
      </c>
      <c r="F64" s="325" t="str">
        <f t="shared" si="32"/>
        <v/>
      </c>
      <c r="G64" s="325" t="str">
        <f t="shared" si="32"/>
        <v/>
      </c>
      <c r="H64" s="325" t="str">
        <f t="shared" si="32"/>
        <v/>
      </c>
      <c r="I64" s="325" t="str">
        <f t="shared" si="32"/>
        <v/>
      </c>
      <c r="J64" s="325" t="str">
        <f t="shared" si="32"/>
        <v/>
      </c>
      <c r="K64" s="325" t="str">
        <f t="shared" si="32"/>
        <v/>
      </c>
      <c r="L64" s="325" t="str">
        <f t="shared" si="32"/>
        <v/>
      </c>
      <c r="M64" s="325" t="str">
        <f t="shared" si="32"/>
        <v/>
      </c>
    </row>
    <row r="65" spans="2:13">
      <c r="B65" s="24" t="s">
        <v>34</v>
      </c>
      <c r="C65" s="73">
        <f>IF(C$4="","",C25)</f>
        <v>0</v>
      </c>
      <c r="D65" s="73">
        <f t="shared" ref="D65:M65" si="33">IF(D$4="","",D25)</f>
        <v>0</v>
      </c>
      <c r="E65" s="73" t="str">
        <f t="shared" si="33"/>
        <v/>
      </c>
      <c r="F65" s="73" t="str">
        <f t="shared" si="33"/>
        <v/>
      </c>
      <c r="G65" s="73" t="str">
        <f t="shared" si="33"/>
        <v/>
      </c>
      <c r="H65" s="73" t="str">
        <f t="shared" si="33"/>
        <v/>
      </c>
      <c r="I65" s="73" t="str">
        <f t="shared" si="33"/>
        <v/>
      </c>
      <c r="J65" s="73" t="str">
        <f t="shared" si="33"/>
        <v/>
      </c>
      <c r="K65" s="73" t="str">
        <f t="shared" si="33"/>
        <v/>
      </c>
      <c r="L65" s="73" t="str">
        <f t="shared" si="33"/>
        <v/>
      </c>
      <c r="M65" s="73" t="str">
        <f t="shared" si="33"/>
        <v/>
      </c>
    </row>
    <row r="67" spans="2:13">
      <c r="B67" s="91" t="s">
        <v>82</v>
      </c>
    </row>
    <row r="68" spans="2:13">
      <c r="B68" s="1" t="str">
        <f>B36</f>
        <v>Sales</v>
      </c>
      <c r="C68" s="92">
        <f t="shared" ref="C68:M68" si="34">IF(D$36="","",C36/D36-1)</f>
        <v>3.1392856374351297E-2</v>
      </c>
      <c r="D68" s="92" t="str">
        <f t="shared" si="34"/>
        <v/>
      </c>
      <c r="E68" s="92" t="str">
        <f t="shared" si="34"/>
        <v/>
      </c>
      <c r="F68" s="92" t="str">
        <f t="shared" si="34"/>
        <v/>
      </c>
      <c r="G68" s="92" t="str">
        <f t="shared" si="34"/>
        <v/>
      </c>
      <c r="H68" s="92" t="str">
        <f t="shared" si="34"/>
        <v/>
      </c>
      <c r="I68" s="92" t="str">
        <f t="shared" si="34"/>
        <v/>
      </c>
      <c r="J68" s="92" t="str">
        <f t="shared" si="34"/>
        <v/>
      </c>
      <c r="K68" s="92" t="str">
        <f t="shared" si="34"/>
        <v/>
      </c>
      <c r="L68" s="92" t="str">
        <f t="shared" si="34"/>
        <v/>
      </c>
      <c r="M68" s="92" t="str">
        <f t="shared" si="34"/>
        <v/>
      </c>
    </row>
    <row r="69" spans="2:13">
      <c r="B69" s="31" t="s">
        <v>56</v>
      </c>
      <c r="C69" s="92">
        <f>IF(D$36="","",C38/D38-1)</f>
        <v>8.3097272818600576E-2</v>
      </c>
      <c r="D69" s="92" t="str">
        <f t="shared" ref="D69:M69" si="35">IF(E$36="","",D38/E38-1)</f>
        <v/>
      </c>
      <c r="E69" s="92" t="str">
        <f t="shared" si="35"/>
        <v/>
      </c>
      <c r="F69" s="92" t="str">
        <f t="shared" si="35"/>
        <v/>
      </c>
      <c r="G69" s="92" t="str">
        <f t="shared" si="35"/>
        <v/>
      </c>
      <c r="H69" s="92" t="str">
        <f t="shared" si="35"/>
        <v/>
      </c>
      <c r="I69" s="92" t="str">
        <f t="shared" si="35"/>
        <v/>
      </c>
      <c r="J69" s="92" t="str">
        <f t="shared" si="35"/>
        <v/>
      </c>
      <c r="K69" s="92" t="str">
        <f t="shared" si="35"/>
        <v/>
      </c>
      <c r="L69" s="92" t="str">
        <f t="shared" si="35"/>
        <v/>
      </c>
      <c r="M69" s="92" t="str">
        <f t="shared" si="35"/>
        <v/>
      </c>
    </row>
    <row r="70" spans="2:13">
      <c r="B70" s="80" t="str">
        <f>B43</f>
        <v>Operating EBIT</v>
      </c>
      <c r="C70" s="101">
        <f>IF(D$36="","",C43/D43-1)</f>
        <v>0.17881386554385159</v>
      </c>
      <c r="D70" s="101" t="str">
        <f t="shared" ref="D70:M70" si="36">IF(E$36="","",D43/E43-1)</f>
        <v/>
      </c>
      <c r="E70" s="101" t="str">
        <f t="shared" si="36"/>
        <v/>
      </c>
      <c r="F70" s="101" t="str">
        <f t="shared" si="36"/>
        <v/>
      </c>
      <c r="G70" s="101" t="str">
        <f t="shared" si="36"/>
        <v/>
      </c>
      <c r="H70" s="101" t="str">
        <f t="shared" si="36"/>
        <v/>
      </c>
      <c r="I70" s="101" t="str">
        <f t="shared" si="36"/>
        <v/>
      </c>
      <c r="J70" s="101" t="str">
        <f t="shared" si="36"/>
        <v/>
      </c>
      <c r="K70" s="101" t="str">
        <f t="shared" si="36"/>
        <v/>
      </c>
      <c r="L70" s="101" t="str">
        <f t="shared" si="36"/>
        <v/>
      </c>
      <c r="M70" s="101" t="str">
        <f t="shared" si="36"/>
        <v/>
      </c>
    </row>
    <row r="71" spans="2:13">
      <c r="B71" s="43" t="s">
        <v>163</v>
      </c>
      <c r="C71" s="101">
        <f>IF(D$36="","",C44/D44-1)</f>
        <v>-0.25417372857575793</v>
      </c>
      <c r="D71" s="101" t="str">
        <f t="shared" ref="D71:M71" si="37">IF(E$36="","",D44/E44-1)</f>
        <v/>
      </c>
      <c r="E71" s="101" t="str">
        <f t="shared" si="37"/>
        <v/>
      </c>
      <c r="F71" s="101" t="str">
        <f t="shared" si="37"/>
        <v/>
      </c>
      <c r="G71" s="101" t="str">
        <f t="shared" si="37"/>
        <v/>
      </c>
      <c r="H71" s="101" t="str">
        <f t="shared" si="37"/>
        <v/>
      </c>
      <c r="I71" s="101" t="str">
        <f t="shared" si="37"/>
        <v/>
      </c>
      <c r="J71" s="101" t="str">
        <f t="shared" si="37"/>
        <v/>
      </c>
      <c r="K71" s="101" t="str">
        <f t="shared" si="37"/>
        <v/>
      </c>
      <c r="L71" s="101" t="str">
        <f t="shared" si="37"/>
        <v/>
      </c>
      <c r="M71" s="101" t="str">
        <f t="shared" si="37"/>
        <v/>
      </c>
    </row>
    <row r="72" spans="2:13">
      <c r="B72" s="80" t="str">
        <f>B47</f>
        <v>Reported Net Income</v>
      </c>
      <c r="C72" s="101">
        <f>IF(D$36="","",C47/D47-1)</f>
        <v>4.6454830765400912E-2</v>
      </c>
      <c r="D72" s="101" t="str">
        <f t="shared" ref="D72:M72" si="38">IF(E$36="","",D47/E47-1)</f>
        <v/>
      </c>
      <c r="E72" s="101" t="str">
        <f t="shared" si="38"/>
        <v/>
      </c>
      <c r="F72" s="101" t="str">
        <f t="shared" si="38"/>
        <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22781257</v>
      </c>
      <c r="D76" s="340">
        <f t="shared" ref="D76:M76" si="39">IF(D$4="","",D79+D80)</f>
        <v>24676998</v>
      </c>
      <c r="E76" s="340" t="str">
        <f t="shared" si="39"/>
        <v/>
      </c>
      <c r="F76" s="340" t="str">
        <f t="shared" si="39"/>
        <v/>
      </c>
      <c r="G76" s="340" t="str">
        <f t="shared" si="39"/>
        <v/>
      </c>
      <c r="H76" s="340" t="str">
        <f t="shared" si="39"/>
        <v/>
      </c>
      <c r="I76" s="340" t="str">
        <f t="shared" si="39"/>
        <v/>
      </c>
      <c r="J76" s="340" t="str">
        <f t="shared" si="39"/>
        <v/>
      </c>
      <c r="K76" s="340" t="str">
        <f t="shared" si="39"/>
        <v/>
      </c>
      <c r="L76" s="340" t="str">
        <f t="shared" si="39"/>
        <v/>
      </c>
      <c r="M76" s="340" t="str">
        <f t="shared" si="39"/>
        <v/>
      </c>
    </row>
    <row r="77" spans="2:13">
      <c r="B77" s="93" t="s">
        <v>83</v>
      </c>
      <c r="C77" s="312">
        <f t="shared" ref="C77:H78" si="40">IF(C$4="","",C28)</f>
        <v>1791826</v>
      </c>
      <c r="D77" s="337">
        <f t="shared" si="40"/>
        <v>411995</v>
      </c>
      <c r="E77" s="337" t="str">
        <f t="shared" si="40"/>
        <v/>
      </c>
      <c r="F77" s="337" t="str">
        <f t="shared" si="40"/>
        <v/>
      </c>
      <c r="G77" s="337" t="str">
        <f t="shared" si="40"/>
        <v/>
      </c>
      <c r="H77" s="337" t="str">
        <f t="shared" si="40"/>
        <v/>
      </c>
      <c r="I77" s="346"/>
      <c r="J77" s="346"/>
      <c r="K77" s="346"/>
      <c r="L77" s="346"/>
      <c r="M77" s="346"/>
    </row>
    <row r="78" spans="2:13">
      <c r="B78" s="93" t="s">
        <v>84</v>
      </c>
      <c r="C78" s="312">
        <f t="shared" si="40"/>
        <v>1060641</v>
      </c>
      <c r="D78" s="337">
        <f t="shared" si="40"/>
        <v>1074627</v>
      </c>
      <c r="E78" s="337" t="str">
        <f t="shared" si="40"/>
        <v/>
      </c>
      <c r="F78" s="337" t="str">
        <f t="shared" si="40"/>
        <v/>
      </c>
      <c r="G78" s="337" t="str">
        <f t="shared" si="40"/>
        <v/>
      </c>
      <c r="H78" s="337" t="str">
        <f t="shared" si="40"/>
        <v/>
      </c>
      <c r="I78" s="346"/>
      <c r="J78" s="346"/>
      <c r="K78" s="346"/>
      <c r="L78" s="346"/>
      <c r="M78" s="346"/>
    </row>
    <row r="79" spans="2:13">
      <c r="B79" s="26" t="s">
        <v>38</v>
      </c>
      <c r="C79" s="311">
        <f t="shared" ref="C79:M79" si="41">IF(C$4="","",C30)</f>
        <v>12363761</v>
      </c>
      <c r="D79" s="325">
        <f t="shared" si="41"/>
        <v>13160058</v>
      </c>
      <c r="E79" s="325" t="str">
        <f t="shared" si="41"/>
        <v/>
      </c>
      <c r="F79" s="325" t="str">
        <f t="shared" si="41"/>
        <v/>
      </c>
      <c r="G79" s="325" t="str">
        <f t="shared" si="41"/>
        <v/>
      </c>
      <c r="H79" s="325" t="str">
        <f t="shared" si="41"/>
        <v/>
      </c>
      <c r="I79" s="325" t="str">
        <f t="shared" si="41"/>
        <v/>
      </c>
      <c r="J79" s="325" t="str">
        <f t="shared" si="41"/>
        <v/>
      </c>
      <c r="K79" s="325" t="str">
        <f t="shared" si="41"/>
        <v/>
      </c>
      <c r="L79" s="325" t="str">
        <f t="shared" si="41"/>
        <v/>
      </c>
      <c r="M79" s="325" t="str">
        <f t="shared" si="41"/>
        <v/>
      </c>
    </row>
    <row r="80" spans="2:13">
      <c r="B80" s="26" t="s">
        <v>28</v>
      </c>
      <c r="C80" s="311">
        <f t="shared" ref="C80:M80" si="42">IF(C$4="","",C31)</f>
        <v>10417496</v>
      </c>
      <c r="D80" s="325">
        <f t="shared" si="42"/>
        <v>11516940</v>
      </c>
      <c r="E80" s="325" t="str">
        <f t="shared" si="42"/>
        <v/>
      </c>
      <c r="F80" s="325" t="str">
        <f t="shared" si="42"/>
        <v/>
      </c>
      <c r="G80" s="325" t="str">
        <f t="shared" si="42"/>
        <v/>
      </c>
      <c r="H80" s="325" t="str">
        <f t="shared" si="42"/>
        <v/>
      </c>
      <c r="I80" s="325" t="str">
        <f t="shared" si="42"/>
        <v/>
      </c>
      <c r="J80" s="325" t="str">
        <f t="shared" si="42"/>
        <v/>
      </c>
      <c r="K80" s="325" t="str">
        <f t="shared" si="42"/>
        <v/>
      </c>
      <c r="L80" s="325" t="str">
        <f t="shared" si="42"/>
        <v/>
      </c>
      <c r="M80" s="325"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76" zoomScaleNormal="100" workbookViewId="0">
      <selection activeCell="G19" sqref="G19"/>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46022</v>
      </c>
      <c r="F1" s="86" t="str">
        <f>IF(MONTH(C1)=MONTH(Normalized_FCF!G1),"FY","Quarter")&amp;" Report"</f>
        <v>FY Report</v>
      </c>
      <c r="H1" s="107">
        <f>scaling_factor</f>
        <v>1000</v>
      </c>
    </row>
    <row r="2" spans="2:8" ht="15" customHeight="1">
      <c r="B2" s="79" t="s">
        <v>151</v>
      </c>
      <c r="C2" s="37"/>
      <c r="D2" s="37"/>
      <c r="E2" s="37"/>
      <c r="F2" s="37"/>
      <c r="G2" s="37"/>
      <c r="H2" s="37"/>
    </row>
    <row r="3" spans="2:8" ht="15" customHeight="1">
      <c r="B3" s="16" t="s">
        <v>178</v>
      </c>
      <c r="C3" s="178" t="s">
        <v>131</v>
      </c>
      <c r="D3" s="179" t="s">
        <v>33</v>
      </c>
      <c r="F3" s="16" t="s">
        <v>179</v>
      </c>
      <c r="G3" s="178" t="s">
        <v>131</v>
      </c>
      <c r="H3" s="179" t="s">
        <v>33</v>
      </c>
    </row>
    <row r="4" spans="2:8" ht="15" customHeight="1">
      <c r="B4" s="4" t="s">
        <v>22</v>
      </c>
      <c r="C4" s="19">
        <f>1517431+274395</f>
        <v>1791826</v>
      </c>
      <c r="D4" s="257">
        <v>0.6</v>
      </c>
      <c r="E4" s="25"/>
      <c r="F4" s="4" t="s">
        <v>75</v>
      </c>
      <c r="G4" s="19">
        <v>7474820</v>
      </c>
      <c r="H4" s="257">
        <v>0.9</v>
      </c>
    </row>
    <row r="5" spans="2:8" ht="15" customHeight="1">
      <c r="B5" s="1" t="s">
        <v>31</v>
      </c>
      <c r="C5" s="19">
        <v>0</v>
      </c>
      <c r="D5" s="257">
        <v>0.6</v>
      </c>
      <c r="E5" s="25"/>
      <c r="F5" s="1" t="s">
        <v>27</v>
      </c>
      <c r="G5" s="19">
        <v>371676</v>
      </c>
      <c r="H5" s="257">
        <v>0.7</v>
      </c>
    </row>
    <row r="6" spans="2:8" ht="15" customHeight="1">
      <c r="B6" s="4" t="s">
        <v>8</v>
      </c>
      <c r="C6" s="19">
        <v>1060641</v>
      </c>
      <c r="D6" s="257">
        <v>0.5</v>
      </c>
      <c r="E6" s="25"/>
      <c r="F6" s="4" t="s">
        <v>171</v>
      </c>
      <c r="G6" s="19">
        <v>0</v>
      </c>
      <c r="H6" s="257">
        <v>0.6</v>
      </c>
    </row>
    <row r="7" spans="2:8" ht="15" customHeight="1">
      <c r="B7" s="1" t="s">
        <v>67</v>
      </c>
      <c r="C7" s="19">
        <v>0</v>
      </c>
      <c r="D7" s="257">
        <v>0.6</v>
      </c>
      <c r="E7" s="25"/>
      <c r="F7" s="4" t="s">
        <v>172</v>
      </c>
      <c r="G7" s="19">
        <f>964975+1139998</f>
        <v>2104973</v>
      </c>
      <c r="H7" s="257">
        <v>0.6</v>
      </c>
    </row>
    <row r="8" spans="2:8" ht="15" customHeight="1">
      <c r="B8" s="1" t="s">
        <v>168</v>
      </c>
      <c r="C8" s="19">
        <v>0</v>
      </c>
      <c r="D8" s="257">
        <v>0.6</v>
      </c>
      <c r="E8" s="25"/>
      <c r="F8" s="1" t="s">
        <v>173</v>
      </c>
      <c r="G8" s="19">
        <v>0</v>
      </c>
      <c r="H8" s="257">
        <v>0.6</v>
      </c>
    </row>
    <row r="9" spans="2:8" ht="15" customHeight="1">
      <c r="B9" s="4" t="s">
        <v>23</v>
      </c>
      <c r="C9" s="19">
        <v>70244</v>
      </c>
      <c r="D9" s="257">
        <v>0.1</v>
      </c>
      <c r="E9" s="25"/>
      <c r="F9" s="4" t="s">
        <v>174</v>
      </c>
      <c r="G9" s="19">
        <v>0</v>
      </c>
      <c r="H9" s="257">
        <v>0.6</v>
      </c>
    </row>
    <row r="10" spans="2:8" ht="15" customHeight="1">
      <c r="B10" s="4" t="s">
        <v>9</v>
      </c>
      <c r="C10" s="19">
        <v>0</v>
      </c>
      <c r="D10" s="257">
        <v>0.9</v>
      </c>
      <c r="F10" s="1" t="s">
        <v>559</v>
      </c>
      <c r="G10" s="19">
        <v>149978</v>
      </c>
      <c r="H10" s="257">
        <v>0.6</v>
      </c>
    </row>
    <row r="11" spans="2:8" ht="15" customHeight="1">
      <c r="B11" s="4" t="s">
        <v>10</v>
      </c>
      <c r="C11" s="19">
        <v>0</v>
      </c>
      <c r="D11" s="257">
        <v>0.05</v>
      </c>
      <c r="H11" s="258"/>
    </row>
    <row r="12" spans="2:8" ht="15" customHeight="1">
      <c r="B12" s="80" t="s">
        <v>70</v>
      </c>
      <c r="C12" s="81">
        <f>SUM(C4:C11)</f>
        <v>2922711</v>
      </c>
      <c r="D12" s="20">
        <f>C4*D4+C5*D5+C9*D9+C6*D6+C8*D8+C7*D7+C10*D10+C11*D11</f>
        <v>1612440.4999999998</v>
      </c>
      <c r="F12" s="80" t="s">
        <v>68</v>
      </c>
      <c r="G12" s="81">
        <f>SUM(G4:G10)</f>
        <v>10101447</v>
      </c>
      <c r="H12" s="20">
        <f>G4*H4+G5*H5+G6*H6+G7*H7+G8*H8+G9*H9+G10*H10</f>
        <v>8340481.7999999998</v>
      </c>
    </row>
    <row r="13" spans="2:8" ht="15" customHeight="1">
      <c r="F13" s="80"/>
      <c r="G13" s="81"/>
      <c r="H13" s="20"/>
    </row>
    <row r="14" spans="2:8" ht="15" customHeight="1">
      <c r="B14" s="16" t="s">
        <v>177</v>
      </c>
      <c r="C14" s="178" t="s">
        <v>131</v>
      </c>
      <c r="D14" s="179" t="s">
        <v>33</v>
      </c>
      <c r="F14" s="16" t="s">
        <v>180</v>
      </c>
      <c r="G14" s="178" t="s">
        <v>131</v>
      </c>
      <c r="H14" s="179" t="s">
        <v>33</v>
      </c>
    </row>
    <row r="15" spans="2:8" ht="15" customHeight="1">
      <c r="B15" s="4" t="s">
        <v>415</v>
      </c>
      <c r="C15" s="19">
        <v>174430</v>
      </c>
      <c r="D15" s="257">
        <v>0.4</v>
      </c>
      <c r="F15" s="4" t="s">
        <v>76</v>
      </c>
      <c r="G15" s="19">
        <v>2172</v>
      </c>
      <c r="H15" s="257">
        <v>0.8</v>
      </c>
    </row>
    <row r="16" spans="2:8" ht="15" customHeight="1">
      <c r="B16" s="1" t="s">
        <v>32</v>
      </c>
      <c r="C16" s="19">
        <v>0</v>
      </c>
      <c r="D16" s="257">
        <v>0.5</v>
      </c>
      <c r="F16" s="4" t="s">
        <v>171</v>
      </c>
      <c r="G16" s="19">
        <v>0</v>
      </c>
      <c r="H16" s="257">
        <v>0.6</v>
      </c>
    </row>
    <row r="17" spans="2:8" ht="15" customHeight="1">
      <c r="B17" s="1" t="s">
        <v>67</v>
      </c>
      <c r="C17" s="19">
        <v>0</v>
      </c>
      <c r="D17" s="257">
        <v>0.6</v>
      </c>
      <c r="F17" s="4" t="s">
        <v>172</v>
      </c>
      <c r="G17" s="19">
        <f>1981265+17227+323929</f>
        <v>2322421</v>
      </c>
      <c r="H17" s="257">
        <v>0.6</v>
      </c>
    </row>
    <row r="18" spans="2:8" ht="15" customHeight="1">
      <c r="B18" s="4" t="s">
        <v>168</v>
      </c>
      <c r="C18" s="19">
        <v>0</v>
      </c>
      <c r="D18" s="257">
        <v>0.6</v>
      </c>
      <c r="F18" s="4" t="s">
        <v>175</v>
      </c>
      <c r="G18" s="19">
        <v>179959</v>
      </c>
      <c r="H18" s="257">
        <v>0.1</v>
      </c>
    </row>
    <row r="19" spans="2:8" ht="15" customHeight="1">
      <c r="B19" s="4" t="s">
        <v>24</v>
      </c>
      <c r="C19" s="19">
        <f>3319749+3018798</f>
        <v>6338547</v>
      </c>
      <c r="D19" s="257">
        <v>0.1</v>
      </c>
      <c r="F19" s="4" t="s">
        <v>176</v>
      </c>
      <c r="G19" s="19">
        <v>0</v>
      </c>
      <c r="H19" s="257">
        <v>0.1</v>
      </c>
    </row>
    <row r="20" spans="2:8" ht="15" customHeight="1">
      <c r="B20" s="4" t="s">
        <v>16</v>
      </c>
      <c r="C20" s="19">
        <v>0</v>
      </c>
      <c r="D20" s="257">
        <v>0.05</v>
      </c>
      <c r="F20" s="4" t="s">
        <v>173</v>
      </c>
      <c r="G20" s="19">
        <v>0</v>
      </c>
      <c r="H20" s="257">
        <v>0.2</v>
      </c>
    </row>
    <row r="21" spans="2:8" ht="15" customHeight="1">
      <c r="B21" s="4" t="s">
        <v>17</v>
      </c>
      <c r="C21" s="19">
        <v>52198</v>
      </c>
      <c r="D21" s="257">
        <v>0.05</v>
      </c>
      <c r="F21" s="1" t="s">
        <v>174</v>
      </c>
      <c r="G21" s="19">
        <v>0</v>
      </c>
      <c r="H21" s="257">
        <v>0.1</v>
      </c>
    </row>
    <row r="22" spans="2:8" ht="15" customHeight="1">
      <c r="B22" s="4" t="s">
        <v>18</v>
      </c>
      <c r="C22" s="19">
        <v>602527</v>
      </c>
      <c r="D22" s="257">
        <v>0.9</v>
      </c>
      <c r="H22" s="258"/>
    </row>
    <row r="23" spans="2:8" ht="15" customHeight="1">
      <c r="B23" s="4" t="s">
        <v>19</v>
      </c>
      <c r="C23" s="19">
        <v>84845</v>
      </c>
      <c r="D23" s="257">
        <v>0</v>
      </c>
      <c r="H23" s="258"/>
    </row>
    <row r="24" spans="2:8" ht="15" customHeight="1">
      <c r="B24" s="80" t="s">
        <v>71</v>
      </c>
      <c r="C24" s="81">
        <f>SUM(C15:C23)</f>
        <v>7252547</v>
      </c>
      <c r="D24" s="20">
        <f>C15*D15+C16*D16+C18*D18+C17*D17+C19*D19+C20*D20+C21*D21+C22*D22+C23*D23</f>
        <v>1248510.9000000001</v>
      </c>
      <c r="F24" s="80" t="s">
        <v>69</v>
      </c>
      <c r="G24" s="81">
        <f>SUM(G15:G21)</f>
        <v>2504552</v>
      </c>
      <c r="H24" s="20">
        <f>G15*H15+G16*H16+G17*H17+G18*H18+G19*H19+G20*H20+G21*H21</f>
        <v>1413186.0999999999</v>
      </c>
    </row>
    <row r="26" spans="2:8" ht="15" customHeight="1">
      <c r="B26" s="16" t="s">
        <v>194</v>
      </c>
      <c r="C26" s="178" t="s">
        <v>131</v>
      </c>
      <c r="F26" s="180" t="s">
        <v>190</v>
      </c>
      <c r="G26" s="181" t="s">
        <v>131</v>
      </c>
      <c r="H26" s="182" t="s">
        <v>33</v>
      </c>
    </row>
    <row r="27" spans="2:8" ht="15" customHeight="1">
      <c r="B27" s="4" t="s">
        <v>3</v>
      </c>
      <c r="C27" s="19">
        <v>97549</v>
      </c>
      <c r="F27" s="183" t="s">
        <v>28</v>
      </c>
      <c r="G27" s="85">
        <f>G32-G30</f>
        <v>10417496</v>
      </c>
      <c r="H27" s="184">
        <f>H32-G30</f>
        <v>250858.30000000075</v>
      </c>
    </row>
    <row r="28" spans="2:8" ht="15" customHeight="1">
      <c r="B28" s="4" t="s">
        <v>4</v>
      </c>
      <c r="C28" s="19">
        <v>888821</v>
      </c>
      <c r="F28" s="185" t="s">
        <v>238</v>
      </c>
      <c r="G28" s="342">
        <v>-16298</v>
      </c>
      <c r="H28" s="184"/>
    </row>
    <row r="29" spans="2:8" ht="15" customHeight="1">
      <c r="B29" s="4" t="s">
        <v>5</v>
      </c>
      <c r="C29" s="19">
        <v>0</v>
      </c>
      <c r="F29" s="186" t="s">
        <v>73</v>
      </c>
      <c r="G29" s="14">
        <f>G27-G28</f>
        <v>10433794</v>
      </c>
      <c r="H29" s="184">
        <f>H27-G28</f>
        <v>267156.30000000075</v>
      </c>
    </row>
    <row r="30" spans="2:8" ht="15" customHeight="1">
      <c r="B30" s="2" t="s">
        <v>6</v>
      </c>
      <c r="C30" s="19">
        <v>45308</v>
      </c>
      <c r="F30" s="183" t="s">
        <v>21</v>
      </c>
      <c r="G30" s="85">
        <f>C33+C42</f>
        <v>12363761</v>
      </c>
      <c r="H30" s="184"/>
    </row>
    <row r="31" spans="2:8" ht="15" customHeight="1">
      <c r="B31" s="80" t="s">
        <v>197</v>
      </c>
      <c r="C31" s="81">
        <f>SUM(C27:C30)</f>
        <v>1031678</v>
      </c>
      <c r="F31" s="186" t="s">
        <v>74</v>
      </c>
      <c r="G31" s="187">
        <f>C31+C40</f>
        <v>6168246</v>
      </c>
      <c r="H31" s="184"/>
    </row>
    <row r="32" spans="2:8" ht="15" customHeight="1">
      <c r="B32" s="4" t="s">
        <v>7</v>
      </c>
      <c r="C32" s="21">
        <f>C33-C31</f>
        <v>6072143</v>
      </c>
      <c r="F32" s="188" t="s">
        <v>72</v>
      </c>
      <c r="G32" s="189">
        <f>G35+G40</f>
        <v>22781257</v>
      </c>
      <c r="H32" s="184">
        <f>H35+H40</f>
        <v>12614619.300000001</v>
      </c>
    </row>
    <row r="33" spans="2:8" ht="15" customHeight="1">
      <c r="B33" s="83" t="s">
        <v>2</v>
      </c>
      <c r="C33" s="84">
        <v>7103821</v>
      </c>
      <c r="F33" s="190"/>
      <c r="G33" s="2"/>
      <c r="H33" s="191"/>
    </row>
    <row r="34" spans="2:8" ht="15" customHeight="1">
      <c r="B34" s="83"/>
      <c r="C34" s="84"/>
      <c r="F34" s="192" t="s">
        <v>196</v>
      </c>
      <c r="G34" s="193" t="s">
        <v>131</v>
      </c>
      <c r="H34" s="194" t="s">
        <v>33</v>
      </c>
    </row>
    <row r="35" spans="2:8" ht="15" customHeight="1">
      <c r="B35" s="16" t="s">
        <v>195</v>
      </c>
      <c r="C35" s="178" t="s">
        <v>131</v>
      </c>
      <c r="F35" s="195" t="s">
        <v>29</v>
      </c>
      <c r="G35" s="189">
        <f>C12+C24</f>
        <v>10175258</v>
      </c>
      <c r="H35" s="196">
        <f>D12+D24</f>
        <v>2860951.4</v>
      </c>
    </row>
    <row r="36" spans="2:8" ht="15" customHeight="1">
      <c r="B36" s="4" t="s">
        <v>11</v>
      </c>
      <c r="C36" s="19">
        <v>0</v>
      </c>
      <c r="F36" s="186" t="s">
        <v>191</v>
      </c>
      <c r="G36" s="187">
        <f>C4+C15</f>
        <v>1966256</v>
      </c>
      <c r="H36" s="191"/>
    </row>
    <row r="37" spans="2:8" ht="15" customHeight="1">
      <c r="B37" s="4" t="s">
        <v>12</v>
      </c>
      <c r="C37" s="19">
        <v>3108701</v>
      </c>
      <c r="F37" s="186" t="s">
        <v>192</v>
      </c>
      <c r="G37" s="187">
        <f>C6</f>
        <v>1060641</v>
      </c>
      <c r="H37" s="191"/>
    </row>
    <row r="38" spans="2:8" ht="15" customHeight="1">
      <c r="B38" s="4" t="s">
        <v>13</v>
      </c>
      <c r="C38" s="19">
        <v>0</v>
      </c>
      <c r="F38" s="186" t="s">
        <v>193</v>
      </c>
      <c r="G38" s="187">
        <f>C7+C17</f>
        <v>0</v>
      </c>
      <c r="H38" s="191"/>
    </row>
    <row r="39" spans="2:8" ht="15" customHeight="1">
      <c r="B39" s="2" t="s">
        <v>14</v>
      </c>
      <c r="C39" s="19">
        <v>2027867</v>
      </c>
      <c r="F39" s="186" t="s">
        <v>77</v>
      </c>
      <c r="G39" s="187">
        <f>C7+C17+C19+C20</f>
        <v>6338547</v>
      </c>
      <c r="H39" s="184">
        <f>C7*D7+C17*D17+C19*D19+C20*D20</f>
        <v>633854.70000000007</v>
      </c>
    </row>
    <row r="40" spans="2:8" ht="15" customHeight="1">
      <c r="B40" s="80" t="s">
        <v>198</v>
      </c>
      <c r="C40" s="81">
        <f>SUM(C36:C39)</f>
        <v>5136568</v>
      </c>
      <c r="F40" s="195" t="s">
        <v>133</v>
      </c>
      <c r="G40" s="189">
        <f>G12+G24</f>
        <v>12605999</v>
      </c>
      <c r="H40" s="196">
        <f>H12+H24</f>
        <v>9753667.9000000004</v>
      </c>
    </row>
    <row r="41" spans="2:8" ht="15" customHeight="1">
      <c r="B41" s="4" t="s">
        <v>15</v>
      </c>
      <c r="C41" s="21">
        <f>C42-C40</f>
        <v>123372</v>
      </c>
      <c r="F41" s="186" t="s">
        <v>185</v>
      </c>
      <c r="G41" s="187">
        <f>C70</f>
        <v>8028627</v>
      </c>
      <c r="H41" s="196">
        <f>H40-H42</f>
        <v>7097231.5</v>
      </c>
    </row>
    <row r="42" spans="2:8" ht="15" customHeight="1">
      <c r="B42" s="83" t="s">
        <v>20</v>
      </c>
      <c r="C42" s="84">
        <v>5259940</v>
      </c>
      <c r="F42" s="197" t="s">
        <v>186</v>
      </c>
      <c r="G42" s="198">
        <f>C82</f>
        <v>4427394</v>
      </c>
      <c r="H42" s="199">
        <f>D82</f>
        <v>2656436.4</v>
      </c>
    </row>
    <row r="44" spans="2:8" ht="15" customHeight="1">
      <c r="B44" s="79" t="s">
        <v>93</v>
      </c>
      <c r="C44" s="37"/>
      <c r="D44" s="37"/>
      <c r="E44" s="37"/>
      <c r="F44" s="37"/>
      <c r="G44" s="37"/>
      <c r="H44" s="37"/>
    </row>
    <row r="45" spans="2:8" ht="15" customHeight="1">
      <c r="B45" s="16" t="s">
        <v>263</v>
      </c>
      <c r="C45" s="230" t="s">
        <v>131</v>
      </c>
      <c r="D45" s="178" t="s">
        <v>377</v>
      </c>
      <c r="F45" s="252" t="s">
        <v>57</v>
      </c>
    </row>
    <row r="46" spans="2:8" ht="15" customHeight="1">
      <c r="B46" s="1" t="s">
        <v>265</v>
      </c>
      <c r="C46" s="76">
        <f>G29</f>
        <v>10433794</v>
      </c>
      <c r="D46" s="76">
        <f>H29</f>
        <v>267156.30000000075</v>
      </c>
      <c r="F46" s="249"/>
    </row>
    <row r="47" spans="2:8" ht="15" customHeight="1">
      <c r="B47" s="1" t="str">
        <f>"Equity per share ("&amp;Market_currency&amp;")"</f>
        <v>Equity per share (HKD)</v>
      </c>
      <c r="C47" s="144">
        <f>C46*H1/Common_Shares*Exchange_Rate</f>
        <v>2.044752951841335</v>
      </c>
      <c r="D47" s="144">
        <f>D46*H1/Common_Shares*Exchange_Rate</f>
        <v>5.2355704265199289E-2</v>
      </c>
      <c r="F47" s="249"/>
    </row>
    <row r="48" spans="2:8" ht="15" customHeight="1">
      <c r="F48" s="249"/>
    </row>
    <row r="49" spans="2:8" ht="15" customHeight="1">
      <c r="B49" s="154" t="s">
        <v>138</v>
      </c>
      <c r="C49" s="231" t="s">
        <v>55</v>
      </c>
      <c r="D49" s="193" t="s">
        <v>92</v>
      </c>
      <c r="E49" s="2"/>
      <c r="F49" s="249"/>
    </row>
    <row r="50" spans="2:8" ht="15" customHeight="1">
      <c r="B50" s="8" t="s">
        <v>91</v>
      </c>
      <c r="C50" s="95">
        <f>G31/Normalized_FCF!C8</f>
        <v>1.2767380877199737</v>
      </c>
      <c r="D50" s="95">
        <f>G31/Normalized_FCF!G8</f>
        <v>1.0527572846089541</v>
      </c>
      <c r="F50" s="249"/>
    </row>
    <row r="51" spans="2:8" ht="15" customHeight="1">
      <c r="B51" s="1" t="s">
        <v>170</v>
      </c>
      <c r="C51" s="177"/>
      <c r="D51" s="92">
        <f>G29/G32</f>
        <v>0.45799904719919537</v>
      </c>
      <c r="F51" s="249"/>
    </row>
    <row r="52" spans="2:8" ht="15" customHeight="1">
      <c r="F52" s="249"/>
    </row>
    <row r="53" spans="2:8" ht="15" customHeight="1">
      <c r="B53" s="154" t="s">
        <v>137</v>
      </c>
      <c r="C53" s="231" t="s">
        <v>55</v>
      </c>
      <c r="D53" s="193" t="s">
        <v>92</v>
      </c>
      <c r="F53" s="249"/>
    </row>
    <row r="54" spans="2:8" ht="15" customHeight="1">
      <c r="B54" s="1" t="s">
        <v>134</v>
      </c>
      <c r="C54" s="92">
        <f>Normalized_FCF!C8/G35</f>
        <v>0.4748040791975322</v>
      </c>
      <c r="D54" s="92">
        <f>Normalized_FCF!G8/G35</f>
        <v>0.57582166466933815</v>
      </c>
      <c r="F54" s="249"/>
    </row>
    <row r="55" spans="2:8" ht="15" customHeight="1">
      <c r="B55" s="1" t="s">
        <v>136</v>
      </c>
      <c r="C55" s="92">
        <f>Normalized_FCF!C11/G40</f>
        <v>4.1071715141338663E-3</v>
      </c>
      <c r="D55" s="92">
        <f>Normalized_FCF!G11/G40</f>
        <v>4.1071715141338663E-3</v>
      </c>
      <c r="F55" s="249"/>
    </row>
    <row r="56" spans="2:8" ht="15" customHeight="1">
      <c r="F56" s="249"/>
    </row>
    <row r="57" spans="2:8" ht="15" customHeight="1">
      <c r="B57" s="154" t="s">
        <v>169</v>
      </c>
      <c r="C57" s="231" t="s">
        <v>55</v>
      </c>
      <c r="D57" s="193" t="s">
        <v>92</v>
      </c>
      <c r="F57" s="249"/>
    </row>
    <row r="58" spans="2:8" ht="15" customHeight="1">
      <c r="B58" s="2" t="s">
        <v>87</v>
      </c>
      <c r="C58" s="98"/>
      <c r="D58" s="23">
        <f>Normalized_FCF!G9/BS!$G$39</f>
        <v>0</v>
      </c>
      <c r="F58" s="5"/>
    </row>
    <row r="59" spans="2:8" ht="15" customHeight="1">
      <c r="B59" s="1" t="s">
        <v>90</v>
      </c>
      <c r="C59" s="98"/>
      <c r="D59" s="92">
        <f>G39/G32</f>
        <v>0.27823517376587253</v>
      </c>
      <c r="F59" s="249"/>
    </row>
    <row r="60" spans="2:8" ht="15" customHeight="1">
      <c r="F60" s="249"/>
    </row>
    <row r="61" spans="2:8" ht="15" customHeight="1">
      <c r="B61" s="154" t="s">
        <v>266</v>
      </c>
      <c r="C61" s="231" t="s">
        <v>132</v>
      </c>
      <c r="D61" s="193" t="s">
        <v>92</v>
      </c>
      <c r="F61" s="249"/>
    </row>
    <row r="62" spans="2:8" ht="15" customHeight="1">
      <c r="B62" s="1" t="s">
        <v>239</v>
      </c>
      <c r="C62" s="92">
        <f>IF(G28&lt;=0,0,G28/G29)</f>
        <v>0</v>
      </c>
      <c r="D62" s="92">
        <f>G28/G29</f>
        <v>-1.5620396569071616E-3</v>
      </c>
      <c r="F62" s="249" t="s">
        <v>264</v>
      </c>
    </row>
    <row r="64" spans="2:8" ht="15" customHeight="1">
      <c r="B64" s="79" t="s">
        <v>187</v>
      </c>
      <c r="C64" s="37"/>
      <c r="D64" s="37"/>
      <c r="E64" s="37"/>
      <c r="F64" s="37"/>
      <c r="G64" s="37"/>
      <c r="H64" s="37"/>
    </row>
    <row r="65" spans="2:6" ht="15" customHeight="1">
      <c r="B65" s="16" t="s">
        <v>182</v>
      </c>
      <c r="C65" s="230" t="s">
        <v>131</v>
      </c>
      <c r="D65" s="179" t="s">
        <v>277</v>
      </c>
      <c r="F65" s="252" t="s">
        <v>57</v>
      </c>
    </row>
    <row r="66" spans="2:6" ht="15" customHeight="1">
      <c r="B66" s="105" t="s">
        <v>181</v>
      </c>
      <c r="C66" s="20">
        <f>G4+G5+G15</f>
        <v>7848668</v>
      </c>
      <c r="D66" s="76">
        <f>C66-D75</f>
        <v>4742604.3754406106</v>
      </c>
      <c r="F66" s="5" t="s">
        <v>220</v>
      </c>
    </row>
    <row r="67" spans="2:6" ht="15" customHeight="1">
      <c r="B67" s="105" t="s">
        <v>171</v>
      </c>
      <c r="C67" s="20">
        <f>G6+G16</f>
        <v>0</v>
      </c>
      <c r="F67" s="249"/>
    </row>
    <row r="68" spans="2:6" ht="15" customHeight="1">
      <c r="B68" s="105" t="s">
        <v>175</v>
      </c>
      <c r="C68" s="20">
        <f>G18</f>
        <v>179959</v>
      </c>
      <c r="F68" s="249"/>
    </row>
    <row r="69" spans="2:6" ht="15" customHeight="1">
      <c r="B69" s="105" t="s">
        <v>173</v>
      </c>
      <c r="C69" s="20">
        <f>G8+G20</f>
        <v>0</v>
      </c>
      <c r="F69" s="249"/>
    </row>
    <row r="70" spans="2:6" ht="15" customHeight="1">
      <c r="B70" s="80" t="s">
        <v>182</v>
      </c>
      <c r="C70" s="81">
        <f>SUM(C66:C69)</f>
        <v>8028627</v>
      </c>
      <c r="F70" s="249"/>
    </row>
    <row r="71" spans="2:6" ht="15" customHeight="1">
      <c r="F71" s="249"/>
    </row>
    <row r="72" spans="2:6" ht="15" customHeight="1">
      <c r="B72" s="251" t="s">
        <v>304</v>
      </c>
      <c r="C72" s="230" t="s">
        <v>92</v>
      </c>
      <c r="D72" s="178" t="s">
        <v>55</v>
      </c>
      <c r="F72" s="249"/>
    </row>
    <row r="73" spans="2:6" ht="15" customHeight="1">
      <c r="B73" s="105" t="s">
        <v>303</v>
      </c>
      <c r="C73" s="340">
        <f>(Normalized_FCF!G26+Normalized_FCF!G35-Normalized_FCF!G89)/12</f>
        <v>-3074629.4166666665</v>
      </c>
      <c r="D73" s="340">
        <f>(Normalized_FCF!C26+Normalized_FCF!C35-Normalized_FCF!C89)/12</f>
        <v>-3106063.6245593899</v>
      </c>
      <c r="F73" s="1" t="s">
        <v>333</v>
      </c>
    </row>
    <row r="74" spans="2:6" ht="15" customHeight="1">
      <c r="B74" s="253" t="s">
        <v>308</v>
      </c>
      <c r="C74" s="254">
        <f>-$C$66/C73</f>
        <v>2.5527199985320728</v>
      </c>
      <c r="D74" s="254">
        <f>-$C$66/D73</f>
        <v>2.5268857784950787</v>
      </c>
      <c r="F74" s="249" t="s">
        <v>305</v>
      </c>
    </row>
    <row r="75" spans="2:6" ht="15" customHeight="1">
      <c r="B75" s="80" t="s">
        <v>306</v>
      </c>
      <c r="C75" s="313"/>
      <c r="D75" s="314">
        <f>MAX(-D73*D76,G5)</f>
        <v>3106063.6245593899</v>
      </c>
      <c r="F75" s="249" t="s">
        <v>334</v>
      </c>
    </row>
    <row r="76" spans="2:6" ht="15" customHeight="1">
      <c r="B76" s="255" t="s">
        <v>309</v>
      </c>
      <c r="C76" s="256"/>
      <c r="D76" s="286">
        <f>IF(valuation_method="DCF",IF(D74&lt;=3,1,IF(D74&gt;18,6,2)),-C66/D73)</f>
        <v>1</v>
      </c>
      <c r="F76" s="249" t="s">
        <v>310</v>
      </c>
    </row>
    <row r="77" spans="2:6" ht="15" customHeight="1">
      <c r="F77" s="249"/>
    </row>
    <row r="78" spans="2:6" ht="15" customHeight="1">
      <c r="B78" s="16" t="s">
        <v>183</v>
      </c>
      <c r="C78" s="230" t="s">
        <v>131</v>
      </c>
      <c r="D78" s="179" t="s">
        <v>33</v>
      </c>
      <c r="F78" s="249"/>
    </row>
    <row r="79" spans="2:6" ht="15" customHeight="1">
      <c r="B79" s="105" t="s">
        <v>172</v>
      </c>
      <c r="C79" s="20">
        <f>G7+G17</f>
        <v>4427394</v>
      </c>
      <c r="D79" s="76">
        <f>G7*H7+G17*H17</f>
        <v>2656436.4</v>
      </c>
      <c r="F79" s="249"/>
    </row>
    <row r="80" spans="2:6" ht="15" customHeight="1">
      <c r="B80" s="105" t="s">
        <v>176</v>
      </c>
      <c r="C80" s="20">
        <f>G19</f>
        <v>0</v>
      </c>
      <c r="D80" s="76">
        <f>G19*H19</f>
        <v>0</v>
      </c>
      <c r="F80" s="249"/>
    </row>
    <row r="81" spans="2:8" ht="15" customHeight="1">
      <c r="B81" s="105" t="s">
        <v>174</v>
      </c>
      <c r="C81" s="20">
        <f>G9+G21</f>
        <v>0</v>
      </c>
      <c r="D81" s="76">
        <f>G9*H9+G21*H21</f>
        <v>0</v>
      </c>
      <c r="F81" s="249"/>
    </row>
    <row r="82" spans="2:8" ht="15" customHeight="1">
      <c r="B82" s="80" t="s">
        <v>183</v>
      </c>
      <c r="C82" s="81">
        <f>SUM(C79:C81)</f>
        <v>4427394</v>
      </c>
      <c r="D82" s="81">
        <f>SUM(D79:D81)</f>
        <v>2656436.4</v>
      </c>
      <c r="F82" s="249"/>
    </row>
    <row r="84" spans="2:8" ht="15" customHeight="1">
      <c r="B84" s="79" t="s">
        <v>280</v>
      </c>
      <c r="C84" s="37"/>
      <c r="D84" s="37"/>
      <c r="E84" s="37"/>
      <c r="F84" s="37"/>
      <c r="G84" s="37"/>
      <c r="H84" s="37"/>
    </row>
    <row r="85" spans="2:8" ht="15" customHeight="1">
      <c r="B85" s="16" t="s">
        <v>281</v>
      </c>
      <c r="D85" s="237" t="s">
        <v>282</v>
      </c>
    </row>
    <row r="86" spans="2:8" ht="15" customHeight="1">
      <c r="B86" s="234" t="s">
        <v>278</v>
      </c>
      <c r="C86" s="76">
        <f>-DCF!C7*Exchange_Rate</f>
        <v>-6737941.4996124003</v>
      </c>
      <c r="D86" s="219">
        <f>C86*scaling_factor/Common_Shares</f>
        <v>-1.2088162001457481</v>
      </c>
      <c r="E86" s="236" t="str">
        <f>Market_currency</f>
        <v>HKD</v>
      </c>
    </row>
    <row r="87" spans="2:8" ht="15" customHeight="1">
      <c r="B87" s="234" t="s">
        <v>279</v>
      </c>
      <c r="C87" s="76">
        <f>DCF!C8*Exchange_Rate</f>
        <v>5180628.4699936807</v>
      </c>
      <c r="D87" s="219">
        <f>C87*scaling_factor/Common_Shares</f>
        <v>0.92942742554604973</v>
      </c>
      <c r="E87" s="236" t="str">
        <f>Market_currency</f>
        <v>HKD</v>
      </c>
    </row>
    <row r="88" spans="2:8" ht="15" customHeight="1">
      <c r="B88" s="235" t="s">
        <v>183</v>
      </c>
      <c r="C88" s="76">
        <f>DCF!C9*Exchange_Rate</f>
        <v>2901783.2720421599</v>
      </c>
      <c r="D88" s="219">
        <f>C88*scaling_factor/Common_Shares</f>
        <v>0.52059262146432728</v>
      </c>
      <c r="E88" s="236" t="str">
        <f>Market_currency</f>
        <v>HKD</v>
      </c>
    </row>
    <row r="89" spans="2:8" ht="15" customHeight="1">
      <c r="B89" s="80" t="s">
        <v>283</v>
      </c>
      <c r="C89" s="176">
        <f>SUM(C86:C88)</f>
        <v>1344470.2424234403</v>
      </c>
      <c r="D89" s="238">
        <f>SUM(D86:D88)</f>
        <v>0.24120384686462892</v>
      </c>
      <c r="E89" s="236"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90" zoomScaleNormal="90" workbookViewId="0">
      <pane xSplit="2" ySplit="1" topLeftCell="C104" activePane="bottomRight" state="frozen"/>
      <selection activeCell="C17" sqref="C17"/>
      <selection pane="topRight" activeCell="C17" sqref="C17"/>
      <selection pane="bottomLeft" activeCell="C17" sqref="C17"/>
      <selection pane="bottomRight" activeCell="C91" sqref="C91"/>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v>
      </c>
      <c r="D3" s="9"/>
      <c r="E3" s="264"/>
      <c r="F3" s="9"/>
      <c r="G3" s="9"/>
    </row>
    <row r="4" spans="1:17" ht="15.75" customHeight="1">
      <c r="A4" s="10"/>
      <c r="B4" s="26" t="s">
        <v>0</v>
      </c>
      <c r="C4" s="320">
        <f>AVERAGE(G4:H4)</f>
        <v>42104017.5</v>
      </c>
      <c r="D4" s="57"/>
      <c r="E4" s="262"/>
      <c r="F4" s="57"/>
      <c r="G4" s="325">
        <f>Data!C36</f>
        <v>42754687</v>
      </c>
      <c r="H4" s="325">
        <f>Data!D36</f>
        <v>41453348</v>
      </c>
      <c r="I4" s="325" t="str">
        <f>Data!E36</f>
        <v/>
      </c>
      <c r="J4" s="325" t="str">
        <f>Data!F36</f>
        <v/>
      </c>
      <c r="K4" s="325" t="str">
        <f>Data!G36</f>
        <v/>
      </c>
      <c r="L4" s="325" t="str">
        <f>Data!H36</f>
        <v/>
      </c>
      <c r="M4" s="325" t="str">
        <f>Data!I36</f>
        <v/>
      </c>
      <c r="N4" s="325" t="str">
        <f>Data!J36</f>
        <v/>
      </c>
      <c r="O4" s="325" t="str">
        <f>Data!K36</f>
        <v/>
      </c>
      <c r="P4" s="325" t="str">
        <f>Data!L36</f>
        <v/>
      </c>
      <c r="Q4" s="325" t="str">
        <f>Data!M36</f>
        <v/>
      </c>
    </row>
    <row r="5" spans="1:17" ht="15.75" customHeight="1">
      <c r="A5" s="10"/>
      <c r="B5" s="2" t="s">
        <v>44</v>
      </c>
      <c r="C5" s="321">
        <f>C26</f>
        <v>-16588287.494712677</v>
      </c>
      <c r="E5" s="264"/>
      <c r="G5" s="325">
        <f t="shared" ref="G5:Q5" si="1">G26</f>
        <v>-16211077</v>
      </c>
      <c r="H5" s="325">
        <f t="shared" si="1"/>
        <v>-16946214</v>
      </c>
      <c r="I5" s="325" t="str">
        <f t="shared" si="1"/>
        <v/>
      </c>
      <c r="J5" s="325" t="str">
        <f t="shared" si="1"/>
        <v/>
      </c>
      <c r="K5" s="325" t="str">
        <f t="shared" si="1"/>
        <v/>
      </c>
      <c r="L5" s="325" t="str">
        <f t="shared" si="1"/>
        <v/>
      </c>
      <c r="M5" s="325" t="str">
        <f t="shared" si="1"/>
        <v/>
      </c>
      <c r="N5" s="325" t="str">
        <f t="shared" si="1"/>
        <v/>
      </c>
      <c r="O5" s="325" t="str">
        <f t="shared" si="1"/>
        <v/>
      </c>
      <c r="P5" s="325" t="str">
        <f t="shared" si="1"/>
        <v/>
      </c>
      <c r="Q5" s="325" t="str">
        <f t="shared" si="1"/>
        <v/>
      </c>
    </row>
    <row r="6" spans="1:17" ht="15.75" customHeight="1">
      <c r="A6" s="10"/>
      <c r="B6" s="31" t="s">
        <v>46</v>
      </c>
      <c r="C6" s="322">
        <f>C4+C5</f>
        <v>25515730.005287323</v>
      </c>
      <c r="E6" s="264"/>
      <c r="G6" s="322">
        <f>IF(G4="","",G4+G5)</f>
        <v>26543610</v>
      </c>
      <c r="H6" s="322">
        <f t="shared" ref="H6:Q6" si="2">IF(H4="","",H4+H5)</f>
        <v>24507134</v>
      </c>
      <c r="I6" s="322" t="str">
        <f t="shared" si="2"/>
        <v/>
      </c>
      <c r="J6" s="322" t="str">
        <f t="shared" si="2"/>
        <v/>
      </c>
      <c r="K6" s="322" t="str">
        <f t="shared" si="2"/>
        <v/>
      </c>
      <c r="L6" s="322" t="str">
        <f t="shared" si="2"/>
        <v/>
      </c>
      <c r="M6" s="322" t="str">
        <f t="shared" si="2"/>
        <v/>
      </c>
      <c r="N6" s="322" t="str">
        <f t="shared" si="2"/>
        <v/>
      </c>
      <c r="O6" s="322" t="str">
        <f t="shared" si="2"/>
        <v/>
      </c>
      <c r="P6" s="322" t="str">
        <f t="shared" si="2"/>
        <v/>
      </c>
      <c r="Q6" s="322" t="str">
        <f t="shared" si="2"/>
        <v/>
      </c>
    </row>
    <row r="7" spans="1:17" ht="15.75" customHeight="1">
      <c r="A7" s="10"/>
      <c r="B7" s="8" t="s">
        <v>43</v>
      </c>
      <c r="C7" s="321">
        <f>C35</f>
        <v>-20684476</v>
      </c>
      <c r="E7" s="264"/>
      <c r="G7" s="321">
        <f t="shared" ref="G7:Q7" si="3">G35</f>
        <v>-20684476</v>
      </c>
      <c r="H7" s="321">
        <f t="shared" si="3"/>
        <v>-19536770</v>
      </c>
      <c r="I7" s="321" t="str">
        <f t="shared" si="3"/>
        <v/>
      </c>
      <c r="J7" s="321" t="str">
        <f t="shared" si="3"/>
        <v/>
      </c>
      <c r="K7" s="321" t="str">
        <f t="shared" si="3"/>
        <v/>
      </c>
      <c r="L7" s="321" t="str">
        <f t="shared" si="3"/>
        <v/>
      </c>
      <c r="M7" s="321" t="str">
        <f t="shared" si="3"/>
        <v/>
      </c>
      <c r="N7" s="321" t="str">
        <f t="shared" si="3"/>
        <v/>
      </c>
      <c r="O7" s="321" t="str">
        <f t="shared" si="3"/>
        <v/>
      </c>
      <c r="P7" s="321" t="str">
        <f t="shared" si="3"/>
        <v/>
      </c>
      <c r="Q7" s="321" t="str">
        <f t="shared" si="3"/>
        <v/>
      </c>
    </row>
    <row r="8" spans="1:17" ht="15.75" customHeight="1">
      <c r="A8" s="10"/>
      <c r="B8" s="29" t="s">
        <v>147</v>
      </c>
      <c r="C8" s="323">
        <f>C6+C7</f>
        <v>4831254.0052873231</v>
      </c>
      <c r="D8" s="59"/>
      <c r="E8" s="270"/>
      <c r="F8" s="59"/>
      <c r="G8" s="322">
        <f>IF(G$4="","",G6+G7)</f>
        <v>5859134</v>
      </c>
      <c r="H8" s="322">
        <f t="shared" ref="H8:Q8" si="4">IF(H$4="","",H6+H7)</f>
        <v>4970364</v>
      </c>
      <c r="I8" s="322" t="str">
        <f t="shared" si="4"/>
        <v/>
      </c>
      <c r="J8" s="322" t="str">
        <f t="shared" si="4"/>
        <v/>
      </c>
      <c r="K8" s="322" t="str">
        <f t="shared" si="4"/>
        <v/>
      </c>
      <c r="L8" s="322" t="str">
        <f t="shared" si="4"/>
        <v/>
      </c>
      <c r="M8" s="322" t="str">
        <f t="shared" si="4"/>
        <v/>
      </c>
      <c r="N8" s="322" t="str">
        <f t="shared" si="4"/>
        <v/>
      </c>
      <c r="O8" s="322" t="str">
        <f t="shared" si="4"/>
        <v/>
      </c>
      <c r="P8" s="322" t="str">
        <f t="shared" si="4"/>
        <v/>
      </c>
      <c r="Q8" s="322" t="str">
        <f t="shared" si="4"/>
        <v/>
      </c>
    </row>
    <row r="9" spans="1:17" ht="15.75" customHeight="1">
      <c r="A9" s="10"/>
      <c r="B9" s="2" t="s">
        <v>63</v>
      </c>
      <c r="C9" s="321">
        <f>BS!$G$39*BS!D58</f>
        <v>0</v>
      </c>
      <c r="E9" s="264"/>
      <c r="G9" s="321">
        <f>IF(Data!C61="","",-Data!C61)</f>
        <v>0</v>
      </c>
      <c r="H9" s="321">
        <f>IF(Data!D61="","",-Data!D61)</f>
        <v>0</v>
      </c>
      <c r="I9" s="321" t="str">
        <f>IF(Data!E61="","",-Data!E61)</f>
        <v/>
      </c>
      <c r="J9" s="321" t="str">
        <f>IF(Data!F61="","",-Data!F61)</f>
        <v/>
      </c>
      <c r="K9" s="321" t="str">
        <f>IF(Data!G61="","",-Data!G61)</f>
        <v/>
      </c>
      <c r="L9" s="321" t="str">
        <f>IF(Data!H61="","",-Data!H61)</f>
        <v/>
      </c>
      <c r="M9" s="321" t="str">
        <f>IF(Data!I61="","",-Data!I61)</f>
        <v/>
      </c>
      <c r="N9" s="321" t="str">
        <f>IF(Data!J61="","",-Data!J61)</f>
        <v/>
      </c>
      <c r="O9" s="321" t="str">
        <f>IF(Data!K61="","",-Data!K61)</f>
        <v/>
      </c>
      <c r="P9" s="321" t="str">
        <f>IF(Data!L61="","",-Data!L61)</f>
        <v/>
      </c>
      <c r="Q9" s="321" t="str">
        <f>IF(Data!M61="","",-Data!M61)</f>
        <v/>
      </c>
    </row>
    <row r="10" spans="1:17" ht="15.75" customHeight="1">
      <c r="A10" s="10"/>
      <c r="B10" s="2" t="s">
        <v>545</v>
      </c>
      <c r="C10" s="321">
        <f>-C4*C76</f>
        <v>0</v>
      </c>
      <c r="E10" s="264"/>
      <c r="G10" s="321">
        <f>Data!C62</f>
        <v>0</v>
      </c>
      <c r="H10" s="321">
        <f>Data!D62</f>
        <v>0</v>
      </c>
      <c r="I10" s="321" t="str">
        <f>Data!E62</f>
        <v/>
      </c>
      <c r="J10" s="321" t="str">
        <f>Data!F62</f>
        <v/>
      </c>
      <c r="K10" s="321" t="str">
        <f>Data!G62</f>
        <v/>
      </c>
      <c r="L10" s="321" t="str">
        <f>Data!H62</f>
        <v/>
      </c>
      <c r="M10" s="321" t="str">
        <f>Data!I62</f>
        <v/>
      </c>
      <c r="N10" s="321" t="str">
        <f>Data!J62</f>
        <v/>
      </c>
      <c r="O10" s="321" t="str">
        <f>Data!K62</f>
        <v/>
      </c>
      <c r="P10" s="321" t="str">
        <f>Data!L62</f>
        <v/>
      </c>
      <c r="Q10" s="321" t="str">
        <f>Data!M62</f>
        <v/>
      </c>
    </row>
    <row r="11" spans="1:17" ht="15.75" customHeight="1">
      <c r="A11" s="10"/>
      <c r="B11" s="27" t="s">
        <v>188</v>
      </c>
      <c r="C11" s="365">
        <f>C61</f>
        <v>51775</v>
      </c>
      <c r="D11" s="58"/>
      <c r="E11" s="263"/>
      <c r="F11" s="58"/>
      <c r="G11" s="325">
        <f>G59</f>
        <v>51775</v>
      </c>
      <c r="H11" s="325">
        <f t="shared" ref="H11:Q11" si="5">H59</f>
        <v>45863</v>
      </c>
      <c r="I11" s="325" t="str">
        <f t="shared" si="5"/>
        <v/>
      </c>
      <c r="J11" s="325" t="str">
        <f t="shared" si="5"/>
        <v/>
      </c>
      <c r="K11" s="325" t="str">
        <f t="shared" si="5"/>
        <v/>
      </c>
      <c r="L11" s="325" t="str">
        <f t="shared" si="5"/>
        <v/>
      </c>
      <c r="M11" s="325" t="str">
        <f t="shared" si="5"/>
        <v/>
      </c>
      <c r="N11" s="325" t="str">
        <f t="shared" si="5"/>
        <v/>
      </c>
      <c r="O11" s="325" t="str">
        <f t="shared" si="5"/>
        <v/>
      </c>
      <c r="P11" s="325" t="str">
        <f t="shared" si="5"/>
        <v/>
      </c>
      <c r="Q11" s="325" t="str">
        <f t="shared" si="5"/>
        <v/>
      </c>
    </row>
    <row r="12" spans="1:17" ht="15.75" customHeight="1">
      <c r="A12" s="10"/>
      <c r="B12" s="2" t="s">
        <v>66</v>
      </c>
      <c r="C12" s="321">
        <f>C48</f>
        <v>-92084.877508812206</v>
      </c>
      <c r="E12" s="264"/>
      <c r="G12" s="321">
        <f>G48</f>
        <v>-123137.31570834329</v>
      </c>
      <c r="H12" s="321">
        <f t="shared" ref="H12:Q12" si="6">H48</f>
        <v>-222065.62477498164</v>
      </c>
      <c r="I12" s="321" t="str">
        <f t="shared" si="6"/>
        <v/>
      </c>
      <c r="J12" s="321" t="str">
        <f t="shared" si="6"/>
        <v/>
      </c>
      <c r="K12" s="321" t="str">
        <f t="shared" si="6"/>
        <v/>
      </c>
      <c r="L12" s="321" t="str">
        <f t="shared" si="6"/>
        <v/>
      </c>
      <c r="M12" s="321" t="str">
        <f t="shared" si="6"/>
        <v/>
      </c>
      <c r="N12" s="321" t="str">
        <f t="shared" si="6"/>
        <v/>
      </c>
      <c r="O12" s="321" t="str">
        <f t="shared" si="6"/>
        <v/>
      </c>
      <c r="P12" s="321" t="str">
        <f t="shared" si="6"/>
        <v/>
      </c>
      <c r="Q12" s="321" t="str">
        <f t="shared" si="6"/>
        <v/>
      </c>
    </row>
    <row r="13" spans="1:17" ht="15.75" customHeight="1">
      <c r="A13" s="10"/>
      <c r="B13" s="70" t="s">
        <v>159</v>
      </c>
      <c r="C13" s="322">
        <f>SUM(C8:C12)</f>
        <v>4790944.1277785106</v>
      </c>
      <c r="E13" s="264"/>
      <c r="G13" s="322">
        <f>IF(G$4="","",SUM(G8:G12))</f>
        <v>5787771.6842916571</v>
      </c>
      <c r="H13" s="322">
        <f t="shared" ref="H13:Q13" si="7">IF(H$4="","",SUM(H8:H12))</f>
        <v>4794161.3752250187</v>
      </c>
      <c r="I13" s="322" t="str">
        <f t="shared" si="7"/>
        <v/>
      </c>
      <c r="J13" s="322" t="str">
        <f t="shared" si="7"/>
        <v/>
      </c>
      <c r="K13" s="322" t="str">
        <f t="shared" si="7"/>
        <v/>
      </c>
      <c r="L13" s="322" t="str">
        <f t="shared" si="7"/>
        <v/>
      </c>
      <c r="M13" s="322" t="str">
        <f t="shared" si="7"/>
        <v/>
      </c>
      <c r="N13" s="322" t="str">
        <f t="shared" si="7"/>
        <v/>
      </c>
      <c r="O13" s="322" t="str">
        <f t="shared" si="7"/>
        <v/>
      </c>
      <c r="P13" s="322" t="str">
        <f t="shared" si="7"/>
        <v/>
      </c>
      <c r="Q13" s="322" t="str">
        <f t="shared" si="7"/>
        <v/>
      </c>
    </row>
    <row r="14" spans="1:17" ht="15.75" customHeight="1">
      <c r="A14" s="10"/>
      <c r="B14" s="2" t="s">
        <v>61</v>
      </c>
      <c r="C14" s="321">
        <f>-SUM(C8+C11,C12)*C41</f>
        <v>-1197736.0319446276</v>
      </c>
      <c r="E14" s="264"/>
      <c r="G14" s="321">
        <f>Data!C46</f>
        <v>-1923777</v>
      </c>
      <c r="H14" s="321">
        <f>Data!D46</f>
        <v>-1337673</v>
      </c>
      <c r="I14" s="321" t="str">
        <f>Data!E46</f>
        <v/>
      </c>
      <c r="J14" s="321" t="str">
        <f>Data!F46</f>
        <v/>
      </c>
      <c r="K14" s="321" t="str">
        <f>Data!G46</f>
        <v/>
      </c>
      <c r="L14" s="321" t="str">
        <f>Data!H46</f>
        <v/>
      </c>
      <c r="M14" s="321" t="str">
        <f>Data!I46</f>
        <v/>
      </c>
      <c r="N14" s="321" t="str">
        <f>Data!J46</f>
        <v/>
      </c>
      <c r="O14" s="321" t="str">
        <f>Data!K46</f>
        <v/>
      </c>
      <c r="P14" s="321" t="str">
        <f>Data!L46</f>
        <v/>
      </c>
      <c r="Q14" s="321" t="str">
        <f>Data!M46</f>
        <v/>
      </c>
    </row>
    <row r="15" spans="1:17" ht="15.75" customHeight="1">
      <c r="A15" s="10"/>
      <c r="B15" s="40" t="s">
        <v>237</v>
      </c>
      <c r="C15" s="321">
        <f>-C4*C81</f>
        <v>0</v>
      </c>
      <c r="D15" s="60"/>
      <c r="E15" s="271"/>
      <c r="F15" s="60"/>
      <c r="G15" s="325">
        <f>Data!C48</f>
        <v>-7806</v>
      </c>
      <c r="H15" s="325">
        <f>Data!D48</f>
        <v>-3681</v>
      </c>
      <c r="I15" s="325" t="str">
        <f>Data!E48</f>
        <v/>
      </c>
      <c r="J15" s="325" t="str">
        <f>Data!F48</f>
        <v/>
      </c>
      <c r="K15" s="325" t="str">
        <f>Data!G48</f>
        <v/>
      </c>
      <c r="L15" s="325" t="str">
        <f>Data!H48</f>
        <v/>
      </c>
      <c r="M15" s="325" t="str">
        <f>Data!I48</f>
        <v/>
      </c>
      <c r="N15" s="325" t="str">
        <f>Data!J48</f>
        <v/>
      </c>
      <c r="O15" s="325" t="str">
        <f>Data!K48</f>
        <v/>
      </c>
      <c r="P15" s="325" t="str">
        <f>Data!L48</f>
        <v/>
      </c>
      <c r="Q15" s="325" t="str">
        <f>Data!M48</f>
        <v/>
      </c>
    </row>
    <row r="16" spans="1:17" ht="15.75" customHeight="1">
      <c r="A16" s="10"/>
      <c r="B16" s="41" t="s">
        <v>149</v>
      </c>
      <c r="C16" s="324">
        <f>SUM(C13:C15)</f>
        <v>3593208.0958338827</v>
      </c>
      <c r="D16" s="61"/>
      <c r="E16" s="272"/>
      <c r="F16" s="61"/>
      <c r="G16" s="322">
        <f>IF(G$4="","",SUM(G13:G15))</f>
        <v>3856188.6842916571</v>
      </c>
      <c r="H16" s="322">
        <f t="shared" ref="H16:Q16" si="8">IF(H$4="","",SUM(H13:H15))</f>
        <v>3452807.3752250187</v>
      </c>
      <c r="I16" s="322" t="str">
        <f t="shared" si="8"/>
        <v/>
      </c>
      <c r="J16" s="322" t="str">
        <f t="shared" si="8"/>
        <v/>
      </c>
      <c r="K16" s="322" t="str">
        <f t="shared" si="8"/>
        <v/>
      </c>
      <c r="L16" s="322" t="str">
        <f t="shared" si="8"/>
        <v/>
      </c>
      <c r="M16" s="322" t="str">
        <f t="shared" si="8"/>
        <v/>
      </c>
      <c r="N16" s="322" t="str">
        <f t="shared" si="8"/>
        <v/>
      </c>
      <c r="O16" s="322" t="str">
        <f t="shared" si="8"/>
        <v/>
      </c>
      <c r="P16" s="322" t="str">
        <f t="shared" si="8"/>
        <v/>
      </c>
      <c r="Q16" s="322" t="str">
        <f t="shared" si="8"/>
        <v/>
      </c>
    </row>
    <row r="17" spans="1:17" ht="15.75" customHeight="1">
      <c r="A17" s="10"/>
      <c r="B17" s="27" t="s">
        <v>50</v>
      </c>
      <c r="C17" s="321">
        <f>-C4*C83</f>
        <v>0</v>
      </c>
      <c r="D17" s="58"/>
      <c r="E17" s="263" t="s">
        <v>317</v>
      </c>
      <c r="F17" s="58"/>
      <c r="G17" s="327"/>
      <c r="H17" s="327"/>
      <c r="I17" s="327"/>
      <c r="J17" s="327"/>
      <c r="K17" s="327"/>
      <c r="L17" s="327"/>
      <c r="M17" s="327"/>
      <c r="N17" s="327"/>
      <c r="O17" s="327"/>
      <c r="P17" s="327"/>
      <c r="Q17" s="327"/>
    </row>
    <row r="18" spans="1:17" ht="15.75" customHeight="1">
      <c r="A18" s="10"/>
      <c r="B18" s="27" t="s">
        <v>95</v>
      </c>
      <c r="C18" s="321">
        <v>0</v>
      </c>
      <c r="D18" s="58"/>
      <c r="E18" s="263" t="s">
        <v>318</v>
      </c>
      <c r="F18" s="58"/>
      <c r="G18" s="328"/>
      <c r="H18" s="328"/>
      <c r="I18" s="328"/>
      <c r="J18" s="328"/>
      <c r="K18" s="328"/>
      <c r="L18" s="328"/>
      <c r="M18" s="328"/>
      <c r="N18" s="328"/>
      <c r="O18" s="328"/>
      <c r="P18" s="328"/>
      <c r="Q18" s="328"/>
    </row>
    <row r="19" spans="1:17" ht="15.75" customHeight="1">
      <c r="A19" s="10"/>
      <c r="B19" s="31" t="s">
        <v>64</v>
      </c>
      <c r="C19" s="322">
        <f>C16+C17</f>
        <v>3593208.0958338827</v>
      </c>
      <c r="D19" s="27"/>
      <c r="E19" s="261"/>
      <c r="F19" s="27"/>
      <c r="G19" s="326">
        <f>IF(G$4="","",G16+G17)</f>
        <v>3856188.6842916571</v>
      </c>
      <c r="H19" s="326">
        <f t="shared" ref="H19:Q19" si="9">IF(H$4="","",H16+H17)</f>
        <v>3452807.3752250187</v>
      </c>
      <c r="I19" s="326" t="str">
        <f t="shared" si="9"/>
        <v/>
      </c>
      <c r="J19" s="326" t="str">
        <f t="shared" si="9"/>
        <v/>
      </c>
      <c r="K19" s="326" t="str">
        <f t="shared" si="9"/>
        <v/>
      </c>
      <c r="L19" s="326" t="str">
        <f t="shared" si="9"/>
        <v/>
      </c>
      <c r="M19" s="326" t="str">
        <f t="shared" si="9"/>
        <v/>
      </c>
      <c r="N19" s="326" t="str">
        <f t="shared" si="9"/>
        <v/>
      </c>
      <c r="O19" s="326" t="str">
        <f t="shared" si="9"/>
        <v/>
      </c>
      <c r="P19" s="326" t="str">
        <f t="shared" si="9"/>
        <v/>
      </c>
      <c r="Q19" s="32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199</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1"/>
      <c r="F22" s="27"/>
      <c r="G22" s="12"/>
      <c r="H22" s="12"/>
      <c r="I22" s="12"/>
      <c r="J22" s="12"/>
      <c r="K22" s="12"/>
      <c r="L22" s="12"/>
      <c r="M22" s="12"/>
      <c r="N22" s="12"/>
      <c r="O22" s="12"/>
      <c r="P22" s="12"/>
      <c r="Q22" s="12"/>
    </row>
    <row r="23" spans="1:17" ht="15.75" customHeight="1">
      <c r="A23" s="10"/>
      <c r="B23" s="27" t="s">
        <v>41</v>
      </c>
      <c r="C23" s="329">
        <f>-C4*C29</f>
        <v>-16588287.494712677</v>
      </c>
      <c r="D23" s="58"/>
      <c r="E23" s="263"/>
      <c r="F23" s="58"/>
      <c r="G23" s="325">
        <f>Data!C37</f>
        <v>-16211077</v>
      </c>
      <c r="H23" s="325">
        <f>Data!D37</f>
        <v>-16946214</v>
      </c>
      <c r="I23" s="325" t="str">
        <f>Data!E37</f>
        <v/>
      </c>
      <c r="J23" s="325" t="str">
        <f>Data!F37</f>
        <v/>
      </c>
      <c r="K23" s="325" t="str">
        <f>Data!G37</f>
        <v/>
      </c>
      <c r="L23" s="325" t="str">
        <f>Data!H37</f>
        <v/>
      </c>
      <c r="M23" s="325" t="str">
        <f>Data!I37</f>
        <v/>
      </c>
      <c r="N23" s="325" t="str">
        <f>Data!J37</f>
        <v/>
      </c>
      <c r="O23" s="325" t="str">
        <f>Data!K37</f>
        <v/>
      </c>
      <c r="P23" s="325" t="str">
        <f>Data!L37</f>
        <v/>
      </c>
      <c r="Q23" s="325" t="str">
        <f>Data!M37</f>
        <v/>
      </c>
    </row>
    <row r="24" spans="1:17" ht="15.75" customHeight="1">
      <c r="A24" s="10"/>
      <c r="B24" s="68" t="s">
        <v>60</v>
      </c>
      <c r="C24" s="321">
        <f>-C4*C30</f>
        <v>0</v>
      </c>
      <c r="D24" s="27"/>
      <c r="E24" s="261"/>
      <c r="F24" s="27"/>
      <c r="G24" s="325">
        <f>Data!C40</f>
        <v>0</v>
      </c>
      <c r="H24" s="325">
        <f>Data!D40</f>
        <v>0</v>
      </c>
      <c r="I24" s="325" t="str">
        <f>Data!E40</f>
        <v/>
      </c>
      <c r="J24" s="325" t="str">
        <f>Data!F40</f>
        <v/>
      </c>
      <c r="K24" s="325" t="str">
        <f>Data!G40</f>
        <v/>
      </c>
      <c r="L24" s="325" t="str">
        <f>Data!H40</f>
        <v/>
      </c>
      <c r="M24" s="325" t="str">
        <f>Data!I40</f>
        <v/>
      </c>
      <c r="N24" s="325" t="str">
        <f>Data!J40</f>
        <v/>
      </c>
      <c r="O24" s="325" t="str">
        <f>Data!K40</f>
        <v/>
      </c>
      <c r="P24" s="325" t="str">
        <f>Data!L40</f>
        <v/>
      </c>
      <c r="Q24" s="325" t="str">
        <f>Data!M40</f>
        <v/>
      </c>
    </row>
    <row r="25" spans="1:17" ht="15.75" customHeight="1">
      <c r="A25" s="10"/>
      <c r="B25" s="27" t="s">
        <v>47</v>
      </c>
      <c r="C25" s="321">
        <f>-C4*C31</f>
        <v>0</v>
      </c>
      <c r="D25" s="58"/>
      <c r="E25" s="262"/>
      <c r="F25" s="58"/>
      <c r="G25" s="325">
        <f>Data!C42</f>
        <v>0</v>
      </c>
      <c r="H25" s="325">
        <f>Data!D42</f>
        <v>0</v>
      </c>
      <c r="I25" s="325" t="str">
        <f>Data!E42</f>
        <v/>
      </c>
      <c r="J25" s="325" t="str">
        <f>Data!F42</f>
        <v/>
      </c>
      <c r="K25" s="325" t="str">
        <f>Data!G42</f>
        <v/>
      </c>
      <c r="L25" s="325" t="str">
        <f>Data!H42</f>
        <v/>
      </c>
      <c r="M25" s="325" t="str">
        <f>Data!I42</f>
        <v/>
      </c>
      <c r="N25" s="325" t="str">
        <f>Data!J42</f>
        <v/>
      </c>
      <c r="O25" s="325" t="str">
        <f>Data!K42</f>
        <v/>
      </c>
      <c r="P25" s="325" t="str">
        <f>Data!L42</f>
        <v/>
      </c>
      <c r="Q25" s="325" t="str">
        <f>Data!M42</f>
        <v/>
      </c>
    </row>
    <row r="26" spans="1:17" ht="15.75" customHeight="1">
      <c r="A26" s="10"/>
      <c r="B26" s="70" t="s">
        <v>44</v>
      </c>
      <c r="C26" s="322">
        <f>SUM(C23:C25)</f>
        <v>-16588287.494712677</v>
      </c>
      <c r="D26" s="9"/>
      <c r="E26" s="269"/>
      <c r="F26" s="9"/>
      <c r="G26" s="322">
        <f>IF(G$4="","",SUM(G23:G25))</f>
        <v>-16211077</v>
      </c>
      <c r="H26" s="322">
        <f t="shared" ref="H26:Q26" si="10">IF(H$4="","",SUM(H23:H25))</f>
        <v>-16946214</v>
      </c>
      <c r="I26" s="322" t="str">
        <f t="shared" si="10"/>
        <v/>
      </c>
      <c r="J26" s="322" t="str">
        <f t="shared" si="10"/>
        <v/>
      </c>
      <c r="K26" s="322" t="str">
        <f t="shared" si="10"/>
        <v/>
      </c>
      <c r="L26" s="322" t="str">
        <f t="shared" si="10"/>
        <v/>
      </c>
      <c r="M26" s="322" t="str">
        <f t="shared" si="10"/>
        <v/>
      </c>
      <c r="N26" s="322" t="str">
        <f t="shared" si="10"/>
        <v/>
      </c>
      <c r="O26" s="322" t="str">
        <f t="shared" si="10"/>
        <v/>
      </c>
      <c r="P26" s="322" t="str">
        <f t="shared" si="10"/>
        <v/>
      </c>
      <c r="Q26" s="322" t="str">
        <f t="shared" si="10"/>
        <v/>
      </c>
    </row>
    <row r="27" spans="1:17" ht="15.75" customHeight="1">
      <c r="A27" s="10"/>
      <c r="E27" s="264"/>
    </row>
    <row r="28" spans="1:17" ht="15.75" customHeight="1">
      <c r="A28" s="10"/>
      <c r="B28" s="64" t="s">
        <v>200</v>
      </c>
      <c r="E28" s="264"/>
    </row>
    <row r="29" spans="1:17" ht="15.75" customHeight="1">
      <c r="A29" s="10"/>
      <c r="B29" s="26" t="s">
        <v>41</v>
      </c>
      <c r="C29" s="63">
        <f>AVERAGE(G29:H29)</f>
        <v>0.39398348375455328</v>
      </c>
      <c r="D29" s="26"/>
      <c r="E29" s="262"/>
      <c r="F29" s="26"/>
      <c r="G29" s="13">
        <f t="shared" ref="G29:Q29" si="11">IF(G$4="","",ABS(G23/G$4))</f>
        <v>0.37916490886718457</v>
      </c>
      <c r="H29" s="13">
        <f t="shared" si="11"/>
        <v>0.40880205864192198</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8" t="str">
        <f>B24</f>
        <v>Selling Expenses</v>
      </c>
      <c r="C30" s="63">
        <v>0</v>
      </c>
      <c r="D30" s="26"/>
      <c r="E30" s="262"/>
      <c r="F30" s="26"/>
      <c r="G30" s="13">
        <f t="shared" ref="G30:Q30" si="12">IF(G$4="","",ABS(G24/G$4))</f>
        <v>0</v>
      </c>
      <c r="H30" s="13">
        <f t="shared" si="12"/>
        <v>0</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7" t="str">
        <f>B25</f>
        <v>R&amp;D</v>
      </c>
      <c r="C31" s="63">
        <v>0</v>
      </c>
      <c r="D31" s="27"/>
      <c r="E31" s="261"/>
      <c r="F31" s="27"/>
      <c r="G31" s="13">
        <f t="shared" ref="G31:Q31" si="13">IF(G$4="","",ABS(G25/G$4))</f>
        <v>0</v>
      </c>
      <c r="H31" s="13">
        <f t="shared" si="13"/>
        <v>0</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70" t="s">
        <v>44</v>
      </c>
      <c r="C32" s="71">
        <f>ABS(C26/$C$4)</f>
        <v>0.39398348375455328</v>
      </c>
      <c r="E32" s="264"/>
      <c r="G32" s="30">
        <f t="shared" ref="G32:Q32" si="14">IF(G$4="","",ABS(G26/G$4))</f>
        <v>0.37916490886718457</v>
      </c>
      <c r="H32" s="30">
        <f t="shared" si="14"/>
        <v>0.40880205864192198</v>
      </c>
      <c r="I32" s="30" t="str">
        <f t="shared" si="14"/>
        <v/>
      </c>
      <c r="J32" s="30" t="str">
        <f t="shared" si="14"/>
        <v/>
      </c>
      <c r="K32" s="30" t="str">
        <f t="shared" si="14"/>
        <v/>
      </c>
      <c r="L32" s="30" t="str">
        <f t="shared" si="14"/>
        <v/>
      </c>
      <c r="M32" s="30" t="str">
        <f t="shared" si="14"/>
        <v/>
      </c>
      <c r="N32" s="30" t="str">
        <f t="shared" si="14"/>
        <v/>
      </c>
      <c r="O32" s="30" t="str">
        <f t="shared" si="14"/>
        <v/>
      </c>
      <c r="P32" s="30" t="str">
        <f t="shared" si="14"/>
        <v/>
      </c>
      <c r="Q32" s="30" t="str">
        <f t="shared" si="14"/>
        <v/>
      </c>
    </row>
    <row r="33" spans="1:17" ht="15.75" customHeight="1">
      <c r="A33" s="10"/>
      <c r="E33" s="264"/>
    </row>
    <row r="34" spans="1:17" ht="15.75" customHeight="1">
      <c r="A34" s="10"/>
      <c r="B34" s="64" t="s">
        <v>43</v>
      </c>
      <c r="E34" s="264"/>
    </row>
    <row r="35" spans="1:17" ht="15.75" customHeight="1">
      <c r="A35" s="10"/>
      <c r="B35" s="362" t="s">
        <v>543</v>
      </c>
      <c r="C35" s="331">
        <f>G35</f>
        <v>-20684476</v>
      </c>
      <c r="D35" s="58"/>
      <c r="E35" s="263"/>
      <c r="F35" s="58"/>
      <c r="G35" s="322">
        <f>IF(G4="","",Data!C41)</f>
        <v>-20684476</v>
      </c>
      <c r="H35" s="322">
        <f>IF(H4="","",Data!D41)</f>
        <v>-19536770</v>
      </c>
      <c r="I35" s="322" t="str">
        <f>IF(I4="","",Data!E41)</f>
        <v/>
      </c>
      <c r="J35" s="322" t="str">
        <f>IF(J4="","",Data!F41)</f>
        <v/>
      </c>
      <c r="K35" s="322" t="str">
        <f>IF(K4="","",Data!G41)</f>
        <v/>
      </c>
      <c r="L35" s="322" t="str">
        <f>IF(L4="","",Data!H41)</f>
        <v/>
      </c>
      <c r="M35" s="322" t="str">
        <f>IF(M4="","",Data!I41)</f>
        <v/>
      </c>
      <c r="N35" s="322" t="str">
        <f>IF(N4="","",Data!J41)</f>
        <v/>
      </c>
      <c r="O35" s="322" t="str">
        <f>IF(O4="","",Data!K41)</f>
        <v/>
      </c>
      <c r="P35" s="322" t="str">
        <f>IF(P4="","",Data!L41)</f>
        <v/>
      </c>
      <c r="Q35" s="322" t="str">
        <f>IF(Q4="","",Data!M41)</f>
        <v/>
      </c>
    </row>
    <row r="36" spans="1:17" ht="15.75" customHeight="1">
      <c r="A36" s="10"/>
      <c r="E36" s="264"/>
    </row>
    <row r="37" spans="1:17" ht="15.75" customHeight="1">
      <c r="A37" s="10"/>
      <c r="B37" s="64" t="s">
        <v>201</v>
      </c>
      <c r="E37" s="264"/>
    </row>
    <row r="38" spans="1:17" ht="15.75" customHeight="1">
      <c r="A38" s="10"/>
      <c r="B38" s="362" t="s">
        <v>543</v>
      </c>
      <c r="C38" s="71">
        <f>ABS(C35/$C$4)</f>
        <v>0.49127083894072576</v>
      </c>
      <c r="E38" s="264"/>
      <c r="G38" s="30">
        <f t="shared" ref="G38:Q38" si="15">IF(G$4="","",ABS(G35/G$4))</f>
        <v>0.48379434984519942</v>
      </c>
      <c r="H38" s="30">
        <f t="shared" si="15"/>
        <v>0.47129534627697622</v>
      </c>
      <c r="I38" s="30" t="str">
        <f t="shared" si="15"/>
        <v/>
      </c>
      <c r="J38" s="30" t="str">
        <f t="shared" si="15"/>
        <v/>
      </c>
      <c r="K38" s="30" t="str">
        <f t="shared" si="15"/>
        <v/>
      </c>
      <c r="L38" s="30" t="str">
        <f t="shared" si="15"/>
        <v/>
      </c>
      <c r="M38" s="30" t="str">
        <f t="shared" si="15"/>
        <v/>
      </c>
      <c r="N38" s="30" t="str">
        <f t="shared" si="15"/>
        <v/>
      </c>
      <c r="O38" s="30" t="str">
        <f t="shared" si="15"/>
        <v/>
      </c>
      <c r="P38" s="30" t="str">
        <f t="shared" si="15"/>
        <v/>
      </c>
      <c r="Q38" s="30" t="str">
        <f t="shared" si="15"/>
        <v/>
      </c>
    </row>
    <row r="39" spans="1:17" ht="15.75" customHeight="1">
      <c r="A39" s="10"/>
      <c r="E39" s="264"/>
    </row>
    <row r="40" spans="1:17" ht="15.75" customHeight="1">
      <c r="A40" s="10"/>
      <c r="B40" s="64" t="s">
        <v>202</v>
      </c>
      <c r="E40" s="264"/>
    </row>
    <row r="41" spans="1:17" ht="15.75" customHeight="1">
      <c r="A41" s="10"/>
      <c r="B41" s="27" t="s">
        <v>166</v>
      </c>
      <c r="C41" s="259">
        <v>0.25</v>
      </c>
      <c r="D41" s="27"/>
      <c r="E41" s="261" t="s">
        <v>560</v>
      </c>
      <c r="F41" s="27"/>
      <c r="G41" s="6">
        <f t="shared" ref="G41:Q41" si="16">IF(G$4="","",-G14/SUM(G8+G11,G12))</f>
        <v>0.33238647011962147</v>
      </c>
      <c r="H41" s="6">
        <f t="shared" si="16"/>
        <v>0.27902127093859352</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4" t="s">
        <v>203</v>
      </c>
      <c r="C43" s="54"/>
      <c r="D43" s="56"/>
      <c r="E43" s="66" t="s">
        <v>57</v>
      </c>
      <c r="F43" s="56"/>
      <c r="G43" s="37"/>
      <c r="H43" s="37"/>
      <c r="I43" s="37"/>
      <c r="J43" s="37"/>
      <c r="K43" s="37"/>
      <c r="L43" s="37"/>
      <c r="M43" s="37"/>
      <c r="N43" s="37"/>
      <c r="O43" s="37"/>
      <c r="P43" s="37"/>
      <c r="Q43" s="37"/>
    </row>
    <row r="44" spans="1:17" ht="15.75" customHeight="1">
      <c r="A44" s="10"/>
      <c r="B44" s="64" t="s">
        <v>58</v>
      </c>
      <c r="E44" s="264"/>
    </row>
    <row r="45" spans="1:17" ht="15.75" customHeight="1">
      <c r="A45" s="10"/>
      <c r="B45" s="2" t="s">
        <v>37</v>
      </c>
      <c r="C45" s="321">
        <f>-BS!G31*Normalized_FCF!C52</f>
        <v>-154206.15</v>
      </c>
      <c r="E45" s="264"/>
      <c r="G45" s="321">
        <f>Data!C51</f>
        <v>-274678</v>
      </c>
      <c r="H45" s="321">
        <f>Data!D51</f>
        <v>-351430</v>
      </c>
      <c r="I45" s="321" t="str">
        <f>Data!E51</f>
        <v/>
      </c>
      <c r="J45" s="321" t="str">
        <f>Data!F51</f>
        <v/>
      </c>
      <c r="K45" s="321" t="str">
        <f>Data!G51</f>
        <v/>
      </c>
      <c r="L45" s="321" t="str">
        <f>Data!H51</f>
        <v/>
      </c>
      <c r="M45" s="321" t="str">
        <f>Data!I51</f>
        <v/>
      </c>
      <c r="N45" s="321" t="str">
        <f>Data!J51</f>
        <v/>
      </c>
      <c r="O45" s="321" t="str">
        <f>Data!K51</f>
        <v/>
      </c>
      <c r="P45" s="321" t="str">
        <f>Data!L51</f>
        <v/>
      </c>
      <c r="Q45" s="321" t="str">
        <f>Data!M51</f>
        <v/>
      </c>
    </row>
    <row r="46" spans="1:17" ht="15.75" customHeight="1">
      <c r="A46" s="10"/>
      <c r="B46" s="2" t="s">
        <v>327</v>
      </c>
      <c r="C46" s="321">
        <f>BS!D75*C51</f>
        <v>62121.272491187796</v>
      </c>
      <c r="E46" s="264"/>
      <c r="G46" s="329">
        <f t="shared" ref="G46:Q46" si="17">IFERROR(IF(G$4="","",($C$46/$C$47)*G47),0)</f>
        <v>151540.68429165671</v>
      </c>
      <c r="H46" s="329">
        <f t="shared" si="17"/>
        <v>129364.37522501835</v>
      </c>
      <c r="I46" s="329" t="str">
        <f t="shared" si="17"/>
        <v/>
      </c>
      <c r="J46" s="329" t="str">
        <f t="shared" si="17"/>
        <v/>
      </c>
      <c r="K46" s="329" t="str">
        <f t="shared" si="17"/>
        <v/>
      </c>
      <c r="L46" s="329" t="str">
        <f t="shared" si="17"/>
        <v/>
      </c>
      <c r="M46" s="329" t="str">
        <f t="shared" si="17"/>
        <v/>
      </c>
      <c r="N46" s="329" t="str">
        <f t="shared" si="17"/>
        <v/>
      </c>
      <c r="O46" s="329" t="str">
        <f t="shared" si="17"/>
        <v/>
      </c>
      <c r="P46" s="329" t="str">
        <f t="shared" si="17"/>
        <v/>
      </c>
      <c r="Q46" s="329" t="str">
        <f t="shared" si="17"/>
        <v/>
      </c>
    </row>
    <row r="47" spans="1:17" ht="15.75" customHeight="1">
      <c r="A47" s="10"/>
      <c r="B47" s="283" t="s">
        <v>324</v>
      </c>
      <c r="C47" s="333">
        <f>BS!$C$66*C51</f>
        <v>156973.36000000002</v>
      </c>
      <c r="D47" s="284"/>
      <c r="E47" s="285"/>
      <c r="F47" s="284"/>
      <c r="G47" s="333">
        <f>Data!C52</f>
        <v>382926</v>
      </c>
      <c r="H47" s="333">
        <f>Data!D52</f>
        <v>326889</v>
      </c>
      <c r="I47" s="333" t="str">
        <f>Data!E52</f>
        <v/>
      </c>
      <c r="J47" s="333" t="str">
        <f>Data!F52</f>
        <v/>
      </c>
      <c r="K47" s="333" t="str">
        <f>Data!G52</f>
        <v/>
      </c>
      <c r="L47" s="333" t="str">
        <f>Data!H52</f>
        <v/>
      </c>
      <c r="M47" s="333" t="str">
        <f>Data!I52</f>
        <v/>
      </c>
      <c r="N47" s="333" t="str">
        <f>Data!J52</f>
        <v/>
      </c>
      <c r="O47" s="333" t="str">
        <f>Data!K52</f>
        <v/>
      </c>
      <c r="P47" s="333" t="str">
        <f>Data!L52</f>
        <v/>
      </c>
      <c r="Q47" s="333" t="str">
        <f>Data!M52</f>
        <v/>
      </c>
    </row>
    <row r="48" spans="1:17" ht="15.75" customHeight="1">
      <c r="A48" s="10"/>
      <c r="B48" s="70" t="s">
        <v>66</v>
      </c>
      <c r="C48" s="322">
        <f>C45+C46</f>
        <v>-92084.877508812206</v>
      </c>
      <c r="E48" s="264"/>
      <c r="G48" s="322">
        <f>IF(G$4="","",(G45+G46))</f>
        <v>-123137.31570834329</v>
      </c>
      <c r="H48" s="322">
        <f t="shared" ref="H48:Q48" si="18">IF(H$4="","",(H45+H46))</f>
        <v>-222065.62477498164</v>
      </c>
      <c r="I48" s="322" t="str">
        <f t="shared" si="18"/>
        <v/>
      </c>
      <c r="J48" s="322" t="str">
        <f t="shared" si="18"/>
        <v/>
      </c>
      <c r="K48" s="322" t="str">
        <f t="shared" si="18"/>
        <v/>
      </c>
      <c r="L48" s="322" t="str">
        <f t="shared" si="18"/>
        <v/>
      </c>
      <c r="M48" s="322" t="str">
        <f t="shared" si="18"/>
        <v/>
      </c>
      <c r="N48" s="322" t="str">
        <f t="shared" si="18"/>
        <v/>
      </c>
      <c r="O48" s="322" t="str">
        <f t="shared" si="18"/>
        <v/>
      </c>
      <c r="P48" s="322" t="str">
        <f t="shared" si="18"/>
        <v/>
      </c>
      <c r="Q48" s="322" t="str">
        <f t="shared" si="18"/>
        <v/>
      </c>
    </row>
    <row r="49" spans="1:17" ht="15.75" customHeight="1">
      <c r="A49" s="10"/>
      <c r="E49" s="264"/>
    </row>
    <row r="50" spans="1:17" ht="15.75" customHeight="1">
      <c r="A50" s="10"/>
      <c r="B50" s="72" t="s">
        <v>150</v>
      </c>
      <c r="E50" s="264"/>
      <c r="G50" s="97" t="s">
        <v>213</v>
      </c>
    </row>
    <row r="51" spans="1:17" ht="15.75" customHeight="1">
      <c r="A51" s="10"/>
      <c r="B51" s="8" t="s">
        <v>86</v>
      </c>
      <c r="C51" s="87">
        <v>0.02</v>
      </c>
      <c r="E51" s="261"/>
      <c r="G51" s="6">
        <f>IF(Normalized_FCF!G4="","",Normalized_FCF!G47/BS!$C$66)</f>
        <v>4.8788660700134087E-2</v>
      </c>
      <c r="H51" s="165"/>
      <c r="I51" s="165"/>
      <c r="J51" s="165"/>
      <c r="K51" s="165"/>
      <c r="L51" s="165"/>
      <c r="M51" s="165"/>
      <c r="N51" s="165"/>
      <c r="O51" s="165"/>
      <c r="P51" s="165"/>
      <c r="Q51" s="165"/>
    </row>
    <row r="52" spans="1:17" ht="15.75" customHeight="1">
      <c r="A52" s="10"/>
      <c r="B52" s="8" t="s">
        <v>85</v>
      </c>
      <c r="C52" s="82">
        <v>2.5000000000000001E-2</v>
      </c>
      <c r="E52" s="261"/>
      <c r="G52" s="23">
        <f>IFERROR(ABS(Normalized_FCF!G45/BS!$G$31),0)</f>
        <v>4.4530973634968517E-2</v>
      </c>
      <c r="H52" s="165"/>
      <c r="I52" s="165"/>
      <c r="J52" s="165"/>
      <c r="K52" s="165"/>
      <c r="L52" s="165"/>
      <c r="M52" s="165"/>
      <c r="N52" s="165"/>
      <c r="O52" s="165"/>
      <c r="P52" s="165"/>
      <c r="Q52" s="165"/>
    </row>
    <row r="53" spans="1:17" ht="15.75" customHeight="1">
      <c r="A53" s="10"/>
      <c r="B53" s="26" t="s">
        <v>88</v>
      </c>
      <c r="C53" s="42">
        <f>-C8/C45</f>
        <v>31.329839992032245</v>
      </c>
      <c r="E53" s="264"/>
      <c r="G53" s="42">
        <f t="shared" ref="G53:Q53" si="19">IF(G4="","",-G8/G45)</f>
        <v>21.330918384435595</v>
      </c>
      <c r="H53" s="42">
        <f t="shared" si="19"/>
        <v>14.143254702216657</v>
      </c>
      <c r="I53" s="42" t="str">
        <f t="shared" si="19"/>
        <v/>
      </c>
      <c r="J53" s="42" t="str">
        <f t="shared" si="19"/>
        <v/>
      </c>
      <c r="K53" s="42" t="str">
        <f t="shared" si="19"/>
        <v/>
      </c>
      <c r="L53" s="42" t="str">
        <f t="shared" si="19"/>
        <v/>
      </c>
      <c r="M53" s="42" t="str">
        <f t="shared" si="19"/>
        <v/>
      </c>
      <c r="N53" s="42" t="str">
        <f t="shared" si="19"/>
        <v/>
      </c>
      <c r="O53" s="42" t="str">
        <f t="shared" si="19"/>
        <v/>
      </c>
      <c r="P53" s="42" t="str">
        <f t="shared" si="19"/>
        <v/>
      </c>
      <c r="Q53" s="42" t="str">
        <f t="shared" si="19"/>
        <v/>
      </c>
    </row>
    <row r="54" spans="1:17" ht="15.75" customHeight="1">
      <c r="A54" s="10"/>
      <c r="E54" s="264"/>
    </row>
    <row r="55" spans="1:17" ht="15.75" customHeight="1">
      <c r="A55" s="10"/>
      <c r="B55" s="64" t="s">
        <v>163</v>
      </c>
      <c r="E55" s="264"/>
      <c r="G55" s="97" t="s">
        <v>213</v>
      </c>
    </row>
    <row r="56" spans="1:17" ht="15.75" customHeight="1">
      <c r="A56" s="10"/>
      <c r="B56" s="40" t="s">
        <v>162</v>
      </c>
      <c r="C56" s="321">
        <f>BS!$C67*C64</f>
        <v>0</v>
      </c>
      <c r="E56" s="264"/>
      <c r="G56" s="321">
        <f>Data!C56</f>
        <v>0</v>
      </c>
      <c r="H56" s="321">
        <f>Data!D56</f>
        <v>0</v>
      </c>
      <c r="I56" s="321" t="str">
        <f>Data!E56</f>
        <v/>
      </c>
      <c r="J56" s="321" t="str">
        <f>Data!F56</f>
        <v/>
      </c>
      <c r="K56" s="321" t="str">
        <f>Data!G56</f>
        <v/>
      </c>
      <c r="L56" s="321" t="str">
        <f>Data!H56</f>
        <v/>
      </c>
      <c r="M56" s="321" t="str">
        <f>Data!I56</f>
        <v/>
      </c>
      <c r="N56" s="321" t="str">
        <f>Data!J56</f>
        <v/>
      </c>
      <c r="O56" s="321" t="str">
        <f>Data!K56</f>
        <v/>
      </c>
      <c r="P56" s="321" t="str">
        <f>Data!L56</f>
        <v/>
      </c>
      <c r="Q56" s="321" t="str">
        <f>Data!M56</f>
        <v/>
      </c>
    </row>
    <row r="57" spans="1:17" ht="15.75" customHeight="1">
      <c r="A57" s="10"/>
      <c r="B57" s="40" t="s">
        <v>154</v>
      </c>
      <c r="C57" s="321">
        <f>BS!$C68*C65</f>
        <v>51775</v>
      </c>
      <c r="E57" s="264"/>
      <c r="G57" s="321">
        <f>Data!C55</f>
        <v>51775</v>
      </c>
      <c r="H57" s="321">
        <f>Data!D55</f>
        <v>45863</v>
      </c>
      <c r="I57" s="321" t="str">
        <f>Data!E55</f>
        <v/>
      </c>
      <c r="J57" s="321" t="str">
        <f>Data!F55</f>
        <v/>
      </c>
      <c r="K57" s="321" t="str">
        <f>Data!G55</f>
        <v/>
      </c>
      <c r="L57" s="321" t="str">
        <f>Data!H55</f>
        <v/>
      </c>
      <c r="M57" s="321" t="str">
        <f>Data!I55</f>
        <v/>
      </c>
      <c r="N57" s="321" t="str">
        <f>Data!J55</f>
        <v/>
      </c>
      <c r="O57" s="321" t="str">
        <f>Data!K55</f>
        <v/>
      </c>
      <c r="P57" s="321" t="str">
        <f>Data!L55</f>
        <v/>
      </c>
      <c r="Q57" s="321" t="str">
        <f>Data!M55</f>
        <v/>
      </c>
    </row>
    <row r="58" spans="1:17" ht="15.75" customHeight="1">
      <c r="A58" s="10"/>
      <c r="B58" s="40" t="s">
        <v>153</v>
      </c>
      <c r="C58" s="321">
        <f>BS!$C69*C66</f>
        <v>0</v>
      </c>
      <c r="E58" s="264"/>
      <c r="G58" s="321">
        <f>Data!C57</f>
        <v>0</v>
      </c>
      <c r="H58" s="321">
        <f>Data!D57</f>
        <v>0</v>
      </c>
      <c r="I58" s="321" t="str">
        <f>Data!E57</f>
        <v/>
      </c>
      <c r="J58" s="321" t="str">
        <f>Data!F57</f>
        <v/>
      </c>
      <c r="K58" s="321" t="str">
        <f>Data!G57</f>
        <v/>
      </c>
      <c r="L58" s="321" t="str">
        <f>Data!H57</f>
        <v/>
      </c>
      <c r="M58" s="321" t="str">
        <f>Data!I57</f>
        <v/>
      </c>
      <c r="N58" s="321" t="str">
        <f>Data!J57</f>
        <v/>
      </c>
      <c r="O58" s="321" t="str">
        <f>Data!K57</f>
        <v/>
      </c>
      <c r="P58" s="321" t="str">
        <f>Data!L57</f>
        <v/>
      </c>
      <c r="Q58" s="321" t="str">
        <f>Data!M57</f>
        <v/>
      </c>
    </row>
    <row r="59" spans="1:17" ht="15.75" customHeight="1">
      <c r="A59" s="10"/>
      <c r="B59" s="31" t="s">
        <v>188</v>
      </c>
      <c r="C59" s="322">
        <f>SUM(C56:C58)</f>
        <v>51775</v>
      </c>
      <c r="E59" s="264"/>
      <c r="G59" s="322">
        <f t="shared" ref="G59:Q59" si="20">IF(G4="","",SUM(G56:G58))</f>
        <v>51775</v>
      </c>
      <c r="H59" s="322">
        <f t="shared" si="20"/>
        <v>45863</v>
      </c>
      <c r="I59" s="322" t="str">
        <f t="shared" si="20"/>
        <v/>
      </c>
      <c r="J59" s="322" t="str">
        <f t="shared" si="20"/>
        <v/>
      </c>
      <c r="K59" s="322" t="str">
        <f t="shared" si="20"/>
        <v/>
      </c>
      <c r="L59" s="322" t="str">
        <f t="shared" si="20"/>
        <v/>
      </c>
      <c r="M59" s="322" t="str">
        <f t="shared" si="20"/>
        <v/>
      </c>
      <c r="N59" s="322" t="str">
        <f t="shared" si="20"/>
        <v/>
      </c>
      <c r="O59" s="322" t="str">
        <f t="shared" si="20"/>
        <v/>
      </c>
      <c r="P59" s="322" t="str">
        <f t="shared" si="20"/>
        <v/>
      </c>
      <c r="Q59" s="322" t="str">
        <f t="shared" si="20"/>
        <v/>
      </c>
    </row>
    <row r="60" spans="1:17" ht="15.75" customHeight="1">
      <c r="A60" s="10"/>
      <c r="B60" s="40" t="s">
        <v>155</v>
      </c>
      <c r="C60" s="334">
        <v>0</v>
      </c>
      <c r="E60" s="262" t="s">
        <v>319</v>
      </c>
      <c r="G60" s="321">
        <f>Data!C58</f>
        <v>612704</v>
      </c>
      <c r="H60" s="321">
        <f>Data!D58</f>
        <v>845067</v>
      </c>
      <c r="I60" s="321" t="str">
        <f>Data!E58</f>
        <v/>
      </c>
      <c r="J60" s="321" t="str">
        <f>Data!F58</f>
        <v/>
      </c>
      <c r="K60" s="321" t="str">
        <f>Data!G58</f>
        <v/>
      </c>
      <c r="L60" s="321" t="str">
        <f>Data!H58</f>
        <v/>
      </c>
      <c r="M60" s="321" t="str">
        <f>Data!I58</f>
        <v/>
      </c>
      <c r="N60" s="321" t="str">
        <f>Data!J58</f>
        <v/>
      </c>
      <c r="O60" s="321" t="str">
        <f>Data!K58</f>
        <v/>
      </c>
      <c r="P60" s="321" t="str">
        <f>Data!L58</f>
        <v/>
      </c>
      <c r="Q60" s="321" t="str">
        <f>Data!M58</f>
        <v/>
      </c>
    </row>
    <row r="61" spans="1:17" ht="15.75" customHeight="1">
      <c r="A61" s="10"/>
      <c r="B61" s="31" t="s">
        <v>189</v>
      </c>
      <c r="C61" s="322">
        <f>C59+C60</f>
        <v>51775</v>
      </c>
      <c r="E61" s="264"/>
      <c r="G61" s="322">
        <f t="shared" ref="G61:Q61" si="21">IF(G4="","",G59+G60)</f>
        <v>664479</v>
      </c>
      <c r="H61" s="322">
        <f t="shared" si="21"/>
        <v>890930</v>
      </c>
      <c r="I61" s="322" t="str">
        <f t="shared" si="21"/>
        <v/>
      </c>
      <c r="J61" s="322" t="str">
        <f t="shared" si="21"/>
        <v/>
      </c>
      <c r="K61" s="322" t="str">
        <f t="shared" si="21"/>
        <v/>
      </c>
      <c r="L61" s="322" t="str">
        <f t="shared" si="21"/>
        <v/>
      </c>
      <c r="M61" s="322" t="str">
        <f t="shared" si="21"/>
        <v/>
      </c>
      <c r="N61" s="322" t="str">
        <f t="shared" si="21"/>
        <v/>
      </c>
      <c r="O61" s="322" t="str">
        <f t="shared" si="21"/>
        <v/>
      </c>
      <c r="P61" s="322" t="str">
        <f t="shared" si="21"/>
        <v/>
      </c>
      <c r="Q61" s="322" t="str">
        <f t="shared" si="21"/>
        <v/>
      </c>
    </row>
    <row r="62" spans="1:17" ht="15.75" customHeight="1">
      <c r="A62" s="10"/>
      <c r="E62" s="264"/>
    </row>
    <row r="63" spans="1:17" ht="15.75" customHeight="1">
      <c r="A63" s="10"/>
      <c r="B63" s="96" t="s">
        <v>164</v>
      </c>
      <c r="E63" s="264"/>
      <c r="G63" s="97" t="s">
        <v>213</v>
      </c>
    </row>
    <row r="64" spans="1:17" ht="15.75" customHeight="1">
      <c r="A64" s="10"/>
      <c r="B64" s="40" t="s">
        <v>162</v>
      </c>
      <c r="C64" s="172">
        <f>G64</f>
        <v>0</v>
      </c>
      <c r="E64" s="264"/>
      <c r="G64" s="23">
        <f>IFERROR(G56/BS!$C$67,0)</f>
        <v>0</v>
      </c>
      <c r="H64" s="171"/>
      <c r="I64" s="171"/>
      <c r="J64" s="171"/>
      <c r="K64" s="171"/>
      <c r="L64" s="171"/>
      <c r="M64" s="171"/>
      <c r="N64" s="171"/>
      <c r="O64" s="171"/>
      <c r="P64" s="171"/>
      <c r="Q64" s="171"/>
    </row>
    <row r="65" spans="1:17" ht="15.75" customHeight="1">
      <c r="A65" s="10"/>
      <c r="B65" s="105" t="s">
        <v>152</v>
      </c>
      <c r="C65" s="172">
        <f>G65</f>
        <v>0.28770442156268927</v>
      </c>
      <c r="E65" s="264"/>
      <c r="G65" s="23">
        <f>IFERROR(G57/BS!$C$68,0)</f>
        <v>0.28770442156268927</v>
      </c>
      <c r="H65" s="171"/>
      <c r="I65" s="171"/>
      <c r="J65" s="171"/>
      <c r="K65" s="171"/>
      <c r="L65" s="171"/>
      <c r="M65" s="171"/>
      <c r="N65" s="171"/>
      <c r="O65" s="171"/>
      <c r="P65" s="171"/>
      <c r="Q65" s="171"/>
    </row>
    <row r="66" spans="1:17" ht="15.75" customHeight="1">
      <c r="A66" s="10"/>
      <c r="B66" s="105" t="s">
        <v>153</v>
      </c>
      <c r="C66" s="172">
        <f>G66</f>
        <v>0</v>
      </c>
      <c r="E66" s="264"/>
      <c r="G66" s="23">
        <f>IFERROR(G58/BS!$C$69,0)</f>
        <v>0</v>
      </c>
      <c r="H66" s="171"/>
      <c r="I66" s="171"/>
      <c r="J66" s="171"/>
      <c r="K66" s="171"/>
      <c r="L66" s="171"/>
      <c r="M66" s="171"/>
      <c r="N66" s="171"/>
      <c r="O66" s="171"/>
      <c r="P66" s="171"/>
      <c r="Q66" s="171"/>
    </row>
    <row r="67" spans="1:17" ht="15.75" customHeight="1">
      <c r="A67" s="10"/>
      <c r="B67" s="31" t="s">
        <v>188</v>
      </c>
      <c r="C67" s="71">
        <f>C59/BS!C70</f>
        <v>6.4487987796668098E-3</v>
      </c>
      <c r="D67" s="9"/>
      <c r="E67" s="269"/>
      <c r="F67" s="9"/>
      <c r="G67" s="71">
        <f>G59/BS!C70</f>
        <v>6.4487987796668098E-3</v>
      </c>
      <c r="H67" s="171"/>
      <c r="I67" s="171"/>
      <c r="J67" s="171"/>
      <c r="K67" s="171"/>
      <c r="L67" s="171"/>
      <c r="M67" s="171"/>
      <c r="N67" s="171"/>
      <c r="O67" s="171"/>
      <c r="P67" s="171"/>
      <c r="Q67" s="171"/>
    </row>
    <row r="68" spans="1:17" ht="15.75" customHeight="1">
      <c r="A68" s="10"/>
    </row>
    <row r="69" spans="1:17" ht="15.75" customHeight="1">
      <c r="A69" s="10"/>
      <c r="B69" s="54" t="s">
        <v>206</v>
      </c>
      <c r="C69" s="54"/>
      <c r="D69" s="56"/>
      <c r="E69" s="66" t="s">
        <v>57</v>
      </c>
      <c r="F69" s="56"/>
      <c r="G69" s="37"/>
      <c r="H69" s="37"/>
      <c r="I69" s="37"/>
      <c r="J69" s="37"/>
      <c r="K69" s="37"/>
      <c r="L69" s="37"/>
      <c r="M69" s="37"/>
      <c r="N69" s="37"/>
      <c r="O69" s="37"/>
      <c r="P69" s="37"/>
      <c r="Q69" s="37"/>
    </row>
    <row r="70" spans="1:17" ht="15.75" customHeight="1">
      <c r="A70" s="10"/>
      <c r="B70" s="72" t="s">
        <v>210</v>
      </c>
      <c r="C70" s="62"/>
      <c r="D70" s="27"/>
      <c r="E70" s="261"/>
      <c r="F70" s="27"/>
      <c r="G70" s="97"/>
      <c r="H70" s="12"/>
      <c r="I70" s="12"/>
      <c r="J70" s="12"/>
      <c r="K70" s="12"/>
      <c r="L70" s="12"/>
      <c r="M70" s="12"/>
      <c r="N70" s="12"/>
      <c r="O70" s="12"/>
      <c r="P70" s="12"/>
      <c r="Q70" s="12"/>
    </row>
    <row r="71" spans="1:17" ht="15.75" customHeight="1">
      <c r="A71" s="10"/>
      <c r="B71" s="2" t="s">
        <v>44</v>
      </c>
      <c r="C71" s="77">
        <f>ABS(C5/C$4)</f>
        <v>0.39398348375455328</v>
      </c>
      <c r="D71" s="27"/>
      <c r="E71" s="261"/>
      <c r="F71" s="27"/>
      <c r="G71" s="6">
        <f t="shared" ref="G71:Q71" si="22">IF(G$4="","",ABS(G5/G$4))</f>
        <v>0.37916490886718457</v>
      </c>
      <c r="H71" s="6">
        <f t="shared" si="22"/>
        <v>0.40880205864192198</v>
      </c>
      <c r="I71" s="6" t="str">
        <f t="shared" si="22"/>
        <v/>
      </c>
      <c r="J71" s="6" t="str">
        <f t="shared" si="22"/>
        <v/>
      </c>
      <c r="K71" s="6" t="str">
        <f t="shared" si="22"/>
        <v/>
      </c>
      <c r="L71" s="6" t="str">
        <f t="shared" si="22"/>
        <v/>
      </c>
      <c r="M71" s="6" t="str">
        <f t="shared" si="22"/>
        <v/>
      </c>
      <c r="N71" s="6" t="str">
        <f t="shared" si="22"/>
        <v/>
      </c>
      <c r="O71" s="6" t="str">
        <f t="shared" si="22"/>
        <v/>
      </c>
      <c r="P71" s="6" t="str">
        <f t="shared" si="22"/>
        <v/>
      </c>
      <c r="Q71" s="6" t="str">
        <f t="shared" si="22"/>
        <v/>
      </c>
    </row>
    <row r="72" spans="1:17" ht="15.75" customHeight="1">
      <c r="A72" s="10"/>
      <c r="B72" s="31" t="s">
        <v>46</v>
      </c>
      <c r="C72" s="78">
        <f>ABS(C6/C$4)</f>
        <v>0.60601651624544672</v>
      </c>
      <c r="D72" s="27"/>
      <c r="E72" s="261"/>
      <c r="F72" s="27"/>
      <c r="G72" s="65">
        <f t="shared" ref="G72:Q72" si="23">IF(G$4="","",ABS(G6/G$4))</f>
        <v>0.62083509113281543</v>
      </c>
      <c r="H72" s="65">
        <f t="shared" si="23"/>
        <v>0.59119794135807802</v>
      </c>
      <c r="I72" s="65" t="str">
        <f t="shared" si="23"/>
        <v/>
      </c>
      <c r="J72" s="65" t="str">
        <f t="shared" si="23"/>
        <v/>
      </c>
      <c r="K72" s="65" t="str">
        <f t="shared" si="23"/>
        <v/>
      </c>
      <c r="L72" s="65" t="str">
        <f t="shared" si="23"/>
        <v/>
      </c>
      <c r="M72" s="65" t="str">
        <f t="shared" si="23"/>
        <v/>
      </c>
      <c r="N72" s="65" t="str">
        <f t="shared" si="23"/>
        <v/>
      </c>
      <c r="O72" s="65" t="str">
        <f t="shared" si="23"/>
        <v/>
      </c>
      <c r="P72" s="65" t="str">
        <f t="shared" si="23"/>
        <v/>
      </c>
      <c r="Q72" s="65" t="str">
        <f t="shared" si="23"/>
        <v/>
      </c>
    </row>
    <row r="73" spans="1:17" ht="15.75" customHeight="1">
      <c r="A73" s="10"/>
      <c r="B73" s="8" t="s">
        <v>43</v>
      </c>
      <c r="C73" s="77">
        <f>ABS(C7/C$4)</f>
        <v>0.49127083894072576</v>
      </c>
      <c r="D73" s="27"/>
      <c r="E73" s="261"/>
      <c r="F73" s="27"/>
      <c r="G73" s="6">
        <f t="shared" ref="G73:Q73" si="24">IF(G$4="","",ABS(G7/G$4))</f>
        <v>0.48379434984519942</v>
      </c>
      <c r="H73" s="6">
        <f t="shared" si="24"/>
        <v>0.47129534627697622</v>
      </c>
      <c r="I73" s="6" t="str">
        <f t="shared" si="24"/>
        <v/>
      </c>
      <c r="J73" s="6" t="str">
        <f t="shared" si="24"/>
        <v/>
      </c>
      <c r="K73" s="6" t="str">
        <f t="shared" si="24"/>
        <v/>
      </c>
      <c r="L73" s="6" t="str">
        <f t="shared" si="24"/>
        <v/>
      </c>
      <c r="M73" s="6" t="str">
        <f t="shared" si="24"/>
        <v/>
      </c>
      <c r="N73" s="6" t="str">
        <f t="shared" si="24"/>
        <v/>
      </c>
      <c r="O73" s="6" t="str">
        <f t="shared" si="24"/>
        <v/>
      </c>
      <c r="P73" s="6" t="str">
        <f t="shared" si="24"/>
        <v/>
      </c>
      <c r="Q73" s="6" t="str">
        <f t="shared" si="24"/>
        <v/>
      </c>
    </row>
    <row r="74" spans="1:17" ht="15.75" customHeight="1">
      <c r="A74" s="10"/>
      <c r="B74" s="29" t="s">
        <v>147</v>
      </c>
      <c r="C74" s="78">
        <f>ABS(C8/C$4)</f>
        <v>0.11474567730472093</v>
      </c>
      <c r="D74" s="27"/>
      <c r="E74" s="261"/>
      <c r="F74" s="27"/>
      <c r="G74" s="65">
        <f t="shared" ref="G74:Q74" si="25">IF(G$4="","",ABS(G8/G$4))</f>
        <v>0.13704074128761604</v>
      </c>
      <c r="H74" s="65">
        <f t="shared" si="25"/>
        <v>0.11990259508110178</v>
      </c>
      <c r="I74" s="65" t="str">
        <f t="shared" si="25"/>
        <v/>
      </c>
      <c r="J74" s="65" t="str">
        <f t="shared" si="25"/>
        <v/>
      </c>
      <c r="K74" s="65" t="str">
        <f t="shared" si="25"/>
        <v/>
      </c>
      <c r="L74" s="65" t="str">
        <f t="shared" si="25"/>
        <v/>
      </c>
      <c r="M74" s="65" t="str">
        <f t="shared" si="25"/>
        <v/>
      </c>
      <c r="N74" s="65" t="str">
        <f t="shared" si="25"/>
        <v/>
      </c>
      <c r="O74" s="65" t="str">
        <f t="shared" si="25"/>
        <v/>
      </c>
      <c r="P74" s="65" t="str">
        <f t="shared" si="25"/>
        <v/>
      </c>
      <c r="Q74" s="65" t="str">
        <f t="shared" si="25"/>
        <v/>
      </c>
    </row>
    <row r="75" spans="1:17" ht="15.75" customHeight="1">
      <c r="A75" s="10"/>
      <c r="B75" s="2" t="s">
        <v>63</v>
      </c>
      <c r="C75" s="77">
        <f>ABS(C9/C$4)</f>
        <v>0</v>
      </c>
      <c r="D75" s="27"/>
      <c r="E75" s="261"/>
      <c r="F75" s="27"/>
      <c r="G75" s="6">
        <f t="shared" ref="G75:Q75" si="26">IF(G$4="","",G9/G$4)</f>
        <v>0</v>
      </c>
      <c r="H75" s="6">
        <f t="shared" si="26"/>
        <v>0</v>
      </c>
      <c r="I75" s="6" t="str">
        <f t="shared" si="26"/>
        <v/>
      </c>
      <c r="J75" s="6" t="str">
        <f t="shared" si="26"/>
        <v/>
      </c>
      <c r="K75" s="6" t="str">
        <f t="shared" si="26"/>
        <v/>
      </c>
      <c r="L75" s="6" t="str">
        <f t="shared" si="26"/>
        <v/>
      </c>
      <c r="M75" s="6" t="str">
        <f t="shared" si="26"/>
        <v/>
      </c>
      <c r="N75" s="6" t="str">
        <f t="shared" si="26"/>
        <v/>
      </c>
      <c r="O75" s="6" t="str">
        <f t="shared" si="26"/>
        <v/>
      </c>
      <c r="P75" s="6" t="str">
        <f t="shared" si="26"/>
        <v/>
      </c>
      <c r="Q75" s="6" t="str">
        <f t="shared" si="26"/>
        <v/>
      </c>
    </row>
    <row r="76" spans="1:17" ht="15.75" customHeight="1">
      <c r="A76" s="10"/>
      <c r="B76" s="2" t="s">
        <v>78</v>
      </c>
      <c r="C76" s="88">
        <f>MAX(AVERAGE(G76:J76),C75)</f>
        <v>0</v>
      </c>
      <c r="D76" s="27"/>
      <c r="E76" s="262" t="s">
        <v>336</v>
      </c>
      <c r="F76" s="27"/>
      <c r="G76" s="6">
        <f t="shared" ref="G76:Q76" si="27">IF(G$4="","",-G10/G$4)</f>
        <v>0</v>
      </c>
      <c r="H76" s="6">
        <f t="shared" si="27"/>
        <v>0</v>
      </c>
      <c r="I76" s="6" t="str">
        <f t="shared" si="27"/>
        <v/>
      </c>
      <c r="J76" s="6" t="str">
        <f t="shared" si="27"/>
        <v/>
      </c>
      <c r="K76" s="6" t="str">
        <f t="shared" si="27"/>
        <v/>
      </c>
      <c r="L76" s="6" t="str">
        <f t="shared" si="27"/>
        <v/>
      </c>
      <c r="M76" s="6" t="str">
        <f t="shared" si="27"/>
        <v/>
      </c>
      <c r="N76" s="6" t="str">
        <f t="shared" si="27"/>
        <v/>
      </c>
      <c r="O76" s="6" t="str">
        <f t="shared" si="27"/>
        <v/>
      </c>
      <c r="P76" s="6" t="str">
        <f t="shared" si="27"/>
        <v/>
      </c>
      <c r="Q76" s="6" t="str">
        <f t="shared" si="27"/>
        <v/>
      </c>
    </row>
    <row r="77" spans="1:17" ht="15.75" customHeight="1">
      <c r="A77" s="10"/>
      <c r="B77" s="31" t="s">
        <v>148</v>
      </c>
      <c r="C77" s="78">
        <f>ABS(C11/C$4)</f>
        <v>1.2296926296878914E-3</v>
      </c>
      <c r="D77" s="27"/>
      <c r="E77" s="261"/>
      <c r="F77" s="27"/>
      <c r="G77" s="65">
        <f t="shared" ref="G77:Q77" si="28">IF(G$4="","",G11/G$4)</f>
        <v>1.2109783425616003E-3</v>
      </c>
      <c r="H77" s="65">
        <f t="shared" si="28"/>
        <v>1.1063762569913532E-3</v>
      </c>
      <c r="I77" s="65" t="str">
        <f t="shared" si="28"/>
        <v/>
      </c>
      <c r="J77" s="65" t="str">
        <f t="shared" si="28"/>
        <v/>
      </c>
      <c r="K77" s="65" t="str">
        <f t="shared" si="28"/>
        <v/>
      </c>
      <c r="L77" s="65" t="str">
        <f t="shared" si="28"/>
        <v/>
      </c>
      <c r="M77" s="65" t="str">
        <f t="shared" si="28"/>
        <v/>
      </c>
      <c r="N77" s="65" t="str">
        <f t="shared" si="28"/>
        <v/>
      </c>
      <c r="O77" s="65" t="str">
        <f t="shared" si="28"/>
        <v/>
      </c>
      <c r="P77" s="65" t="str">
        <f t="shared" si="28"/>
        <v/>
      </c>
      <c r="Q77" s="65" t="str">
        <f t="shared" si="28"/>
        <v/>
      </c>
    </row>
    <row r="78" spans="1:17" ht="15.75" customHeight="1">
      <c r="A78" s="10"/>
      <c r="B78" s="2" t="s">
        <v>66</v>
      </c>
      <c r="C78" s="77">
        <f>ABS(C12/C$4)</f>
        <v>2.1870805442452661E-3</v>
      </c>
      <c r="D78" s="27"/>
      <c r="E78" s="261"/>
      <c r="F78" s="27"/>
      <c r="G78" s="6">
        <f t="shared" ref="G78:Q78" si="29">IF(G$4="","",ABS(G12/G$4))</f>
        <v>2.8800892802312711E-3</v>
      </c>
      <c r="H78" s="6">
        <f t="shared" si="29"/>
        <v>5.3570009538187755E-3</v>
      </c>
      <c r="I78" s="6" t="str">
        <f t="shared" si="29"/>
        <v/>
      </c>
      <c r="J78" s="6" t="str">
        <f t="shared" si="29"/>
        <v/>
      </c>
      <c r="K78" s="6" t="str">
        <f t="shared" si="29"/>
        <v/>
      </c>
      <c r="L78" s="6" t="str">
        <f t="shared" si="29"/>
        <v/>
      </c>
      <c r="M78" s="6" t="str">
        <f t="shared" si="29"/>
        <v/>
      </c>
      <c r="N78" s="6" t="str">
        <f t="shared" si="29"/>
        <v/>
      </c>
      <c r="O78" s="6" t="str">
        <f t="shared" si="29"/>
        <v/>
      </c>
      <c r="P78" s="6" t="str">
        <f t="shared" si="29"/>
        <v/>
      </c>
      <c r="Q78" s="6" t="str">
        <f t="shared" si="29"/>
        <v/>
      </c>
    </row>
    <row r="79" spans="1:17" ht="15.75" customHeight="1">
      <c r="A79" s="10"/>
      <c r="B79" s="70" t="s">
        <v>159</v>
      </c>
      <c r="C79" s="78">
        <f>C13/C4</f>
        <v>0.11378828939016356</v>
      </c>
      <c r="D79" s="27"/>
      <c r="E79" s="261"/>
      <c r="F79" s="27"/>
      <c r="G79" s="65">
        <f t="shared" ref="G79:Q79" si="30">IF(G$4="","",G13/G$4)</f>
        <v>0.13537163034994637</v>
      </c>
      <c r="H79" s="65">
        <f t="shared" si="30"/>
        <v>0.11565197038427436</v>
      </c>
      <c r="I79" s="65" t="str">
        <f t="shared" si="30"/>
        <v/>
      </c>
      <c r="J79" s="65" t="str">
        <f t="shared" si="30"/>
        <v/>
      </c>
      <c r="K79" s="65" t="str">
        <f t="shared" si="30"/>
        <v/>
      </c>
      <c r="L79" s="65" t="str">
        <f t="shared" si="30"/>
        <v/>
      </c>
      <c r="M79" s="65" t="str">
        <f t="shared" si="30"/>
        <v/>
      </c>
      <c r="N79" s="65" t="str">
        <f t="shared" si="30"/>
        <v/>
      </c>
      <c r="O79" s="65" t="str">
        <f t="shared" si="30"/>
        <v/>
      </c>
      <c r="P79" s="65" t="str">
        <f t="shared" si="30"/>
        <v/>
      </c>
      <c r="Q79" s="65" t="str">
        <f t="shared" si="30"/>
        <v/>
      </c>
    </row>
    <row r="80" spans="1:17" ht="15.75" customHeight="1">
      <c r="A80" s="10"/>
      <c r="B80" s="2" t="s">
        <v>61</v>
      </c>
      <c r="C80" s="77">
        <f>ABS(C14/C$4)</f>
        <v>2.8447072347540889E-2</v>
      </c>
      <c r="D80" s="27"/>
      <c r="E80" s="261"/>
      <c r="F80" s="27"/>
      <c r="G80" s="6">
        <f t="shared" ref="G80:Q80" si="31">IF(G$4="","",ABS(G14/G$4))</f>
        <v>4.4995698366356883E-2</v>
      </c>
      <c r="H80" s="6">
        <f t="shared" si="31"/>
        <v>3.2269359763172807E-2</v>
      </c>
      <c r="I80" s="6" t="str">
        <f t="shared" si="31"/>
        <v/>
      </c>
      <c r="J80" s="6" t="str">
        <f t="shared" si="31"/>
        <v/>
      </c>
      <c r="K80" s="6" t="str">
        <f t="shared" si="31"/>
        <v/>
      </c>
      <c r="L80" s="6" t="str">
        <f t="shared" si="31"/>
        <v/>
      </c>
      <c r="M80" s="6" t="str">
        <f t="shared" si="31"/>
        <v/>
      </c>
      <c r="N80" s="6" t="str">
        <f t="shared" si="31"/>
        <v/>
      </c>
      <c r="O80" s="6" t="str">
        <f t="shared" si="31"/>
        <v/>
      </c>
      <c r="P80" s="6" t="str">
        <f t="shared" si="31"/>
        <v/>
      </c>
      <c r="Q80" s="6" t="str">
        <f t="shared" si="31"/>
        <v/>
      </c>
    </row>
    <row r="81" spans="1:17" ht="15.75" customHeight="1">
      <c r="A81" s="10"/>
      <c r="B81" s="40" t="str">
        <f>B15</f>
        <v>NCI’s Share of Profits</v>
      </c>
      <c r="C81" s="260">
        <f>MIN(BS!C62,MAX(G81:K81))</f>
        <v>0</v>
      </c>
      <c r="D81" s="27"/>
      <c r="E81" s="261"/>
      <c r="F81" s="27"/>
      <c r="G81" s="6">
        <f t="shared" ref="G81:Q81" si="32">IF(G$4="","",-G15/G$4)</f>
        <v>1.8257647401324678E-4</v>
      </c>
      <c r="H81" s="6">
        <f t="shared" si="32"/>
        <v>8.8798617665333091E-5</v>
      </c>
      <c r="I81" s="6" t="str">
        <f t="shared" si="32"/>
        <v/>
      </c>
      <c r="J81" s="6" t="str">
        <f t="shared" si="32"/>
        <v/>
      </c>
      <c r="K81" s="6" t="str">
        <f t="shared" si="32"/>
        <v/>
      </c>
      <c r="L81" s="6" t="str">
        <f t="shared" si="32"/>
        <v/>
      </c>
      <c r="M81" s="6" t="str">
        <f t="shared" si="32"/>
        <v/>
      </c>
      <c r="N81" s="6" t="str">
        <f t="shared" si="32"/>
        <v/>
      </c>
      <c r="O81" s="6" t="str">
        <f t="shared" si="32"/>
        <v/>
      </c>
      <c r="P81" s="6" t="str">
        <f t="shared" si="32"/>
        <v/>
      </c>
      <c r="Q81" s="6" t="str">
        <f t="shared" si="32"/>
        <v/>
      </c>
    </row>
    <row r="82" spans="1:17" ht="15.75" customHeight="1">
      <c r="A82" s="10"/>
      <c r="B82" s="41" t="s">
        <v>149</v>
      </c>
      <c r="C82" s="78">
        <f>ABS(C16/C$4)</f>
        <v>8.5341217042622652E-2</v>
      </c>
      <c r="D82" s="27"/>
      <c r="E82" s="261"/>
      <c r="F82" s="27"/>
      <c r="G82" s="65">
        <f t="shared" ref="G82:Q82" si="33">IF(G$4="","",ABS(G16/G$4))</f>
        <v>9.0193355509576231E-2</v>
      </c>
      <c r="H82" s="65">
        <f t="shared" si="33"/>
        <v>8.3293812003436218E-2</v>
      </c>
      <c r="I82" s="65" t="str">
        <f t="shared" si="33"/>
        <v/>
      </c>
      <c r="J82" s="65" t="str">
        <f t="shared" si="33"/>
        <v/>
      </c>
      <c r="K82" s="65" t="str">
        <f t="shared" si="33"/>
        <v/>
      </c>
      <c r="L82" s="65" t="str">
        <f t="shared" si="33"/>
        <v/>
      </c>
      <c r="M82" s="65" t="str">
        <f t="shared" si="33"/>
        <v/>
      </c>
      <c r="N82" s="65" t="str">
        <f t="shared" si="33"/>
        <v/>
      </c>
      <c r="O82" s="65" t="str">
        <f t="shared" si="33"/>
        <v/>
      </c>
      <c r="P82" s="65" t="str">
        <f t="shared" si="33"/>
        <v/>
      </c>
      <c r="Q82" s="65" t="str">
        <f t="shared" si="33"/>
        <v/>
      </c>
    </row>
    <row r="83" spans="1:17" ht="15.75" customHeight="1">
      <c r="A83" s="10"/>
      <c r="B83" s="27" t="s">
        <v>50</v>
      </c>
      <c r="C83" s="260">
        <v>0</v>
      </c>
      <c r="D83" s="27"/>
      <c r="E83" s="263" t="str">
        <f>E17</f>
        <v>WCInv is by default excluded</v>
      </c>
      <c r="F83" s="27"/>
      <c r="G83" s="222"/>
      <c r="H83" s="222"/>
      <c r="I83" s="222"/>
      <c r="J83" s="222"/>
      <c r="K83" s="222"/>
      <c r="L83" s="222"/>
      <c r="M83" s="222"/>
      <c r="N83" s="222"/>
      <c r="O83" s="222"/>
      <c r="P83" s="222"/>
      <c r="Q83" s="222"/>
    </row>
    <row r="84" spans="1:17" ht="15.75" customHeight="1">
      <c r="A84" s="10"/>
      <c r="B84" s="8" t="s">
        <v>95</v>
      </c>
      <c r="C84" s="77">
        <v>0</v>
      </c>
      <c r="E84" s="263" t="str">
        <f>E18</f>
        <v>Net borrowing is excluded</v>
      </c>
      <c r="G84" s="165"/>
      <c r="H84" s="165"/>
      <c r="I84" s="165"/>
      <c r="J84" s="165"/>
      <c r="K84" s="165"/>
      <c r="L84" s="165"/>
      <c r="M84" s="165"/>
      <c r="N84" s="165"/>
      <c r="O84" s="165"/>
      <c r="P84" s="165"/>
      <c r="Q84" s="165"/>
    </row>
    <row r="85" spans="1:17" ht="15.75" customHeight="1">
      <c r="A85" s="10"/>
      <c r="B85" s="31" t="s">
        <v>135</v>
      </c>
      <c r="C85" s="78">
        <f>ABS(C19/C$4)</f>
        <v>8.5341217042622652E-2</v>
      </c>
      <c r="D85" s="75"/>
      <c r="E85" s="261"/>
      <c r="F85" s="75"/>
      <c r="G85" s="65">
        <f t="shared" ref="G85:Q85" si="34">IF(G$4="","",ABS(G19/G$4))</f>
        <v>9.0193355509576231E-2</v>
      </c>
      <c r="H85" s="65">
        <f t="shared" si="34"/>
        <v>8.3293812003436218E-2</v>
      </c>
      <c r="I85" s="65" t="str">
        <f t="shared" si="34"/>
        <v/>
      </c>
      <c r="J85" s="65" t="str">
        <f t="shared" si="34"/>
        <v/>
      </c>
      <c r="K85" s="65" t="str">
        <f t="shared" si="34"/>
        <v/>
      </c>
      <c r="L85" s="65" t="str">
        <f t="shared" si="34"/>
        <v/>
      </c>
      <c r="M85" s="65" t="str">
        <f t="shared" si="34"/>
        <v/>
      </c>
      <c r="N85" s="65" t="str">
        <f t="shared" si="34"/>
        <v/>
      </c>
      <c r="O85" s="65" t="str">
        <f t="shared" si="34"/>
        <v/>
      </c>
      <c r="P85" s="65" t="str">
        <f t="shared" si="34"/>
        <v/>
      </c>
      <c r="Q85" s="65" t="str">
        <f t="shared" si="34"/>
        <v/>
      </c>
    </row>
    <row r="86" spans="1:17" ht="15.75" customHeight="1">
      <c r="A86" s="10"/>
      <c r="E86" s="264"/>
    </row>
    <row r="87" spans="1:17" ht="15.75" customHeight="1">
      <c r="A87" s="10"/>
      <c r="B87" s="64" t="s">
        <v>208</v>
      </c>
      <c r="E87" s="264"/>
    </row>
    <row r="88" spans="1:17" ht="15.75" customHeight="1">
      <c r="A88" s="10"/>
      <c r="B88" s="2" t="str">
        <f>"Dividend per share ("&amp;Market_currency&amp;")"</f>
        <v>Dividend per share (HKD)</v>
      </c>
      <c r="C88" s="113">
        <f>G88</f>
        <v>0</v>
      </c>
      <c r="E88" s="264"/>
      <c r="G88" s="112">
        <f>Data!C65</f>
        <v>0</v>
      </c>
      <c r="H88" s="112">
        <f>Data!D65</f>
        <v>0</v>
      </c>
      <c r="I88" s="112" t="str">
        <f>Data!E65</f>
        <v/>
      </c>
      <c r="J88" s="112" t="str">
        <f>Data!F65</f>
        <v/>
      </c>
      <c r="K88" s="112" t="str">
        <f>Data!G65</f>
        <v/>
      </c>
      <c r="L88" s="112" t="str">
        <f>Data!H65</f>
        <v/>
      </c>
      <c r="M88" s="112" t="str">
        <f>Data!I65</f>
        <v/>
      </c>
      <c r="N88" s="112" t="str">
        <f>Data!J65</f>
        <v/>
      </c>
      <c r="O88" s="112" t="str">
        <f>Data!K65</f>
        <v/>
      </c>
      <c r="P88" s="112" t="str">
        <f>Data!L65</f>
        <v/>
      </c>
      <c r="Q88" s="112" t="str">
        <f>Data!M65</f>
        <v/>
      </c>
    </row>
    <row r="89" spans="1:17" ht="15.75" customHeight="1">
      <c r="A89" s="10"/>
      <c r="B89" s="2" t="str">
        <f>"Dividend ("&amp;Market_currency&amp;")"</f>
        <v>Dividend (HKD)</v>
      </c>
      <c r="C89" s="74">
        <f>C88*Common_Shares/scaling_factor</f>
        <v>0</v>
      </c>
      <c r="E89" s="264"/>
      <c r="G89" s="74">
        <f t="shared" ref="G89:Q89" si="35">IF(G$4="","",G88*Common_Shares/scaling_factor)</f>
        <v>0</v>
      </c>
      <c r="H89" s="74">
        <f t="shared" si="35"/>
        <v>0</v>
      </c>
      <c r="I89" s="74" t="str">
        <f t="shared" si="35"/>
        <v/>
      </c>
      <c r="J89" s="74" t="str">
        <f t="shared" si="35"/>
        <v/>
      </c>
      <c r="K89" s="74" t="str">
        <f t="shared" si="35"/>
        <v/>
      </c>
      <c r="L89" s="74" t="str">
        <f t="shared" si="35"/>
        <v/>
      </c>
      <c r="M89" s="74" t="str">
        <f t="shared" si="35"/>
        <v/>
      </c>
      <c r="N89" s="74" t="str">
        <f t="shared" si="35"/>
        <v/>
      </c>
      <c r="O89" s="74" t="str">
        <f t="shared" si="35"/>
        <v/>
      </c>
      <c r="P89" s="74" t="str">
        <f t="shared" si="35"/>
        <v/>
      </c>
      <c r="Q89" s="74" t="str">
        <f t="shared" si="35"/>
        <v/>
      </c>
    </row>
    <row r="90" spans="1:17" ht="15.75" customHeight="1">
      <c r="A90" s="10"/>
      <c r="B90" s="2" t="s">
        <v>207</v>
      </c>
      <c r="C90" s="23">
        <f>C88/(C19*scaling_factor/Common_Shares)</f>
        <v>0</v>
      </c>
      <c r="E90" s="264"/>
      <c r="G90" s="166">
        <f t="shared" ref="G90:Q90" si="36">IF(G$4="","",G88/(G19*scaling_factor/Common_Shares))</f>
        <v>0</v>
      </c>
      <c r="H90" s="166">
        <f t="shared" si="36"/>
        <v>0</v>
      </c>
      <c r="I90" s="166" t="str">
        <f t="shared" si="36"/>
        <v/>
      </c>
      <c r="J90" s="166" t="str">
        <f t="shared" si="36"/>
        <v/>
      </c>
      <c r="K90" s="166" t="str">
        <f t="shared" si="36"/>
        <v/>
      </c>
      <c r="L90" s="166" t="str">
        <f t="shared" si="36"/>
        <v/>
      </c>
      <c r="M90" s="166" t="str">
        <f t="shared" si="36"/>
        <v/>
      </c>
      <c r="N90" s="166" t="str">
        <f t="shared" si="36"/>
        <v/>
      </c>
      <c r="O90" s="166" t="str">
        <f t="shared" si="36"/>
        <v/>
      </c>
      <c r="P90" s="166" t="str">
        <f t="shared" si="36"/>
        <v/>
      </c>
      <c r="Q90" s="166" t="str">
        <f t="shared" si="36"/>
        <v/>
      </c>
    </row>
    <row r="91" spans="1:17" ht="15.75" customHeight="1">
      <c r="A91" s="10"/>
      <c r="B91" s="2" t="s">
        <v>417</v>
      </c>
      <c r="C91" s="347">
        <v>0</v>
      </c>
      <c r="E91" s="264"/>
      <c r="G91" s="348"/>
      <c r="H91" s="348"/>
      <c r="I91" s="348"/>
      <c r="J91" s="348"/>
      <c r="K91" s="348"/>
      <c r="L91" s="348"/>
      <c r="M91" s="348"/>
      <c r="N91" s="348"/>
      <c r="O91" s="348"/>
      <c r="P91" s="348"/>
      <c r="Q91" s="348"/>
    </row>
    <row r="92" spans="1:17" ht="15.75" customHeight="1">
      <c r="A92" s="10"/>
      <c r="B92" s="2" t="s">
        <v>416</v>
      </c>
      <c r="C92" s="23">
        <f>(C88*(1-dividend_tax_rate))/Market_Price</f>
        <v>0</v>
      </c>
      <c r="E92" s="264"/>
      <c r="G92" s="23">
        <f t="shared" ref="G92:Q92" si="37">IF(G$4="","",(G88*(1-dividend_tax_rate))/Market_Price)</f>
        <v>0</v>
      </c>
      <c r="H92" s="23">
        <f t="shared" si="37"/>
        <v>0</v>
      </c>
      <c r="I92" s="23" t="str">
        <f t="shared" si="37"/>
        <v/>
      </c>
      <c r="J92" s="23" t="str">
        <f t="shared" si="37"/>
        <v/>
      </c>
      <c r="K92" s="23" t="str">
        <f t="shared" si="37"/>
        <v/>
      </c>
      <c r="L92" s="23" t="str">
        <f t="shared" si="37"/>
        <v/>
      </c>
      <c r="M92" s="23" t="str">
        <f t="shared" si="37"/>
        <v/>
      </c>
      <c r="N92" s="23" t="str">
        <f t="shared" si="37"/>
        <v/>
      </c>
      <c r="O92" s="23" t="str">
        <f t="shared" si="37"/>
        <v/>
      </c>
      <c r="P92" s="23" t="str">
        <f t="shared" si="37"/>
        <v/>
      </c>
      <c r="Q92" s="23" t="str">
        <f t="shared" si="37"/>
        <v/>
      </c>
    </row>
    <row r="93" spans="1:17" ht="15.75" customHeight="1">
      <c r="A93" s="10"/>
      <c r="E93" s="264"/>
    </row>
    <row r="94" spans="1:17" ht="15.75" customHeight="1">
      <c r="A94" s="10"/>
      <c r="B94" s="154" t="s">
        <v>82</v>
      </c>
      <c r="C94" s="62"/>
      <c r="D94" s="27"/>
      <c r="E94" s="261"/>
      <c r="F94" s="27"/>
      <c r="G94" s="12"/>
      <c r="H94" s="12"/>
      <c r="I94" s="12"/>
      <c r="J94" s="12"/>
      <c r="K94" s="12"/>
      <c r="L94" s="12"/>
      <c r="M94" s="12"/>
      <c r="N94" s="12"/>
      <c r="O94" s="12"/>
      <c r="P94" s="12"/>
      <c r="Q94" s="12"/>
    </row>
    <row r="95" spans="1:17" ht="15.75" customHeight="1">
      <c r="A95" s="10"/>
      <c r="B95" s="27" t="s">
        <v>139</v>
      </c>
      <c r="C95" s="77">
        <f>C4/G4-1</f>
        <v>-1.5218670645396171E-2</v>
      </c>
      <c r="D95" s="27"/>
      <c r="E95" s="261"/>
      <c r="F95" s="27"/>
      <c r="G95" s="6">
        <f t="shared" ref="G95:Q95" si="38">IF(H4="","",G4/H4-1)</f>
        <v>3.1392856374351297E-2</v>
      </c>
      <c r="H95" s="6" t="str">
        <f t="shared" si="38"/>
        <v/>
      </c>
      <c r="I95" s="6" t="str">
        <f t="shared" si="38"/>
        <v/>
      </c>
      <c r="J95" s="6" t="str">
        <f t="shared" si="38"/>
        <v/>
      </c>
      <c r="K95" s="6" t="str">
        <f t="shared" si="38"/>
        <v/>
      </c>
      <c r="L95" s="6" t="str">
        <f t="shared" si="38"/>
        <v/>
      </c>
      <c r="M95" s="6" t="str">
        <f t="shared" si="38"/>
        <v/>
      </c>
      <c r="N95" s="6" t="str">
        <f t="shared" si="38"/>
        <v/>
      </c>
      <c r="O95" s="6" t="str">
        <f t="shared" si="38"/>
        <v/>
      </c>
      <c r="P95" s="6" t="str">
        <f t="shared" si="38"/>
        <v/>
      </c>
      <c r="Q95" s="6" t="str">
        <f t="shared" si="38"/>
        <v/>
      </c>
    </row>
    <row r="96" spans="1:17" ht="15.75" customHeight="1">
      <c r="A96" s="10"/>
      <c r="B96" s="70" t="s">
        <v>159</v>
      </c>
      <c r="C96" s="77">
        <f>C13/G13-1</f>
        <v>-0.17222993768371919</v>
      </c>
      <c r="D96" s="27"/>
      <c r="E96" s="261"/>
      <c r="F96" s="27"/>
      <c r="G96" s="6">
        <f t="shared" ref="G96:Q96" si="39">IF(H5="","",G13/H13-1)</f>
        <v>0.20725424767746836</v>
      </c>
      <c r="H96" s="6" t="str">
        <f t="shared" si="39"/>
        <v/>
      </c>
      <c r="I96" s="6" t="str">
        <f t="shared" si="39"/>
        <v/>
      </c>
      <c r="J96" s="6" t="str">
        <f t="shared" si="39"/>
        <v/>
      </c>
      <c r="K96" s="6" t="str">
        <f t="shared" si="39"/>
        <v/>
      </c>
      <c r="L96" s="6" t="str">
        <f t="shared" si="39"/>
        <v/>
      </c>
      <c r="M96" s="6" t="str">
        <f t="shared" si="39"/>
        <v/>
      </c>
      <c r="N96" s="6" t="str">
        <f t="shared" si="39"/>
        <v/>
      </c>
      <c r="O96" s="6" t="str">
        <f t="shared" si="39"/>
        <v/>
      </c>
      <c r="P96" s="6" t="str">
        <f t="shared" si="39"/>
        <v/>
      </c>
      <c r="Q96" s="6" t="str">
        <f t="shared" si="39"/>
        <v/>
      </c>
    </row>
    <row r="97" spans="1:17" ht="15.75" customHeight="1">
      <c r="A97" s="10"/>
    </row>
    <row r="98" spans="1:17" ht="15.75" customHeight="1">
      <c r="A98" s="3"/>
      <c r="B98" s="54" t="s">
        <v>209</v>
      </c>
      <c r="C98" s="54"/>
      <c r="D98" s="56"/>
      <c r="E98" s="66" t="s">
        <v>57</v>
      </c>
      <c r="F98" s="56"/>
      <c r="G98" s="37"/>
      <c r="H98" s="37"/>
      <c r="I98" s="37"/>
      <c r="J98" s="37"/>
      <c r="K98" s="37"/>
      <c r="L98" s="37"/>
      <c r="M98" s="37"/>
      <c r="N98" s="37"/>
      <c r="O98" s="37"/>
      <c r="P98" s="37"/>
      <c r="Q98" s="37"/>
    </row>
    <row r="99" spans="1:17" ht="15.75" customHeight="1">
      <c r="A99" s="10"/>
      <c r="B99" s="64" t="s">
        <v>26</v>
      </c>
      <c r="E99" s="264"/>
      <c r="G99" s="97" t="s">
        <v>213</v>
      </c>
    </row>
    <row r="100" spans="1:17" ht="15.75" customHeight="1">
      <c r="A100" s="10"/>
      <c r="B100" s="26" t="s">
        <v>1</v>
      </c>
      <c r="C100" s="335">
        <f>BS!G32</f>
        <v>22781257</v>
      </c>
      <c r="D100" s="26"/>
      <c r="E100" s="265"/>
      <c r="F100" s="26"/>
      <c r="G100" s="325">
        <f t="shared" ref="G100:Q100" si="40">IF(G$4="","",G104+G103)</f>
        <v>22781257</v>
      </c>
      <c r="H100" s="325">
        <f t="shared" si="40"/>
        <v>24676998</v>
      </c>
      <c r="I100" s="325" t="str">
        <f t="shared" si="40"/>
        <v/>
      </c>
      <c r="J100" s="325" t="str">
        <f t="shared" si="40"/>
        <v/>
      </c>
      <c r="K100" s="325" t="str">
        <f t="shared" si="40"/>
        <v/>
      </c>
      <c r="L100" s="325" t="str">
        <f t="shared" si="40"/>
        <v/>
      </c>
      <c r="M100" s="325" t="str">
        <f t="shared" si="40"/>
        <v/>
      </c>
      <c r="N100" s="325" t="str">
        <f t="shared" si="40"/>
        <v/>
      </c>
      <c r="O100" s="325" t="str">
        <f t="shared" si="40"/>
        <v/>
      </c>
      <c r="P100" s="325" t="str">
        <f t="shared" si="40"/>
        <v/>
      </c>
      <c r="Q100" s="325" t="str">
        <f t="shared" si="40"/>
        <v/>
      </c>
    </row>
    <row r="101" spans="1:17" ht="15.75" customHeight="1">
      <c r="A101" s="10"/>
      <c r="B101" s="93" t="s">
        <v>204</v>
      </c>
      <c r="C101" s="336">
        <f>BS!C4</f>
        <v>1791826</v>
      </c>
      <c r="D101" s="89"/>
      <c r="E101" s="266"/>
      <c r="F101" s="89"/>
      <c r="G101" s="337">
        <f>IF(G$4="","",Data!D77)</f>
        <v>411995</v>
      </c>
      <c r="H101" s="337" t="str">
        <f>IF(H$4="","",Data!E77)</f>
        <v/>
      </c>
      <c r="I101" s="337" t="str">
        <f>IF(I$4="","",Data!F77)</f>
        <v/>
      </c>
      <c r="J101" s="337" t="str">
        <f>IF(J$4="","",Data!G77)</f>
        <v/>
      </c>
      <c r="K101" s="337" t="str">
        <f>IF(K$4="","",Data!H77)</f>
        <v/>
      </c>
      <c r="L101" s="337" t="str">
        <f>IF(L$4="","",Data!I77)</f>
        <v/>
      </c>
      <c r="M101" s="337" t="str">
        <f>IF(M$4="","",Data!J77)</f>
        <v/>
      </c>
      <c r="N101" s="337" t="str">
        <f>IF(N$4="","",Data!K77)</f>
        <v/>
      </c>
      <c r="O101" s="337" t="str">
        <f>IF(O$4="","",Data!L77)</f>
        <v/>
      </c>
      <c r="P101" s="337" t="str">
        <f>IF(P$4="","",Data!M77)</f>
        <v/>
      </c>
      <c r="Q101" s="337" t="str">
        <f>IF(Q$4="","",Data!N77)</f>
        <v/>
      </c>
    </row>
    <row r="102" spans="1:17" ht="15.75" customHeight="1">
      <c r="A102" s="10"/>
      <c r="B102" s="93" t="s">
        <v>205</v>
      </c>
      <c r="C102" s="336">
        <f>BS!C6+BS!C7</f>
        <v>1060641</v>
      </c>
      <c r="D102" s="89"/>
      <c r="E102" s="266"/>
      <c r="F102" s="89"/>
      <c r="G102" s="337">
        <f>IF(G$4="","",Data!D78)</f>
        <v>1074627</v>
      </c>
      <c r="H102" s="337" t="str">
        <f>IF(H$4="","",Data!E78)</f>
        <v/>
      </c>
      <c r="I102" s="337" t="str">
        <f>IF(I$4="","",Data!F78)</f>
        <v/>
      </c>
      <c r="J102" s="337" t="str">
        <f>IF(J$4="","",Data!G78)</f>
        <v/>
      </c>
      <c r="K102" s="337" t="str">
        <f>IF(K$4="","",Data!H78)</f>
        <v/>
      </c>
      <c r="L102" s="337" t="str">
        <f>IF(L$4="","",Data!I78)</f>
        <v/>
      </c>
      <c r="M102" s="337" t="str">
        <f>IF(M$4="","",Data!J78)</f>
        <v/>
      </c>
      <c r="N102" s="337" t="str">
        <f>IF(N$4="","",Data!K78)</f>
        <v/>
      </c>
      <c r="O102" s="337" t="str">
        <f>IF(O$4="","",Data!L78)</f>
        <v/>
      </c>
      <c r="P102" s="337" t="str">
        <f>IF(P$4="","",Data!M78)</f>
        <v/>
      </c>
      <c r="Q102" s="337" t="str">
        <f>IF(Q$4="","",Data!N78)</f>
        <v/>
      </c>
    </row>
    <row r="103" spans="1:17" ht="15.75" customHeight="1">
      <c r="A103" s="10"/>
      <c r="B103" s="26" t="s">
        <v>38</v>
      </c>
      <c r="C103" s="335">
        <f>BS!G30</f>
        <v>12363761</v>
      </c>
      <c r="D103" s="26"/>
      <c r="E103" s="265"/>
      <c r="F103" s="26"/>
      <c r="G103" s="325">
        <f>Data!C79</f>
        <v>12363761</v>
      </c>
      <c r="H103" s="325">
        <f>Data!D79</f>
        <v>13160058</v>
      </c>
      <c r="I103" s="325" t="str">
        <f>Data!E79</f>
        <v/>
      </c>
      <c r="J103" s="325" t="str">
        <f>Data!F79</f>
        <v/>
      </c>
      <c r="K103" s="325" t="str">
        <f>Data!G79</f>
        <v/>
      </c>
      <c r="L103" s="325" t="str">
        <f>Data!H79</f>
        <v/>
      </c>
      <c r="M103" s="325" t="str">
        <f>Data!I79</f>
        <v/>
      </c>
      <c r="N103" s="325" t="str">
        <f>Data!J79</f>
        <v/>
      </c>
      <c r="O103" s="325" t="str">
        <f>Data!K79</f>
        <v/>
      </c>
      <c r="P103" s="325" t="str">
        <f>Data!L79</f>
        <v/>
      </c>
      <c r="Q103" s="325" t="str">
        <f>Data!M79</f>
        <v/>
      </c>
    </row>
    <row r="104" spans="1:17" ht="15.75" customHeight="1">
      <c r="A104" s="10"/>
      <c r="B104" s="26" t="s">
        <v>28</v>
      </c>
      <c r="C104" s="335">
        <f>BS!G27</f>
        <v>10417496</v>
      </c>
      <c r="D104" s="26"/>
      <c r="E104" s="265"/>
      <c r="F104" s="26"/>
      <c r="G104" s="325">
        <f>Data!C80</f>
        <v>10417496</v>
      </c>
      <c r="H104" s="325">
        <f>Data!D80</f>
        <v>11516940</v>
      </c>
      <c r="I104" s="325" t="str">
        <f>Data!E80</f>
        <v/>
      </c>
      <c r="J104" s="325" t="str">
        <f>Data!F80</f>
        <v/>
      </c>
      <c r="K104" s="325" t="str">
        <f>Data!G80</f>
        <v/>
      </c>
      <c r="L104" s="325" t="str">
        <f>Data!H80</f>
        <v/>
      </c>
      <c r="M104" s="325" t="str">
        <f>Data!I80</f>
        <v/>
      </c>
      <c r="N104" s="325" t="str">
        <f>Data!J80</f>
        <v/>
      </c>
      <c r="O104" s="325" t="str">
        <f>Data!K80</f>
        <v/>
      </c>
      <c r="P104" s="325" t="str">
        <f>Data!L80</f>
        <v/>
      </c>
      <c r="Q104" s="325" t="str">
        <f>Data!M80</f>
        <v/>
      </c>
    </row>
    <row r="105" spans="1:17" ht="15.75" customHeight="1">
      <c r="A105" s="10"/>
      <c r="E105" s="264"/>
    </row>
    <row r="106" spans="1:17" ht="15.75" customHeight="1">
      <c r="A106" s="10"/>
      <c r="B106" s="91" t="s">
        <v>214</v>
      </c>
      <c r="C106" s="26"/>
      <c r="D106" s="26"/>
      <c r="E106" s="265"/>
      <c r="F106" s="26"/>
      <c r="G106" s="97" t="s">
        <v>213</v>
      </c>
      <c r="H106" s="12"/>
      <c r="I106" s="12"/>
      <c r="J106" s="12"/>
      <c r="K106" s="12"/>
      <c r="L106" s="12"/>
      <c r="M106" s="12"/>
      <c r="N106" s="12"/>
      <c r="O106" s="12"/>
      <c r="P106" s="12"/>
      <c r="Q106" s="12"/>
    </row>
    <row r="107" spans="1:17" ht="15.75" customHeight="1">
      <c r="A107" s="10"/>
      <c r="B107" s="26" t="s">
        <v>211</v>
      </c>
      <c r="C107" s="94">
        <f>C101/C$4</f>
        <v>4.2557126525990065E-2</v>
      </c>
      <c r="D107" s="26"/>
      <c r="E107" s="265"/>
      <c r="F107" s="26"/>
      <c r="G107" s="94">
        <f t="shared" ref="G107:Q107" si="41">IF(G$4="","",G101/G$4)</f>
        <v>9.6362534474875236E-3</v>
      </c>
      <c r="H107" s="94" t="e">
        <f t="shared" si="41"/>
        <v>#VALUE!</v>
      </c>
      <c r="I107" s="94" t="str">
        <f t="shared" si="41"/>
        <v/>
      </c>
      <c r="J107" s="94" t="str">
        <f t="shared" si="41"/>
        <v/>
      </c>
      <c r="K107" s="94" t="str">
        <f t="shared" si="41"/>
        <v/>
      </c>
      <c r="L107" s="94" t="str">
        <f t="shared" si="41"/>
        <v/>
      </c>
      <c r="M107" s="94" t="str">
        <f t="shared" si="41"/>
        <v/>
      </c>
      <c r="N107" s="94" t="str">
        <f t="shared" si="41"/>
        <v/>
      </c>
      <c r="O107" s="94" t="str">
        <f t="shared" si="41"/>
        <v/>
      </c>
      <c r="P107" s="94" t="str">
        <f t="shared" si="41"/>
        <v/>
      </c>
      <c r="Q107" s="94" t="str">
        <f t="shared" si="41"/>
        <v/>
      </c>
    </row>
    <row r="108" spans="1:17" ht="15.75" customHeight="1">
      <c r="A108" s="10"/>
      <c r="B108" s="26" t="s">
        <v>212</v>
      </c>
      <c r="C108" s="94">
        <f>C102/C$4</f>
        <v>2.5190969009073777E-2</v>
      </c>
      <c r="D108" s="26"/>
      <c r="E108" s="265"/>
      <c r="F108" s="26"/>
      <c r="G108" s="94">
        <f t="shared" ref="G108:Q108" si="42">IF(G$4="","",G102/G$4)</f>
        <v>2.5134717978405503E-2</v>
      </c>
      <c r="H108" s="94" t="e">
        <f t="shared" si="42"/>
        <v>#VALUE!</v>
      </c>
      <c r="I108" s="94" t="str">
        <f t="shared" si="42"/>
        <v/>
      </c>
      <c r="J108" s="94" t="str">
        <f t="shared" si="42"/>
        <v/>
      </c>
      <c r="K108" s="94" t="str">
        <f t="shared" si="42"/>
        <v/>
      </c>
      <c r="L108" s="94" t="str">
        <f t="shared" si="42"/>
        <v/>
      </c>
      <c r="M108" s="94" t="str">
        <f t="shared" si="42"/>
        <v/>
      </c>
      <c r="N108" s="94" t="str">
        <f t="shared" si="42"/>
        <v/>
      </c>
      <c r="O108" s="94" t="str">
        <f t="shared" si="42"/>
        <v/>
      </c>
      <c r="P108" s="94" t="str">
        <f t="shared" si="42"/>
        <v/>
      </c>
      <c r="Q108" s="94" t="str">
        <f t="shared" si="42"/>
        <v/>
      </c>
    </row>
    <row r="109" spans="1:17" ht="15.75" customHeight="1">
      <c r="A109" s="10"/>
      <c r="B109" s="26" t="s">
        <v>67</v>
      </c>
      <c r="C109" s="94">
        <f>BS!$G$38/C$4</f>
        <v>0</v>
      </c>
      <c r="D109" s="26"/>
      <c r="E109" s="265"/>
      <c r="F109" s="26"/>
      <c r="G109" s="94">
        <f>BS!$G$38/G$4</f>
        <v>0</v>
      </c>
      <c r="H109" s="200"/>
      <c r="I109" s="200"/>
      <c r="J109" s="200"/>
      <c r="K109" s="200"/>
      <c r="L109" s="200"/>
      <c r="M109" s="200"/>
      <c r="N109" s="200"/>
      <c r="O109" s="200"/>
      <c r="P109" s="200"/>
      <c r="Q109" s="200"/>
    </row>
    <row r="110" spans="1:17" ht="15.75" customHeight="1">
      <c r="A110" s="10"/>
      <c r="E110" s="264"/>
    </row>
    <row r="111" spans="1:17" ht="15.75" customHeight="1">
      <c r="A111" s="10"/>
      <c r="B111" s="64" t="s">
        <v>49</v>
      </c>
      <c r="E111" s="264"/>
    </row>
    <row r="112" spans="1:17" ht="15.75" customHeight="1">
      <c r="A112" s="10"/>
      <c r="B112" s="2" t="s">
        <v>364</v>
      </c>
      <c r="C112" s="165"/>
      <c r="E112" s="264"/>
      <c r="G112" s="291">
        <f>IF(G$4="","",Data!C$22/Data!C15)</f>
        <v>1.621565163238379</v>
      </c>
      <c r="H112" s="291">
        <f>IF(H$4="","",Data!D$22/Data!D15)</f>
        <v>2.0004867661833088</v>
      </c>
      <c r="I112" s="291" t="str">
        <f>IF(I$4="","",Data!E$22/Data!E15)</f>
        <v/>
      </c>
      <c r="J112" s="291" t="str">
        <f>IF(J$4="","",Data!F$22/Data!F15)</f>
        <v/>
      </c>
      <c r="K112" s="291" t="str">
        <f>IF(K$4="","",Data!G$22/Data!G15)</f>
        <v/>
      </c>
      <c r="L112" s="291" t="str">
        <f>IF(L$4="","",Data!H$22/Data!H15)</f>
        <v/>
      </c>
      <c r="M112" s="291" t="str">
        <f>IF(M$4="","",Data!I$22/Data!I15)</f>
        <v/>
      </c>
      <c r="N112" s="291" t="str">
        <f>IF(N$4="","",Data!J$22/Data!J15)</f>
        <v/>
      </c>
      <c r="O112" s="291" t="str">
        <f>IF(O$4="","",Data!K$22/Data!K15)</f>
        <v/>
      </c>
      <c r="P112" s="291" t="str">
        <f>IF(P$4="","",Data!L$22/Data!L15)</f>
        <v/>
      </c>
      <c r="Q112" s="291" t="str">
        <f>IF(Q$4="","",Data!M$22/Data!M15)</f>
        <v/>
      </c>
    </row>
    <row r="113" spans="1:17" ht="15.75" customHeight="1">
      <c r="A113" s="10"/>
      <c r="B113" s="2" t="s">
        <v>365</v>
      </c>
      <c r="C113" s="165"/>
      <c r="E113" s="264"/>
      <c r="G113" s="291">
        <f>IF(G$4="","",Data!C$22/G19)</f>
        <v>1.979795498881916</v>
      </c>
      <c r="H113" s="291">
        <f>IF(H$4="","",Data!D$22/H19)</f>
        <v>2.6066759659343721</v>
      </c>
      <c r="I113" s="291" t="str">
        <f>IF(I$4="","",Data!E$22/I19)</f>
        <v/>
      </c>
      <c r="J113" s="291" t="str">
        <f>IF(J$4="","",Data!F$22/J19)</f>
        <v/>
      </c>
      <c r="K113" s="291" t="str">
        <f>IF(K$4="","",Data!G$22/K19)</f>
        <v/>
      </c>
      <c r="L113" s="291" t="str">
        <f>IF(L$4="","",Data!H$22/L19)</f>
        <v/>
      </c>
      <c r="M113" s="291" t="str">
        <f>IF(M$4="","",Data!I$22/M19)</f>
        <v/>
      </c>
      <c r="N113" s="291" t="str">
        <f>IF(N$4="","",Data!J$22/N19)</f>
        <v/>
      </c>
      <c r="O113" s="291" t="str">
        <f>IF(O$4="","",Data!K$22/O19)</f>
        <v/>
      </c>
      <c r="P113" s="291" t="str">
        <f>IF(P$4="","",Data!L$22/P19)</f>
        <v/>
      </c>
      <c r="Q113" s="291" t="str">
        <f>IF(Q$4="","",Data!M$22/Q19)</f>
        <v/>
      </c>
    </row>
    <row r="114" spans="1:17" ht="15.75" customHeight="1">
      <c r="A114" s="10"/>
      <c r="E114" s="264"/>
    </row>
    <row r="115" spans="1:17" ht="15.75" customHeight="1">
      <c r="A115" s="10"/>
      <c r="B115" s="91" t="s">
        <v>36</v>
      </c>
      <c r="C115" s="55"/>
      <c r="D115" s="55"/>
      <c r="E115" s="267"/>
      <c r="F115" s="55"/>
      <c r="G115" s="23" t="str">
        <f>IFERROR(IF(#REF!*G117*(1/#REF!)=G119,"","Error"),"")</f>
        <v/>
      </c>
      <c r="H115" s="23" t="str">
        <f>IFERROR(IF(#REF!*H117*(1/#REF!)=H119,"","Error"),"")</f>
        <v/>
      </c>
      <c r="I115" s="23" t="str">
        <f>IFERROR(IF(#REF!*I117*(1/#REF!)=I119,"","Error"),"")</f>
        <v/>
      </c>
      <c r="J115" s="23" t="str">
        <f>IFERROR(IF(#REF!*J117*(1/#REF!)=J119,"","Error"),"")</f>
        <v/>
      </c>
      <c r="K115" s="23" t="str">
        <f>IFERROR(IF(#REF!*K117*(1/#REF!)=K119,"","Error"),"")</f>
        <v/>
      </c>
      <c r="L115" s="23" t="str">
        <f>IFERROR(IF(#REF!*L117*(1/#REF!)=L119,"","Error"),"")</f>
        <v/>
      </c>
      <c r="M115" s="23" t="str">
        <f>IFERROR(IF(#REF!*M117*(1/#REF!)=M119,"","Error"),"")</f>
        <v/>
      </c>
      <c r="N115" s="23" t="str">
        <f>IFERROR(IF(#REF!*N117*(1/#REF!)=N119,"","Error"),"")</f>
        <v/>
      </c>
      <c r="O115" s="23" t="str">
        <f>IFERROR(IF(#REF!*O117*(1/#REF!)=O119,"","Error"),"")</f>
        <v/>
      </c>
      <c r="P115" s="23" t="str">
        <f>IFERROR(IF(#REF!*P117*(1/#REF!)=P119,"","Error"),"")</f>
        <v/>
      </c>
      <c r="Q115" s="23" t="str">
        <f>IFERROR(IF(#REF!*Q117*(1/#REF!)=Q119,"","Error"),"")</f>
        <v/>
      </c>
    </row>
    <row r="116" spans="1:17" ht="15.75" customHeight="1">
      <c r="A116" s="10"/>
      <c r="B116" s="7" t="s">
        <v>215</v>
      </c>
      <c r="C116" s="23">
        <f>IF(valuation_method="DDM",C13/(C4+C12),C79)</f>
        <v>0.11378828939016356</v>
      </c>
      <c r="E116" s="264"/>
      <c r="G116" s="23">
        <f t="shared" ref="G116:Q116" si="43">IF(G4="","",IF(valuation_method="DDM",G13/(G4+G12),G79))</f>
        <v>0.13537163034994637</v>
      </c>
      <c r="H116" s="23">
        <f t="shared" si="43"/>
        <v>0.11565197038427436</v>
      </c>
      <c r="I116" s="23" t="str">
        <f t="shared" si="43"/>
        <v/>
      </c>
      <c r="J116" s="23" t="str">
        <f t="shared" si="43"/>
        <v/>
      </c>
      <c r="K116" s="23" t="str">
        <f t="shared" si="43"/>
        <v/>
      </c>
      <c r="L116" s="23" t="str">
        <f t="shared" si="43"/>
        <v/>
      </c>
      <c r="M116" s="23" t="str">
        <f t="shared" si="43"/>
        <v/>
      </c>
      <c r="N116" s="23" t="str">
        <f t="shared" si="43"/>
        <v/>
      </c>
      <c r="O116" s="23" t="str">
        <f t="shared" si="43"/>
        <v/>
      </c>
      <c r="P116" s="23" t="str">
        <f t="shared" si="43"/>
        <v/>
      </c>
      <c r="Q116" s="23" t="str">
        <f t="shared" si="43"/>
        <v/>
      </c>
    </row>
    <row r="117" spans="1:17" ht="15.75" customHeight="1">
      <c r="B117" s="7" t="s">
        <v>81</v>
      </c>
      <c r="C117" s="42">
        <f>IF(valuation_method="DDM",(C4+C12)/C100,C4/C100)</f>
        <v>1.8481867572101047</v>
      </c>
      <c r="E117" s="264"/>
      <c r="G117" s="42">
        <f t="shared" ref="G117:Q117" si="44">IF(G4="","",IF(valuation_method="DDM",(G4+G12)/G100,G4/G100))</f>
        <v>1.8767483725766319</v>
      </c>
      <c r="H117" s="42">
        <f t="shared" si="44"/>
        <v>1.6798375556054266</v>
      </c>
      <c r="I117" s="42" t="str">
        <f t="shared" si="44"/>
        <v/>
      </c>
      <c r="J117" s="42" t="str">
        <f t="shared" si="44"/>
        <v/>
      </c>
      <c r="K117" s="42" t="str">
        <f t="shared" si="44"/>
        <v/>
      </c>
      <c r="L117" s="42" t="str">
        <f t="shared" si="44"/>
        <v/>
      </c>
      <c r="M117" s="42" t="str">
        <f t="shared" si="44"/>
        <v/>
      </c>
      <c r="N117" s="42" t="str">
        <f t="shared" si="44"/>
        <v/>
      </c>
      <c r="O117" s="42" t="str">
        <f t="shared" si="44"/>
        <v/>
      </c>
      <c r="P117" s="42" t="str">
        <f t="shared" si="44"/>
        <v/>
      </c>
      <c r="Q117" s="42" t="str">
        <f t="shared" si="44"/>
        <v/>
      </c>
    </row>
    <row r="118" spans="1:17" ht="15.75" customHeight="1">
      <c r="B118" s="7" t="s">
        <v>89</v>
      </c>
      <c r="C118" s="15">
        <f>C100/C104</f>
        <v>2.1868265656161521</v>
      </c>
      <c r="D118" s="11"/>
      <c r="E118" s="268"/>
      <c r="F118" s="11"/>
      <c r="G118" s="15">
        <f t="shared" ref="G118:Q118" si="45">IF(G$4="","",G100/G104)</f>
        <v>2.1868265656161521</v>
      </c>
      <c r="H118" s="15">
        <f t="shared" si="45"/>
        <v>2.1426696674637533</v>
      </c>
      <c r="I118" s="15" t="str">
        <f t="shared" si="45"/>
        <v/>
      </c>
      <c r="J118" s="15" t="str">
        <f t="shared" si="45"/>
        <v/>
      </c>
      <c r="K118" s="15" t="str">
        <f t="shared" si="45"/>
        <v/>
      </c>
      <c r="L118" s="15" t="str">
        <f t="shared" si="45"/>
        <v/>
      </c>
      <c r="M118" s="15" t="str">
        <f t="shared" si="45"/>
        <v/>
      </c>
      <c r="N118" s="15" t="str">
        <f t="shared" si="45"/>
        <v/>
      </c>
      <c r="O118" s="15" t="str">
        <f t="shared" si="45"/>
        <v/>
      </c>
      <c r="P118" s="15" t="str">
        <f t="shared" si="45"/>
        <v/>
      </c>
      <c r="Q118" s="15" t="str">
        <f t="shared" si="45"/>
        <v/>
      </c>
    </row>
    <row r="119" spans="1:17" ht="15.75" customHeight="1">
      <c r="A119" s="10"/>
      <c r="B119" s="70" t="s">
        <v>216</v>
      </c>
      <c r="C119" s="102">
        <f>C13/C104</f>
        <v>0.45989402134433366</v>
      </c>
      <c r="D119" s="103"/>
      <c r="E119" s="267"/>
      <c r="F119" s="103"/>
      <c r="G119" s="102">
        <f t="shared" ref="G119:Q119" si="46">IF(G$4="","",G13/G104)</f>
        <v>0.55558184848754988</v>
      </c>
      <c r="H119" s="102">
        <f t="shared" si="46"/>
        <v>0.41627041342796078</v>
      </c>
      <c r="I119" s="102" t="str">
        <f t="shared" si="46"/>
        <v/>
      </c>
      <c r="J119" s="102" t="str">
        <f t="shared" si="46"/>
        <v/>
      </c>
      <c r="K119" s="102" t="str">
        <f t="shared" si="46"/>
        <v/>
      </c>
      <c r="L119" s="102" t="str">
        <f t="shared" si="46"/>
        <v/>
      </c>
      <c r="M119" s="102" t="str">
        <f t="shared" si="46"/>
        <v/>
      </c>
      <c r="N119" s="102" t="str">
        <f t="shared" si="46"/>
        <v/>
      </c>
      <c r="O119" s="102" t="str">
        <f t="shared" si="46"/>
        <v/>
      </c>
      <c r="P119" s="102" t="str">
        <f t="shared" si="46"/>
        <v/>
      </c>
      <c r="Q119" s="102" t="str">
        <f t="shared" si="46"/>
        <v/>
      </c>
    </row>
    <row r="120" spans="1:17" ht="15.75" customHeight="1">
      <c r="A120" s="10"/>
      <c r="B120" s="27"/>
      <c r="C120" s="62"/>
      <c r="D120" s="27"/>
      <c r="E120" s="67"/>
      <c r="F120" s="27"/>
      <c r="G120" s="12"/>
      <c r="H120" s="12"/>
      <c r="I120" s="12"/>
      <c r="J120" s="12"/>
      <c r="K120" s="12"/>
      <c r="L120" s="12"/>
      <c r="M120" s="12"/>
      <c r="N120" s="12"/>
      <c r="O120" s="12"/>
      <c r="P120" s="12"/>
      <c r="Q120" s="12"/>
    </row>
    <row r="121" spans="1:17" ht="15.75" customHeight="1">
      <c r="A121" s="10"/>
      <c r="B121" s="54" t="s">
        <v>217</v>
      </c>
      <c r="C121" s="54"/>
      <c r="D121" s="56"/>
      <c r="E121" s="66" t="s">
        <v>57</v>
      </c>
      <c r="F121" s="56"/>
      <c r="G121" s="37"/>
      <c r="H121" s="37"/>
      <c r="I121" s="37"/>
      <c r="J121" s="37"/>
      <c r="K121" s="37"/>
      <c r="L121" s="37"/>
      <c r="M121" s="37"/>
      <c r="N121" s="37"/>
      <c r="O121" s="37"/>
      <c r="P121" s="37"/>
      <c r="Q121" s="37"/>
    </row>
    <row r="122" spans="1:17" ht="15.75" customHeight="1">
      <c r="A122" s="10"/>
      <c r="B122" s="174" t="s">
        <v>165</v>
      </c>
      <c r="C122" s="175"/>
      <c r="D122" s="27"/>
      <c r="E122" s="261"/>
      <c r="F122" s="27"/>
      <c r="G122" s="12"/>
      <c r="H122" s="12"/>
      <c r="I122" s="12"/>
      <c r="J122" s="12"/>
      <c r="K122" s="12"/>
      <c r="L122" s="12"/>
      <c r="M122" s="12"/>
      <c r="N122" s="12"/>
      <c r="O122" s="12"/>
      <c r="P122" s="12"/>
      <c r="Q122" s="12"/>
    </row>
    <row r="123" spans="1:17" ht="15.75" customHeight="1">
      <c r="A123" s="10"/>
      <c r="B123" s="27" t="str">
        <f>"FCFE per share ("&amp;Market_currency&amp;")"</f>
        <v>FCFE per share (HKD)</v>
      </c>
      <c r="C123" s="173">
        <f>C16*$C$3/Common_Shares*Exchange_Rate</f>
        <v>0.70417557223542215</v>
      </c>
      <c r="D123" s="27"/>
      <c r="E123" s="261"/>
      <c r="F123" s="27"/>
      <c r="G123" s="173">
        <f t="shared" ref="G123:Q123" si="47">IF(G$4="","",G16*$C$3/Common_Shares*Exchange_Rate)</f>
        <v>0.75571294536412348</v>
      </c>
      <c r="H123" s="173">
        <f t="shared" si="47"/>
        <v>0.67666067325374535</v>
      </c>
      <c r="I123" s="173" t="str">
        <f t="shared" si="47"/>
        <v/>
      </c>
      <c r="J123" s="173" t="str">
        <f t="shared" si="47"/>
        <v/>
      </c>
      <c r="K123" s="173" t="str">
        <f t="shared" si="47"/>
        <v/>
      </c>
      <c r="L123" s="173" t="str">
        <f t="shared" si="47"/>
        <v/>
      </c>
      <c r="M123" s="173" t="str">
        <f t="shared" si="47"/>
        <v/>
      </c>
      <c r="N123" s="173" t="str">
        <f t="shared" si="47"/>
        <v/>
      </c>
      <c r="O123" s="173" t="str">
        <f t="shared" si="47"/>
        <v/>
      </c>
      <c r="P123" s="173" t="str">
        <f t="shared" si="47"/>
        <v/>
      </c>
      <c r="Q123" s="173" t="str">
        <f t="shared" si="47"/>
        <v/>
      </c>
    </row>
    <row r="124" spans="1:17" ht="15.75" customHeight="1">
      <c r="A124" s="10"/>
      <c r="B124" s="27" t="s">
        <v>261</v>
      </c>
      <c r="C124" s="77">
        <f>C19*Exchange_Rate*$C$3/(Market_Price*Common_Shares)</f>
        <v>5.3712858294082538E-2</v>
      </c>
      <c r="D124" s="27"/>
      <c r="E124" s="261"/>
      <c r="F124" s="27"/>
      <c r="G124" s="77">
        <f t="shared" ref="G124" si="48">IF(G$4="","",G123/Market_Price)</f>
        <v>5.7644008036927805E-2</v>
      </c>
      <c r="H124" s="77">
        <f t="shared" ref="H124" si="49">IF(H$4="","",H123/Market_Price)</f>
        <v>5.1614086441933285E-2</v>
      </c>
      <c r="I124" s="77" t="str">
        <f t="shared" ref="I124" si="50">IF(I$4="","",I123/Market_Price)</f>
        <v/>
      </c>
      <c r="J124" s="77" t="str">
        <f t="shared" ref="J124" si="51">IF(J$4="","",J123/Market_Price)</f>
        <v/>
      </c>
      <c r="K124" s="77" t="str">
        <f t="shared" ref="K124" si="52">IF(K$4="","",K123/Market_Price)</f>
        <v/>
      </c>
      <c r="L124" s="77" t="str">
        <f t="shared" ref="L124" si="53">IF(L$4="","",L123/Market_Price)</f>
        <v/>
      </c>
      <c r="M124" s="77" t="str">
        <f t="shared" ref="M124" si="54">IF(M$4="","",M123/Market_Price)</f>
        <v/>
      </c>
      <c r="N124" s="77" t="str">
        <f t="shared" ref="N124" si="55">IF(N$4="","",N123/Market_Price)</f>
        <v/>
      </c>
      <c r="O124" s="77" t="str">
        <f t="shared" ref="O124" si="56">IF(O$4="","",O123/Market_Price)</f>
        <v/>
      </c>
      <c r="P124" s="77" t="str">
        <f t="shared" ref="P124" si="57">IF(P$4="","",P123/Market_Price)</f>
        <v/>
      </c>
      <c r="Q124" s="77" t="str">
        <f t="shared" ref="Q124" si="58">IF(Q$4="","",Q123/Market_Price)</f>
        <v/>
      </c>
    </row>
    <row r="125" spans="1:17" ht="15.75" customHeight="1">
      <c r="B125" s="2" t="s">
        <v>367</v>
      </c>
      <c r="C125" s="165"/>
      <c r="G125" s="23">
        <f>IF(G$4="","",(Data!C47*$C$3)/(Market_Price*Common_Shares))</f>
        <v>6.4427984674404998E-2</v>
      </c>
      <c r="H125" s="23">
        <f>IF(H$4="","",(Data!D47*$C$3)/(Market_Price*Common_Shares))</f>
        <v>6.1567860150524512E-2</v>
      </c>
      <c r="I125" s="23" t="str">
        <f>IF(I$4="","",(Data!E47*$C$3)/(Market_Price*Common_Shares))</f>
        <v/>
      </c>
      <c r="J125" s="23" t="str">
        <f>IF(J$4="","",(Data!F47*$C$3)/(Market_Price*Common_Shares))</f>
        <v/>
      </c>
      <c r="K125" s="23" t="str">
        <f>IF(K$4="","",(Data!G47*$C$3)/(Market_Price*Common_Shares))</f>
        <v/>
      </c>
      <c r="L125" s="23" t="str">
        <f>IF(L$4="","",(Data!H47*$C$3)/(Market_Price*Common_Shares))</f>
        <v/>
      </c>
      <c r="M125" s="23" t="str">
        <f>IF(M$4="","",(Data!I47*$C$3)/(Market_Price*Common_Shares))</f>
        <v/>
      </c>
      <c r="N125" s="23" t="str">
        <f>IF(N$4="","",(Data!J47*$C$3)/(Market_Price*Common_Shares))</f>
        <v/>
      </c>
      <c r="O125" s="23" t="str">
        <f>IF(O$4="","",(Data!K47*$C$3)/(Market_Price*Common_Shares))</f>
        <v/>
      </c>
      <c r="P125" s="23" t="str">
        <f>IF(P$4="","",(Data!L47*$C$3)/(Market_Price*Common_Shares))</f>
        <v/>
      </c>
      <c r="Q125" s="23"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3 G15: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S105"/>
  <sheetViews>
    <sheetView showGridLines="0" zoomScale="75" zoomScaleNormal="85" workbookViewId="0">
      <selection activeCell="D16" sqref="D16"/>
    </sheetView>
  </sheetViews>
  <sheetFormatPr defaultColWidth="8.86328125" defaultRowHeight="12.75"/>
  <cols>
    <col min="1" max="1" width="6.1328125" customWidth="1"/>
    <col min="2" max="2" width="24.73046875" customWidth="1"/>
    <col min="3" max="6" width="20.73046875" customWidth="1"/>
    <col min="7" max="7" width="11.06640625" bestFit="1" customWidth="1"/>
    <col min="8" max="9" width="20.73046875" customWidth="1"/>
    <col min="10" max="10" width="5.73046875" customWidth="1"/>
  </cols>
  <sheetData>
    <row r="2" spans="2:12" ht="13.9">
      <c r="B2" s="36" t="s">
        <v>53</v>
      </c>
      <c r="C2" s="37"/>
      <c r="D2" s="37"/>
      <c r="E2" s="37"/>
      <c r="F2" s="37"/>
      <c r="G2" s="37"/>
      <c r="H2" s="37"/>
      <c r="I2" s="37"/>
    </row>
    <row r="3" spans="2:12" ht="13.15">
      <c r="B3" s="109" t="s">
        <v>158</v>
      </c>
      <c r="C3" s="107">
        <f>scaling_factor</f>
        <v>1000</v>
      </c>
      <c r="E3" s="109" t="s">
        <v>564</v>
      </c>
      <c r="F3" s="109"/>
    </row>
    <row r="4" spans="2:12">
      <c r="B4" s="100" t="s">
        <v>539</v>
      </c>
      <c r="C4" s="330">
        <f>Normalized_FCF!C19</f>
        <v>3593208.0958338827</v>
      </c>
      <c r="D4" t="str">
        <f>Reporting_currency</f>
        <v>CNY</v>
      </c>
      <c r="E4" s="127" t="s">
        <v>549</v>
      </c>
      <c r="F4" s="126" t="s">
        <v>563</v>
      </c>
      <c r="H4" s="127" t="s">
        <v>549</v>
      </c>
      <c r="I4" s="126" t="str">
        <f>IF(I6=F6,"I","II")</f>
        <v>I</v>
      </c>
    </row>
    <row r="5" spans="2:12">
      <c r="B5" s="201" t="s">
        <v>119</v>
      </c>
      <c r="C5" s="202">
        <f>Equity_Cost</f>
        <v>7.4999999999999997E-2</v>
      </c>
      <c r="E5" s="127" t="s">
        <v>540</v>
      </c>
      <c r="F5" s="332">
        <f>Normalized_FCF!C4</f>
        <v>42104017.5</v>
      </c>
      <c r="G5" s="277"/>
      <c r="H5" s="127" t="s">
        <v>548</v>
      </c>
      <c r="I5" s="370">
        <f>IF(I4="II",_xlfn.CEILING.MATH(C17/2),C17+1)</f>
        <v>6</v>
      </c>
    </row>
    <row r="6" spans="2:12" ht="13.35" customHeight="1">
      <c r="B6" s="146" t="s">
        <v>222</v>
      </c>
      <c r="C6" s="338">
        <f>(C4*(1+Terminal_Growth))/(Equity_Cost-Terminal_Growth)</f>
        <v>47909441.277785107</v>
      </c>
      <c r="D6" t="str">
        <f>Reporting_currency</f>
        <v>CNY</v>
      </c>
      <c r="E6" s="127" t="s">
        <v>541</v>
      </c>
      <c r="F6" s="363">
        <f>Normalized_FCF!C32</f>
        <v>0.39398348375455328</v>
      </c>
      <c r="G6" s="277"/>
      <c r="H6" s="127" t="s">
        <v>551</v>
      </c>
      <c r="I6" s="366">
        <f>Scenarios!C64</f>
        <v>0.39398348375455328</v>
      </c>
      <c r="K6" s="145"/>
    </row>
    <row r="7" spans="2:12" ht="12.75" customHeight="1">
      <c r="B7" s="145" t="s">
        <v>218</v>
      </c>
      <c r="C7" s="330">
        <f>BS!G31</f>
        <v>6168246</v>
      </c>
      <c r="D7" t="str">
        <f>Reporting_currency</f>
        <v>CNY</v>
      </c>
      <c r="E7" s="127" t="s">
        <v>542</v>
      </c>
      <c r="F7" s="332">
        <f>Normalized_FCF!C7</f>
        <v>-20684476</v>
      </c>
      <c r="G7" s="277"/>
      <c r="H7" s="127" t="s">
        <v>550</v>
      </c>
      <c r="I7" s="366">
        <f>IF(I4="II",C16/2,C16)</f>
        <v>5.2329465051445014E-2</v>
      </c>
      <c r="K7" s="371"/>
      <c r="L7" s="371"/>
    </row>
    <row r="8" spans="2:12">
      <c r="B8" s="145" t="s">
        <v>219</v>
      </c>
      <c r="C8" s="330">
        <f>BS!D66</f>
        <v>4742604.3754406106</v>
      </c>
      <c r="D8" t="str">
        <f>Reporting_currency</f>
        <v>CNY</v>
      </c>
      <c r="E8" s="127" t="s">
        <v>546</v>
      </c>
      <c r="F8" s="363">
        <f>Normalized_FCF!C75-Normalized_FCF!C76</f>
        <v>0</v>
      </c>
      <c r="G8" s="358"/>
      <c r="H8" s="358"/>
      <c r="I8" s="358"/>
      <c r="K8" s="371"/>
      <c r="L8" s="371"/>
    </row>
    <row r="9" spans="2:12" ht="13.15">
      <c r="B9" s="201" t="s">
        <v>184</v>
      </c>
      <c r="C9" s="339">
        <f>BS!H42</f>
        <v>2656436.4</v>
      </c>
      <c r="D9" t="str">
        <f>Reporting_currency</f>
        <v>CNY</v>
      </c>
      <c r="E9" s="127" t="s">
        <v>547</v>
      </c>
      <c r="F9" s="332">
        <f>Normalized_FCF!C11+Normalized_FCF!C12</f>
        <v>-40309.877508812206</v>
      </c>
      <c r="H9" s="109" t="s">
        <v>120</v>
      </c>
      <c r="K9" s="371"/>
      <c r="L9" s="371"/>
    </row>
    <row r="10" spans="2:12" ht="13.15">
      <c r="B10" s="146" t="s">
        <v>221</v>
      </c>
      <c r="C10" s="338">
        <f>C6-C7+C8+C9</f>
        <v>49140236.053225718</v>
      </c>
      <c r="D10" t="str">
        <f>Reporting_currency</f>
        <v>CNY</v>
      </c>
      <c r="E10" s="127" t="s">
        <v>544</v>
      </c>
      <c r="F10" s="363">
        <f>Normalized_FCF!C41</f>
        <v>0.25</v>
      </c>
      <c r="H10" s="100" t="s">
        <v>243</v>
      </c>
      <c r="I10" s="133">
        <f>Terminal_Growth</f>
        <v>0</v>
      </c>
      <c r="K10" s="371"/>
      <c r="L10" s="371"/>
    </row>
    <row r="11" spans="2:12" ht="13.15" thickBot="1">
      <c r="B11" s="203" t="s">
        <v>161</v>
      </c>
      <c r="C11" s="204">
        <f>Exchange_Rate</f>
        <v>1.0923594000000001</v>
      </c>
      <c r="D11" t="str">
        <f>Thesis!C15</f>
        <v>CNY/HKD</v>
      </c>
    </row>
    <row r="12" spans="2:12" ht="13.5" thickTop="1">
      <c r="B12" s="146" t="s">
        <v>99</v>
      </c>
      <c r="C12" s="111">
        <f>(C10*scaling_factor)/Common_Shares*Exchange_Rate</f>
        <v>9.6302114766702562</v>
      </c>
      <c r="D12" t="str">
        <f>Market_currency</f>
        <v>HKD</v>
      </c>
      <c r="E12" s="380" t="s">
        <v>565</v>
      </c>
      <c r="F12" s="380"/>
      <c r="G12" s="380"/>
      <c r="H12" s="380"/>
      <c r="I12" s="380"/>
    </row>
    <row r="14" spans="2:12" ht="13.9">
      <c r="B14" s="36" t="s">
        <v>223</v>
      </c>
      <c r="C14" s="37"/>
      <c r="D14" s="37"/>
      <c r="E14" s="37"/>
      <c r="F14" s="37"/>
      <c r="G14" s="37"/>
      <c r="H14" s="37"/>
      <c r="I14" s="37"/>
    </row>
    <row r="15" spans="2:12" ht="13.15">
      <c r="B15" s="119" t="s">
        <v>130</v>
      </c>
    </row>
    <row r="16" spans="2:12" ht="13.35" customHeight="1">
      <c r="B16" s="118" t="s">
        <v>129</v>
      </c>
      <c r="C16" s="158">
        <f>Scenarios!C70</f>
        <v>5.2329465051445014E-2</v>
      </c>
    </row>
    <row r="17" spans="1:19" ht="13.35" customHeight="1">
      <c r="B17" s="149" t="s">
        <v>128</v>
      </c>
      <c r="C17" s="159">
        <f>Scenarios!C69</f>
        <v>5</v>
      </c>
    </row>
    <row r="18" spans="1:19" ht="13.35" customHeight="1">
      <c r="B18" s="150" t="s">
        <v>103</v>
      </c>
      <c r="C18" s="137">
        <f>(I52-C7+C8+C9)*Exchange_Rate/Common_Shares*scaling_factor</f>
        <v>12.005183904376981</v>
      </c>
      <c r="D18" t="str">
        <f>Market_currency</f>
        <v>HKD</v>
      </c>
    </row>
    <row r="19" spans="1:19">
      <c r="I19" s="330"/>
    </row>
    <row r="20" spans="1:19" ht="13.15">
      <c r="A20" s="128" t="s">
        <v>549</v>
      </c>
      <c r="B20" s="128" t="s">
        <v>104</v>
      </c>
      <c r="C20" s="128" t="s">
        <v>540</v>
      </c>
      <c r="D20" s="128" t="s">
        <v>541</v>
      </c>
      <c r="E20" s="128" t="s">
        <v>542</v>
      </c>
      <c r="F20" s="128" t="s">
        <v>105</v>
      </c>
      <c r="G20" s="128" t="s">
        <v>114</v>
      </c>
      <c r="H20" s="128" t="s">
        <v>106</v>
      </c>
      <c r="I20" s="129" t="s">
        <v>107</v>
      </c>
    </row>
    <row r="21" spans="1:19">
      <c r="A21" s="367" t="str">
        <f t="shared" ref="A21:A50" si="0">IF($C$17&lt;B21,"",IF(B21&gt;=$I$5,"II","I"))</f>
        <v>I</v>
      </c>
      <c r="B21" s="122">
        <v>1</v>
      </c>
      <c r="C21" s="123">
        <f>F5*(1+G21)</f>
        <v>44307298.21229168</v>
      </c>
      <c r="D21" s="363">
        <f>$F$6</f>
        <v>0.39398348375455328</v>
      </c>
      <c r="E21" s="123">
        <f>F7*(1+G21)</f>
        <v>-21766883.563949451</v>
      </c>
      <c r="F21" s="123">
        <f>(C21*(1-(D21+$F$8))+E21+$F$9)*(1-$F$10)</f>
        <v>3782820.799052137</v>
      </c>
      <c r="G21" s="363">
        <f t="shared" ref="G21:G50" si="1">IF(A21="",0,IF(A21="I",$C$16,$I$7))</f>
        <v>5.2329465051445014E-2</v>
      </c>
      <c r="H21" s="124">
        <f t="shared" ref="H21:H50" si="2">IF($C$17&lt;B21,0,1/(1+Equity_Cost)^B21)</f>
        <v>0.93023255813953487</v>
      </c>
      <c r="I21" s="125">
        <f t="shared" ref="I21:I51" si="3">F21*H21</f>
        <v>3518903.0688857087</v>
      </c>
    </row>
    <row r="22" spans="1:19">
      <c r="A22" s="367" t="str">
        <f t="shared" si="0"/>
        <v>I</v>
      </c>
      <c r="B22" s="122">
        <v>2</v>
      </c>
      <c r="C22" s="123">
        <f>IF(A22="",0,C21*(1+G22))</f>
        <v>46625875.42561575</v>
      </c>
      <c r="D22" s="363">
        <f t="shared" ref="D22:D50" si="4">IF($C$17&lt;B22,0,IF(B22&gt;=$I$5,$I$6,$F$6))</f>
        <v>0.39398348375455328</v>
      </c>
      <c r="E22" s="123">
        <f>IF(A22="",0,E21*(1+G22))</f>
        <v>-22905932.936688017</v>
      </c>
      <c r="F22" s="123">
        <f t="shared" ref="F22:F50" si="5">IF(A22="", 0,(C22*(1-(D22+$F$8))+E22+$F$9)*(1-$F$10))</f>
        <v>3982355.8335967604</v>
      </c>
      <c r="G22" s="363">
        <f t="shared" si="1"/>
        <v>5.2329465051445014E-2</v>
      </c>
      <c r="H22" s="124">
        <f t="shared" si="2"/>
        <v>0.86533261222282321</v>
      </c>
      <c r="I22" s="125">
        <f t="shared" si="3"/>
        <v>3446062.3762870831</v>
      </c>
    </row>
    <row r="23" spans="1:19">
      <c r="A23" s="367" t="str">
        <f t="shared" si="0"/>
        <v>I</v>
      </c>
      <c r="B23" s="122">
        <v>3</v>
      </c>
      <c r="C23" s="123">
        <f t="shared" ref="C23:C50" si="6">IF(A23="",0,C22*(1+G23))</f>
        <v>49065782.544193536</v>
      </c>
      <c r="D23" s="363">
        <f t="shared" si="4"/>
        <v>0.39398348375455328</v>
      </c>
      <c r="E23" s="123">
        <f t="shared" ref="E23:E50" si="7">IF(A23="",0,E22*(1+G23))</f>
        <v>-24104588.153769176</v>
      </c>
      <c r="F23" s="123">
        <f t="shared" si="5"/>
        <v>4192332.4297581203</v>
      </c>
      <c r="G23" s="363">
        <f t="shared" si="1"/>
        <v>5.2329465051445014E-2</v>
      </c>
      <c r="H23" s="124">
        <f t="shared" si="2"/>
        <v>0.80496056950960304</v>
      </c>
      <c r="I23" s="125">
        <f t="shared" si="3"/>
        <v>3374662.3002316742</v>
      </c>
      <c r="J23" s="330"/>
      <c r="K23" s="330"/>
      <c r="L23" s="330"/>
      <c r="M23" s="330"/>
      <c r="N23" s="330"/>
      <c r="O23" s="330"/>
      <c r="P23" s="330"/>
      <c r="Q23" s="330"/>
      <c r="R23" s="330"/>
      <c r="S23" s="330"/>
    </row>
    <row r="24" spans="1:19">
      <c r="A24" s="367" t="str">
        <f t="shared" si="0"/>
        <v>I</v>
      </c>
      <c r="B24" s="122">
        <v>4</v>
      </c>
      <c r="C24" s="123">
        <f t="shared" si="6"/>
        <v>51633368.69706171</v>
      </c>
      <c r="D24" s="363">
        <f t="shared" si="4"/>
        <v>0.39398348375455328</v>
      </c>
      <c r="E24" s="123">
        <f t="shared" si="7"/>
        <v>-25365968.357141316</v>
      </c>
      <c r="F24" s="123">
        <f t="shared" si="5"/>
        <v>4413296.9888699325</v>
      </c>
      <c r="G24" s="363">
        <f t="shared" si="1"/>
        <v>5.2329465051445014E-2</v>
      </c>
      <c r="H24" s="124">
        <f t="shared" si="2"/>
        <v>0.7488005297763749</v>
      </c>
      <c r="I24" s="125">
        <f t="shared" si="3"/>
        <v>3304679.1233262857</v>
      </c>
      <c r="J24" s="330"/>
      <c r="K24" s="330"/>
      <c r="L24" s="330"/>
      <c r="M24" s="330"/>
      <c r="N24" s="330"/>
      <c r="O24" s="330"/>
      <c r="P24" s="330"/>
      <c r="Q24" s="330"/>
      <c r="R24" s="330"/>
      <c r="S24" s="330"/>
    </row>
    <row r="25" spans="1:19">
      <c r="A25" s="367" t="str">
        <f t="shared" si="0"/>
        <v>I</v>
      </c>
      <c r="B25" s="122">
        <v>5</v>
      </c>
      <c r="C25" s="123">
        <f t="shared" si="6"/>
        <v>54335315.259782977</v>
      </c>
      <c r="D25" s="363">
        <f t="shared" si="4"/>
        <v>0.39398348375455328</v>
      </c>
      <c r="E25" s="123">
        <f t="shared" si="7"/>
        <v>-26693355.911782403</v>
      </c>
      <c r="F25" s="123">
        <f t="shared" si="5"/>
        <v>4645824.5051553929</v>
      </c>
      <c r="G25" s="363">
        <f t="shared" si="1"/>
        <v>5.2329465051445014E-2</v>
      </c>
      <c r="H25" s="124">
        <f t="shared" si="2"/>
        <v>0.69655863235011617</v>
      </c>
      <c r="I25" s="125">
        <f t="shared" si="3"/>
        <v>3236089.1634496958</v>
      </c>
      <c r="J25" s="330"/>
      <c r="K25" s="330"/>
      <c r="L25" s="330"/>
      <c r="M25" s="330"/>
      <c r="N25" s="330"/>
      <c r="O25" s="330"/>
      <c r="P25" s="330"/>
      <c r="Q25" s="330"/>
      <c r="R25" s="330"/>
      <c r="S25" s="330"/>
    </row>
    <row r="26" spans="1:19">
      <c r="A26" s="367" t="str">
        <f t="shared" si="0"/>
        <v/>
      </c>
      <c r="B26" s="122">
        <v>6</v>
      </c>
      <c r="C26" s="123">
        <f t="shared" si="6"/>
        <v>0</v>
      </c>
      <c r="D26" s="363">
        <f t="shared" si="4"/>
        <v>0</v>
      </c>
      <c r="E26" s="123">
        <f t="shared" si="7"/>
        <v>0</v>
      </c>
      <c r="F26" s="123">
        <f t="shared" si="5"/>
        <v>0</v>
      </c>
      <c r="G26" s="363">
        <f t="shared" si="1"/>
        <v>0</v>
      </c>
      <c r="H26" s="124">
        <f t="shared" si="2"/>
        <v>0</v>
      </c>
      <c r="I26" s="125">
        <f t="shared" si="3"/>
        <v>0</v>
      </c>
    </row>
    <row r="27" spans="1:19">
      <c r="A27" s="367" t="str">
        <f t="shared" si="0"/>
        <v/>
      </c>
      <c r="B27" s="122">
        <v>7</v>
      </c>
      <c r="C27" s="123">
        <f t="shared" si="6"/>
        <v>0</v>
      </c>
      <c r="D27" s="363">
        <f t="shared" si="4"/>
        <v>0</v>
      </c>
      <c r="E27" s="123">
        <f t="shared" si="7"/>
        <v>0</v>
      </c>
      <c r="F27" s="123">
        <f t="shared" si="5"/>
        <v>0</v>
      </c>
      <c r="G27" s="363">
        <f t="shared" si="1"/>
        <v>0</v>
      </c>
      <c r="H27" s="124">
        <f t="shared" si="2"/>
        <v>0</v>
      </c>
      <c r="I27" s="125">
        <f t="shared" si="3"/>
        <v>0</v>
      </c>
    </row>
    <row r="28" spans="1:19">
      <c r="A28" s="367" t="str">
        <f t="shared" si="0"/>
        <v/>
      </c>
      <c r="B28" s="122">
        <v>8</v>
      </c>
      <c r="C28" s="123">
        <f t="shared" si="6"/>
        <v>0</v>
      </c>
      <c r="D28" s="363">
        <f t="shared" si="4"/>
        <v>0</v>
      </c>
      <c r="E28" s="123">
        <f t="shared" si="7"/>
        <v>0</v>
      </c>
      <c r="F28" s="123">
        <f t="shared" si="5"/>
        <v>0</v>
      </c>
      <c r="G28" s="363">
        <f t="shared" si="1"/>
        <v>0</v>
      </c>
      <c r="H28" s="124">
        <f t="shared" si="2"/>
        <v>0</v>
      </c>
      <c r="I28" s="125">
        <f t="shared" si="3"/>
        <v>0</v>
      </c>
    </row>
    <row r="29" spans="1:19">
      <c r="A29" s="367" t="str">
        <f t="shared" si="0"/>
        <v/>
      </c>
      <c r="B29" s="122">
        <v>9</v>
      </c>
      <c r="C29" s="123">
        <f t="shared" si="6"/>
        <v>0</v>
      </c>
      <c r="D29" s="363">
        <f t="shared" si="4"/>
        <v>0</v>
      </c>
      <c r="E29" s="123">
        <f t="shared" si="7"/>
        <v>0</v>
      </c>
      <c r="F29" s="123">
        <f t="shared" si="5"/>
        <v>0</v>
      </c>
      <c r="G29" s="363">
        <f t="shared" si="1"/>
        <v>0</v>
      </c>
      <c r="H29" s="124">
        <f t="shared" si="2"/>
        <v>0</v>
      </c>
      <c r="I29" s="125">
        <f t="shared" si="3"/>
        <v>0</v>
      </c>
    </row>
    <row r="30" spans="1:19">
      <c r="A30" s="367" t="str">
        <f t="shared" si="0"/>
        <v/>
      </c>
      <c r="B30" s="122">
        <v>10</v>
      </c>
      <c r="C30" s="123">
        <f t="shared" si="6"/>
        <v>0</v>
      </c>
      <c r="D30" s="363">
        <f t="shared" si="4"/>
        <v>0</v>
      </c>
      <c r="E30" s="123">
        <f t="shared" si="7"/>
        <v>0</v>
      </c>
      <c r="F30" s="123">
        <f t="shared" si="5"/>
        <v>0</v>
      </c>
      <c r="G30" s="363">
        <f t="shared" si="1"/>
        <v>0</v>
      </c>
      <c r="H30" s="124">
        <f t="shared" si="2"/>
        <v>0</v>
      </c>
      <c r="I30" s="125">
        <f t="shared" si="3"/>
        <v>0</v>
      </c>
    </row>
    <row r="31" spans="1:19">
      <c r="A31" s="367" t="str">
        <f t="shared" si="0"/>
        <v/>
      </c>
      <c r="B31" s="122">
        <v>11</v>
      </c>
      <c r="C31" s="123">
        <f t="shared" si="6"/>
        <v>0</v>
      </c>
      <c r="D31" s="363">
        <f t="shared" si="4"/>
        <v>0</v>
      </c>
      <c r="E31" s="123">
        <f t="shared" si="7"/>
        <v>0</v>
      </c>
      <c r="F31" s="123">
        <f t="shared" si="5"/>
        <v>0</v>
      </c>
      <c r="G31" s="363">
        <f t="shared" si="1"/>
        <v>0</v>
      </c>
      <c r="H31" s="124">
        <f t="shared" si="2"/>
        <v>0</v>
      </c>
      <c r="I31" s="125">
        <f t="shared" si="3"/>
        <v>0</v>
      </c>
    </row>
    <row r="32" spans="1:19">
      <c r="A32" s="367" t="str">
        <f t="shared" si="0"/>
        <v/>
      </c>
      <c r="B32" s="122">
        <v>12</v>
      </c>
      <c r="C32" s="123">
        <f t="shared" si="6"/>
        <v>0</v>
      </c>
      <c r="D32" s="363">
        <f t="shared" si="4"/>
        <v>0</v>
      </c>
      <c r="E32" s="123">
        <f t="shared" si="7"/>
        <v>0</v>
      </c>
      <c r="F32" s="123">
        <f t="shared" si="5"/>
        <v>0</v>
      </c>
      <c r="G32" s="363">
        <f t="shared" si="1"/>
        <v>0</v>
      </c>
      <c r="H32" s="124">
        <f t="shared" si="2"/>
        <v>0</v>
      </c>
      <c r="I32" s="125">
        <f t="shared" si="3"/>
        <v>0</v>
      </c>
    </row>
    <row r="33" spans="1:19">
      <c r="A33" s="367" t="str">
        <f t="shared" si="0"/>
        <v/>
      </c>
      <c r="B33" s="122">
        <v>13</v>
      </c>
      <c r="C33" s="123">
        <f t="shared" si="6"/>
        <v>0</v>
      </c>
      <c r="D33" s="363">
        <f t="shared" si="4"/>
        <v>0</v>
      </c>
      <c r="E33" s="123">
        <f t="shared" si="7"/>
        <v>0</v>
      </c>
      <c r="F33" s="123">
        <f t="shared" si="5"/>
        <v>0</v>
      </c>
      <c r="G33" s="363">
        <f t="shared" si="1"/>
        <v>0</v>
      </c>
      <c r="H33" s="124">
        <f t="shared" si="2"/>
        <v>0</v>
      </c>
      <c r="I33" s="125">
        <f t="shared" si="3"/>
        <v>0</v>
      </c>
      <c r="J33" s="330"/>
      <c r="K33" s="330"/>
      <c r="L33" s="330"/>
      <c r="M33" s="330"/>
      <c r="N33" s="330"/>
      <c r="O33" s="330"/>
      <c r="P33" s="330"/>
      <c r="Q33" s="330"/>
      <c r="R33" s="330"/>
      <c r="S33" s="330"/>
    </row>
    <row r="34" spans="1:19">
      <c r="A34" s="367" t="str">
        <f t="shared" si="0"/>
        <v/>
      </c>
      <c r="B34" s="122">
        <v>14</v>
      </c>
      <c r="C34" s="123">
        <f t="shared" si="6"/>
        <v>0</v>
      </c>
      <c r="D34" s="363">
        <f t="shared" si="4"/>
        <v>0</v>
      </c>
      <c r="E34" s="123">
        <f t="shared" si="7"/>
        <v>0</v>
      </c>
      <c r="F34" s="123">
        <f t="shared" si="5"/>
        <v>0</v>
      </c>
      <c r="G34" s="363">
        <f t="shared" si="1"/>
        <v>0</v>
      </c>
      <c r="H34" s="124">
        <f t="shared" si="2"/>
        <v>0</v>
      </c>
      <c r="I34" s="125">
        <f t="shared" si="3"/>
        <v>0</v>
      </c>
      <c r="J34" s="330"/>
      <c r="K34" s="330"/>
      <c r="L34" s="330"/>
      <c r="M34" s="330"/>
      <c r="N34" s="330"/>
      <c r="O34" s="330"/>
      <c r="P34" s="330"/>
      <c r="Q34" s="330"/>
      <c r="R34" s="330"/>
      <c r="S34" s="330"/>
    </row>
    <row r="35" spans="1:19">
      <c r="A35" s="367" t="str">
        <f t="shared" si="0"/>
        <v/>
      </c>
      <c r="B35" s="122">
        <v>15</v>
      </c>
      <c r="C35" s="123">
        <f t="shared" si="6"/>
        <v>0</v>
      </c>
      <c r="D35" s="363">
        <f t="shared" si="4"/>
        <v>0</v>
      </c>
      <c r="E35" s="123">
        <f t="shared" si="7"/>
        <v>0</v>
      </c>
      <c r="F35" s="123">
        <f t="shared" si="5"/>
        <v>0</v>
      </c>
      <c r="G35" s="363">
        <f t="shared" si="1"/>
        <v>0</v>
      </c>
      <c r="H35" s="124">
        <f t="shared" si="2"/>
        <v>0</v>
      </c>
      <c r="I35" s="125">
        <f t="shared" si="3"/>
        <v>0</v>
      </c>
      <c r="J35" s="330"/>
      <c r="K35" s="330"/>
      <c r="L35" s="330"/>
      <c r="M35" s="330"/>
      <c r="N35" s="330"/>
      <c r="O35" s="330"/>
      <c r="P35" s="330"/>
      <c r="Q35" s="330"/>
      <c r="R35" s="330"/>
      <c r="S35" s="330"/>
    </row>
    <row r="36" spans="1:19">
      <c r="A36" s="367" t="str">
        <f t="shared" si="0"/>
        <v/>
      </c>
      <c r="B36" s="122">
        <v>16</v>
      </c>
      <c r="C36" s="123">
        <f t="shared" si="6"/>
        <v>0</v>
      </c>
      <c r="D36" s="363">
        <f t="shared" si="4"/>
        <v>0</v>
      </c>
      <c r="E36" s="123">
        <f t="shared" si="7"/>
        <v>0</v>
      </c>
      <c r="F36" s="123">
        <f t="shared" si="5"/>
        <v>0</v>
      </c>
      <c r="G36" s="363">
        <f t="shared" si="1"/>
        <v>0</v>
      </c>
      <c r="H36" s="124">
        <f t="shared" si="2"/>
        <v>0</v>
      </c>
      <c r="I36" s="125">
        <f t="shared" si="3"/>
        <v>0</v>
      </c>
    </row>
    <row r="37" spans="1:19">
      <c r="A37" s="367" t="str">
        <f t="shared" si="0"/>
        <v/>
      </c>
      <c r="B37" s="122">
        <v>17</v>
      </c>
      <c r="C37" s="123">
        <f t="shared" si="6"/>
        <v>0</v>
      </c>
      <c r="D37" s="363">
        <f t="shared" si="4"/>
        <v>0</v>
      </c>
      <c r="E37" s="123">
        <f t="shared" si="7"/>
        <v>0</v>
      </c>
      <c r="F37" s="123">
        <f t="shared" si="5"/>
        <v>0</v>
      </c>
      <c r="G37" s="363">
        <f t="shared" si="1"/>
        <v>0</v>
      </c>
      <c r="H37" s="124">
        <f t="shared" si="2"/>
        <v>0</v>
      </c>
      <c r="I37" s="125">
        <f t="shared" si="3"/>
        <v>0</v>
      </c>
    </row>
    <row r="38" spans="1:19">
      <c r="A38" s="367" t="str">
        <f t="shared" si="0"/>
        <v/>
      </c>
      <c r="B38" s="122">
        <v>18</v>
      </c>
      <c r="C38" s="123">
        <f t="shared" si="6"/>
        <v>0</v>
      </c>
      <c r="D38" s="363">
        <f t="shared" si="4"/>
        <v>0</v>
      </c>
      <c r="E38" s="123">
        <f t="shared" si="7"/>
        <v>0</v>
      </c>
      <c r="F38" s="123">
        <f t="shared" si="5"/>
        <v>0</v>
      </c>
      <c r="G38" s="363">
        <f t="shared" si="1"/>
        <v>0</v>
      </c>
      <c r="H38" s="124">
        <f t="shared" si="2"/>
        <v>0</v>
      </c>
      <c r="I38" s="125">
        <f t="shared" si="3"/>
        <v>0</v>
      </c>
    </row>
    <row r="39" spans="1:19">
      <c r="A39" s="367" t="str">
        <f t="shared" si="0"/>
        <v/>
      </c>
      <c r="B39" s="122">
        <v>19</v>
      </c>
      <c r="C39" s="123">
        <f t="shared" si="6"/>
        <v>0</v>
      </c>
      <c r="D39" s="363">
        <f t="shared" si="4"/>
        <v>0</v>
      </c>
      <c r="E39" s="123">
        <f t="shared" si="7"/>
        <v>0</v>
      </c>
      <c r="F39" s="123">
        <f t="shared" si="5"/>
        <v>0</v>
      </c>
      <c r="G39" s="363">
        <f t="shared" si="1"/>
        <v>0</v>
      </c>
      <c r="H39" s="124">
        <f t="shared" si="2"/>
        <v>0</v>
      </c>
      <c r="I39" s="125">
        <f t="shared" si="3"/>
        <v>0</v>
      </c>
    </row>
    <row r="40" spans="1:19">
      <c r="A40" s="367" t="str">
        <f t="shared" si="0"/>
        <v/>
      </c>
      <c r="B40" s="122">
        <v>20</v>
      </c>
      <c r="C40" s="123">
        <f t="shared" si="6"/>
        <v>0</v>
      </c>
      <c r="D40" s="363">
        <f t="shared" si="4"/>
        <v>0</v>
      </c>
      <c r="E40" s="123">
        <f t="shared" si="7"/>
        <v>0</v>
      </c>
      <c r="F40" s="123">
        <f t="shared" si="5"/>
        <v>0</v>
      </c>
      <c r="G40" s="363">
        <f t="shared" si="1"/>
        <v>0</v>
      </c>
      <c r="H40" s="124">
        <f t="shared" si="2"/>
        <v>0</v>
      </c>
      <c r="I40" s="125">
        <f t="shared" si="3"/>
        <v>0</v>
      </c>
    </row>
    <row r="41" spans="1:19">
      <c r="A41" s="367" t="str">
        <f t="shared" si="0"/>
        <v/>
      </c>
      <c r="B41" s="122">
        <v>21</v>
      </c>
      <c r="C41" s="123">
        <f t="shared" si="6"/>
        <v>0</v>
      </c>
      <c r="D41" s="363">
        <f t="shared" si="4"/>
        <v>0</v>
      </c>
      <c r="E41" s="123">
        <f t="shared" si="7"/>
        <v>0</v>
      </c>
      <c r="F41" s="123">
        <f t="shared" si="5"/>
        <v>0</v>
      </c>
      <c r="G41" s="363">
        <f t="shared" si="1"/>
        <v>0</v>
      </c>
      <c r="H41" s="124">
        <f t="shared" si="2"/>
        <v>0</v>
      </c>
      <c r="I41" s="125">
        <f t="shared" si="3"/>
        <v>0</v>
      </c>
    </row>
    <row r="42" spans="1:19">
      <c r="A42" s="367" t="str">
        <f t="shared" si="0"/>
        <v/>
      </c>
      <c r="B42" s="122">
        <v>22</v>
      </c>
      <c r="C42" s="123">
        <f t="shared" si="6"/>
        <v>0</v>
      </c>
      <c r="D42" s="363">
        <f t="shared" si="4"/>
        <v>0</v>
      </c>
      <c r="E42" s="123">
        <f t="shared" si="7"/>
        <v>0</v>
      </c>
      <c r="F42" s="123">
        <f t="shared" si="5"/>
        <v>0</v>
      </c>
      <c r="G42" s="363">
        <f t="shared" si="1"/>
        <v>0</v>
      </c>
      <c r="H42" s="124">
        <f t="shared" si="2"/>
        <v>0</v>
      </c>
      <c r="I42" s="125">
        <f t="shared" si="3"/>
        <v>0</v>
      </c>
    </row>
    <row r="43" spans="1:19">
      <c r="A43" s="367" t="str">
        <f t="shared" si="0"/>
        <v/>
      </c>
      <c r="B43" s="122">
        <v>23</v>
      </c>
      <c r="C43" s="123">
        <f t="shared" si="6"/>
        <v>0</v>
      </c>
      <c r="D43" s="363">
        <f t="shared" si="4"/>
        <v>0</v>
      </c>
      <c r="E43" s="123">
        <f t="shared" si="7"/>
        <v>0</v>
      </c>
      <c r="F43" s="123">
        <f t="shared" si="5"/>
        <v>0</v>
      </c>
      <c r="G43" s="363">
        <f t="shared" si="1"/>
        <v>0</v>
      </c>
      <c r="H43" s="124">
        <f t="shared" si="2"/>
        <v>0</v>
      </c>
      <c r="I43" s="125">
        <f t="shared" si="3"/>
        <v>0</v>
      </c>
    </row>
    <row r="44" spans="1:19">
      <c r="A44" s="367" t="str">
        <f t="shared" si="0"/>
        <v/>
      </c>
      <c r="B44" s="122">
        <v>24</v>
      </c>
      <c r="C44" s="123">
        <f t="shared" si="6"/>
        <v>0</v>
      </c>
      <c r="D44" s="363">
        <f t="shared" si="4"/>
        <v>0</v>
      </c>
      <c r="E44" s="123">
        <f t="shared" si="7"/>
        <v>0</v>
      </c>
      <c r="F44" s="123">
        <f t="shared" si="5"/>
        <v>0</v>
      </c>
      <c r="G44" s="363">
        <f t="shared" si="1"/>
        <v>0</v>
      </c>
      <c r="H44" s="124">
        <f t="shared" si="2"/>
        <v>0</v>
      </c>
      <c r="I44" s="125">
        <f t="shared" si="3"/>
        <v>0</v>
      </c>
    </row>
    <row r="45" spans="1:19">
      <c r="A45" s="367" t="str">
        <f t="shared" si="0"/>
        <v/>
      </c>
      <c r="B45" s="122">
        <v>25</v>
      </c>
      <c r="C45" s="123">
        <f t="shared" si="6"/>
        <v>0</v>
      </c>
      <c r="D45" s="363">
        <f t="shared" si="4"/>
        <v>0</v>
      </c>
      <c r="E45" s="123">
        <f t="shared" si="7"/>
        <v>0</v>
      </c>
      <c r="F45" s="123">
        <f t="shared" si="5"/>
        <v>0</v>
      </c>
      <c r="G45" s="363">
        <f t="shared" si="1"/>
        <v>0</v>
      </c>
      <c r="H45" s="124">
        <f t="shared" si="2"/>
        <v>0</v>
      </c>
      <c r="I45" s="125">
        <f t="shared" si="3"/>
        <v>0</v>
      </c>
    </row>
    <row r="46" spans="1:19">
      <c r="A46" s="367" t="str">
        <f t="shared" si="0"/>
        <v/>
      </c>
      <c r="B46" s="122">
        <v>26</v>
      </c>
      <c r="C46" s="123">
        <f t="shared" si="6"/>
        <v>0</v>
      </c>
      <c r="D46" s="363">
        <f t="shared" si="4"/>
        <v>0</v>
      </c>
      <c r="E46" s="123">
        <f t="shared" si="7"/>
        <v>0</v>
      </c>
      <c r="F46" s="123">
        <f t="shared" si="5"/>
        <v>0</v>
      </c>
      <c r="G46" s="363">
        <f t="shared" si="1"/>
        <v>0</v>
      </c>
      <c r="H46" s="124">
        <f t="shared" si="2"/>
        <v>0</v>
      </c>
      <c r="I46" s="125">
        <f t="shared" si="3"/>
        <v>0</v>
      </c>
    </row>
    <row r="47" spans="1:19">
      <c r="A47" s="367" t="str">
        <f t="shared" si="0"/>
        <v/>
      </c>
      <c r="B47" s="122">
        <v>27</v>
      </c>
      <c r="C47" s="123">
        <f t="shared" si="6"/>
        <v>0</v>
      </c>
      <c r="D47" s="363">
        <f t="shared" si="4"/>
        <v>0</v>
      </c>
      <c r="E47" s="123">
        <f t="shared" si="7"/>
        <v>0</v>
      </c>
      <c r="F47" s="123">
        <f t="shared" si="5"/>
        <v>0</v>
      </c>
      <c r="G47" s="363">
        <f t="shared" si="1"/>
        <v>0</v>
      </c>
      <c r="H47" s="124">
        <f t="shared" si="2"/>
        <v>0</v>
      </c>
      <c r="I47" s="125">
        <f t="shared" si="3"/>
        <v>0</v>
      </c>
      <c r="J47" s="330"/>
      <c r="K47" s="330"/>
      <c r="L47" s="330"/>
      <c r="M47" s="330"/>
      <c r="N47" s="330"/>
      <c r="O47" s="330"/>
      <c r="P47" s="330"/>
      <c r="Q47" s="330"/>
      <c r="R47" s="330"/>
      <c r="S47" s="330"/>
    </row>
    <row r="48" spans="1:19">
      <c r="A48" s="367" t="str">
        <f t="shared" si="0"/>
        <v/>
      </c>
      <c r="B48" s="122">
        <v>28</v>
      </c>
      <c r="C48" s="123">
        <f t="shared" si="6"/>
        <v>0</v>
      </c>
      <c r="D48" s="363">
        <f t="shared" si="4"/>
        <v>0</v>
      </c>
      <c r="E48" s="123">
        <f t="shared" si="7"/>
        <v>0</v>
      </c>
      <c r="F48" s="123">
        <f t="shared" si="5"/>
        <v>0</v>
      </c>
      <c r="G48" s="363">
        <f t="shared" si="1"/>
        <v>0</v>
      </c>
      <c r="H48" s="124">
        <f t="shared" si="2"/>
        <v>0</v>
      </c>
      <c r="I48" s="125">
        <f t="shared" si="3"/>
        <v>0</v>
      </c>
      <c r="J48" s="330"/>
      <c r="K48" s="330"/>
      <c r="L48" s="330"/>
      <c r="M48" s="330"/>
      <c r="N48" s="330"/>
      <c r="O48" s="330"/>
      <c r="P48" s="330"/>
      <c r="Q48" s="330"/>
      <c r="R48" s="330"/>
      <c r="S48" s="330"/>
    </row>
    <row r="49" spans="1:19">
      <c r="A49" s="367" t="str">
        <f t="shared" si="0"/>
        <v/>
      </c>
      <c r="B49" s="122">
        <v>29</v>
      </c>
      <c r="C49" s="123">
        <f t="shared" si="6"/>
        <v>0</v>
      </c>
      <c r="D49" s="363">
        <f t="shared" si="4"/>
        <v>0</v>
      </c>
      <c r="E49" s="123">
        <f t="shared" si="7"/>
        <v>0</v>
      </c>
      <c r="F49" s="123">
        <f t="shared" si="5"/>
        <v>0</v>
      </c>
      <c r="G49" s="363">
        <f t="shared" si="1"/>
        <v>0</v>
      </c>
      <c r="H49" s="124">
        <f t="shared" si="2"/>
        <v>0</v>
      </c>
      <c r="I49" s="125">
        <f t="shared" si="3"/>
        <v>0</v>
      </c>
      <c r="J49" s="330"/>
      <c r="K49" s="330"/>
      <c r="L49" s="330"/>
      <c r="M49" s="330"/>
      <c r="N49" s="330"/>
      <c r="O49" s="330"/>
      <c r="P49" s="330"/>
      <c r="Q49" s="330"/>
      <c r="R49" s="330"/>
      <c r="S49" s="330"/>
    </row>
    <row r="50" spans="1:19">
      <c r="A50" s="367" t="str">
        <f t="shared" si="0"/>
        <v/>
      </c>
      <c r="B50" s="122">
        <v>30</v>
      </c>
      <c r="C50" s="123">
        <f t="shared" si="6"/>
        <v>0</v>
      </c>
      <c r="D50" s="363">
        <f t="shared" si="4"/>
        <v>0</v>
      </c>
      <c r="E50" s="123">
        <f t="shared" si="7"/>
        <v>0</v>
      </c>
      <c r="F50" s="123">
        <f t="shared" si="5"/>
        <v>0</v>
      </c>
      <c r="G50" s="363">
        <f t="shared" si="1"/>
        <v>0</v>
      </c>
      <c r="H50" s="124">
        <f t="shared" si="2"/>
        <v>0</v>
      </c>
      <c r="I50" s="125">
        <f t="shared" si="3"/>
        <v>0</v>
      </c>
      <c r="J50" s="330"/>
      <c r="K50" s="330"/>
      <c r="L50" s="330"/>
      <c r="M50" s="330"/>
      <c r="N50" s="330"/>
      <c r="O50" s="330"/>
      <c r="P50" s="330"/>
      <c r="Q50" s="330"/>
      <c r="R50" s="330"/>
      <c r="S50" s="330"/>
    </row>
    <row r="51" spans="1:19">
      <c r="B51" s="126" t="s">
        <v>126</v>
      </c>
      <c r="C51" s="364">
        <f>VLOOKUP(C17,B21:C50,2,FALSE)*(1+Terminal_Growth)</f>
        <v>54335315.259782977</v>
      </c>
      <c r="D51" s="366">
        <f>I6</f>
        <v>0.39398348375455328</v>
      </c>
      <c r="E51" s="364">
        <f>VLOOKUP(C17,B21:E50,4,FALSE)*(1+Terminal_Growth)</f>
        <v>-26693355.911782403</v>
      </c>
      <c r="F51" s="123">
        <f>(C51*(1-(D51+$F$8))+E51+$F$9)*(1-$F$10)/Equity_Cost</f>
        <v>61944326.735405244</v>
      </c>
      <c r="G51" s="366">
        <f>Terminal_Growth</f>
        <v>0</v>
      </c>
      <c r="H51" s="124">
        <f>1/(1+Equity_Cost)^C17</f>
        <v>0.69655863235011617</v>
      </c>
      <c r="I51" s="125">
        <f t="shared" si="3"/>
        <v>43147855.512662612</v>
      </c>
    </row>
    <row r="52" spans="1:19">
      <c r="F52" s="114"/>
      <c r="H52" s="127" t="s">
        <v>97</v>
      </c>
      <c r="I52" s="136">
        <f>SUM(I21:I51)</f>
        <v>60028251.544843063</v>
      </c>
    </row>
    <row r="53" spans="1:19">
      <c r="C53" s="114"/>
    </row>
    <row r="54" spans="1:19" ht="13.15">
      <c r="B54" s="119" t="s">
        <v>124</v>
      </c>
      <c r="C54" s="135"/>
      <c r="D54" s="135"/>
      <c r="E54" s="117"/>
      <c r="F54" s="117"/>
      <c r="G54" s="117"/>
      <c r="H54" s="117"/>
      <c r="I54" s="117"/>
    </row>
    <row r="55" spans="1:19" ht="13.15">
      <c r="A55" s="132">
        <f>I52</f>
        <v>60028251.544843063</v>
      </c>
      <c r="B55" s="130">
        <f>C78</f>
        <v>0</v>
      </c>
      <c r="C55" s="130">
        <f>C77</f>
        <v>0.02</v>
      </c>
      <c r="D55" s="130">
        <f>C76</f>
        <v>0.05</v>
      </c>
      <c r="E55" s="130">
        <f>C75</f>
        <v>0.08</v>
      </c>
      <c r="F55" s="130">
        <f>C74</f>
        <v>0.12</v>
      </c>
      <c r="G55" s="130"/>
      <c r="H55" s="130"/>
      <c r="I55" s="130"/>
    </row>
    <row r="56" spans="1:19" ht="13.15">
      <c r="A56" s="140">
        <v>5</v>
      </c>
      <c r="B56" s="123">
        <f t="dataTable" ref="B56:F61" dt2D="1" dtr="1" r1="C16" r2="C17"/>
        <v>47909441.277785107</v>
      </c>
      <c r="C56" s="123">
        <v>52270986.883617774</v>
      </c>
      <c r="D56" s="123">
        <v>59438715.868331358</v>
      </c>
      <c r="E56" s="123">
        <v>67415062.964451879</v>
      </c>
      <c r="F56" s="123">
        <v>79427561.473964006</v>
      </c>
      <c r="G56" s="359"/>
      <c r="H56" s="359"/>
      <c r="I56" s="359"/>
    </row>
    <row r="57" spans="1:19" ht="13.15">
      <c r="A57" s="140">
        <v>10</v>
      </c>
      <c r="B57" s="123">
        <v>47909441.277785122</v>
      </c>
      <c r="C57" s="123">
        <v>55625264.12488991</v>
      </c>
      <c r="D57" s="123">
        <v>69688297.930123478</v>
      </c>
      <c r="E57" s="123">
        <v>87378543.145008862</v>
      </c>
      <c r="F57" s="123">
        <v>118118396.20770903</v>
      </c>
      <c r="G57" s="359"/>
      <c r="H57" s="359"/>
      <c r="I57" s="359"/>
    </row>
    <row r="58" spans="1:19" ht="13.15">
      <c r="A58" s="140">
        <v>15</v>
      </c>
      <c r="B58" s="123">
        <v>47909441.277785122</v>
      </c>
      <c r="C58" s="332">
        <v>58204894.565133356</v>
      </c>
      <c r="D58" s="123">
        <v>78800227.012596056</v>
      </c>
      <c r="E58" s="123">
        <v>107810629.20314842</v>
      </c>
      <c r="F58" s="123">
        <v>165614271.05926391</v>
      </c>
      <c r="G58" s="359"/>
      <c r="H58" s="359"/>
      <c r="I58" s="359"/>
      <c r="J58" s="330"/>
      <c r="K58" s="330"/>
      <c r="L58" s="330"/>
      <c r="M58" s="330"/>
      <c r="N58" s="330"/>
      <c r="O58" s="330"/>
      <c r="P58" s="330"/>
      <c r="Q58" s="330"/>
      <c r="R58" s="330"/>
      <c r="S58" s="330"/>
    </row>
    <row r="59" spans="1:19" ht="13.15">
      <c r="A59" s="141">
        <v>20</v>
      </c>
      <c r="B59" s="123">
        <v>47909441.27778513</v>
      </c>
      <c r="C59" s="332">
        <v>60188777.449455388</v>
      </c>
      <c r="D59" s="123">
        <v>86900776.97682479</v>
      </c>
      <c r="E59" s="123">
        <v>128722320.7975733</v>
      </c>
      <c r="F59" s="123">
        <v>223918986.98070824</v>
      </c>
      <c r="G59" s="359"/>
      <c r="H59" s="359"/>
      <c r="I59" s="359"/>
      <c r="J59" s="330"/>
      <c r="K59" s="330"/>
      <c r="L59" s="330"/>
      <c r="M59" s="330"/>
      <c r="N59" s="330"/>
      <c r="O59" s="330"/>
      <c r="P59" s="330"/>
      <c r="Q59" s="330"/>
      <c r="R59" s="330"/>
      <c r="S59" s="330"/>
    </row>
    <row r="60" spans="1:19" ht="13.15">
      <c r="A60" s="141">
        <v>25</v>
      </c>
      <c r="B60" s="123">
        <v>47909441.27778513</v>
      </c>
      <c r="C60" s="332">
        <v>61714496.497155294</v>
      </c>
      <c r="D60" s="123">
        <v>94102205.909056991</v>
      </c>
      <c r="E60" s="123">
        <v>150124875.78368717</v>
      </c>
      <c r="F60" s="123">
        <v>295492358.54834521</v>
      </c>
      <c r="G60" s="359"/>
      <c r="H60" s="359"/>
      <c r="I60" s="359"/>
      <c r="J60" s="330"/>
      <c r="K60" s="330"/>
      <c r="L60" s="330"/>
      <c r="M60" s="330"/>
      <c r="N60" s="330"/>
      <c r="O60" s="330"/>
      <c r="P60" s="330"/>
      <c r="Q60" s="330"/>
      <c r="R60" s="330"/>
      <c r="S60" s="330"/>
    </row>
    <row r="61" spans="1:19" ht="13.15">
      <c r="A61" s="141">
        <v>30</v>
      </c>
      <c r="B61" s="123">
        <v>47909441.277785137</v>
      </c>
      <c r="C61" s="332">
        <v>62887861.432611063</v>
      </c>
      <c r="D61" s="123">
        <v>100504311.80248423</v>
      </c>
      <c r="E61" s="123">
        <v>172029816.27428561</v>
      </c>
      <c r="F61" s="123">
        <v>383353990.949763</v>
      </c>
      <c r="G61" s="359"/>
      <c r="H61" s="359"/>
      <c r="I61" s="359"/>
      <c r="J61" s="330"/>
      <c r="K61" s="330"/>
      <c r="L61" s="330"/>
      <c r="M61" s="330"/>
      <c r="N61" s="330"/>
      <c r="O61" s="330"/>
      <c r="P61" s="330"/>
      <c r="Q61" s="330"/>
      <c r="R61" s="330"/>
      <c r="S61" s="330"/>
    </row>
    <row r="62" spans="1:19">
      <c r="C62" s="330"/>
      <c r="D62" s="114"/>
      <c r="E62" s="114"/>
      <c r="F62" s="114"/>
      <c r="G62" s="114"/>
      <c r="H62" s="114"/>
      <c r="I62" s="114"/>
      <c r="J62" s="330"/>
      <c r="K62" s="330"/>
      <c r="L62" s="330"/>
      <c r="M62" s="330"/>
      <c r="N62" s="330"/>
      <c r="O62" s="330"/>
      <c r="P62" s="330"/>
      <c r="Q62" s="330"/>
      <c r="R62" s="330"/>
      <c r="S62" s="330"/>
    </row>
    <row r="63" spans="1:19" ht="13.15">
      <c r="B63" s="119" t="s">
        <v>125</v>
      </c>
      <c r="C63" s="330"/>
      <c r="D63" s="114"/>
      <c r="E63" s="114"/>
      <c r="F63" s="114"/>
      <c r="G63" s="114"/>
      <c r="H63" s="114"/>
      <c r="I63" s="114"/>
      <c r="J63" s="330"/>
      <c r="K63" s="330"/>
      <c r="L63" s="330"/>
      <c r="M63" s="330"/>
      <c r="N63" s="330"/>
      <c r="O63" s="330"/>
      <c r="P63" s="330"/>
      <c r="Q63" s="330"/>
      <c r="R63" s="330"/>
      <c r="S63" s="330"/>
    </row>
    <row r="64" spans="1:19" ht="13.15">
      <c r="B64" s="131">
        <f>B55</f>
        <v>0</v>
      </c>
      <c r="C64" s="131">
        <f>C55</f>
        <v>0.02</v>
      </c>
      <c r="D64" s="131">
        <f>D55</f>
        <v>0.05</v>
      </c>
      <c r="E64" s="131">
        <f>E55</f>
        <v>0.08</v>
      </c>
      <c r="F64" s="131">
        <f>F55</f>
        <v>0.12</v>
      </c>
      <c r="G64" s="131"/>
      <c r="H64" s="131"/>
      <c r="I64" s="131"/>
    </row>
    <row r="65" spans="1:9" ht="13.15">
      <c r="A65" s="140">
        <v>0</v>
      </c>
      <c r="B65" s="124">
        <f>C12</f>
        <v>9.6302114766702562</v>
      </c>
      <c r="C65" s="124">
        <f>C12</f>
        <v>9.6302114766702562</v>
      </c>
      <c r="D65" s="124">
        <f>C12</f>
        <v>9.6302114766702562</v>
      </c>
      <c r="E65" s="138">
        <f>C12</f>
        <v>9.6302114766702562</v>
      </c>
      <c r="F65" s="124">
        <f>C12</f>
        <v>9.6302114766702562</v>
      </c>
      <c r="G65" s="360"/>
      <c r="H65" s="360"/>
      <c r="I65" s="360"/>
    </row>
    <row r="66" spans="1:9" ht="13.15">
      <c r="A66" s="140">
        <f t="shared" ref="A66:A71" si="8">A56</f>
        <v>5</v>
      </c>
      <c r="B66" s="124">
        <f t="shared" ref="B66:F71" si="9">(B56-$C$7+$C$8+$C$9)/Common_Shares*$C$3*Exchange_Rate</f>
        <v>9.630211476670258</v>
      </c>
      <c r="C66" s="124">
        <f t="shared" si="9"/>
        <v>10.48496126875135</v>
      </c>
      <c r="D66" s="124">
        <f t="shared" si="9"/>
        <v>11.889650205440322</v>
      </c>
      <c r="E66" s="124">
        <f t="shared" si="9"/>
        <v>13.45280731489672</v>
      </c>
      <c r="F66" s="124">
        <f t="shared" si="9"/>
        <v>15.806945396050573</v>
      </c>
      <c r="G66" s="360"/>
      <c r="H66" s="360"/>
      <c r="I66" s="360"/>
    </row>
    <row r="67" spans="1:9" ht="13.15">
      <c r="A67" s="140">
        <f t="shared" si="8"/>
        <v>10</v>
      </c>
      <c r="B67" s="124">
        <f t="shared" si="9"/>
        <v>9.6302114766702616</v>
      </c>
      <c r="C67" s="124">
        <f t="shared" si="9"/>
        <v>11.142312591806551</v>
      </c>
      <c r="D67" s="124">
        <f t="shared" si="9"/>
        <v>13.898302396195618</v>
      </c>
      <c r="E67" s="124">
        <f t="shared" si="9"/>
        <v>17.365131540218776</v>
      </c>
      <c r="F67" s="124">
        <f t="shared" si="9"/>
        <v>23.38934529114438</v>
      </c>
      <c r="G67" s="360"/>
      <c r="H67" s="360"/>
      <c r="I67" s="360"/>
    </row>
    <row r="68" spans="1:9" ht="13.15">
      <c r="A68" s="140">
        <f t="shared" si="8"/>
        <v>15</v>
      </c>
      <c r="B68" s="124">
        <f t="shared" si="9"/>
        <v>9.6302114766702616</v>
      </c>
      <c r="C68" s="124">
        <f t="shared" si="9"/>
        <v>11.647853237649045</v>
      </c>
      <c r="D68" s="124">
        <f t="shared" si="9"/>
        <v>15.684004115853368</v>
      </c>
      <c r="E68" s="124">
        <f t="shared" si="9"/>
        <v>21.36929036103286</v>
      </c>
      <c r="F68" s="124">
        <f t="shared" si="9"/>
        <v>32.697304630096582</v>
      </c>
      <c r="G68" s="360"/>
      <c r="H68" s="360"/>
      <c r="I68" s="360"/>
    </row>
    <row r="69" spans="1:9" ht="13.15">
      <c r="A69" s="141">
        <f t="shared" si="8"/>
        <v>20</v>
      </c>
      <c r="B69" s="124">
        <f t="shared" si="9"/>
        <v>9.6302114766702633</v>
      </c>
      <c r="C69" s="124">
        <f t="shared" si="9"/>
        <v>12.036642817338368</v>
      </c>
      <c r="D69" s="124">
        <f t="shared" si="9"/>
        <v>17.271501765403947</v>
      </c>
      <c r="E69" s="124">
        <f t="shared" si="9"/>
        <v>25.467439425092959</v>
      </c>
      <c r="F69" s="124">
        <f t="shared" si="9"/>
        <v>44.123516417165007</v>
      </c>
      <c r="G69" s="360"/>
      <c r="H69" s="360"/>
      <c r="I69" s="360"/>
    </row>
    <row r="70" spans="1:9" ht="13.15">
      <c r="A70" s="141">
        <f t="shared" si="8"/>
        <v>25</v>
      </c>
      <c r="B70" s="124">
        <f t="shared" si="9"/>
        <v>9.6302114766702633</v>
      </c>
      <c r="C70" s="124">
        <f t="shared" si="9"/>
        <v>12.335644170677808</v>
      </c>
      <c r="D70" s="124">
        <f t="shared" si="9"/>
        <v>18.682795017566811</v>
      </c>
      <c r="E70" s="124">
        <f t="shared" si="9"/>
        <v>29.661784980008342</v>
      </c>
      <c r="F70" s="124">
        <f t="shared" si="9"/>
        <v>58.15004049710776</v>
      </c>
      <c r="G70" s="360"/>
      <c r="H70" s="360"/>
      <c r="I70" s="360"/>
    </row>
    <row r="71" spans="1:9" ht="13.15">
      <c r="A71" s="141">
        <f t="shared" si="8"/>
        <v>30</v>
      </c>
      <c r="B71" s="124">
        <f t="shared" si="9"/>
        <v>9.6302114766702651</v>
      </c>
      <c r="C71" s="124">
        <f t="shared" si="9"/>
        <v>12.565593258743023</v>
      </c>
      <c r="D71" s="124">
        <f t="shared" si="9"/>
        <v>19.937441690060648</v>
      </c>
      <c r="E71" s="124">
        <f t="shared" si="9"/>
        <v>33.954585060981756</v>
      </c>
      <c r="F71" s="124">
        <f t="shared" si="9"/>
        <v>75.368641152477934</v>
      </c>
      <c r="G71" s="360"/>
      <c r="H71" s="360"/>
      <c r="I71" s="360"/>
    </row>
    <row r="73" spans="1:9" ht="13.15">
      <c r="B73" s="167" t="s">
        <v>113</v>
      </c>
      <c r="C73" s="167" t="s">
        <v>127</v>
      </c>
      <c r="D73" s="167" t="s">
        <v>108</v>
      </c>
      <c r="E73" s="168" t="s">
        <v>109</v>
      </c>
      <c r="F73" s="168" t="s">
        <v>115</v>
      </c>
      <c r="G73" s="168"/>
      <c r="H73" s="168"/>
      <c r="I73" s="168"/>
    </row>
    <row r="74" spans="1:9">
      <c r="B74" s="127" t="str">
        <f>Scenarios!B54</f>
        <v>Snowball Scenario</v>
      </c>
      <c r="C74" s="139">
        <f>Scenarios!C56</f>
        <v>0.12</v>
      </c>
      <c r="D74" s="142">
        <f>Scenarios!C55</f>
        <v>5</v>
      </c>
      <c r="E74" s="134">
        <f>INDEX(B$65:F$71, MATCH(D74, A$65:A$71, 0), MATCH(C74, B$64:F$64, 0))</f>
        <v>15.806945396050573</v>
      </c>
      <c r="F74" s="139">
        <f>Scenarios!C58</f>
        <v>0.05</v>
      </c>
      <c r="G74" s="361"/>
      <c r="H74" s="361"/>
      <c r="I74" s="361"/>
    </row>
    <row r="75" spans="1:9">
      <c r="B75" s="127" t="str">
        <f>Scenarios!B36</f>
        <v>Optimistic</v>
      </c>
      <c r="C75" s="139">
        <f>Scenarios!C38</f>
        <v>0.08</v>
      </c>
      <c r="D75" s="142">
        <f>Scenarios!C37</f>
        <v>5</v>
      </c>
      <c r="E75" s="134">
        <f>INDEX(B$65:F$71, MATCH(D75, A$65:A$71, 0), MATCH(C75, B$64:F$64, 0))</f>
        <v>13.45280731489672</v>
      </c>
      <c r="F75" s="139">
        <f>Scenarios!C40*(1-F$74-F$78)</f>
        <v>0.18</v>
      </c>
      <c r="G75" s="361"/>
      <c r="H75" s="361"/>
      <c r="I75" s="361"/>
    </row>
    <row r="76" spans="1:9">
      <c r="B76" s="127" t="str">
        <f>Scenarios!B24</f>
        <v>Base</v>
      </c>
      <c r="C76" s="139">
        <f>Scenarios!C26</f>
        <v>0.05</v>
      </c>
      <c r="D76" s="142">
        <f>Scenarios!C25</f>
        <v>5</v>
      </c>
      <c r="E76" s="134">
        <f>INDEX(B$65:F$71, MATCH(D76, A$65:A$71, 0), MATCH(C76, B$64:F$64, 0))</f>
        <v>11.889650205440322</v>
      </c>
      <c r="F76" s="139">
        <f>Scenarios!C28*(1-F$74-F$78)</f>
        <v>0.53999999999999992</v>
      </c>
      <c r="G76" s="361"/>
      <c r="H76" s="361"/>
      <c r="I76" s="361"/>
    </row>
    <row r="77" spans="1:9">
      <c r="B77" s="127" t="str">
        <f>Scenarios!B30</f>
        <v>Pessimistic</v>
      </c>
      <c r="C77" s="139">
        <f>Scenarios!C32</f>
        <v>0.02</v>
      </c>
      <c r="D77" s="142">
        <f>Scenarios!C31</f>
        <v>5</v>
      </c>
      <c r="E77" s="134">
        <f>INDEX(B$65:F$71, MATCH(D77, A$65:A$71, 0), MATCH(C77, B$64:F$64, 0))</f>
        <v>10.48496126875135</v>
      </c>
      <c r="F77" s="139">
        <f>Scenarios!C34*(1-F$74-F$78)</f>
        <v>0.18</v>
      </c>
      <c r="G77" s="361"/>
      <c r="H77" s="361"/>
      <c r="I77" s="361"/>
    </row>
    <row r="78" spans="1:9">
      <c r="B78" s="127" t="str">
        <f>Scenarios!B48</f>
        <v>Devil's advocate</v>
      </c>
      <c r="C78" s="139">
        <f>Scenarios!C50</f>
        <v>0</v>
      </c>
      <c r="D78" s="142">
        <f>Scenarios!C49</f>
        <v>5</v>
      </c>
      <c r="E78" s="134">
        <f>INDEX(B$65:F$71, MATCH(D78, A$65:A$71, 0), MATCH(C78, B$64:F$64, 0))</f>
        <v>9.630211476670258</v>
      </c>
      <c r="F78" s="139">
        <f>Scenarios!C52</f>
        <v>0.05</v>
      </c>
      <c r="G78" s="361"/>
      <c r="H78" s="361"/>
      <c r="I78" s="361"/>
    </row>
    <row r="79" spans="1:9">
      <c r="B79" s="152"/>
      <c r="C79" s="152"/>
      <c r="D79" s="152"/>
      <c r="E79" s="152"/>
      <c r="F79" s="153"/>
      <c r="G79" s="153"/>
      <c r="H79" s="153"/>
      <c r="I79" s="153"/>
    </row>
    <row r="80" spans="1:9">
      <c r="B80" s="152" t="s">
        <v>297</v>
      </c>
      <c r="C80" s="152" t="s">
        <v>102</v>
      </c>
    </row>
    <row r="81" spans="3:3">
      <c r="C81" s="152" t="s">
        <v>101</v>
      </c>
    </row>
    <row r="82" spans="3:3">
      <c r="C82" s="152" t="s">
        <v>100</v>
      </c>
    </row>
    <row r="92" spans="3:3">
      <c r="C92" s="115"/>
    </row>
    <row r="93" spans="3:3">
      <c r="C93" s="115"/>
    </row>
    <row r="94" spans="3:3">
      <c r="C94" s="115"/>
    </row>
    <row r="101" spans="3:19">
      <c r="C101" s="330"/>
      <c r="J101" s="330"/>
      <c r="K101" s="330"/>
      <c r="L101" s="330"/>
      <c r="M101" s="330"/>
      <c r="N101" s="330"/>
      <c r="O101" s="330"/>
      <c r="P101" s="330"/>
      <c r="Q101" s="330"/>
      <c r="R101" s="330"/>
      <c r="S101" s="330"/>
    </row>
    <row r="102" spans="3:19">
      <c r="C102" s="330"/>
      <c r="J102" s="330"/>
      <c r="K102" s="330"/>
      <c r="L102" s="330"/>
      <c r="M102" s="330"/>
      <c r="N102" s="330"/>
      <c r="O102" s="330"/>
      <c r="P102" s="330"/>
      <c r="Q102" s="330"/>
      <c r="R102" s="330"/>
      <c r="S102" s="330"/>
    </row>
    <row r="103" spans="3:19">
      <c r="C103" s="330"/>
      <c r="J103" s="330"/>
      <c r="K103" s="330"/>
      <c r="L103" s="330"/>
      <c r="M103" s="330"/>
      <c r="N103" s="330"/>
      <c r="O103" s="330"/>
      <c r="P103" s="330"/>
      <c r="Q103" s="330"/>
      <c r="R103" s="330"/>
      <c r="S103" s="330"/>
    </row>
    <row r="104" spans="3:19">
      <c r="C104" s="330"/>
      <c r="J104" s="330"/>
      <c r="K104" s="330"/>
      <c r="L104" s="330"/>
      <c r="M104" s="330"/>
      <c r="N104" s="330"/>
      <c r="O104" s="330"/>
      <c r="P104" s="330"/>
      <c r="Q104" s="330"/>
      <c r="R104" s="330"/>
      <c r="S104" s="330"/>
    </row>
    <row r="105" spans="3:19">
      <c r="C105" s="330"/>
      <c r="J105" s="330"/>
      <c r="K105" s="330"/>
      <c r="L105" s="330"/>
      <c r="M105" s="330"/>
      <c r="N105" s="330"/>
      <c r="O105" s="330"/>
      <c r="P105" s="330"/>
      <c r="Q105" s="330"/>
      <c r="R105" s="330"/>
      <c r="S105" s="330"/>
    </row>
  </sheetData>
  <mergeCells count="1">
    <mergeCell ref="E12:I12"/>
  </mergeCells>
  <phoneticPr fontId="2" type="noConversion"/>
  <conditionalFormatting sqref="C21:I50">
    <cfRule type="cellIs" dxfId="1" priority="1" operator="equal">
      <formula>0</formula>
    </cfRule>
  </conditionalFormatting>
  <conditionalFormatting sqref="E65 B66:I71">
    <cfRule type="expression" dxfId="0" priority="18">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5"/>
  <sheetViews>
    <sheetView showGridLines="0" topLeftCell="A43" zoomScale="75" zoomScaleNormal="100" workbookViewId="0">
      <selection activeCell="C71" sqref="C7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140</v>
      </c>
      <c r="C2" s="37"/>
      <c r="D2" s="37"/>
      <c r="E2" s="37"/>
      <c r="F2" s="37"/>
      <c r="H2" s="244" t="s">
        <v>554</v>
      </c>
      <c r="I2" s="245"/>
    </row>
    <row r="3" spans="2:9" ht="13.15">
      <c r="B3" s="156" t="s">
        <v>143</v>
      </c>
      <c r="H3" s="243">
        <v>0</v>
      </c>
      <c r="I3" s="124">
        <f>-Market_Price</f>
        <v>-13.11</v>
      </c>
    </row>
    <row r="4" spans="2:9">
      <c r="B4" s="149" t="s">
        <v>141</v>
      </c>
      <c r="C4" s="120">
        <v>3</v>
      </c>
      <c r="D4" s="120"/>
      <c r="E4" s="152" t="s">
        <v>145</v>
      </c>
      <c r="F4" s="152"/>
      <c r="H4" s="243">
        <v>1</v>
      </c>
      <c r="I4" s="124">
        <f t="shared" ref="I4:I13" si="0">IF(ROW()-3 &lt; $C$81, $C$82, IF(ROW()-3 = $C$81, $C$82 + $C$60, ""))</f>
        <v>0</v>
      </c>
    </row>
    <row r="5" spans="2:9">
      <c r="H5" s="243">
        <v>2</v>
      </c>
      <c r="I5" s="124">
        <f t="shared" si="0"/>
        <v>0</v>
      </c>
    </row>
    <row r="6" spans="2:9" ht="13.15">
      <c r="B6" s="156" t="s">
        <v>92</v>
      </c>
      <c r="C6" s="107">
        <f>DCF!C3</f>
        <v>1000</v>
      </c>
      <c r="E6" s="100" t="s">
        <v>271</v>
      </c>
      <c r="F6" s="100"/>
      <c r="H6" s="243">
        <v>3</v>
      </c>
      <c r="I6" s="124">
        <f t="shared" si="0"/>
        <v>12.001067299630469</v>
      </c>
    </row>
    <row r="7" spans="2:9" ht="12.75" customHeight="1">
      <c r="B7" s="100" t="s">
        <v>267</v>
      </c>
      <c r="C7" s="330">
        <f>Normalized_FCF!G8</f>
        <v>5859134</v>
      </c>
      <c r="D7" t="str">
        <f>Reporting_currency</f>
        <v>CNY</v>
      </c>
      <c r="E7" s="382"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5-year scenarios (Success Scenario, Devil’s Advocate Scenario) for 海底捞(6862.HK). Each scenario should include the Compound Growth Rate, the Probability Assessment, and the Business Narrative.</v>
      </c>
      <c r="F7" s="382"/>
      <c r="H7" s="243">
        <v>4</v>
      </c>
      <c r="I7" s="124" t="str">
        <f t="shared" si="0"/>
        <v/>
      </c>
    </row>
    <row r="8" spans="2:9">
      <c r="B8" s="100" t="s">
        <v>64</v>
      </c>
      <c r="C8" s="330">
        <f>Normalized_FCF!G19</f>
        <v>3856188.6842916571</v>
      </c>
      <c r="D8" t="str">
        <f>Reporting_currency</f>
        <v>CNY</v>
      </c>
      <c r="E8" s="382"/>
      <c r="F8" s="382"/>
      <c r="H8" s="243">
        <v>5</v>
      </c>
      <c r="I8" s="124" t="str">
        <f t="shared" si="0"/>
        <v/>
      </c>
    </row>
    <row r="9" spans="2:9">
      <c r="B9" s="100" t="s">
        <v>55</v>
      </c>
      <c r="C9" s="330">
        <f>Normalized_FCF!C19</f>
        <v>3593208.0958338827</v>
      </c>
      <c r="D9" t="str">
        <f>Reporting_currency</f>
        <v>CNY</v>
      </c>
      <c r="E9" s="382"/>
      <c r="F9" s="382"/>
      <c r="H9" s="243">
        <v>6</v>
      </c>
      <c r="I9" s="124" t="str">
        <f t="shared" si="0"/>
        <v/>
      </c>
    </row>
    <row r="10" spans="2:9">
      <c r="E10" s="382"/>
      <c r="F10" s="382"/>
      <c r="H10" s="243">
        <v>7</v>
      </c>
      <c r="I10" s="124" t="str">
        <f t="shared" si="0"/>
        <v/>
      </c>
    </row>
    <row r="11" spans="2:9" ht="13.15">
      <c r="B11" s="156" t="s">
        <v>407</v>
      </c>
      <c r="E11" s="382"/>
      <c r="F11" s="382"/>
      <c r="H11" s="243">
        <v>8</v>
      </c>
      <c r="I11" s="124" t="str">
        <f t="shared" si="0"/>
        <v/>
      </c>
    </row>
    <row r="12" spans="2:9">
      <c r="B12" s="118" t="s">
        <v>139</v>
      </c>
      <c r="C12" s="155" t="e">
        <f ca="1">(Normalized_FCF!G4/OFFSET(Normalized_FCF!G4, 0, $C$4))^(1/$C$4) - 1</f>
        <v>#VALUE!</v>
      </c>
      <c r="D12" s="155"/>
      <c r="E12" s="382"/>
      <c r="F12" s="382"/>
      <c r="H12" s="243">
        <v>9</v>
      </c>
      <c r="I12" s="124" t="str">
        <f t="shared" si="0"/>
        <v/>
      </c>
    </row>
    <row r="13" spans="2:9">
      <c r="B13" s="145" t="s">
        <v>147</v>
      </c>
      <c r="C13" s="155" t="e">
        <f ca="1">(Normalized_FCF!G8/OFFSET(Normalized_FCF!G8, 0, $C$4))^(1/$C$4) - 1</f>
        <v>#VALUE!</v>
      </c>
      <c r="E13" s="382"/>
      <c r="F13" s="382"/>
      <c r="H13" s="243">
        <v>10</v>
      </c>
      <c r="I13" s="124" t="str">
        <f t="shared" si="0"/>
        <v/>
      </c>
    </row>
    <row r="14" spans="2:9">
      <c r="B14" s="100" t="s">
        <v>64</v>
      </c>
      <c r="C14" s="155" t="e">
        <f ca="1">(Normalized_FCF!G19/OFFSET(Normalized_FCF!G19, 0, $C$4))^(1/$C$4) - 1</f>
        <v>#VALUE!</v>
      </c>
      <c r="E14" s="382"/>
      <c r="F14" s="382"/>
      <c r="H14" s="100" t="s">
        <v>553</v>
      </c>
    </row>
    <row r="16" spans="2:9" ht="13.9">
      <c r="B16" s="36" t="s">
        <v>157</v>
      </c>
      <c r="C16" s="37"/>
      <c r="D16" s="37"/>
      <c r="E16" s="37"/>
      <c r="F16" s="37"/>
    </row>
    <row r="17" spans="2:6" ht="13.15">
      <c r="B17" s="109" t="s">
        <v>146</v>
      </c>
      <c r="E17" s="156" t="s">
        <v>316</v>
      </c>
    </row>
    <row r="18" spans="2:6">
      <c r="B18" s="149" t="s">
        <v>128</v>
      </c>
      <c r="C18" s="147">
        <v>5</v>
      </c>
      <c r="E18" s="382" t="s">
        <v>538</v>
      </c>
      <c r="F18" s="383"/>
    </row>
    <row r="19" spans="2:6">
      <c r="E19" s="383"/>
      <c r="F19" s="383"/>
    </row>
    <row r="20" spans="2:6" ht="13.15">
      <c r="B20" s="156" t="s">
        <v>294</v>
      </c>
      <c r="E20" s="383"/>
      <c r="F20" s="383"/>
    </row>
    <row r="21" spans="2:6">
      <c r="B21" s="100" t="s">
        <v>269</v>
      </c>
      <c r="C21" s="157">
        <f>Market_Price</f>
        <v>13.11</v>
      </c>
      <c r="D21" t="str">
        <f>Market_currency</f>
        <v>HKD</v>
      </c>
      <c r="E21" s="383"/>
      <c r="F21" s="383"/>
    </row>
    <row r="22" spans="2:6">
      <c r="B22" s="100" t="s">
        <v>270</v>
      </c>
      <c r="C22" s="157">
        <f>IF(valuation_method="DCF",DCF!C12,#REF!)</f>
        <v>9.6302114766702562</v>
      </c>
      <c r="D22" t="str">
        <f>Market_currency</f>
        <v>HKD</v>
      </c>
      <c r="E22" s="383"/>
      <c r="F22" s="383"/>
    </row>
    <row r="24" spans="2:6" ht="13.15">
      <c r="B24" s="156" t="s">
        <v>111</v>
      </c>
      <c r="E24" s="156" t="s">
        <v>144</v>
      </c>
      <c r="F24" s="156"/>
    </row>
    <row r="25" spans="2:6">
      <c r="B25" s="149" t="s">
        <v>128</v>
      </c>
      <c r="C25" s="163">
        <f>C18</f>
        <v>5</v>
      </c>
      <c r="D25" s="160"/>
      <c r="E25" s="381"/>
      <c r="F25" s="381"/>
    </row>
    <row r="26" spans="2:6">
      <c r="B26" s="118" t="s">
        <v>129</v>
      </c>
      <c r="C26" s="161">
        <v>0.05</v>
      </c>
      <c r="D26" s="161"/>
      <c r="E26" s="381"/>
      <c r="F26" s="381"/>
    </row>
    <row r="27" spans="2:6">
      <c r="B27" s="100" t="s">
        <v>109</v>
      </c>
      <c r="C27" s="157">
        <f>IF(valuation_method="DCF",DCF!E76,#REF!)</f>
        <v>11.889650205440322</v>
      </c>
      <c r="D27" s="157" t="str">
        <f>Market_currency</f>
        <v>HKD</v>
      </c>
      <c r="E27" s="381"/>
      <c r="F27" s="381"/>
    </row>
    <row r="28" spans="2:6">
      <c r="B28" s="100" t="s">
        <v>142</v>
      </c>
      <c r="C28" s="162">
        <v>0.6</v>
      </c>
      <c r="D28" s="162"/>
      <c r="E28" s="381"/>
      <c r="F28" s="381"/>
    </row>
    <row r="30" spans="2:6" ht="13.15">
      <c r="B30" s="156" t="s">
        <v>112</v>
      </c>
      <c r="E30" s="156" t="s">
        <v>144</v>
      </c>
      <c r="F30" s="156"/>
    </row>
    <row r="31" spans="2:6">
      <c r="B31" s="149" t="s">
        <v>128</v>
      </c>
      <c r="C31" s="163">
        <f>C18</f>
        <v>5</v>
      </c>
      <c r="D31" s="160"/>
      <c r="E31" s="381"/>
      <c r="F31" s="381"/>
    </row>
    <row r="32" spans="2:6">
      <c r="B32" s="118" t="s">
        <v>129</v>
      </c>
      <c r="C32" s="161">
        <v>0.02</v>
      </c>
      <c r="D32" s="161"/>
      <c r="E32" s="381"/>
      <c r="F32" s="381"/>
    </row>
    <row r="33" spans="2:6">
      <c r="B33" s="100" t="s">
        <v>109</v>
      </c>
      <c r="C33" s="157">
        <f>IF(valuation_method="DCF",DCF!E77,#REF!)</f>
        <v>10.48496126875135</v>
      </c>
      <c r="D33" t="str">
        <f>Market_currency</f>
        <v>HKD</v>
      </c>
      <c r="E33" s="381"/>
      <c r="F33" s="381"/>
    </row>
    <row r="34" spans="2:6">
      <c r="B34" s="100" t="s">
        <v>142</v>
      </c>
      <c r="C34" s="162">
        <v>0.2</v>
      </c>
      <c r="D34" s="162"/>
      <c r="E34" s="381"/>
      <c r="F34" s="381"/>
    </row>
    <row r="36" spans="2:6" ht="13.15">
      <c r="B36" s="156" t="s">
        <v>110</v>
      </c>
      <c r="E36" s="156" t="s">
        <v>144</v>
      </c>
      <c r="F36" s="156"/>
    </row>
    <row r="37" spans="2:6">
      <c r="B37" s="149" t="s">
        <v>128</v>
      </c>
      <c r="C37" s="163">
        <f>C18</f>
        <v>5</v>
      </c>
      <c r="D37" s="160"/>
      <c r="E37" s="381"/>
      <c r="F37" s="381"/>
    </row>
    <row r="38" spans="2:6">
      <c r="B38" s="118" t="s">
        <v>129</v>
      </c>
      <c r="C38" s="161">
        <v>0.08</v>
      </c>
      <c r="D38" s="161"/>
      <c r="E38" s="381"/>
      <c r="F38" s="381"/>
    </row>
    <row r="39" spans="2:6">
      <c r="B39" s="100" t="s">
        <v>109</v>
      </c>
      <c r="C39" s="157">
        <f>IF(valuation_method="DCF",DCF!E75,#REF!)</f>
        <v>13.45280731489672</v>
      </c>
      <c r="D39" t="str">
        <f>Market_currency</f>
        <v>HKD</v>
      </c>
      <c r="E39" s="381"/>
      <c r="F39" s="381"/>
    </row>
    <row r="40" spans="2:6">
      <c r="B40" s="100" t="s">
        <v>142</v>
      </c>
      <c r="C40" s="164">
        <f>1-C28-C34</f>
        <v>0.2</v>
      </c>
      <c r="D40" s="162"/>
      <c r="E40" s="381"/>
      <c r="F40" s="381"/>
    </row>
    <row r="42" spans="2:6" ht="13.15">
      <c r="B42" s="100" t="s">
        <v>116</v>
      </c>
      <c r="C42" s="151">
        <f>C27*C28+C33*C34+C39*C40</f>
        <v>11.921343839993808</v>
      </c>
      <c r="D42" t="str">
        <f>Market_currency</f>
        <v>HKD</v>
      </c>
    </row>
    <row r="44" spans="2:6" ht="13.9">
      <c r="B44" s="36" t="s">
        <v>156</v>
      </c>
      <c r="C44" s="37"/>
      <c r="D44" s="37"/>
      <c r="E44" s="37"/>
      <c r="F44" s="37"/>
    </row>
    <row r="45" spans="2:6" ht="13.15">
      <c r="B45" s="109" t="s">
        <v>146</v>
      </c>
    </row>
    <row r="46" spans="2:6">
      <c r="B46" s="149" t="s">
        <v>128</v>
      </c>
      <c r="C46" s="163">
        <f>C18</f>
        <v>5</v>
      </c>
      <c r="E46" s="100"/>
      <c r="F46" s="100"/>
    </row>
    <row r="47" spans="2:6" ht="13.15">
      <c r="B47" s="156"/>
      <c r="E47" s="156"/>
      <c r="F47" s="156"/>
    </row>
    <row r="48" spans="2:6" ht="13.15">
      <c r="B48" s="156" t="s">
        <v>160</v>
      </c>
      <c r="E48" s="156" t="s">
        <v>144</v>
      </c>
      <c r="F48" s="156"/>
    </row>
    <row r="49" spans="2:6" ht="12.75" customHeight="1">
      <c r="B49" s="149" t="s">
        <v>128</v>
      </c>
      <c r="C49" s="163">
        <f>C46</f>
        <v>5</v>
      </c>
      <c r="D49" s="160"/>
      <c r="E49" s="381"/>
      <c r="F49" s="381"/>
    </row>
    <row r="50" spans="2:6">
      <c r="B50" s="118" t="s">
        <v>129</v>
      </c>
      <c r="C50" s="161">
        <v>0</v>
      </c>
      <c r="D50" s="161"/>
      <c r="E50" s="381"/>
      <c r="F50" s="381"/>
    </row>
    <row r="51" spans="2:6">
      <c r="B51" s="100" t="s">
        <v>109</v>
      </c>
      <c r="C51" s="157">
        <f>IF(valuation_method="DCF",DCF!E78,#REF!)</f>
        <v>9.630211476670258</v>
      </c>
      <c r="D51" t="str">
        <f>Market_currency</f>
        <v>HKD</v>
      </c>
      <c r="E51" s="381"/>
      <c r="F51" s="381"/>
    </row>
    <row r="52" spans="2:6">
      <c r="B52" s="100" t="s">
        <v>142</v>
      </c>
      <c r="C52" s="162">
        <v>0.05</v>
      </c>
      <c r="D52" s="162"/>
      <c r="E52" s="381"/>
      <c r="F52" s="381"/>
    </row>
    <row r="54" spans="2:6" ht="13.15">
      <c r="B54" s="156" t="s">
        <v>302</v>
      </c>
      <c r="E54" s="156" t="s">
        <v>144</v>
      </c>
      <c r="F54" s="156"/>
    </row>
    <row r="55" spans="2:6">
      <c r="B55" s="149" t="s">
        <v>128</v>
      </c>
      <c r="C55" s="163">
        <f>C46</f>
        <v>5</v>
      </c>
      <c r="D55" s="160"/>
      <c r="E55" s="381"/>
      <c r="F55" s="381"/>
    </row>
    <row r="56" spans="2:6">
      <c r="B56" s="118" t="s">
        <v>129</v>
      </c>
      <c r="C56" s="161">
        <v>0.12</v>
      </c>
      <c r="D56" s="161"/>
      <c r="E56" s="381"/>
      <c r="F56" s="381"/>
    </row>
    <row r="57" spans="2:6">
      <c r="B57" s="100" t="s">
        <v>109</v>
      </c>
      <c r="C57" s="157">
        <f>IF(valuation_method="DCF",DCF!E74,#REF!)</f>
        <v>15.806945396050573</v>
      </c>
      <c r="D57" t="str">
        <f>Market_currency</f>
        <v>HKD</v>
      </c>
      <c r="E57" s="381"/>
      <c r="F57" s="381"/>
    </row>
    <row r="58" spans="2:6">
      <c r="B58" s="100" t="s">
        <v>142</v>
      </c>
      <c r="C58" s="162">
        <v>0.05</v>
      </c>
      <c r="D58" s="162"/>
      <c r="E58" s="381"/>
      <c r="F58" s="381"/>
    </row>
    <row r="60" spans="2:6" ht="13.15">
      <c r="B60" s="100" t="s">
        <v>116</v>
      </c>
      <c r="C60" s="151">
        <f>C51*C52+C57*C58+C42*(1-C52-C58)</f>
        <v>12.001067299630469</v>
      </c>
      <c r="D60" t="str">
        <f>Market_currency</f>
        <v>HKD</v>
      </c>
      <c r="E60" s="100" t="s">
        <v>287</v>
      </c>
      <c r="F60" s="273">
        <f>Thesis!E25</f>
        <v>3</v>
      </c>
    </row>
    <row r="62" spans="2:6" ht="13.9">
      <c r="B62" s="36" t="s">
        <v>156</v>
      </c>
      <c r="C62" s="37"/>
      <c r="D62" s="37"/>
      <c r="E62" s="37"/>
      <c r="F62" s="37"/>
    </row>
    <row r="63" spans="2:6">
      <c r="E63" s="248" t="s">
        <v>298</v>
      </c>
    </row>
    <row r="64" spans="2:6">
      <c r="B64" t="s">
        <v>551</v>
      </c>
      <c r="C64" s="148">
        <f>DCF!F6</f>
        <v>0.39398348375455328</v>
      </c>
      <c r="E64" s="100" t="s">
        <v>555</v>
      </c>
    </row>
    <row r="65" spans="2:6">
      <c r="B65" s="100" t="s">
        <v>552</v>
      </c>
      <c r="C65" s="368" t="str">
        <f>IF(DCF!I4="II","2","1")&amp;"-stage DCF"</f>
        <v>1-stage DCF</v>
      </c>
    </row>
    <row r="67" spans="2:6" ht="13.9">
      <c r="B67" s="36" t="s">
        <v>331</v>
      </c>
      <c r="C67" s="37"/>
      <c r="D67" s="37"/>
      <c r="E67" s="37"/>
      <c r="F67" s="37"/>
    </row>
    <row r="68" spans="2:6" ht="13.15">
      <c r="B68" s="109" t="s">
        <v>295</v>
      </c>
      <c r="E68" s="248" t="s">
        <v>298</v>
      </c>
    </row>
    <row r="69" spans="2:6">
      <c r="B69" s="149" t="s">
        <v>128</v>
      </c>
      <c r="C69" s="163">
        <f>C18</f>
        <v>5</v>
      </c>
      <c r="D69" s="147"/>
      <c r="E69" s="247" t="s">
        <v>368</v>
      </c>
    </row>
    <row r="70" spans="2:6">
      <c r="B70" s="118" t="s">
        <v>129</v>
      </c>
      <c r="C70" s="148">
        <v>5.2329465051445014E-2</v>
      </c>
      <c r="D70" s="148"/>
      <c r="E70" s="247" t="s">
        <v>299</v>
      </c>
    </row>
    <row r="71" spans="2:6">
      <c r="B71" s="100" t="s">
        <v>99</v>
      </c>
      <c r="C71" s="157">
        <f>IF(valuation_method="DCF",DCF!C18,#REF!)</f>
        <v>12.005183904376981</v>
      </c>
      <c r="D71" s="157" t="str">
        <f>Market_currency</f>
        <v>HKD</v>
      </c>
      <c r="E71" s="247" t="s">
        <v>300</v>
      </c>
    </row>
    <row r="73" spans="2:6" ht="13.15">
      <c r="B73" s="109" t="s">
        <v>332</v>
      </c>
      <c r="E73" s="248" t="s">
        <v>301</v>
      </c>
    </row>
    <row r="74" spans="2:6">
      <c r="B74" s="100" t="s">
        <v>296</v>
      </c>
      <c r="C74" s="240" t="str">
        <f>IF(C60&lt;C22,"Y","N")</f>
        <v>N</v>
      </c>
      <c r="E74" s="133"/>
    </row>
    <row r="75" spans="2:6">
      <c r="B75" s="100" t="s">
        <v>285</v>
      </c>
      <c r="C75" s="240" t="str">
        <f>IF(C74="Y","N",IF(C70&gt;8%,"N","Y"))</f>
        <v>Y</v>
      </c>
      <c r="E75" s="247" t="s">
        <v>286</v>
      </c>
    </row>
    <row r="76" spans="2:6">
      <c r="B76" s="100" t="s">
        <v>284</v>
      </c>
      <c r="C76" s="240" t="str">
        <f>IF(C70&gt;8%,"Y","N")</f>
        <v>N</v>
      </c>
      <c r="E76" s="247"/>
    </row>
    <row r="77" spans="2:6">
      <c r="B77" s="100" t="s">
        <v>276</v>
      </c>
      <c r="C77" s="239" t="str">
        <f>IF(F77&gt;50%,"Y","N")</f>
        <v>N</v>
      </c>
      <c r="E77" s="133" t="s">
        <v>328</v>
      </c>
      <c r="F77" s="287">
        <f>BS!D89/C60</f>
        <v>2.009853297565092E-2</v>
      </c>
    </row>
    <row r="79" spans="2:6" ht="13.9">
      <c r="B79" s="36" t="s">
        <v>123</v>
      </c>
      <c r="C79" s="37"/>
      <c r="D79" s="37"/>
      <c r="E79" s="37"/>
      <c r="F79" s="37"/>
    </row>
    <row r="80" spans="2:6" ht="13.15">
      <c r="B80" s="109" t="s">
        <v>121</v>
      </c>
    </row>
    <row r="81" spans="2:6">
      <c r="B81" s="242" t="s">
        <v>288</v>
      </c>
      <c r="C81" s="241">
        <f>F60</f>
        <v>3</v>
      </c>
      <c r="D81" s="133"/>
    </row>
    <row r="82" spans="2:6">
      <c r="B82" s="100" t="s">
        <v>419</v>
      </c>
      <c r="C82" s="169">
        <f>Normalized_FCF!C88*(1-dividend_tax_rate)</f>
        <v>0</v>
      </c>
      <c r="D82" t="str">
        <f>Market_currency</f>
        <v>HKD</v>
      </c>
    </row>
    <row r="84" spans="2:6" ht="13.15">
      <c r="B84" s="109" t="s">
        <v>292</v>
      </c>
    </row>
    <row r="85" spans="2:6">
      <c r="B85" s="145" t="s">
        <v>290</v>
      </c>
      <c r="C85" s="164">
        <f>Thesis!E29</f>
        <v>0.35</v>
      </c>
    </row>
    <row r="86" spans="2:6">
      <c r="B86" s="100" t="s">
        <v>117</v>
      </c>
      <c r="C86" s="116">
        <f>PV(C85, C81, -C82, 0)</f>
        <v>0</v>
      </c>
      <c r="D86" s="116"/>
      <c r="E86" s="100"/>
      <c r="F86" s="100"/>
    </row>
    <row r="87" spans="2:6">
      <c r="B87" s="100" t="s">
        <v>118</v>
      </c>
      <c r="C87" s="116">
        <f>C60/(1+C85)^C81</f>
        <v>4.877739084338959</v>
      </c>
      <c r="D87" s="116"/>
    </row>
    <row r="88" spans="2:6" ht="13.15">
      <c r="B88" s="110" t="s">
        <v>98</v>
      </c>
      <c r="C88" s="111">
        <f>C86+C87</f>
        <v>4.877739084338959</v>
      </c>
      <c r="D88" t="str">
        <f>Market_currency</f>
        <v>HKD</v>
      </c>
      <c r="E88" s="143" t="s">
        <v>122</v>
      </c>
      <c r="F88" s="287">
        <f>(1-C88/C60)</f>
        <v>0.59355789259767322</v>
      </c>
    </row>
    <row r="89" spans="2:6">
      <c r="E89" s="120"/>
    </row>
    <row r="90" spans="2:6" ht="13.15">
      <c r="B90" s="109" t="s">
        <v>293</v>
      </c>
    </row>
    <row r="91" spans="2:6">
      <c r="B91" s="145" t="s">
        <v>291</v>
      </c>
      <c r="C91" s="116">
        <f>Market_Price</f>
        <v>13.11</v>
      </c>
      <c r="D91" t="str">
        <f>Market_currency</f>
        <v>HKD</v>
      </c>
    </row>
    <row r="92" spans="2:6" ht="13.15">
      <c r="B92" s="100" t="s">
        <v>289</v>
      </c>
      <c r="C92" s="233">
        <f ca="1">IRR(OFFSET($I$3, 0, 0, $C$81 + 1, 1))</f>
        <v>-2.9030190583519189E-2</v>
      </c>
    </row>
    <row r="93" spans="2:6">
      <c r="B93" s="100"/>
    </row>
    <row r="94" spans="2:6" ht="13.15">
      <c r="B94" s="109" t="s">
        <v>384</v>
      </c>
    </row>
    <row r="95" spans="2:6">
      <c r="B95" s="145" t="s">
        <v>385</v>
      </c>
      <c r="C95" s="164">
        <f>Thesis!E30</f>
        <v>0.25</v>
      </c>
    </row>
    <row r="96" spans="2:6">
      <c r="B96" s="100" t="s">
        <v>117</v>
      </c>
      <c r="C96" s="116">
        <f>PV(C95, C81, -C82, 0)</f>
        <v>0</v>
      </c>
      <c r="D96" s="116"/>
      <c r="E96" s="100"/>
      <c r="F96" s="100"/>
    </row>
    <row r="97" spans="2:8">
      <c r="B97" s="100" t="s">
        <v>118</v>
      </c>
      <c r="C97" s="116">
        <f>C60/(1+C95)^C81</f>
        <v>6.1445464574108</v>
      </c>
      <c r="D97" s="116"/>
    </row>
    <row r="98" spans="2:8" ht="13.15">
      <c r="B98" s="110" t="s">
        <v>98</v>
      </c>
      <c r="C98" s="111">
        <f>C96+C97</f>
        <v>6.1445464574108</v>
      </c>
      <c r="D98" t="str">
        <f>Market_currency</f>
        <v>HKD</v>
      </c>
      <c r="E98" s="143" t="s">
        <v>122</v>
      </c>
      <c r="F98" s="287">
        <f>(1-C98/C60)</f>
        <v>0.48799999999999999</v>
      </c>
    </row>
    <row r="100" spans="2:8" ht="13.15">
      <c r="B100" s="109" t="s">
        <v>370</v>
      </c>
      <c r="G100" s="2"/>
      <c r="H100" s="277"/>
    </row>
    <row r="101" spans="2:8">
      <c r="B101" s="145" t="s">
        <v>375</v>
      </c>
      <c r="C101" s="133">
        <f>Thesis!E24</f>
        <v>7.4999999999999997E-2</v>
      </c>
      <c r="G101" s="2"/>
      <c r="H101" s="277"/>
    </row>
    <row r="102" spans="2:8">
      <c r="B102" s="100" t="s">
        <v>117</v>
      </c>
      <c r="C102" s="116">
        <f>PV(C101, C81, -C82, 0)</f>
        <v>0</v>
      </c>
      <c r="D102" s="116"/>
      <c r="G102" s="2"/>
      <c r="H102" s="277"/>
    </row>
    <row r="103" spans="2:8">
      <c r="B103" s="100" t="s">
        <v>118</v>
      </c>
      <c r="C103" s="116">
        <f>C60/(1+C101)^C81</f>
        <v>9.6603859682336157</v>
      </c>
      <c r="D103" s="116"/>
      <c r="G103" s="2"/>
      <c r="H103" s="277"/>
    </row>
    <row r="104" spans="2:8" ht="13.15">
      <c r="B104" s="110" t="s">
        <v>371</v>
      </c>
      <c r="C104" s="111">
        <f>C102+C103</f>
        <v>9.6603859682336157</v>
      </c>
      <c r="D104" t="s">
        <v>369</v>
      </c>
      <c r="E104" s="143" t="s">
        <v>122</v>
      </c>
      <c r="F104" s="287">
        <f>(1-C104/C60)</f>
        <v>0.19503943049039696</v>
      </c>
    </row>
    <row r="105" spans="2:8">
      <c r="B105" s="100"/>
    </row>
    <row r="106" spans="2:8" ht="13.15">
      <c r="B106" s="109" t="s">
        <v>390</v>
      </c>
    </row>
    <row r="107" spans="2:8">
      <c r="B107" s="145" t="s">
        <v>389</v>
      </c>
      <c r="C107" s="133">
        <f>Thesis!E31</f>
        <v>0.1174</v>
      </c>
    </row>
    <row r="108" spans="2:8">
      <c r="B108" s="100" t="s">
        <v>117</v>
      </c>
      <c r="C108" s="116">
        <f>PV(C107, C81, -C82, 0)</f>
        <v>0</v>
      </c>
      <c r="D108" s="116"/>
    </row>
    <row r="109" spans="2:8">
      <c r="B109" s="100" t="s">
        <v>118</v>
      </c>
      <c r="C109" s="116">
        <f>C60/(1+C107)^C81</f>
        <v>8.6018897142802313</v>
      </c>
      <c r="D109" s="116"/>
    </row>
    <row r="110" spans="2:8" ht="13.15">
      <c r="B110" s="110" t="s">
        <v>371</v>
      </c>
      <c r="C110" s="111">
        <f>C108+C109</f>
        <v>8.6018897142802313</v>
      </c>
      <c r="D110" t="s">
        <v>369</v>
      </c>
      <c r="E110" s="143" t="s">
        <v>122</v>
      </c>
      <c r="F110" s="287">
        <f>(1-C110/C71)</f>
        <v>0.28348538574706383</v>
      </c>
    </row>
    <row r="111" spans="2:8">
      <c r="B111" s="100"/>
    </row>
    <row r="112" spans="2:8" ht="14.65">
      <c r="E112" s="281" t="s">
        <v>311</v>
      </c>
      <c r="F112" s="278"/>
    </row>
    <row r="113" spans="5:6" ht="13.9">
      <c r="E113" s="274" t="s">
        <v>312</v>
      </c>
      <c r="F113" s="279" t="s">
        <v>313</v>
      </c>
    </row>
    <row r="114" spans="5:6" ht="13.9">
      <c r="E114" s="275" t="s">
        <v>312</v>
      </c>
      <c r="F114" s="279" t="s">
        <v>314</v>
      </c>
    </row>
    <row r="115" spans="5:6" ht="13.9">
      <c r="E115" s="276" t="s">
        <v>312</v>
      </c>
      <c r="F115" s="280" t="s">
        <v>315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689B-F36D-4933-9EEF-92EBF45B6A8E}">
  <dimension ref="B2:E2"/>
  <sheetViews>
    <sheetView showGridLines="0" workbookViewId="0">
      <selection activeCell="D31" sqref="D31"/>
    </sheetView>
  </sheetViews>
  <sheetFormatPr defaultRowHeight="12.75"/>
  <cols>
    <col min="1" max="1" width="2.59765625" customWidth="1"/>
    <col min="2" max="2" width="22.73046875" customWidth="1"/>
    <col min="3" max="5" width="20.73046875" customWidth="1"/>
  </cols>
  <sheetData>
    <row r="2" spans="2:5" ht="13.9">
      <c r="B2" s="36" t="s">
        <v>420</v>
      </c>
      <c r="C2" s="37"/>
      <c r="D2" s="37"/>
      <c r="E2" s="3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421</v>
      </c>
      <c r="C1" s="33">
        <f>Thesis!C1</f>
        <v>45917</v>
      </c>
      <c r="D1" s="349" t="str">
        <f>Thesis!D1</f>
        <v>INT</v>
      </c>
      <c r="E1" s="288" t="s">
        <v>335</v>
      </c>
      <c r="F1" s="303" t="str">
        <f>Thesis!F1</f>
        <v>N</v>
      </c>
    </row>
    <row r="2" spans="1:10" ht="13.9">
      <c r="A2" s="218" t="s">
        <v>422</v>
      </c>
      <c r="B2" s="36"/>
      <c r="C2" s="36"/>
      <c r="D2" s="36"/>
      <c r="E2" s="36"/>
      <c r="F2" s="36"/>
      <c r="G2" s="22"/>
      <c r="H2" s="22"/>
      <c r="I2" s="22"/>
      <c r="J2" s="22"/>
    </row>
    <row r="4" spans="1:10">
      <c r="B4" s="45" t="s">
        <v>423</v>
      </c>
      <c r="C4" s="46"/>
      <c r="D4" s="5"/>
      <c r="E4" s="2"/>
      <c r="F4" s="2"/>
    </row>
    <row r="5" spans="1:10" ht="12.4">
      <c r="B5" s="4" t="s">
        <v>463</v>
      </c>
      <c r="C5" s="350" t="str">
        <f>Thesis!C5</f>
        <v>海底捞</v>
      </c>
    </row>
    <row r="6" spans="1:10">
      <c r="B6" s="4" t="s">
        <v>464</v>
      </c>
      <c r="C6" s="34">
        <f>Common_Shares</f>
        <v>5574000000</v>
      </c>
      <c r="E6" s="48"/>
    </row>
    <row r="7" spans="1:10">
      <c r="B7" s="2" t="s">
        <v>465</v>
      </c>
      <c r="C7" s="351">
        <f>Thesis!C7</f>
        <v>6</v>
      </c>
      <c r="D7" s="48"/>
      <c r="E7" s="48"/>
    </row>
    <row r="8" spans="1:10">
      <c r="B8" s="1" t="s">
        <v>466</v>
      </c>
      <c r="C8" s="33">
        <f>EOMONTH(EDATE(BS!C1,C7+2),0)</f>
        <v>46265</v>
      </c>
      <c r="E8" s="48"/>
    </row>
    <row r="9" spans="1:10">
      <c r="E9" s="34"/>
    </row>
    <row r="10" spans="1:10">
      <c r="B10" s="45" t="s">
        <v>424</v>
      </c>
      <c r="C10" s="46"/>
      <c r="E10" s="34"/>
    </row>
    <row r="11" spans="1:10">
      <c r="B11" s="1" t="s">
        <v>467</v>
      </c>
      <c r="C11" s="356" t="str">
        <f>Thesis!C11</f>
        <v>6862.HK</v>
      </c>
      <c r="D11" s="49"/>
      <c r="E11" s="34"/>
    </row>
    <row r="12" spans="1:10">
      <c r="B12" s="4" t="s">
        <v>468</v>
      </c>
      <c r="C12" s="357">
        <f>Market_Price</f>
        <v>13.11</v>
      </c>
      <c r="D12" s="50"/>
      <c r="E12" s="48"/>
    </row>
    <row r="13" spans="1:10">
      <c r="B13" s="1" t="s">
        <v>469</v>
      </c>
      <c r="C13" s="32" t="str">
        <f>Market_currency</f>
        <v>HKD</v>
      </c>
      <c r="D13" s="48"/>
      <c r="E13" s="5"/>
    </row>
    <row r="14" spans="1:10">
      <c r="B14" s="4" t="s">
        <v>470</v>
      </c>
      <c r="C14" s="35">
        <f>投资主题!C12*Common_Shares/1000000</f>
        <v>73075.14</v>
      </c>
      <c r="D14" s="35" t="str">
        <f>IF(D11="","",投资主题!D12*Common_Shares/1000000)</f>
        <v/>
      </c>
      <c r="E14" s="5"/>
    </row>
    <row r="15" spans="1:10">
      <c r="B15" s="4" t="s">
        <v>471</v>
      </c>
      <c r="C15" s="32" t="str">
        <f>IF(C25=C13,C13,C25&amp;"/"&amp;C13)</f>
        <v>CNY/HKD</v>
      </c>
      <c r="D15" s="32" t="str">
        <f>IF(D11="","",IF(C25=D13,D13,C25&amp;"/"&amp;D13))</f>
        <v/>
      </c>
      <c r="E15" s="5"/>
    </row>
    <row r="16" spans="1:10">
      <c r="B16" s="4" t="s">
        <v>472</v>
      </c>
      <c r="C16" s="357">
        <f>Exchange_Rate</f>
        <v>1.0923594000000001</v>
      </c>
      <c r="D16" s="50"/>
      <c r="E16" s="5"/>
    </row>
    <row r="17" spans="2:6">
      <c r="D17" s="5"/>
      <c r="E17" s="5"/>
    </row>
    <row r="18" spans="2:6" ht="24.6" customHeight="1">
      <c r="B18" s="374" t="s">
        <v>473</v>
      </c>
      <c r="C18" s="374"/>
      <c r="D18" s="374"/>
      <c r="E18" s="374"/>
      <c r="F18" s="374"/>
    </row>
    <row r="20" spans="2:6">
      <c r="B20" s="45" t="s">
        <v>474</v>
      </c>
      <c r="C20" s="46"/>
      <c r="D20" s="5"/>
    </row>
    <row r="21" spans="2:6">
      <c r="B21" s="2" t="s">
        <v>425</v>
      </c>
      <c r="C21" s="32" t="str">
        <f>IF(Scenarios!C74="Y",Scenarios!B74,"")&amp;IF(Scenarios!C75="Y",Scenarios!B75,"")&amp;IF(Scenarios!C76="Y",Scenarios!B76,"")&amp;" "&amp;IF(Scenarios!C77="Y",Scenarios!B77,"")</f>
        <v xml:space="preserve">Low Growth </v>
      </c>
      <c r="D21" s="1" t="s">
        <v>431</v>
      </c>
      <c r="E21" s="354" t="str">
        <f>valuation_method</f>
        <v>DCF</v>
      </c>
    </row>
    <row r="22" spans="2:6">
      <c r="B22" s="2" t="s">
        <v>426</v>
      </c>
      <c r="C22" s="32" t="str">
        <f>Thesis!C22</f>
        <v>CNS_01</v>
      </c>
      <c r="D22" s="1" t="str">
        <f>IF(valuation_method="DDM","终值贴现率","")</f>
        <v/>
      </c>
      <c r="E22" s="355">
        <f>Thesis!E22</f>
        <v>0</v>
      </c>
    </row>
    <row r="23" spans="2:6">
      <c r="B23" s="1" t="s">
        <v>427</v>
      </c>
      <c r="C23" s="249" t="str">
        <f>Thesis!C23</f>
        <v>N</v>
      </c>
    </row>
    <row r="24" spans="2:6">
      <c r="B24" s="1" t="s">
        <v>428</v>
      </c>
      <c r="C24" s="249" t="str">
        <f>Thesis!C24</f>
        <v>N</v>
      </c>
    </row>
    <row r="25" spans="2:6">
      <c r="B25" s="4" t="s">
        <v>429</v>
      </c>
      <c r="C25" s="32" t="str">
        <f>Reporting_currency</f>
        <v>CNY</v>
      </c>
      <c r="D25" s="32" t="str">
        <f>IF(D11="","",Market_currency&amp;"/"&amp;D13&amp;":")</f>
        <v/>
      </c>
      <c r="E25" s="295" t="str">
        <f>IF(D11="","",1/Exchange_Rate*D16)</f>
        <v/>
      </c>
    </row>
    <row r="26" spans="2:6">
      <c r="B26" s="1" t="str">
        <f>"预期股权价值 ("&amp;C13&amp;") :"</f>
        <v>预期股权价值 (HKD) :</v>
      </c>
      <c r="C26" s="300">
        <f>C132</f>
        <v>12.001067299630469</v>
      </c>
      <c r="D26" s="1" t="s">
        <v>430</v>
      </c>
      <c r="E26" s="297">
        <f ca="1">Scenarios!C92</f>
        <v>-2.9030190583519189E-2</v>
      </c>
    </row>
    <row r="27" spans="2:6">
      <c r="D27" s="5"/>
      <c r="E27" s="5"/>
    </row>
    <row r="28" spans="2:6">
      <c r="B28" s="45" t="s">
        <v>432</v>
      </c>
      <c r="C28" s="304" t="str">
        <f>C145&amp;" ("&amp;Market_currency&amp;")"</f>
        <v>6862.HK (HKD)</v>
      </c>
      <c r="D28" s="304" t="str">
        <f>IF(D11="","",D145&amp;" ("&amp;D13&amp;")")</f>
        <v/>
      </c>
      <c r="E28" s="301" t="s">
        <v>437</v>
      </c>
      <c r="F28" s="352">
        <f>Thesis!E25</f>
        <v>3</v>
      </c>
    </row>
    <row r="29" spans="2:6">
      <c r="B29" s="1" t="s">
        <v>433</v>
      </c>
      <c r="C29" s="305">
        <f>C149</f>
        <v>4.877739084338959</v>
      </c>
      <c r="D29" s="305" t="str">
        <f>D149</f>
        <v/>
      </c>
      <c r="E29" s="302" t="s">
        <v>439</v>
      </c>
      <c r="F29" s="353">
        <f>Thesis!E29</f>
        <v>0.35</v>
      </c>
    </row>
    <row r="30" spans="2:6">
      <c r="B30" s="1" t="s">
        <v>434</v>
      </c>
      <c r="C30" s="306">
        <f>C157</f>
        <v>6.1445464574108</v>
      </c>
      <c r="D30" s="306" t="str">
        <f>D157</f>
        <v/>
      </c>
      <c r="E30" s="303" t="s">
        <v>438</v>
      </c>
      <c r="F30" s="220">
        <f>Thesis!E30</f>
        <v>0.25</v>
      </c>
    </row>
    <row r="31" spans="2:6">
      <c r="B31" s="1" t="s">
        <v>435</v>
      </c>
      <c r="C31" s="306">
        <f>C165</f>
        <v>9.6603859682336157</v>
      </c>
      <c r="D31" s="306" t="str">
        <f>D165</f>
        <v/>
      </c>
      <c r="E31" s="303" t="s">
        <v>475</v>
      </c>
      <c r="F31" s="220">
        <f>Thesis!E24</f>
        <v>7.4999999999999997E-2</v>
      </c>
    </row>
    <row r="32" spans="2:6">
      <c r="B32" s="1" t="s">
        <v>436</v>
      </c>
      <c r="C32" s="306">
        <f>C173</f>
        <v>8.6018897142802313</v>
      </c>
      <c r="D32" s="306" t="str">
        <f>D173</f>
        <v/>
      </c>
      <c r="E32" s="303" t="s">
        <v>440</v>
      </c>
      <c r="F32" s="220">
        <f>Thesis!E31</f>
        <v>0.1174</v>
      </c>
    </row>
    <row r="33" spans="1:6">
      <c r="D33" s="5"/>
      <c r="E33" s="5"/>
    </row>
    <row r="34" spans="1:6" ht="13.9">
      <c r="A34" s="218" t="s">
        <v>441</v>
      </c>
      <c r="B34" s="36"/>
      <c r="C34" s="36"/>
      <c r="D34" s="36"/>
      <c r="E34" s="36"/>
      <c r="F34" s="36"/>
    </row>
    <row r="36" spans="1:6" ht="24.6" customHeight="1">
      <c r="B36" s="374" t="s">
        <v>476</v>
      </c>
      <c r="C36" s="374"/>
      <c r="D36" s="374"/>
      <c r="E36" s="374"/>
      <c r="F36" s="374"/>
    </row>
    <row r="37" spans="1:6" ht="24.6" customHeight="1">
      <c r="B37" s="377" t="s">
        <v>321</v>
      </c>
      <c r="C37" s="377"/>
      <c r="D37" s="377"/>
      <c r="E37" s="377"/>
      <c r="F37" s="377"/>
    </row>
    <row r="39" spans="1:6">
      <c r="B39" s="206" t="s">
        <v>477</v>
      </c>
      <c r="C39" s="108">
        <f>scaling_factor</f>
        <v>1000</v>
      </c>
    </row>
    <row r="40" spans="1:6">
      <c r="B40" s="375" t="s">
        <v>478</v>
      </c>
      <c r="C40" s="375"/>
      <c r="D40" s="375"/>
      <c r="E40" s="375"/>
      <c r="F40" s="375"/>
    </row>
    <row r="41" spans="1:6">
      <c r="B41" s="47" t="s">
        <v>226</v>
      </c>
      <c r="C41" s="340">
        <f>Normalized_FCF!C8</f>
        <v>4831254.0052873231</v>
      </c>
      <c r="D41" s="1" t="str">
        <f>Reporting_currency</f>
        <v>CNY</v>
      </c>
    </row>
    <row r="42" spans="1:6">
      <c r="B42" s="47"/>
      <c r="C42" s="76"/>
    </row>
    <row r="43" spans="1:6" ht="24.6" customHeight="1">
      <c r="B43" s="375" t="s">
        <v>479</v>
      </c>
      <c r="C43" s="375"/>
      <c r="D43" s="375"/>
      <c r="E43" s="375"/>
      <c r="F43" s="375"/>
    </row>
    <row r="44" spans="1:6">
      <c r="B44" s="47" t="s">
        <v>228</v>
      </c>
      <c r="C44" s="340">
        <f>Normalized_FCF!C9</f>
        <v>0</v>
      </c>
      <c r="D44" s="1" t="str">
        <f>Reporting_currency</f>
        <v>CNY</v>
      </c>
    </row>
    <row r="45" spans="1:6">
      <c r="B45" s="52" t="s">
        <v>229</v>
      </c>
      <c r="C45" s="340">
        <f>Normalized_FCF!C10</f>
        <v>0</v>
      </c>
      <c r="D45" s="1" t="str">
        <f>Reporting_currency</f>
        <v>CNY</v>
      </c>
    </row>
    <row r="47" spans="1:6">
      <c r="B47" s="375" t="s">
        <v>480</v>
      </c>
      <c r="C47" s="375"/>
      <c r="D47" s="375"/>
      <c r="E47" s="375"/>
      <c r="F47" s="375"/>
    </row>
    <row r="48" spans="1:6">
      <c r="B48" s="47" t="s">
        <v>231</v>
      </c>
      <c r="C48" s="340">
        <f>Normalized_FCF!C11</f>
        <v>51775</v>
      </c>
      <c r="D48" s="1" t="str">
        <f>Reporting_currency</f>
        <v>CNY</v>
      </c>
    </row>
    <row r="50" spans="2:6">
      <c r="B50" s="375" t="s">
        <v>481</v>
      </c>
      <c r="C50" s="375"/>
      <c r="D50" s="375"/>
      <c r="E50" s="375"/>
      <c r="F50" s="375"/>
    </row>
    <row r="51" spans="2:6">
      <c r="B51" s="47" t="s">
        <v>322</v>
      </c>
      <c r="C51" s="341">
        <f>Normalized_FCF!C46</f>
        <v>62121.272491187796</v>
      </c>
      <c r="D51" s="1" t="str">
        <f>Reporting_currency</f>
        <v>CNY</v>
      </c>
      <c r="E51" s="282"/>
      <c r="F51" s="282"/>
    </row>
    <row r="52" spans="2:6">
      <c r="B52" s="47" t="s">
        <v>323</v>
      </c>
      <c r="C52" s="341">
        <f>Normalized_FCF!C45</f>
        <v>-154206.15</v>
      </c>
      <c r="D52" s="1" t="str">
        <f>Reporting_currency</f>
        <v>CNY</v>
      </c>
      <c r="E52" s="282"/>
      <c r="F52" s="282"/>
    </row>
    <row r="53" spans="2:6">
      <c r="B53" s="47" t="s">
        <v>232</v>
      </c>
      <c r="C53" s="340">
        <f>Normalized_FCF!C12</f>
        <v>-92084.877508812206</v>
      </c>
      <c r="D53" s="1" t="str">
        <f>Reporting_currency</f>
        <v>CNY</v>
      </c>
    </row>
    <row r="55" spans="2:6">
      <c r="B55" s="1" t="s">
        <v>482</v>
      </c>
    </row>
    <row r="56" spans="2:6">
      <c r="B56" s="47" t="s">
        <v>258</v>
      </c>
      <c r="C56" s="340">
        <f>Normalized_FCF!C15</f>
        <v>0</v>
      </c>
      <c r="D56" s="1" t="str">
        <f>Reporting_currency</f>
        <v>CNY</v>
      </c>
    </row>
    <row r="58" spans="2:6">
      <c r="B58" s="375" t="s">
        <v>235</v>
      </c>
      <c r="C58" s="375"/>
      <c r="D58" s="375"/>
      <c r="E58" s="375"/>
      <c r="F58" s="375"/>
    </row>
    <row r="59" spans="2:6">
      <c r="B59" s="47" t="s">
        <v>233</v>
      </c>
      <c r="C59" s="340">
        <f>Normalized_FCF!C14</f>
        <v>-1197736.0319446276</v>
      </c>
      <c r="D59" s="1" t="str">
        <f>Reporting_currency</f>
        <v>CNY</v>
      </c>
    </row>
    <row r="61" spans="2:6">
      <c r="B61" s="375" t="s">
        <v>483</v>
      </c>
      <c r="C61" s="376"/>
      <c r="D61" s="376"/>
      <c r="E61" s="376"/>
      <c r="F61" s="376"/>
    </row>
    <row r="62" spans="2:6">
      <c r="B62" s="47" t="s">
        <v>236</v>
      </c>
      <c r="C62" s="340">
        <f>Normalized_FCF!C17</f>
        <v>0</v>
      </c>
      <c r="D62" s="1" t="str">
        <f>Reporting_currency</f>
        <v>CNY</v>
      </c>
    </row>
    <row r="64" spans="2:6">
      <c r="B64" s="374" t="s">
        <v>484</v>
      </c>
      <c r="C64" s="374"/>
      <c r="D64" s="374"/>
      <c r="E64" s="374"/>
      <c r="F64" s="374"/>
    </row>
    <row r="65" spans="1:6">
      <c r="B65" s="374" t="s">
        <v>485</v>
      </c>
      <c r="C65" s="374"/>
      <c r="D65" s="374"/>
      <c r="E65" s="374"/>
      <c r="F65" s="374"/>
    </row>
    <row r="67" spans="1:6">
      <c r="B67" s="47" t="s">
        <v>486</v>
      </c>
      <c r="C67" s="340">
        <f>Normalized_FCF!G19</f>
        <v>3856188.6842916571</v>
      </c>
      <c r="D67" s="1" t="str">
        <f>Reporting_currency</f>
        <v>CNY</v>
      </c>
    </row>
    <row r="68" spans="1:6">
      <c r="B68" s="47" t="s">
        <v>242</v>
      </c>
      <c r="C68" s="340">
        <f>Normalized_FCF!C19</f>
        <v>3593208.0958338827</v>
      </c>
      <c r="D68" s="1" t="str">
        <f>Reporting_currency</f>
        <v>CNY</v>
      </c>
    </row>
    <row r="69" spans="1:6">
      <c r="B69" s="223" t="s">
        <v>363</v>
      </c>
      <c r="C69" s="92">
        <f>Normalized_FCF!C124</f>
        <v>5.3712858294082538E-2</v>
      </c>
      <c r="F69" s="308"/>
    </row>
    <row r="70" spans="1:6">
      <c r="B70" s="223" t="s">
        <v>418</v>
      </c>
      <c r="C70" s="92">
        <f>Normalized_FCF!C92</f>
        <v>0</v>
      </c>
      <c r="E70" s="47" t="s">
        <v>487</v>
      </c>
      <c r="F70" s="309">
        <f>Normalized_FCF!C90</f>
        <v>0</v>
      </c>
    </row>
    <row r="72" spans="1:6">
      <c r="B72" s="206" t="s">
        <v>497</v>
      </c>
      <c r="C72" s="316" t="s">
        <v>413</v>
      </c>
      <c r="D72" s="316" t="s">
        <v>488</v>
      </c>
    </row>
    <row r="73" spans="1:6">
      <c r="B73" s="47" t="s">
        <v>412</v>
      </c>
      <c r="C73" s="92">
        <f>Normalized_FCF!C119</f>
        <v>0.45989402134433366</v>
      </c>
      <c r="D73" s="92">
        <f>Normalized_FCF!G119</f>
        <v>0.55558184848754988</v>
      </c>
    </row>
    <row r="74" spans="1:6">
      <c r="B74" s="255" t="str">
        <f>Normalized_FCF!B116</f>
        <v>Pre-tax Profit/Sales</v>
      </c>
      <c r="C74" s="315">
        <f>Normalized_FCF!C116</f>
        <v>0.11378828939016356</v>
      </c>
      <c r="D74" s="315">
        <f>Normalized_FCF!G116</f>
        <v>0.13537163034994637</v>
      </c>
    </row>
    <row r="75" spans="1:6">
      <c r="B75" s="255" t="str">
        <f>Normalized_FCF!B117</f>
        <v>Sales/Total Assets</v>
      </c>
      <c r="C75" s="317">
        <f>Normalized_FCF!C117</f>
        <v>1.8481867572101047</v>
      </c>
      <c r="D75" s="317">
        <f>Normalized_FCF!G117</f>
        <v>1.8767483725766319</v>
      </c>
    </row>
    <row r="76" spans="1:6">
      <c r="B76" s="255" t="str">
        <f>Normalized_FCF!B118</f>
        <v>Total Assets/Equity</v>
      </c>
      <c r="C76" s="317">
        <f>Normalized_FCF!C118</f>
        <v>2.1868265656161521</v>
      </c>
      <c r="D76" s="317">
        <f>Normalized_FCF!G118</f>
        <v>2.1868265656161521</v>
      </c>
    </row>
    <row r="78" spans="1:6" ht="13.9">
      <c r="A78" s="218" t="s">
        <v>489</v>
      </c>
      <c r="B78" s="36"/>
      <c r="C78" s="36"/>
      <c r="D78" s="36"/>
      <c r="E78" s="36"/>
      <c r="F78" s="36"/>
    </row>
    <row r="79" spans="1:6">
      <c r="A79" s="205"/>
    </row>
    <row r="80" spans="1:6">
      <c r="A80" s="17"/>
      <c r="B80" s="374" t="s">
        <v>490</v>
      </c>
      <c r="C80" s="374"/>
      <c r="D80" s="374"/>
      <c r="E80" s="374"/>
      <c r="F80" s="374"/>
    </row>
    <row r="81" spans="1:6">
      <c r="B81" s="377" t="s">
        <v>245</v>
      </c>
      <c r="C81" s="377"/>
      <c r="D81" s="377"/>
      <c r="E81" s="377"/>
      <c r="F81" s="377"/>
    </row>
    <row r="83" spans="1:6">
      <c r="B83" s="206" t="s">
        <v>477</v>
      </c>
    </row>
    <row r="84" spans="1:6">
      <c r="B84" s="1" t="s">
        <v>399</v>
      </c>
      <c r="C84" s="92">
        <f>F31</f>
        <v>7.4999999999999997E-2</v>
      </c>
    </row>
    <row r="85" spans="1:6">
      <c r="B85" s="1" t="s">
        <v>398</v>
      </c>
      <c r="C85" s="92">
        <f>IF(C23="Y",1%,0)+IF(C24="Y",1%,0)</f>
        <v>0</v>
      </c>
    </row>
    <row r="86" spans="1:6">
      <c r="B86" s="80" t="s">
        <v>241</v>
      </c>
      <c r="C86" s="232">
        <f>F31+C85</f>
        <v>7.4999999999999997E-2</v>
      </c>
    </row>
    <row r="87" spans="1:6">
      <c r="C87" s="121"/>
    </row>
    <row r="88" spans="1:6">
      <c r="B88" s="289" t="s">
        <v>496</v>
      </c>
      <c r="C88" s="121"/>
    </row>
    <row r="89" spans="1:6">
      <c r="B89" s="374" t="s">
        <v>491</v>
      </c>
      <c r="C89" s="374"/>
      <c r="D89" s="374"/>
      <c r="E89" s="374"/>
      <c r="F89" s="374"/>
    </row>
    <row r="90" spans="1:6">
      <c r="B90" s="374" t="s">
        <v>492</v>
      </c>
      <c r="C90" s="374"/>
      <c r="D90" s="374"/>
      <c r="E90" s="374"/>
      <c r="F90" s="374"/>
    </row>
    <row r="92" spans="1:6">
      <c r="B92" s="47" t="s">
        <v>244</v>
      </c>
      <c r="C92" s="232">
        <v>0</v>
      </c>
    </row>
    <row r="93" spans="1:6">
      <c r="B93" s="47" t="s">
        <v>272</v>
      </c>
      <c r="C93" s="219">
        <f>DCF!C6*scaling_factor*Exchange_Rate/Common_Shares</f>
        <v>9.3890076298056311</v>
      </c>
      <c r="D93" s="1" t="str">
        <f>Market_currency</f>
        <v>HKD</v>
      </c>
    </row>
    <row r="95" spans="1:6" ht="13.9">
      <c r="A95" s="218" t="s">
        <v>493</v>
      </c>
      <c r="B95" s="36"/>
      <c r="C95" s="36"/>
      <c r="D95" s="36"/>
      <c r="E95" s="36"/>
      <c r="F95" s="36"/>
    </row>
    <row r="96" spans="1:6">
      <c r="A96" s="205"/>
    </row>
    <row r="97" spans="2:6">
      <c r="B97" s="374" t="s">
        <v>494</v>
      </c>
      <c r="C97" s="374"/>
      <c r="D97" s="374"/>
      <c r="E97" s="374"/>
      <c r="F97" s="374"/>
    </row>
    <row r="98" spans="2:6">
      <c r="B98" s="1" t="s">
        <v>246</v>
      </c>
    </row>
    <row r="100" spans="2:6">
      <c r="B100" s="206" t="s">
        <v>477</v>
      </c>
    </row>
    <row r="101" spans="2:6">
      <c r="B101" s="374" t="s">
        <v>495</v>
      </c>
      <c r="C101" s="374"/>
      <c r="D101" s="374"/>
      <c r="E101" s="374"/>
      <c r="F101" s="374"/>
    </row>
    <row r="102" spans="2:6">
      <c r="B102" s="47" t="s">
        <v>248</v>
      </c>
      <c r="C102" s="340">
        <f>DCF!C7</f>
        <v>6168246</v>
      </c>
      <c r="D102" s="1" t="str">
        <f>Reporting_currency</f>
        <v>CNY</v>
      </c>
    </row>
    <row r="103" spans="2:6">
      <c r="B103" s="47" t="s">
        <v>273</v>
      </c>
      <c r="C103" s="219">
        <f>C102*scaling_factor*Exchange_Rate/Common_Shares</f>
        <v>1.2088162001457483</v>
      </c>
      <c r="D103" s="1" t="str">
        <f>Market_currency</f>
        <v>HKD</v>
      </c>
    </row>
    <row r="104" spans="2:6">
      <c r="B104" s="292" t="s">
        <v>376</v>
      </c>
      <c r="C104" s="318">
        <f>IF(BS!G31/BS!G27&gt;300%,"nm",BS!G31/BS!G27)</f>
        <v>0.59210447501011765</v>
      </c>
    </row>
    <row r="105" spans="2:6">
      <c r="B105" s="292" t="s">
        <v>378</v>
      </c>
      <c r="C105" s="319">
        <f>IF(BS!C50&gt;30,"nm",BS!C50)</f>
        <v>1.2767380877199737</v>
      </c>
    </row>
    <row r="107" spans="2:6">
      <c r="B107" s="1" t="s">
        <v>498</v>
      </c>
    </row>
    <row r="108" spans="2:6">
      <c r="B108" s="47" t="s">
        <v>257</v>
      </c>
      <c r="C108" s="340">
        <f>BS!C66</f>
        <v>7848668</v>
      </c>
      <c r="D108" s="1" t="str">
        <f>Reporting_currency</f>
        <v>CNY</v>
      </c>
    </row>
    <row r="109" spans="2:6">
      <c r="B109" s="47" t="s">
        <v>259</v>
      </c>
      <c r="C109" s="340">
        <f>DCF!C8</f>
        <v>4742604.3754406106</v>
      </c>
      <c r="D109" s="1" t="str">
        <f>Reporting_currency</f>
        <v>CNY</v>
      </c>
    </row>
    <row r="110" spans="2:6">
      <c r="B110" s="47" t="s">
        <v>274</v>
      </c>
      <c r="C110" s="219">
        <f>C109*scaling_factor*Exchange_Rate/Common_Shares</f>
        <v>0.92942742554604973</v>
      </c>
      <c r="D110" s="1" t="str">
        <f>Market_currency</f>
        <v>HKD</v>
      </c>
    </row>
    <row r="112" spans="2:6">
      <c r="B112" s="1" t="s">
        <v>499</v>
      </c>
    </row>
    <row r="113" spans="1:6">
      <c r="B113" s="47" t="s">
        <v>250</v>
      </c>
      <c r="C113" s="340">
        <f>DCF!C9</f>
        <v>2656436.4</v>
      </c>
      <c r="D113" s="1" t="str">
        <f>Reporting_currency</f>
        <v>CNY</v>
      </c>
    </row>
    <row r="114" spans="1:6">
      <c r="B114" s="47" t="s">
        <v>275</v>
      </c>
      <c r="C114" s="219">
        <f>C113*scaling_factor*Exchange_Rate/Common_Shares</f>
        <v>0.52059262146432728</v>
      </c>
      <c r="D114" s="1" t="str">
        <f>Market_currency</f>
        <v>HKD</v>
      </c>
    </row>
    <row r="116" spans="1:6">
      <c r="B116" s="374" t="s">
        <v>500</v>
      </c>
      <c r="C116" s="374"/>
      <c r="D116" s="374"/>
      <c r="E116" s="374"/>
      <c r="F116" s="374"/>
    </row>
    <row r="118" spans="1:6">
      <c r="B118" s="47" t="s">
        <v>501</v>
      </c>
      <c r="C118" s="219">
        <f>IF(valuation_method="DCF",DCF!C12,#REF!)</f>
        <v>9.6302114766702562</v>
      </c>
      <c r="D118" s="1" t="str">
        <f>Market_currency</f>
        <v>HKD</v>
      </c>
    </row>
    <row r="119" spans="1:6">
      <c r="B119" s="292" t="s">
        <v>534</v>
      </c>
      <c r="C119" s="219">
        <f>BS!D47</f>
        <v>5.2355704265199289E-2</v>
      </c>
      <c r="D119" s="1" t="str">
        <f>Market_currency</f>
        <v>HKD</v>
      </c>
    </row>
    <row r="121" spans="1:6" ht="13.9">
      <c r="A121" s="218" t="s">
        <v>502</v>
      </c>
      <c r="B121" s="36"/>
      <c r="C121" s="36"/>
      <c r="D121" s="36"/>
      <c r="E121" s="36"/>
      <c r="F121" s="36"/>
    </row>
    <row r="123" spans="1:6">
      <c r="B123" s="375" t="s">
        <v>503</v>
      </c>
      <c r="C123" s="375"/>
      <c r="D123" s="375"/>
      <c r="E123" s="375"/>
      <c r="F123" s="375"/>
    </row>
    <row r="125" spans="1:6" ht="12.4">
      <c r="B125" s="229" t="s">
        <v>504</v>
      </c>
      <c r="C125" s="229" t="s">
        <v>505</v>
      </c>
      <c r="D125" s="229" t="s">
        <v>108</v>
      </c>
      <c r="E125" s="229" t="s">
        <v>506</v>
      </c>
      <c r="F125" s="229" t="s">
        <v>507</v>
      </c>
    </row>
    <row r="126" spans="1:6">
      <c r="B126" s="224" t="str">
        <f>DCF!B74</f>
        <v>Snowball Scenario</v>
      </c>
      <c r="C126" s="225">
        <f>DCF!C74</f>
        <v>0.12</v>
      </c>
      <c r="D126" s="226">
        <f>DCF!D74</f>
        <v>5</v>
      </c>
      <c r="E126" s="227" t="str">
        <f>ROUND(IF(valuation_method="DCF",DCF!E74,#REF!),2)&amp;" "&amp;Market_currency</f>
        <v>15.81 HKD</v>
      </c>
      <c r="F126" s="228">
        <f>DCF!F74</f>
        <v>0.05</v>
      </c>
    </row>
    <row r="127" spans="1:6">
      <c r="B127" s="214" t="str">
        <f>DCF!B75</f>
        <v>Optimistic</v>
      </c>
      <c r="C127" s="215">
        <f>DCF!C75</f>
        <v>0.08</v>
      </c>
      <c r="D127" s="216">
        <f>DCF!D75</f>
        <v>5</v>
      </c>
      <c r="E127" s="227" t="str">
        <f>ROUND(IF(valuation_method="DCF",DCF!E75,#REF!),2)&amp;" "&amp;Market_currency</f>
        <v>13.45 HKD</v>
      </c>
      <c r="F127" s="217">
        <f>DCF!F75</f>
        <v>0.18</v>
      </c>
    </row>
    <row r="128" spans="1:6">
      <c r="B128" s="214" t="str">
        <f>DCF!B76</f>
        <v>Base</v>
      </c>
      <c r="C128" s="215">
        <f>DCF!C76</f>
        <v>0.05</v>
      </c>
      <c r="D128" s="216">
        <f>DCF!D76</f>
        <v>5</v>
      </c>
      <c r="E128" s="227" t="str">
        <f>ROUND(IF(valuation_method="DCF",DCF!E76,#REF!),2)&amp;" "&amp;Market_currency</f>
        <v>11.89 HKD</v>
      </c>
      <c r="F128" s="217">
        <f>DCF!F76</f>
        <v>0.53999999999999992</v>
      </c>
    </row>
    <row r="129" spans="1:6">
      <c r="B129" s="214" t="str">
        <f>DCF!B77</f>
        <v>Pessimistic</v>
      </c>
      <c r="C129" s="215">
        <f>DCF!C77</f>
        <v>0.02</v>
      </c>
      <c r="D129" s="216">
        <f>DCF!D77</f>
        <v>5</v>
      </c>
      <c r="E129" s="227" t="str">
        <f>ROUND(IF(valuation_method="DCF",DCF!E77,#REF!),2)&amp;" "&amp;Market_currency</f>
        <v>10.48 HKD</v>
      </c>
      <c r="F129" s="217">
        <f>DCF!F77</f>
        <v>0.18</v>
      </c>
    </row>
    <row r="130" spans="1:6">
      <c r="B130" s="214" t="str">
        <f>DCF!B78</f>
        <v>Devil's advocate</v>
      </c>
      <c r="C130" s="215">
        <f>DCF!C78</f>
        <v>0</v>
      </c>
      <c r="D130" s="216">
        <f>DCF!D78</f>
        <v>5</v>
      </c>
      <c r="E130" s="227" t="str">
        <f>ROUND(IF(valuation_method="DCF",DCF!E78,#REF!),2)&amp;" "&amp;Market_currency</f>
        <v>9.63 HKD</v>
      </c>
      <c r="F130" s="217">
        <f>DCF!F78</f>
        <v>0.05</v>
      </c>
    </row>
    <row r="132" spans="1:6">
      <c r="B132" s="207" t="s">
        <v>251</v>
      </c>
      <c r="C132" s="213">
        <f>Scenarios!C60</f>
        <v>12.001067299630469</v>
      </c>
      <c r="D132" s="208" t="str">
        <f>Market_currency</f>
        <v>HKD</v>
      </c>
    </row>
    <row r="134" spans="1:6">
      <c r="B134" s="378" t="s">
        <v>508</v>
      </c>
      <c r="C134" s="378"/>
      <c r="D134" s="378"/>
      <c r="E134" s="378"/>
      <c r="F134" s="378"/>
    </row>
    <row r="136" spans="1:6" ht="13.9">
      <c r="A136" s="218" t="s">
        <v>509</v>
      </c>
      <c r="B136" s="36"/>
      <c r="C136" s="36"/>
      <c r="D136" s="36"/>
      <c r="E136" s="36"/>
      <c r="F136" s="36"/>
    </row>
    <row r="138" spans="1:6">
      <c r="B138" s="379" t="s">
        <v>510</v>
      </c>
      <c r="C138" s="379"/>
      <c r="D138" s="379"/>
      <c r="E138" s="379"/>
      <c r="F138" s="379"/>
    </row>
    <row r="139" spans="1:6" ht="24.6" customHeight="1">
      <c r="B139" s="374" t="s">
        <v>511</v>
      </c>
      <c r="C139" s="374"/>
      <c r="D139" s="374"/>
      <c r="E139" s="374"/>
      <c r="F139" s="374"/>
    </row>
    <row r="140" spans="1:6">
      <c r="B140" s="206" t="s">
        <v>477</v>
      </c>
    </row>
    <row r="141" spans="1:6">
      <c r="B141" s="1" t="s">
        <v>512</v>
      </c>
      <c r="C141" s="221">
        <f>F28</f>
        <v>3</v>
      </c>
    </row>
    <row r="142" spans="1:6">
      <c r="B142" s="1" t="s">
        <v>513</v>
      </c>
      <c r="C142" s="220">
        <f>F29</f>
        <v>0.35</v>
      </c>
    </row>
    <row r="143" spans="1:6">
      <c r="B143" s="208" t="s">
        <v>514</v>
      </c>
      <c r="C143" s="209">
        <f>Scenarios!C82</f>
        <v>0</v>
      </c>
      <c r="D143" s="208" t="str">
        <f>Market_currency</f>
        <v>HKD</v>
      </c>
    </row>
    <row r="145" spans="2:4">
      <c r="B145" s="206" t="s">
        <v>515</v>
      </c>
      <c r="C145" s="237" t="str">
        <f>C11</f>
        <v>6862.HK</v>
      </c>
      <c r="D145" s="237" t="str">
        <f>IF(D11="","",D11)</f>
        <v/>
      </c>
    </row>
    <row r="146" spans="2:4">
      <c r="B146" s="1" t="s">
        <v>379</v>
      </c>
      <c r="C146" s="293">
        <f>F29</f>
        <v>0.35</v>
      </c>
    </row>
    <row r="147" spans="2:4">
      <c r="B147" s="208" t="str">
        <f>"PV("&amp;C141&amp;" yrs of Dividends)"</f>
        <v>PV(3 yrs of Dividends)</v>
      </c>
      <c r="C147" s="212">
        <f>Scenarios!C86</f>
        <v>0</v>
      </c>
    </row>
    <row r="148" spans="2:4">
      <c r="B148" s="208" t="str">
        <f>"+ PV(Equity Value realized at year "&amp;C141&amp;")"</f>
        <v>+ PV(Equity Value realized at year 3)</v>
      </c>
      <c r="C148" s="212">
        <f>Scenarios!C87</f>
        <v>4.877739084338959</v>
      </c>
    </row>
    <row r="149" spans="2:4">
      <c r="B149" s="80" t="s">
        <v>253</v>
      </c>
      <c r="C149" s="211">
        <f>Scenarios!C88</f>
        <v>4.877739084338959</v>
      </c>
      <c r="D149" s="296" t="str">
        <f>IF($D$11="","",C149*$E$25)</f>
        <v/>
      </c>
    </row>
    <row r="150" spans="2:4">
      <c r="B150" s="255" t="s">
        <v>516</v>
      </c>
      <c r="C150" s="294" t="str">
        <f>Market_currency</f>
        <v>HKD</v>
      </c>
      <c r="D150" s="294" t="str">
        <f>IF($D$11="","",D$13)</f>
        <v/>
      </c>
    </row>
    <row r="151" spans="2:4">
      <c r="B151" s="210" t="s">
        <v>517</v>
      </c>
      <c r="C151" s="92">
        <f>Scenarios!F88</f>
        <v>0.59355789259767322</v>
      </c>
    </row>
    <row r="153" spans="2:4">
      <c r="B153" s="206" t="s">
        <v>383</v>
      </c>
    </row>
    <row r="154" spans="2:4">
      <c r="B154" s="1" t="s">
        <v>382</v>
      </c>
      <c r="C154" s="293">
        <f>Scenarios!C95</f>
        <v>0.25</v>
      </c>
    </row>
    <row r="155" spans="2:4">
      <c r="B155" s="208" t="str">
        <f>"PV("&amp;C141&amp;" yrs of Dividends)"</f>
        <v>PV(3 yrs of Dividends)</v>
      </c>
      <c r="C155" s="212">
        <f>Scenarios!C96</f>
        <v>0</v>
      </c>
    </row>
    <row r="156" spans="2:4">
      <c r="B156" s="208" t="str">
        <f>"+ PV(Equity Value realized at year "&amp;C141&amp;")"</f>
        <v>+ PV(Equity Value realized at year 3)</v>
      </c>
      <c r="C156" s="212">
        <f>Scenarios!C97</f>
        <v>6.1445464574108</v>
      </c>
    </row>
    <row r="157" spans="2:4">
      <c r="B157" s="80" t="s">
        <v>253</v>
      </c>
      <c r="C157" s="211">
        <f>Scenarios!C98</f>
        <v>6.1445464574108</v>
      </c>
      <c r="D157" s="296" t="str">
        <f>IF($D$11="","",C157*$E$25)</f>
        <v/>
      </c>
    </row>
    <row r="158" spans="2:4">
      <c r="B158" s="255" t="s">
        <v>516</v>
      </c>
      <c r="C158" s="294" t="str">
        <f>Market_currency</f>
        <v>HKD</v>
      </c>
      <c r="D158" s="294" t="str">
        <f>IF($D$11="","",D$13)</f>
        <v/>
      </c>
    </row>
    <row r="159" spans="2:4">
      <c r="B159" s="210" t="s">
        <v>517</v>
      </c>
      <c r="C159" s="92">
        <f>Scenarios!F98</f>
        <v>0.48799999999999999</v>
      </c>
    </row>
    <row r="161" spans="2:4">
      <c r="B161" s="206" t="s">
        <v>373</v>
      </c>
    </row>
    <row r="162" spans="2:4">
      <c r="B162" s="1" t="s">
        <v>381</v>
      </c>
      <c r="C162" s="92">
        <f>Scenarios!C101</f>
        <v>7.4999999999999997E-2</v>
      </c>
    </row>
    <row r="163" spans="2:4">
      <c r="B163" s="208" t="str">
        <f>"PV("&amp;C141&amp;" yrs of Dividends)"</f>
        <v>PV(3 yrs of Dividends)</v>
      </c>
      <c r="C163" s="212">
        <f>Scenarios!C102</f>
        <v>0</v>
      </c>
    </row>
    <row r="164" spans="2:4">
      <c r="B164" s="208" t="str">
        <f>"+ PV(Equity Value realized at year "&amp;C141&amp;")"</f>
        <v>+ PV(Equity Value realized at year 3)</v>
      </c>
      <c r="C164" s="212">
        <f>Scenarios!C103</f>
        <v>9.6603859682336157</v>
      </c>
    </row>
    <row r="165" spans="2:4">
      <c r="B165" s="80" t="s">
        <v>374</v>
      </c>
      <c r="C165" s="211">
        <f>Scenarios!C104</f>
        <v>9.6603859682336157</v>
      </c>
      <c r="D165" s="296" t="str">
        <f>IF($D$11="","",C165*$E$25)</f>
        <v/>
      </c>
    </row>
    <row r="166" spans="2:4">
      <c r="B166" s="255" t="s">
        <v>516</v>
      </c>
      <c r="C166" s="294" t="str">
        <f>Market_currency</f>
        <v>HKD</v>
      </c>
      <c r="D166" s="294" t="str">
        <f>IF($D$11="","",D$13)</f>
        <v/>
      </c>
    </row>
    <row r="167" spans="2:4">
      <c r="B167" s="210" t="s">
        <v>517</v>
      </c>
      <c r="C167" s="92">
        <f>Scenarios!F104</f>
        <v>0.19503943049039696</v>
      </c>
    </row>
    <row r="169" spans="2:4">
      <c r="B169" s="206" t="s">
        <v>400</v>
      </c>
    </row>
    <row r="170" spans="2:4">
      <c r="B170" s="1" t="s">
        <v>391</v>
      </c>
      <c r="C170" s="92">
        <f>F32</f>
        <v>0.1174</v>
      </c>
    </row>
    <row r="171" spans="2:4">
      <c r="B171" s="208" t="str">
        <f>"PV("&amp;C141&amp;" yrs of Dividends)"</f>
        <v>PV(3 yrs of Dividends)</v>
      </c>
      <c r="C171" s="212">
        <f>Scenarios!C108</f>
        <v>0</v>
      </c>
    </row>
    <row r="172" spans="2:4">
      <c r="B172" s="208" t="str">
        <f>"+ PV(Equity Value realized at year "&amp;C141&amp;")"</f>
        <v>+ PV(Equity Value realized at year 3)</v>
      </c>
      <c r="C172" s="212">
        <f>Scenarios!C109</f>
        <v>8.6018897142802313</v>
      </c>
    </row>
    <row r="173" spans="2:4">
      <c r="B173" s="80" t="s">
        <v>374</v>
      </c>
      <c r="C173" s="211">
        <f>Scenarios!C110</f>
        <v>8.6018897142802313</v>
      </c>
      <c r="D173" s="296" t="str">
        <f>IF($D$11="","",C173*$E$25)</f>
        <v/>
      </c>
    </row>
    <row r="174" spans="2:4">
      <c r="B174" s="255" t="s">
        <v>516</v>
      </c>
      <c r="C174" s="294" t="str">
        <f>Market_currency</f>
        <v>HKD</v>
      </c>
      <c r="D174" s="294" t="str">
        <f>IF($D$11="","",D$13)</f>
        <v/>
      </c>
    </row>
    <row r="175" spans="2:4">
      <c r="B175" s="210" t="s">
        <v>517</v>
      </c>
      <c r="C175" s="92">
        <f>Scenarios!F110</f>
        <v>0.28348538574706383</v>
      </c>
    </row>
    <row r="177" spans="1:6" ht="13.9">
      <c r="A177" s="218" t="s">
        <v>349</v>
      </c>
      <c r="B177" s="36"/>
      <c r="C177" s="36"/>
      <c r="D177" s="36"/>
      <c r="E177" s="36"/>
      <c r="F177" s="36"/>
    </row>
    <row r="179" spans="1:6">
      <c r="B179" s="373" t="s">
        <v>518</v>
      </c>
      <c r="C179" s="374"/>
      <c r="D179" s="374"/>
      <c r="E179" s="374"/>
      <c r="F179" s="374"/>
    </row>
    <row r="181" spans="1:6">
      <c r="B181" s="206" t="s">
        <v>519</v>
      </c>
    </row>
    <row r="182" spans="1:6">
      <c r="B182" s="376" t="s">
        <v>520</v>
      </c>
      <c r="C182" s="376"/>
      <c r="D182" s="376"/>
      <c r="E182" s="376"/>
      <c r="F182" s="376"/>
    </row>
    <row r="183" spans="1:6">
      <c r="B183" s="210" t="s">
        <v>521</v>
      </c>
    </row>
    <row r="184" spans="1:6">
      <c r="B184" s="210" t="s">
        <v>522</v>
      </c>
    </row>
    <row r="185" spans="1:6">
      <c r="B185" s="210" t="s">
        <v>523</v>
      </c>
    </row>
    <row r="187" spans="1:6">
      <c r="B187" s="1" t="s">
        <v>524</v>
      </c>
    </row>
    <row r="188" spans="1:6" ht="24.6" customHeight="1">
      <c r="B188" s="375" t="s">
        <v>525</v>
      </c>
      <c r="C188" s="375"/>
      <c r="D188" s="375"/>
      <c r="E188" s="375"/>
      <c r="F188" s="375"/>
    </row>
    <row r="190" spans="1:6">
      <c r="B190" s="1" t="s">
        <v>526</v>
      </c>
    </row>
    <row r="191" spans="1:6">
      <c r="B191" s="372" t="s">
        <v>527</v>
      </c>
      <c r="C191" s="372"/>
      <c r="D191" s="372"/>
      <c r="E191" s="372"/>
      <c r="F191" s="372"/>
    </row>
    <row r="192" spans="1:6">
      <c r="B192" s="372" t="s">
        <v>528</v>
      </c>
      <c r="C192" s="372"/>
      <c r="D192" s="372"/>
      <c r="E192" s="372"/>
      <c r="F192" s="372"/>
    </row>
    <row r="194" spans="2:2">
      <c r="B194" s="1" t="s">
        <v>529</v>
      </c>
    </row>
    <row r="195" spans="2:2">
      <c r="B195" s="210" t="s">
        <v>530</v>
      </c>
    </row>
    <row r="196" spans="2:2">
      <c r="B196" s="210" t="s">
        <v>531</v>
      </c>
    </row>
    <row r="197" spans="2:2">
      <c r="B197" s="210" t="s">
        <v>532</v>
      </c>
    </row>
  </sheetData>
  <mergeCells count="27">
    <mergeCell ref="B47:F47"/>
    <mergeCell ref="B18:F18"/>
    <mergeCell ref="B36:F36"/>
    <mergeCell ref="B37:F37"/>
    <mergeCell ref="B40:F40"/>
    <mergeCell ref="B43:F43"/>
    <mergeCell ref="B116:F116"/>
    <mergeCell ref="B50:F50"/>
    <mergeCell ref="B58:F58"/>
    <mergeCell ref="B61:F61"/>
    <mergeCell ref="B64:F64"/>
    <mergeCell ref="B65:F65"/>
    <mergeCell ref="B80:F80"/>
    <mergeCell ref="B81:F81"/>
    <mergeCell ref="B89:F89"/>
    <mergeCell ref="B90:F90"/>
    <mergeCell ref="B97:F97"/>
    <mergeCell ref="B101:F101"/>
    <mergeCell ref="B188:F188"/>
    <mergeCell ref="B191:F191"/>
    <mergeCell ref="B192:F192"/>
    <mergeCell ref="B123:F123"/>
    <mergeCell ref="B134:F134"/>
    <mergeCell ref="B138:F138"/>
    <mergeCell ref="B139:F139"/>
    <mergeCell ref="B179:F179"/>
    <mergeCell ref="B182:F182"/>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Thesis</vt:lpstr>
      <vt:lpstr>Data</vt:lpstr>
      <vt:lpstr>BS</vt:lpstr>
      <vt:lpstr>Normalized_FCF</vt:lpstr>
      <vt:lpstr>DCF</vt:lpstr>
      <vt:lpstr>Scenarios</vt:lpstr>
      <vt:lpstr>Breakdown</vt:lpstr>
      <vt:lpstr>投资主题</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2025-09-26T01:06:32Z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