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E6C5800-F736-42D8-AB85-266B429AA647}" xr6:coauthVersionLast="47" xr6:coauthVersionMax="47" xr10:uidLastSave="{00000000-0000-0000-0000-000000000000}"/>
  <bookViews>
    <workbookView xWindow="1837" yWindow="1837" windowWidth="12691" windowHeight="7643" firstSheet="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 name="投资主题" sheetId="12" r:id="rId9"/>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4" i="2" l="1"/>
  <c r="C33" i="2"/>
  <c r="C4" i="2"/>
  <c r="G17" i="3"/>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F130" i="12"/>
  <c r="D130" i="12"/>
  <c r="B130" i="12"/>
  <c r="F129" i="12"/>
  <c r="B129" i="12"/>
  <c r="F128" i="12"/>
  <c r="B128" i="12"/>
  <c r="F127" i="12"/>
  <c r="B127" i="12"/>
  <c r="F126" i="12"/>
  <c r="D126"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Q94" i="2"/>
  <c r="B91" i="2"/>
  <c r="B90" i="2"/>
  <c r="Q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C25"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C88" i="3" l="1"/>
  <c r="D88" i="3" s="1"/>
  <c r="C113" i="12"/>
  <c r="C114" i="12" s="1"/>
  <c r="F75" i="8"/>
  <c r="F127" i="6" s="1"/>
  <c r="F70" i="10"/>
  <c r="D74" i="8"/>
  <c r="D126" i="6" s="1"/>
  <c r="D69" i="10"/>
  <c r="F55" i="8"/>
  <c r="F64" i="8" s="1"/>
  <c r="C126" i="6"/>
  <c r="C113" i="6"/>
  <c r="C114" i="6" s="1"/>
  <c r="G67" i="2"/>
  <c r="C67" i="2" s="1"/>
  <c r="C59" i="2" s="1"/>
  <c r="C77" i="8" l="1"/>
  <c r="C129" i="12" s="1"/>
  <c r="C31" i="9"/>
  <c r="D78" i="8"/>
  <c r="D130" i="6" s="1"/>
  <c r="C25" i="9"/>
  <c r="C76" i="8"/>
  <c r="C128" i="12" s="1"/>
  <c r="C78" i="8"/>
  <c r="C130" i="12" s="1"/>
  <c r="D75" i="8"/>
  <c r="C75" i="8"/>
  <c r="C127" i="12" s="1"/>
  <c r="C17" i="8"/>
  <c r="C16" i="8"/>
  <c r="Q97" i="2"/>
  <c r="D51" i="8"/>
  <c r="A71" i="8"/>
  <c r="A70" i="8"/>
  <c r="D127" i="6" l="1"/>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M94" i="2"/>
  <c r="N94" i="2"/>
  <c r="P94" i="2"/>
  <c r="O94" i="2"/>
  <c r="L94" i="2"/>
  <c r="J94" i="2"/>
  <c r="I94" i="2"/>
  <c r="K94" i="2"/>
  <c r="C44" i="6"/>
  <c r="C44" i="1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H48" i="2"/>
  <c r="H50" i="2" s="1"/>
  <c r="H12" i="2" s="1"/>
  <c r="I48" i="2"/>
  <c r="I50" i="2" s="1"/>
  <c r="I12" i="2" s="1"/>
  <c r="C51" i="6"/>
  <c r="C31" i="3"/>
  <c r="I80" i="2" l="1"/>
  <c r="I119" i="2"/>
  <c r="H80" i="2"/>
  <c r="H119" i="2"/>
  <c r="J80" i="2"/>
  <c r="J119" i="2"/>
  <c r="C109" i="6"/>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C105" i="9"/>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M76" i="2"/>
  <c r="L13" i="2"/>
  <c r="L121" i="2" s="1"/>
  <c r="L117" i="2" s="1"/>
  <c r="K13" i="2"/>
  <c r="N13" i="2"/>
  <c r="M13" i="2"/>
  <c r="M121" i="2" s="1"/>
  <c r="M117" i="2" s="1"/>
  <c r="I13" i="2"/>
  <c r="K76" i="2"/>
  <c r="K16" i="2" l="1"/>
  <c r="K19" i="2" s="1"/>
  <c r="K92" i="2" s="1"/>
  <c r="K121" i="2"/>
  <c r="K117" i="2" s="1"/>
  <c r="N98" i="2"/>
  <c r="N121" i="2"/>
  <c r="N117" i="2" s="1"/>
  <c r="D74" i="6"/>
  <c r="I121" i="2"/>
  <c r="I117" i="2" s="1"/>
  <c r="J121" i="2"/>
  <c r="J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<sst xmlns="http://schemas.openxmlformats.org/spreadsheetml/2006/main" count="835" uniqueCount="559">
  <si>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</si>
  <si>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</si>
  <si>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</si>
  <si>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</si>
  <si>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</si>
  <si>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</si>
  <si>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</si>
  <si>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</si>
  <si>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</si>
  <si>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</si>
  <si>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</si>
  <si>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</si>
  <si>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</si>
  <si>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</si>
  <si>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</si>
  <si>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</si>
  <si>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</si>
  <si>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</si>
  <si>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</si>
  <si>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</si>
  <si>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</si>
  <si>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</si>
  <si>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</si>
  <si>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</si>
  <si>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</si>
  <si>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</si>
  <si>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</si>
  <si>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</si>
  <si>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</si>
  <si>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</si>
  <si>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</si>
  <si>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</si>
  <si>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</si>
  <si>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</si>
  <si>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</si>
  <si>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</si>
  <si>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</si>
  <si>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</si>
  <si>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</si>
  <si>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</si>
  <si>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</si>
  <si>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</si>
  <si>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</si>
  <si>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</si>
  <si>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</si>
  <si>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</si>
  <si>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</si>
  <si>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</si>
  <si>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</si>
  <si>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</si>
  <si>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</si>
  <si>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</si>
  <si>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</si>
  <si>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</si>
  <si>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</si>
  <si>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</si>
  <si>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</si>
  <si>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</si>
  <si>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</si>
  <si>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</si>
  <si>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</si>
  <si>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</si>
  <si>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</si>
  <si>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</si>
  <si>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</si>
  <si>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</si>
  <si>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</si>
  <si>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</si>
  <si>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</si>
  <si>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</si>
  <si>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</si>
  <si>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</si>
  <si>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</si>
  <si>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</si>
  <si>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</si>
  <si>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</si>
  <si>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</si>
  <si>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</si>
  <si>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</si>
  <si>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</si>
  <si>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</si>
  <si>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</si>
  <si>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</si>
  <si>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</si>
  <si>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</si>
  <si>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</si>
  <si>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</si>
  <si>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</si>
  <si>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</si>
  <si>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</si>
  <si>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</si>
  <si>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</si>
  <si>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</si>
  <si>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</si>
  <si>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</si>
  <si>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</si>
  <si>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</si>
  <si>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</si>
  <si>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</si>
  <si>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</si>
  <si>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</si>
  <si>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</si>
  <si>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</si>
  <si>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</si>
  <si>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</si>
  <si>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</si>
  <si>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</si>
  <si>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</si>
  <si>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</si>
  <si>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</si>
  <si>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</si>
  <si>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</si>
  <si>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</si>
  <si>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</si>
  <si>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</si>
  <si>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</si>
  <si>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</si>
  <si>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</si>
  <si>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</si>
  <si>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</si>
  <si>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</si>
  <si>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</si>
  <si>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</si>
  <si>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</si>
  <si>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</si>
  <si>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</si>
  <si>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</si>
  <si>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</si>
  <si>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</si>
  <si>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</si>
  <si>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</si>
  <si>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</si>
  <si>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</si>
  <si>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</si>
  <si>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</si>
  <si>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</si>
  <si>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</si>
  <si>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</si>
  <si>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</si>
  <si>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</si>
  <si>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</si>
  <si>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</si>
  <si>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</si>
  <si>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</si>
  <si>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</si>
  <si>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</si>
  <si>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</si>
  <si>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</si>
  <si>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</si>
  <si>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</si>
  <si>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</si>
  <si>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</si>
  <si>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</si>
  <si>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</si>
  <si>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</si>
  <si>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</si>
  <si>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</si>
  <si>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</si>
  <si>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</si>
  <si>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</si>
  <si>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</si>
  <si>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</si>
  <si>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</si>
  <si>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</si>
  <si>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</si>
  <si>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</si>
  <si>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</si>
  <si>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</si>
  <si>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</si>
  <si>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</si>
  <si>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</si>
  <si>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</si>
  <si>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</si>
  <si>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</si>
  <si>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</si>
  <si>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</si>
  <si>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</si>
  <si>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</si>
  <si>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</si>
  <si>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</si>
  <si>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</si>
  <si>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</si>
  <si>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</si>
  <si>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</si>
  <si>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</si>
  <si>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</si>
  <si>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</si>
  <si>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</si>
  <si>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</si>
  <si>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</si>
  <si>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</si>
  <si>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</si>
  <si>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</si>
  <si>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</si>
  <si>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</si>
  <si>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</si>
  <si>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</si>
  <si>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</si>
  <si>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</si>
  <si>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</si>
  <si>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</si>
  <si>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</si>
  <si>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</si>
  <si>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</si>
  <si>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</si>
  <si>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</si>
  <si>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</si>
  <si>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</si>
  <si>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</si>
  <si>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</si>
  <si>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</si>
  <si>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</si>
  <si>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</si>
  <si>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</si>
  <si>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</si>
  <si>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</si>
  <si>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</si>
  <si>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</si>
  <si>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</si>
  <si>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</si>
  <si>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</si>
  <si>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</si>
  <si>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</si>
  <si>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</si>
  <si>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</si>
  <si>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</si>
  <si>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</si>
  <si>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</si>
  <si>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</si>
  <si>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</si>
  <si>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</si>
  <si>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</si>
  <si>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</si>
  <si>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</si>
  <si>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</si>
  <si>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</si>
  <si>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</si>
  <si>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</si>
  <si>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</si>
  <si>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</si>
  <si>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</si>
  <si>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</si>
  <si>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</si>
  <si>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</si>
  <si>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</si>
  <si>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</si>
  <si>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</si>
  <si>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</si>
  <si>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</si>
  <si>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</si>
  <si>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</si>
  <si>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</si>
  <si>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</si>
  <si>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</si>
  <si>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</si>
  <si>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</si>
  <si>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</si>
  <si>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</si>
  <si>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</si>
  <si>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</si>
  <si>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</si>
  <si>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</si>
  <si>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</si>
  <si>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</si>
  <si>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</si>
  <si>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</si>
  <si>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</si>
  <si>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</si>
  <si>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</si>
  <si>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</si>
  <si>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</si>
  <si>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</si>
  <si>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</si>
  <si>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</si>
  <si>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</si>
  <si>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</si>
  <si>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</si>
  <si>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</si>
  <si>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</si>
  <si>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</si>
  <si>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</si>
  <si>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</si>
  <si>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</si>
  <si>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</si>
  <si>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</si>
  <si>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</si>
  <si>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</si>
  <si>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</si>
  <si>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</si>
  <si>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</si>
  <si>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</si>
  <si>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</si>
  <si>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</si>
  <si>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</si>
  <si>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</si>
  <si>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</si>
  <si>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</si>
  <si>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</si>
  <si>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</si>
  <si>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</si>
  <si>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</si>
  <si>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</si>
  <si>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</si>
  <si>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</si>
  <si>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</si>
  <si>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</si>
  <si>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</si>
  <si>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</si>
  <si>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</si>
  <si>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</si>
  <si>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</si>
  <si>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</si>
  <si>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</si>
  <si>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</si>
  <si>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</si>
  <si>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</si>
  <si>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</si>
  <si>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</si>
  <si>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</si>
  <si>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</si>
  <si>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</si>
  <si>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</si>
  <si>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</si>
  <si>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</si>
  <si>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</si>
  <si>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</si>
  <si>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</si>
  <si>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</si>
  <si>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</si>
  <si>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</si>
  <si>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</si>
  <si>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</si>
  <si>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</si>
  <si>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</si>
  <si>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</si>
  <si>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</si>
  <si>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</si>
  <si>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</si>
  <si>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</si>
  <si>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</si>
  <si>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</si>
  <si>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</si>
  <si>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</si>
  <si>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</si>
  <si>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</si>
  <si>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</si>
  <si>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</si>
  <si>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</si>
  <si>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</si>
  <si>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</si>
  <si>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</si>
  <si>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</si>
  <si>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</si>
  <si>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</si>
  <si>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</si>
  <si>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</si>
  <si>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</si>
  <si>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</si>
  <si>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</si>
  <si>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</si>
  <si>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</si>
  <si>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</si>
  <si>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</si>
  <si>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</si>
  <si>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</si>
  <si>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</si>
  <si>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</si>
  <si>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</si>
  <si>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</si>
  <si>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</si>
  <si>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</si>
  <si>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</si>
  <si>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</si>
  <si>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</si>
  <si>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</si>
  <si>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</si>
  <si>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</si>
  <si>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</si>
  <si>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</si>
  <si>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</si>
  <si>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</si>
  <si>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</si>
  <si>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</si>
  <si>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</si>
  <si>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</si>
  <si>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</si>
  <si>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</si>
  <si>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</si>
  <si>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</si>
  <si>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</si>
  <si>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</si>
  <si>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</si>
  <si>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</si>
  <si>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</si>
  <si>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</si>
  <si>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</si>
  <si>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</si>
  <si>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</si>
  <si>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</si>
  <si>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</si>
  <si>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</si>
  <si>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</si>
  <si>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</si>
  <si>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</si>
  <si>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</si>
  <si>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</si>
  <si>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</si>
  <si>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</si>
  <si>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</si>
  <si>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</si>
  <si>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</si>
  <si>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</si>
  <si>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</si>
  <si>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</si>
  <si>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</si>
  <si>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</si>
  <si>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</si>
  <si>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</si>
  <si>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</si>
  <si>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</si>
  <si>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</si>
  <si>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</si>
  <si>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</si>
  <si>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</si>
  <si>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</si>
  <si>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</si>
  <si>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</si>
  <si>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</si>
  <si>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</si>
  <si>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</si>
  <si>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</si>
  <si>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</si>
  <si>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</si>
  <si>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</si>
  <si>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</si>
  <si>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</si>
  <si>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</si>
  <si>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</si>
  <si>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</si>
  <si>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</si>
  <si>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</si>
  <si>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</si>
  <si>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</si>
  <si>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</si>
  <si>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</si>
  <si>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</si>
  <si>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</si>
  <si>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</si>
  <si>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</si>
  <si>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</si>
  <si>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</si>
  <si>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</si>
  <si>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</si>
  <si>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</si>
  <si>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</si>
  <si>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</si>
  <si>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</si>
  <si>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</si>
  <si>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</si>
  <si>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</si>
  <si>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</si>
  <si>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</si>
  <si>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</si>
  <si>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</si>
  <si>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</si>
  <si>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</si>
  <si>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</si>
  <si>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</si>
  <si>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</si>
  <si>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</si>
  <si>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</si>
  <si>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</si>
  <si>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</si>
  <si>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</si>
  <si>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</si>
  <si>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</si>
  <si>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</si>
  <si>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</si>
  <si>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</si>
  <si>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</si>
  <si>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</si>
  <si>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</si>
  <si>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</si>
  <si>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</si>
  <si>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</si>
  <si>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</si>
  <si>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</si>
  <si>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</si>
  <si>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</si>
  <si>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</si>
  <si>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</si>
  <si>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</si>
  <si>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</si>
  <si>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</si>
  <si>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</si>
  <si>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</si>
  <si>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</si>
  <si>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</si>
  <si>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</si>
  <si>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</si>
  <si>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</si>
  <si>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</si>
  <si>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</si>
  <si>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</si>
  <si>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</si>
  <si>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</si>
  <si>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</si>
  <si>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</si>
  <si>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</si>
  <si>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</si>
  <si>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</si>
  <si>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</si>
  <si>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</si>
  <si>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</si>
  <si>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</si>
  <si>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</si>
  <si>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</si>
  <si>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</si>
  <si>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</si>
  <si>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</si>
  <si>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</si>
  <si>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</si>
  <si>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</si>
  <si>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</si>
  <si>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</si>
  <si>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</si>
  <si>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</si>
  <si>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</si>
  <si>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</si>
  <si>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</si>
  <si>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</si>
  <si>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</si>
  <si>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</si>
  <si>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</si>
  <si>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</si>
  <si>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</si>
  <si>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</si>
  <si>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</si>
  <si>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</si>
  <si>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</si>
  <si>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</si>
  <si>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</si>
  <si>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</si>
  <si>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</si>
  <si>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</si>
  <si>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</si>
  <si>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</si>
  <si>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</si>
  <si>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</si>
  <si>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</si>
  <si>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</si>
  <si>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3690.HK</t>
  </si>
  <si>
    <t>DCF</t>
  </si>
  <si>
    <t>CNY</t>
  </si>
  <si>
    <t>TMT_01</t>
  </si>
  <si>
    <t>美团</t>
  </si>
  <si>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</si>
  <si>
    <t>N</t>
  </si>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</sst>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26" sqref="C2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426</v>
      </c>
      <c r="E1" s="292" t="s">
        <v>343</v>
      </c>
      <c r="F1" s="254" t="s">
        <v>557</v>
      </c>
    </row>
    <row r="2" spans="1:10" ht="13.9">
      <c r="A2" s="222" t="s">
        <v>262</v>
      </c>
      <c r="B2" s="36"/>
      <c r="C2" s="36"/>
      <c r="D2" s="36"/>
      <c r="E2" s="36"/>
      <c r="F2" s="36"/>
      <c r="G2" s="22"/>
      <c r="H2" s="22"/>
      <c r="I2" s="22"/>
      <c r="J2" s="22"/>
    </row>
    <row r="4" spans="1:10">
      <c r="B4" s="45" t="s">
        <v>394</v>
      </c>
      <c r="C4" s="46"/>
      <c r="D4" s="5"/>
      <c r="E4" s="2"/>
      <c r="F4" s="2"/>
    </row>
    <row r="5" spans="1:10" ht="12.4">
      <c r="B5" s="4" t="s">
        <v>458</v>
      </c>
      <c r="C5" s="294" t="s">
        <v>555</v>
      </c>
    </row>
    <row r="6" spans="1:10">
      <c r="B6" s="4" t="s">
        <v>459</v>
      </c>
      <c r="C6" s="51">
        <v>9264431217</v>
      </c>
      <c r="E6" s="48"/>
    </row>
    <row r="7" spans="1:10">
      <c r="B7" s="2" t="s">
        <v>460</v>
      </c>
      <c r="C7" s="250">
        <v>6</v>
      </c>
      <c r="D7" s="48"/>
      <c r="E7" s="48"/>
    </row>
    <row r="8" spans="1:10">
      <c r="B8" s="1" t="s">
        <v>461</v>
      </c>
      <c r="C8" s="33">
        <f>EOMONTH(EDATE(BS!C1,C7+2),0)</f>
        <v>46081</v>
      </c>
      <c r="E8" s="48"/>
    </row>
    <row r="9" spans="1:10">
      <c r="E9" s="34"/>
    </row>
    <row r="10" spans="1:10">
      <c r="B10" s="45" t="s">
        <v>396</v>
      </c>
      <c r="C10" s="46"/>
      <c r="E10" s="34"/>
    </row>
    <row r="11" spans="1:10">
      <c r="B11" s="1" t="s">
        <v>462</v>
      </c>
      <c r="C11" s="49" t="s">
        <v>551</v>
      </c>
      <c r="D11" s="49"/>
      <c r="E11" s="34"/>
    </row>
    <row r="12" spans="1:10">
      <c r="B12" s="4" t="s">
        <v>463</v>
      </c>
      <c r="C12" s="50">
        <v>96.9</v>
      </c>
      <c r="D12" s="50"/>
      <c r="E12" s="48"/>
    </row>
    <row r="13" spans="1:10">
      <c r="B13" s="1" t="s">
        <v>464</v>
      </c>
      <c r="C13" s="48" t="s">
        <v>377</v>
      </c>
      <c r="D13" s="48"/>
      <c r="E13" s="5"/>
    </row>
    <row r="14" spans="1:10">
      <c r="B14" s="4" t="s">
        <v>465</v>
      </c>
      <c r="C14" s="35">
        <f>Thesis!C12*Common_Shares/1000000</f>
        <v>897723.38492730004</v>
      </c>
      <c r="D14" s="35" t="str">
        <f>IF(D11="","",Thesis!D12*Common_Shares/1000000)</f>
        <v/>
      </c>
      <c r="E14" s="5"/>
    </row>
    <row r="15" spans="1:10">
      <c r="B15" s="4" t="s">
        <v>466</v>
      </c>
      <c r="C15" s="32" t="str">
        <f>IF(C25=C13,C13,C25&amp;"/"&amp;C13)</f>
        <v>CNY/HKD</v>
      </c>
      <c r="D15" s="32" t="str">
        <f>IF(D11="","",IF(C25=D13,D13,C25&amp;"/"&amp;D13))</f>
        <v/>
      </c>
      <c r="E15" s="5"/>
    </row>
    <row r="16" spans="1:10">
      <c r="B16" s="4" t="s">
        <v>467</v>
      </c>
      <c r="C16" s="50">
        <v>1.0923594000000001</v>
      </c>
      <c r="D16" s="50"/>
      <c r="E16" s="5"/>
    </row>
    <row r="17" spans="2:6">
      <c r="D17" s="5"/>
      <c r="E17" s="5"/>
    </row>
    <row r="18" spans="2:6" ht="24.6" customHeight="1">
      <c r="B18" s="369" t="s">
        <v>468</v>
      </c>
      <c r="C18" s="369"/>
      <c r="D18" s="369"/>
      <c r="E18" s="369"/>
      <c r="F18" s="369"/>
    </row>
    <row r="20" spans="2:6">
      <c r="B20" s="45" t="s">
        <v>300</v>
      </c>
      <c r="C20" s="46"/>
      <c r="D20" s="5"/>
    </row>
    <row r="21" spans="2:6">
      <c r="B21" s="2" t="s">
        <v>338</v>
      </c>
      <c r="C21" s="32" t="str">
        <f>IF(Scenarios!C69="Y",Scenarios!B69,"")&amp;IF(Scenarios!C70="Y",Scenarios!B70,"")&amp;IF(Scenarios!C71="Y",Scenarios!B71,"")&amp;" "&amp;IF(Scenarios!C72="Y",Scenarios!B72,"")</f>
        <v xml:space="preserve">Low Growth </v>
      </c>
      <c r="D21" s="1" t="s">
        <v>415</v>
      </c>
      <c r="E21" s="308" t="s">
        <v>552</v>
      </c>
    </row>
    <row r="22" spans="2:6">
      <c r="B22" s="2" t="s">
        <v>54</v>
      </c>
      <c r="C22" s="48" t="s">
        <v>554</v>
      </c>
      <c r="D22" s="1" t="str">
        <f>IF(valuation_method="DDM","Terminal Value Discount Rate","")</f>
        <v/>
      </c>
      <c r="E22" s="313"/>
    </row>
    <row r="23" spans="2:6">
      <c r="B23" s="1" t="s">
        <v>410</v>
      </c>
      <c r="C23" s="262" t="s">
        <v>311</v>
      </c>
    </row>
    <row r="24" spans="2:6">
      <c r="B24" s="1" t="s">
        <v>411</v>
      </c>
      <c r="C24" s="262" t="s">
        <v>311</v>
      </c>
    </row>
    <row r="25" spans="2:6">
      <c r="B25" s="4" t="s">
        <v>337</v>
      </c>
      <c r="C25" s="48" t="s">
        <v>553</v>
      </c>
      <c r="D25" s="32" t="str">
        <f>IF(D11="","",Market_currency&amp;"/"&amp;D13&amp;":")</f>
        <v/>
      </c>
      <c r="E25" s="299" t="str">
        <f>IF(D11="","",1/Exchange_Rate*D16)</f>
        <v/>
      </c>
    </row>
    <row r="26" spans="2:6">
      <c r="B26" s="1" t="str">
        <f>"Expected Equity Value ("&amp;C13&amp;") :"</f>
        <v>Expected Equity Value (HKD) :</v>
      </c>
      <c r="C26" s="304">
        <f>C132</f>
        <v>229.87188489647181</v>
      </c>
      <c r="D26" s="1" t="s">
        <v>380</v>
      </c>
      <c r="E26" s="301">
        <f ca="1">Scenarios!C87</f>
        <v>0.34212782431380817</v>
      </c>
    </row>
    <row r="27" spans="2:6">
      <c r="D27" s="5"/>
      <c r="E27" s="5"/>
    </row>
    <row r="28" spans="2:6">
      <c r="B28" s="45" t="s">
        <v>409</v>
      </c>
      <c r="C28" s="309" t="str">
        <f>C145&amp;" ("&amp;Market_currency&amp;")"</f>
        <v>3690.HK (HKD)</v>
      </c>
      <c r="D28" s="309" t="str">
        <f>IF(D11="","",D145&amp;" ("&amp;D13&amp;")")</f>
        <v/>
      </c>
      <c r="E28" s="305" t="s">
        <v>405</v>
      </c>
      <c r="F28" s="303">
        <v>3</v>
      </c>
    </row>
    <row r="29" spans="2:6">
      <c r="B29" s="1" t="s">
        <v>401</v>
      </c>
      <c r="C29" s="310">
        <f>C149</f>
        <v>95.22724580459149</v>
      </c>
      <c r="D29" s="310" t="str">
        <f>D149</f>
        <v/>
      </c>
      <c r="E29" s="306" t="s">
        <v>400</v>
      </c>
      <c r="F29" s="302">
        <v>0.35</v>
      </c>
    </row>
    <row r="30" spans="2:6">
      <c r="B30" s="1" t="s">
        <v>402</v>
      </c>
      <c r="C30" s="311">
        <f>C157</f>
        <v>119.76352506699357</v>
      </c>
      <c r="D30" s="311" t="str">
        <f>D157</f>
        <v/>
      </c>
      <c r="E30" s="307" t="s">
        <v>413</v>
      </c>
      <c r="F30" s="312">
        <v>0.25</v>
      </c>
    </row>
    <row r="31" spans="2:6">
      <c r="B31" s="1" t="s">
        <v>403</v>
      </c>
      <c r="C31" s="311">
        <f>C165</f>
        <v>187.79436066477416</v>
      </c>
      <c r="D31" s="311" t="str">
        <f>D165</f>
        <v/>
      </c>
      <c r="E31" s="307" t="s">
        <v>412</v>
      </c>
      <c r="F31" s="312">
        <v>7.4999999999999997E-2</v>
      </c>
    </row>
    <row r="32" spans="2:6">
      <c r="B32" s="1" t="s">
        <v>404</v>
      </c>
      <c r="C32" s="311">
        <f>C173</f>
        <v>167.32042187494358</v>
      </c>
      <c r="D32" s="311" t="str">
        <f>D173</f>
        <v/>
      </c>
      <c r="E32" s="307" t="s">
        <v>414</v>
      </c>
      <c r="F32" s="312">
        <v>0.1174</v>
      </c>
    </row>
    <row r="33" spans="1:6">
      <c r="D33" s="5"/>
      <c r="E33" s="5"/>
    </row>
    <row r="34" spans="1:6" ht="13.9">
      <c r="A34" s="222" t="s">
        <v>345</v>
      </c>
      <c r="B34" s="36"/>
      <c r="C34" s="36"/>
      <c r="D34" s="36"/>
      <c r="E34" s="36"/>
      <c r="F34" s="36"/>
    </row>
    <row r="36" spans="1:6">
      <c r="B36" s="369" t="s">
        <v>469</v>
      </c>
      <c r="C36" s="369"/>
      <c r="D36" s="369"/>
      <c r="E36" s="369"/>
      <c r="F36" s="369"/>
    </row>
    <row r="37" spans="1:6" ht="24.6" customHeight="1">
      <c r="B37" s="372" t="s">
        <v>329</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45986181.768000007</v>
      </c>
      <c r="D41" s="1" t="str">
        <f>Reporting_currency</f>
        <v>CNY</v>
      </c>
    </row>
    <row r="42" spans="1:6">
      <c r="B42" s="47"/>
      <c r="C42" s="76"/>
    </row>
    <row r="43" spans="1:6" ht="24.6" customHeight="1">
      <c r="B43" s="370" t="s">
        <v>229</v>
      </c>
      <c r="C43" s="370"/>
      <c r="D43" s="370"/>
      <c r="E43" s="370"/>
      <c r="F43" s="370"/>
    </row>
    <row r="44" spans="1:6">
      <c r="B44" s="47" t="s">
        <v>230</v>
      </c>
      <c r="C44" s="349">
        <f>Normalized_FCF!C9</f>
        <v>239.649</v>
      </c>
      <c r="D44" s="1" t="str">
        <f>Reporting_currency</f>
        <v>CNY</v>
      </c>
    </row>
    <row r="45" spans="1:6">
      <c r="B45" s="52" t="s">
        <v>231</v>
      </c>
      <c r="C45" s="349">
        <f>Normalized_FCF!C10</f>
        <v>-239.649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330</v>
      </c>
      <c r="C51" s="350">
        <f>Normalized_FCF!C48</f>
        <v>0</v>
      </c>
      <c r="D51" s="1" t="str">
        <f>Reporting_currency</f>
        <v>CNY</v>
      </c>
      <c r="E51" s="286"/>
      <c r="F51" s="286"/>
    </row>
    <row r="52" spans="2:6">
      <c r="B52" s="47" t="s">
        <v>331</v>
      </c>
      <c r="C52" s="350">
        <f>Normalized_FCF!C47</f>
        <v>-1337038</v>
      </c>
      <c r="D52" s="1" t="str">
        <f>Reporting_currency</f>
        <v>CNY</v>
      </c>
      <c r="E52" s="286"/>
      <c r="F52" s="286"/>
    </row>
    <row r="53" spans="2:6">
      <c r="B53" s="47" t="s">
        <v>234</v>
      </c>
      <c r="C53" s="349">
        <f>Normalized_FCF!C12</f>
        <v>-1337038</v>
      </c>
      <c r="D53" s="1" t="str">
        <f>Reporting_currency</f>
        <v>CNY</v>
      </c>
    </row>
    <row r="55" spans="2:6">
      <c r="B55" s="1" t="s">
        <v>242</v>
      </c>
    </row>
    <row r="56" spans="2:6">
      <c r="B56" s="47" t="s">
        <v>260</v>
      </c>
      <c r="C56" s="349">
        <f>Normalized_FCF!C15</f>
        <v>0</v>
      </c>
      <c r="D56" s="1" t="str">
        <f>Reporting_currency</f>
        <v>CNY</v>
      </c>
    </row>
    <row r="58" spans="2:6">
      <c r="B58" s="370" t="s">
        <v>237</v>
      </c>
      <c r="C58" s="370"/>
      <c r="D58" s="370"/>
      <c r="E58" s="370"/>
      <c r="F58" s="370"/>
    </row>
    <row r="59" spans="2:6">
      <c r="B59" s="47" t="s">
        <v>235</v>
      </c>
      <c r="C59" s="349">
        <f>Normalized_FCF!C14</f>
        <v>-11162285.942000002</v>
      </c>
      <c r="D59" s="1" t="str">
        <f>Reporting_currency</f>
        <v>CNY</v>
      </c>
    </row>
    <row r="61" spans="2:6">
      <c r="B61" s="370" t="s">
        <v>328</v>
      </c>
      <c r="C61" s="371"/>
      <c r="D61" s="371"/>
      <c r="E61" s="371"/>
      <c r="F61" s="371"/>
    </row>
    <row r="62" spans="2:6">
      <c r="B62" s="47" t="s">
        <v>238</v>
      </c>
      <c r="C62" s="349">
        <f>Normalized_FCF!C17</f>
        <v>0</v>
      </c>
      <c r="D62" s="1" t="str">
        <f>Reporting_currency</f>
        <v>CNY</v>
      </c>
    </row>
    <row r="64" spans="2:6" ht="24.6" customHeight="1">
      <c r="B64" s="369" t="s">
        <v>333</v>
      </c>
      <c r="C64" s="369"/>
      <c r="D64" s="369"/>
      <c r="E64" s="369"/>
      <c r="F64" s="369"/>
    </row>
    <row r="65" spans="1:6" ht="24.6" customHeight="1">
      <c r="B65" s="369" t="s">
        <v>348</v>
      </c>
      <c r="C65" s="369"/>
      <c r="D65" s="369"/>
      <c r="E65" s="369"/>
      <c r="F65" s="369"/>
    </row>
    <row r="67" spans="1:6">
      <c r="B67" s="47" t="s">
        <v>264</v>
      </c>
      <c r="C67" s="349">
        <f>Normalized_FCF!G19</f>
        <v>30511267</v>
      </c>
      <c r="D67" s="1" t="str">
        <f>Reporting_currency</f>
        <v>CNY</v>
      </c>
    </row>
    <row r="68" spans="1:6">
      <c r="B68" s="47" t="s">
        <v>244</v>
      </c>
      <c r="C68" s="349">
        <f>Normalized_FCF!C19</f>
        <v>33486857.826000005</v>
      </c>
      <c r="D68" s="1" t="str">
        <f>Reporting_currency</f>
        <v>CNY</v>
      </c>
    </row>
    <row r="69" spans="1:6">
      <c r="B69" s="227" t="s">
        <v>371</v>
      </c>
      <c r="C69" s="92">
        <f>Normalized_FCF!C126</f>
        <v>4.0747166150358213E-2</v>
      </c>
      <c r="F69" s="314"/>
    </row>
    <row r="70" spans="1:6">
      <c r="B70" s="227" t="s">
        <v>434</v>
      </c>
      <c r="C70" s="92">
        <f>Normalized_FCF!C94</f>
        <v>1.0939112487100102E-2</v>
      </c>
      <c r="E70" s="47" t="s">
        <v>424</v>
      </c>
      <c r="F70" s="315">
        <f>Normalized_FCF!C92</f>
        <v>0.29325824301124143</v>
      </c>
    </row>
    <row r="72" spans="1:6">
      <c r="B72" s="210" t="s">
        <v>427</v>
      </c>
      <c r="C72" s="323" t="s">
        <v>429</v>
      </c>
      <c r="D72" s="323" t="s">
        <v>430</v>
      </c>
    </row>
    <row r="73" spans="1:6">
      <c r="B73" s="47" t="s">
        <v>428</v>
      </c>
      <c r="C73" s="92">
        <f>Normalized_FCF!C121</f>
        <v>0.24226659755524499</v>
      </c>
      <c r="D73" s="92">
        <f>Normalized_FCF!G121</f>
        <v>0.17737357071089666</v>
      </c>
    </row>
    <row r="74" spans="1:6">
      <c r="B74" s="259" t="str">
        <f>Normalized_FCF!B118</f>
        <v>Pre-tax Profit/Sales</v>
      </c>
      <c r="C74" s="322">
        <f>Normalized_FCF!C118</f>
        <v>0.11021489412599168</v>
      </c>
      <c r="D74" s="322">
        <f>Normalized_FCF!G118</f>
        <v>9.6831554232857997E-2</v>
      </c>
    </row>
    <row r="75" spans="1:6">
      <c r="B75" s="259" t="str">
        <f>Normalized_FCF!B119</f>
        <v>Sales/Total Assets</v>
      </c>
      <c r="C75" s="324">
        <f>Normalized_FCF!C119</f>
        <v>1.2268689589214112</v>
      </c>
      <c r="D75" s="324">
        <f>Normalized_FCF!G119</f>
        <v>1.022390799101176</v>
      </c>
    </row>
    <row r="76" spans="1:6">
      <c r="B76" s="259" t="str">
        <f>Normalized_FCF!B120</f>
        <v>Total Assets/Equity</v>
      </c>
      <c r="C76" s="324">
        <f>Normalized_FCF!C120</f>
        <v>1.7916578376478161</v>
      </c>
      <c r="D76" s="324">
        <f>Normalized_FCF!G120</f>
        <v>1.7916578376478161</v>
      </c>
    </row>
    <row r="78" spans="1:6" ht="13.9">
      <c r="A78" s="222" t="s">
        <v>470</v>
      </c>
      <c r="B78" s="36"/>
      <c r="C78" s="36"/>
      <c r="D78" s="36"/>
      <c r="E78" s="36"/>
      <c r="F78" s="36"/>
    </row>
    <row r="79" spans="1:6">
      <c r="A79" s="209"/>
    </row>
    <row r="80" spans="1:6">
      <c r="A80" s="17"/>
      <c r="B80" s="369" t="s">
        <v>471</v>
      </c>
      <c r="C80" s="369"/>
      <c r="D80" s="369"/>
      <c r="E80" s="369"/>
      <c r="F80" s="369"/>
    </row>
    <row r="81" spans="1:6">
      <c r="B81" s="372" t="s">
        <v>247</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69" t="s">
        <v>349</v>
      </c>
      <c r="C89" s="369"/>
      <c r="D89" s="369"/>
      <c r="E89" s="369"/>
      <c r="F89" s="369"/>
    </row>
    <row r="90" spans="1:6" ht="24.6" customHeight="1">
      <c r="B90" s="369" t="s">
        <v>350</v>
      </c>
      <c r="C90" s="369"/>
      <c r="D90" s="369"/>
      <c r="E90" s="369"/>
      <c r="F90" s="369"/>
    </row>
    <row r="92" spans="1:6">
      <c r="B92" s="47" t="s">
        <v>246</v>
      </c>
      <c r="C92" s="236">
        <v>0</v>
      </c>
    </row>
    <row r="93" spans="1:6">
      <c r="B93" s="47" t="s">
        <v>274</v>
      </c>
      <c r="C93" s="223">
        <f>DCF!C6*scaling_factor*Exchange_Rate/Common_Shares</f>
        <v>52.645338666262809</v>
      </c>
      <c r="D93" s="1" t="str">
        <f>Market_currency</f>
        <v>HKD</v>
      </c>
    </row>
    <row r="95" spans="1:6" ht="13.9">
      <c r="A95" s="222" t="s">
        <v>347</v>
      </c>
      <c r="B95" s="36"/>
      <c r="C95" s="36"/>
      <c r="D95" s="36"/>
      <c r="E95" s="36"/>
      <c r="F95" s="36"/>
    </row>
    <row r="96" spans="1:6">
      <c r="A96" s="209"/>
    </row>
    <row r="97" spans="2:6">
      <c r="B97" s="369" t="s">
        <v>351</v>
      </c>
      <c r="C97" s="369"/>
      <c r="D97" s="369"/>
      <c r="E97" s="369"/>
      <c r="F97" s="369"/>
    </row>
    <row r="98" spans="2:6">
      <c r="B98" s="1" t="s">
        <v>248</v>
      </c>
    </row>
    <row r="100" spans="2:6">
      <c r="B100" s="210" t="s">
        <v>226</v>
      </c>
    </row>
    <row r="101" spans="2:6" ht="24.6" customHeight="1">
      <c r="B101" s="369" t="s">
        <v>334</v>
      </c>
      <c r="C101" s="369"/>
      <c r="D101" s="369"/>
      <c r="E101" s="369"/>
      <c r="F101" s="369"/>
    </row>
    <row r="102" spans="2:6">
      <c r="B102" s="47" t="s">
        <v>250</v>
      </c>
      <c r="C102" s="349">
        <f>DCF!C7</f>
        <v>50977402</v>
      </c>
      <c r="D102" s="1" t="str">
        <f>Reporting_currency</f>
        <v>CNY</v>
      </c>
    </row>
    <row r="103" spans="2:6">
      <c r="B103" s="47" t="s">
        <v>275</v>
      </c>
      <c r="C103" s="223">
        <f>C102*scaling_factor*Exchange_Rate/Common_Shares</f>
        <v>6.0106921793641295</v>
      </c>
      <c r="D103" s="1" t="str">
        <f>Market_currency</f>
        <v>HKD</v>
      </c>
    </row>
    <row r="104" spans="2:6">
      <c r="B104" s="296" t="s">
        <v>384</v>
      </c>
      <c r="C104" s="325">
        <f>IF(BS!G31/BS!G27&gt;300%,"nm",BS!G31/BS!G27)</f>
        <v>0.27660377540313014</v>
      </c>
    </row>
    <row r="105" spans="2:6">
      <c r="B105" s="296" t="s">
        <v>386</v>
      </c>
      <c r="C105" s="326">
        <f>IF(BS!C50&gt;30,"nm",BS!C50)</f>
        <v>1.1085373918882995</v>
      </c>
    </row>
    <row r="107" spans="2:6">
      <c r="B107" s="1" t="s">
        <v>249</v>
      </c>
    </row>
    <row r="108" spans="2:6">
      <c r="B108" s="47" t="s">
        <v>259</v>
      </c>
      <c r="C108" s="349">
        <f>BS!C66</f>
        <v>119577005</v>
      </c>
      <c r="D108" s="1" t="str">
        <f>Reporting_currency</f>
        <v>CNY</v>
      </c>
    </row>
    <row r="109" spans="2:6">
      <c r="B109" s="47" t="s">
        <v>261</v>
      </c>
      <c r="C109" s="349">
        <f>DCF!C8</f>
        <v>58086337.24633</v>
      </c>
      <c r="D109" s="1" t="str">
        <f>Reporting_currency</f>
        <v>CNY</v>
      </c>
    </row>
    <row r="110" spans="2:6">
      <c r="B110" s="47" t="s">
        <v>276</v>
      </c>
      <c r="C110" s="223">
        <f>C109*scaling_factor*Exchange_Rate/Common_Shares</f>
        <v>6.8488993027620966</v>
      </c>
      <c r="D110" s="1" t="str">
        <f>Market_currency</f>
        <v>HKD</v>
      </c>
    </row>
    <row r="112" spans="2:6">
      <c r="B112" s="1" t="s">
        <v>251</v>
      </c>
    </row>
    <row r="113" spans="1:6">
      <c r="B113" s="47" t="s">
        <v>252</v>
      </c>
      <c r="C113" s="349">
        <f>DCF!C9</f>
        <v>57918846.499999993</v>
      </c>
      <c r="D113" s="1" t="str">
        <f>Reporting_currency</f>
        <v>CNY</v>
      </c>
    </row>
    <row r="114" spans="1:6">
      <c r="B114" s="47" t="s">
        <v>277</v>
      </c>
      <c r="C114" s="223">
        <f>C113*scaling_factor*Exchange_Rate/Common_Shares</f>
        <v>6.829150643952814</v>
      </c>
      <c r="D114" s="1" t="str">
        <f>Market_currency</f>
        <v>HKD</v>
      </c>
    </row>
    <row r="116" spans="1:6" ht="24.6" customHeight="1">
      <c r="B116" s="369" t="s">
        <v>352</v>
      </c>
      <c r="C116" s="369"/>
      <c r="D116" s="369"/>
      <c r="E116" s="369"/>
      <c r="F116" s="369"/>
    </row>
    <row r="118" spans="1:6">
      <c r="B118" s="47" t="s">
        <v>425</v>
      </c>
      <c r="C118" s="223">
        <f>IF(valuation_method="DCF",DCF!C12,DDM!C7)</f>
        <v>60.312696433613588</v>
      </c>
      <c r="D118" s="1" t="str">
        <f>Market_currency</f>
        <v>HKD</v>
      </c>
    </row>
    <row r="119" spans="1:6">
      <c r="B119" s="296" t="s">
        <v>549</v>
      </c>
      <c r="C119" s="223">
        <f>BS!D47</f>
        <v>3.4814224065804482</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254</v>
      </c>
      <c r="F125" s="233" t="s">
        <v>143</v>
      </c>
    </row>
    <row r="126" spans="1:6">
      <c r="B126" s="228" t="str">
        <f>DCF!B74</f>
        <v>Snowball Scenario</v>
      </c>
      <c r="C126" s="229">
        <f>DCF!C74</f>
        <v>0.25</v>
      </c>
      <c r="D126" s="230">
        <f>DCF!D74</f>
        <v>10</v>
      </c>
      <c r="E126" s="231" t="str">
        <f>ROUND(IF(valuation_method="DCF",DCF!E74,DDM!E69),2)&amp;" "&amp;Market_currency</f>
        <v>138.83 HKD</v>
      </c>
      <c r="F126" s="232">
        <f>DCF!F74</f>
        <v>0.05</v>
      </c>
    </row>
    <row r="127" spans="1:6">
      <c r="B127" s="218" t="str">
        <f>DCF!B75</f>
        <v>Optimistic</v>
      </c>
      <c r="C127" s="219">
        <f>DCF!C75</f>
        <v>0.2</v>
      </c>
      <c r="D127" s="220">
        <f>DCF!D75</f>
        <v>20</v>
      </c>
      <c r="E127" s="231" t="str">
        <f>ROUND(IF(valuation_method="DCF",DCF!E75,DDM!E70),2)&amp;" "&amp;Market_currency</f>
        <v>326.73 HKD</v>
      </c>
      <c r="F127" s="221">
        <f>DCF!F75</f>
        <v>0.18</v>
      </c>
    </row>
    <row r="128" spans="1:6">
      <c r="B128" s="218" t="str">
        <f>DCF!B76</f>
        <v>Base</v>
      </c>
      <c r="C128" s="219">
        <f>DCF!C76</f>
        <v>0.17</v>
      </c>
      <c r="D128" s="220">
        <f>DCF!D76</f>
        <v>20</v>
      </c>
      <c r="E128" s="231" t="str">
        <f>ROUND(IF(valuation_method="DCF",DCF!E76,DDM!E71),2)&amp;" "&amp;Market_currency</f>
        <v>238.04 HKD</v>
      </c>
      <c r="F128" s="221">
        <f>DCF!F76</f>
        <v>0.53999999999999992</v>
      </c>
    </row>
    <row r="129" spans="1:6">
      <c r="B129" s="218" t="str">
        <f>DCF!B77</f>
        <v>Pessimistic</v>
      </c>
      <c r="C129" s="219">
        <f>DCF!C77</f>
        <v>0.14000000000000001</v>
      </c>
      <c r="D129" s="220">
        <f>DCF!D77</f>
        <v>20</v>
      </c>
      <c r="E129" s="231" t="str">
        <f>ROUND(IF(valuation_method="DCF",DCF!E77,DDM!E72),2)&amp;" "&amp;Market_currency</f>
        <v>176.59 HKD</v>
      </c>
      <c r="F129" s="221">
        <f>DCF!F77</f>
        <v>0.18</v>
      </c>
    </row>
    <row r="130" spans="1:6">
      <c r="B130" s="218" t="str">
        <f>DCF!B78</f>
        <v>Devil's advocate</v>
      </c>
      <c r="C130" s="219">
        <f>DCF!C78</f>
        <v>0.08</v>
      </c>
      <c r="D130" s="220">
        <f>DCF!D78</f>
        <v>10</v>
      </c>
      <c r="E130" s="231" t="str">
        <f>ROUND(IF(valuation_method="DCF",DCF!E78,DDM!E73),2)&amp;" "&amp;Market_currency</f>
        <v>75.76 HKD</v>
      </c>
      <c r="F130" s="221">
        <f>DCF!F78</f>
        <v>0.05</v>
      </c>
    </row>
    <row r="132" spans="1:6">
      <c r="B132" s="211" t="s">
        <v>253</v>
      </c>
      <c r="C132" s="217">
        <f>Scenarios!C60</f>
        <v>229.87188489647181</v>
      </c>
      <c r="D132" s="212" t="str">
        <f>Market_currency</f>
        <v>HKD</v>
      </c>
    </row>
    <row r="134" spans="1:6" ht="24.6" customHeight="1">
      <c r="B134" s="373" t="s">
        <v>474</v>
      </c>
      <c r="C134" s="373"/>
      <c r="D134" s="373"/>
      <c r="E134" s="373"/>
      <c r="F134" s="373"/>
    </row>
    <row r="136" spans="1:6" ht="13.9">
      <c r="A136" s="222" t="s">
        <v>475</v>
      </c>
      <c r="B136" s="36"/>
      <c r="C136" s="36"/>
      <c r="D136" s="36"/>
      <c r="E136" s="36"/>
      <c r="F136" s="36"/>
    </row>
    <row r="138" spans="1:6">
      <c r="B138" s="374" t="s">
        <v>353</v>
      </c>
      <c r="C138" s="374"/>
      <c r="D138" s="374"/>
      <c r="E138" s="374"/>
      <c r="F138" s="374"/>
    </row>
    <row r="139" spans="1:6">
      <c r="B139" s="369" t="s">
        <v>476</v>
      </c>
      <c r="C139" s="369"/>
      <c r="D139" s="369"/>
      <c r="E139" s="369"/>
      <c r="F139" s="369"/>
    </row>
    <row r="140" spans="1:6">
      <c r="B140" s="210" t="s">
        <v>226</v>
      </c>
    </row>
    <row r="141" spans="1:6">
      <c r="B141" s="1" t="s">
        <v>258</v>
      </c>
      <c r="C141" s="225">
        <f>F28</f>
        <v>3</v>
      </c>
    </row>
    <row r="142" spans="1:6">
      <c r="B142" s="1" t="s">
        <v>270</v>
      </c>
      <c r="C142" s="224">
        <f>F29</f>
        <v>0.35</v>
      </c>
    </row>
    <row r="143" spans="1:6">
      <c r="B143" s="212" t="s">
        <v>256</v>
      </c>
      <c r="C143" s="213">
        <f>Scenarios!C77</f>
        <v>1.06</v>
      </c>
      <c r="D143" s="212" t="str">
        <f>Market_currency</f>
        <v>HKD</v>
      </c>
    </row>
    <row r="145" spans="2:4">
      <c r="B145" s="210" t="s">
        <v>388</v>
      </c>
      <c r="C145" s="241" t="str">
        <f>C11</f>
        <v>3690.HK</v>
      </c>
      <c r="D145" s="241" t="str">
        <f>IF(D11="","",D11)</f>
        <v/>
      </c>
    </row>
    <row r="146" spans="2:4">
      <c r="B146" s="1" t="s">
        <v>387</v>
      </c>
      <c r="C146" s="297">
        <f>F29</f>
        <v>0.35</v>
      </c>
    </row>
    <row r="147" spans="2:4">
      <c r="B147" s="212" t="str">
        <f>"PV("&amp;C141&amp;" yrs of Dividends)"</f>
        <v>PV(3 yrs of Dividends)</v>
      </c>
      <c r="C147" s="216">
        <f>Scenarios!C81</f>
        <v>1.7976324747243817</v>
      </c>
    </row>
    <row r="148" spans="2:4">
      <c r="B148" s="212" t="str">
        <f>"+ PV(Equity Value realized at year "&amp;C141&amp;")"</f>
        <v>+ PV(Equity Value realized at year 3)</v>
      </c>
      <c r="C148" s="216">
        <f>Scenarios!C82</f>
        <v>93.429613329867109</v>
      </c>
    </row>
    <row r="149" spans="2:4">
      <c r="B149" s="80" t="s">
        <v>255</v>
      </c>
      <c r="C149" s="215">
        <f>Scenarios!C83</f>
        <v>95.22724580459149</v>
      </c>
      <c r="D149" s="300" t="str">
        <f>IF($D$11="","",C149*$E$25)</f>
        <v/>
      </c>
    </row>
    <row r="150" spans="2:4">
      <c r="B150" s="259" t="s">
        <v>395</v>
      </c>
      <c r="C150" s="298" t="str">
        <f>Market_currency</f>
        <v>HKD</v>
      </c>
      <c r="D150" s="298" t="str">
        <f>IF($D$11="","",D$13)</f>
        <v/>
      </c>
    </row>
    <row r="151" spans="2:4">
      <c r="B151" s="214" t="s">
        <v>257</v>
      </c>
      <c r="C151" s="92">
        <f>Scenarios!F83</f>
        <v>0.58573774323258665</v>
      </c>
    </row>
    <row r="153" spans="2:4">
      <c r="B153" s="210" t="s">
        <v>391</v>
      </c>
    </row>
    <row r="154" spans="2:4">
      <c r="B154" s="1" t="s">
        <v>390</v>
      </c>
      <c r="C154" s="297">
        <f>Scenarios!C90</f>
        <v>0.25</v>
      </c>
    </row>
    <row r="155" spans="2:4">
      <c r="B155" s="212" t="str">
        <f>"PV("&amp;C141&amp;" yrs of Dividends)"</f>
        <v>PV(3 yrs of Dividends)</v>
      </c>
      <c r="C155" s="216">
        <f>Scenarios!C91</f>
        <v>2.0691199999999998</v>
      </c>
    </row>
    <row r="156" spans="2:4">
      <c r="B156" s="212" t="str">
        <f>"+ PV(Equity Value realized at year "&amp;C141&amp;")"</f>
        <v>+ PV(Equity Value realized at year 3)</v>
      </c>
      <c r="C156" s="216">
        <f>Scenarios!C92</f>
        <v>117.69440506699357</v>
      </c>
    </row>
    <row r="157" spans="2:4">
      <c r="B157" s="80" t="s">
        <v>255</v>
      </c>
      <c r="C157" s="215">
        <f>Scenarios!C93</f>
        <v>119.76352506699357</v>
      </c>
      <c r="D157" s="300" t="str">
        <f>IF($D$11="","",C157*$E$25)</f>
        <v/>
      </c>
    </row>
    <row r="158" spans="2:4">
      <c r="B158" s="259" t="s">
        <v>395</v>
      </c>
      <c r="C158" s="298" t="str">
        <f>Market_currency</f>
        <v>HKD</v>
      </c>
      <c r="D158" s="298" t="str">
        <f>IF($D$11="","",D$13)</f>
        <v/>
      </c>
    </row>
    <row r="159" spans="2:4">
      <c r="B159" s="214" t="s">
        <v>257</v>
      </c>
      <c r="C159" s="92">
        <f>Scenarios!F93</f>
        <v>0.47899881222563656</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185.03780338050987</v>
      </c>
    </row>
    <row r="165" spans="2:4">
      <c r="B165" s="80" t="s">
        <v>382</v>
      </c>
      <c r="C165" s="215">
        <f>Scenarios!C99</f>
        <v>187.79436066477416</v>
      </c>
      <c r="D165" s="300" t="str">
        <f>IF($D$11="","",C165*$E$25)</f>
        <v/>
      </c>
    </row>
    <row r="166" spans="2:4">
      <c r="B166" s="259" t="s">
        <v>395</v>
      </c>
      <c r="C166" s="298" t="str">
        <f>Market_currency</f>
        <v>HKD</v>
      </c>
      <c r="D166" s="298" t="str">
        <f>IF($D$11="","",D$13)</f>
        <v/>
      </c>
    </row>
    <row r="167" spans="2:4">
      <c r="B167" s="214" t="s">
        <v>257</v>
      </c>
      <c r="C167" s="92">
        <f>Scenarios!F99</f>
        <v>0.18304771917039031</v>
      </c>
    </row>
    <row r="169" spans="2:4">
      <c r="B169" s="210" t="s">
        <v>408</v>
      </c>
    </row>
    <row r="170" spans="2:4">
      <c r="B170" s="1" t="s">
        <v>399</v>
      </c>
      <c r="C170" s="92">
        <f>F32</f>
        <v>0.1174</v>
      </c>
    </row>
    <row r="171" spans="2:4">
      <c r="B171" s="212" t="str">
        <f>"PV("&amp;C141&amp;" yrs of Dividends)"</f>
        <v>PV(3 yrs of Dividends)</v>
      </c>
      <c r="C171" s="216">
        <f>Scenarios!C103</f>
        <v>2.5573593134949681</v>
      </c>
    </row>
    <row r="172" spans="2:4">
      <c r="B172" s="212" t="str">
        <f>"+ PV(Equity Value realized at year "&amp;C141&amp;")"</f>
        <v>+ PV(Equity Value realized at year 3)</v>
      </c>
      <c r="C172" s="216">
        <f>Scenarios!C104</f>
        <v>164.76306256144861</v>
      </c>
    </row>
    <row r="173" spans="2:4">
      <c r="B173" s="80" t="s">
        <v>382</v>
      </c>
      <c r="C173" s="215">
        <f>Scenarios!C105</f>
        <v>167.32042187494358</v>
      </c>
      <c r="D173" s="300" t="str">
        <f>IF($D$11="","",C173*$E$25)</f>
        <v/>
      </c>
    </row>
    <row r="174" spans="2:4">
      <c r="B174" s="259" t="s">
        <v>395</v>
      </c>
      <c r="C174" s="298" t="str">
        <f>Market_currency</f>
        <v>HKD</v>
      </c>
      <c r="D174" s="298" t="str">
        <f>IF($D$11="","",D$13)</f>
        <v/>
      </c>
    </row>
    <row r="175" spans="2:4">
      <c r="B175" s="214" t="s">
        <v>257</v>
      </c>
      <c r="C175" s="92">
        <f>Scenarios!F105</f>
        <v>-1.4062211413204331</v>
      </c>
    </row>
    <row r="177" spans="1:6" ht="13.9">
      <c r="A177" s="222" t="s">
        <v>357</v>
      </c>
      <c r="B177" s="36"/>
      <c r="C177" s="36"/>
      <c r="D177" s="36"/>
      <c r="E177" s="36"/>
      <c r="F177" s="36"/>
    </row>
    <row r="179" spans="1:6">
      <c r="B179" s="368" t="s">
        <v>477</v>
      </c>
      <c r="C179" s="369"/>
      <c r="D179" s="369"/>
      <c r="E179" s="369"/>
      <c r="F179" s="369"/>
    </row>
    <row r="181" spans="1:6">
      <c r="B181" s="210" t="s">
        <v>358</v>
      </c>
    </row>
    <row r="182" spans="1:6">
      <c r="B182" s="371" t="s">
        <v>362</v>
      </c>
      <c r="C182" s="371"/>
      <c r="D182" s="371"/>
      <c r="E182" s="371"/>
      <c r="F182" s="371"/>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67" t="s">
        <v>363</v>
      </c>
      <c r="C191" s="367"/>
      <c r="D191" s="367"/>
      <c r="E191" s="367"/>
      <c r="F191" s="367"/>
    </row>
    <row r="192" spans="1:6" ht="24.6" customHeight="1">
      <c r="B192" s="367" t="s">
        <v>364</v>
      </c>
      <c r="C192" s="367"/>
      <c r="D192" s="367"/>
      <c r="E192" s="367"/>
      <c r="F192" s="367"/>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2" activePane="bottomRight" state="frozen"/>
      <selection pane="topRight" activeCell="C1" sqref="C1"/>
      <selection pane="bottomLeft" activeCell="A2" sqref="A2"/>
      <selection pane="bottomRight" activeCell="E51" sqref="E51"/>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337591576</v>
      </c>
      <c r="D4" s="351">
        <v>276744954</v>
      </c>
      <c r="E4" s="351">
        <v>219954948</v>
      </c>
      <c r="F4" s="351">
        <v>179127997</v>
      </c>
      <c r="G4" s="351">
        <v>114794510</v>
      </c>
      <c r="H4" s="351">
        <v>97528531</v>
      </c>
      <c r="I4" s="351">
        <v>65227278</v>
      </c>
      <c r="J4" s="351">
        <v>33927987</v>
      </c>
      <c r="K4" s="351">
        <v>12988077</v>
      </c>
      <c r="L4" s="351">
        <v>4018959</v>
      </c>
      <c r="M4" s="351"/>
    </row>
    <row r="5" spans="2:13">
      <c r="B5" s="40" t="s">
        <v>41</v>
      </c>
      <c r="C5" s="351">
        <v>207806982</v>
      </c>
      <c r="D5" s="351">
        <v>179553793</v>
      </c>
      <c r="E5" s="351">
        <v>158201969</v>
      </c>
      <c r="F5" s="351">
        <v>136653869</v>
      </c>
      <c r="G5" s="351">
        <v>80744368</v>
      </c>
      <c r="H5" s="351">
        <v>65208143</v>
      </c>
      <c r="I5" s="351">
        <v>50122320</v>
      </c>
      <c r="J5" s="351">
        <v>21708483</v>
      </c>
      <c r="K5" s="351">
        <v>7046841</v>
      </c>
      <c r="L5" s="351">
        <v>1239504</v>
      </c>
      <c r="M5" s="351"/>
    </row>
    <row r="6" spans="2:13">
      <c r="B6" s="40" t="s">
        <v>52</v>
      </c>
      <c r="C6" s="351">
        <v>74704438</v>
      </c>
      <c r="D6" s="351">
        <v>67989064</v>
      </c>
      <c r="E6" s="351">
        <v>49516922</v>
      </c>
      <c r="F6" s="351">
        <v>49295792</v>
      </c>
      <c r="G6" s="351">
        <v>26476580</v>
      </c>
      <c r="H6" s="351">
        <v>23158021</v>
      </c>
      <c r="I6" s="351">
        <v>21703593</v>
      </c>
      <c r="J6" s="351">
        <v>13080096</v>
      </c>
      <c r="K6" s="351">
        <v>10059737</v>
      </c>
      <c r="L6" s="351">
        <v>10046382</v>
      </c>
      <c r="M6" s="351"/>
    </row>
    <row r="7" spans="2:13">
      <c r="B7" s="69" t="s">
        <v>59</v>
      </c>
      <c r="C7" s="352">
        <v>63975235</v>
      </c>
      <c r="D7" s="352">
        <v>58616997</v>
      </c>
      <c r="E7" s="352">
        <v>39745112</v>
      </c>
      <c r="F7" s="352">
        <v>40683166</v>
      </c>
      <c r="G7" s="352">
        <v>20882685</v>
      </c>
      <c r="H7" s="352">
        <v>18819067</v>
      </c>
      <c r="I7" s="352">
        <v>15871901</v>
      </c>
      <c r="J7" s="352">
        <v>10908688</v>
      </c>
      <c r="K7" s="352">
        <v>8337132</v>
      </c>
      <c r="L7" s="352">
        <v>7140962</v>
      </c>
      <c r="M7" s="352"/>
    </row>
    <row r="8" spans="2:13">
      <c r="B8" s="40" t="s">
        <v>47</v>
      </c>
      <c r="C8" s="351">
        <v>21053601</v>
      </c>
      <c r="D8" s="351">
        <v>21201005</v>
      </c>
      <c r="E8" s="351">
        <v>20739865</v>
      </c>
      <c r="F8" s="351">
        <v>16675595</v>
      </c>
      <c r="G8" s="351">
        <v>10892514</v>
      </c>
      <c r="H8" s="351">
        <v>8445664</v>
      </c>
      <c r="I8" s="351">
        <v>7071900</v>
      </c>
      <c r="J8" s="351">
        <v>3646634</v>
      </c>
      <c r="K8" s="351">
        <v>2366674</v>
      </c>
      <c r="L8" s="351">
        <v>1204033</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1337038</v>
      </c>
      <c r="D12" s="351">
        <v>1425157</v>
      </c>
      <c r="E12" s="351">
        <v>1628825</v>
      </c>
      <c r="F12" s="351">
        <v>1130935</v>
      </c>
      <c r="G12" s="351">
        <v>0</v>
      </c>
      <c r="H12" s="351">
        <v>0</v>
      </c>
      <c r="I12" s="351">
        <v>0</v>
      </c>
      <c r="J12" s="351">
        <v>19214</v>
      </c>
      <c r="K12" s="351">
        <v>55981</v>
      </c>
      <c r="L12" s="351">
        <v>56561</v>
      </c>
      <c r="M12" s="351"/>
    </row>
    <row r="13" spans="2:13">
      <c r="B13" s="40" t="s">
        <v>65</v>
      </c>
      <c r="C13" s="351">
        <v>1291807</v>
      </c>
      <c r="D13" s="351">
        <v>818986</v>
      </c>
      <c r="E13" s="351">
        <v>657908</v>
      </c>
      <c r="F13" s="351">
        <v>546037</v>
      </c>
      <c r="G13" s="351">
        <v>0</v>
      </c>
      <c r="H13" s="351">
        <v>0</v>
      </c>
      <c r="I13" s="351">
        <v>294047</v>
      </c>
      <c r="J13" s="351">
        <v>60885</v>
      </c>
      <c r="K13" s="351">
        <v>21681</v>
      </c>
      <c r="L13" s="351">
        <v>13541</v>
      </c>
      <c r="M13" s="351"/>
    </row>
    <row r="14" spans="2:13">
      <c r="B14" s="40" t="s">
        <v>48</v>
      </c>
      <c r="C14" s="351">
        <v>2177107</v>
      </c>
      <c r="D14" s="351">
        <v>164537</v>
      </c>
      <c r="E14" s="351">
        <v>-70194</v>
      </c>
      <c r="F14" s="351">
        <v>-30279</v>
      </c>
      <c r="G14" s="351">
        <v>-269737</v>
      </c>
      <c r="H14" s="351">
        <v>526223</v>
      </c>
      <c r="I14" s="351">
        <v>1888</v>
      </c>
      <c r="J14" s="351">
        <v>54218</v>
      </c>
      <c r="K14" s="351">
        <v>267903</v>
      </c>
      <c r="L14" s="351">
        <v>-11648</v>
      </c>
      <c r="M14" s="351"/>
    </row>
    <row r="15" spans="2:13">
      <c r="B15" s="43" t="s">
        <v>40</v>
      </c>
      <c r="C15" s="353">
        <v>35807179</v>
      </c>
      <c r="D15" s="353"/>
      <c r="E15" s="353"/>
      <c r="F15" s="353"/>
      <c r="G15" s="353"/>
      <c r="H15" s="353"/>
      <c r="I15" s="353"/>
      <c r="J15" s="353"/>
      <c r="K15" s="353"/>
      <c r="L15" s="353"/>
      <c r="M15" s="353"/>
    </row>
    <row r="16" spans="2:13">
      <c r="B16" s="28" t="s">
        <v>42</v>
      </c>
      <c r="C16" s="351">
        <v>1143</v>
      </c>
      <c r="D16" s="351"/>
      <c r="E16" s="351"/>
      <c r="F16" s="351"/>
      <c r="G16" s="351"/>
      <c r="H16" s="351"/>
      <c r="I16" s="351"/>
      <c r="J16" s="351"/>
      <c r="K16" s="351"/>
      <c r="L16" s="351"/>
      <c r="M16" s="351"/>
    </row>
    <row r="18" spans="2:13">
      <c r="B18" s="16" t="s">
        <v>49</v>
      </c>
      <c r="C18" s="9"/>
    </row>
    <row r="19" spans="2:13">
      <c r="B19" s="27" t="s">
        <v>45</v>
      </c>
      <c r="C19" s="351">
        <v>239.649</v>
      </c>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v>6465.5690000000004</v>
      </c>
      <c r="D21" s="351"/>
      <c r="E21" s="351"/>
      <c r="F21" s="351"/>
      <c r="G21" s="351"/>
      <c r="H21" s="351"/>
      <c r="I21" s="351"/>
      <c r="J21" s="351"/>
      <c r="K21" s="351"/>
      <c r="L21" s="351"/>
      <c r="M21" s="351"/>
    </row>
    <row r="22" spans="2:13">
      <c r="B22" s="27" t="s">
        <v>354</v>
      </c>
      <c r="C22" s="351">
        <v>-237258</v>
      </c>
      <c r="D22" s="351"/>
      <c r="E22" s="351"/>
      <c r="F22" s="351"/>
      <c r="G22" s="351"/>
      <c r="H22" s="351"/>
      <c r="I22" s="351"/>
      <c r="J22" s="351"/>
      <c r="K22" s="351"/>
      <c r="L22" s="351"/>
      <c r="M22" s="351"/>
    </row>
    <row r="23" spans="2:13">
      <c r="B23" s="27" t="s">
        <v>356</v>
      </c>
      <c r="C23" s="351">
        <v>23438</v>
      </c>
      <c r="D23" s="351"/>
      <c r="E23" s="351"/>
      <c r="F23" s="351"/>
      <c r="G23" s="351"/>
      <c r="H23" s="351"/>
      <c r="I23" s="351"/>
      <c r="J23" s="351"/>
      <c r="K23" s="351"/>
      <c r="L23" s="351"/>
      <c r="M23" s="351"/>
    </row>
    <row r="24" spans="2:13">
      <c r="B24" s="27" t="s">
        <v>355</v>
      </c>
      <c r="C24" s="351">
        <v>194894</v>
      </c>
      <c r="D24" s="351"/>
      <c r="E24" s="351"/>
      <c r="F24" s="351"/>
      <c r="G24" s="351"/>
      <c r="H24" s="351"/>
      <c r="I24" s="351"/>
      <c r="J24" s="351"/>
      <c r="K24" s="351"/>
      <c r="L24" s="351"/>
      <c r="M24" s="351"/>
    </row>
    <row r="25" spans="2:13">
      <c r="B25" s="24" t="str">
        <f>"Dividend per share ("&amp;Market_currency&amp;")"</f>
        <v>Dividend per share (HKD)</v>
      </c>
      <c r="C25" s="39">
        <f>10.6/10</f>
        <v>1.06</v>
      </c>
      <c r="D25" s="39"/>
      <c r="E25" s="39"/>
      <c r="F25" s="39"/>
      <c r="G25" s="39"/>
      <c r="H25" s="39"/>
      <c r="I25" s="39"/>
      <c r="J25" s="39"/>
      <c r="K25" s="39"/>
      <c r="L25" s="39"/>
      <c r="M25" s="39"/>
    </row>
    <row r="27" spans="2:13">
      <c r="B27" s="16" t="s">
        <v>26</v>
      </c>
      <c r="C27" s="97" t="s">
        <v>215</v>
      </c>
    </row>
    <row r="28" spans="2:13">
      <c r="B28" s="26" t="s">
        <v>22</v>
      </c>
      <c r="C28" s="333">
        <f>BS!C4</f>
        <v>3141262</v>
      </c>
      <c r="D28" s="351"/>
      <c r="E28" s="351"/>
      <c r="F28" s="351"/>
      <c r="G28" s="351"/>
      <c r="H28" s="351"/>
      <c r="I28" s="351"/>
      <c r="J28" s="351"/>
      <c r="K28" s="351"/>
      <c r="L28" s="351"/>
      <c r="M28" s="351"/>
    </row>
    <row r="29" spans="2:13">
      <c r="B29" s="26" t="s">
        <v>30</v>
      </c>
      <c r="C29" s="333">
        <f>BS!C6</f>
        <v>2483059</v>
      </c>
      <c r="D29" s="351">
        <v>1734.124</v>
      </c>
      <c r="E29" s="351">
        <v>1304.595</v>
      </c>
      <c r="F29" s="351">
        <v>1162.7650000000001</v>
      </c>
      <c r="G29" s="351">
        <v>681.69299999999998</v>
      </c>
      <c r="H29" s="351"/>
      <c r="I29" s="351"/>
      <c r="J29" s="351"/>
      <c r="K29" s="351"/>
      <c r="L29" s="351"/>
      <c r="M29" s="351"/>
    </row>
    <row r="30" spans="2:13">
      <c r="B30" s="29" t="s">
        <v>38</v>
      </c>
      <c r="C30" s="334">
        <f>BS!C33+BS!C42</f>
        <v>145900611</v>
      </c>
      <c r="D30" s="353"/>
      <c r="E30" s="353"/>
      <c r="F30" s="353"/>
      <c r="G30" s="353"/>
      <c r="H30" s="353"/>
      <c r="I30" s="353"/>
      <c r="J30" s="353"/>
      <c r="K30" s="353"/>
      <c r="L30" s="353"/>
      <c r="M30" s="353"/>
    </row>
    <row r="31" spans="2:13">
      <c r="B31" s="29" t="s">
        <v>28</v>
      </c>
      <c r="C31" s="334">
        <f>BS!G27</f>
        <v>184297564</v>
      </c>
      <c r="D31" s="353"/>
      <c r="E31" s="353"/>
      <c r="F31" s="353"/>
      <c r="G31" s="353"/>
      <c r="H31" s="353"/>
      <c r="I31" s="353"/>
      <c r="J31" s="353"/>
      <c r="K31" s="353"/>
      <c r="L31" s="353"/>
      <c r="M31" s="353"/>
    </row>
    <row r="32" spans="2:13">
      <c r="B32" s="26" t="s">
        <v>168</v>
      </c>
      <c r="C32" s="333">
        <f>BS!G28</f>
        <v>-58350</v>
      </c>
      <c r="D32" s="351">
        <v>-58.881999999999998</v>
      </c>
      <c r="E32" s="351">
        <v>-56.84</v>
      </c>
      <c r="F32" s="351">
        <v>-55.893000000000001</v>
      </c>
      <c r="G32" s="351">
        <v>-56.68</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337591576</v>
      </c>
      <c r="D36" s="333">
        <f t="shared" si="1"/>
        <v>276744954</v>
      </c>
      <c r="E36" s="333">
        <f t="shared" si="1"/>
        <v>219954948</v>
      </c>
      <c r="F36" s="333">
        <f t="shared" si="1"/>
        <v>179127997</v>
      </c>
      <c r="G36" s="333">
        <f t="shared" si="1"/>
        <v>114794510</v>
      </c>
      <c r="H36" s="333">
        <f t="shared" si="1"/>
        <v>97528531</v>
      </c>
      <c r="I36" s="333">
        <f t="shared" si="1"/>
        <v>65227278</v>
      </c>
      <c r="J36" s="333">
        <f t="shared" si="1"/>
        <v>33927987</v>
      </c>
      <c r="K36" s="333">
        <f t="shared" si="1"/>
        <v>12988077</v>
      </c>
      <c r="L36" s="333">
        <f t="shared" si="1"/>
        <v>4018959</v>
      </c>
      <c r="M36" s="333" t="str">
        <f t="shared" si="1"/>
        <v/>
      </c>
    </row>
    <row r="37" spans="2:13">
      <c r="B37" s="40" t="s">
        <v>41</v>
      </c>
      <c r="C37" s="333">
        <f t="shared" ref="C37:M37" si="2">IF(C$4="","",-C5)</f>
        <v>-207806982</v>
      </c>
      <c r="D37" s="333">
        <f t="shared" si="2"/>
        <v>-179553793</v>
      </c>
      <c r="E37" s="333">
        <f t="shared" si="2"/>
        <v>-158201969</v>
      </c>
      <c r="F37" s="333">
        <f t="shared" si="2"/>
        <v>-136653869</v>
      </c>
      <c r="G37" s="333">
        <f t="shared" si="2"/>
        <v>-80744368</v>
      </c>
      <c r="H37" s="333">
        <f t="shared" si="2"/>
        <v>-65208143</v>
      </c>
      <c r="I37" s="333">
        <f t="shared" si="2"/>
        <v>-50122320</v>
      </c>
      <c r="J37" s="333">
        <f t="shared" si="2"/>
        <v>-21708483</v>
      </c>
      <c r="K37" s="333">
        <f t="shared" si="2"/>
        <v>-7046841</v>
      </c>
      <c r="L37" s="333">
        <f t="shared" si="2"/>
        <v>-1239504</v>
      </c>
      <c r="M37" s="333" t="str">
        <f t="shared" si="2"/>
        <v/>
      </c>
    </row>
    <row r="38" spans="2:13">
      <c r="B38" s="31" t="s">
        <v>56</v>
      </c>
      <c r="C38" s="329">
        <f>IF(C36="","",C36+C37)</f>
        <v>129784594</v>
      </c>
      <c r="D38" s="329">
        <f t="shared" ref="D38" si="3">IF(D36="","",D36+D37)</f>
        <v>97191161</v>
      </c>
      <c r="E38" s="329">
        <f t="shared" ref="E38" si="4">IF(E36="","",E36+E37)</f>
        <v>61752979</v>
      </c>
      <c r="F38" s="329">
        <f t="shared" ref="F38" si="5">IF(F36="","",F36+F37)</f>
        <v>42474128</v>
      </c>
      <c r="G38" s="329">
        <f t="shared" ref="G38" si="6">IF(G36="","",G36+G37)</f>
        <v>34050142</v>
      </c>
      <c r="H38" s="329">
        <f t="shared" ref="H38" si="7">IF(H36="","",H36+H37)</f>
        <v>32320388</v>
      </c>
      <c r="I38" s="329">
        <f t="shared" ref="I38" si="8">IF(I36="","",I36+I37)</f>
        <v>15104958</v>
      </c>
      <c r="J38" s="329">
        <f t="shared" ref="J38" si="9">IF(J36="","",J36+J37)</f>
        <v>12219504</v>
      </c>
      <c r="K38" s="329">
        <f t="shared" ref="K38" si="10">IF(K36="","",K36+K37)</f>
        <v>5941236</v>
      </c>
      <c r="L38" s="329">
        <f t="shared" ref="L38" si="11">IF(L36="","",L36+L37)</f>
        <v>2779455</v>
      </c>
      <c r="M38" s="329" t="str">
        <f t="shared" ref="M38" si="12">IF(M36="","",M36+M37)</f>
        <v/>
      </c>
    </row>
    <row r="39" spans="2:13">
      <c r="B39" s="40" t="s">
        <v>52</v>
      </c>
      <c r="C39" s="333">
        <f t="shared" ref="C39:M39" si="13">IF(C$4="","",-C6)</f>
        <v>-74704438</v>
      </c>
      <c r="D39" s="333">
        <f t="shared" si="13"/>
        <v>-67989064</v>
      </c>
      <c r="E39" s="333">
        <f t="shared" si="13"/>
        <v>-49516922</v>
      </c>
      <c r="F39" s="333">
        <f t="shared" si="13"/>
        <v>-49295792</v>
      </c>
      <c r="G39" s="333">
        <f t="shared" si="13"/>
        <v>-26476580</v>
      </c>
      <c r="H39" s="333">
        <f t="shared" si="13"/>
        <v>-23158021</v>
      </c>
      <c r="I39" s="333">
        <f t="shared" si="13"/>
        <v>-21703593</v>
      </c>
      <c r="J39" s="333">
        <f t="shared" si="13"/>
        <v>-13080096</v>
      </c>
      <c r="K39" s="333">
        <f t="shared" si="13"/>
        <v>-10059737</v>
      </c>
      <c r="L39" s="333">
        <f t="shared" si="13"/>
        <v>-10046382</v>
      </c>
      <c r="M39" s="333" t="str">
        <f t="shared" si="13"/>
        <v/>
      </c>
    </row>
    <row r="40" spans="2:13">
      <c r="B40" s="69" t="s">
        <v>59</v>
      </c>
      <c r="C40" s="346">
        <f t="shared" ref="C40:M40" si="14">IF(C$4="","",-C7)</f>
        <v>-63975235</v>
      </c>
      <c r="D40" s="346">
        <f t="shared" si="14"/>
        <v>-58616997</v>
      </c>
      <c r="E40" s="346">
        <f t="shared" si="14"/>
        <v>-39745112</v>
      </c>
      <c r="F40" s="346">
        <f t="shared" si="14"/>
        <v>-40683166</v>
      </c>
      <c r="G40" s="346">
        <f t="shared" si="14"/>
        <v>-20882685</v>
      </c>
      <c r="H40" s="346">
        <f t="shared" si="14"/>
        <v>-18819067</v>
      </c>
      <c r="I40" s="346">
        <f t="shared" si="14"/>
        <v>-15871901</v>
      </c>
      <c r="J40" s="346">
        <f t="shared" si="14"/>
        <v>-10908688</v>
      </c>
      <c r="K40" s="346">
        <f t="shared" si="14"/>
        <v>-8337132</v>
      </c>
      <c r="L40" s="346">
        <f t="shared" si="14"/>
        <v>-7140962</v>
      </c>
      <c r="M40" s="346" t="str">
        <f t="shared" si="14"/>
        <v/>
      </c>
    </row>
    <row r="41" spans="2:13">
      <c r="B41" s="69" t="s">
        <v>62</v>
      </c>
      <c r="C41" s="346">
        <f>IF(C$4="","",C39-C40)</f>
        <v>-10729203</v>
      </c>
      <c r="D41" s="346">
        <f t="shared" ref="D41:M41" si="15">IF(D$4="","",D39-D40)</f>
        <v>-9372067</v>
      </c>
      <c r="E41" s="346">
        <f t="shared" si="15"/>
        <v>-9771810</v>
      </c>
      <c r="F41" s="346">
        <f t="shared" si="15"/>
        <v>-8612626</v>
      </c>
      <c r="G41" s="346">
        <f t="shared" si="15"/>
        <v>-5593895</v>
      </c>
      <c r="H41" s="346">
        <f t="shared" si="15"/>
        <v>-4338954</v>
      </c>
      <c r="I41" s="346">
        <f t="shared" si="15"/>
        <v>-5831692</v>
      </c>
      <c r="J41" s="346">
        <f t="shared" si="15"/>
        <v>-2171408</v>
      </c>
      <c r="K41" s="346">
        <f t="shared" si="15"/>
        <v>-1722605</v>
      </c>
      <c r="L41" s="346">
        <f t="shared" si="15"/>
        <v>-2905420</v>
      </c>
      <c r="M41" s="346" t="str">
        <f t="shared" si="15"/>
        <v/>
      </c>
    </row>
    <row r="42" spans="2:13">
      <c r="B42" s="40" t="s">
        <v>47</v>
      </c>
      <c r="C42" s="333">
        <f t="shared" ref="C42:M42" si="16">IF(C$4="","",-C8)</f>
        <v>-21053601</v>
      </c>
      <c r="D42" s="333">
        <f t="shared" si="16"/>
        <v>-21201005</v>
      </c>
      <c r="E42" s="333">
        <f t="shared" si="16"/>
        <v>-20739865</v>
      </c>
      <c r="F42" s="333">
        <f t="shared" si="16"/>
        <v>-16675595</v>
      </c>
      <c r="G42" s="333">
        <f t="shared" si="16"/>
        <v>-10892514</v>
      </c>
      <c r="H42" s="333">
        <f t="shared" si="16"/>
        <v>-8445664</v>
      </c>
      <c r="I42" s="333">
        <f t="shared" si="16"/>
        <v>-7071900</v>
      </c>
      <c r="J42" s="333">
        <f t="shared" si="16"/>
        <v>-3646634</v>
      </c>
      <c r="K42" s="333">
        <f t="shared" si="16"/>
        <v>-2366674</v>
      </c>
      <c r="L42" s="333">
        <f t="shared" si="16"/>
        <v>-1204033</v>
      </c>
      <c r="M42" s="333" t="str">
        <f t="shared" si="16"/>
        <v/>
      </c>
    </row>
    <row r="43" spans="2:13">
      <c r="B43" s="43" t="s">
        <v>148</v>
      </c>
      <c r="C43" s="334">
        <f>IF(C$4="","",C38+C39+C42)</f>
        <v>34026555</v>
      </c>
      <c r="D43" s="334">
        <f t="shared" ref="D43:M43" si="17">IF(D$4="","",D38+D39+D42)</f>
        <v>8001092</v>
      </c>
      <c r="E43" s="334">
        <f t="shared" si="17"/>
        <v>-8503808</v>
      </c>
      <c r="F43" s="334">
        <f t="shared" si="17"/>
        <v>-23497259</v>
      </c>
      <c r="G43" s="334">
        <f t="shared" si="17"/>
        <v>-3318952</v>
      </c>
      <c r="H43" s="334">
        <f t="shared" si="17"/>
        <v>716703</v>
      </c>
      <c r="I43" s="334">
        <f t="shared" si="17"/>
        <v>-13670535</v>
      </c>
      <c r="J43" s="334">
        <f t="shared" si="17"/>
        <v>-4507226</v>
      </c>
      <c r="K43" s="334">
        <f t="shared" si="17"/>
        <v>-6485175</v>
      </c>
      <c r="L43" s="334">
        <f t="shared" si="17"/>
        <v>-8470960</v>
      </c>
      <c r="M43" s="334" t="str">
        <f t="shared" si="17"/>
        <v/>
      </c>
    </row>
    <row r="44" spans="2:13">
      <c r="B44" s="43" t="s">
        <v>164</v>
      </c>
      <c r="C44" s="354">
        <f t="shared" ref="C44:M44" si="18">IF(C$4="","",C47-C46-C45-C43)</f>
        <v>4002962</v>
      </c>
      <c r="D44" s="354">
        <f t="shared" si="18"/>
        <v>-7230384</v>
      </c>
      <c r="E44" s="354">
        <f t="shared" si="18"/>
        <v>9404531</v>
      </c>
      <c r="F44" s="354">
        <f t="shared" si="18"/>
        <v>24051878</v>
      </c>
      <c r="G44" s="354">
        <f t="shared" si="18"/>
        <v>3049215</v>
      </c>
      <c r="H44" s="354">
        <f t="shared" si="18"/>
        <v>-190480</v>
      </c>
      <c r="I44" s="354">
        <f t="shared" si="18"/>
        <v>13378376</v>
      </c>
      <c r="J44" s="354">
        <f t="shared" si="18"/>
        <v>4519773</v>
      </c>
      <c r="K44" s="354">
        <f t="shared" si="18"/>
        <v>6787378</v>
      </c>
      <c r="L44" s="354">
        <f t="shared" si="18"/>
        <v>8502332</v>
      </c>
      <c r="M44" s="354" t="str">
        <f t="shared" si="18"/>
        <v/>
      </c>
    </row>
    <row r="45" spans="2:13">
      <c r="B45" s="40" t="s">
        <v>66</v>
      </c>
      <c r="C45" s="349">
        <f t="shared" ref="C45:M45" si="19">IF(C$4="","",C51+C52)</f>
        <v>-45231</v>
      </c>
      <c r="D45" s="349">
        <f t="shared" si="19"/>
        <v>-606171</v>
      </c>
      <c r="E45" s="349">
        <f t="shared" si="19"/>
        <v>-970917</v>
      </c>
      <c r="F45" s="349">
        <f t="shared" si="19"/>
        <v>-584898</v>
      </c>
      <c r="G45" s="349">
        <f t="shared" si="19"/>
        <v>0</v>
      </c>
      <c r="H45" s="349">
        <f t="shared" si="19"/>
        <v>0</v>
      </c>
      <c r="I45" s="349">
        <f t="shared" si="19"/>
        <v>294047</v>
      </c>
      <c r="J45" s="349">
        <f t="shared" si="19"/>
        <v>41671</v>
      </c>
      <c r="K45" s="349">
        <f t="shared" si="19"/>
        <v>-34300</v>
      </c>
      <c r="L45" s="349">
        <f t="shared" si="19"/>
        <v>-43020</v>
      </c>
      <c r="M45" s="349" t="str">
        <f t="shared" si="19"/>
        <v/>
      </c>
    </row>
    <row r="46" spans="2:13">
      <c r="B46" s="40" t="s">
        <v>48</v>
      </c>
      <c r="C46" s="333">
        <f t="shared" ref="C46:M46" si="20">IF(C$4="","",-C14)</f>
        <v>-2177107</v>
      </c>
      <c r="D46" s="333">
        <f t="shared" si="20"/>
        <v>-164537</v>
      </c>
      <c r="E46" s="333">
        <f t="shared" si="20"/>
        <v>70194</v>
      </c>
      <c r="F46" s="333">
        <f t="shared" si="20"/>
        <v>30279</v>
      </c>
      <c r="G46" s="333">
        <f t="shared" si="20"/>
        <v>269737</v>
      </c>
      <c r="H46" s="333">
        <f t="shared" si="20"/>
        <v>-526223</v>
      </c>
      <c r="I46" s="333">
        <f t="shared" si="20"/>
        <v>-1888</v>
      </c>
      <c r="J46" s="333">
        <f t="shared" si="20"/>
        <v>-54218</v>
      </c>
      <c r="K46" s="333">
        <f t="shared" si="20"/>
        <v>-267903</v>
      </c>
      <c r="L46" s="333">
        <f t="shared" si="20"/>
        <v>11648</v>
      </c>
      <c r="M46" s="333" t="str">
        <f t="shared" si="20"/>
        <v/>
      </c>
    </row>
    <row r="47" spans="2:13">
      <c r="B47" s="43" t="s">
        <v>40</v>
      </c>
      <c r="C47" s="334">
        <f t="shared" ref="C47:M47" si="21">IF(C$4="","",C15)</f>
        <v>35807179</v>
      </c>
      <c r="D47" s="334">
        <f t="shared" si="21"/>
        <v>0</v>
      </c>
      <c r="E47" s="334">
        <f t="shared" si="21"/>
        <v>0</v>
      </c>
      <c r="F47" s="334">
        <f t="shared" si="21"/>
        <v>0</v>
      </c>
      <c r="G47" s="334">
        <f t="shared" si="21"/>
        <v>0</v>
      </c>
      <c r="H47" s="334">
        <f t="shared" si="21"/>
        <v>0</v>
      </c>
      <c r="I47" s="334">
        <f t="shared" si="21"/>
        <v>0</v>
      </c>
      <c r="J47" s="334">
        <f t="shared" si="21"/>
        <v>0</v>
      </c>
      <c r="K47" s="334">
        <f t="shared" si="21"/>
        <v>0</v>
      </c>
      <c r="L47" s="334">
        <f t="shared" si="21"/>
        <v>0</v>
      </c>
      <c r="M47" s="334" t="str">
        <f t="shared" si="21"/>
        <v/>
      </c>
    </row>
    <row r="48" spans="2:13">
      <c r="B48" s="28" t="s">
        <v>42</v>
      </c>
      <c r="C48" s="333">
        <f t="shared" ref="C48:M48" si="22">IF(C$4="","",MIN(-C16,0))</f>
        <v>-1143</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-1337038</v>
      </c>
      <c r="D51" s="333">
        <f t="shared" si="23"/>
        <v>-1425157</v>
      </c>
      <c r="E51" s="333">
        <f t="shared" si="23"/>
        <v>-1628825</v>
      </c>
      <c r="F51" s="333">
        <f t="shared" si="23"/>
        <v>-1130935</v>
      </c>
      <c r="G51" s="333">
        <f t="shared" si="23"/>
        <v>0</v>
      </c>
      <c r="H51" s="333">
        <f t="shared" si="23"/>
        <v>0</v>
      </c>
      <c r="I51" s="333">
        <f t="shared" si="23"/>
        <v>0</v>
      </c>
      <c r="J51" s="333">
        <f t="shared" si="23"/>
        <v>-19214</v>
      </c>
      <c r="K51" s="333">
        <f t="shared" si="23"/>
        <v>-55981</v>
      </c>
      <c r="L51" s="333">
        <f t="shared" si="23"/>
        <v>-56561</v>
      </c>
      <c r="M51" s="333" t="str">
        <f t="shared" si="23"/>
        <v/>
      </c>
    </row>
    <row r="52" spans="2:13">
      <c r="B52" s="40" t="s">
        <v>65</v>
      </c>
      <c r="C52" s="333">
        <f t="shared" ref="C52:M52" si="24">IF(C$4="","",C13)</f>
        <v>1291807</v>
      </c>
      <c r="D52" s="333">
        <f t="shared" si="24"/>
        <v>818986</v>
      </c>
      <c r="E52" s="333">
        <f t="shared" si="24"/>
        <v>657908</v>
      </c>
      <c r="F52" s="333">
        <f t="shared" si="24"/>
        <v>546037</v>
      </c>
      <c r="G52" s="333">
        <f t="shared" si="24"/>
        <v>0</v>
      </c>
      <c r="H52" s="333">
        <f t="shared" si="24"/>
        <v>0</v>
      </c>
      <c r="I52" s="333">
        <f t="shared" si="24"/>
        <v>294047</v>
      </c>
      <c r="J52" s="333">
        <f t="shared" si="24"/>
        <v>60885</v>
      </c>
      <c r="K52" s="333">
        <f t="shared" si="24"/>
        <v>21681</v>
      </c>
      <c r="L52" s="333">
        <f t="shared" si="24"/>
        <v>13541</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4002962</v>
      </c>
      <c r="D58" s="349">
        <f t="shared" ref="D58:M58" si="28">IF(D$4="","",D44-D55-D56-D57)</f>
        <v>-7230384</v>
      </c>
      <c r="E58" s="349">
        <f t="shared" si="28"/>
        <v>9404531</v>
      </c>
      <c r="F58" s="349">
        <f t="shared" si="28"/>
        <v>24051878</v>
      </c>
      <c r="G58" s="349">
        <f t="shared" si="28"/>
        <v>3049215</v>
      </c>
      <c r="H58" s="349">
        <f t="shared" si="28"/>
        <v>-190480</v>
      </c>
      <c r="I58" s="349">
        <f t="shared" si="28"/>
        <v>13378376</v>
      </c>
      <c r="J58" s="349">
        <f t="shared" si="28"/>
        <v>4519773</v>
      </c>
      <c r="K58" s="349">
        <f t="shared" si="28"/>
        <v>6787378</v>
      </c>
      <c r="L58" s="349">
        <f t="shared" si="28"/>
        <v>8502332</v>
      </c>
      <c r="M58" s="349" t="str">
        <f t="shared" si="28"/>
        <v/>
      </c>
    </row>
    <row r="60" spans="2:13">
      <c r="B60" s="16" t="s">
        <v>49</v>
      </c>
      <c r="C60" s="9"/>
    </row>
    <row r="61" spans="2:13">
      <c r="B61" s="27" t="s">
        <v>45</v>
      </c>
      <c r="C61" s="333">
        <f>IF(C$4="","",-C19)</f>
        <v>-239.649</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-239.649</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-6465.5690000000004</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0</v>
      </c>
      <c r="E64" s="333">
        <f t="shared" si="32"/>
        <v>0</v>
      </c>
      <c r="F64" s="333">
        <f t="shared" si="32"/>
        <v>0</v>
      </c>
      <c r="G64" s="333">
        <f t="shared" si="32"/>
        <v>0</v>
      </c>
      <c r="H64" s="333">
        <f t="shared" si="32"/>
        <v>0</v>
      </c>
      <c r="I64" s="333">
        <f t="shared" si="32"/>
        <v>0</v>
      </c>
      <c r="J64" s="333">
        <f t="shared" si="32"/>
        <v>0</v>
      </c>
      <c r="K64" s="333">
        <f t="shared" si="32"/>
        <v>0</v>
      </c>
      <c r="L64" s="333">
        <f t="shared" si="32"/>
        <v>0</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0.21986533492495042</v>
      </c>
      <c r="D68" s="92">
        <f t="shared" si="34"/>
        <v>0.25818926337588</v>
      </c>
      <c r="E68" s="92">
        <f t="shared" si="34"/>
        <v>0.22792054666920669</v>
      </c>
      <c r="F68" s="92">
        <f t="shared" si="34"/>
        <v>0.56042302894101814</v>
      </c>
      <c r="G68" s="92">
        <f t="shared" si="34"/>
        <v>0.17703515907565559</v>
      </c>
      <c r="H68" s="92">
        <f t="shared" si="34"/>
        <v>0.49521080735578149</v>
      </c>
      <c r="I68" s="92">
        <f t="shared" si="34"/>
        <v>0.92252130961969536</v>
      </c>
      <c r="J68" s="92">
        <f t="shared" si="34"/>
        <v>1.6122409807086915</v>
      </c>
      <c r="K68" s="92">
        <f t="shared" si="34"/>
        <v>2.2317017914340505</v>
      </c>
      <c r="L68" s="92" t="str">
        <f t="shared" si="34"/>
        <v/>
      </c>
      <c r="M68" s="92" t="str">
        <f t="shared" si="34"/>
        <v/>
      </c>
    </row>
    <row r="69" spans="2:13">
      <c r="B69" s="31" t="s">
        <v>56</v>
      </c>
      <c r="C69" s="92">
        <f>IF(D$36="","",C38/D38-1)</f>
        <v>0.33535388058591042</v>
      </c>
      <c r="D69" s="92">
        <f t="shared" ref="D69:M69" si="35">IF(E$36="","",D38/E38-1)</f>
        <v>0.57386999904895286</v>
      </c>
      <c r="E69" s="92">
        <f t="shared" si="35"/>
        <v>0.45389633425788056</v>
      </c>
      <c r="F69" s="92">
        <f t="shared" si="35"/>
        <v>0.24739943815799648</v>
      </c>
      <c r="G69" s="92">
        <f t="shared" si="35"/>
        <v>5.351897384400206E-2</v>
      </c>
      <c r="H69" s="92">
        <f t="shared" si="35"/>
        <v>1.1397204811824038</v>
      </c>
      <c r="I69" s="92">
        <f t="shared" si="35"/>
        <v>0.23613511644989837</v>
      </c>
      <c r="J69" s="92">
        <f t="shared" si="35"/>
        <v>1.0567275900166226</v>
      </c>
      <c r="K69" s="92">
        <f t="shared" si="35"/>
        <v>1.1375543047108154</v>
      </c>
      <c r="L69" s="92" t="str">
        <f t="shared" si="35"/>
        <v/>
      </c>
      <c r="M69" s="92" t="str">
        <f t="shared" si="35"/>
        <v/>
      </c>
    </row>
    <row r="70" spans="2:13">
      <c r="B70" s="80" t="str">
        <f>B43</f>
        <v>Operating EBIT</v>
      </c>
      <c r="C70" s="101">
        <f>IF(D$36="","",C43/D43-1)</f>
        <v>3.2527388761434066</v>
      </c>
      <c r="D70" s="101">
        <f t="shared" ref="D70:M70" si="36">IF(E$36="","",D43/E43-1)</f>
        <v>-1.9408834254018905</v>
      </c>
      <c r="E70" s="101">
        <f t="shared" si="36"/>
        <v>-0.6380936176428067</v>
      </c>
      <c r="F70" s="101">
        <f t="shared" si="36"/>
        <v>6.0797224545579445</v>
      </c>
      <c r="G70" s="101">
        <f t="shared" si="36"/>
        <v>-5.6308610400682015</v>
      </c>
      <c r="H70" s="101">
        <f t="shared" si="36"/>
        <v>-1.0524268435726911</v>
      </c>
      <c r="I70" s="101">
        <f t="shared" si="36"/>
        <v>2.0330263004340141</v>
      </c>
      <c r="J70" s="101">
        <f t="shared" si="36"/>
        <v>-0.30499547043834596</v>
      </c>
      <c r="K70" s="101">
        <f t="shared" si="36"/>
        <v>-0.23442266283868651</v>
      </c>
      <c r="L70" s="101" t="str">
        <f t="shared" si="36"/>
        <v/>
      </c>
      <c r="M70" s="101" t="str">
        <f t="shared" si="36"/>
        <v/>
      </c>
    </row>
    <row r="71" spans="2:13">
      <c r="B71" s="43" t="s">
        <v>164</v>
      </c>
      <c r="C71" s="101">
        <f>IF(D$36="","",C44/D44-1)</f>
        <v>-1.5536306232144792</v>
      </c>
      <c r="D71" s="101">
        <f t="shared" ref="D71:M71" si="37">IF(E$36="","",D44/E44-1)</f>
        <v>-1.7688192000217766</v>
      </c>
      <c r="E71" s="101">
        <f t="shared" si="37"/>
        <v>-0.60898974292152985</v>
      </c>
      <c r="F71" s="101">
        <f t="shared" si="37"/>
        <v>6.8878918016604276</v>
      </c>
      <c r="G71" s="101">
        <f t="shared" si="37"/>
        <v>-17.008058588828224</v>
      </c>
      <c r="H71" s="101">
        <f t="shared" si="37"/>
        <v>-1.0142379015210814</v>
      </c>
      <c r="I71" s="101">
        <f t="shared" si="37"/>
        <v>1.9599663522924713</v>
      </c>
      <c r="J71" s="101">
        <f t="shared" si="37"/>
        <v>-0.33409145622948955</v>
      </c>
      <c r="K71" s="101">
        <f t="shared" si="37"/>
        <v>-0.20170395604405944</v>
      </c>
      <c r="L71" s="101" t="str">
        <f t="shared" si="37"/>
        <v/>
      </c>
      <c r="M71" s="101" t="str">
        <f t="shared" si="37"/>
        <v/>
      </c>
    </row>
    <row r="72" spans="2:13">
      <c r="B72" s="80" t="str">
        <f>B47</f>
        <v>Reported Net Income</v>
      </c>
      <c r="C72" s="101" t="e">
        <f>IF(D$36="","",C47/D47-1)</f>
        <v>#DIV/0!</v>
      </c>
      <c r="D72" s="101" t="e">
        <f t="shared" ref="D72:M72" si="38">IF(E$36="","",D47/E47-1)</f>
        <v>#DIV/0!</v>
      </c>
      <c r="E72" s="101" t="e">
        <f t="shared" si="38"/>
        <v>#DIV/0!</v>
      </c>
      <c r="F72" s="101" t="e">
        <f t="shared" si="38"/>
        <v>#DIV/0!</v>
      </c>
      <c r="G72" s="101" t="e">
        <f t="shared" si="38"/>
        <v>#DIV/0!</v>
      </c>
      <c r="H72" s="101" t="e">
        <f t="shared" si="38"/>
        <v>#DIV/0!</v>
      </c>
      <c r="I72" s="101" t="e">
        <f t="shared" si="38"/>
        <v>#DIV/0!</v>
      </c>
      <c r="J72" s="101" t="e">
        <f t="shared" si="38"/>
        <v>#DIV/0!</v>
      </c>
      <c r="K72" s="101" t="e">
        <f t="shared" si="38"/>
        <v>#DIV/0!</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330198175</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3141262</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2483059</v>
      </c>
      <c r="D78" s="346">
        <f t="shared" si="40"/>
        <v>1734.124</v>
      </c>
      <c r="E78" s="346">
        <f t="shared" si="40"/>
        <v>1304.595</v>
      </c>
      <c r="F78" s="346">
        <f t="shared" si="40"/>
        <v>1162.7650000000001</v>
      </c>
      <c r="G78" s="346">
        <f t="shared" si="40"/>
        <v>681.69299999999998</v>
      </c>
      <c r="H78" s="346">
        <f t="shared" si="40"/>
        <v>0</v>
      </c>
      <c r="I78" s="355"/>
      <c r="J78" s="355"/>
      <c r="K78" s="355"/>
      <c r="L78" s="355"/>
      <c r="M78" s="355"/>
    </row>
    <row r="79" spans="2:13">
      <c r="B79" s="26" t="s">
        <v>38</v>
      </c>
      <c r="C79" s="317">
        <f t="shared" ref="C79:M79" si="41">IF(C$4="","",C30)</f>
        <v>145900611</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184297564</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76" zoomScaleNormal="100" workbookViewId="0">
      <selection activeCell="F16" sqref="F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45838</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3141262</v>
      </c>
      <c r="D4" s="261">
        <v>0.6</v>
      </c>
      <c r="E4" s="25"/>
      <c r="F4" s="4" t="s">
        <v>75</v>
      </c>
      <c r="G4" s="19">
        <v>101656333</v>
      </c>
      <c r="H4" s="261">
        <v>0.9</v>
      </c>
    </row>
    <row r="5" spans="2:8" ht="15" customHeight="1">
      <c r="B5" s="1" t="s">
        <v>31</v>
      </c>
      <c r="C5" s="19">
        <v>0</v>
      </c>
      <c r="D5" s="261">
        <v>0.6</v>
      </c>
      <c r="E5" s="25"/>
      <c r="F5" s="1" t="s">
        <v>27</v>
      </c>
      <c r="G5" s="19">
        <v>17920672</v>
      </c>
      <c r="H5" s="261">
        <v>0.7</v>
      </c>
    </row>
    <row r="6" spans="2:8" ht="15" customHeight="1">
      <c r="B6" s="4" t="s">
        <v>8</v>
      </c>
      <c r="C6" s="19">
        <v>2483059</v>
      </c>
      <c r="D6" s="261">
        <v>0.5</v>
      </c>
      <c r="E6" s="25"/>
      <c r="F6" s="4" t="s">
        <v>173</v>
      </c>
      <c r="G6" s="19">
        <v>0</v>
      </c>
      <c r="H6" s="261">
        <v>0.6</v>
      </c>
    </row>
    <row r="7" spans="2:8" ht="15" customHeight="1">
      <c r="B7" s="1" t="s">
        <v>67</v>
      </c>
      <c r="C7" s="19">
        <v>0</v>
      </c>
      <c r="D7" s="261">
        <v>0.6</v>
      </c>
      <c r="E7" s="25"/>
      <c r="F7" s="4" t="s">
        <v>174</v>
      </c>
      <c r="G7" s="19">
        <v>69361319</v>
      </c>
      <c r="H7" s="261">
        <v>0.6</v>
      </c>
    </row>
    <row r="8" spans="2:8" ht="15" customHeight="1">
      <c r="B8" s="1" t="s">
        <v>169</v>
      </c>
      <c r="C8" s="19">
        <v>0</v>
      </c>
      <c r="D8" s="261">
        <v>0.6</v>
      </c>
      <c r="E8" s="25"/>
      <c r="F8" s="1" t="s">
        <v>175</v>
      </c>
      <c r="G8" s="19">
        <v>0</v>
      </c>
      <c r="H8" s="261">
        <v>0.6</v>
      </c>
    </row>
    <row r="9" spans="2:8" ht="15" customHeight="1">
      <c r="B9" s="4" t="s">
        <v>23</v>
      </c>
      <c r="C9" s="19">
        <v>22830718</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28455039</v>
      </c>
      <c r="D12" s="20">
        <f>C4*D4+C5*D5+C9*D9+C6*D6+C8*D8+C7*D7+C10*D10+C11*D11</f>
        <v>5409358.5</v>
      </c>
      <c r="F12" s="80" t="s">
        <v>68</v>
      </c>
      <c r="G12" s="81">
        <f>SUM(G4:G9)</f>
        <v>188938324</v>
      </c>
      <c r="H12" s="20">
        <f>G4*H4+G5*H5+G6*H6+G7*H7+G8*H8+G9*H9</f>
        <v>145651961.5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2896164</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1090276+20133691+2696395</f>
        <v>23920362</v>
      </c>
      <c r="H17" s="261">
        <v>0.6</v>
      </c>
    </row>
    <row r="18" spans="2:8" ht="15" customHeight="1">
      <c r="B18" s="4" t="s">
        <v>169</v>
      </c>
      <c r="C18" s="19">
        <v>0</v>
      </c>
      <c r="D18" s="261">
        <v>0.6</v>
      </c>
      <c r="F18" s="4" t="s">
        <v>177</v>
      </c>
      <c r="G18" s="19">
        <v>0</v>
      </c>
      <c r="H18" s="261">
        <v>0.1</v>
      </c>
    </row>
    <row r="19" spans="2:8" ht="15" customHeight="1">
      <c r="B19" s="4" t="s">
        <v>24</v>
      </c>
      <c r="C19" s="19">
        <v>34026066</v>
      </c>
      <c r="D19" s="261">
        <v>0.1</v>
      </c>
      <c r="F19" s="4" t="s">
        <v>178</v>
      </c>
      <c r="G19" s="19">
        <v>19498379</v>
      </c>
      <c r="H19" s="261">
        <v>0.1</v>
      </c>
    </row>
    <row r="20" spans="2:8" ht="15" customHeight="1">
      <c r="B20" s="4" t="s">
        <v>16</v>
      </c>
      <c r="C20" s="19">
        <v>0</v>
      </c>
      <c r="D20" s="261">
        <v>0.05</v>
      </c>
      <c r="F20" s="4" t="s">
        <v>175</v>
      </c>
      <c r="G20" s="19">
        <v>0</v>
      </c>
      <c r="H20" s="261">
        <v>0.2</v>
      </c>
    </row>
    <row r="21" spans="2:8" ht="15" customHeight="1">
      <c r="B21" s="4" t="s">
        <v>17</v>
      </c>
      <c r="C21" s="19">
        <v>30321508</v>
      </c>
      <c r="D21" s="261">
        <v>0.05</v>
      </c>
      <c r="F21" s="1" t="s">
        <v>176</v>
      </c>
      <c r="G21" s="19">
        <v>0</v>
      </c>
      <c r="H21" s="261">
        <v>0.1</v>
      </c>
    </row>
    <row r="22" spans="2:8" ht="15" customHeight="1">
      <c r="B22" s="4" t="s">
        <v>18</v>
      </c>
      <c r="C22" s="19">
        <v>2142333</v>
      </c>
      <c r="D22" s="261">
        <v>0.9</v>
      </c>
      <c r="H22" s="262"/>
    </row>
    <row r="23" spans="2:8" ht="15" customHeight="1">
      <c r="B23" s="4" t="s">
        <v>19</v>
      </c>
      <c r="C23" s="19">
        <v>0</v>
      </c>
      <c r="D23" s="261">
        <v>0</v>
      </c>
      <c r="H23" s="262"/>
    </row>
    <row r="24" spans="2:8" ht="15" customHeight="1">
      <c r="B24" s="80" t="s">
        <v>71</v>
      </c>
      <c r="C24" s="81">
        <f>SUM(C15:C23)</f>
        <v>69386071</v>
      </c>
      <c r="D24" s="20">
        <f>C15*D15+C16*D16+C18*D18+C17*D17+C19*D19+C20*D20+C21*D21+C22*D22+C23*D23</f>
        <v>8005247.3000000007</v>
      </c>
      <c r="F24" s="80" t="s">
        <v>69</v>
      </c>
      <c r="G24" s="81">
        <f>SUM(G15:G21)</f>
        <v>43418741</v>
      </c>
      <c r="H24" s="20">
        <f>G15*H15+G16*H16+G17*H17+G18*H18+G19*H19+G20*H20+G21*H21</f>
        <v>16302055.1</v>
      </c>
    </row>
    <row r="26" spans="2:8" ht="15" customHeight="1">
      <c r="B26" s="16" t="s">
        <v>196</v>
      </c>
      <c r="C26" s="182" t="s">
        <v>132</v>
      </c>
      <c r="F26" s="184" t="s">
        <v>192</v>
      </c>
      <c r="G26" s="185" t="s">
        <v>132</v>
      </c>
      <c r="H26" s="186" t="s">
        <v>33</v>
      </c>
    </row>
    <row r="27" spans="2:8" ht="15" customHeight="1">
      <c r="B27" s="4" t="s">
        <v>3</v>
      </c>
      <c r="C27" s="19">
        <v>1342</v>
      </c>
      <c r="F27" s="187" t="s">
        <v>28</v>
      </c>
      <c r="G27" s="85">
        <f>G32-G30</f>
        <v>184297564</v>
      </c>
      <c r="H27" s="188">
        <f>H32-G30</f>
        <v>29468011.400000006</v>
      </c>
    </row>
    <row r="28" spans="2:8" ht="15" customHeight="1">
      <c r="B28" s="4" t="s">
        <v>4</v>
      </c>
      <c r="C28" s="19">
        <v>2838077</v>
      </c>
      <c r="F28" s="189" t="s">
        <v>240</v>
      </c>
      <c r="G28" s="12">
        <v>-58350</v>
      </c>
      <c r="H28" s="188"/>
    </row>
    <row r="29" spans="2:8" ht="15" customHeight="1">
      <c r="B29" s="4" t="s">
        <v>5</v>
      </c>
      <c r="C29" s="19">
        <v>0</v>
      </c>
      <c r="F29" s="190" t="s">
        <v>73</v>
      </c>
      <c r="G29" s="14">
        <f>G27-G28</f>
        <v>184355914</v>
      </c>
      <c r="H29" s="188">
        <f>H27-G28</f>
        <v>29526361.400000006</v>
      </c>
    </row>
    <row r="30" spans="2:8" ht="15" customHeight="1">
      <c r="B30" s="2" t="s">
        <v>6</v>
      </c>
      <c r="C30" s="19">
        <v>16319467</v>
      </c>
      <c r="F30" s="187" t="s">
        <v>21</v>
      </c>
      <c r="G30" s="85">
        <f>C33+C42</f>
        <v>145900611</v>
      </c>
      <c r="H30" s="188"/>
    </row>
    <row r="31" spans="2:8" ht="15" customHeight="1">
      <c r="B31" s="80" t="s">
        <v>199</v>
      </c>
      <c r="C31" s="81">
        <f>SUM(C27:C30)</f>
        <v>19158886</v>
      </c>
      <c r="F31" s="190" t="s">
        <v>74</v>
      </c>
      <c r="G31" s="191">
        <f>C31+C40</f>
        <v>50977402</v>
      </c>
      <c r="H31" s="188"/>
    </row>
    <row r="32" spans="2:8" ht="15" customHeight="1">
      <c r="B32" s="4" t="s">
        <v>7</v>
      </c>
      <c r="C32" s="21">
        <f>C33-C31</f>
        <v>93319501</v>
      </c>
      <c r="F32" s="192" t="s">
        <v>72</v>
      </c>
      <c r="G32" s="193">
        <f>G35+G40</f>
        <v>330198175</v>
      </c>
      <c r="H32" s="188">
        <f>H35+H40</f>
        <v>175368622.40000001</v>
      </c>
    </row>
    <row r="33" spans="2:8" ht="15" customHeight="1">
      <c r="B33" s="83" t="s">
        <v>2</v>
      </c>
      <c r="C33" s="84">
        <v>112478387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97841110</v>
      </c>
      <c r="H35" s="200">
        <f>D12+D24</f>
        <v>13414605.800000001</v>
      </c>
    </row>
    <row r="36" spans="2:8" ht="15" customHeight="1">
      <c r="B36" s="4" t="s">
        <v>11</v>
      </c>
      <c r="C36" s="19">
        <v>1657023</v>
      </c>
      <c r="F36" s="190" t="s">
        <v>193</v>
      </c>
      <c r="G36" s="191">
        <f>C4+C15</f>
        <v>6037426</v>
      </c>
      <c r="H36" s="195"/>
    </row>
    <row r="37" spans="2:8" ht="15" customHeight="1">
      <c r="B37" s="4" t="s">
        <v>12</v>
      </c>
      <c r="C37" s="19">
        <v>3325762</v>
      </c>
      <c r="F37" s="190" t="s">
        <v>194</v>
      </c>
      <c r="G37" s="191">
        <f>C6</f>
        <v>2483059</v>
      </c>
      <c r="H37" s="195"/>
    </row>
    <row r="38" spans="2:8" ht="15" customHeight="1">
      <c r="B38" s="4" t="s">
        <v>13</v>
      </c>
      <c r="C38" s="19">
        <v>0</v>
      </c>
      <c r="F38" s="190" t="s">
        <v>195</v>
      </c>
      <c r="G38" s="191">
        <f>C7+C17</f>
        <v>0</v>
      </c>
      <c r="H38" s="195"/>
    </row>
    <row r="39" spans="2:8" ht="15" customHeight="1">
      <c r="B39" s="2" t="s">
        <v>14</v>
      </c>
      <c r="C39" s="19">
        <v>26835731</v>
      </c>
      <c r="F39" s="190" t="s">
        <v>77</v>
      </c>
      <c r="G39" s="191">
        <f>C7+C17+C19+C20</f>
        <v>34026066</v>
      </c>
      <c r="H39" s="188">
        <f>C7*D7+C17*D17+C19*D19+C20*D20</f>
        <v>3402606.6</v>
      </c>
    </row>
    <row r="40" spans="2:8" ht="15" customHeight="1">
      <c r="B40" s="80" t="s">
        <v>200</v>
      </c>
      <c r="C40" s="81">
        <f>SUM(C36:C39)</f>
        <v>31818516</v>
      </c>
      <c r="F40" s="199" t="s">
        <v>134</v>
      </c>
      <c r="G40" s="193">
        <f>G12+G24</f>
        <v>232357065</v>
      </c>
      <c r="H40" s="200">
        <f>H12+H24</f>
        <v>161954016.59999999</v>
      </c>
    </row>
    <row r="41" spans="2:8" ht="15" customHeight="1">
      <c r="B41" s="4" t="s">
        <v>15</v>
      </c>
      <c r="C41" s="21">
        <f>C42-C40</f>
        <v>1603708</v>
      </c>
      <c r="F41" s="190" t="s">
        <v>187</v>
      </c>
      <c r="G41" s="191">
        <f>C70</f>
        <v>119577005</v>
      </c>
      <c r="H41" s="200">
        <f>H40-H42</f>
        <v>104035170.09999999</v>
      </c>
    </row>
    <row r="42" spans="2:8" ht="15" customHeight="1">
      <c r="B42" s="83" t="s">
        <v>20</v>
      </c>
      <c r="C42" s="84">
        <v>33422224</v>
      </c>
      <c r="F42" s="201" t="s">
        <v>188</v>
      </c>
      <c r="G42" s="202">
        <f>C82</f>
        <v>112780060</v>
      </c>
      <c r="H42" s="203">
        <f>D82</f>
        <v>57918846.499999993</v>
      </c>
    </row>
    <row r="44" spans="2:8" ht="15" customHeight="1">
      <c r="B44" s="79" t="s">
        <v>93</v>
      </c>
      <c r="C44" s="37"/>
      <c r="D44" s="37"/>
      <c r="E44" s="37"/>
      <c r="F44" s="37"/>
      <c r="G44" s="37"/>
      <c r="H44" s="37"/>
    </row>
    <row r="45" spans="2:8" ht="15" customHeight="1">
      <c r="B45" s="16" t="s">
        <v>265</v>
      </c>
      <c r="C45" s="234" t="s">
        <v>132</v>
      </c>
      <c r="D45" s="182" t="s">
        <v>385</v>
      </c>
      <c r="F45" s="256" t="s">
        <v>57</v>
      </c>
    </row>
    <row r="46" spans="2:8" ht="15" customHeight="1">
      <c r="B46" s="1" t="s">
        <v>267</v>
      </c>
      <c r="C46" s="76">
        <f>G29</f>
        <v>184355914</v>
      </c>
      <c r="D46" s="76">
        <f>H29</f>
        <v>29526361.400000006</v>
      </c>
      <c r="F46" s="253"/>
    </row>
    <row r="47" spans="2:8" ht="15" customHeight="1">
      <c r="B47" s="1" t="str">
        <f>"Equity per share ("&amp;Market_currency&amp;")"</f>
        <v>Equity per share (HKD)</v>
      </c>
      <c r="C47" s="147">
        <f>C46*H1/Common_Shares*Exchange_Rate</f>
        <v>21.737213098841838</v>
      </c>
      <c r="D47" s="147">
        <f>D46*H1/Common_Shares*Exchange_Rate</f>
        <v>3.4814224065804482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1.1085373918882995</v>
      </c>
      <c r="D50" s="95">
        <f>G31/Normalized_FCF!G8</f>
        <v>1.4981652418236286</v>
      </c>
      <c r="F50" s="253"/>
    </row>
    <row r="51" spans="2:8" ht="15" customHeight="1">
      <c r="B51" s="1" t="s">
        <v>172</v>
      </c>
      <c r="C51" s="181"/>
      <c r="D51" s="92">
        <f>G29/G32</f>
        <v>0.55831899737180557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0.47000879045628169</v>
      </c>
      <c r="D54" s="92">
        <f>Normalized_FCF!G8/G35</f>
        <v>0.34777359946141251</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7.0431004277720497E-6</v>
      </c>
      <c r="F58" s="5"/>
    </row>
    <row r="59" spans="2:8" ht="15" customHeight="1">
      <c r="B59" s="1" t="s">
        <v>90</v>
      </c>
      <c r="C59" s="98"/>
      <c r="D59" s="92">
        <f>G39/G32</f>
        <v>0.10304740781804746</v>
      </c>
      <c r="F59" s="253"/>
    </row>
    <row r="60" spans="2:8" ht="15" customHeight="1">
      <c r="F60" s="253"/>
    </row>
    <row r="61" spans="2:8" ht="15" customHeight="1">
      <c r="B61" s="157" t="s">
        <v>268</v>
      </c>
      <c r="C61" s="235" t="s">
        <v>133</v>
      </c>
      <c r="D61" s="197" t="s">
        <v>92</v>
      </c>
      <c r="F61" s="253"/>
    </row>
    <row r="62" spans="2:8" ht="15" customHeight="1">
      <c r="B62" s="1" t="s">
        <v>241</v>
      </c>
      <c r="C62" s="92">
        <f>IF(G28&lt;=0,0,G28/G29)</f>
        <v>0</v>
      </c>
      <c r="D62" s="92">
        <f>G28/G29</f>
        <v>-3.1650734025272443E-4</v>
      </c>
      <c r="F62" s="253" t="s">
        <v>266</v>
      </c>
    </row>
    <row r="64" spans="2:8" ht="15" customHeight="1">
      <c r="B64" s="79" t="s">
        <v>189</v>
      </c>
      <c r="C64" s="37"/>
      <c r="D64" s="37"/>
      <c r="E64" s="37"/>
      <c r="F64" s="37"/>
      <c r="G64" s="37"/>
      <c r="H64" s="37"/>
    </row>
    <row r="65" spans="2:6" ht="15" customHeight="1">
      <c r="B65" s="16" t="s">
        <v>184</v>
      </c>
      <c r="C65" s="234" t="s">
        <v>132</v>
      </c>
      <c r="D65" s="183" t="s">
        <v>279</v>
      </c>
      <c r="F65" s="256" t="s">
        <v>57</v>
      </c>
    </row>
    <row r="66" spans="2:6" ht="15" customHeight="1">
      <c r="B66" s="105" t="s">
        <v>183</v>
      </c>
      <c r="C66" s="20">
        <f>G4+G5+G15</f>
        <v>119577005</v>
      </c>
      <c r="D66" s="76">
        <f>C66-D75</f>
        <v>58086337.24633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119577005</v>
      </c>
      <c r="F70" s="253"/>
    </row>
    <row r="71" spans="2:6" ht="15" customHeight="1">
      <c r="F71" s="253"/>
    </row>
    <row r="72" spans="2:6" ht="15" customHeight="1">
      <c r="B72" s="255" t="s">
        <v>308</v>
      </c>
      <c r="C72" s="234" t="s">
        <v>92</v>
      </c>
      <c r="D72" s="182" t="s">
        <v>55</v>
      </c>
      <c r="F72" s="253"/>
    </row>
    <row r="73" spans="2:6" ht="15" customHeight="1">
      <c r="B73" s="105" t="s">
        <v>307</v>
      </c>
      <c r="C73" s="349">
        <f>(Normalized_FCF!G25+Normalized_FCF!G35-Normalized_FCF!G91)/12</f>
        <v>-26115443.174168333</v>
      </c>
      <c r="D73" s="349">
        <f>(Normalized_FCF!C25+Normalized_FCF!C35-Normalized_FCF!C91)/12</f>
        <v>-30745333.876835</v>
      </c>
      <c r="F73" s="1" t="s">
        <v>341</v>
      </c>
    </row>
    <row r="74" spans="2:6" ht="15" customHeight="1">
      <c r="B74" s="257" t="s">
        <v>312</v>
      </c>
      <c r="C74" s="258">
        <f>-$C$66/C73</f>
        <v>4.5787852115899623</v>
      </c>
      <c r="D74" s="258">
        <f>-$C$66/D73</f>
        <v>3.8892732627013369</v>
      </c>
      <c r="F74" s="253" t="s">
        <v>309</v>
      </c>
    </row>
    <row r="75" spans="2:6" ht="15" customHeight="1">
      <c r="B75" s="80" t="s">
        <v>310</v>
      </c>
      <c r="C75" s="320"/>
      <c r="D75" s="321">
        <f>MAX(-D73*D76,G5)</f>
        <v>61490667.75367</v>
      </c>
      <c r="F75" s="253" t="s">
        <v>342</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93281681</v>
      </c>
      <c r="D79" s="76">
        <f>G7*H7+G17*H17</f>
        <v>55969008.599999994</v>
      </c>
      <c r="F79" s="253"/>
    </row>
    <row r="80" spans="2:6" ht="15" customHeight="1">
      <c r="B80" s="105" t="s">
        <v>178</v>
      </c>
      <c r="C80" s="20">
        <f>G19</f>
        <v>19498379</v>
      </c>
      <c r="D80" s="76">
        <f>G19*H19</f>
        <v>1949837.9000000001</v>
      </c>
      <c r="F80" s="253"/>
    </row>
    <row r="81" spans="2:8" ht="15" customHeight="1">
      <c r="B81" s="105" t="s">
        <v>176</v>
      </c>
      <c r="C81" s="20">
        <f>G9+G21</f>
        <v>0</v>
      </c>
      <c r="D81" s="76">
        <f>G9*H9+G21*H21</f>
        <v>0</v>
      </c>
      <c r="F81" s="253"/>
    </row>
    <row r="82" spans="2:8" ht="15" customHeight="1">
      <c r="B82" s="80" t="s">
        <v>185</v>
      </c>
      <c r="C82" s="81">
        <f>SUM(C79:C81)</f>
        <v>112780060</v>
      </c>
      <c r="D82" s="81">
        <f>SUM(D79:D81)</f>
        <v>57918846.499999993</v>
      </c>
      <c r="F82" s="253"/>
    </row>
    <row r="84" spans="2:8" ht="15" customHeight="1">
      <c r="B84" s="79" t="s">
        <v>282</v>
      </c>
      <c r="C84" s="37"/>
      <c r="D84" s="37"/>
      <c r="E84" s="37"/>
      <c r="F84" s="37"/>
      <c r="G84" s="37"/>
      <c r="H84" s="37"/>
    </row>
    <row r="85" spans="2:8" ht="15" customHeight="1">
      <c r="B85" s="16" t="s">
        <v>283</v>
      </c>
      <c r="D85" s="241" t="s">
        <v>284</v>
      </c>
    </row>
    <row r="86" spans="2:8" ht="15" customHeight="1">
      <c r="B86" s="238" t="s">
        <v>280</v>
      </c>
      <c r="C86" s="76">
        <f>-DCF!C7*Exchange_Rate</f>
        <v>-55685644.262278803</v>
      </c>
      <c r="D86" s="223">
        <f>C86*scaling_factor/Common_Shares</f>
        <v>-6.0106921793641295</v>
      </c>
      <c r="E86" s="240" t="str">
        <f>Market_currency</f>
        <v>HKD</v>
      </c>
    </row>
    <row r="87" spans="2:8" ht="15" customHeight="1">
      <c r="B87" s="238" t="s">
        <v>281</v>
      </c>
      <c r="C87" s="76">
        <f>DCF!C8*Exchange_Rate</f>
        <v>63451156.502598695</v>
      </c>
      <c r="D87" s="223">
        <f>C87*scaling_factor/Common_Shares</f>
        <v>6.8488993027620957</v>
      </c>
      <c r="E87" s="240" t="str">
        <f>Market_currency</f>
        <v>HKD</v>
      </c>
    </row>
    <row r="88" spans="2:8" ht="15" customHeight="1">
      <c r="B88" s="239" t="s">
        <v>185</v>
      </c>
      <c r="C88" s="76">
        <f>DCF!C9*Exchange_Rate</f>
        <v>63268196.411432095</v>
      </c>
      <c r="D88" s="223">
        <f>C88*scaling_factor/Common_Shares</f>
        <v>6.829150643952814</v>
      </c>
      <c r="E88" s="240" t="str">
        <f>Market_currency</f>
        <v>HKD</v>
      </c>
    </row>
    <row r="89" spans="2:8" ht="15" customHeight="1">
      <c r="B89" s="80" t="s">
        <v>285</v>
      </c>
      <c r="C89" s="180">
        <f>SUM(C86:C88)</f>
        <v>71033708.651751995</v>
      </c>
      <c r="D89" s="242">
        <f>SUM(D86:D88)</f>
        <v>7.6673577673507802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F11" sqref="F11"/>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G4*1.2</f>
        <v>405109891.19999999</v>
      </c>
      <c r="D4" s="57"/>
      <c r="E4" s="266"/>
      <c r="F4" s="57"/>
      <c r="G4" s="333">
        <f>Data!C36</f>
        <v>337591576</v>
      </c>
      <c r="H4" s="333">
        <f>Data!D36</f>
        <v>276744954</v>
      </c>
      <c r="I4" s="333">
        <f>Data!E36</f>
        <v>219954948</v>
      </c>
      <c r="J4" s="333">
        <f>Data!F36</f>
        <v>179127997</v>
      </c>
      <c r="K4" s="333">
        <f>Data!G36</f>
        <v>114794510</v>
      </c>
      <c r="L4" s="333">
        <f>Data!H36</f>
        <v>97528531</v>
      </c>
      <c r="M4" s="333">
        <f>Data!I36</f>
        <v>65227278</v>
      </c>
      <c r="N4" s="333">
        <f>Data!J36</f>
        <v>33927987</v>
      </c>
      <c r="O4" s="333">
        <f>Data!K36</f>
        <v>12988077</v>
      </c>
      <c r="P4" s="333">
        <f>Data!L36</f>
        <v>4018959</v>
      </c>
      <c r="Q4" s="333" t="str">
        <f>Data!M36</f>
        <v/>
      </c>
    </row>
    <row r="5" spans="1:17" ht="15.75" customHeight="1">
      <c r="A5" s="10"/>
      <c r="B5" s="2" t="s">
        <v>44</v>
      </c>
      <c r="C5" s="328">
        <f>C25</f>
        <v>-324087912.95999998</v>
      </c>
      <c r="E5" s="268"/>
      <c r="G5" s="333">
        <f t="shared" ref="G5:Q5" si="1">G25</f>
        <v>-271782217</v>
      </c>
      <c r="H5" s="333">
        <f t="shared" si="1"/>
        <v>-238170790</v>
      </c>
      <c r="I5" s="333">
        <f t="shared" si="1"/>
        <v>-197947081</v>
      </c>
      <c r="J5" s="333">
        <f t="shared" si="1"/>
        <v>-177337035</v>
      </c>
      <c r="K5" s="333">
        <f t="shared" si="1"/>
        <v>-101627053</v>
      </c>
      <c r="L5" s="333">
        <f t="shared" si="1"/>
        <v>-84027210</v>
      </c>
      <c r="M5" s="333">
        <f t="shared" si="1"/>
        <v>-65994221</v>
      </c>
      <c r="N5" s="333">
        <f t="shared" si="1"/>
        <v>-32617171</v>
      </c>
      <c r="O5" s="333">
        <f t="shared" si="1"/>
        <v>-15383973</v>
      </c>
      <c r="P5" s="333">
        <f t="shared" si="1"/>
        <v>-8380466</v>
      </c>
      <c r="Q5" s="333" t="str">
        <f t="shared" si="1"/>
        <v/>
      </c>
    </row>
    <row r="6" spans="1:17" ht="15.75" customHeight="1">
      <c r="A6" s="10"/>
      <c r="B6" s="31" t="s">
        <v>46</v>
      </c>
      <c r="C6" s="329">
        <f>C4+C5</f>
        <v>81021978.24000001</v>
      </c>
      <c r="E6" s="268"/>
      <c r="G6" s="329">
        <f>IF(G4="","",G4+G5)</f>
        <v>65809359</v>
      </c>
      <c r="H6" s="329">
        <f t="shared" ref="H6:Q6" si="2">IF(H4="","",H4+H5)</f>
        <v>38574164</v>
      </c>
      <c r="I6" s="329">
        <f t="shared" si="2"/>
        <v>22007867</v>
      </c>
      <c r="J6" s="329">
        <f t="shared" si="2"/>
        <v>1790962</v>
      </c>
      <c r="K6" s="329">
        <f t="shared" si="2"/>
        <v>13167457</v>
      </c>
      <c r="L6" s="329">
        <f t="shared" si="2"/>
        <v>13501321</v>
      </c>
      <c r="M6" s="329">
        <f t="shared" si="2"/>
        <v>-766943</v>
      </c>
      <c r="N6" s="329">
        <f t="shared" si="2"/>
        <v>1310816</v>
      </c>
      <c r="O6" s="329">
        <f t="shared" si="2"/>
        <v>-2395896</v>
      </c>
      <c r="P6" s="329">
        <f t="shared" si="2"/>
        <v>-4361507</v>
      </c>
      <c r="Q6" s="329" t="str">
        <f t="shared" si="2"/>
        <v/>
      </c>
    </row>
    <row r="7" spans="1:17" ht="15.75" customHeight="1">
      <c r="A7" s="10"/>
      <c r="B7" s="8" t="s">
        <v>43</v>
      </c>
      <c r="C7" s="328">
        <f>C35</f>
        <v>-35035796.472000003</v>
      </c>
      <c r="E7" s="268"/>
      <c r="G7" s="328">
        <f t="shared" ref="G7:Q7" si="3">G35</f>
        <v>-31782804</v>
      </c>
      <c r="H7" s="328">
        <f t="shared" si="3"/>
        <v>-30573072</v>
      </c>
      <c r="I7" s="328">
        <f t="shared" si="3"/>
        <v>-30511675</v>
      </c>
      <c r="J7" s="328">
        <f t="shared" si="3"/>
        <v>-25288221</v>
      </c>
      <c r="K7" s="328">
        <f t="shared" si="3"/>
        <v>-16486409</v>
      </c>
      <c r="L7" s="328">
        <f t="shared" si="3"/>
        <v>-12784618</v>
      </c>
      <c r="M7" s="328">
        <f t="shared" si="3"/>
        <v>-12903592</v>
      </c>
      <c r="N7" s="328">
        <f t="shared" si="3"/>
        <v>-5818042</v>
      </c>
      <c r="O7" s="328">
        <f t="shared" si="3"/>
        <v>-4089279</v>
      </c>
      <c r="P7" s="328">
        <f t="shared" si="3"/>
        <v>-4109453</v>
      </c>
      <c r="Q7" s="328" t="str">
        <f t="shared" si="3"/>
        <v/>
      </c>
    </row>
    <row r="8" spans="1:17" ht="15.75" customHeight="1">
      <c r="A8" s="10"/>
      <c r="B8" s="29" t="s">
        <v>148</v>
      </c>
      <c r="C8" s="330">
        <f>C6+C7</f>
        <v>45986181.768000007</v>
      </c>
      <c r="D8" s="59"/>
      <c r="E8" s="274"/>
      <c r="F8" s="59"/>
      <c r="G8" s="329">
        <f>IF(G$4="","",G6+G7)</f>
        <v>34026555</v>
      </c>
      <c r="H8" s="329">
        <f t="shared" ref="H8:Q8" si="4">IF(H$4="","",H6+H7)</f>
        <v>8001092</v>
      </c>
      <c r="I8" s="329">
        <f t="shared" si="4"/>
        <v>-8503808</v>
      </c>
      <c r="J8" s="329">
        <f t="shared" si="4"/>
        <v>-23497259</v>
      </c>
      <c r="K8" s="329">
        <f t="shared" si="4"/>
        <v>-3318952</v>
      </c>
      <c r="L8" s="329">
        <f t="shared" si="4"/>
        <v>716703</v>
      </c>
      <c r="M8" s="329">
        <f t="shared" si="4"/>
        <v>-13670535</v>
      </c>
      <c r="N8" s="329">
        <f t="shared" si="4"/>
        <v>-4507226</v>
      </c>
      <c r="O8" s="329">
        <f t="shared" si="4"/>
        <v>-6485175</v>
      </c>
      <c r="P8" s="329">
        <f t="shared" si="4"/>
        <v>-8470960</v>
      </c>
      <c r="Q8" s="329" t="str">
        <f t="shared" si="4"/>
        <v/>
      </c>
    </row>
    <row r="9" spans="1:17" ht="15.75" customHeight="1">
      <c r="A9" s="10"/>
      <c r="B9" s="2" t="s">
        <v>63</v>
      </c>
      <c r="C9" s="328">
        <f>BS!$G$39*BS!D58</f>
        <v>239.649</v>
      </c>
      <c r="E9" s="268"/>
      <c r="G9" s="328">
        <f>IF(Data!C61="","",-Data!C61)</f>
        <v>239.649</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-239.649</v>
      </c>
      <c r="E10" s="268"/>
      <c r="G10" s="328">
        <f>Data!C62</f>
        <v>-239.649</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-1337038</v>
      </c>
      <c r="E12" s="268"/>
      <c r="G12" s="328">
        <f>G50</f>
        <v>-1337038</v>
      </c>
      <c r="H12" s="328">
        <f t="shared" ref="H12:Q12" si="6">H50</f>
        <v>-1425157</v>
      </c>
      <c r="I12" s="328">
        <f t="shared" si="6"/>
        <v>-1628825</v>
      </c>
      <c r="J12" s="328">
        <f t="shared" si="6"/>
        <v>-1130935</v>
      </c>
      <c r="K12" s="328">
        <f t="shared" si="6"/>
        <v>0</v>
      </c>
      <c r="L12" s="328">
        <f t="shared" si="6"/>
        <v>0</v>
      </c>
      <c r="M12" s="328">
        <f t="shared" si="6"/>
        <v>0</v>
      </c>
      <c r="N12" s="328">
        <f t="shared" si="6"/>
        <v>-19214</v>
      </c>
      <c r="O12" s="328">
        <f t="shared" si="6"/>
        <v>-55981</v>
      </c>
      <c r="P12" s="328">
        <f t="shared" si="6"/>
        <v>-56561</v>
      </c>
      <c r="Q12" s="328" t="str">
        <f t="shared" si="6"/>
        <v/>
      </c>
    </row>
    <row r="13" spans="1:17" ht="15.75" customHeight="1">
      <c r="A13" s="10"/>
      <c r="B13" s="70" t="s">
        <v>160</v>
      </c>
      <c r="C13" s="329">
        <f>SUM(C8:C12)</f>
        <v>44649143.768000007</v>
      </c>
      <c r="E13" s="268"/>
      <c r="G13" s="329">
        <f>IF(G$4="","",SUM(G8:G12))</f>
        <v>32689517</v>
      </c>
      <c r="H13" s="329">
        <f t="shared" ref="H13:Q13" si="7">IF(H$4="","",SUM(H8:H12))</f>
        <v>6575935</v>
      </c>
      <c r="I13" s="329">
        <f t="shared" si="7"/>
        <v>-10132633</v>
      </c>
      <c r="J13" s="329">
        <f t="shared" si="7"/>
        <v>-24628194</v>
      </c>
      <c r="K13" s="329">
        <f t="shared" si="7"/>
        <v>-3318952</v>
      </c>
      <c r="L13" s="329">
        <f t="shared" si="7"/>
        <v>716703</v>
      </c>
      <c r="M13" s="329">
        <f t="shared" si="7"/>
        <v>-13670535</v>
      </c>
      <c r="N13" s="329">
        <f t="shared" si="7"/>
        <v>-4526440</v>
      </c>
      <c r="O13" s="329">
        <f t="shared" si="7"/>
        <v>-6541156</v>
      </c>
      <c r="P13" s="329">
        <f t="shared" si="7"/>
        <v>-8527521</v>
      </c>
      <c r="Q13" s="329" t="str">
        <f t="shared" si="7"/>
        <v/>
      </c>
    </row>
    <row r="14" spans="1:17" ht="15.75" customHeight="1">
      <c r="A14" s="10"/>
      <c r="B14" s="2" t="s">
        <v>61</v>
      </c>
      <c r="C14" s="328">
        <f>-SUM(C8+C11,C12)*C43</f>
        <v>-11162285.942000002</v>
      </c>
      <c r="E14" s="268"/>
      <c r="G14" s="328">
        <f>Data!C46</f>
        <v>-2177107</v>
      </c>
      <c r="H14" s="328">
        <f>Data!D46</f>
        <v>-164537</v>
      </c>
      <c r="I14" s="328">
        <f>Data!E46</f>
        <v>70194</v>
      </c>
      <c r="J14" s="328">
        <f>Data!F46</f>
        <v>30279</v>
      </c>
      <c r="K14" s="328">
        <f>Data!G46</f>
        <v>269737</v>
      </c>
      <c r="L14" s="328">
        <f>Data!H46</f>
        <v>-526223</v>
      </c>
      <c r="M14" s="328">
        <f>Data!I46</f>
        <v>-1888</v>
      </c>
      <c r="N14" s="328">
        <f>Data!J46</f>
        <v>-54218</v>
      </c>
      <c r="O14" s="328">
        <f>Data!K46</f>
        <v>-267903</v>
      </c>
      <c r="P14" s="328">
        <f>Data!L46</f>
        <v>11648</v>
      </c>
      <c r="Q14" s="328" t="str">
        <f>Data!M46</f>
        <v/>
      </c>
    </row>
    <row r="15" spans="1:17" ht="15.75" customHeight="1">
      <c r="A15" s="10"/>
      <c r="B15" s="40" t="s">
        <v>239</v>
      </c>
      <c r="C15" s="328">
        <f>-C4*C83</f>
        <v>0</v>
      </c>
      <c r="D15" s="60"/>
      <c r="E15" s="275"/>
      <c r="F15" s="60"/>
      <c r="G15" s="333">
        <f>Data!C48</f>
        <v>-1143</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33486857.826000005</v>
      </c>
      <c r="D16" s="61"/>
      <c r="E16" s="276"/>
      <c r="F16" s="61"/>
      <c r="G16" s="329">
        <f>IF(G$4="","",SUM(G13:G15))</f>
        <v>30511267</v>
      </c>
      <c r="H16" s="329">
        <f t="shared" ref="H16:Q16" si="8">IF(H$4="","",SUM(H13:H15))</f>
        <v>6411398</v>
      </c>
      <c r="I16" s="329">
        <f t="shared" si="8"/>
        <v>-10062439</v>
      </c>
      <c r="J16" s="329">
        <f t="shared" si="8"/>
        <v>-24597915</v>
      </c>
      <c r="K16" s="329">
        <f t="shared" si="8"/>
        <v>-3049215</v>
      </c>
      <c r="L16" s="329">
        <f t="shared" si="8"/>
        <v>190480</v>
      </c>
      <c r="M16" s="329">
        <f t="shared" si="8"/>
        <v>-13672423</v>
      </c>
      <c r="N16" s="329">
        <f t="shared" si="8"/>
        <v>-4580658</v>
      </c>
      <c r="O16" s="329">
        <f t="shared" si="8"/>
        <v>-6809059</v>
      </c>
      <c r="P16" s="329">
        <f t="shared" si="8"/>
        <v>-8515873</v>
      </c>
      <c r="Q16" s="329" t="str">
        <f t="shared" si="8"/>
        <v/>
      </c>
    </row>
    <row r="17" spans="1:17" ht="15.75" customHeight="1">
      <c r="A17" s="10"/>
      <c r="B17" s="27" t="s">
        <v>50</v>
      </c>
      <c r="C17" s="328">
        <f>-C4*C85</f>
        <v>0</v>
      </c>
      <c r="D17" s="58"/>
      <c r="E17" s="267" t="s">
        <v>321</v>
      </c>
      <c r="F17" s="58"/>
      <c r="G17" s="335"/>
      <c r="H17" s="335"/>
      <c r="I17" s="335"/>
      <c r="J17" s="335"/>
      <c r="K17" s="335"/>
      <c r="L17" s="335"/>
      <c r="M17" s="335"/>
      <c r="N17" s="335"/>
      <c r="O17" s="335"/>
      <c r="P17" s="335"/>
      <c r="Q17" s="335"/>
    </row>
    <row r="18" spans="1:17" ht="15.75" customHeight="1">
      <c r="A18" s="10"/>
      <c r="B18" s="27" t="s">
        <v>95</v>
      </c>
      <c r="C18" s="328">
        <v>0</v>
      </c>
      <c r="D18" s="58"/>
      <c r="E18" s="267" t="s">
        <v>322</v>
      </c>
      <c r="F18" s="58"/>
      <c r="G18" s="336"/>
      <c r="H18" s="336"/>
      <c r="I18" s="336"/>
      <c r="J18" s="336"/>
      <c r="K18" s="336"/>
      <c r="L18" s="336"/>
      <c r="M18" s="336"/>
      <c r="N18" s="336"/>
      <c r="O18" s="336"/>
      <c r="P18" s="336"/>
      <c r="Q18" s="336"/>
    </row>
    <row r="19" spans="1:17" ht="15.75" customHeight="1">
      <c r="A19" s="10"/>
      <c r="B19" s="31" t="s">
        <v>64</v>
      </c>
      <c r="C19" s="329">
        <f>C16+C17</f>
        <v>33486857.826000005</v>
      </c>
      <c r="D19" s="27"/>
      <c r="E19" s="265"/>
      <c r="F19" s="27"/>
      <c r="G19" s="334">
        <f>IF(G$4="","",G16+G17)</f>
        <v>30511267</v>
      </c>
      <c r="H19" s="334">
        <f t="shared" ref="H19:Q19" si="9">IF(H$4="","",H16+H17)</f>
        <v>6411398</v>
      </c>
      <c r="I19" s="334">
        <f t="shared" si="9"/>
        <v>-10062439</v>
      </c>
      <c r="J19" s="334">
        <f t="shared" si="9"/>
        <v>-24597915</v>
      </c>
      <c r="K19" s="334">
        <f t="shared" si="9"/>
        <v>-3049215</v>
      </c>
      <c r="L19" s="334">
        <f t="shared" si="9"/>
        <v>190480</v>
      </c>
      <c r="M19" s="334">
        <f t="shared" si="9"/>
        <v>-13672423</v>
      </c>
      <c r="N19" s="334">
        <f t="shared" si="9"/>
        <v>-4580658</v>
      </c>
      <c r="O19" s="334">
        <f t="shared" si="9"/>
        <v>-6809059</v>
      </c>
      <c r="P19" s="334">
        <f t="shared" si="9"/>
        <v>-8515873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-243065934.71999997</v>
      </c>
      <c r="D23" s="58"/>
      <c r="E23" s="267"/>
      <c r="F23" s="58"/>
      <c r="G23" s="333">
        <f>Data!C37</f>
        <v>-207806982</v>
      </c>
      <c r="H23" s="333">
        <f>Data!D37</f>
        <v>-179553793</v>
      </c>
      <c r="I23" s="333">
        <f>Data!E37</f>
        <v>-158201969</v>
      </c>
      <c r="J23" s="333">
        <f>Data!F37</f>
        <v>-136653869</v>
      </c>
      <c r="K23" s="333">
        <f>Data!G37</f>
        <v>-80744368</v>
      </c>
      <c r="L23" s="333">
        <f>Data!H37</f>
        <v>-65208143</v>
      </c>
      <c r="M23" s="333">
        <f>Data!I37</f>
        <v>-50122320</v>
      </c>
      <c r="N23" s="333">
        <f>Data!J37</f>
        <v>-21708483</v>
      </c>
      <c r="O23" s="333">
        <f>Data!K37</f>
        <v>-7046841</v>
      </c>
      <c r="P23" s="333">
        <f>Data!L37</f>
        <v>-1239504</v>
      </c>
      <c r="Q23" s="333" t="str">
        <f>Data!M37</f>
        <v/>
      </c>
    </row>
    <row r="24" spans="1:17" ht="15.75" customHeight="1">
      <c r="A24" s="10"/>
      <c r="B24" s="68" t="s">
        <v>60</v>
      </c>
      <c r="C24" s="328">
        <f>-C4*C29</f>
        <v>-81021978.24000001</v>
      </c>
      <c r="D24" s="27"/>
      <c r="E24" s="265"/>
      <c r="F24" s="27"/>
      <c r="G24" s="333">
        <f>Data!C40</f>
        <v>-63975235</v>
      </c>
      <c r="H24" s="333">
        <f>Data!D40</f>
        <v>-58616997</v>
      </c>
      <c r="I24" s="333">
        <f>Data!E40</f>
        <v>-39745112</v>
      </c>
      <c r="J24" s="333">
        <f>Data!F40</f>
        <v>-40683166</v>
      </c>
      <c r="K24" s="333">
        <f>Data!G40</f>
        <v>-20882685</v>
      </c>
      <c r="L24" s="333">
        <f>Data!H40</f>
        <v>-18819067</v>
      </c>
      <c r="M24" s="333">
        <f>Data!I40</f>
        <v>-15871901</v>
      </c>
      <c r="N24" s="333">
        <f>Data!J40</f>
        <v>-10908688</v>
      </c>
      <c r="O24" s="333">
        <f>Data!K40</f>
        <v>-8337132</v>
      </c>
      <c r="P24" s="333">
        <f>Data!L40</f>
        <v>-7140962</v>
      </c>
      <c r="Q24" s="333" t="str">
        <f>Data!M40</f>
        <v/>
      </c>
    </row>
    <row r="25" spans="1:17" ht="15.75" customHeight="1">
      <c r="A25" s="10"/>
      <c r="B25" s="70" t="s">
        <v>44</v>
      </c>
      <c r="C25" s="329">
        <f>C23+C24</f>
        <v>-324087912.95999998</v>
      </c>
      <c r="D25" s="9"/>
      <c r="E25" s="273"/>
      <c r="F25" s="9"/>
      <c r="G25" s="329">
        <f t="shared" ref="G25:Q25" si="10">IF(G$4="","",G23+G24)</f>
        <v>-271782217</v>
      </c>
      <c r="H25" s="329">
        <f t="shared" si="10"/>
        <v>-238170790</v>
      </c>
      <c r="I25" s="329">
        <f t="shared" si="10"/>
        <v>-197947081</v>
      </c>
      <c r="J25" s="329">
        <f t="shared" si="10"/>
        <v>-177337035</v>
      </c>
      <c r="K25" s="329">
        <f t="shared" si="10"/>
        <v>-101627053</v>
      </c>
      <c r="L25" s="329">
        <f t="shared" si="10"/>
        <v>-84027210</v>
      </c>
      <c r="M25" s="329">
        <f t="shared" si="10"/>
        <v>-65994221</v>
      </c>
      <c r="N25" s="329">
        <f t="shared" si="10"/>
        <v>-32617171</v>
      </c>
      <c r="O25" s="329">
        <f t="shared" si="10"/>
        <v>-15383973</v>
      </c>
      <c r="P25" s="329">
        <f t="shared" si="10"/>
        <v>-8380466</v>
      </c>
      <c r="Q25" s="329" t="str">
        <f t="shared" si="10"/>
        <v/>
      </c>
    </row>
    <row r="26" spans="1:17" ht="15.75" customHeight="1">
      <c r="A26" s="10"/>
      <c r="E26" s="268"/>
    </row>
    <row r="27" spans="1:17" ht="15.75" customHeight="1">
      <c r="A27" s="10"/>
      <c r="B27" s="64" t="s">
        <v>202</v>
      </c>
      <c r="E27" s="268"/>
    </row>
    <row r="28" spans="1:17" ht="15.75" customHeight="1">
      <c r="A28" s="10"/>
      <c r="B28" s="26" t="s">
        <v>41</v>
      </c>
      <c r="C28" s="63">
        <v>0.6</v>
      </c>
      <c r="D28" s="26"/>
      <c r="E28" s="266" t="s">
        <v>323</v>
      </c>
      <c r="F28" s="26"/>
      <c r="G28" s="13">
        <f t="shared" ref="G28:Q28" si="11">IF(G$4="","",ABS(G23/G$4))</f>
        <v>0.61555736805470529</v>
      </c>
      <c r="H28" s="13">
        <f t="shared" si="11"/>
        <v>0.64880602303592494</v>
      </c>
      <c r="I28" s="13">
        <f t="shared" si="11"/>
        <v>0.71924714782956367</v>
      </c>
      <c r="J28" s="13">
        <f t="shared" si="11"/>
        <v>0.76288392260647009</v>
      </c>
      <c r="K28" s="13">
        <f t="shared" si="11"/>
        <v>0.70338179064486617</v>
      </c>
      <c r="L28" s="13">
        <f t="shared" si="11"/>
        <v>0.6686058154613238</v>
      </c>
      <c r="M28" s="13">
        <f t="shared" si="11"/>
        <v>0.76842574973004396</v>
      </c>
      <c r="N28" s="13">
        <f t="shared" si="11"/>
        <v>0.63983999404385528</v>
      </c>
      <c r="O28" s="13">
        <f t="shared" si="11"/>
        <v>0.54256230541287986</v>
      </c>
      <c r="P28" s="13">
        <f t="shared" si="11"/>
        <v>0.30841419382481883</v>
      </c>
      <c r="Q28" s="13" t="str">
        <f t="shared" si="11"/>
        <v/>
      </c>
    </row>
    <row r="29" spans="1:17" ht="15.75" customHeight="1">
      <c r="A29" s="10"/>
      <c r="B29" s="68" t="str">
        <f>B24</f>
        <v>Selling Expenses</v>
      </c>
      <c r="C29" s="63">
        <v>0.2</v>
      </c>
      <c r="D29" s="26"/>
      <c r="E29" s="266" t="s">
        <v>323</v>
      </c>
      <c r="F29" s="26"/>
      <c r="G29" s="13">
        <f t="shared" ref="G29:Q29" si="12">IF(G$4="","",ABS(G24/G$4))</f>
        <v>0.18950483231252191</v>
      </c>
      <c r="H29" s="13">
        <f t="shared" si="12"/>
        <v>0.2118087291304325</v>
      </c>
      <c r="I29" s="13">
        <f t="shared" si="12"/>
        <v>0.18069660337897922</v>
      </c>
      <c r="J29" s="13">
        <f t="shared" si="12"/>
        <v>0.22711785249292996</v>
      </c>
      <c r="K29" s="13">
        <f t="shared" si="12"/>
        <v>0.18191362113048787</v>
      </c>
      <c r="L29" s="13">
        <f t="shared" si="12"/>
        <v>0.19295960686622052</v>
      </c>
      <c r="M29" s="13">
        <f t="shared" si="12"/>
        <v>0.24333226046930856</v>
      </c>
      <c r="N29" s="13">
        <f t="shared" si="12"/>
        <v>0.32152476361182286</v>
      </c>
      <c r="O29" s="13">
        <f t="shared" si="12"/>
        <v>0.64190657323636136</v>
      </c>
      <c r="P29" s="13">
        <f t="shared" si="12"/>
        <v>1.7768188229837627</v>
      </c>
      <c r="Q29" s="13" t="str">
        <f t="shared" si="12"/>
        <v/>
      </c>
    </row>
    <row r="30" spans="1:17" ht="15.75" customHeight="1">
      <c r="A30" s="10"/>
      <c r="B30" s="70" t="s">
        <v>44</v>
      </c>
      <c r="C30" s="71">
        <f>ABS(C25/$C$4)</f>
        <v>0.79999999999999993</v>
      </c>
      <c r="E30" s="268"/>
      <c r="G30" s="30">
        <f t="shared" ref="G30:Q30" si="13">IF(G$4="","",ABS(G25/G$4))</f>
        <v>0.8050622003672272</v>
      </c>
      <c r="H30" s="30">
        <f t="shared" si="13"/>
        <v>0.86061475216635752</v>
      </c>
      <c r="I30" s="30">
        <f t="shared" si="13"/>
        <v>0.89994375120854297</v>
      </c>
      <c r="J30" s="30">
        <f t="shared" si="13"/>
        <v>0.99000177509940002</v>
      </c>
      <c r="K30" s="30">
        <f t="shared" si="13"/>
        <v>0.88529541177535409</v>
      </c>
      <c r="L30" s="30">
        <f t="shared" si="13"/>
        <v>0.86156542232754429</v>
      </c>
      <c r="M30" s="30">
        <f t="shared" si="13"/>
        <v>1.0117580101993524</v>
      </c>
      <c r="N30" s="30">
        <f t="shared" si="13"/>
        <v>0.96136475765567819</v>
      </c>
      <c r="O30" s="30">
        <f t="shared" si="13"/>
        <v>1.1844688786492412</v>
      </c>
      <c r="P30" s="30">
        <f t="shared" si="13"/>
        <v>2.0852330168085813</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-10729203</v>
      </c>
      <c r="E33" s="266" t="s">
        <v>323</v>
      </c>
      <c r="G33" s="328">
        <f>Data!C41</f>
        <v>-10729203</v>
      </c>
      <c r="H33" s="328">
        <f>Data!D41</f>
        <v>-9372067</v>
      </c>
      <c r="I33" s="328">
        <f>Data!E41</f>
        <v>-9771810</v>
      </c>
      <c r="J33" s="328">
        <f>Data!F41</f>
        <v>-8612626</v>
      </c>
      <c r="K33" s="328">
        <f>Data!G41</f>
        <v>-5593895</v>
      </c>
      <c r="L33" s="328">
        <f>Data!H41</f>
        <v>-4338954</v>
      </c>
      <c r="M33" s="328">
        <f>Data!I41</f>
        <v>-5831692</v>
      </c>
      <c r="N33" s="328">
        <f>Data!J41</f>
        <v>-2171408</v>
      </c>
      <c r="O33" s="328">
        <f>Data!K41</f>
        <v>-1722605</v>
      </c>
      <c r="P33" s="328">
        <f>Data!L41</f>
        <v>-2905420</v>
      </c>
      <c r="Q33" s="328" t="str">
        <f>Data!M41</f>
        <v/>
      </c>
    </row>
    <row r="34" spans="1:17" ht="15.75" customHeight="1">
      <c r="A34" s="10"/>
      <c r="B34" s="27" t="s">
        <v>47</v>
      </c>
      <c r="C34" s="340">
        <f>-C4*6%</f>
        <v>-24306593.471999999</v>
      </c>
      <c r="D34" s="58"/>
      <c r="E34" s="266" t="s">
        <v>323</v>
      </c>
      <c r="F34" s="58"/>
      <c r="G34" s="333">
        <f>Data!C42</f>
        <v>-21053601</v>
      </c>
      <c r="H34" s="333">
        <f>Data!D42</f>
        <v>-21201005</v>
      </c>
      <c r="I34" s="333">
        <f>Data!E42</f>
        <v>-20739865</v>
      </c>
      <c r="J34" s="333">
        <f>Data!F42</f>
        <v>-16675595</v>
      </c>
      <c r="K34" s="333">
        <f>Data!G42</f>
        <v>-10892514</v>
      </c>
      <c r="L34" s="333">
        <f>Data!H42</f>
        <v>-8445664</v>
      </c>
      <c r="M34" s="333">
        <f>Data!I42</f>
        <v>-7071900</v>
      </c>
      <c r="N34" s="333">
        <f>Data!J42</f>
        <v>-3646634</v>
      </c>
      <c r="O34" s="333">
        <f>Data!K42</f>
        <v>-2366674</v>
      </c>
      <c r="P34" s="333">
        <f>Data!L42</f>
        <v>-1204033</v>
      </c>
      <c r="Q34" s="333" t="str">
        <f>Data!M42</f>
        <v/>
      </c>
    </row>
    <row r="35" spans="1:17" ht="15.75" customHeight="1">
      <c r="A35" s="10"/>
      <c r="B35" s="70" t="s">
        <v>43</v>
      </c>
      <c r="C35" s="329">
        <f>C33+C34</f>
        <v>-35035796.472000003</v>
      </c>
      <c r="D35" s="58"/>
      <c r="E35" s="267"/>
      <c r="F35" s="58"/>
      <c r="G35" s="329">
        <f t="shared" ref="G35:Q35" si="14">IF(G4="","",G33+G34)</f>
        <v>-31782804</v>
      </c>
      <c r="H35" s="329">
        <f t="shared" si="14"/>
        <v>-30573072</v>
      </c>
      <c r="I35" s="329">
        <f t="shared" si="14"/>
        <v>-30511675</v>
      </c>
      <c r="J35" s="329">
        <f t="shared" si="14"/>
        <v>-25288221</v>
      </c>
      <c r="K35" s="329">
        <f t="shared" si="14"/>
        <v>-16486409</v>
      </c>
      <c r="L35" s="329">
        <f t="shared" si="14"/>
        <v>-12784618</v>
      </c>
      <c r="M35" s="329">
        <f t="shared" si="14"/>
        <v>-12903592</v>
      </c>
      <c r="N35" s="329">
        <f t="shared" si="14"/>
        <v>-5818042</v>
      </c>
      <c r="O35" s="329">
        <f t="shared" si="14"/>
        <v>-4089279</v>
      </c>
      <c r="P35" s="329">
        <f t="shared" si="14"/>
        <v>-4109453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2.6484673006177146E-2</v>
      </c>
      <c r="D38" s="27"/>
      <c r="E38" s="265"/>
      <c r="F38" s="27"/>
      <c r="G38" s="13">
        <f t="shared" ref="G38:Q38" si="15">IF(G$4="","",ABS(G33/G$4))</f>
        <v>3.1781607607412575E-2</v>
      </c>
      <c r="H38" s="13">
        <f t="shared" si="15"/>
        <v>3.386535820992783E-2</v>
      </c>
      <c r="I38" s="13">
        <f t="shared" si="15"/>
        <v>4.442641590404231E-2</v>
      </c>
      <c r="J38" s="13">
        <f t="shared" si="15"/>
        <v>4.8080848020647493E-2</v>
      </c>
      <c r="K38" s="13">
        <f t="shared" si="15"/>
        <v>4.8729638725754393E-2</v>
      </c>
      <c r="L38" s="13">
        <f t="shared" si="15"/>
        <v>4.4489073663992747E-2</v>
      </c>
      <c r="M38" s="13">
        <f t="shared" si="15"/>
        <v>8.9405723783230695E-2</v>
      </c>
      <c r="N38" s="13">
        <f t="shared" si="15"/>
        <v>6.4000496109598251E-2</v>
      </c>
      <c r="O38" s="13">
        <f t="shared" si="15"/>
        <v>0.13262971877977009</v>
      </c>
      <c r="P38" s="13">
        <f t="shared" si="15"/>
        <v>0.72292849964381323</v>
      </c>
      <c r="Q38" s="13" t="str">
        <f t="shared" si="15"/>
        <v/>
      </c>
    </row>
    <row r="39" spans="1:17" ht="15.75" customHeight="1">
      <c r="A39" s="10"/>
      <c r="B39" s="27" t="str">
        <f>B34</f>
        <v>R&amp;D</v>
      </c>
      <c r="C39" s="23">
        <f>ABS(C34/$C$4)</f>
        <v>0.06</v>
      </c>
      <c r="D39" s="27"/>
      <c r="E39" s="265"/>
      <c r="F39" s="27"/>
      <c r="G39" s="13">
        <f t="shared" ref="G39:Q39" si="16">IF(G$4="","",ABS(G34/G$4))</f>
        <v>6.2364118351104829E-2</v>
      </c>
      <c r="H39" s="13">
        <f t="shared" si="16"/>
        <v>7.6608460944151482E-2</v>
      </c>
      <c r="I39" s="13">
        <f t="shared" si="16"/>
        <v>9.4291422805364664E-2</v>
      </c>
      <c r="J39" s="13">
        <f t="shared" si="16"/>
        <v>9.3093180738240494E-2</v>
      </c>
      <c r="K39" s="13">
        <f t="shared" si="16"/>
        <v>9.4887063850004671E-2</v>
      </c>
      <c r="L39" s="13">
        <f t="shared" si="16"/>
        <v>8.659685441176182E-2</v>
      </c>
      <c r="M39" s="13">
        <f t="shared" si="16"/>
        <v>0.10841936405808625</v>
      </c>
      <c r="N39" s="13">
        <f t="shared" si="16"/>
        <v>0.10748159034604676</v>
      </c>
      <c r="O39" s="13">
        <f t="shared" si="16"/>
        <v>0.18221896898209028</v>
      </c>
      <c r="P39" s="13">
        <f t="shared" si="16"/>
        <v>0.29958827646661734</v>
      </c>
      <c r="Q39" s="13" t="str">
        <f t="shared" si="16"/>
        <v/>
      </c>
    </row>
    <row r="40" spans="1:17" ht="15.75" customHeight="1">
      <c r="A40" s="10"/>
      <c r="B40" s="70" t="s">
        <v>43</v>
      </c>
      <c r="C40" s="71">
        <f>ABS(C35/$C$4)</f>
        <v>8.6484673006177154E-2</v>
      </c>
      <c r="E40" s="268"/>
      <c r="G40" s="30">
        <f t="shared" ref="G40:Q40" si="17">IF(G$4="","",ABS(G35/G$4))</f>
        <v>9.4145725958517404E-2</v>
      </c>
      <c r="H40" s="30">
        <f t="shared" si="17"/>
        <v>0.11047381915407932</v>
      </c>
      <c r="I40" s="30">
        <f t="shared" si="17"/>
        <v>0.13871783870940699</v>
      </c>
      <c r="J40" s="30">
        <f t="shared" si="17"/>
        <v>0.14117402875888799</v>
      </c>
      <c r="K40" s="30">
        <f t="shared" si="17"/>
        <v>0.14361670257575906</v>
      </c>
      <c r="L40" s="30">
        <f t="shared" si="17"/>
        <v>0.13108592807575456</v>
      </c>
      <c r="M40" s="30">
        <f t="shared" si="17"/>
        <v>0.19782508784131694</v>
      </c>
      <c r="N40" s="30">
        <f t="shared" si="17"/>
        <v>0.171482086455645</v>
      </c>
      <c r="O40" s="30">
        <f t="shared" si="17"/>
        <v>0.31484868776186037</v>
      </c>
      <c r="P40" s="30">
        <f t="shared" si="17"/>
        <v>1.0225167761104306</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324</v>
      </c>
      <c r="F43" s="27"/>
      <c r="G43" s="6">
        <f t="shared" ref="G43:Q43" si="18">IF(G$4="","",-G14/SUM(G8+G11,G12))</f>
        <v>6.6599546270445051E-2</v>
      </c>
      <c r="H43" s="6">
        <f t="shared" si="18"/>
        <v>2.5021080652409124E-2</v>
      </c>
      <c r="I43" s="6">
        <f t="shared" si="18"/>
        <v>6.9275182472314945E-3</v>
      </c>
      <c r="J43" s="6">
        <f t="shared" si="18"/>
        <v>1.229444595084804E-3</v>
      </c>
      <c r="K43" s="6">
        <f t="shared" si="18"/>
        <v>8.127173878983486E-2</v>
      </c>
      <c r="L43" s="6">
        <f t="shared" si="18"/>
        <v>0.73422742753972003</v>
      </c>
      <c r="M43" s="6">
        <f t="shared" si="18"/>
        <v>-1.3810725037461958E-4</v>
      </c>
      <c r="N43" s="6">
        <f t="shared" si="18"/>
        <v>-1.1978066648403602E-2</v>
      </c>
      <c r="O43" s="6">
        <f t="shared" si="18"/>
        <v>-4.0956522058180539E-2</v>
      </c>
      <c r="P43" s="6">
        <f t="shared" si="18"/>
        <v>1.3659303800014095E-3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-1337038</v>
      </c>
      <c r="E47" s="268"/>
      <c r="G47" s="328">
        <f>Data!C51</f>
        <v>-1337038</v>
      </c>
      <c r="H47" s="328">
        <f>Data!D51</f>
        <v>-1425157</v>
      </c>
      <c r="I47" s="328">
        <f>Data!E51</f>
        <v>-1628825</v>
      </c>
      <c r="J47" s="328">
        <f>Data!F51</f>
        <v>-1130935</v>
      </c>
      <c r="K47" s="328">
        <f>Data!G51</f>
        <v>0</v>
      </c>
      <c r="L47" s="328">
        <f>Data!H51</f>
        <v>0</v>
      </c>
      <c r="M47" s="328">
        <f>Data!I51</f>
        <v>0</v>
      </c>
      <c r="N47" s="328">
        <f>Data!J51</f>
        <v>-19214</v>
      </c>
      <c r="O47" s="328">
        <f>Data!K51</f>
        <v>-55981</v>
      </c>
      <c r="P47" s="328">
        <f>Data!L51</f>
        <v>-56561</v>
      </c>
      <c r="Q47" s="328" t="str">
        <f>Data!M51</f>
        <v/>
      </c>
    </row>
    <row r="48" spans="1:17" ht="15.75" customHeight="1">
      <c r="A48" s="10"/>
      <c r="B48" s="2" t="s">
        <v>335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332</v>
      </c>
      <c r="C49" s="342">
        <f>BS!$C$66*C53</f>
        <v>0</v>
      </c>
      <c r="D49" s="288"/>
      <c r="E49" s="289"/>
      <c r="F49" s="288"/>
      <c r="G49" s="342">
        <f>Data!C52</f>
        <v>1291807</v>
      </c>
      <c r="H49" s="342">
        <f>Data!D52</f>
        <v>818986</v>
      </c>
      <c r="I49" s="342">
        <f>Data!E52</f>
        <v>657908</v>
      </c>
      <c r="J49" s="342">
        <f>Data!F52</f>
        <v>546037</v>
      </c>
      <c r="K49" s="342">
        <f>Data!G52</f>
        <v>0</v>
      </c>
      <c r="L49" s="342">
        <f>Data!H52</f>
        <v>0</v>
      </c>
      <c r="M49" s="342">
        <f>Data!I52</f>
        <v>294047</v>
      </c>
      <c r="N49" s="342">
        <f>Data!J52</f>
        <v>60885</v>
      </c>
      <c r="O49" s="342">
        <f>Data!K52</f>
        <v>21681</v>
      </c>
      <c r="P49" s="342">
        <f>Data!L52</f>
        <v>13541</v>
      </c>
      <c r="Q49" s="342" t="str">
        <f>Data!M52</f>
        <v/>
      </c>
    </row>
    <row r="50" spans="1:17" ht="15.75" customHeight="1">
      <c r="A50" s="10"/>
      <c r="B50" s="70" t="s">
        <v>66</v>
      </c>
      <c r="C50" s="329">
        <f>C47+C48</f>
        <v>-1337038</v>
      </c>
      <c r="E50" s="268"/>
      <c r="G50" s="329">
        <f>IF(G$4="","",(G47+G48))</f>
        <v>-1337038</v>
      </c>
      <c r="H50" s="329">
        <f t="shared" ref="H50:Q50" si="20">IF(H$4="","",(H47+H48))</f>
        <v>-1425157</v>
      </c>
      <c r="I50" s="329">
        <f t="shared" si="20"/>
        <v>-1628825</v>
      </c>
      <c r="J50" s="329">
        <f t="shared" si="20"/>
        <v>-1130935</v>
      </c>
      <c r="K50" s="329">
        <f t="shared" si="20"/>
        <v>0</v>
      </c>
      <c r="L50" s="329">
        <f t="shared" si="20"/>
        <v>0</v>
      </c>
      <c r="M50" s="329">
        <f t="shared" si="20"/>
        <v>0</v>
      </c>
      <c r="N50" s="329">
        <f t="shared" si="20"/>
        <v>-19214</v>
      </c>
      <c r="O50" s="329">
        <f t="shared" si="20"/>
        <v>-55981</v>
      </c>
      <c r="P50" s="329">
        <f t="shared" si="20"/>
        <v>-56561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325</v>
      </c>
      <c r="G53" s="6">
        <f>IF(Normalized_FCF!G4="","",Normalized_FCF!G49/BS!$C$66)</f>
        <v>1.0803138947994223E-2</v>
      </c>
      <c r="H53" s="169"/>
      <c r="I53" s="169"/>
      <c r="J53" s="169"/>
      <c r="K53" s="169"/>
      <c r="L53" s="169"/>
      <c r="M53" s="169"/>
      <c r="N53" s="169"/>
      <c r="O53" s="169"/>
      <c r="P53" s="169"/>
      <c r="Q53" s="169"/>
    </row>
    <row r="54" spans="1:17" ht="15.75" customHeight="1">
      <c r="A54" s="10"/>
      <c r="B54" s="8" t="s">
        <v>85</v>
      </c>
      <c r="C54" s="82">
        <f>G54</f>
        <v>2.6228052971393089E-2</v>
      </c>
      <c r="E54" s="265" t="s">
        <v>326</v>
      </c>
      <c r="G54" s="23">
        <f>IFERROR(ABS(Normalized_FCF!G47/BS!$G$31),0)</f>
        <v>2.6228052971393089E-2</v>
      </c>
      <c r="H54" s="169"/>
      <c r="I54" s="169"/>
      <c r="J54" s="169"/>
      <c r="K54" s="169"/>
      <c r="L54" s="169"/>
      <c r="M54" s="169"/>
      <c r="N54" s="169"/>
      <c r="O54" s="169"/>
      <c r="P54" s="169"/>
      <c r="Q54" s="169"/>
    </row>
    <row r="55" spans="1:17" ht="15.75" customHeight="1">
      <c r="A55" s="10"/>
      <c r="B55" s="26" t="s">
        <v>88</v>
      </c>
      <c r="C55" s="42">
        <f>-C8/C47</f>
        <v>34.394072395848141</v>
      </c>
      <c r="E55" s="268"/>
      <c r="G55" s="42">
        <f t="shared" ref="G55:Q55" si="21">IF(G4="","",-G8/G47)</f>
        <v>25.449205632151067</v>
      </c>
      <c r="H55" s="42">
        <f t="shared" si="21"/>
        <v>5.6141828584499809</v>
      </c>
      <c r="I55" s="42">
        <f t="shared" si="21"/>
        <v>-5.2208235998342367</v>
      </c>
      <c r="J55" s="42">
        <f t="shared" si="21"/>
        <v>-20.776843054640629</v>
      </c>
      <c r="K55" s="42" t="e">
        <f t="shared" si="21"/>
        <v>#DIV/0!</v>
      </c>
      <c r="L55" s="42" t="e">
        <f t="shared" si="21"/>
        <v>#DIV/0!</v>
      </c>
      <c r="M55" s="42" t="e">
        <f t="shared" si="21"/>
        <v>#DIV/0!</v>
      </c>
      <c r="N55" s="42">
        <f t="shared" si="21"/>
        <v>-234.58030602685542</v>
      </c>
      <c r="O55" s="42">
        <f t="shared" si="21"/>
        <v>-115.84600132187707</v>
      </c>
      <c r="P55" s="42">
        <f t="shared" si="21"/>
        <v>-149.76680044553669</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327</v>
      </c>
      <c r="G62" s="328">
        <f>Data!C58</f>
        <v>4002962</v>
      </c>
      <c r="H62" s="328">
        <f>Data!D58</f>
        <v>-7230384</v>
      </c>
      <c r="I62" s="328">
        <f>Data!E58</f>
        <v>9404531</v>
      </c>
      <c r="J62" s="328">
        <f>Data!F58</f>
        <v>24051878</v>
      </c>
      <c r="K62" s="328">
        <f>Data!G58</f>
        <v>3049215</v>
      </c>
      <c r="L62" s="328">
        <f>Data!H58</f>
        <v>-190480</v>
      </c>
      <c r="M62" s="328">
        <f>Data!I58</f>
        <v>13378376</v>
      </c>
      <c r="N62" s="328">
        <f>Data!J58</f>
        <v>4519773</v>
      </c>
      <c r="O62" s="328">
        <f>Data!K58</f>
        <v>6787378</v>
      </c>
      <c r="P62" s="328">
        <f>Data!L58</f>
        <v>8502332</v>
      </c>
      <c r="Q62" s="328" t="str">
        <f>Data!M58</f>
        <v/>
      </c>
    </row>
    <row r="63" spans="1:17" ht="15.75" customHeight="1">
      <c r="A63" s="10"/>
      <c r="B63" s="31" t="s">
        <v>191</v>
      </c>
      <c r="C63" s="329">
        <f>C61+C62</f>
        <v>0</v>
      </c>
      <c r="E63" s="268"/>
      <c r="G63" s="329">
        <f t="shared" ref="G63:Q63" si="23">IF(G4="","",G61+G62)</f>
        <v>4002962</v>
      </c>
      <c r="H63" s="329">
        <f t="shared" si="23"/>
        <v>-7230384</v>
      </c>
      <c r="I63" s="329">
        <f t="shared" si="23"/>
        <v>9404531</v>
      </c>
      <c r="J63" s="329">
        <f t="shared" si="23"/>
        <v>24051878</v>
      </c>
      <c r="K63" s="329">
        <f t="shared" si="23"/>
        <v>3049215</v>
      </c>
      <c r="L63" s="329">
        <f t="shared" si="23"/>
        <v>-190480</v>
      </c>
      <c r="M63" s="329">
        <f t="shared" si="23"/>
        <v>13378376</v>
      </c>
      <c r="N63" s="329">
        <f t="shared" si="23"/>
        <v>4519773</v>
      </c>
      <c r="O63" s="329">
        <f t="shared" si="23"/>
        <v>6787378</v>
      </c>
      <c r="P63" s="329">
        <f t="shared" si="23"/>
        <v>8502332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0.79999999999999993</v>
      </c>
      <c r="D73" s="27"/>
      <c r="E73" s="265"/>
      <c r="F73" s="27"/>
      <c r="G73" s="6">
        <f t="shared" ref="G73:Q73" si="24">IF(G$4="","",ABS(G5/G$4))</f>
        <v>0.8050622003672272</v>
      </c>
      <c r="H73" s="6">
        <f t="shared" si="24"/>
        <v>0.86061475216635752</v>
      </c>
      <c r="I73" s="6">
        <f t="shared" si="24"/>
        <v>0.89994375120854297</v>
      </c>
      <c r="J73" s="6">
        <f t="shared" si="24"/>
        <v>0.99000177509940002</v>
      </c>
      <c r="K73" s="6">
        <f t="shared" si="24"/>
        <v>0.88529541177535409</v>
      </c>
      <c r="L73" s="6">
        <f t="shared" si="24"/>
        <v>0.86156542232754429</v>
      </c>
      <c r="M73" s="6">
        <f t="shared" si="24"/>
        <v>1.0117580101993524</v>
      </c>
      <c r="N73" s="6">
        <f t="shared" si="24"/>
        <v>0.96136475765567819</v>
      </c>
      <c r="O73" s="6">
        <f t="shared" si="24"/>
        <v>1.1844688786492412</v>
      </c>
      <c r="P73" s="6">
        <f t="shared" si="24"/>
        <v>2.0852330168085813</v>
      </c>
      <c r="Q73" s="6" t="str">
        <f t="shared" si="24"/>
        <v/>
      </c>
    </row>
    <row r="74" spans="1:17" ht="15.75" customHeight="1">
      <c r="A74" s="10"/>
      <c r="B74" s="31" t="s">
        <v>46</v>
      </c>
      <c r="C74" s="78">
        <f>ABS(C6/C$4)</f>
        <v>0.20000000000000004</v>
      </c>
      <c r="D74" s="27"/>
      <c r="E74" s="265"/>
      <c r="F74" s="27"/>
      <c r="G74" s="65">
        <f t="shared" ref="G74:Q74" si="25">IF(G$4="","",ABS(G6/G$4))</f>
        <v>0.19493779963277283</v>
      </c>
      <c r="H74" s="65">
        <f t="shared" si="25"/>
        <v>0.13938524783364253</v>
      </c>
      <c r="I74" s="65">
        <f t="shared" si="25"/>
        <v>0.10005624879145705</v>
      </c>
      <c r="J74" s="65">
        <f t="shared" si="25"/>
        <v>9.9982249005999887E-3</v>
      </c>
      <c r="K74" s="65">
        <f t="shared" si="25"/>
        <v>0.11470458822464594</v>
      </c>
      <c r="L74" s="65">
        <f t="shared" si="25"/>
        <v>0.13843457767245565</v>
      </c>
      <c r="M74" s="65">
        <f t="shared" si="25"/>
        <v>1.1758010199352485E-2</v>
      </c>
      <c r="N74" s="65">
        <f t="shared" si="25"/>
        <v>3.8635242344321814E-2</v>
      </c>
      <c r="O74" s="65">
        <f t="shared" si="25"/>
        <v>0.18446887864924114</v>
      </c>
      <c r="P74" s="65">
        <f t="shared" si="25"/>
        <v>1.0852330168085815</v>
      </c>
      <c r="Q74" s="65" t="str">
        <f t="shared" si="25"/>
        <v/>
      </c>
    </row>
    <row r="75" spans="1:17" ht="15.75" customHeight="1">
      <c r="A75" s="10"/>
      <c r="B75" s="8" t="s">
        <v>43</v>
      </c>
      <c r="C75" s="77">
        <f>ABS(C7/C$4)</f>
        <v>8.6484673006177154E-2</v>
      </c>
      <c r="D75" s="27"/>
      <c r="E75" s="265"/>
      <c r="F75" s="27"/>
      <c r="G75" s="6">
        <f t="shared" ref="G75:Q75" si="26">IF(G$4="","",ABS(G7/G$4))</f>
        <v>9.4145725958517404E-2</v>
      </c>
      <c r="H75" s="6">
        <f t="shared" si="26"/>
        <v>0.11047381915407932</v>
      </c>
      <c r="I75" s="6">
        <f t="shared" si="26"/>
        <v>0.13871783870940699</v>
      </c>
      <c r="J75" s="6">
        <f t="shared" si="26"/>
        <v>0.14117402875888799</v>
      </c>
      <c r="K75" s="6">
        <f t="shared" si="26"/>
        <v>0.14361670257575906</v>
      </c>
      <c r="L75" s="6">
        <f t="shared" si="26"/>
        <v>0.13108592807575456</v>
      </c>
      <c r="M75" s="6">
        <f t="shared" si="26"/>
        <v>0.19782508784131694</v>
      </c>
      <c r="N75" s="6">
        <f t="shared" si="26"/>
        <v>0.171482086455645</v>
      </c>
      <c r="O75" s="6">
        <f t="shared" si="26"/>
        <v>0.31484868776186037</v>
      </c>
      <c r="P75" s="6">
        <f t="shared" si="26"/>
        <v>1.0225167761104306</v>
      </c>
      <c r="Q75" s="6" t="str">
        <f t="shared" si="26"/>
        <v/>
      </c>
    </row>
    <row r="76" spans="1:17" ht="15.75" customHeight="1">
      <c r="A76" s="10"/>
      <c r="B76" s="29" t="s">
        <v>148</v>
      </c>
      <c r="C76" s="78">
        <f>ABS(C8/C$4)</f>
        <v>0.11351532699382287</v>
      </c>
      <c r="D76" s="27"/>
      <c r="E76" s="265"/>
      <c r="F76" s="27"/>
      <c r="G76" s="65">
        <f t="shared" ref="G76:Q76" si="27">IF(G$4="","",ABS(G8/G$4))</f>
        <v>0.10079207367425543</v>
      </c>
      <c r="H76" s="65">
        <f t="shared" si="27"/>
        <v>2.8911428679563204E-2</v>
      </c>
      <c r="I76" s="65">
        <f t="shared" si="27"/>
        <v>3.8661589917949928E-2</v>
      </c>
      <c r="J76" s="65">
        <f t="shared" si="27"/>
        <v>0.131175803858288</v>
      </c>
      <c r="K76" s="65">
        <f t="shared" si="27"/>
        <v>2.8912114351113131E-2</v>
      </c>
      <c r="L76" s="65">
        <f t="shared" si="27"/>
        <v>7.3486495967010927E-3</v>
      </c>
      <c r="M76" s="65">
        <f t="shared" si="27"/>
        <v>0.20958309804066944</v>
      </c>
      <c r="N76" s="65">
        <f t="shared" si="27"/>
        <v>0.13284684411132319</v>
      </c>
      <c r="O76" s="65">
        <f t="shared" si="27"/>
        <v>0.49931756641110153</v>
      </c>
      <c r="P76" s="65">
        <f t="shared" si="27"/>
        <v>2.1077497929190123</v>
      </c>
      <c r="Q76" s="65" t="str">
        <f t="shared" si="27"/>
        <v/>
      </c>
    </row>
    <row r="77" spans="1:17" ht="15.75" customHeight="1">
      <c r="A77" s="10"/>
      <c r="B77" s="2" t="s">
        <v>63</v>
      </c>
      <c r="C77" s="77">
        <f>ABS(C9/C$4)</f>
        <v>5.9156541275781124E-7</v>
      </c>
      <c r="D77" s="27"/>
      <c r="E77" s="265"/>
      <c r="F77" s="27"/>
      <c r="G77" s="6">
        <f t="shared" ref="G77:Q77" si="28">IF(G$4="","",G9/G$4)</f>
        <v>7.0987849530937348E-7</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5.9156541275781124E-7</v>
      </c>
      <c r="D78" s="27"/>
      <c r="E78" s="266" t="s">
        <v>344</v>
      </c>
      <c r="F78" s="27"/>
      <c r="G78" s="6">
        <f t="shared" ref="G78:Q78" si="29">IF(G$4="","",-G10/G$4)</f>
        <v>7.0987849530937348E-7</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3.3004328678311965E-3</v>
      </c>
      <c r="D80" s="27"/>
      <c r="E80" s="265"/>
      <c r="F80" s="27"/>
      <c r="G80" s="6">
        <f t="shared" ref="G80:Q80" si="31">IF(G$4="","",ABS(G12/G$4))</f>
        <v>3.960519441397436E-3</v>
      </c>
      <c r="H80" s="6">
        <f t="shared" si="31"/>
        <v>5.1497126845535908E-3</v>
      </c>
      <c r="I80" s="6">
        <f t="shared" si="31"/>
        <v>7.4052664639306046E-3</v>
      </c>
      <c r="J80" s="6">
        <f t="shared" si="31"/>
        <v>6.3135580084669844E-3</v>
      </c>
      <c r="K80" s="6">
        <f t="shared" si="31"/>
        <v>0</v>
      </c>
      <c r="L80" s="6">
        <f t="shared" si="31"/>
        <v>0</v>
      </c>
      <c r="M80" s="6">
        <f t="shared" si="31"/>
        <v>0</v>
      </c>
      <c r="N80" s="6">
        <f t="shared" si="31"/>
        <v>5.6631712338253367E-4</v>
      </c>
      <c r="O80" s="6">
        <f t="shared" si="31"/>
        <v>4.3101838709456372E-3</v>
      </c>
      <c r="P80" s="6">
        <f t="shared" si="31"/>
        <v>1.4073544915486822E-2</v>
      </c>
      <c r="Q80" s="6" t="str">
        <f t="shared" si="31"/>
        <v/>
      </c>
    </row>
    <row r="81" spans="1:17" ht="15.75" customHeight="1">
      <c r="A81" s="10"/>
      <c r="B81" s="70" t="s">
        <v>160</v>
      </c>
      <c r="C81" s="78">
        <f>C13/C4</f>
        <v>0.11021489412599168</v>
      </c>
      <c r="D81" s="27"/>
      <c r="E81" s="265"/>
      <c r="F81" s="27"/>
      <c r="G81" s="65">
        <f t="shared" ref="G81:Q81" si="32">IF(G$4="","",G13/G$4)</f>
        <v>9.6831554232857997E-2</v>
      </c>
      <c r="H81" s="65">
        <f t="shared" si="32"/>
        <v>2.3761715995009616E-2</v>
      </c>
      <c r="I81" s="65">
        <f t="shared" si="32"/>
        <v>-4.606685638188053E-2</v>
      </c>
      <c r="J81" s="65">
        <f t="shared" si="32"/>
        <v>-0.13748936186675498</v>
      </c>
      <c r="K81" s="65">
        <f t="shared" si="32"/>
        <v>-2.8912114351113131E-2</v>
      </c>
      <c r="L81" s="65">
        <f t="shared" si="32"/>
        <v>7.3486495967010927E-3</v>
      </c>
      <c r="M81" s="65">
        <f t="shared" si="32"/>
        <v>-0.20958309804066944</v>
      </c>
      <c r="N81" s="65">
        <f t="shared" si="32"/>
        <v>-0.13341316123470573</v>
      </c>
      <c r="O81" s="65">
        <f t="shared" si="32"/>
        <v>-0.50362775028204709</v>
      </c>
      <c r="P81" s="65">
        <f t="shared" si="32"/>
        <v>-2.1218233378344991</v>
      </c>
      <c r="Q81" s="65" t="str">
        <f t="shared" si="32"/>
        <v/>
      </c>
    </row>
    <row r="82" spans="1:17" ht="15.75" customHeight="1">
      <c r="A82" s="10"/>
      <c r="B82" s="2" t="s">
        <v>61</v>
      </c>
      <c r="C82" s="77">
        <f>ABS(C14/C$4)</f>
        <v>2.7553723531497921E-2</v>
      </c>
      <c r="D82" s="27"/>
      <c r="E82" s="265"/>
      <c r="F82" s="27"/>
      <c r="G82" s="6">
        <f t="shared" ref="G82:Q82" si="33">IF(G$4="","",ABS(G14/G$4))</f>
        <v>6.448937576570335E-3</v>
      </c>
      <c r="H82" s="6">
        <f t="shared" si="33"/>
        <v>5.9454381235077552E-4</v>
      </c>
      <c r="I82" s="6">
        <f t="shared" si="33"/>
        <v>3.1912898817806998E-4</v>
      </c>
      <c r="J82" s="6">
        <f t="shared" si="33"/>
        <v>1.6903555282874068E-4</v>
      </c>
      <c r="K82" s="6">
        <f t="shared" si="33"/>
        <v>2.3497378054055025E-3</v>
      </c>
      <c r="L82" s="6">
        <f t="shared" si="33"/>
        <v>5.3955800892766448E-3</v>
      </c>
      <c r="M82" s="6">
        <f t="shared" si="33"/>
        <v>2.8944945395391173E-5</v>
      </c>
      <c r="N82" s="6">
        <f t="shared" si="33"/>
        <v>1.598031737043521E-3</v>
      </c>
      <c r="O82" s="6">
        <f t="shared" si="33"/>
        <v>2.0626841063538504E-2</v>
      </c>
      <c r="P82" s="6">
        <f t="shared" si="33"/>
        <v>2.8982629581441365E-3</v>
      </c>
      <c r="Q82" s="6" t="str">
        <f t="shared" si="33"/>
        <v/>
      </c>
    </row>
    <row r="83" spans="1:17" ht="15.75" customHeight="1">
      <c r="A83" s="10"/>
      <c r="B83" s="40" t="str">
        <f>B15</f>
        <v>NCI’s Share of Profits</v>
      </c>
      <c r="C83" s="264">
        <f>MIN(BS!C62,MAX(G83:K83))</f>
        <v>0</v>
      </c>
      <c r="D83" s="27"/>
      <c r="E83" s="265"/>
      <c r="F83" s="27"/>
      <c r="G83" s="6">
        <f t="shared" ref="G83:Q83" si="34">IF(G$4="","",-G15/G$4)</f>
        <v>3.3857479903467734E-6</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8.2661170594493766E-2</v>
      </c>
      <c r="D84" s="27"/>
      <c r="E84" s="265"/>
      <c r="F84" s="27"/>
      <c r="G84" s="65">
        <f t="shared" ref="G84:Q84" si="35">IF(G$4="","",ABS(G16/G$4))</f>
        <v>9.0379230908297303E-2</v>
      </c>
      <c r="H84" s="65">
        <f t="shared" si="35"/>
        <v>2.3167172182658839E-2</v>
      </c>
      <c r="I84" s="65">
        <f t="shared" si="35"/>
        <v>4.5747727393702461E-2</v>
      </c>
      <c r="J84" s="65">
        <f t="shared" si="35"/>
        <v>0.13732032631392624</v>
      </c>
      <c r="K84" s="65">
        <f t="shared" si="35"/>
        <v>2.6562376545707631E-2</v>
      </c>
      <c r="L84" s="65">
        <f t="shared" si="35"/>
        <v>1.9530695074244479E-3</v>
      </c>
      <c r="M84" s="65">
        <f t="shared" si="35"/>
        <v>0.20961204298606481</v>
      </c>
      <c r="N84" s="65">
        <f t="shared" si="35"/>
        <v>0.13501119297174924</v>
      </c>
      <c r="O84" s="65">
        <f t="shared" si="35"/>
        <v>0.52425459134558561</v>
      </c>
      <c r="P84" s="65">
        <f t="shared" si="35"/>
        <v>2.1189250748763548</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8.2661170594493766E-2</v>
      </c>
      <c r="D87" s="75"/>
      <c r="E87" s="265"/>
      <c r="F87" s="75"/>
      <c r="G87" s="65">
        <f t="shared" ref="G87:Q87" si="36">IF(G$4="","",ABS(G19/G$4))</f>
        <v>9.0379230908297303E-2</v>
      </c>
      <c r="H87" s="65">
        <f t="shared" si="36"/>
        <v>2.3167172182658839E-2</v>
      </c>
      <c r="I87" s="65">
        <f t="shared" si="36"/>
        <v>4.5747727393702461E-2</v>
      </c>
      <c r="J87" s="65">
        <f t="shared" si="36"/>
        <v>0.13732032631392624</v>
      </c>
      <c r="K87" s="65">
        <f t="shared" si="36"/>
        <v>2.6562376545707631E-2</v>
      </c>
      <c r="L87" s="65">
        <f t="shared" si="36"/>
        <v>1.9530695074244479E-3</v>
      </c>
      <c r="M87" s="65">
        <f t="shared" si="36"/>
        <v>0.20961204298606481</v>
      </c>
      <c r="N87" s="65">
        <f t="shared" si="36"/>
        <v>0.13501119297174924</v>
      </c>
      <c r="O87" s="65">
        <f t="shared" si="36"/>
        <v>0.52425459134558561</v>
      </c>
      <c r="P87" s="65">
        <f t="shared" si="36"/>
        <v>2.1189250748763548</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9820297.0900200009</v>
      </c>
      <c r="E91" s="268"/>
      <c r="G91" s="74">
        <f t="shared" ref="G91:Q91" si="37">IF(G$4="","",G90*Common_Shares/scaling_factor)</f>
        <v>9820297.0900200009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0.29325824301124143</v>
      </c>
      <c r="E92" s="268"/>
      <c r="G92" s="170">
        <f t="shared" ref="G92:Q92" si="38">IF(G$4="","",G90/(G19*scaling_factor/Common_Shares))</f>
        <v>0.32185805623935576</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1.0939112487100102E-2</v>
      </c>
      <c r="E94" s="268"/>
      <c r="G94" s="23">
        <f t="shared" ref="G94:Q94" si="39">IF(G$4="","",(G90*(1-dividend_tax_rate))/Market_Price)</f>
        <v>1.0939112487100102E-2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0.19999999999999996</v>
      </c>
      <c r="D97" s="27"/>
      <c r="E97" s="265"/>
      <c r="F97" s="27"/>
      <c r="G97" s="6">
        <f t="shared" ref="G97:Q97" si="40">IF(H4="","",G4/H4-1)</f>
        <v>0.21986533492495042</v>
      </c>
      <c r="H97" s="6">
        <f t="shared" si="40"/>
        <v>0.25818926337588</v>
      </c>
      <c r="I97" s="6">
        <f t="shared" si="40"/>
        <v>0.22792054666920669</v>
      </c>
      <c r="J97" s="6">
        <f t="shared" si="40"/>
        <v>0.56042302894101814</v>
      </c>
      <c r="K97" s="6">
        <f t="shared" si="40"/>
        <v>0.17703515907565559</v>
      </c>
      <c r="L97" s="6">
        <f t="shared" si="40"/>
        <v>0.49521080735578149</v>
      </c>
      <c r="M97" s="6">
        <f t="shared" si="40"/>
        <v>0.92252130961969536</v>
      </c>
      <c r="N97" s="6">
        <f t="shared" si="40"/>
        <v>1.6122409807086915</v>
      </c>
      <c r="O97" s="6">
        <f t="shared" si="40"/>
        <v>2.2317017914340505</v>
      </c>
      <c r="P97" s="6" t="str">
        <f t="shared" si="40"/>
        <v/>
      </c>
      <c r="Q97" s="6" t="str">
        <f t="shared" si="40"/>
        <v/>
      </c>
    </row>
    <row r="98" spans="1:17" ht="15.75" customHeight="1">
      <c r="A98" s="10"/>
      <c r="B98" s="70" t="s">
        <v>160</v>
      </c>
      <c r="C98" s="77">
        <f>C13/G13-1</f>
        <v>0.36585510786225472</v>
      </c>
      <c r="D98" s="27"/>
      <c r="E98" s="265"/>
      <c r="F98" s="27"/>
      <c r="G98" s="6">
        <f t="shared" ref="G98:Q98" si="41">IF(H5="","",G13/H13-1)</f>
        <v>3.9710827433665328</v>
      </c>
      <c r="H98" s="6">
        <f t="shared" si="41"/>
        <v>-1.6489858065519594</v>
      </c>
      <c r="I98" s="6">
        <f t="shared" si="41"/>
        <v>-0.58857588177192366</v>
      </c>
      <c r="J98" s="6">
        <f t="shared" si="41"/>
        <v>6.4204730890955943</v>
      </c>
      <c r="K98" s="6">
        <f t="shared" si="41"/>
        <v>-5.6308610400682015</v>
      </c>
      <c r="L98" s="6">
        <f t="shared" si="41"/>
        <v>-1.0524268435726911</v>
      </c>
      <c r="M98" s="6">
        <f t="shared" si="41"/>
        <v>2.0201515981654459</v>
      </c>
      <c r="N98" s="6">
        <f t="shared" si="41"/>
        <v>-0.30800610778889848</v>
      </c>
      <c r="O98" s="6">
        <f t="shared" si="41"/>
        <v>-0.23293580865998453</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330198175</v>
      </c>
      <c r="D102" s="26"/>
      <c r="E102" s="269"/>
      <c r="F102" s="26"/>
      <c r="G102" s="333">
        <f t="shared" ref="G102:Q102" si="42">IF(G$4="","",G106+G105)</f>
        <v>330198175</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3141262</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2483059</v>
      </c>
      <c r="D104" s="89"/>
      <c r="E104" s="270"/>
      <c r="F104" s="89"/>
      <c r="G104" s="346">
        <f>IF(G$4="","",Data!D78)</f>
        <v>1734.124</v>
      </c>
      <c r="H104" s="346">
        <f>IF(H$4="","",Data!E78)</f>
        <v>1304.595</v>
      </c>
      <c r="I104" s="346">
        <f>IF(I$4="","",Data!F78)</f>
        <v>1162.7650000000001</v>
      </c>
      <c r="J104" s="346">
        <f>IF(J$4="","",Data!G78)</f>
        <v>681.69299999999998</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145900611</v>
      </c>
      <c r="D105" s="26"/>
      <c r="E105" s="269"/>
      <c r="F105" s="26"/>
      <c r="G105" s="333">
        <f>Data!C79</f>
        <v>145900611</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184297564</v>
      </c>
      <c r="D106" s="26"/>
      <c r="E106" s="269"/>
      <c r="F106" s="26"/>
      <c r="G106" s="333">
        <f>Data!C80</f>
        <v>184297564</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7.7540985007674874E-3</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6.1293467622940134E-3</v>
      </c>
      <c r="D110" s="26"/>
      <c r="E110" s="269"/>
      <c r="F110" s="26"/>
      <c r="G110" s="94">
        <f t="shared" ref="G110:Q110" si="44">IF(G$4="","",G104/G$4)</f>
        <v>5.1367513980858339E-6</v>
      </c>
      <c r="H110" s="94">
        <f t="shared" si="44"/>
        <v>4.7140696917639193E-6</v>
      </c>
      <c r="I110" s="94">
        <f t="shared" si="44"/>
        <v>5.2863780086456616E-6</v>
      </c>
      <c r="J110" s="94">
        <f t="shared" si="44"/>
        <v>3.8056195090486048E-6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-6.6259897212232214E-3</v>
      </c>
      <c r="H114" s="295" t="e">
        <f>IF(H$4="","",Data!D$22/Data!D15)</f>
        <v>#DIV/0!</v>
      </c>
      <c r="I114" s="295" t="e">
        <f>IF(I$4="","",Data!E$22/Data!E15)</f>
        <v>#DIV/0!</v>
      </c>
      <c r="J114" s="295" t="e">
        <f>IF(J$4="","",Data!F$22/Data!F15)</f>
        <v>#DIV/0!</v>
      </c>
      <c r="K114" s="295" t="e">
        <f>IF(K$4="","",Data!G$22/Data!G15)</f>
        <v>#DIV/0!</v>
      </c>
      <c r="L114" s="295" t="e">
        <f>IF(L$4="","",Data!H$22/Data!H15)</f>
        <v>#DIV/0!</v>
      </c>
      <c r="M114" s="295" t="e">
        <f>IF(M$4="","",Data!I$22/Data!I15)</f>
        <v>#DIV/0!</v>
      </c>
      <c r="N114" s="295" t="e">
        <f>IF(N$4="","",Data!J$22/Data!J15)</f>
        <v>#DIV/0!</v>
      </c>
      <c r="O114" s="295" t="e">
        <f>IF(O$4="","",Data!K$22/Data!K15)</f>
        <v>#DIV/0!</v>
      </c>
      <c r="P114" s="295" t="e">
        <f>IF(P$4="","",Data!L$22/Data!L15)</f>
        <v>#DIV/0!</v>
      </c>
      <c r="Q114" s="295" t="str">
        <f>IF(Q$4="","",Data!M$22/Data!M15)</f>
        <v/>
      </c>
    </row>
    <row r="115" spans="1:17" ht="15.75" customHeight="1">
      <c r="A115" s="10"/>
      <c r="B115" s="2" t="s">
        <v>373</v>
      </c>
      <c r="C115" s="169"/>
      <c r="E115" s="268"/>
      <c r="G115" s="295">
        <f>IF(G$4="","",Data!C$22/G19)</f>
        <v>-7.7760782598769174E-3</v>
      </c>
      <c r="H115" s="295">
        <f>IF(H$4="","",Data!D$22/H19)</f>
        <v>0</v>
      </c>
      <c r="I115" s="295">
        <f>IF(I$4="","",Data!E$22/I19)</f>
        <v>0</v>
      </c>
      <c r="J115" s="295">
        <f>IF(J$4="","",Data!F$22/J19)</f>
        <v>0</v>
      </c>
      <c r="K115" s="295">
        <f>IF(K$4="","",Data!G$22/K19)</f>
        <v>0</v>
      </c>
      <c r="L115" s="295">
        <f>IF(L$4="","",Data!H$22/L19)</f>
        <v>0</v>
      </c>
      <c r="M115" s="295">
        <f>IF(M$4="","",Data!I$22/M19)</f>
        <v>0</v>
      </c>
      <c r="N115" s="295">
        <f>IF(N$4="","",Data!J$22/N19)</f>
        <v>0</v>
      </c>
      <c r="O115" s="295">
        <f>IF(O$4="","",Data!K$22/O19)</f>
        <v>0</v>
      </c>
      <c r="P115" s="295">
        <f>IF(P$4="","",Data!L$22/P19)</f>
        <v>0</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0.11021489412599168</v>
      </c>
      <c r="E118" s="268"/>
      <c r="G118" s="23">
        <f t="shared" ref="G118:Q118" si="45">IF(G4="","",IF(valuation_method="DDM",G13/(G4+G12),G81))</f>
        <v>9.6831554232857997E-2</v>
      </c>
      <c r="H118" s="23">
        <f t="shared" si="45"/>
        <v>2.3761715995009616E-2</v>
      </c>
      <c r="I118" s="23">
        <f t="shared" si="45"/>
        <v>-4.606685638188053E-2</v>
      </c>
      <c r="J118" s="23">
        <f t="shared" si="45"/>
        <v>-0.13748936186675498</v>
      </c>
      <c r="K118" s="23">
        <f t="shared" si="45"/>
        <v>-2.8912114351113131E-2</v>
      </c>
      <c r="L118" s="23">
        <f t="shared" si="45"/>
        <v>7.3486495967010927E-3</v>
      </c>
      <c r="M118" s="23">
        <f t="shared" si="45"/>
        <v>-0.20958309804066944</v>
      </c>
      <c r="N118" s="23">
        <f t="shared" si="45"/>
        <v>-0.13341316123470573</v>
      </c>
      <c r="O118" s="23">
        <f t="shared" si="45"/>
        <v>-0.50362775028204709</v>
      </c>
      <c r="P118" s="23">
        <f t="shared" si="45"/>
        <v>-2.1218233378344991</v>
      </c>
      <c r="Q118" s="23" t="str">
        <f t="shared" si="45"/>
        <v/>
      </c>
    </row>
    <row r="119" spans="1:17" ht="15.75" customHeight="1">
      <c r="B119" s="7" t="s">
        <v>81</v>
      </c>
      <c r="C119" s="42">
        <f>IF(valuation_method="DDM",(C4+C12)/C102,C4/C102)</f>
        <v>1.2268689589214112</v>
      </c>
      <c r="E119" s="268"/>
      <c r="G119" s="42">
        <f t="shared" ref="G119:Q119" si="46">IF(G4="","",IF(valuation_method="DDM",(G4+G12)/G102,G4/G102))</f>
        <v>1.022390799101176</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1.7916578376478161</v>
      </c>
      <c r="D120" s="11"/>
      <c r="E120" s="272"/>
      <c r="F120" s="11"/>
      <c r="G120" s="15">
        <f t="shared" ref="G120:Q120" si="47">IF(G$4="","",G102/G106)</f>
        <v>1.7916578376478161</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0.24226659755524499</v>
      </c>
      <c r="D121" s="103"/>
      <c r="E121" s="271"/>
      <c r="F121" s="103"/>
      <c r="G121" s="102">
        <f t="shared" ref="G121:Q121" si="48">IF(G$4="","",G13/G106)</f>
        <v>0.17737357071089666</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3.9484003999697102</v>
      </c>
      <c r="D125" s="27"/>
      <c r="E125" s="265"/>
      <c r="F125" s="27"/>
      <c r="G125" s="177">
        <f t="shared" ref="G125:Q125" si="49">IF(G$4="","",G16*$C$3/Common_Shares*Exchange_Rate)</f>
        <v>3.5975515962816398</v>
      </c>
      <c r="H125" s="177">
        <f t="shared" si="49"/>
        <v>0.75596123587056918</v>
      </c>
      <c r="I125" s="177">
        <f t="shared" si="49"/>
        <v>-1.18645166347686</v>
      </c>
      <c r="J125" s="177">
        <f t="shared" si="49"/>
        <v>-2.9003144436266806</v>
      </c>
      <c r="K125" s="177">
        <f t="shared" si="49"/>
        <v>-0.35952975307960566</v>
      </c>
      <c r="L125" s="177">
        <f t="shared" si="49"/>
        <v>2.245929767714093E-2</v>
      </c>
      <c r="M125" s="177">
        <f t="shared" si="49"/>
        <v>-1.6121011031330754</v>
      </c>
      <c r="N125" s="177">
        <f t="shared" si="49"/>
        <v>-0.54010059627875373</v>
      </c>
      <c r="O125" s="177">
        <f t="shared" si="49"/>
        <v>-0.80284902867605801</v>
      </c>
      <c r="P125" s="177">
        <f t="shared" si="49"/>
        <v>-1.0040976831569044</v>
      </c>
      <c r="Q125" s="177" t="str">
        <f t="shared" si="49"/>
        <v/>
      </c>
    </row>
    <row r="126" spans="1:17" ht="15.75" customHeight="1">
      <c r="A126" s="10"/>
      <c r="B126" s="27" t="s">
        <v>263</v>
      </c>
      <c r="C126" s="77">
        <f>C19*Exchange_Rate*$C$3/(Market_Price*Common_Shares)</f>
        <v>4.0747166150358213E-2</v>
      </c>
      <c r="D126" s="27"/>
      <c r="E126" s="265"/>
      <c r="F126" s="27"/>
      <c r="G126" s="77">
        <f t="shared" ref="G126" si="50">IF(G$4="","",G125/Market_Price)</f>
        <v>3.7126435462142823E-2</v>
      </c>
      <c r="H126" s="77">
        <f t="shared" ref="H126" si="51">IF(H$4="","",H125/Market_Price)</f>
        <v>7.8014575425239333E-3</v>
      </c>
      <c r="I126" s="77">
        <f t="shared" ref="I126" si="52">IF(I$4="","",I125/Market_Price)</f>
        <v>-1.224408321441548E-2</v>
      </c>
      <c r="J126" s="77">
        <f t="shared" ref="J126" si="53">IF(J$4="","",J125/Market_Price)</f>
        <v>-2.993100561018246E-2</v>
      </c>
      <c r="K126" s="77">
        <f t="shared" ref="K126" si="54">IF(K$4="","",K125/Market_Price)</f>
        <v>-3.7103173692425765E-3</v>
      </c>
      <c r="L126" s="77">
        <f t="shared" ref="L126" si="55">IF(L$4="","",L125/Market_Price)</f>
        <v>2.3177809780331195E-4</v>
      </c>
      <c r="M126" s="77">
        <f t="shared" ref="M126" si="56">IF(M$4="","",M125/Market_Price)</f>
        <v>-1.6636750290331015E-2</v>
      </c>
      <c r="N126" s="77">
        <f t="shared" ref="N126" si="57">IF(N$4="","",N125/Market_Price)</f>
        <v>-5.5737935632482324E-3</v>
      </c>
      <c r="O126" s="77">
        <f t="shared" ref="O126" si="58">IF(O$4="","",O125/Market_Price)</f>
        <v>-8.2853356932513725E-3</v>
      </c>
      <c r="P126" s="77">
        <f t="shared" ref="P126" si="59">IF(P$4="","",P125/Market_Price)</f>
        <v>-1.0362205192537713E-2</v>
      </c>
      <c r="Q126" s="77" t="str">
        <f t="shared" ref="Q126" si="60">IF(Q$4="","",Q125/Market_Price)</f>
        <v/>
      </c>
    </row>
    <row r="127" spans="1:17" ht="15.75" customHeight="1">
      <c r="B127" s="2" t="s">
        <v>375</v>
      </c>
      <c r="C127" s="169"/>
      <c r="G127" s="23">
        <f>IF(G$4="","",(Data!C47*$C$3)/(Market_Price*Common_Shares))</f>
        <v>3.9886650611089695E-2</v>
      </c>
      <c r="H127" s="23">
        <f>IF(H$4="","",(Data!D47*$C$3)/(Market_Price*Common_Shares))</f>
        <v>0</v>
      </c>
      <c r="I127" s="23">
        <f>IF(I$4="","",(Data!E47*$C$3)/(Market_Price*Common_Shares))</f>
        <v>0</v>
      </c>
      <c r="J127" s="23">
        <f>IF(J$4="","",(Data!F47*$C$3)/(Market_Price*Common_Shares))</f>
        <v>0</v>
      </c>
      <c r="K127" s="23">
        <f>IF(K$4="","",(Data!G47*$C$3)/(Market_Price*Common_Shares))</f>
        <v>0</v>
      </c>
      <c r="L127" s="23">
        <f>IF(L$4="","",(Data!H47*$C$3)/(Market_Price*Common_Shares))</f>
        <v>0</v>
      </c>
      <c r="M127" s="23">
        <f>IF(M$4="","",(Data!I47*$C$3)/(Market_Price*Common_Shares))</f>
        <v>0</v>
      </c>
      <c r="N127" s="23">
        <f>IF(N$4="","",(Data!J47*$C$3)/(Market_Price*Common_Shares))</f>
        <v>0</v>
      </c>
      <c r="O127" s="23">
        <f>IF(O$4="","",(Data!K47*$C$3)/(Market_Price*Common_Shares))</f>
        <v>0</v>
      </c>
      <c r="P127" s="23">
        <f>IF(P$4="","",(Data!L47*$C$3)/(Market_Price*Common_Shares))</f>
        <v>0</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topLeftCell="A10" zoomScale="75" zoomScaleNormal="85" workbookViewId="0">
      <selection activeCell="C29" sqref="C29"/>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33486857.826000005</v>
      </c>
      <c r="D4" t="str">
        <f>Reporting_currency</f>
        <v>CNY</v>
      </c>
      <c r="E4" s="100" t="s">
        <v>245</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446491437.68000007</v>
      </c>
      <c r="D6" t="str">
        <f>Reporting_currency</f>
        <v>CNY</v>
      </c>
      <c r="E6" s="375" t="s">
        <v>556</v>
      </c>
      <c r="F6" s="375"/>
      <c r="H6" s="120"/>
    </row>
    <row r="7" spans="2:8">
      <c r="B7" s="148" t="s">
        <v>220</v>
      </c>
      <c r="C7" s="338">
        <f>BS!G31</f>
        <v>50977402</v>
      </c>
      <c r="D7" t="str">
        <f>Reporting_currency</f>
        <v>CNY</v>
      </c>
      <c r="E7" s="375"/>
      <c r="F7" s="375"/>
      <c r="H7" s="120"/>
    </row>
    <row r="8" spans="2:8">
      <c r="B8" s="148" t="s">
        <v>221</v>
      </c>
      <c r="C8" s="338">
        <f>BS!D66</f>
        <v>58086337.24633</v>
      </c>
      <c r="D8" t="str">
        <f>Reporting_currency</f>
        <v>CNY</v>
      </c>
      <c r="E8" s="375"/>
      <c r="F8" s="375"/>
      <c r="H8" s="120"/>
    </row>
    <row r="9" spans="2:8">
      <c r="B9" s="205" t="s">
        <v>186</v>
      </c>
      <c r="C9" s="348">
        <f>BS!H42</f>
        <v>57918846.499999993</v>
      </c>
      <c r="D9" t="str">
        <f>Reporting_currency</f>
        <v>CNY</v>
      </c>
      <c r="E9" s="375"/>
      <c r="F9" s="375"/>
      <c r="H9" s="120"/>
    </row>
    <row r="10" spans="2:8" ht="13.15">
      <c r="B10" s="149" t="s">
        <v>223</v>
      </c>
      <c r="C10" s="347">
        <f>C6-C7+C8+C9</f>
        <v>511519219.42633009</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60.312696433613588</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2.3752619295331442E-2</v>
      </c>
      <c r="H16" s="120"/>
    </row>
    <row r="17" spans="2:17" ht="13.35" customHeight="1">
      <c r="B17" s="118" t="s">
        <v>130</v>
      </c>
      <c r="C17" s="162">
        <f>Scenarios!C64</f>
        <v>20</v>
      </c>
      <c r="H17" s="120"/>
    </row>
    <row r="18" spans="2:17" ht="13.35" customHeight="1">
      <c r="B18" s="153" t="s">
        <v>103</v>
      </c>
      <c r="C18" s="140">
        <f>(F52-C7+C8+C9)*Exchange_Rate/Common_Shares*scaling_factor</f>
        <v>69.536593707727604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34282258.411337875</v>
      </c>
      <c r="D21" s="138">
        <f>IF($C$17&lt;B21,0,DCF!$C$16)</f>
        <v>2.3752619295331442E-2</v>
      </c>
      <c r="E21" s="124">
        <f t="shared" ref="E21:E50" si="0">IF($C$17&lt;B21,0,1/(1+Equity_Cost)^B21)</f>
        <v>0.93023255813953487</v>
      </c>
      <c r="F21" s="125">
        <f t="shared" ref="F21:F51" si="1">C21*E21</f>
        <v>31890472.940779418</v>
      </c>
      <c r="H21" s="120"/>
    </row>
    <row r="22" spans="2:17">
      <c r="B22" s="122">
        <v>2</v>
      </c>
      <c r="C22" s="123">
        <f t="shared" ref="C22:C50" si="2">IF(ROW()-ROW($C$21)&lt;$C$17, $C$21*(1+D22)^(ROW()-ROW($C$21)), 0)</f>
        <v>35096551.843966559</v>
      </c>
      <c r="D22" s="138">
        <f>IF($C$17&lt;B22,0,DCF!$C$16)</f>
        <v>2.3752619295331442E-2</v>
      </c>
      <c r="E22" s="124">
        <f t="shared" si="0"/>
        <v>0.86533261222282321</v>
      </c>
      <c r="F22" s="125">
        <f t="shared" si="1"/>
        <v>30370190.887153324</v>
      </c>
      <c r="H22" s="120"/>
    </row>
    <row r="23" spans="2:17">
      <c r="B23" s="122">
        <v>3</v>
      </c>
      <c r="C23" s="123">
        <f t="shared" si="2"/>
        <v>35930186.878495157</v>
      </c>
      <c r="D23" s="138">
        <f>IF($C$17&lt;B23,0,DCF!$C$16)</f>
        <v>2.3752619295331442E-2</v>
      </c>
      <c r="E23" s="124">
        <f t="shared" si="0"/>
        <v>0.80496056950960304</v>
      </c>
      <c r="F23" s="125">
        <f t="shared" si="1"/>
        <v>28922383.692299929</v>
      </c>
      <c r="G23" s="338"/>
      <c r="H23" s="339"/>
      <c r="I23" s="338"/>
      <c r="J23" s="338"/>
      <c r="K23" s="338"/>
      <c r="L23" s="338"/>
      <c r="M23" s="338"/>
      <c r="N23" s="338"/>
      <c r="O23" s="338"/>
      <c r="P23" s="338"/>
      <c r="Q23" s="338"/>
    </row>
    <row r="24" spans="2:17">
      <c r="B24" s="122">
        <v>4</v>
      </c>
      <c r="C24" s="123">
        <f t="shared" si="2"/>
        <v>36783622.928630173</v>
      </c>
      <c r="D24" s="138">
        <f>IF($C$17&lt;B24,0,DCF!$C$16)</f>
        <v>2.3752619295331442E-2</v>
      </c>
      <c r="E24" s="124">
        <f t="shared" si="0"/>
        <v>0.7488005297763749</v>
      </c>
      <c r="F24" s="125">
        <f t="shared" si="1"/>
        <v>27543596.336052686</v>
      </c>
      <c r="G24" s="338"/>
      <c r="H24" s="339"/>
      <c r="I24" s="338"/>
      <c r="J24" s="338"/>
      <c r="K24" s="338"/>
      <c r="L24" s="338"/>
      <c r="M24" s="338"/>
      <c r="N24" s="338"/>
      <c r="O24" s="338"/>
      <c r="P24" s="338"/>
      <c r="Q24" s="338"/>
    </row>
    <row r="25" spans="2:17">
      <c r="B25" s="122">
        <v>5</v>
      </c>
      <c r="C25" s="123">
        <f t="shared" si="2"/>
        <v>37657330.32035695</v>
      </c>
      <c r="D25" s="138">
        <f>IF($C$17&lt;B25,0,DCF!$C$16)</f>
        <v>2.3752619295331442E-2</v>
      </c>
      <c r="E25" s="124">
        <f t="shared" si="0"/>
        <v>0.69655863235011617</v>
      </c>
      <c r="F25" s="125">
        <f t="shared" si="1"/>
        <v>26230538.505904399</v>
      </c>
      <c r="G25" s="338"/>
      <c r="H25" s="339"/>
      <c r="I25" s="338"/>
      <c r="J25" s="338"/>
      <c r="K25" s="338"/>
      <c r="L25" s="338"/>
      <c r="M25" s="338"/>
      <c r="N25" s="338"/>
      <c r="O25" s="338"/>
      <c r="P25" s="338"/>
      <c r="Q25" s="338"/>
    </row>
    <row r="26" spans="2:17">
      <c r="B26" s="122">
        <v>6</v>
      </c>
      <c r="C26" s="123">
        <f t="shared" si="2"/>
        <v>38551790.551134929</v>
      </c>
      <c r="D26" s="138">
        <f>IF($C$17&lt;B26,0,DCF!$C$16)</f>
        <v>2.3752619295331442E-2</v>
      </c>
      <c r="E26" s="124">
        <f t="shared" si="0"/>
        <v>0.64796151846522443</v>
      </c>
      <c r="F26" s="125">
        <f t="shared" si="1"/>
        <v>24980076.74506668</v>
      </c>
      <c r="H26" s="120"/>
    </row>
    <row r="27" spans="2:17">
      <c r="B27" s="122">
        <v>7</v>
      </c>
      <c r="C27" s="123">
        <f t="shared" si="2"/>
        <v>39467496.555249393</v>
      </c>
      <c r="D27" s="138">
        <f>IF($C$17&lt;B27,0,DCF!$C$16)</f>
        <v>2.3752619295331442E-2</v>
      </c>
      <c r="E27" s="124">
        <f t="shared" si="0"/>
        <v>0.60275490089788319</v>
      </c>
      <c r="F27" s="125">
        <f t="shared" si="1"/>
        <v>23789226.974846896</v>
      </c>
      <c r="H27" s="120"/>
    </row>
    <row r="28" spans="2:17">
      <c r="B28" s="122">
        <v>8</v>
      </c>
      <c r="C28" s="123">
        <f t="shared" si="2"/>
        <v>40404952.975466043</v>
      </c>
      <c r="D28" s="138">
        <f>IF($C$17&lt;B28,0,DCF!$C$16)</f>
        <v>2.3752619295331442E-2</v>
      </c>
      <c r="E28" s="124">
        <f t="shared" si="0"/>
        <v>0.56070223339337966</v>
      </c>
      <c r="F28" s="125">
        <f t="shared" si="1"/>
        <v>22655147.373498291</v>
      </c>
      <c r="H28" s="120"/>
    </row>
    <row r="29" spans="2:17">
      <c r="B29" s="122">
        <v>9</v>
      </c>
      <c r="C29" s="123">
        <f t="shared" si="2"/>
        <v>41364676.441138059</v>
      </c>
      <c r="D29" s="138">
        <f>IF($C$17&lt;B29,0,DCF!$C$16)</f>
        <v>2.3752619295331442E-2</v>
      </c>
      <c r="E29" s="124">
        <f t="shared" si="0"/>
        <v>0.52158347292407414</v>
      </c>
      <c r="F29" s="125">
        <f t="shared" si="1"/>
        <v>21575131.594549421</v>
      </c>
      <c r="H29" s="120"/>
    </row>
    <row r="30" spans="2:17">
      <c r="B30" s="122">
        <v>10</v>
      </c>
      <c r="C30" s="123">
        <f t="shared" si="2"/>
        <v>42347195.852918975</v>
      </c>
      <c r="D30" s="138">
        <f>IF($C$17&lt;B30,0,DCF!$C$16)</f>
        <v>2.3752619295331442E-2</v>
      </c>
      <c r="E30" s="124">
        <f t="shared" si="0"/>
        <v>0.48519392830146441</v>
      </c>
      <c r="F30" s="125">
        <f t="shared" si="1"/>
        <v>20546602.308429241</v>
      </c>
      <c r="H30" s="120"/>
    </row>
    <row r="31" spans="2:17">
      <c r="B31" s="122">
        <v>11</v>
      </c>
      <c r="C31" s="123">
        <f t="shared" si="2"/>
        <v>43353052.674238198</v>
      </c>
      <c r="D31" s="138">
        <f>IF($C$17&lt;B31,0,DCF!$C$16)</f>
        <v>2.3752619295331442E-2</v>
      </c>
      <c r="E31" s="124">
        <f t="shared" si="0"/>
        <v>0.45134318911764126</v>
      </c>
      <c r="F31" s="125">
        <f t="shared" si="1"/>
        <v>19567105.051975753</v>
      </c>
      <c r="H31" s="120"/>
    </row>
    <row r="32" spans="2:17">
      <c r="B32" s="122">
        <v>12</v>
      </c>
      <c r="C32" s="123">
        <f t="shared" si="2"/>
        <v>44382801.229699835</v>
      </c>
      <c r="D32" s="138">
        <f>IF($C$17&lt;B32,0,DCF!$C$16)</f>
        <v>2.3752619295331442E-2</v>
      </c>
      <c r="E32" s="124">
        <f t="shared" si="0"/>
        <v>0.41985412941175931</v>
      </c>
      <c r="F32" s="125">
        <f t="shared" si="1"/>
        <v>18634302.371150784</v>
      </c>
      <c r="H32" s="120"/>
    </row>
    <row r="33" spans="2:17">
      <c r="B33" s="122">
        <v>13</v>
      </c>
      <c r="C33" s="341">
        <f t="shared" si="2"/>
        <v>45437009.01056926</v>
      </c>
      <c r="D33" s="138">
        <f>IF($C$17&lt;B33,0,DCF!$C$16)</f>
        <v>2.3752619295331442E-2</v>
      </c>
      <c r="E33" s="124">
        <f t="shared" si="0"/>
        <v>0.39056198084814819</v>
      </c>
      <c r="F33" s="125">
        <f t="shared" si="1"/>
        <v>17745968.242983088</v>
      </c>
      <c r="G33" s="338"/>
      <c r="H33" s="339"/>
      <c r="I33" s="338"/>
      <c r="J33" s="338"/>
      <c r="K33" s="338"/>
      <c r="L33" s="338"/>
      <c r="M33" s="338"/>
      <c r="N33" s="338"/>
      <c r="O33" s="338"/>
      <c r="P33" s="338"/>
      <c r="Q33" s="338"/>
    </row>
    <row r="34" spans="2:17">
      <c r="B34" s="122">
        <v>14</v>
      </c>
      <c r="C34" s="341">
        <f t="shared" si="2"/>
        <v>46516256.987515859</v>
      </c>
      <c r="D34" s="138">
        <f>IF($C$17&lt;B34,0,DCF!$C$16)</f>
        <v>2.3752619295331442E-2</v>
      </c>
      <c r="E34" s="124">
        <f t="shared" si="0"/>
        <v>0.36331347055641694</v>
      </c>
      <c r="F34" s="125">
        <f t="shared" si="1"/>
        <v>16899982.763428565</v>
      </c>
      <c r="G34" s="338"/>
      <c r="H34" s="339"/>
      <c r="I34" s="338"/>
      <c r="J34" s="338"/>
      <c r="K34" s="338"/>
      <c r="L34" s="338"/>
      <c r="M34" s="338"/>
      <c r="N34" s="338"/>
      <c r="O34" s="338"/>
      <c r="P34" s="338"/>
      <c r="Q34" s="338"/>
    </row>
    <row r="35" spans="2:17">
      <c r="B35" s="122">
        <v>15</v>
      </c>
      <c r="C35" s="341">
        <f t="shared" si="2"/>
        <v>47621139.930784129</v>
      </c>
      <c r="D35" s="138">
        <f>IF($C$17&lt;B35,0,DCF!$C$16)</f>
        <v>2.3752619295331442E-2</v>
      </c>
      <c r="E35" s="124">
        <f t="shared" si="0"/>
        <v>0.33796601912224833</v>
      </c>
      <c r="F35" s="125">
        <f t="shared" si="1"/>
        <v>16094327.088470653</v>
      </c>
      <c r="G35" s="338"/>
      <c r="H35" s="339"/>
      <c r="I35" s="338"/>
      <c r="J35" s="338"/>
      <c r="K35" s="338"/>
      <c r="L35" s="338"/>
      <c r="M35" s="338"/>
      <c r="N35" s="338"/>
      <c r="O35" s="338"/>
      <c r="P35" s="338"/>
      <c r="Q35" s="338"/>
    </row>
    <row r="36" spans="2:17">
      <c r="B36" s="122">
        <v>16</v>
      </c>
      <c r="C36" s="123">
        <f t="shared" si="2"/>
        <v>48752266.737969749</v>
      </c>
      <c r="D36" s="138">
        <f>IF($C$17&lt;B36,0,DCF!$C$16)</f>
        <v>2.3752619295331442E-2</v>
      </c>
      <c r="E36" s="124">
        <f t="shared" si="0"/>
        <v>0.31438699453232405</v>
      </c>
      <c r="F36" s="125">
        <f t="shared" si="1"/>
        <v>15327078.6163885</v>
      </c>
      <c r="H36" s="120"/>
    </row>
    <row r="37" spans="2:17">
      <c r="B37" s="122">
        <v>17</v>
      </c>
      <c r="C37" s="123">
        <f t="shared" si="2"/>
        <v>49910260.769581191</v>
      </c>
      <c r="D37" s="138">
        <f>IF($C$17&lt;B37,0,DCF!$C$16)</f>
        <v>2.3752619295331442E-2</v>
      </c>
      <c r="E37" s="124">
        <f t="shared" si="0"/>
        <v>0.29245301816960378</v>
      </c>
      <c r="F37" s="125">
        <f t="shared" si="1"/>
        <v>14596406.399695991</v>
      </c>
      <c r="H37" s="120"/>
    </row>
    <row r="38" spans="2:17">
      <c r="B38" s="122">
        <v>18</v>
      </c>
      <c r="C38" s="123">
        <f t="shared" si="2"/>
        <v>51095760.192571774</v>
      </c>
      <c r="D38" s="138">
        <f>IF($C$17&lt;B38,0,DCF!$C$16)</f>
        <v>2.3752619295331442E-2</v>
      </c>
      <c r="E38" s="124">
        <f t="shared" si="0"/>
        <v>0.27204931922753844</v>
      </c>
      <c r="F38" s="125">
        <f t="shared" si="1"/>
        <v>13900566.775802709</v>
      </c>
      <c r="H38" s="120"/>
    </row>
    <row r="39" spans="2:17">
      <c r="B39" s="122">
        <v>19</v>
      </c>
      <c r="C39" s="123">
        <f t="shared" si="2"/>
        <v>52309418.332031481</v>
      </c>
      <c r="D39" s="138">
        <f>IF($C$17&lt;B39,0,DCF!$C$16)</f>
        <v>2.3752619295331442E-2</v>
      </c>
      <c r="E39" s="124">
        <f t="shared" si="0"/>
        <v>0.25306913416515198</v>
      </c>
      <c r="F39" s="125">
        <f t="shared" si="1"/>
        <v>13237899.205969935</v>
      </c>
      <c r="H39" s="120"/>
    </row>
    <row r="40" spans="2:17">
      <c r="B40" s="122">
        <v>20</v>
      </c>
      <c r="C40" s="123">
        <f t="shared" si="2"/>
        <v>53551904.031232461</v>
      </c>
      <c r="D40" s="138">
        <f>IF($C$17&lt;B40,0,DCF!$C$16)</f>
        <v>2.3752619295331442E-2</v>
      </c>
      <c r="E40" s="124">
        <f t="shared" si="0"/>
        <v>0.23541314806060654</v>
      </c>
      <c r="F40" s="125">
        <f t="shared" si="1"/>
        <v>12606822.31263192</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457096778.81783837</v>
      </c>
      <c r="D51" s="139">
        <f>Terminal_Growth</f>
        <v>0</v>
      </c>
      <c r="E51" s="124">
        <f>1/(1+Equity_Cost)^C17</f>
        <v>0.23541314806060654</v>
      </c>
      <c r="F51" s="125">
        <f t="shared" si="1"/>
        <v>107606591.66987011</v>
      </c>
      <c r="H51" s="120"/>
    </row>
    <row r="52" spans="1:17">
      <c r="C52" s="114"/>
      <c r="E52" s="127" t="s">
        <v>97</v>
      </c>
      <c r="F52" s="137">
        <f>SUM(F21:F51)</f>
        <v>524720417.85694826</v>
      </c>
      <c r="H52" s="120"/>
    </row>
    <row r="53" spans="1:17">
      <c r="C53" s="114"/>
      <c r="H53" s="120"/>
    </row>
    <row r="54" spans="1:17" ht="13.15">
      <c r="B54" s="119" t="s">
        <v>125</v>
      </c>
      <c r="C54" s="136"/>
      <c r="D54" s="136"/>
      <c r="E54" s="117"/>
      <c r="F54" s="117"/>
      <c r="H54" s="120"/>
    </row>
    <row r="55" spans="1:17" ht="13.15">
      <c r="A55" s="133">
        <f>F52</f>
        <v>524720417.85694826</v>
      </c>
      <c r="B55" s="131">
        <f>C78</f>
        <v>0.08</v>
      </c>
      <c r="C55" s="131">
        <f>C77</f>
        <v>0.14000000000000001</v>
      </c>
      <c r="D55" s="131">
        <f>C76</f>
        <v>0.17</v>
      </c>
      <c r="E55" s="131">
        <f>C75</f>
        <v>0.2</v>
      </c>
      <c r="F55" s="131">
        <f>C74</f>
        <v>0.25</v>
      </c>
      <c r="H55" s="120"/>
    </row>
    <row r="56" spans="1:17" ht="13.15">
      <c r="A56" s="143">
        <v>5</v>
      </c>
      <c r="B56" s="123">
        <f t="dataTable" ref="B56:F61" dt2D="1" dtr="1" r1="C16" r2="C17"/>
        <v>505673183.20872986</v>
      </c>
      <c r="C56" s="123">
        <v>554916932.96872723</v>
      </c>
      <c r="D56" s="123">
        <v>581292076.97351766</v>
      </c>
      <c r="E56" s="123">
        <v>608933112.05042207</v>
      </c>
      <c r="F56" s="123">
        <v>658024344.31256151</v>
      </c>
      <c r="H56" s="120"/>
    </row>
    <row r="57" spans="1:17" ht="13.15">
      <c r="A57" s="143">
        <v>10</v>
      </c>
      <c r="B57" s="123">
        <v>577521363.55146885</v>
      </c>
      <c r="C57" s="123">
        <v>716059193.00387442</v>
      </c>
      <c r="D57" s="123">
        <v>802903047.52975988</v>
      </c>
      <c r="E57" s="123">
        <v>904257505.1431334</v>
      </c>
      <c r="F57" s="123">
        <v>1112442925.0879011</v>
      </c>
      <c r="H57" s="120"/>
    </row>
    <row r="58" spans="1:17" ht="13.15">
      <c r="A58" s="143">
        <v>15</v>
      </c>
      <c r="B58" s="123">
        <v>684375938.33134007</v>
      </c>
      <c r="C58" s="341">
        <v>1001527096.21579</v>
      </c>
      <c r="D58" s="123">
        <v>1233052879.4752362</v>
      </c>
      <c r="E58" s="123">
        <v>1533535137.6185055</v>
      </c>
      <c r="F58" s="123">
        <v>2247006280.3185124</v>
      </c>
      <c r="G58" s="338"/>
      <c r="H58" s="339"/>
      <c r="I58" s="338"/>
      <c r="J58" s="338"/>
      <c r="K58" s="338"/>
      <c r="L58" s="338"/>
      <c r="M58" s="338"/>
      <c r="N58" s="338"/>
      <c r="O58" s="338"/>
      <c r="P58" s="338"/>
      <c r="Q58" s="338"/>
    </row>
    <row r="59" spans="1:17" ht="13.15">
      <c r="A59" s="144">
        <v>20</v>
      </c>
      <c r="B59" s="123">
        <v>816947984.82394743</v>
      </c>
      <c r="C59" s="341">
        <v>1432692532.6247797</v>
      </c>
      <c r="D59" s="123">
        <v>1953847342.4852302</v>
      </c>
      <c r="E59" s="123">
        <v>2706015758.8152666</v>
      </c>
      <c r="F59" s="123">
        <v>4776214522.6582623</v>
      </c>
      <c r="G59" s="338"/>
      <c r="H59" s="339"/>
      <c r="I59" s="338"/>
      <c r="J59" s="338"/>
      <c r="K59" s="338"/>
      <c r="L59" s="338"/>
      <c r="M59" s="338"/>
      <c r="N59" s="338"/>
      <c r="O59" s="338"/>
      <c r="P59" s="338"/>
      <c r="Q59" s="338"/>
    </row>
    <row r="60" spans="1:17" ht="13.15">
      <c r="A60" s="144">
        <v>25</v>
      </c>
      <c r="B60" s="123">
        <v>968798524.36314714</v>
      </c>
      <c r="C60" s="341">
        <v>2044604202.1807582</v>
      </c>
      <c r="D60" s="123">
        <v>3099120372.7213941</v>
      </c>
      <c r="E60" s="123">
        <v>4795193869.2373362</v>
      </c>
      <c r="F60" s="123">
        <v>10234424200.44282</v>
      </c>
      <c r="G60" s="338"/>
      <c r="H60" s="339"/>
      <c r="I60" s="338"/>
      <c r="J60" s="338"/>
      <c r="K60" s="338"/>
      <c r="L60" s="338"/>
      <c r="M60" s="338"/>
      <c r="N60" s="338"/>
      <c r="O60" s="338"/>
      <c r="P60" s="338"/>
      <c r="Q60" s="338"/>
    </row>
    <row r="61" spans="1:17" ht="13.15">
      <c r="A61" s="144">
        <v>30</v>
      </c>
      <c r="B61" s="123">
        <v>1135474466.143146</v>
      </c>
      <c r="C61" s="341">
        <v>2888716030.9814939</v>
      </c>
      <c r="D61" s="123">
        <v>4879141102.5763874</v>
      </c>
      <c r="E61" s="123">
        <v>8455962717.3932657</v>
      </c>
      <c r="F61" s="123">
        <v>21894073382.097694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0.14000000000000001</v>
      </c>
      <c r="D64" s="132">
        <f>D55</f>
        <v>0.17</v>
      </c>
      <c r="E64" s="132">
        <f>E55</f>
        <v>0.2</v>
      </c>
      <c r="F64" s="132">
        <f>F55</f>
        <v>0.25</v>
      </c>
      <c r="H64" s="120"/>
    </row>
    <row r="65" spans="1:8" ht="13.15">
      <c r="A65" s="143">
        <v>0</v>
      </c>
      <c r="B65" s="124">
        <f>C12</f>
        <v>60.312696433613588</v>
      </c>
      <c r="C65" s="124">
        <f>C12</f>
        <v>60.312696433613588</v>
      </c>
      <c r="D65" s="124">
        <f>C12</f>
        <v>60.312696433613588</v>
      </c>
      <c r="E65" s="141">
        <f>C12</f>
        <v>60.312696433613588</v>
      </c>
      <c r="F65" s="124">
        <f>C12</f>
        <v>60.312696433613588</v>
      </c>
      <c r="H65" s="120"/>
    </row>
    <row r="66" spans="1:8" ht="13.15">
      <c r="A66" s="143">
        <f t="shared" ref="A66:A71" si="3">A56</f>
        <v>5</v>
      </c>
      <c r="B66" s="124">
        <f t="shared" ref="B66:F71" si="4">(B56-$C$7+$C$8+$C$9)/Common_Shares*$C$3*Exchange_Rate</f>
        <v>67.29075418184199</v>
      </c>
      <c r="C66" s="124">
        <f t="shared" si="4"/>
        <v>73.097033237902565</v>
      </c>
      <c r="D66" s="124">
        <f t="shared" si="4"/>
        <v>76.206898895614927</v>
      </c>
      <c r="E66" s="124">
        <f t="shared" si="4"/>
        <v>79.466024446310485</v>
      </c>
      <c r="F66" s="124">
        <f t="shared" si="4"/>
        <v>85.254320323636463</v>
      </c>
      <c r="H66" s="120"/>
    </row>
    <row r="67" spans="1:8" ht="13.15">
      <c r="A67" s="143">
        <f t="shared" si="3"/>
        <v>10</v>
      </c>
      <c r="B67" s="124">
        <f t="shared" si="4"/>
        <v>75.762298017827291</v>
      </c>
      <c r="C67" s="124">
        <f t="shared" si="4"/>
        <v>92.097148664701294</v>
      </c>
      <c r="D67" s="124">
        <f t="shared" si="4"/>
        <v>102.33681676753196</v>
      </c>
      <c r="E67" s="124">
        <f t="shared" si="4"/>
        <v>114.28741491139967</v>
      </c>
      <c r="F67" s="124">
        <f t="shared" si="4"/>
        <v>138.83434014544065</v>
      </c>
      <c r="H67" s="120"/>
    </row>
    <row r="68" spans="1:8" ht="13.15">
      <c r="A68" s="143">
        <f t="shared" si="3"/>
        <v>15</v>
      </c>
      <c r="B68" s="124">
        <f t="shared" si="4"/>
        <v>88.361409227116695</v>
      </c>
      <c r="C68" s="124">
        <f t="shared" si="4"/>
        <v>125.75637071166511</v>
      </c>
      <c r="D68" s="124">
        <f t="shared" si="4"/>
        <v>153.0553337847285</v>
      </c>
      <c r="E68" s="124">
        <f t="shared" si="4"/>
        <v>188.48488272603041</v>
      </c>
      <c r="F68" s="124">
        <f t="shared" si="4"/>
        <v>272.60951931753266</v>
      </c>
      <c r="H68" s="120"/>
    </row>
    <row r="69" spans="1:8" ht="13.15">
      <c r="A69" s="144">
        <f t="shared" si="3"/>
        <v>20</v>
      </c>
      <c r="B69" s="124">
        <f t="shared" si="4"/>
        <v>103.9928406416759</v>
      </c>
      <c r="C69" s="124">
        <f t="shared" si="4"/>
        <v>176.59463658946791</v>
      </c>
      <c r="D69" s="124">
        <f t="shared" si="4"/>
        <v>238.04345541837196</v>
      </c>
      <c r="E69" s="124">
        <f t="shared" si="4"/>
        <v>326.73084709046321</v>
      </c>
      <c r="F69" s="124">
        <f t="shared" si="4"/>
        <v>570.82581920301595</v>
      </c>
      <c r="H69" s="120"/>
    </row>
    <row r="70" spans="1:8" ht="13.15">
      <c r="A70" s="144">
        <f t="shared" si="3"/>
        <v>25</v>
      </c>
      <c r="B70" s="124">
        <f t="shared" si="4"/>
        <v>121.89737901812141</v>
      </c>
      <c r="C70" s="124">
        <f t="shared" si="4"/>
        <v>248.74450187020091</v>
      </c>
      <c r="D70" s="124">
        <f t="shared" si="4"/>
        <v>373.08140117475176</v>
      </c>
      <c r="E70" s="124">
        <f t="shared" si="4"/>
        <v>573.06365411763716</v>
      </c>
      <c r="F70" s="124">
        <f t="shared" si="4"/>
        <v>1214.3976164395492</v>
      </c>
    </row>
    <row r="71" spans="1:8" ht="13.15">
      <c r="A71" s="144">
        <f t="shared" si="3"/>
        <v>30</v>
      </c>
      <c r="B71" s="124">
        <f t="shared" si="4"/>
        <v>141.54996507468803</v>
      </c>
      <c r="C71" s="124">
        <f t="shared" si="4"/>
        <v>348.27284519145002</v>
      </c>
      <c r="D71" s="124">
        <f t="shared" si="4"/>
        <v>582.96178464438083</v>
      </c>
      <c r="E71" s="124">
        <f t="shared" si="4"/>
        <v>1004.7010821307531</v>
      </c>
      <c r="F71" s="124">
        <f t="shared" si="4"/>
        <v>2589.1746627531747</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10</v>
      </c>
      <c r="E74" s="135">
        <f>INDEX(B$65:F$71, MATCH(D74, A$65:A$71, 0), MATCH(C74, B$64:F$64, 0))</f>
        <v>138.83434014544065</v>
      </c>
      <c r="F74" s="142">
        <f>Scenarios!C58</f>
        <v>0.05</v>
      </c>
    </row>
    <row r="75" spans="1:8">
      <c r="B75" s="127" t="str">
        <f>Scenarios!B36</f>
        <v>Optimistic</v>
      </c>
      <c r="C75" s="142">
        <f>Scenarios!C38</f>
        <v>0.2</v>
      </c>
      <c r="D75" s="145">
        <f>Scenarios!C37</f>
        <v>20</v>
      </c>
      <c r="E75" s="135">
        <f>INDEX(B$65:F$71, MATCH(D75, A$65:A$71, 0), MATCH(C75, B$64:F$64, 0))</f>
        <v>326.73084709046321</v>
      </c>
      <c r="F75" s="142">
        <f>Scenarios!C40*(1-F$74-F$78)</f>
        <v>0.18</v>
      </c>
      <c r="H75" s="120"/>
    </row>
    <row r="76" spans="1:8">
      <c r="B76" s="127" t="str">
        <f>Scenarios!B24</f>
        <v>Base</v>
      </c>
      <c r="C76" s="142">
        <f>Scenarios!C26</f>
        <v>0.17</v>
      </c>
      <c r="D76" s="145">
        <f>Scenarios!C25</f>
        <v>20</v>
      </c>
      <c r="E76" s="135">
        <f>INDEX(B$65:F$71, MATCH(D76, A$65:A$71, 0), MATCH(C76, B$64:F$64, 0))</f>
        <v>238.04345541837196</v>
      </c>
      <c r="F76" s="142">
        <f>Scenarios!C28*(1-F$74-F$78)</f>
        <v>0.53999999999999992</v>
      </c>
      <c r="H76" s="120"/>
    </row>
    <row r="77" spans="1:8">
      <c r="B77" s="127" t="str">
        <f>Scenarios!B30</f>
        <v>Pessimistic</v>
      </c>
      <c r="C77" s="142">
        <f>Scenarios!C32</f>
        <v>0.14000000000000001</v>
      </c>
      <c r="D77" s="145">
        <f>Scenarios!C31</f>
        <v>20</v>
      </c>
      <c r="E77" s="135">
        <f>INDEX(B$65:F$71, MATCH(D77, A$65:A$71, 0), MATCH(C77, B$64:F$64, 0))</f>
        <v>176.59463658946791</v>
      </c>
      <c r="F77" s="142">
        <f>Scenarios!C34*(1-F$74-F$78)</f>
        <v>0.18</v>
      </c>
      <c r="H77" s="120"/>
    </row>
    <row r="78" spans="1:8">
      <c r="B78" s="127" t="str">
        <f>Scenarios!B48</f>
        <v>Devil's advocate</v>
      </c>
      <c r="C78" s="142">
        <f>Scenarios!C50</f>
        <v>0.08</v>
      </c>
      <c r="D78" s="145">
        <f>Scenarios!C49</f>
        <v>10</v>
      </c>
      <c r="E78" s="135">
        <f>INDEX(B$65:F$71, MATCH(D78, A$65:A$71, 0), MATCH(C78, B$64:F$64, 0))</f>
        <v>75.762298017827291</v>
      </c>
      <c r="F78" s="142">
        <f>Scenarios!C52</f>
        <v>0.05</v>
      </c>
    </row>
    <row r="79" spans="1:8">
      <c r="B79" s="155"/>
      <c r="C79" s="155"/>
      <c r="D79" s="155"/>
      <c r="E79" s="155"/>
      <c r="F79" s="156"/>
    </row>
    <row r="80" spans="1:8">
      <c r="B80" s="155" t="s">
        <v>301</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H43" sqref="H4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9820297.0900200009</v>
      </c>
      <c r="D4" t="str">
        <f>Market_currency</f>
        <v>HKD</v>
      </c>
      <c r="E4" s="100" t="s">
        <v>245</v>
      </c>
      <c r="F4" s="134">
        <f>Thesis!E22</f>
        <v>0</v>
      </c>
      <c r="H4" s="120"/>
    </row>
    <row r="5" spans="2:8">
      <c r="B5" s="205" t="s">
        <v>119</v>
      </c>
      <c r="C5" s="206">
        <f>Equity_Cost</f>
        <v>7.4999999999999997E-2</v>
      </c>
      <c r="E5" s="148"/>
      <c r="H5" s="120"/>
    </row>
    <row r="6" spans="2:8" ht="13.35" customHeight="1">
      <c r="B6" s="149" t="s">
        <v>417</v>
      </c>
      <c r="C6" s="319">
        <f>(C4*(1+Terminal_Growth))/(Equity_Cost-Terminal_Growth)</f>
        <v>130937294.53360002</v>
      </c>
      <c r="D6" t="str">
        <f>Reporting_currency</f>
        <v>CNY</v>
      </c>
      <c r="E6" s="375"/>
      <c r="F6" s="375"/>
      <c r="H6" s="120"/>
    </row>
    <row r="7" spans="2:8" ht="13.15">
      <c r="B7" s="149" t="s">
        <v>420</v>
      </c>
      <c r="C7" s="111">
        <f>(C6*scaling_factor)/Common_Shares*Exchange_Rate</f>
        <v>15.438679520000004</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2.3752619295331442E-2</v>
      </c>
      <c r="H11" s="120"/>
    </row>
    <row r="12" spans="2:8" ht="13.35" customHeight="1">
      <c r="B12" s="118" t="s">
        <v>130</v>
      </c>
      <c r="C12" s="162">
        <f>Scenarios!C64</f>
        <v>20</v>
      </c>
      <c r="H12" s="120"/>
    </row>
    <row r="13" spans="2:8" ht="13.35" customHeight="1">
      <c r="B13" s="153" t="s">
        <v>103</v>
      </c>
      <c r="C13" s="140">
        <f>F47/Common_Shares*scaling_factor</f>
        <v>16.609609830173891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10053554.868166298</v>
      </c>
      <c r="D16" s="138">
        <f>IF($C$12&lt;B16,0,DDM!$C$11)</f>
        <v>2.3752619295331442E-2</v>
      </c>
      <c r="E16" s="124">
        <f t="shared" ref="E16:E45" si="0">IF($C$12&lt;B16,0,1/(1+Equity_Cost)^B16)</f>
        <v>0.93023255813953487</v>
      </c>
      <c r="F16" s="125">
        <f t="shared" ref="F16:F46" si="1">C16*E16</f>
        <v>9352144.0634105094</v>
      </c>
      <c r="H16" s="120"/>
    </row>
    <row r="17" spans="2:8">
      <c r="B17" s="122">
        <v>2</v>
      </c>
      <c r="C17" s="123">
        <f t="shared" ref="C17:C45" si="2">IF(ROW()-ROW($C$16)&lt;$C$12, $C$16*(1+D17)^(ROW()-ROW($C$16)), 0)</f>
        <v>10292353.129514579</v>
      </c>
      <c r="D17" s="138">
        <f>IF($C$12&lt;B17,0,DDM!$C$11)</f>
        <v>2.3752619295331442E-2</v>
      </c>
      <c r="E17" s="124">
        <f t="shared" si="0"/>
        <v>0.86533261222282321</v>
      </c>
      <c r="F17" s="125">
        <f t="shared" si="1"/>
        <v>8906308.8194826003</v>
      </c>
      <c r="H17" s="120"/>
    </row>
    <row r="18" spans="2:8">
      <c r="B18" s="122">
        <v>3</v>
      </c>
      <c r="C18" s="123">
        <f t="shared" si="2"/>
        <v>10536823.475053051</v>
      </c>
      <c r="D18" s="138">
        <f>IF($C$12&lt;B18,0,DDM!$C$11)</f>
        <v>2.3752619295331442E-2</v>
      </c>
      <c r="E18" s="124">
        <f t="shared" si="0"/>
        <v>0.80496056950960304</v>
      </c>
      <c r="F18" s="125">
        <f t="shared" si="1"/>
        <v>8481727.4253008589</v>
      </c>
      <c r="H18" s="120"/>
    </row>
    <row r="19" spans="2:8">
      <c r="B19" s="122">
        <v>4</v>
      </c>
      <c r="C19" s="123">
        <f t="shared" si="2"/>
        <v>10787100.631638099</v>
      </c>
      <c r="D19" s="138">
        <f>IF($C$12&lt;B19,0,DDM!$C$11)</f>
        <v>2.3752619295331442E-2</v>
      </c>
      <c r="E19" s="124">
        <f t="shared" si="0"/>
        <v>0.7488005297763749</v>
      </c>
      <c r="F19" s="125">
        <f t="shared" si="1"/>
        <v>8077386.6677216766</v>
      </c>
      <c r="H19" s="120"/>
    </row>
    <row r="20" spans="2:8">
      <c r="B20" s="122">
        <v>5</v>
      </c>
      <c r="C20" s="123">
        <f t="shared" si="2"/>
        <v>11043322.526241828</v>
      </c>
      <c r="D20" s="138">
        <f>IF($C$12&lt;B20,0,DDM!$C$11)</f>
        <v>2.3752619295331442E-2</v>
      </c>
      <c r="E20" s="124">
        <f t="shared" si="0"/>
        <v>0.69655863235011617</v>
      </c>
      <c r="F20" s="125">
        <f t="shared" si="1"/>
        <v>7692321.6354802372</v>
      </c>
      <c r="H20" s="120"/>
    </row>
    <row r="21" spans="2:8">
      <c r="B21" s="122">
        <v>6</v>
      </c>
      <c r="C21" s="123">
        <f t="shared" si="2"/>
        <v>11305630.361963209</v>
      </c>
      <c r="D21" s="138">
        <f>IF($C$12&lt;B21,0,DDM!$C$11)</f>
        <v>2.3752619295331442E-2</v>
      </c>
      <c r="E21" s="124">
        <f t="shared" si="0"/>
        <v>0.64796151846522443</v>
      </c>
      <c r="F21" s="125">
        <f t="shared" si="1"/>
        <v>7325613.416544226</v>
      </c>
      <c r="H21" s="120"/>
    </row>
    <row r="22" spans="2:8">
      <c r="B22" s="122">
        <v>7</v>
      </c>
      <c r="C22" s="123">
        <f t="shared" si="2"/>
        <v>11574168.69584466</v>
      </c>
      <c r="D22" s="138">
        <f>IF($C$12&lt;B22,0,DDM!$C$11)</f>
        <v>2.3752619295331442E-2</v>
      </c>
      <c r="E22" s="124">
        <f t="shared" si="0"/>
        <v>0.60275490089788319</v>
      </c>
      <c r="F22" s="125">
        <f t="shared" si="1"/>
        <v>6976386.90523923</v>
      </c>
      <c r="H22" s="120"/>
    </row>
    <row r="23" spans="2:8">
      <c r="B23" s="122">
        <v>8</v>
      </c>
      <c r="C23" s="123">
        <f t="shared" si="2"/>
        <v>11849085.518537004</v>
      </c>
      <c r="D23" s="138">
        <f>IF($C$12&lt;B23,0,DDM!$C$11)</f>
        <v>2.3752619295331442E-2</v>
      </c>
      <c r="E23" s="124">
        <f t="shared" si="0"/>
        <v>0.56070223339337966</v>
      </c>
      <c r="F23" s="125">
        <f t="shared" si="1"/>
        <v>6643808.7139128502</v>
      </c>
      <c r="H23" s="120"/>
    </row>
    <row r="24" spans="2:8">
      <c r="B24" s="122">
        <v>9</v>
      </c>
      <c r="C24" s="123">
        <f t="shared" si="2"/>
        <v>12130532.335856637</v>
      </c>
      <c r="D24" s="138">
        <f>IF($C$12&lt;B24,0,DDM!$C$11)</f>
        <v>2.3752619295331442E-2</v>
      </c>
      <c r="E24" s="124">
        <f t="shared" si="0"/>
        <v>0.52158347292407414</v>
      </c>
      <c r="F24" s="125">
        <f t="shared" si="1"/>
        <v>6327085.1841538865</v>
      </c>
      <c r="H24" s="120"/>
    </row>
    <row r="25" spans="2:8">
      <c r="B25" s="122">
        <v>10</v>
      </c>
      <c r="C25" s="123">
        <f t="shared" si="2"/>
        <v>12418664.252279947</v>
      </c>
      <c r="D25" s="138">
        <f>IF($C$12&lt;B25,0,DDM!$C$11)</f>
        <v>2.3752619295331442E-2</v>
      </c>
      <c r="E25" s="124">
        <f t="shared" si="0"/>
        <v>0.48519392830146441</v>
      </c>
      <c r="F25" s="125">
        <f t="shared" si="1"/>
        <v>6025460.4928206755</v>
      </c>
      <c r="H25" s="120"/>
    </row>
    <row r="26" spans="2:8">
      <c r="B26" s="122">
        <v>11</v>
      </c>
      <c r="C26" s="123">
        <f t="shared" si="2"/>
        <v>12713640.056420896</v>
      </c>
      <c r="D26" s="138">
        <f>IF($C$12&lt;B26,0,DDM!$C$11)</f>
        <v>2.3752619295331442E-2</v>
      </c>
      <c r="E26" s="124">
        <f t="shared" si="0"/>
        <v>0.45134318911764126</v>
      </c>
      <c r="F26" s="125">
        <f t="shared" si="1"/>
        <v>5738214.848358796</v>
      </c>
      <c r="H26" s="120"/>
    </row>
    <row r="27" spans="2:8">
      <c r="B27" s="122">
        <v>12</v>
      </c>
      <c r="C27" s="123">
        <f t="shared" si="2"/>
        <v>13015622.308538938</v>
      </c>
      <c r="D27" s="138">
        <f>IF($C$12&lt;B27,0,DDM!$C$11)</f>
        <v>2.3752619295331442E-2</v>
      </c>
      <c r="E27" s="124">
        <f t="shared" si="0"/>
        <v>0.41985412941175931</v>
      </c>
      <c r="F27" s="125">
        <f t="shared" si="1"/>
        <v>5464662.7731038891</v>
      </c>
      <c r="H27" s="120"/>
    </row>
    <row r="28" spans="2:8">
      <c r="B28" s="122">
        <v>13</v>
      </c>
      <c r="C28" s="123">
        <f t="shared" si="2"/>
        <v>13324777.430125486</v>
      </c>
      <c r="D28" s="138">
        <f>IF($C$12&lt;B28,0,DDM!$C$11)</f>
        <v>2.3752619295331442E-2</v>
      </c>
      <c r="E28" s="124">
        <f t="shared" si="0"/>
        <v>0.39056198084814819</v>
      </c>
      <c r="F28" s="125">
        <f t="shared" si="1"/>
        <v>5204151.4674705071</v>
      </c>
      <c r="H28" s="120"/>
    </row>
    <row r="29" spans="2:8">
      <c r="B29" s="122">
        <v>14</v>
      </c>
      <c r="C29" s="123">
        <f t="shared" si="2"/>
        <v>13641275.795618283</v>
      </c>
      <c r="D29" s="138">
        <f>IF($C$12&lt;B29,0,DDM!$C$11)</f>
        <v>2.3752619295331442E-2</v>
      </c>
      <c r="E29" s="124">
        <f t="shared" si="0"/>
        <v>0.36331347055641694</v>
      </c>
      <c r="F29" s="125">
        <f t="shared" si="1"/>
        <v>4956059.2521233261</v>
      </c>
      <c r="H29" s="120"/>
    </row>
    <row r="30" spans="2:8">
      <c r="B30" s="122">
        <v>15</v>
      </c>
      <c r="C30" s="123">
        <f t="shared" si="2"/>
        <v>13965291.826294225</v>
      </c>
      <c r="D30" s="138">
        <f>IF($C$12&lt;B30,0,DDM!$C$11)</f>
        <v>2.3752619295331442E-2</v>
      </c>
      <c r="E30" s="124">
        <f t="shared" si="0"/>
        <v>0.33796601912224833</v>
      </c>
      <c r="F30" s="125">
        <f t="shared" si="1"/>
        <v>4719794.0844131326</v>
      </c>
      <c r="H30" s="120"/>
    </row>
    <row r="31" spans="2:8">
      <c r="B31" s="122">
        <v>16</v>
      </c>
      <c r="C31" s="123">
        <f t="shared" si="2"/>
        <v>14297004.086392395</v>
      </c>
      <c r="D31" s="138">
        <f>IF($C$12&lt;B31,0,DDM!$C$11)</f>
        <v>2.3752619295331442E-2</v>
      </c>
      <c r="E31" s="124">
        <f t="shared" si="0"/>
        <v>0.31438699453232405</v>
      </c>
      <c r="F31" s="125">
        <f t="shared" si="1"/>
        <v>4494792.1455372609</v>
      </c>
      <c r="H31" s="120"/>
    </row>
    <row r="32" spans="2:8">
      <c r="B32" s="122">
        <v>17</v>
      </c>
      <c r="C32" s="123">
        <f t="shared" si="2"/>
        <v>14636595.381520271</v>
      </c>
      <c r="D32" s="138">
        <f>IF($C$12&lt;B32,0,DDM!$C$11)</f>
        <v>2.3752619295331442E-2</v>
      </c>
      <c r="E32" s="124">
        <f t="shared" si="0"/>
        <v>0.29245301816960378</v>
      </c>
      <c r="F32" s="125">
        <f t="shared" si="1"/>
        <v>4280516.4950528871</v>
      </c>
      <c r="H32" s="120"/>
    </row>
    <row r="33" spans="2:8">
      <c r="B33" s="122">
        <v>18</v>
      </c>
      <c r="C33" s="123">
        <f t="shared" si="2"/>
        <v>14984252.859397329</v>
      </c>
      <c r="D33" s="138">
        <f>IF($C$12&lt;B33,0,DDM!$C$11)</f>
        <v>2.3752619295331442E-2</v>
      </c>
      <c r="E33" s="124">
        <f t="shared" si="0"/>
        <v>0.27204931922753844</v>
      </c>
      <c r="F33" s="125">
        <f t="shared" si="1"/>
        <v>4076455.7895323397</v>
      </c>
      <c r="H33" s="120"/>
    </row>
    <row r="34" spans="2:8">
      <c r="B34" s="122">
        <v>19</v>
      </c>
      <c r="C34" s="123">
        <f t="shared" si="2"/>
        <v>15340168.112991575</v>
      </c>
      <c r="D34" s="138">
        <f>IF($C$12&lt;B34,0,DDM!$C$11)</f>
        <v>2.3752619295331442E-2</v>
      </c>
      <c r="E34" s="124">
        <f t="shared" si="0"/>
        <v>0.25306913416515198</v>
      </c>
      <c r="F34" s="125">
        <f t="shared" si="1"/>
        <v>3882123.0623026513</v>
      </c>
      <c r="H34" s="120"/>
    </row>
    <row r="35" spans="2:8">
      <c r="B35" s="122">
        <v>20</v>
      </c>
      <c r="C35" s="123">
        <f t="shared" si="2"/>
        <v>15704537.286105849</v>
      </c>
      <c r="D35" s="138">
        <f>IF($C$12&lt;B35,0,DDM!$C$11)</f>
        <v>2.3752619295331442E-2</v>
      </c>
      <c r="E35" s="124">
        <f t="shared" si="0"/>
        <v>0.23541314806060654</v>
      </c>
      <c r="F35" s="125">
        <f t="shared" si="1"/>
        <v>3697054.561357352</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134047398.2422173</v>
      </c>
      <c r="D46" s="139">
        <f>Terminal_Growth</f>
        <v>0</v>
      </c>
      <c r="E46" s="124">
        <f>1/(1+Equity_Cost)^C12</f>
        <v>0.23541314806060654</v>
      </c>
      <c r="F46" s="125">
        <f t="shared" si="1"/>
        <v>31556520.009534191</v>
      </c>
      <c r="H46" s="120"/>
    </row>
    <row r="47" spans="2:8">
      <c r="C47" s="114"/>
      <c r="E47" s="127" t="s">
        <v>97</v>
      </c>
      <c r="F47" s="137">
        <f>SUM(F16:F46)</f>
        <v>153878587.81285307</v>
      </c>
      <c r="H47" s="120"/>
    </row>
    <row r="48" spans="2:8">
      <c r="C48" s="114"/>
      <c r="H48" s="120"/>
    </row>
    <row r="49" spans="1:8" ht="13.15">
      <c r="B49" s="119" t="s">
        <v>125</v>
      </c>
      <c r="C49" s="136"/>
      <c r="D49" s="136"/>
      <c r="E49" s="117"/>
      <c r="F49" s="117"/>
      <c r="H49" s="120"/>
    </row>
    <row r="50" spans="1:8" ht="13.15">
      <c r="A50" s="133">
        <f>F47</f>
        <v>153878587.81285307</v>
      </c>
      <c r="B50" s="131">
        <f>C73</f>
        <v>0.08</v>
      </c>
      <c r="C50" s="131">
        <f>C72</f>
        <v>0.14000000000000001</v>
      </c>
      <c r="D50" s="131">
        <f>C71</f>
        <v>0.17</v>
      </c>
      <c r="E50" s="131">
        <f>C70</f>
        <v>0.2</v>
      </c>
      <c r="F50" s="131">
        <f>C69</f>
        <v>0.25</v>
      </c>
      <c r="H50" s="120"/>
    </row>
    <row r="51" spans="1:8" ht="13.15">
      <c r="A51" s="143">
        <v>5</v>
      </c>
      <c r="B51" s="123">
        <f t="dataTable" ref="B51:F56" dt2D="1" dtr="1" r1="C11" r2="C12"/>
        <v>148292829.24569368</v>
      </c>
      <c r="C51" s="123">
        <v>162733964.77959576</v>
      </c>
      <c r="D51" s="123">
        <v>170468693.16960913</v>
      </c>
      <c r="E51" s="123">
        <v>178574654.55127418</v>
      </c>
      <c r="F51" s="123">
        <v>192971063.07172593</v>
      </c>
      <c r="H51" s="120"/>
    </row>
    <row r="52" spans="1:8" ht="13.15">
      <c r="A52" s="143">
        <v>10</v>
      </c>
      <c r="B52" s="123">
        <v>169362900.37656015</v>
      </c>
      <c r="C52" s="123">
        <v>209990260.83236361</v>
      </c>
      <c r="D52" s="123">
        <v>235457937.02694866</v>
      </c>
      <c r="E52" s="123">
        <v>265180967.18800387</v>
      </c>
      <c r="F52" s="123">
        <v>326233057.66156399</v>
      </c>
      <c r="H52" s="120"/>
    </row>
    <row r="53" spans="1:8" ht="13.15">
      <c r="A53" s="143">
        <v>15</v>
      </c>
      <c r="B53" s="123">
        <v>200698885.23421848</v>
      </c>
      <c r="C53" s="123">
        <v>293706076.5643931</v>
      </c>
      <c r="D53" s="123">
        <v>361602920.97485983</v>
      </c>
      <c r="E53" s="123">
        <v>449721820.05400527</v>
      </c>
      <c r="F53" s="123">
        <v>658953113.80143201</v>
      </c>
      <c r="H53" s="120"/>
    </row>
    <row r="54" spans="1:8" ht="13.15">
      <c r="A54" s="144">
        <v>20</v>
      </c>
      <c r="B54" s="123">
        <v>239576730.6610451</v>
      </c>
      <c r="C54" s="123">
        <v>420148894.89286846</v>
      </c>
      <c r="D54" s="123">
        <v>572981838.76940203</v>
      </c>
      <c r="E54" s="123">
        <v>793561426.99089622</v>
      </c>
      <c r="F54" s="123">
        <v>1400664279.1595371</v>
      </c>
      <c r="H54" s="120"/>
    </row>
    <row r="55" spans="1:8" ht="13.15">
      <c r="A55" s="144">
        <v>25</v>
      </c>
      <c r="B55" s="123">
        <v>284108153.08661985</v>
      </c>
      <c r="C55" s="123">
        <v>599597035.98493016</v>
      </c>
      <c r="D55" s="123">
        <v>908842595.38461971</v>
      </c>
      <c r="E55" s="123">
        <v>1406230128.9908175</v>
      </c>
      <c r="F55" s="123">
        <v>3001329259.2535901</v>
      </c>
      <c r="H55" s="120"/>
    </row>
    <row r="56" spans="1:8" ht="13.15">
      <c r="A56" s="144">
        <v>30</v>
      </c>
      <c r="B56" s="123">
        <v>332987246.92526621</v>
      </c>
      <c r="C56" s="123">
        <v>847139787.80403948</v>
      </c>
      <c r="D56" s="123">
        <v>1430848347.1454828</v>
      </c>
      <c r="E56" s="123">
        <v>2479780769.4713116</v>
      </c>
      <c r="F56" s="123">
        <v>6420617492.393158</v>
      </c>
      <c r="H56" s="120"/>
    </row>
    <row r="57" spans="1:8">
      <c r="C57" s="114"/>
      <c r="D57" s="114"/>
      <c r="E57" s="114"/>
      <c r="F57" s="114"/>
      <c r="H57" s="120"/>
    </row>
    <row r="58" spans="1:8" ht="13.15">
      <c r="B58" s="119" t="s">
        <v>126</v>
      </c>
      <c r="C58" s="114"/>
      <c r="D58" s="114"/>
      <c r="E58" s="114"/>
      <c r="F58" s="114"/>
      <c r="H58" s="120"/>
    </row>
    <row r="59" spans="1:8" ht="13.15">
      <c r="B59" s="132">
        <f>B50</f>
        <v>0.08</v>
      </c>
      <c r="C59" s="132">
        <f>C50</f>
        <v>0.14000000000000001</v>
      </c>
      <c r="D59" s="132">
        <f>D50</f>
        <v>0.17</v>
      </c>
      <c r="E59" s="132">
        <f>E50</f>
        <v>0.2</v>
      </c>
      <c r="F59" s="132">
        <f>F50</f>
        <v>0.25</v>
      </c>
      <c r="H59" s="120"/>
    </row>
    <row r="60" spans="1:8" ht="13.15">
      <c r="A60" s="143">
        <v>0</v>
      </c>
      <c r="B60" s="124">
        <f>C7</f>
        <v>15.438679520000004</v>
      </c>
      <c r="C60" s="124">
        <f>C7</f>
        <v>15.438679520000004</v>
      </c>
      <c r="D60" s="124">
        <f>C7</f>
        <v>15.438679520000004</v>
      </c>
      <c r="E60" s="141">
        <f>C7</f>
        <v>15.438679520000004</v>
      </c>
      <c r="F60" s="124">
        <f>C7</f>
        <v>15.438679520000004</v>
      </c>
      <c r="H60" s="120"/>
    </row>
    <row r="61" spans="1:8" ht="13.15">
      <c r="A61" s="143">
        <f t="shared" ref="A61:A66" si="3">A51</f>
        <v>5</v>
      </c>
      <c r="B61" s="124">
        <f t="shared" ref="B61:F66" si="4">B51/Common_Shares*$C$3*Exchange_Rate</f>
        <v>17.48505247487644</v>
      </c>
      <c r="C61" s="124">
        <f t="shared" si="4"/>
        <v>19.187791669289737</v>
      </c>
      <c r="D61" s="124">
        <f t="shared" si="4"/>
        <v>20.099785408071465</v>
      </c>
      <c r="E61" s="124">
        <f t="shared" si="4"/>
        <v>21.055550840821482</v>
      </c>
      <c r="F61" s="124">
        <f t="shared" si="4"/>
        <v>22.753016319835311</v>
      </c>
      <c r="H61" s="120"/>
    </row>
    <row r="62" spans="1:8" ht="13.15">
      <c r="A62" s="143">
        <f t="shared" si="3"/>
        <v>10</v>
      </c>
      <c r="B62" s="124">
        <f t="shared" si="4"/>
        <v>19.969402535810207</v>
      </c>
      <c r="C62" s="124">
        <f t="shared" si="4"/>
        <v>24.759732136363514</v>
      </c>
      <c r="D62" s="124">
        <f t="shared" si="4"/>
        <v>27.762599213217889</v>
      </c>
      <c r="E62" s="124">
        <f t="shared" si="4"/>
        <v>31.267210627821925</v>
      </c>
      <c r="F62" s="124">
        <f t="shared" si="4"/>
        <v>38.46579879328511</v>
      </c>
      <c r="H62" s="120"/>
    </row>
    <row r="63" spans="1:8" ht="13.15">
      <c r="A63" s="143">
        <f t="shared" si="3"/>
        <v>15</v>
      </c>
      <c r="B63" s="124">
        <f t="shared" si="4"/>
        <v>23.664195752549649</v>
      </c>
      <c r="C63" s="124">
        <f t="shared" si="4"/>
        <v>34.630576454981359</v>
      </c>
      <c r="D63" s="124">
        <f t="shared" si="4"/>
        <v>42.636222401816696</v>
      </c>
      <c r="E63" s="124">
        <f t="shared" si="4"/>
        <v>53.026229675023693</v>
      </c>
      <c r="F63" s="124">
        <f t="shared" si="4"/>
        <v>77.696472795806827</v>
      </c>
      <c r="H63" s="120"/>
    </row>
    <row r="64" spans="1:8" ht="13.15">
      <c r="A64" s="144">
        <f t="shared" si="3"/>
        <v>20</v>
      </c>
      <c r="B64" s="124">
        <f t="shared" si="4"/>
        <v>28.248241864933998</v>
      </c>
      <c r="C64" s="124">
        <f t="shared" si="4"/>
        <v>49.539316984044149</v>
      </c>
      <c r="D64" s="124">
        <f t="shared" si="4"/>
        <v>67.559689628924659</v>
      </c>
      <c r="E64" s="124">
        <f t="shared" si="4"/>
        <v>93.567998287931943</v>
      </c>
      <c r="F64" s="124">
        <f t="shared" si="4"/>
        <v>165.15086093753709</v>
      </c>
      <c r="H64" s="120"/>
    </row>
    <row r="65" spans="1:8" ht="13.15">
      <c r="A65" s="144">
        <f t="shared" si="3"/>
        <v>25</v>
      </c>
      <c r="B65" s="124">
        <f t="shared" si="4"/>
        <v>33.49889533113776</v>
      </c>
      <c r="C65" s="124">
        <f t="shared" si="4"/>
        <v>70.697859709769688</v>
      </c>
      <c r="D65" s="124">
        <f t="shared" si="4"/>
        <v>107.16068034128793</v>
      </c>
      <c r="E65" s="124">
        <f t="shared" si="4"/>
        <v>165.80712447274809</v>
      </c>
      <c r="F65" s="124">
        <f t="shared" si="4"/>
        <v>353.88359544670971</v>
      </c>
    </row>
    <row r="66" spans="1:8" ht="13.15">
      <c r="A66" s="144">
        <f t="shared" si="3"/>
        <v>30</v>
      </c>
      <c r="B66" s="124">
        <f t="shared" si="4"/>
        <v>39.262178188713698</v>
      </c>
      <c r="C66" s="124">
        <f t="shared" si="4"/>
        <v>99.885366801978819</v>
      </c>
      <c r="D66" s="124">
        <f t="shared" si="4"/>
        <v>168.70983284011697</v>
      </c>
      <c r="E66" s="124">
        <f t="shared" si="4"/>
        <v>292.38835822976574</v>
      </c>
      <c r="F66" s="124">
        <f t="shared" si="4"/>
        <v>757.0482965808277</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10</v>
      </c>
      <c r="E69" s="135">
        <f>INDEX(B$60:F$66, MATCH(D69, A$60:A$66, 0), MATCH(C69, B$59:F$59, 0))</f>
        <v>38.46579879328511</v>
      </c>
      <c r="F69" s="142">
        <f>Scenarios!C58</f>
        <v>0.05</v>
      </c>
    </row>
    <row r="70" spans="1:8">
      <c r="B70" s="127" t="str">
        <f>Scenarios!B36</f>
        <v>Optimistic</v>
      </c>
      <c r="C70" s="142">
        <f>Scenarios!C38</f>
        <v>0.2</v>
      </c>
      <c r="D70" s="145">
        <f>Scenarios!C37</f>
        <v>20</v>
      </c>
      <c r="E70" s="135">
        <f>INDEX(B$60:F$66, MATCH(D70, A$60:A$66, 0), MATCH(C70, B$59:F$59, 0))</f>
        <v>93.567998287931943</v>
      </c>
      <c r="F70" s="142">
        <f>Scenarios!C40*(1-F$69-F$73)</f>
        <v>0.18</v>
      </c>
      <c r="H70" s="120"/>
    </row>
    <row r="71" spans="1:8">
      <c r="B71" s="127" t="str">
        <f>Scenarios!B24</f>
        <v>Base</v>
      </c>
      <c r="C71" s="142">
        <f>Scenarios!C26</f>
        <v>0.17</v>
      </c>
      <c r="D71" s="145">
        <f>Scenarios!C25</f>
        <v>20</v>
      </c>
      <c r="E71" s="135">
        <f>INDEX(B$60:F$66, MATCH(D71, A$60:A$66, 0), MATCH(C71, B$59:F$59, 0))</f>
        <v>67.559689628924659</v>
      </c>
      <c r="F71" s="142">
        <f>Scenarios!C28*(1-F$69-F$73)</f>
        <v>0.53999999999999992</v>
      </c>
      <c r="H71" s="120"/>
    </row>
    <row r="72" spans="1:8">
      <c r="B72" s="127" t="str">
        <f>Scenarios!B30</f>
        <v>Pessimistic</v>
      </c>
      <c r="C72" s="142">
        <f>Scenarios!C32</f>
        <v>0.14000000000000001</v>
      </c>
      <c r="D72" s="145">
        <f>Scenarios!C31</f>
        <v>20</v>
      </c>
      <c r="E72" s="135">
        <f>INDEX(B$60:F$66, MATCH(D72, A$60:A$66, 0), MATCH(C72, B$59:F$59, 0))</f>
        <v>49.539316984044149</v>
      </c>
      <c r="F72" s="142">
        <f>Scenarios!C34*(1-F$69-F$73)</f>
        <v>0.18</v>
      </c>
      <c r="H72" s="120"/>
    </row>
    <row r="73" spans="1:8">
      <c r="B73" s="127" t="str">
        <f>Scenarios!B48</f>
        <v>Devil's advocate</v>
      </c>
      <c r="C73" s="142">
        <f>Scenarios!C50</f>
        <v>0.08</v>
      </c>
      <c r="D73" s="145">
        <f>Scenarios!C49</f>
        <v>10</v>
      </c>
      <c r="E73" s="135">
        <f>INDEX(B$60:F$66, MATCH(D73, A$60:A$66, 0), MATCH(C73, B$59:F$59, 0))</f>
        <v>19.969402535810207</v>
      </c>
      <c r="F73" s="142">
        <f>Scenarios!C52</f>
        <v>0.05</v>
      </c>
    </row>
    <row r="74" spans="1:8">
      <c r="B74" s="155"/>
      <c r="C74" s="155"/>
      <c r="D74" s="155"/>
      <c r="E74" s="155"/>
      <c r="F74" s="156"/>
    </row>
    <row r="75" spans="1:8">
      <c r="B75" s="155" t="s">
        <v>301</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40" zoomScale="75" zoomScaleNormal="100" workbookViewId="0">
      <selection activeCell="E65" sqref="E65"/>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289</v>
      </c>
      <c r="I2" s="249"/>
    </row>
    <row r="3" spans="2:9" ht="13.15">
      <c r="B3" s="159" t="s">
        <v>144</v>
      </c>
      <c r="H3" s="247">
        <v>0</v>
      </c>
      <c r="I3" s="124">
        <f>-Market_Price</f>
        <v>-96.9</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v>
      </c>
      <c r="E6" s="100" t="s">
        <v>273</v>
      </c>
      <c r="F6" s="100"/>
      <c r="H6" s="247">
        <v>3</v>
      </c>
      <c r="I6" s="124">
        <f t="shared" si="0"/>
        <v>230.93188489647181</v>
      </c>
    </row>
    <row r="7" spans="2:9" ht="12.75" customHeight="1">
      <c r="B7" s="100" t="s">
        <v>269</v>
      </c>
      <c r="C7" s="338">
        <f>Normalized_FCF!G8</f>
        <v>34026555</v>
      </c>
      <c r="D7" t="str">
        <f>Reporting_currency</f>
        <v>CNY</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20-year scenarios (Base Case, Pessimistic Case, Optimistic Case) and two extreme 10-year scenarios (Success Scenario, Devil’s Advocate Scenario) for 美团(3690.HK). Each scenario should include the Compound Growth Rate, the Probability Assessment, and the Business Narrative.</v>
      </c>
      <c r="F7" s="377"/>
      <c r="H7" s="247">
        <v>4</v>
      </c>
      <c r="I7" s="124" t="str">
        <f t="shared" si="0"/>
        <v/>
      </c>
    </row>
    <row r="8" spans="2:9">
      <c r="B8" s="100" t="s">
        <v>64</v>
      </c>
      <c r="C8" s="338">
        <f>Normalized_FCF!G19</f>
        <v>30511267</v>
      </c>
      <c r="D8" t="str">
        <f>Reporting_currency</f>
        <v>CNY</v>
      </c>
      <c r="E8" s="377"/>
      <c r="F8" s="377"/>
      <c r="H8" s="247">
        <v>5</v>
      </c>
      <c r="I8" s="124" t="str">
        <f t="shared" si="0"/>
        <v/>
      </c>
    </row>
    <row r="9" spans="2:9">
      <c r="B9" s="100" t="s">
        <v>55</v>
      </c>
      <c r="C9" s="338">
        <f>Normalized_FCF!C19</f>
        <v>33486857.826000005</v>
      </c>
      <c r="D9" t="str">
        <f>Reporting_currency</f>
        <v>CNY</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0.23521543663686151</v>
      </c>
      <c r="D12" s="158"/>
      <c r="E12" s="377"/>
      <c r="F12" s="377"/>
      <c r="H12" s="247">
        <v>9</v>
      </c>
      <c r="I12" s="124" t="str">
        <f t="shared" si="0"/>
        <v/>
      </c>
    </row>
    <row r="13" spans="2:9">
      <c r="B13" s="148" t="s">
        <v>148</v>
      </c>
      <c r="C13" s="158">
        <f ca="1">(Normalized_FCF!G8/OFFSET(Normalized_FCF!G8, 0, $C$4))^(1/$C$4) - 1</f>
        <v>-2.1313585392312717</v>
      </c>
      <c r="E13" s="377"/>
      <c r="F13" s="377"/>
      <c r="H13" s="247">
        <v>10</v>
      </c>
      <c r="I13" s="124" t="str">
        <f t="shared" si="0"/>
        <v/>
      </c>
    </row>
    <row r="14" spans="2:9">
      <c r="B14" s="100" t="s">
        <v>64</v>
      </c>
      <c r="C14" s="158">
        <f ca="1">(Normalized_FCF!G19/OFFSET(Normalized_FCF!G19, 0, $C$4))^(1/$C$4) - 1</f>
        <v>-2.0744527340297383</v>
      </c>
      <c r="E14" s="377"/>
      <c r="F14" s="377"/>
    </row>
    <row r="16" spans="2:9" ht="13.9">
      <c r="B16" s="36" t="s">
        <v>158</v>
      </c>
      <c r="C16" s="37"/>
      <c r="D16" s="37"/>
      <c r="E16" s="37"/>
      <c r="F16" s="37"/>
    </row>
    <row r="17" spans="2:6" ht="13.15">
      <c r="B17" s="109" t="s">
        <v>147</v>
      </c>
      <c r="E17" s="159" t="s">
        <v>320</v>
      </c>
    </row>
    <row r="18" spans="2:6">
      <c r="B18" s="152" t="s">
        <v>129</v>
      </c>
      <c r="C18" s="150">
        <v>20</v>
      </c>
      <c r="E18" s="377" t="s">
        <v>558</v>
      </c>
      <c r="F18" s="378"/>
    </row>
    <row r="19" spans="2:6">
      <c r="E19" s="378"/>
      <c r="F19" s="378"/>
    </row>
    <row r="20" spans="2:6" ht="13.15">
      <c r="B20" s="159" t="s">
        <v>297</v>
      </c>
      <c r="E20" s="378"/>
      <c r="F20" s="378"/>
    </row>
    <row r="21" spans="2:6">
      <c r="B21" s="100" t="s">
        <v>271</v>
      </c>
      <c r="C21" s="160">
        <f>Market_Price</f>
        <v>96.9</v>
      </c>
      <c r="D21" t="str">
        <f>Market_currency</f>
        <v>HKD</v>
      </c>
      <c r="E21" s="378"/>
      <c r="F21" s="378"/>
    </row>
    <row r="22" spans="2:6">
      <c r="B22" s="100" t="s">
        <v>272</v>
      </c>
      <c r="C22" s="160">
        <f>IF(valuation_method="DCF",DCF!C12,DDM!C7)</f>
        <v>60.312696433613588</v>
      </c>
      <c r="D22" t="str">
        <f>Market_currency</f>
        <v>HKD</v>
      </c>
      <c r="E22" s="378"/>
      <c r="F22" s="378"/>
    </row>
    <row r="24" spans="2:6" ht="13.15">
      <c r="B24" s="159" t="s">
        <v>111</v>
      </c>
      <c r="E24" s="159" t="s">
        <v>145</v>
      </c>
      <c r="F24" s="159"/>
    </row>
    <row r="25" spans="2:6">
      <c r="B25" s="152" t="s">
        <v>129</v>
      </c>
      <c r="C25" s="166">
        <f>C18</f>
        <v>20</v>
      </c>
      <c r="D25" s="163"/>
      <c r="E25" s="376"/>
      <c r="F25" s="376"/>
    </row>
    <row r="26" spans="2:6">
      <c r="B26" s="118" t="s">
        <v>130</v>
      </c>
      <c r="C26" s="164">
        <v>0.17</v>
      </c>
      <c r="D26" s="164"/>
      <c r="E26" s="376"/>
      <c r="F26" s="376"/>
    </row>
    <row r="27" spans="2:6">
      <c r="B27" s="100" t="s">
        <v>109</v>
      </c>
      <c r="C27" s="160">
        <f>IF(valuation_method="DCF",DCF!E76,DDM!E71)</f>
        <v>238.04345541837196</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20</v>
      </c>
      <c r="D31" s="163"/>
      <c r="E31" s="376"/>
      <c r="F31" s="376"/>
    </row>
    <row r="32" spans="2:6">
      <c r="B32" s="118" t="s">
        <v>130</v>
      </c>
      <c r="C32" s="164">
        <v>0.14000000000000001</v>
      </c>
      <c r="D32" s="164"/>
      <c r="E32" s="376"/>
      <c r="F32" s="376"/>
    </row>
    <row r="33" spans="2:6">
      <c r="B33" s="100" t="s">
        <v>109</v>
      </c>
      <c r="C33" s="160">
        <f>IF(valuation_method="DCF",DCF!E77,DDM!E72)</f>
        <v>176.59463658946791</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20</v>
      </c>
      <c r="D37" s="163"/>
      <c r="E37" s="376"/>
      <c r="F37" s="376"/>
    </row>
    <row r="38" spans="2:6">
      <c r="B38" s="118" t="s">
        <v>130</v>
      </c>
      <c r="C38" s="164">
        <v>0.2</v>
      </c>
      <c r="D38" s="164"/>
      <c r="E38" s="376"/>
      <c r="F38" s="376"/>
    </row>
    <row r="39" spans="2:6">
      <c r="B39" s="100" t="s">
        <v>109</v>
      </c>
      <c r="C39" s="160">
        <f>IF(valuation_method="DCF",DCF!E75,DDM!E70)</f>
        <v>326.73084709046321</v>
      </c>
      <c r="D39" t="str">
        <f>Market_currency</f>
        <v>HKD</v>
      </c>
      <c r="E39" s="376"/>
      <c r="F39" s="376"/>
    </row>
    <row r="40" spans="2:6">
      <c r="B40" s="100" t="s">
        <v>143</v>
      </c>
      <c r="C40" s="167">
        <f>1-C28-C34</f>
        <v>0.2</v>
      </c>
      <c r="D40" s="165"/>
      <c r="E40" s="376"/>
      <c r="F40" s="376"/>
    </row>
    <row r="42" spans="2:6" ht="13.15">
      <c r="B42" s="100" t="s">
        <v>116</v>
      </c>
      <c r="C42" s="154">
        <f>C27*C28+C33*C34+C39*C40</f>
        <v>243.49116998700939</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6"/>
      <c r="F49" s="376"/>
    </row>
    <row r="50" spans="2:6">
      <c r="B50" s="118" t="s">
        <v>130</v>
      </c>
      <c r="C50" s="164">
        <v>0.08</v>
      </c>
      <c r="D50" s="164"/>
      <c r="E50" s="376"/>
      <c r="F50" s="376"/>
    </row>
    <row r="51" spans="2:6">
      <c r="B51" s="100" t="s">
        <v>109</v>
      </c>
      <c r="C51" s="160">
        <f>IF(valuation_method="DCF",DCF!E78,DDM!E73)</f>
        <v>75.762298017827291</v>
      </c>
      <c r="D51" t="str">
        <f>Market_currency</f>
        <v>HKD</v>
      </c>
      <c r="E51" s="376"/>
      <c r="F51" s="376"/>
    </row>
    <row r="52" spans="2:6">
      <c r="B52" s="100" t="s">
        <v>143</v>
      </c>
      <c r="C52" s="165">
        <v>0.05</v>
      </c>
      <c r="D52" s="165"/>
      <c r="E52" s="376"/>
      <c r="F52" s="376"/>
    </row>
    <row r="54" spans="2:6" ht="13.15">
      <c r="B54" s="159" t="s">
        <v>306</v>
      </c>
      <c r="E54" s="159" t="s">
        <v>145</v>
      </c>
      <c r="F54" s="159"/>
    </row>
    <row r="55" spans="2:6">
      <c r="B55" s="152" t="s">
        <v>129</v>
      </c>
      <c r="C55" s="166">
        <f>C46</f>
        <v>10</v>
      </c>
      <c r="D55" s="163"/>
      <c r="E55" s="376"/>
      <c r="F55" s="376"/>
    </row>
    <row r="56" spans="2:6">
      <c r="B56" s="118" t="s">
        <v>130</v>
      </c>
      <c r="C56" s="164">
        <v>0.25</v>
      </c>
      <c r="D56" s="164"/>
      <c r="E56" s="376"/>
      <c r="F56" s="376"/>
    </row>
    <row r="57" spans="2:6">
      <c r="B57" s="100" t="s">
        <v>109</v>
      </c>
      <c r="C57" s="160">
        <f>IF(valuation_method="DCF",DCF!E74,DDM!E69)</f>
        <v>138.83434014544065</v>
      </c>
      <c r="D57" t="str">
        <f>Market_currency</f>
        <v>HKD</v>
      </c>
      <c r="E57" s="376"/>
      <c r="F57" s="376"/>
    </row>
    <row r="58" spans="2:6">
      <c r="B58" s="100" t="s">
        <v>143</v>
      </c>
      <c r="C58" s="165">
        <v>0.05</v>
      </c>
      <c r="D58" s="165"/>
      <c r="E58" s="376"/>
      <c r="F58" s="376"/>
    </row>
    <row r="60" spans="2:6" ht="13.15">
      <c r="B60" s="100" t="s">
        <v>116</v>
      </c>
      <c r="C60" s="154">
        <f>C51*C52+C57*C58+C42*(1-C52-C58)</f>
        <v>229.87188489647181</v>
      </c>
      <c r="D60" t="str">
        <f>Market_currency</f>
        <v>HKD</v>
      </c>
      <c r="E60" s="100" t="s">
        <v>290</v>
      </c>
      <c r="F60" s="277">
        <f>Thesis!F28</f>
        <v>3</v>
      </c>
    </row>
    <row r="62" spans="2:6" ht="13.9">
      <c r="B62" s="36" t="s">
        <v>339</v>
      </c>
      <c r="C62" s="37"/>
      <c r="D62" s="37"/>
      <c r="E62" s="37"/>
      <c r="F62" s="37"/>
    </row>
    <row r="63" spans="2:6" ht="13.15">
      <c r="B63" s="109" t="s">
        <v>298</v>
      </c>
      <c r="E63" s="252" t="s">
        <v>302</v>
      </c>
    </row>
    <row r="64" spans="2:6">
      <c r="B64" s="152" t="s">
        <v>129</v>
      </c>
      <c r="C64" s="166">
        <f>C18</f>
        <v>20</v>
      </c>
      <c r="D64" s="150"/>
      <c r="E64" s="251" t="s">
        <v>376</v>
      </c>
    </row>
    <row r="65" spans="2:6">
      <c r="B65" s="118" t="s">
        <v>130</v>
      </c>
      <c r="C65" s="151">
        <v>2.3752619295331442E-2</v>
      </c>
      <c r="D65" s="151"/>
      <c r="E65" s="251" t="s">
        <v>303</v>
      </c>
    </row>
    <row r="66" spans="2:6">
      <c r="B66" s="100" t="s">
        <v>99</v>
      </c>
      <c r="C66" s="160">
        <f>IF(valuation_method="DCF",DCF!C18,DDM!C13)</f>
        <v>69.536593707727604</v>
      </c>
      <c r="D66" s="160" t="str">
        <f>Market_currency</f>
        <v>HKD</v>
      </c>
      <c r="E66" s="251" t="s">
        <v>304</v>
      </c>
    </row>
    <row r="68" spans="2:6" ht="13.15">
      <c r="B68" s="109" t="s">
        <v>340</v>
      </c>
      <c r="E68" s="252" t="s">
        <v>305</v>
      </c>
    </row>
    <row r="69" spans="2:6">
      <c r="B69" s="100" t="s">
        <v>299</v>
      </c>
      <c r="C69" s="244" t="str">
        <f>IF(C60&lt;C22,"Y","N")</f>
        <v>N</v>
      </c>
      <c r="E69" s="134"/>
    </row>
    <row r="70" spans="2:6">
      <c r="B70" s="100" t="s">
        <v>287</v>
      </c>
      <c r="C70" s="244" t="str">
        <f>IF(C69="Y","N",IF(C65&gt;8%,"N","Y"))</f>
        <v>Y</v>
      </c>
      <c r="E70" s="251" t="s">
        <v>288</v>
      </c>
    </row>
    <row r="71" spans="2:6">
      <c r="B71" s="100" t="s">
        <v>286</v>
      </c>
      <c r="C71" s="244" t="str">
        <f>IF(C65&gt;8%,"Y","N")</f>
        <v>N</v>
      </c>
      <c r="E71" s="251"/>
    </row>
    <row r="72" spans="2:6">
      <c r="B72" s="100" t="s">
        <v>278</v>
      </c>
      <c r="C72" s="243" t="str">
        <f>IF(F72&gt;50%,"Y","N")</f>
        <v>N</v>
      </c>
      <c r="E72" s="134" t="s">
        <v>336</v>
      </c>
      <c r="F72" s="291">
        <f>BS!D89/C60</f>
        <v>3.3354917548111436E-2</v>
      </c>
    </row>
    <row r="74" spans="2:6" ht="13.9">
      <c r="B74" s="36" t="s">
        <v>123</v>
      </c>
      <c r="C74" s="37"/>
      <c r="D74" s="37"/>
      <c r="E74" s="37"/>
      <c r="F74" s="37"/>
    </row>
    <row r="75" spans="2:6" ht="13.15">
      <c r="B75" s="109" t="s">
        <v>121</v>
      </c>
    </row>
    <row r="76" spans="2:6">
      <c r="B76" s="246" t="s">
        <v>291</v>
      </c>
      <c r="C76" s="245">
        <f>F60</f>
        <v>3</v>
      </c>
      <c r="D76" s="134"/>
    </row>
    <row r="77" spans="2:6">
      <c r="B77" s="100" t="s">
        <v>435</v>
      </c>
      <c r="C77" s="173">
        <f>Normalized_FCF!C90*(1-dividend_tax_rate)</f>
        <v>1.06</v>
      </c>
      <c r="D77" t="str">
        <f>Market_currency</f>
        <v>HKD</v>
      </c>
    </row>
    <row r="79" spans="2:6" ht="13.15">
      <c r="B79" s="109" t="s">
        <v>295</v>
      </c>
    </row>
    <row r="80" spans="2:6">
      <c r="B80" s="148" t="s">
        <v>293</v>
      </c>
      <c r="C80" s="167">
        <f>Thesis!F29</f>
        <v>0.35</v>
      </c>
    </row>
    <row r="81" spans="2:8">
      <c r="B81" s="100" t="s">
        <v>117</v>
      </c>
      <c r="C81" s="116">
        <f>PV(C80, C76, -C77, 0)</f>
        <v>1.7976324747243817</v>
      </c>
      <c r="D81" s="116"/>
      <c r="E81" s="100"/>
      <c r="F81" s="100"/>
    </row>
    <row r="82" spans="2:8">
      <c r="B82" s="100" t="s">
        <v>118</v>
      </c>
      <c r="C82" s="116">
        <f>C60/(1+C80)^C76</f>
        <v>93.429613329867109</v>
      </c>
      <c r="D82" s="116"/>
    </row>
    <row r="83" spans="2:8" ht="13.15">
      <c r="B83" s="110" t="s">
        <v>98</v>
      </c>
      <c r="C83" s="111">
        <f>C81+C82</f>
        <v>95.22724580459149</v>
      </c>
      <c r="D83" t="str">
        <f>Market_currency</f>
        <v>HKD</v>
      </c>
      <c r="E83" s="146" t="s">
        <v>122</v>
      </c>
      <c r="F83" s="291">
        <f>(1-C83/C60)</f>
        <v>0.58573774323258665</v>
      </c>
    </row>
    <row r="84" spans="2:8">
      <c r="E84" s="120"/>
    </row>
    <row r="85" spans="2:8" ht="13.15">
      <c r="B85" s="109" t="s">
        <v>296</v>
      </c>
    </row>
    <row r="86" spans="2:8">
      <c r="B86" s="148" t="s">
        <v>294</v>
      </c>
      <c r="C86" s="116">
        <f>Market_Price</f>
        <v>96.9</v>
      </c>
      <c r="D86" t="str">
        <f>Market_currency</f>
        <v>HKD</v>
      </c>
    </row>
    <row r="87" spans="2:8" ht="13.15">
      <c r="B87" s="100" t="s">
        <v>292</v>
      </c>
      <c r="C87" s="237">
        <f ca="1">IRR(OFFSET($I$3, 0, 0, $C$76 + 1, 1))</f>
        <v>0.34212782431380817</v>
      </c>
    </row>
    <row r="88" spans="2:8">
      <c r="B88" s="100"/>
    </row>
    <row r="89" spans="2:8" ht="13.15">
      <c r="B89" s="109" t="s">
        <v>392</v>
      </c>
    </row>
    <row r="90" spans="2:8">
      <c r="B90" s="148" t="s">
        <v>393</v>
      </c>
      <c r="C90" s="167">
        <f>Thesis!F30</f>
        <v>0.25</v>
      </c>
    </row>
    <row r="91" spans="2:8">
      <c r="B91" s="100" t="s">
        <v>117</v>
      </c>
      <c r="C91" s="116">
        <f>PV(C90, C76, -C77, 0)</f>
        <v>2.0691199999999998</v>
      </c>
      <c r="D91" s="116"/>
      <c r="E91" s="100"/>
      <c r="F91" s="100"/>
    </row>
    <row r="92" spans="2:8">
      <c r="B92" s="100" t="s">
        <v>118</v>
      </c>
      <c r="C92" s="116">
        <f>C60/(1+C90)^C76</f>
        <v>117.69440506699357</v>
      </c>
      <c r="D92" s="116"/>
    </row>
    <row r="93" spans="2:8" ht="13.15">
      <c r="B93" s="110" t="s">
        <v>98</v>
      </c>
      <c r="C93" s="111">
        <f>C91+C92</f>
        <v>119.76352506699357</v>
      </c>
      <c r="D93" t="str">
        <f>Market_currency</f>
        <v>HKD</v>
      </c>
      <c r="E93" s="146" t="s">
        <v>122</v>
      </c>
      <c r="F93" s="291">
        <f>(1-C93/C60)</f>
        <v>0.47899881222563656</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185.03780338050987</v>
      </c>
      <c r="D98" s="116"/>
      <c r="G98" s="2"/>
      <c r="H98" s="281"/>
    </row>
    <row r="99" spans="2:8" ht="13.15">
      <c r="B99" s="110" t="s">
        <v>379</v>
      </c>
      <c r="C99" s="111">
        <f>C97+C98</f>
        <v>187.79436066477416</v>
      </c>
      <c r="D99" t="s">
        <v>377</v>
      </c>
      <c r="E99" s="146" t="s">
        <v>122</v>
      </c>
      <c r="F99" s="291">
        <f>(1-C99/C60)</f>
        <v>0.18304771917039031</v>
      </c>
    </row>
    <row r="100" spans="2:8">
      <c r="B100" s="100"/>
    </row>
    <row r="101" spans="2:8" ht="13.15">
      <c r="B101" s="109" t="s">
        <v>398</v>
      </c>
    </row>
    <row r="102" spans="2:8">
      <c r="B102" s="148" t="s">
        <v>397</v>
      </c>
      <c r="C102" s="134">
        <f>Thesis!F32</f>
        <v>0.1174</v>
      </c>
    </row>
    <row r="103" spans="2:8">
      <c r="B103" s="100" t="s">
        <v>117</v>
      </c>
      <c r="C103" s="116">
        <f>PV(C102, C76, -C77, 0)</f>
        <v>2.5573593134949681</v>
      </c>
      <c r="D103" s="116"/>
    </row>
    <row r="104" spans="2:8">
      <c r="B104" s="100" t="s">
        <v>118</v>
      </c>
      <c r="C104" s="116">
        <f>C60/(1+C102)^C76</f>
        <v>164.76306256144861</v>
      </c>
      <c r="D104" s="116"/>
    </row>
    <row r="105" spans="2:8" ht="13.15">
      <c r="B105" s="110" t="s">
        <v>379</v>
      </c>
      <c r="C105" s="111">
        <f>C103+C104</f>
        <v>167.32042187494358</v>
      </c>
      <c r="D105" t="s">
        <v>377</v>
      </c>
      <c r="E105" s="146" t="s">
        <v>122</v>
      </c>
      <c r="F105" s="291">
        <f>(1-C105/C66)</f>
        <v>-1.4062211413204331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436</v>
      </c>
      <c r="C2" s="37"/>
      <c r="D2" s="37"/>
      <c r="E2" s="3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INT</v>
      </c>
      <c r="E1" s="292" t="s">
        <v>343</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美团</v>
      </c>
    </row>
    <row r="6" spans="1:10">
      <c r="B6" s="4" t="s">
        <v>480</v>
      </c>
      <c r="C6" s="34">
        <f>Common_Shares</f>
        <v>9264431217</v>
      </c>
      <c r="E6" s="48"/>
    </row>
    <row r="7" spans="1:10">
      <c r="B7" s="2" t="s">
        <v>481</v>
      </c>
      <c r="C7" s="360">
        <f>Thesis!C7</f>
        <v>6</v>
      </c>
      <c r="D7" s="48"/>
      <c r="E7" s="48"/>
    </row>
    <row r="8" spans="1:10">
      <c r="B8" s="1" t="s">
        <v>482</v>
      </c>
      <c r="C8" s="33">
        <f>EOMONTH(EDATE(BS!C1,C7+2),0)</f>
        <v>46081</v>
      </c>
      <c r="E8" s="48"/>
    </row>
    <row r="9" spans="1:10">
      <c r="E9" s="34"/>
    </row>
    <row r="10" spans="1:10">
      <c r="B10" s="45" t="s">
        <v>440</v>
      </c>
      <c r="C10" s="46"/>
      <c r="E10" s="34"/>
    </row>
    <row r="11" spans="1:10">
      <c r="B11" s="1" t="s">
        <v>483</v>
      </c>
      <c r="C11" s="365" t="str">
        <f>Thesis!C11</f>
        <v>3690.HK</v>
      </c>
      <c r="D11" s="49"/>
      <c r="E11" s="34"/>
    </row>
    <row r="12" spans="1:10">
      <c r="B12" s="4" t="s">
        <v>484</v>
      </c>
      <c r="C12" s="366">
        <f>Market_Price</f>
        <v>96.9</v>
      </c>
      <c r="D12" s="50"/>
      <c r="E12" s="48"/>
    </row>
    <row r="13" spans="1:10">
      <c r="B13" s="1" t="s">
        <v>485</v>
      </c>
      <c r="C13" s="32" t="str">
        <f>Market_currency</f>
        <v>HKD</v>
      </c>
      <c r="D13" s="48"/>
      <c r="E13" s="5"/>
    </row>
    <row r="14" spans="1:10">
      <c r="B14" s="4" t="s">
        <v>486</v>
      </c>
      <c r="C14" s="35">
        <f>投资主题!C12*Common_Shares/1000000</f>
        <v>897723.38492730004</v>
      </c>
      <c r="D14" s="35" t="str">
        <f>IF(D11="","",投资主题!D12*Common_Shares/1000000)</f>
        <v/>
      </c>
      <c r="E14" s="5"/>
    </row>
    <row r="15" spans="1:10">
      <c r="B15" s="4" t="s">
        <v>487</v>
      </c>
      <c r="C15" s="32" t="str">
        <f>IF(C25=C13,C13,C25&amp;"/"&amp;C13)</f>
        <v>CNY/HKD</v>
      </c>
      <c r="D15" s="32" t="str">
        <f>IF(D11="","",IF(C25=D13,D13,C25&amp;"/"&amp;D13))</f>
        <v/>
      </c>
      <c r="E15" s="5"/>
    </row>
    <row r="16" spans="1:10">
      <c r="B16" s="4" t="s">
        <v>488</v>
      </c>
      <c r="C16" s="366">
        <f>Exchange_Rate</f>
        <v>1.0923594000000001</v>
      </c>
      <c r="D16" s="50"/>
      <c r="E16" s="5"/>
    </row>
    <row r="17" spans="2:6">
      <c r="D17" s="5"/>
      <c r="E17" s="5"/>
    </row>
    <row r="18" spans="2:6" ht="24.6" customHeight="1">
      <c r="B18" s="369" t="s">
        <v>489</v>
      </c>
      <c r="C18" s="369"/>
      <c r="D18" s="369"/>
      <c r="E18" s="369"/>
      <c r="F18" s="369"/>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(HKD) :</v>
      </c>
      <c r="C26" s="304">
        <f>C132</f>
        <v>229.87188489647181</v>
      </c>
      <c r="D26" s="1" t="s">
        <v>446</v>
      </c>
      <c r="E26" s="301">
        <f ca="1">Scenarios!C87</f>
        <v>0.34212782431380817</v>
      </c>
    </row>
    <row r="27" spans="2:6">
      <c r="D27" s="5"/>
      <c r="E27" s="5"/>
    </row>
    <row r="28" spans="2:6">
      <c r="B28" s="45" t="s">
        <v>448</v>
      </c>
      <c r="C28" s="309" t="str">
        <f>C145&amp;" ("&amp;Market_currency&amp;")"</f>
        <v>3690.HK (HKD)</v>
      </c>
      <c r="D28" s="309" t="str">
        <f>IF(D11="","",D145&amp;" ("&amp;D13&amp;")")</f>
        <v/>
      </c>
      <c r="E28" s="305" t="s">
        <v>453</v>
      </c>
      <c r="F28" s="361">
        <f>Thesis!F28</f>
        <v>3</v>
      </c>
    </row>
    <row r="29" spans="2:6">
      <c r="B29" s="1" t="s">
        <v>449</v>
      </c>
      <c r="C29" s="310">
        <f>C149</f>
        <v>95.22724580459149</v>
      </c>
      <c r="D29" s="310" t="str">
        <f>D149</f>
        <v/>
      </c>
      <c r="E29" s="306" t="s">
        <v>455</v>
      </c>
      <c r="F29" s="362">
        <f>Thesis!F29</f>
        <v>0.35</v>
      </c>
    </row>
    <row r="30" spans="2:6">
      <c r="B30" s="1" t="s">
        <v>450</v>
      </c>
      <c r="C30" s="311">
        <f>C157</f>
        <v>119.76352506699357</v>
      </c>
      <c r="D30" s="311" t="str">
        <f>D157</f>
        <v/>
      </c>
      <c r="E30" s="307" t="s">
        <v>454</v>
      </c>
      <c r="F30" s="224">
        <f>Thesis!F30</f>
        <v>0.25</v>
      </c>
    </row>
    <row r="31" spans="2:6">
      <c r="B31" s="1" t="s">
        <v>451</v>
      </c>
      <c r="C31" s="311">
        <f>C165</f>
        <v>187.79436066477416</v>
      </c>
      <c r="D31" s="311" t="str">
        <f>D165</f>
        <v/>
      </c>
      <c r="E31" s="307" t="s">
        <v>491</v>
      </c>
      <c r="F31" s="224">
        <f>Thesis!F31</f>
        <v>7.4999999999999997E-2</v>
      </c>
    </row>
    <row r="32" spans="2:6">
      <c r="B32" s="1" t="s">
        <v>452</v>
      </c>
      <c r="C32" s="311">
        <f>C173</f>
        <v>167.32042187494358</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69" t="s">
        <v>492</v>
      </c>
      <c r="C36" s="369"/>
      <c r="D36" s="369"/>
      <c r="E36" s="369"/>
      <c r="F36" s="369"/>
    </row>
    <row r="37" spans="1:6" ht="24.6" customHeight="1">
      <c r="B37" s="372" t="s">
        <v>329</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45986181.768000007</v>
      </c>
      <c r="D41" s="1" t="str">
        <f>Reporting_currency</f>
        <v>CNY</v>
      </c>
    </row>
    <row r="42" spans="1:6">
      <c r="B42" s="47"/>
      <c r="C42" s="76"/>
    </row>
    <row r="43" spans="1:6" ht="24.6" customHeight="1">
      <c r="B43" s="370" t="s">
        <v>495</v>
      </c>
      <c r="C43" s="370"/>
      <c r="D43" s="370"/>
      <c r="E43" s="370"/>
      <c r="F43" s="370"/>
    </row>
    <row r="44" spans="1:6">
      <c r="B44" s="47" t="s">
        <v>230</v>
      </c>
      <c r="C44" s="349">
        <f>Normalized_FCF!C9</f>
        <v>239.649</v>
      </c>
      <c r="D44" s="1" t="str">
        <f>Reporting_currency</f>
        <v>CNY</v>
      </c>
    </row>
    <row r="45" spans="1:6">
      <c r="B45" s="52" t="s">
        <v>231</v>
      </c>
      <c r="C45" s="349">
        <f>Normalized_FCF!C10</f>
        <v>-239.649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330</v>
      </c>
      <c r="C51" s="350">
        <f>Normalized_FCF!C48</f>
        <v>0</v>
      </c>
      <c r="D51" s="1" t="str">
        <f>Reporting_currency</f>
        <v>CNY</v>
      </c>
      <c r="E51" s="286"/>
      <c r="F51" s="286"/>
    </row>
    <row r="52" spans="2:6">
      <c r="B52" s="47" t="s">
        <v>331</v>
      </c>
      <c r="C52" s="350">
        <f>Normalized_FCF!C47</f>
        <v>-1337038</v>
      </c>
      <c r="D52" s="1" t="str">
        <f>Reporting_currency</f>
        <v>CNY</v>
      </c>
      <c r="E52" s="286"/>
      <c r="F52" s="286"/>
    </row>
    <row r="53" spans="2:6">
      <c r="B53" s="47" t="s">
        <v>234</v>
      </c>
      <c r="C53" s="349">
        <f>Normalized_FCF!C12</f>
        <v>-1337038</v>
      </c>
      <c r="D53" s="1" t="str">
        <f>Reporting_currency</f>
        <v>CNY</v>
      </c>
    </row>
    <row r="55" spans="2:6">
      <c r="B55" s="1" t="s">
        <v>498</v>
      </c>
    </row>
    <row r="56" spans="2:6">
      <c r="B56" s="47" t="s">
        <v>260</v>
      </c>
      <c r="C56" s="349">
        <f>Normalized_FCF!C15</f>
        <v>0</v>
      </c>
      <c r="D56" s="1" t="str">
        <f>Reporting_currency</f>
        <v>CNY</v>
      </c>
    </row>
    <row r="58" spans="2:6">
      <c r="B58" s="370" t="s">
        <v>237</v>
      </c>
      <c r="C58" s="370"/>
      <c r="D58" s="370"/>
      <c r="E58" s="370"/>
      <c r="F58" s="370"/>
    </row>
    <row r="59" spans="2:6">
      <c r="B59" s="47" t="s">
        <v>235</v>
      </c>
      <c r="C59" s="349">
        <f>Normalized_FCF!C14</f>
        <v>-11162285.942000002</v>
      </c>
      <c r="D59" s="1" t="str">
        <f>Reporting_currency</f>
        <v>CNY</v>
      </c>
    </row>
    <row r="61" spans="2:6">
      <c r="B61" s="370" t="s">
        <v>499</v>
      </c>
      <c r="C61" s="371"/>
      <c r="D61" s="371"/>
      <c r="E61" s="371"/>
      <c r="F61" s="371"/>
    </row>
    <row r="62" spans="2:6">
      <c r="B62" s="47" t="s">
        <v>238</v>
      </c>
      <c r="C62" s="349">
        <f>Normalized_FCF!C17</f>
        <v>0</v>
      </c>
      <c r="D62" s="1" t="str">
        <f>Reporting_currency</f>
        <v>CNY</v>
      </c>
    </row>
    <row r="64" spans="2:6">
      <c r="B64" s="369" t="s">
        <v>500</v>
      </c>
      <c r="C64" s="369"/>
      <c r="D64" s="369"/>
      <c r="E64" s="369"/>
      <c r="F64" s="369"/>
    </row>
    <row r="65" spans="1:6">
      <c r="B65" s="369" t="s">
        <v>501</v>
      </c>
      <c r="C65" s="369"/>
      <c r="D65" s="369"/>
      <c r="E65" s="369"/>
      <c r="F65" s="369"/>
    </row>
    <row r="67" spans="1:6">
      <c r="B67" s="47" t="s">
        <v>502</v>
      </c>
      <c r="C67" s="349">
        <f>Normalized_FCF!G19</f>
        <v>30511267</v>
      </c>
      <c r="D67" s="1" t="str">
        <f>Reporting_currency</f>
        <v>CNY</v>
      </c>
    </row>
    <row r="68" spans="1:6">
      <c r="B68" s="47" t="s">
        <v>244</v>
      </c>
      <c r="C68" s="349">
        <f>Normalized_FCF!C19</f>
        <v>33486857.826000005</v>
      </c>
      <c r="D68" s="1" t="str">
        <f>Reporting_currency</f>
        <v>CNY</v>
      </c>
    </row>
    <row r="69" spans="1:6">
      <c r="B69" s="227" t="s">
        <v>371</v>
      </c>
      <c r="C69" s="92">
        <f>Normalized_FCF!C126</f>
        <v>4.0747166150358213E-2</v>
      </c>
      <c r="F69" s="314"/>
    </row>
    <row r="70" spans="1:6">
      <c r="B70" s="227" t="s">
        <v>434</v>
      </c>
      <c r="C70" s="92">
        <f>Normalized_FCF!C94</f>
        <v>1.0939112487100102E-2</v>
      </c>
      <c r="E70" s="47" t="s">
        <v>503</v>
      </c>
      <c r="F70" s="315">
        <f>Normalized_FCF!C92</f>
        <v>0.29325824301124143</v>
      </c>
    </row>
    <row r="72" spans="1:6">
      <c r="B72" s="210" t="s">
        <v>513</v>
      </c>
      <c r="C72" s="323" t="s">
        <v>429</v>
      </c>
      <c r="D72" s="323" t="s">
        <v>504</v>
      </c>
    </row>
    <row r="73" spans="1:6">
      <c r="B73" s="47" t="s">
        <v>428</v>
      </c>
      <c r="C73" s="92">
        <f>Normalized_FCF!C121</f>
        <v>0.24226659755524499</v>
      </c>
      <c r="D73" s="92">
        <f>Normalized_FCF!G121</f>
        <v>0.17737357071089666</v>
      </c>
    </row>
    <row r="74" spans="1:6">
      <c r="B74" s="259" t="str">
        <f>Normalized_FCF!B118</f>
        <v>Pre-tax Profit/Sales</v>
      </c>
      <c r="C74" s="322">
        <f>Normalized_FCF!C118</f>
        <v>0.11021489412599168</v>
      </c>
      <c r="D74" s="322">
        <f>Normalized_FCF!G118</f>
        <v>9.6831554232857997E-2</v>
      </c>
    </row>
    <row r="75" spans="1:6">
      <c r="B75" s="259" t="str">
        <f>Normalized_FCF!B119</f>
        <v>Sales/Total Assets</v>
      </c>
      <c r="C75" s="324">
        <f>Normalized_FCF!C119</f>
        <v>1.2268689589214112</v>
      </c>
      <c r="D75" s="324">
        <f>Normalized_FCF!G119</f>
        <v>1.022390799101176</v>
      </c>
    </row>
    <row r="76" spans="1:6">
      <c r="B76" s="259" t="str">
        <f>Normalized_FCF!B120</f>
        <v>Total Assets/Equity</v>
      </c>
      <c r="C76" s="324">
        <f>Normalized_FCF!C120</f>
        <v>1.7916578376478161</v>
      </c>
      <c r="D76" s="324">
        <f>Normalized_FCF!G120</f>
        <v>1.7916578376478161</v>
      </c>
    </row>
    <row r="78" spans="1:6" ht="13.9">
      <c r="A78" s="222" t="s">
        <v>505</v>
      </c>
      <c r="B78" s="36"/>
      <c r="C78" s="36"/>
      <c r="D78" s="36"/>
      <c r="E78" s="36"/>
      <c r="F78" s="36"/>
    </row>
    <row r="79" spans="1:6">
      <c r="A79" s="209"/>
    </row>
    <row r="80" spans="1:6">
      <c r="A80" s="17"/>
      <c r="B80" s="369" t="s">
        <v>506</v>
      </c>
      <c r="C80" s="369"/>
      <c r="D80" s="369"/>
      <c r="E80" s="369"/>
      <c r="F80" s="369"/>
    </row>
    <row r="81" spans="1:6">
      <c r="B81" s="372" t="s">
        <v>247</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69" t="s">
        <v>507</v>
      </c>
      <c r="C89" s="369"/>
      <c r="D89" s="369"/>
      <c r="E89" s="369"/>
      <c r="F89" s="369"/>
    </row>
    <row r="90" spans="1:6">
      <c r="B90" s="369" t="s">
        <v>508</v>
      </c>
      <c r="C90" s="369"/>
      <c r="D90" s="369"/>
      <c r="E90" s="369"/>
      <c r="F90" s="369"/>
    </row>
    <row r="92" spans="1:6">
      <c r="B92" s="47" t="s">
        <v>246</v>
      </c>
      <c r="C92" s="236">
        <v>0</v>
      </c>
    </row>
    <row r="93" spans="1:6">
      <c r="B93" s="47" t="s">
        <v>274</v>
      </c>
      <c r="C93" s="223">
        <f>DCF!C6*scaling_factor*Exchange_Rate/Common_Shares</f>
        <v>52.645338666262809</v>
      </c>
      <c r="D93" s="1" t="str">
        <f>Market_currency</f>
        <v>HKD</v>
      </c>
    </row>
    <row r="95" spans="1:6" ht="13.9">
      <c r="A95" s="222" t="s">
        <v>509</v>
      </c>
      <c r="B95" s="36"/>
      <c r="C95" s="36"/>
      <c r="D95" s="36"/>
      <c r="E95" s="36"/>
      <c r="F95" s="36"/>
    </row>
    <row r="96" spans="1:6">
      <c r="A96" s="209"/>
    </row>
    <row r="97" spans="2:6">
      <c r="B97" s="369" t="s">
        <v>510</v>
      </c>
      <c r="C97" s="369"/>
      <c r="D97" s="369"/>
      <c r="E97" s="369"/>
      <c r="F97" s="369"/>
    </row>
    <row r="98" spans="2:6">
      <c r="B98" s="1" t="s">
        <v>248</v>
      </c>
    </row>
    <row r="100" spans="2:6">
      <c r="B100" s="210" t="s">
        <v>493</v>
      </c>
    </row>
    <row r="101" spans="2:6">
      <c r="B101" s="369" t="s">
        <v>511</v>
      </c>
      <c r="C101" s="369"/>
      <c r="D101" s="369"/>
      <c r="E101" s="369"/>
      <c r="F101" s="369"/>
    </row>
    <row r="102" spans="2:6">
      <c r="B102" s="47" t="s">
        <v>250</v>
      </c>
      <c r="C102" s="349">
        <f>DCF!C7</f>
        <v>50977402</v>
      </c>
      <c r="D102" s="1" t="str">
        <f>Reporting_currency</f>
        <v>CNY</v>
      </c>
    </row>
    <row r="103" spans="2:6">
      <c r="B103" s="47" t="s">
        <v>275</v>
      </c>
      <c r="C103" s="223">
        <f>C102*scaling_factor*Exchange_Rate/Common_Shares</f>
        <v>6.0106921793641295</v>
      </c>
      <c r="D103" s="1" t="str">
        <f>Market_currency</f>
        <v>HKD</v>
      </c>
    </row>
    <row r="104" spans="2:6">
      <c r="B104" s="296" t="s">
        <v>384</v>
      </c>
      <c r="C104" s="325">
        <f>IF(BS!G31/BS!G27&gt;300%,"nm",BS!G31/BS!G27)</f>
        <v>0.27660377540313014</v>
      </c>
    </row>
    <row r="105" spans="2:6">
      <c r="B105" s="296" t="s">
        <v>386</v>
      </c>
      <c r="C105" s="326">
        <f>IF(BS!C50&gt;30,"nm",BS!C50)</f>
        <v>1.1085373918882995</v>
      </c>
    </row>
    <row r="107" spans="2:6">
      <c r="B107" s="1" t="s">
        <v>514</v>
      </c>
    </row>
    <row r="108" spans="2:6">
      <c r="B108" s="47" t="s">
        <v>259</v>
      </c>
      <c r="C108" s="349">
        <f>BS!C66</f>
        <v>119577005</v>
      </c>
      <c r="D108" s="1" t="str">
        <f>Reporting_currency</f>
        <v>CNY</v>
      </c>
    </row>
    <row r="109" spans="2:6">
      <c r="B109" s="47" t="s">
        <v>261</v>
      </c>
      <c r="C109" s="349">
        <f>DCF!C8</f>
        <v>58086337.24633</v>
      </c>
      <c r="D109" s="1" t="str">
        <f>Reporting_currency</f>
        <v>CNY</v>
      </c>
    </row>
    <row r="110" spans="2:6">
      <c r="B110" s="47" t="s">
        <v>276</v>
      </c>
      <c r="C110" s="223">
        <f>C109*scaling_factor*Exchange_Rate/Common_Shares</f>
        <v>6.8488993027620966</v>
      </c>
      <c r="D110" s="1" t="str">
        <f>Market_currency</f>
        <v>HKD</v>
      </c>
    </row>
    <row r="112" spans="2:6">
      <c r="B112" s="1" t="s">
        <v>515</v>
      </c>
    </row>
    <row r="113" spans="1:6">
      <c r="B113" s="47" t="s">
        <v>252</v>
      </c>
      <c r="C113" s="349">
        <f>DCF!C9</f>
        <v>57918846.499999993</v>
      </c>
      <c r="D113" s="1" t="str">
        <f>Reporting_currency</f>
        <v>CNY</v>
      </c>
    </row>
    <row r="114" spans="1:6">
      <c r="B114" s="47" t="s">
        <v>277</v>
      </c>
      <c r="C114" s="223">
        <f>C113*scaling_factor*Exchange_Rate/Common_Shares</f>
        <v>6.829150643952814</v>
      </c>
      <c r="D114" s="1" t="str">
        <f>Market_currency</f>
        <v>HKD</v>
      </c>
    </row>
    <row r="116" spans="1:6">
      <c r="B116" s="369" t="s">
        <v>516</v>
      </c>
      <c r="C116" s="369"/>
      <c r="D116" s="369"/>
      <c r="E116" s="369"/>
      <c r="F116" s="369"/>
    </row>
    <row r="118" spans="1:6">
      <c r="B118" s="47" t="s">
        <v>517</v>
      </c>
      <c r="C118" s="223">
        <f>IF(valuation_method="DCF",DCF!C12,DDM!C7)</f>
        <v>60.312696433613588</v>
      </c>
      <c r="D118" s="1" t="str">
        <f>Market_currency</f>
        <v>HKD</v>
      </c>
    </row>
    <row r="119" spans="1:6">
      <c r="B119" s="296" t="s">
        <v>550</v>
      </c>
      <c r="C119" s="223">
        <f>BS!D47</f>
        <v>3.4814224065804482</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0.25</v>
      </c>
      <c r="D126" s="230">
        <f>DCF!D74</f>
        <v>10</v>
      </c>
      <c r="E126" s="231" t="str">
        <f>ROUND(IF(valuation_method="DCF",DCF!E74,DDM!E69),2)&amp;" "&amp;Market_currency</f>
        <v>138.83 HKD</v>
      </c>
      <c r="F126" s="232">
        <f>DCF!F74</f>
        <v>0.05</v>
      </c>
    </row>
    <row r="127" spans="1:6">
      <c r="B127" s="218" t="str">
        <f>DCF!B75</f>
        <v>Optimistic</v>
      </c>
      <c r="C127" s="219">
        <f>DCF!C75</f>
        <v>0.2</v>
      </c>
      <c r="D127" s="220">
        <f>DCF!D75</f>
        <v>20</v>
      </c>
      <c r="E127" s="231" t="str">
        <f>ROUND(IF(valuation_method="DCF",DCF!E75,DDM!E70),2)&amp;" "&amp;Market_currency</f>
        <v>326.73 HKD</v>
      </c>
      <c r="F127" s="221">
        <f>DCF!F75</f>
        <v>0.18</v>
      </c>
    </row>
    <row r="128" spans="1:6">
      <c r="B128" s="218" t="str">
        <f>DCF!B76</f>
        <v>Base</v>
      </c>
      <c r="C128" s="219">
        <f>DCF!C76</f>
        <v>0.17</v>
      </c>
      <c r="D128" s="220">
        <f>DCF!D76</f>
        <v>20</v>
      </c>
      <c r="E128" s="231" t="str">
        <f>ROUND(IF(valuation_method="DCF",DCF!E76,DDM!E71),2)&amp;" "&amp;Market_currency</f>
        <v>238.04 HKD</v>
      </c>
      <c r="F128" s="221">
        <f>DCF!F76</f>
        <v>0.53999999999999992</v>
      </c>
    </row>
    <row r="129" spans="1:6">
      <c r="B129" s="218" t="str">
        <f>DCF!B77</f>
        <v>Pessimistic</v>
      </c>
      <c r="C129" s="219">
        <f>DCF!C77</f>
        <v>0.14000000000000001</v>
      </c>
      <c r="D129" s="220">
        <f>DCF!D77</f>
        <v>20</v>
      </c>
      <c r="E129" s="231" t="str">
        <f>ROUND(IF(valuation_method="DCF",DCF!E77,DDM!E72),2)&amp;" "&amp;Market_currency</f>
        <v>176.59 HKD</v>
      </c>
      <c r="F129" s="221">
        <f>DCF!F77</f>
        <v>0.18</v>
      </c>
    </row>
    <row r="130" spans="1:6">
      <c r="B130" s="218" t="str">
        <f>DCF!B78</f>
        <v>Devil's advocate</v>
      </c>
      <c r="C130" s="219">
        <f>DCF!C78</f>
        <v>0.08</v>
      </c>
      <c r="D130" s="220">
        <f>DCF!D78</f>
        <v>10</v>
      </c>
      <c r="E130" s="231" t="str">
        <f>ROUND(IF(valuation_method="DCF",DCF!E78,DDM!E73),2)&amp;" "&amp;Market_currency</f>
        <v>75.76 HKD</v>
      </c>
      <c r="F130" s="221">
        <f>DCF!F78</f>
        <v>0.05</v>
      </c>
    </row>
    <row r="132" spans="1:6">
      <c r="B132" s="211" t="s">
        <v>253</v>
      </c>
      <c r="C132" s="217">
        <f>Scenarios!C60</f>
        <v>229.87188489647181</v>
      </c>
      <c r="D132" s="212" t="str">
        <f>Market_currency</f>
        <v>HKD</v>
      </c>
    </row>
    <row r="134" spans="1:6">
      <c r="B134" s="373" t="s">
        <v>524</v>
      </c>
      <c r="C134" s="373"/>
      <c r="D134" s="373"/>
      <c r="E134" s="373"/>
      <c r="F134" s="373"/>
    </row>
    <row r="136" spans="1:6" ht="13.9">
      <c r="A136" s="222" t="s">
        <v>525</v>
      </c>
      <c r="B136" s="36"/>
      <c r="C136" s="36"/>
      <c r="D136" s="36"/>
      <c r="E136" s="36"/>
      <c r="F136" s="36"/>
    </row>
    <row r="138" spans="1:6">
      <c r="B138" s="374" t="s">
        <v>526</v>
      </c>
      <c r="C138" s="374"/>
      <c r="D138" s="374"/>
      <c r="E138" s="374"/>
      <c r="F138" s="374"/>
    </row>
    <row r="139" spans="1:6" ht="24.6" customHeight="1">
      <c r="B139" s="369" t="s">
        <v>527</v>
      </c>
      <c r="C139" s="369"/>
      <c r="D139" s="369"/>
      <c r="E139" s="369"/>
      <c r="F139" s="369"/>
    </row>
    <row r="140" spans="1:6">
      <c r="B140" s="210" t="s">
        <v>493</v>
      </c>
    </row>
    <row r="141" spans="1:6">
      <c r="B141" s="1" t="s">
        <v>528</v>
      </c>
      <c r="C141" s="225">
        <f>F28</f>
        <v>3</v>
      </c>
    </row>
    <row r="142" spans="1:6">
      <c r="B142" s="1" t="s">
        <v>529</v>
      </c>
      <c r="C142" s="224">
        <f>F29</f>
        <v>0.35</v>
      </c>
    </row>
    <row r="143" spans="1:6">
      <c r="B143" s="212" t="s">
        <v>530</v>
      </c>
      <c r="C143" s="213">
        <f>Scenarios!C77</f>
        <v>1.06</v>
      </c>
      <c r="D143" s="212" t="str">
        <f>Market_currency</f>
        <v>HKD</v>
      </c>
    </row>
    <row r="145" spans="2:4">
      <c r="B145" s="210" t="s">
        <v>531</v>
      </c>
      <c r="C145" s="241" t="str">
        <f>C11</f>
        <v>3690.HK</v>
      </c>
      <c r="D145" s="241" t="str">
        <f>IF(D11="","",D11)</f>
        <v/>
      </c>
    </row>
    <row r="146" spans="2:4">
      <c r="B146" s="1" t="s">
        <v>387</v>
      </c>
      <c r="C146" s="297">
        <f>F29</f>
        <v>0.35</v>
      </c>
    </row>
    <row r="147" spans="2:4">
      <c r="B147" s="212" t="str">
        <f>"PV("&amp;C141&amp;" yrs of Dividends)"</f>
        <v>PV(3 yrs of Dividends)</v>
      </c>
      <c r="C147" s="216">
        <f>Scenarios!C81</f>
        <v>1.7976324747243817</v>
      </c>
    </row>
    <row r="148" spans="2:4">
      <c r="B148" s="212" t="str">
        <f>"+ PV(Equity Value realized at year "&amp;C141&amp;")"</f>
        <v>+ PV(Equity Value realized at year 3)</v>
      </c>
      <c r="C148" s="216">
        <f>Scenarios!C82</f>
        <v>93.429613329867109</v>
      </c>
    </row>
    <row r="149" spans="2:4">
      <c r="B149" s="80" t="s">
        <v>255</v>
      </c>
      <c r="C149" s="215">
        <f>Scenarios!C83</f>
        <v>95.22724580459149</v>
      </c>
      <c r="D149" s="300" t="str">
        <f>IF($D$11="","",C149*$E$25)</f>
        <v/>
      </c>
    </row>
    <row r="150" spans="2:4">
      <c r="B150" s="259" t="s">
        <v>532</v>
      </c>
      <c r="C150" s="298" t="str">
        <f>Market_currency</f>
        <v>HKD</v>
      </c>
      <c r="D150" s="298" t="str">
        <f>IF($D$11="","",D$13)</f>
        <v/>
      </c>
    </row>
    <row r="151" spans="2:4">
      <c r="B151" s="214" t="s">
        <v>533</v>
      </c>
      <c r="C151" s="92">
        <f>Scenarios!F83</f>
        <v>0.58573774323258665</v>
      </c>
    </row>
    <row r="153" spans="2:4">
      <c r="B153" s="210" t="s">
        <v>391</v>
      </c>
    </row>
    <row r="154" spans="2:4">
      <c r="B154" s="1" t="s">
        <v>390</v>
      </c>
      <c r="C154" s="297">
        <f>Scenarios!C90</f>
        <v>0.25</v>
      </c>
    </row>
    <row r="155" spans="2:4">
      <c r="B155" s="212" t="str">
        <f>"PV("&amp;C141&amp;" yrs of Dividends)"</f>
        <v>PV(3 yrs of Dividends)</v>
      </c>
      <c r="C155" s="216">
        <f>Scenarios!C91</f>
        <v>2.0691199999999998</v>
      </c>
    </row>
    <row r="156" spans="2:4">
      <c r="B156" s="212" t="str">
        <f>"+ PV(Equity Value realized at year "&amp;C141&amp;")"</f>
        <v>+ PV(Equity Value realized at year 3)</v>
      </c>
      <c r="C156" s="216">
        <f>Scenarios!C92</f>
        <v>117.69440506699357</v>
      </c>
    </row>
    <row r="157" spans="2:4">
      <c r="B157" s="80" t="s">
        <v>255</v>
      </c>
      <c r="C157" s="215">
        <f>Scenarios!C93</f>
        <v>119.76352506699357</v>
      </c>
      <c r="D157" s="300" t="str">
        <f>IF($D$11="","",C157*$E$25)</f>
        <v/>
      </c>
    </row>
    <row r="158" spans="2:4">
      <c r="B158" s="259" t="s">
        <v>532</v>
      </c>
      <c r="C158" s="298" t="str">
        <f>Market_currency</f>
        <v>HKD</v>
      </c>
      <c r="D158" s="298" t="str">
        <f>IF($D$11="","",D$13)</f>
        <v/>
      </c>
    </row>
    <row r="159" spans="2:4">
      <c r="B159" s="214" t="s">
        <v>533</v>
      </c>
      <c r="C159" s="92">
        <f>Scenarios!F93</f>
        <v>0.47899881222563656</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185.03780338050987</v>
      </c>
    </row>
    <row r="165" spans="2:4">
      <c r="B165" s="80" t="s">
        <v>382</v>
      </c>
      <c r="C165" s="215">
        <f>Scenarios!C99</f>
        <v>187.79436066477416</v>
      </c>
      <c r="D165" s="300" t="str">
        <f>IF($D$11="","",C165*$E$25)</f>
        <v/>
      </c>
    </row>
    <row r="166" spans="2:4">
      <c r="B166" s="259" t="s">
        <v>532</v>
      </c>
      <c r="C166" s="298" t="str">
        <f>Market_currency</f>
        <v>HKD</v>
      </c>
      <c r="D166" s="298" t="str">
        <f>IF($D$11="","",D$13)</f>
        <v/>
      </c>
    </row>
    <row r="167" spans="2:4">
      <c r="B167" s="214" t="s">
        <v>533</v>
      </c>
      <c r="C167" s="92">
        <f>Scenarios!F99</f>
        <v>0.18304771917039031</v>
      </c>
    </row>
    <row r="169" spans="2:4">
      <c r="B169" s="210" t="s">
        <v>408</v>
      </c>
    </row>
    <row r="170" spans="2:4">
      <c r="B170" s="1" t="s">
        <v>399</v>
      </c>
      <c r="C170" s="92">
        <f>F32</f>
        <v>0.1174</v>
      </c>
    </row>
    <row r="171" spans="2:4">
      <c r="B171" s="212" t="str">
        <f>"PV("&amp;C141&amp;" yrs of Dividends)"</f>
        <v>PV(3 yrs of Dividends)</v>
      </c>
      <c r="C171" s="216">
        <f>Scenarios!C103</f>
        <v>2.5573593134949681</v>
      </c>
    </row>
    <row r="172" spans="2:4">
      <c r="B172" s="212" t="str">
        <f>"+ PV(Equity Value realized at year "&amp;C141&amp;")"</f>
        <v>+ PV(Equity Value realized at year 3)</v>
      </c>
      <c r="C172" s="216">
        <f>Scenarios!C104</f>
        <v>164.76306256144861</v>
      </c>
    </row>
    <row r="173" spans="2:4">
      <c r="B173" s="80" t="s">
        <v>382</v>
      </c>
      <c r="C173" s="215">
        <f>Scenarios!C105</f>
        <v>167.32042187494358</v>
      </c>
      <c r="D173" s="300" t="str">
        <f>IF($D$11="","",C173*$E$25)</f>
        <v/>
      </c>
    </row>
    <row r="174" spans="2:4">
      <c r="B174" s="259" t="s">
        <v>532</v>
      </c>
      <c r="C174" s="298" t="str">
        <f>Market_currency</f>
        <v>HKD</v>
      </c>
      <c r="D174" s="298" t="str">
        <f>IF($D$11="","",D$13)</f>
        <v/>
      </c>
    </row>
    <row r="175" spans="2:4">
      <c r="B175" s="214" t="s">
        <v>533</v>
      </c>
      <c r="C175" s="92">
        <f>Scenarios!F105</f>
        <v>-1.4062211413204331</v>
      </c>
    </row>
    <row r="177" spans="1:6" ht="13.9">
      <c r="A177" s="222" t="s">
        <v>357</v>
      </c>
      <c r="B177" s="36"/>
      <c r="C177" s="36"/>
      <c r="D177" s="36"/>
      <c r="E177" s="36"/>
      <c r="F177" s="36"/>
    </row>
    <row r="179" spans="1:6">
      <c r="B179" s="368" t="s">
        <v>534</v>
      </c>
      <c r="C179" s="369"/>
      <c r="D179" s="369"/>
      <c r="E179" s="369"/>
      <c r="F179" s="369"/>
    </row>
    <row r="181" spans="1:6">
      <c r="B181" s="210" t="s">
        <v>535</v>
      </c>
    </row>
    <row r="182" spans="1:6">
      <c r="B182" s="371" t="s">
        <v>536</v>
      </c>
      <c r="C182" s="371"/>
      <c r="D182" s="371"/>
      <c r="E182" s="371"/>
      <c r="F182" s="371"/>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67" t="s">
        <v>543</v>
      </c>
      <c r="C191" s="367"/>
      <c r="D191" s="367"/>
      <c r="E191" s="367"/>
      <c r="F191" s="367"/>
    </row>
    <row r="192" spans="1:6">
      <c r="B192" s="367" t="s">
        <v>544</v>
      </c>
      <c r="C192" s="367"/>
      <c r="D192" s="367"/>
      <c r="E192" s="367"/>
      <c r="F192" s="367"/>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Breakdown</vt:lpstr>
      <vt:lpstr>投资主题</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