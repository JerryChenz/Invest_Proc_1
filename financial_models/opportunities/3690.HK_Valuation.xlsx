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AC87523-EDB6-47EF-9A6E-EAE7314073D8}"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<sst xmlns="http://schemas.openxmlformats.org/spreadsheetml/2006/main" count="768" uniqueCount="558">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</sst>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96.55</v>
      </c>
      <c r="E8" s="32"/>
    </row>
    <row r="9" spans="1:9">
      <c r="B9" s="4" t="s">
        <v>346</v>
      </c>
      <c r="C9" s="48">
        <v>9264431217</v>
      </c>
    </row>
    <row r="10" spans="1:9">
      <c r="B10" s="4" t="s">
        <v>352</v>
      </c>
      <c r="C10" s="33">
        <f>Thesis!C8*Common_Shares/1000000</f>
        <v>894480.83400134998</v>
      </c>
      <c r="D10" s="1" t="s">
        <v>527</v>
      </c>
      <c r="E10" s="303">
        <f>Scenarios!F34</f>
        <v>0.14553508131889137</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1.1215249683380129</v>
      </c>
    </row>
    <row r="17" spans="1:6">
      <c r="B17" s="1" t="s">
        <v>531</v>
      </c>
      <c r="C17" s="456">
        <v>0.02</v>
      </c>
      <c r="D17" s="4" t="s">
        <v>274</v>
      </c>
      <c r="E17" s="224" t="s">
        <v>557</v>
      </c>
    </row>
    <row r="18" spans="1:6">
      <c r="B18" s="1" t="str">
        <f>"Expected Equity Value ("&amp;C7&amp;") :"</f>
        <v>Expected Equity Value (HKD) :</v>
      </c>
      <c r="C18" s="252">
        <f>C125</f>
        <v>145.13677188293119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66.883305015175679</v>
      </c>
      <c r="D22" s="38" t="s">
        <v>406</v>
      </c>
      <c r="E22" s="79">
        <v>0.29465259038036606</v>
      </c>
    </row>
    <row r="23" spans="1:6">
      <c r="B23" s="1" t="s">
        <v>313</v>
      </c>
      <c r="C23" s="256">
        <f>E141</f>
        <v>83.833514445014444</v>
      </c>
      <c r="D23" s="38" t="s">
        <v>407</v>
      </c>
      <c r="E23" s="443">
        <v>0.20075184365903009</v>
      </c>
    </row>
    <row r="24" spans="1:6">
      <c r="B24" s="1" t="s">
        <v>315</v>
      </c>
      <c r="C24" s="256">
        <f>E144</f>
        <v>104.02828965570951</v>
      </c>
      <c r="D24" s="38" t="s">
        <v>408</v>
      </c>
      <c r="E24" s="443">
        <v>0.1174</v>
      </c>
    </row>
    <row r="25" spans="1:6">
      <c r="B25" s="1" t="s">
        <v>314</v>
      </c>
      <c r="C25" s="256">
        <f>E145</f>
        <v>117.64827309506597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16278123.080000043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-3385198.1032300107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1.2733366835461593E-2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0.25</v>
      </c>
      <c r="D66" s="89">
        <f>Normalized_FCF!G119</f>
        <v>0.18051269149145724</v>
      </c>
    </row>
    <row r="67" spans="1:6">
      <c r="B67" s="229" t="str">
        <f>Normalized_FCF!B116</f>
        <v>Pre-tax Profit/Sales</v>
      </c>
      <c r="C67" s="263">
        <f>Normalized_FCF!E116</f>
        <v>0.13647968218259099</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-6.1711753074591531</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7.9927648364700099</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7.0114862926383923</v>
      </c>
      <c r="D90" s="1" t="str">
        <f>Market_currency</f>
        <v>HKD</v>
      </c>
    </row>
    <row r="91" spans="1:6">
      <c r="A91" s="191"/>
    </row>
    <row r="92" spans="1:6">
      <c r="A92" s="191"/>
      <c r="B92" s="44" t="s">
        <v>469</v>
      </c>
      <c r="C92" s="216">
        <f>DCF!F8</f>
        <v>8.8330758216492491</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3.5743750219125552</v>
      </c>
      <c r="D111" s="1" t="str">
        <f>Market_currency</f>
        <v>HKD</v>
      </c>
    </row>
    <row r="112" spans="2:6">
      <c r="B112" s="44" t="s">
        <v>323</v>
      </c>
      <c r="C112" s="216">
        <f>DCF!C11</f>
        <v>32.718689142089133</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399.42 HKD</v>
      </c>
      <c r="E118" s="208">
        <f>DCF!F90</f>
        <v>0.05</v>
      </c>
      <c r="F118" s="208">
        <f>RATE(Holding_Period,Scenarios!C$58,-DCF!E90,C$18)</f>
        <v>-0.2864104738607785</v>
      </c>
    </row>
    <row r="119" spans="2:6">
      <c r="B119" s="205" t="str">
        <f>DCF!B91&amp;" ("&amp;DCF!D91&amp;"yrs)"</f>
        <v>Optimistic (15yrs)</v>
      </c>
      <c r="C119" s="198">
        <f>DCF!C91</f>
        <v>0.2</v>
      </c>
      <c r="D119" s="207" t="str">
        <f>ROUND(DCF!E91,2)&amp;" "&amp;Market_currency</f>
        <v>263.34 HKD</v>
      </c>
      <c r="E119" s="199">
        <f>DCF!F91</f>
        <v>0.18</v>
      </c>
      <c r="F119" s="208">
        <f>RATE(Holding_Period,Scenarios!C$58,-DCF!E91,C$18)</f>
        <v>-0.18011406136043298</v>
      </c>
    </row>
    <row r="120" spans="2:6">
      <c r="B120" s="205" t="str">
        <f>DCF!B92&amp;" ("&amp;DCF!D92&amp;"yrs)"</f>
        <v>Base (15yrs)</v>
      </c>
      <c r="C120" s="198">
        <f>DCF!C92</f>
        <v>0.1</v>
      </c>
      <c r="D120" s="207" t="str">
        <f>ROUND(DCF!E92,2)&amp;" "&amp;Market_currency</f>
        <v>114.03 HKD</v>
      </c>
      <c r="E120" s="199">
        <f>DCF!F92</f>
        <v>0.53999999999999992</v>
      </c>
      <c r="F120" s="208">
        <f>RATE(Holding_Period,Scenarios!C$58,-DCF!E92,C$18)</f>
        <v>8.371598401256275E-2</v>
      </c>
    </row>
    <row r="121" spans="2:6">
      <c r="B121" s="205" t="str">
        <f>DCF!B93&amp;" ("&amp;DCF!D93&amp;"yrs)"</f>
        <v>Pessimistic (15yrs)</v>
      </c>
      <c r="C121" s="198">
        <f>DCF!C93</f>
        <v>0.05</v>
      </c>
      <c r="D121" s="207" t="str">
        <f>ROUND(DCF!E93,2)&amp;" "&amp;Market_currency</f>
        <v>75.72 HKD</v>
      </c>
      <c r="E121" s="199">
        <f>DCF!F93</f>
        <v>0.18</v>
      </c>
      <c r="F121" s="208">
        <f>RATE(Holding_Period,Scenarios!C$58,-DCF!E93,C$18)</f>
        <v>0.24221767019066465</v>
      </c>
    </row>
    <row r="122" spans="2:6">
      <c r="B122" s="205" t="str">
        <f>DCF!B94&amp;" ("&amp;DCF!D94&amp;"yrs)"</f>
        <v>Devil's advocate (15yrs)</v>
      </c>
      <c r="C122" s="198">
        <f>DCF!C94</f>
        <v>0</v>
      </c>
      <c r="D122" s="207" t="str">
        <f>ROUND(DCF!E94,2)&amp;" "&amp;Market_currency</f>
        <v>51.16 HKD</v>
      </c>
      <c r="E122" s="199">
        <f>DCF!F94</f>
        <v>0.05</v>
      </c>
      <c r="F122" s="208">
        <f>RATE(Holding_Period,Scenarios!C$58,-DCF!E94,C$18)</f>
        <v>0.41566968470387</v>
      </c>
    </row>
    <row r="124" spans="2:6">
      <c r="B124" s="461" t="s">
        <v>357</v>
      </c>
      <c r="C124" s="461"/>
      <c r="D124" s="461"/>
      <c r="E124" s="461"/>
      <c r="F124" s="461"/>
    </row>
    <row r="125" spans="2:6">
      <c r="B125" s="193" t="s">
        <v>218</v>
      </c>
      <c r="C125" s="197">
        <f>Scenarios!C36</f>
        <v>145.13677188293119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66.883305015175679</v>
      </c>
      <c r="E140" s="334">
        <f>Scenarios!E62</f>
        <v>66.883305015175679</v>
      </c>
      <c r="F140" s="335">
        <f>E22</f>
        <v>0.29465259038036606</v>
      </c>
    </row>
    <row r="141" spans="1:6">
      <c r="B141" s="336" t="s">
        <v>313</v>
      </c>
      <c r="C141" s="333">
        <f>Scenarios!C63</f>
        <v>0</v>
      </c>
      <c r="D141" s="333">
        <f>Scenarios!D63</f>
        <v>83.833514445014444</v>
      </c>
      <c r="E141" s="334">
        <f>Scenarios!E63</f>
        <v>83.833514445014444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104.02828965570951</v>
      </c>
      <c r="E144" s="334">
        <f>Scenarios!E66</f>
        <v>104.02828965570951</v>
      </c>
      <c r="F144" s="335">
        <f>E24</f>
        <v>0.1174</v>
      </c>
    </row>
    <row r="145" spans="1:6">
      <c r="B145" s="336" t="s">
        <v>314</v>
      </c>
      <c r="C145" s="333">
        <f>Scenarios!C67</f>
        <v>0</v>
      </c>
      <c r="D145" s="333">
        <f>Scenarios!D67</f>
        <v>117.64827309506597</v>
      </c>
      <c r="E145" s="334">
        <f>Scenarios!E67</f>
        <v>117.64827309506597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22.317588178794662</v>
      </c>
      <c r="D47" s="134">
        <f>D46*H1/Common_Shares*Exchange_Rate</f>
        <v>3.5743750219125552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-57172429.164004155</v>
      </c>
      <c r="D86" s="201">
        <f>C86*scaling_factor/Common_Shares</f>
        <v>-6.171175307459154</v>
      </c>
      <c r="E86" s="214" t="str">
        <f>Market_currency</f>
        <v>HKD</v>
      </c>
    </row>
    <row r="87" spans="2:8" ht="15" customHeight="1">
      <c r="B87" s="212" t="s">
        <v>240</v>
      </c>
      <c r="C87" s="73">
        <f>DCF!F5*Exchange_Rate</f>
        <v>74048420.061132669</v>
      </c>
      <c r="D87" s="201">
        <f>C87*scaling_factor/Common_Shares</f>
        <v>7.9927648364700117</v>
      </c>
      <c r="E87" s="214" t="str">
        <f>Market_currency</f>
        <v>HKD</v>
      </c>
    </row>
    <row r="88" spans="2:8" ht="15" customHeight="1">
      <c r="B88" s="213" t="s">
        <v>159</v>
      </c>
      <c r="C88" s="73">
        <f>DCF!F6*Exchange_Rate</f>
        <v>64957432.487086721</v>
      </c>
      <c r="D88" s="201">
        <f>C88*scaling_factor/Common_Shares</f>
        <v>7.0114862926383932</v>
      </c>
      <c r="E88" s="214" t="str">
        <f>Market_currency</f>
        <v>HKD</v>
      </c>
    </row>
    <row r="89" spans="2:8" ht="15" customHeight="1">
      <c r="B89" s="77" t="s">
        <v>244</v>
      </c>
      <c r="C89" s="162">
        <f>SUM(C86:C88)</f>
        <v>81833423.384215236</v>
      </c>
      <c r="D89" s="216">
        <f>SUM(D86:D88)</f>
        <v>8.8330758216492509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0.13647968218259099</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0.25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1.2294065679638169</v>
      </c>
      <c r="D123" s="26"/>
      <c r="E123" s="234"/>
      <c r="F123" s="26"/>
      <c r="G123" s="159">
        <f t="shared" ref="G123:Q123" si="48">IF(G$4="","",G14*$C$3/Common_Shares*Exchange_Rate)</f>
        <v>3.7636402465938481</v>
      </c>
      <c r="H123" s="159">
        <f t="shared" si="48"/>
        <v>0.82054650354852321</v>
      </c>
      <c r="I123" s="159">
        <f t="shared" si="48"/>
        <v>-1.1824609178428813</v>
      </c>
      <c r="J123" s="159">
        <f t="shared" si="48"/>
        <v>-2.9481482594587094</v>
      </c>
      <c r="K123" s="159">
        <f t="shared" si="48"/>
        <v>-0.36912905673643515</v>
      </c>
      <c r="L123" s="159">
        <f t="shared" si="48"/>
        <v>2.3058952132649278E-2</v>
      </c>
      <c r="M123" s="159">
        <f t="shared" si="48"/>
        <v>-1.6392017872892177</v>
      </c>
      <c r="N123" s="159">
        <f t="shared" si="48"/>
        <v>-0.55122018508326953</v>
      </c>
      <c r="O123" s="159">
        <f t="shared" si="48"/>
        <v>-0.82310934610067088</v>
      </c>
      <c r="P123" s="159">
        <f t="shared" si="48"/>
        <v>-1.0301725716923402</v>
      </c>
      <c r="Q123" s="159" t="str">
        <f t="shared" si="48"/>
        <v/>
      </c>
    </row>
    <row r="124" spans="1:17" ht="15.75" customHeight="1">
      <c r="A124" s="10"/>
      <c r="B124" s="26" t="s">
        <v>226</v>
      </c>
      <c r="C124" s="74">
        <f>C19*Exchange_Rate*$C$3/(Market_Price*Common_Shares)</f>
        <v>1.2733366835461593E-2</v>
      </c>
      <c r="D124" s="26"/>
      <c r="E124" s="234"/>
      <c r="F124" s="26"/>
      <c r="G124" s="74">
        <f t="shared" ref="G124" si="49">IF(G$4="","",G123/Market_Price)</f>
        <v>3.8981255790718261E-2</v>
      </c>
      <c r="H124" s="74">
        <f t="shared" ref="H124" si="50">IF(H$4="","",H123/Market_Price)</f>
        <v>8.4986691201297069E-3</v>
      </c>
      <c r="I124" s="74">
        <f t="shared" ref="I124" si="51">IF(I$4="","",I123/Market_Price)</f>
        <v>-1.2247135347932484E-2</v>
      </c>
      <c r="J124" s="74">
        <f t="shared" ref="J124" si="52">IF(J$4="","",J123/Market_Price)</f>
        <v>-3.0534937954000099E-2</v>
      </c>
      <c r="K124" s="74">
        <f t="shared" ref="K124" si="53">IF(K$4="","",K123/Market_Price)</f>
        <v>-3.8231906446031605E-3</v>
      </c>
      <c r="L124" s="74">
        <f t="shared" ref="L124" si="54">IF(L$4="","",L123/Market_Price)</f>
        <v>2.3882912617969216E-4</v>
      </c>
      <c r="M124" s="74">
        <f t="shared" ref="M124" si="55">IF(M$4="","",M123/Market_Price)</f>
        <v>-1.6977750256750055E-2</v>
      </c>
      <c r="N124" s="74">
        <f t="shared" ref="N124" si="56">IF(N$4="","",N123/Market_Price)</f>
        <v>-5.7091681520794364E-3</v>
      </c>
      <c r="O124" s="74">
        <f t="shared" ref="O124" si="57">IF(O$4="","",O123/Market_Price)</f>
        <v>-8.5252133205662439E-3</v>
      </c>
      <c r="P124" s="74">
        <f t="shared" ref="P124" si="58">IF(P$4="","",P123/Market_Price)</f>
        <v>-1.0669835025296118E-2</v>
      </c>
      <c r="Q124" s="74" t="str">
        <f t="shared" ref="Q124" si="59">IF(Q$4="","",Q123/Market_Price)</f>
        <v/>
      </c>
    </row>
    <row r="125" spans="1:17" ht="15.75" customHeight="1">
      <c r="B125" s="2" t="s">
        <v>306</v>
      </c>
      <c r="C125" s="151"/>
      <c r="G125" s="22">
        <f>IF(G$4="","",(Data!C47*$C$3)/(Market_Price*Common_Shares))</f>
        <v>4.003124230154937E-2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8.8330758216492491</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1.1215249683380129</v>
      </c>
      <c r="D9" t="str">
        <f>Thesis!E15</f>
        <v>CNY/HKD</v>
      </c>
      <c r="F9" s="322"/>
      <c r="H9" s="308" t="str">
        <f>Normalized_FCF!B79</f>
        <v>NCI’s Share of Profits</v>
      </c>
      <c r="I9" s="144">
        <f>Normalized_FCF!C79</f>
        <v>0</v>
      </c>
      <c r="J9" s="306"/>
      <c r="N9" s="304"/>
      <c r="O9" s="304"/>
    </row>
    <row r="10" spans="2:15" ht="13.5" thickTop="1">
      <c r="B10" s="107" t="s">
        <v>427</v>
      </c>
      <c r="C10" s="283">
        <f>C8*Exchange_Rate</f>
        <v>303120045.06728947</v>
      </c>
      <c r="D10" t="str">
        <f>Market_currency</f>
        <v>HKD</v>
      </c>
      <c r="H10" s="308" t="s">
        <v>397</v>
      </c>
      <c r="I10" s="306">
        <f>Normalized_FCF!C41</f>
        <v>0.25</v>
      </c>
      <c r="N10" s="304"/>
      <c r="O10" s="304"/>
    </row>
    <row r="11" spans="2:15" ht="13.15">
      <c r="B11" s="136" t="s">
        <v>425</v>
      </c>
      <c r="C11" s="108">
        <f>(C10*scaling_factor)/Common_Shares</f>
        <v>32.718689142089133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0.13647968218259099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232.24325707841359</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0.13647968218259099</v>
      </c>
      <c r="F28" s="277">
        <f t="shared" si="7"/>
        <v>165161759.78387061</v>
      </c>
      <c r="G28" s="299">
        <f t="shared" si="2"/>
        <v>0</v>
      </c>
      <c r="H28" s="277">
        <f t="shared" si="8"/>
        <v>123871319.83790296</v>
      </c>
      <c r="I28" s="299">
        <f t="shared" si="9"/>
        <v>2.7173800936104224</v>
      </c>
      <c r="J28" s="299">
        <f t="shared" si="10"/>
        <v>0.10235976163694326</v>
      </c>
      <c r="K28" s="119">
        <f t="shared" si="3"/>
        <v>0.5712439231967511</v>
      </c>
      <c r="L28" s="277">
        <f t="shared" si="4"/>
        <v>70760738.715763226</v>
      </c>
    </row>
    <row r="29" spans="1:21">
      <c r="A29" s="302" t="str">
        <f t="shared" si="0"/>
        <v>II</v>
      </c>
      <c r="B29" s="117">
        <v>9</v>
      </c>
      <c r="C29" s="277">
        <f t="shared" si="5"/>
        <v>1322095858.3598974</v>
      </c>
      <c r="D29" s="299">
        <f t="shared" si="1"/>
        <v>9.2499999999999999E-2</v>
      </c>
      <c r="E29" s="299">
        <f t="shared" si="6"/>
        <v>0.13647968218259099</v>
      </c>
      <c r="F29" s="277">
        <f t="shared" si="7"/>
        <v>180439222.56387863</v>
      </c>
      <c r="G29" s="299">
        <f t="shared" si="2"/>
        <v>0</v>
      </c>
      <c r="H29" s="277">
        <f t="shared" si="8"/>
        <v>135329416.92290896</v>
      </c>
      <c r="I29" s="299">
        <f t="shared" si="9"/>
        <v>9.2499999999999805E-2</v>
      </c>
      <c r="J29" s="299">
        <f t="shared" si="10"/>
        <v>0.10235976163694324</v>
      </c>
      <c r="K29" s="119">
        <f t="shared" si="3"/>
        <v>0.53262836661701729</v>
      </c>
      <c r="L29" s="277">
        <f t="shared" si="4"/>
        <v>72080286.290882334</v>
      </c>
    </row>
    <row r="30" spans="1:21">
      <c r="A30" s="302" t="str">
        <f t="shared" si="0"/>
        <v>II</v>
      </c>
      <c r="B30" s="117">
        <v>10</v>
      </c>
      <c r="C30" s="277">
        <f t="shared" si="5"/>
        <v>1444389725.258188</v>
      </c>
      <c r="D30" s="299">
        <f t="shared" si="1"/>
        <v>9.2499999999999999E-2</v>
      </c>
      <c r="E30" s="299">
        <f t="shared" si="6"/>
        <v>0.13647968218259099</v>
      </c>
      <c r="F30" s="277">
        <f t="shared" si="7"/>
        <v>197129850.65103742</v>
      </c>
      <c r="G30" s="299">
        <f t="shared" si="2"/>
        <v>0</v>
      </c>
      <c r="H30" s="277">
        <f t="shared" si="8"/>
        <v>147847387.98827806</v>
      </c>
      <c r="I30" s="299">
        <f t="shared" si="9"/>
        <v>9.2500000000000249E-2</v>
      </c>
      <c r="J30" s="299">
        <f t="shared" si="10"/>
        <v>0.10235976163694324</v>
      </c>
      <c r="K30" s="119">
        <f t="shared" si="3"/>
        <v>0.49662318565689262</v>
      </c>
      <c r="L30" s="277">
        <f t="shared" si="4"/>
        <v>73424440.813789248</v>
      </c>
    </row>
    <row r="31" spans="1:21">
      <c r="A31" s="302" t="str">
        <f t="shared" si="0"/>
        <v>II</v>
      </c>
      <c r="B31" s="117">
        <v>11</v>
      </c>
      <c r="C31" s="277">
        <f t="shared" si="5"/>
        <v>1577995774.8445704</v>
      </c>
      <c r="D31" s="299">
        <f t="shared" si="1"/>
        <v>9.2499999999999999E-2</v>
      </c>
      <c r="E31" s="299">
        <f t="shared" si="6"/>
        <v>0.13647968218259099</v>
      </c>
      <c r="F31" s="277">
        <f t="shared" si="7"/>
        <v>215364361.83625838</v>
      </c>
      <c r="G31" s="299">
        <f t="shared" si="2"/>
        <v>0</v>
      </c>
      <c r="H31" s="277">
        <f t="shared" si="8"/>
        <v>161523271.37719378</v>
      </c>
      <c r="I31" s="299">
        <f t="shared" si="9"/>
        <v>9.2500000000000027E-2</v>
      </c>
      <c r="J31" s="299">
        <f t="shared" si="10"/>
        <v>0.10235976163694324</v>
      </c>
      <c r="K31" s="119">
        <f t="shared" si="3"/>
        <v>0.46305192135840806</v>
      </c>
      <c r="L31" s="277">
        <f t="shared" si="4"/>
        <v>74793661.155305132</v>
      </c>
    </row>
    <row r="32" spans="1:21">
      <c r="A32" s="302" t="str">
        <f t="shared" si="0"/>
        <v>II</v>
      </c>
      <c r="B32" s="117">
        <v>12</v>
      </c>
      <c r="C32" s="277">
        <f t="shared" si="5"/>
        <v>1723960384.0176933</v>
      </c>
      <c r="D32" s="299">
        <f t="shared" si="1"/>
        <v>9.2499999999999999E-2</v>
      </c>
      <c r="E32" s="299">
        <f t="shared" si="6"/>
        <v>0.13647968218259099</v>
      </c>
      <c r="F32" s="277">
        <f t="shared" si="7"/>
        <v>235285565.30611229</v>
      </c>
      <c r="G32" s="299">
        <f t="shared" si="2"/>
        <v>0</v>
      </c>
      <c r="H32" s="277">
        <f t="shared" si="8"/>
        <v>176464173.97958422</v>
      </c>
      <c r="I32" s="299">
        <f t="shared" si="9"/>
        <v>9.2500000000000027E-2</v>
      </c>
      <c r="J32" s="299">
        <f t="shared" si="10"/>
        <v>0.10235976163694324</v>
      </c>
      <c r="K32" s="119">
        <f t="shared" si="3"/>
        <v>0.43175004322462285</v>
      </c>
      <c r="L32" s="277">
        <f t="shared" si="4"/>
        <v>76188414.743282855</v>
      </c>
    </row>
    <row r="33" spans="1:21">
      <c r="A33" s="302" t="str">
        <f t="shared" si="0"/>
        <v>II</v>
      </c>
      <c r="B33" s="117">
        <v>13</v>
      </c>
      <c r="C33" s="277">
        <f t="shared" si="5"/>
        <v>1883426719.53933</v>
      </c>
      <c r="D33" s="299">
        <f t="shared" si="1"/>
        <v>9.2499999999999999E-2</v>
      </c>
      <c r="E33" s="299">
        <f t="shared" si="6"/>
        <v>0.13647968218259099</v>
      </c>
      <c r="F33" s="277">
        <f t="shared" si="7"/>
        <v>257049480.0969277</v>
      </c>
      <c r="G33" s="299">
        <f t="shared" si="2"/>
        <v>0</v>
      </c>
      <c r="H33" s="277">
        <f t="shared" si="8"/>
        <v>192787110.07269579</v>
      </c>
      <c r="I33" s="299">
        <f t="shared" si="9"/>
        <v>9.2500000000000249E-2</v>
      </c>
      <c r="J33" s="299">
        <f t="shared" si="10"/>
        <v>0.10235976163694326</v>
      </c>
      <c r="K33" s="119">
        <f t="shared" si="3"/>
        <v>0.40256414286678116</v>
      </c>
      <c r="L33" s="277">
        <f t="shared" si="4"/>
        <v>77609177.722178578</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0.13647968218259099</v>
      </c>
      <c r="F34" s="277">
        <f t="shared" si="7"/>
        <v>280826557.00589353</v>
      </c>
      <c r="G34" s="299">
        <f t="shared" si="2"/>
        <v>0</v>
      </c>
      <c r="H34" s="277">
        <f t="shared" si="8"/>
        <v>210619917.75442016</v>
      </c>
      <c r="I34" s="299">
        <f t="shared" si="9"/>
        <v>9.2500000000000027E-2</v>
      </c>
      <c r="J34" s="299">
        <f t="shared" si="10"/>
        <v>0.10235976163694326</v>
      </c>
      <c r="K34" s="119">
        <f t="shared" si="3"/>
        <v>0.37535118216016894</v>
      </c>
      <c r="L34" s="277">
        <f t="shared" si="4"/>
        <v>79056435.115599155</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0.13647968218259099</v>
      </c>
      <c r="F35" s="277">
        <f t="shared" si="7"/>
        <v>306803013.52893871</v>
      </c>
      <c r="G35" s="299">
        <f t="shared" si="2"/>
        <v>0</v>
      </c>
      <c r="H35" s="277">
        <f t="shared" si="8"/>
        <v>230102260.14670402</v>
      </c>
      <c r="I35" s="299">
        <f t="shared" si="9"/>
        <v>9.2500000000000027E-2</v>
      </c>
      <c r="J35" s="299">
        <f t="shared" si="10"/>
        <v>0.10235976163694324</v>
      </c>
      <c r="K35" s="119">
        <f t="shared" si="3"/>
        <v>0.34997779222393377</v>
      </c>
      <c r="L35" s="277">
        <f t="shared" si="4"/>
        <v>80530680.99188073</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0.13647968218259099</v>
      </c>
      <c r="F51" s="277">
        <f>C51*E51</f>
        <v>312939073.79951745</v>
      </c>
      <c r="G51" s="299">
        <f>F18</f>
        <v>0</v>
      </c>
      <c r="H51" s="277">
        <f>(F51*(1-$I$10)+C51*(G51-$I$9))/Equity_Cost</f>
        <v>3237300763.4432845</v>
      </c>
      <c r="I51" s="415">
        <f>(F51*(1-$I$10)+C51*(G51-$I$9))/VLOOKUP(C15,B21:H50,COLUMN(H20)-1,FALSE)-1</f>
        <v>2.0000000000000018E-2</v>
      </c>
      <c r="J51" s="454"/>
      <c r="K51" s="119">
        <f>1/(1+Equity_Cost)^C15</f>
        <v>0.34997779222393377</v>
      </c>
      <c r="L51" s="277">
        <f t="shared" si="4"/>
        <v>1132983373.954736</v>
      </c>
    </row>
    <row r="52" spans="1:21" ht="13.15">
      <c r="G52" s="111"/>
      <c r="H52" s="111"/>
      <c r="I52" s="111"/>
      <c r="J52" s="468" t="s">
        <v>420</v>
      </c>
      <c r="K52" s="468"/>
      <c r="L52" s="317">
        <f>SUM(L21:L51)</f>
        <v>1845494586.2667546</v>
      </c>
    </row>
    <row r="53" spans="1:21">
      <c r="C53" s="111"/>
    </row>
    <row r="54" spans="1:21" ht="13.15">
      <c r="B54" s="115" t="s">
        <v>108</v>
      </c>
      <c r="C54" s="128"/>
      <c r="D54" s="128"/>
      <c r="E54" s="113"/>
      <c r="F54" s="113"/>
      <c r="G54" s="113"/>
      <c r="H54" s="113"/>
      <c r="I54" s="113"/>
      <c r="J54" s="113"/>
      <c r="K54" s="113"/>
      <c r="L54" s="113"/>
    </row>
    <row r="55" spans="1:21" ht="13.15">
      <c r="A55" s="125">
        <f>L52</f>
        <v>1845494586.2667546</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462769098.33553612</v>
      </c>
      <c r="C56" s="118">
        <v>474338325.79392451</v>
      </c>
      <c r="D56" s="118">
        <v>485907553.25231302</v>
      </c>
      <c r="E56" s="118">
        <v>509046008.16908973</v>
      </c>
      <c r="F56" s="118">
        <v>520615235.627478</v>
      </c>
      <c r="G56" s="295"/>
      <c r="H56" s="295"/>
      <c r="I56" s="295"/>
      <c r="J56" s="295"/>
      <c r="K56" s="295"/>
      <c r="L56" s="295"/>
    </row>
    <row r="57" spans="1:21" ht="13.15">
      <c r="A57" s="131">
        <v>2</v>
      </c>
      <c r="B57" s="118">
        <v>462168261.90017664</v>
      </c>
      <c r="C57" s="118">
        <v>485322884.84028488</v>
      </c>
      <c r="D57" s="118">
        <v>509043381.75076431</v>
      </c>
      <c r="E57" s="118">
        <v>558181997.48283541</v>
      </c>
      <c r="F57" s="118">
        <v>583600116.30442715</v>
      </c>
      <c r="G57" s="295"/>
      <c r="H57" s="295"/>
      <c r="I57" s="295"/>
      <c r="J57" s="295"/>
      <c r="K57" s="295"/>
      <c r="L57" s="295"/>
    </row>
    <row r="58" spans="1:21" ht="13.15">
      <c r="A58" s="131">
        <v>3</v>
      </c>
      <c r="B58" s="118">
        <v>461608041.44762695</v>
      </c>
      <c r="C58" s="118">
        <v>507914142.1246562</v>
      </c>
      <c r="D58" s="118">
        <v>557012597.65672112</v>
      </c>
      <c r="E58" s="118">
        <v>663903146.13651454</v>
      </c>
      <c r="F58" s="118">
        <v>721853525.50952172</v>
      </c>
      <c r="G58" s="295"/>
      <c r="H58" s="295"/>
      <c r="I58" s="295"/>
      <c r="J58" s="295"/>
      <c r="K58" s="295"/>
      <c r="L58" s="295"/>
    </row>
    <row r="59" spans="1:21" ht="13.15">
      <c r="A59" s="131">
        <v>4</v>
      </c>
      <c r="B59" s="118">
        <v>461085691.37531954</v>
      </c>
      <c r="C59" s="118">
        <v>518191966.45609993</v>
      </c>
      <c r="D59" s="118">
        <v>580243840.18699312</v>
      </c>
      <c r="E59" s="118">
        <v>720290151.98338032</v>
      </c>
      <c r="F59" s="118">
        <v>798855922.54232156</v>
      </c>
      <c r="G59" s="295"/>
      <c r="H59" s="295"/>
      <c r="I59" s="295"/>
      <c r="J59" s="295"/>
      <c r="K59" s="295"/>
      <c r="L59" s="295"/>
    </row>
    <row r="60" spans="1:21" ht="13.15">
      <c r="A60" s="131">
        <v>5</v>
      </c>
      <c r="B60" s="118">
        <v>439385814.15851712</v>
      </c>
      <c r="C60" s="118">
        <v>517263346.20427001</v>
      </c>
      <c r="D60" s="118">
        <v>605537881.53505957</v>
      </c>
      <c r="E60" s="118">
        <v>817281953.89434457</v>
      </c>
      <c r="F60" s="118">
        <v>942903865.79488564</v>
      </c>
      <c r="G60" s="295"/>
      <c r="H60" s="295"/>
      <c r="I60" s="295"/>
      <c r="J60" s="295"/>
      <c r="K60" s="295"/>
      <c r="L60" s="295"/>
    </row>
    <row r="61" spans="1:21" ht="13.15">
      <c r="A61" s="131">
        <v>6</v>
      </c>
      <c r="B61" s="118">
        <v>438931697.89328718</v>
      </c>
      <c r="C61" s="118">
        <v>526879906.37224686</v>
      </c>
      <c r="D61" s="118">
        <v>628864931.59235251</v>
      </c>
      <c r="E61" s="118">
        <v>881990011.52747023</v>
      </c>
      <c r="F61" s="118">
        <v>1037043428.8943036</v>
      </c>
      <c r="G61" s="295"/>
      <c r="H61" s="295"/>
      <c r="I61" s="295"/>
      <c r="J61" s="295"/>
      <c r="K61" s="295"/>
      <c r="L61" s="295"/>
    </row>
    <row r="62" spans="1:21" ht="13.15">
      <c r="A62" s="131">
        <v>7</v>
      </c>
      <c r="B62" s="118">
        <v>418729409.97946596</v>
      </c>
      <c r="C62" s="118">
        <v>525769021.64665151</v>
      </c>
      <c r="D62" s="118">
        <v>655405667.59183884</v>
      </c>
      <c r="E62" s="118">
        <v>998204873.66395605</v>
      </c>
      <c r="F62" s="118">
        <v>1220511682.0559368</v>
      </c>
      <c r="G62" s="295"/>
      <c r="H62" s="295"/>
      <c r="I62" s="295"/>
      <c r="J62" s="295"/>
      <c r="K62" s="295"/>
      <c r="L62" s="295"/>
    </row>
    <row r="63" spans="1:21" ht="13.15">
      <c r="A63" s="131">
        <v>8</v>
      </c>
      <c r="B63" s="118">
        <v>418334614.24135983</v>
      </c>
      <c r="C63" s="118">
        <v>534766862.67623508</v>
      </c>
      <c r="D63" s="118">
        <v>678828920.29415917</v>
      </c>
      <c r="E63" s="118">
        <v>1072461923.8436232</v>
      </c>
      <c r="F63" s="118">
        <v>1335602350.4253163</v>
      </c>
      <c r="G63" s="295"/>
      <c r="H63" s="295"/>
      <c r="I63" s="295"/>
      <c r="J63" s="295"/>
      <c r="K63" s="295"/>
      <c r="L63" s="295"/>
    </row>
    <row r="64" spans="1:21" ht="13.15">
      <c r="A64" s="131">
        <v>9</v>
      </c>
      <c r="B64" s="118">
        <v>399524669.97766882</v>
      </c>
      <c r="C64" s="118">
        <v>533490517.32887781</v>
      </c>
      <c r="D64" s="118">
        <v>706650784.20907617</v>
      </c>
      <c r="E64" s="118">
        <v>1211320300.0316789</v>
      </c>
      <c r="F64" s="118">
        <v>1568482453.0711031</v>
      </c>
      <c r="G64" s="295"/>
      <c r="H64" s="295"/>
      <c r="I64" s="295"/>
      <c r="J64" s="295"/>
      <c r="K64" s="295"/>
      <c r="L64" s="295"/>
    </row>
    <row r="65" spans="1:21" ht="13.15">
      <c r="A65" s="131">
        <v>10</v>
      </c>
      <c r="B65" s="118">
        <v>399181445.81513453</v>
      </c>
      <c r="C65" s="118">
        <v>541909446.94398701</v>
      </c>
      <c r="D65" s="118">
        <v>730170636.30392885</v>
      </c>
      <c r="E65" s="118">
        <v>1296535491.2007432</v>
      </c>
      <c r="F65" s="118">
        <v>1709186972.0810547</v>
      </c>
      <c r="G65" s="295"/>
      <c r="H65" s="295"/>
      <c r="I65" s="295"/>
      <c r="J65" s="295"/>
      <c r="K65" s="295"/>
      <c r="L65" s="295"/>
    </row>
    <row r="66" spans="1:21" ht="13.15">
      <c r="A66" s="131">
        <v>15</v>
      </c>
      <c r="B66" s="118">
        <v>349606532.731341</v>
      </c>
      <c r="C66" s="277">
        <v>552486052.37072277</v>
      </c>
      <c r="D66" s="118">
        <v>869011960.12145495</v>
      </c>
      <c r="E66" s="118">
        <v>2102372859.861238</v>
      </c>
      <c r="F66" s="118">
        <v>3226486236.0310459</v>
      </c>
      <c r="G66" s="295"/>
      <c r="H66" s="295"/>
      <c r="I66" s="295"/>
      <c r="J66" s="295"/>
      <c r="K66" s="295"/>
      <c r="L66" s="295"/>
      <c r="M66" s="275"/>
      <c r="N66" s="275"/>
      <c r="O66" s="275"/>
      <c r="P66" s="275"/>
      <c r="Q66" s="275"/>
      <c r="R66" s="275"/>
      <c r="S66" s="275"/>
      <c r="T66" s="275"/>
      <c r="U66" s="275"/>
    </row>
    <row r="67" spans="1:21" ht="13.15">
      <c r="A67" s="132">
        <v>20</v>
      </c>
      <c r="B67" s="118">
        <v>321686696.46054924</v>
      </c>
      <c r="C67" s="277">
        <v>568188974.29834509</v>
      </c>
      <c r="D67" s="118">
        <v>1008828108.0079697</v>
      </c>
      <c r="E67" s="118">
        <v>3152198710.4130735</v>
      </c>
      <c r="F67" s="118">
        <v>5508345361.0480461</v>
      </c>
      <c r="G67" s="295"/>
      <c r="H67" s="295"/>
      <c r="I67" s="295"/>
      <c r="J67" s="295"/>
      <c r="K67" s="295"/>
      <c r="L67" s="295"/>
      <c r="M67" s="275"/>
      <c r="N67" s="275"/>
      <c r="O67" s="275"/>
      <c r="P67" s="275"/>
      <c r="Q67" s="275"/>
      <c r="R67" s="275"/>
      <c r="S67" s="275"/>
      <c r="T67" s="275"/>
      <c r="U67" s="275"/>
    </row>
    <row r="68" spans="1:21" ht="13.15">
      <c r="A68" s="132">
        <v>25</v>
      </c>
      <c r="B68" s="118">
        <v>287041408.15861964</v>
      </c>
      <c r="C68" s="277">
        <v>572969085.03297615</v>
      </c>
      <c r="D68" s="118">
        <v>1170681155.3032713</v>
      </c>
      <c r="E68" s="118">
        <v>4947195877.5206089</v>
      </c>
      <c r="F68" s="118">
        <v>10070162945.665798</v>
      </c>
      <c r="G68" s="295"/>
      <c r="H68" s="295"/>
      <c r="I68" s="295"/>
      <c r="J68" s="295"/>
      <c r="K68" s="295"/>
      <c r="L68" s="295"/>
      <c r="M68" s="275"/>
      <c r="N68" s="275"/>
      <c r="O68" s="275"/>
      <c r="P68" s="275"/>
      <c r="Q68" s="275"/>
      <c r="R68" s="275"/>
      <c r="S68" s="275"/>
      <c r="T68" s="275"/>
      <c r="U68" s="275"/>
    </row>
    <row r="69" spans="1:21" ht="13.15">
      <c r="A69" s="132">
        <v>30</v>
      </c>
      <c r="B69" s="118">
        <v>267570879.68247682</v>
      </c>
      <c r="C69" s="277">
        <v>582456946.86232936</v>
      </c>
      <c r="D69" s="118">
        <v>1327695691.3704805</v>
      </c>
      <c r="E69" s="118">
        <v>7204927734.3285999</v>
      </c>
      <c r="F69" s="118">
        <v>16708759913.591286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32.718689142089133</v>
      </c>
      <c r="C73" s="119">
        <f>C11</f>
        <v>32.718689142089133</v>
      </c>
      <c r="D73" s="119">
        <f>C11</f>
        <v>32.718689142089133</v>
      </c>
      <c r="E73" s="119">
        <f>C11</f>
        <v>32.718689142089133</v>
      </c>
      <c r="F73" s="119">
        <f>C11</f>
        <v>32.718689142089133</v>
      </c>
      <c r="G73" s="296"/>
      <c r="H73" s="296"/>
      <c r="I73" s="296"/>
      <c r="J73" s="296"/>
      <c r="K73" s="296"/>
      <c r="L73" s="296"/>
    </row>
    <row r="74" spans="1:21" ht="13.15">
      <c r="A74" s="131">
        <v>1</v>
      </c>
      <c r="B74" s="119">
        <f t="shared" ref="B74:F87" si="11">(B56+FV_adjustments)/Common_Shares*scaling_factor*Exchange_Rate</f>
        <v>64.854550448845771</v>
      </c>
      <c r="C74" s="119">
        <f t="shared" si="11"/>
        <v>66.255087314525682</v>
      </c>
      <c r="D74" s="119">
        <f t="shared" si="11"/>
        <v>67.655624180205606</v>
      </c>
      <c r="E74" s="119">
        <f t="shared" si="11"/>
        <v>70.456697911565428</v>
      </c>
      <c r="F74" s="119">
        <f t="shared" si="11"/>
        <v>71.857234777245324</v>
      </c>
      <c r="G74" s="296"/>
      <c r="H74" s="296"/>
      <c r="I74" s="296"/>
      <c r="J74" s="296"/>
      <c r="K74" s="296"/>
      <c r="L74" s="296"/>
    </row>
    <row r="75" spans="1:21" ht="13.15">
      <c r="A75" s="131">
        <v>2</v>
      </c>
      <c r="B75" s="119">
        <f t="shared" si="11"/>
        <v>64.781814945892677</v>
      </c>
      <c r="C75" s="119">
        <f t="shared" si="11"/>
        <v>67.584845930906837</v>
      </c>
      <c r="D75" s="119">
        <f t="shared" si="11"/>
        <v>70.456379965038522</v>
      </c>
      <c r="E75" s="119">
        <f t="shared" si="11"/>
        <v>76.404957180654193</v>
      </c>
      <c r="F75" s="119">
        <f t="shared" si="11"/>
        <v>79.482000362138209</v>
      </c>
      <c r="G75" s="296"/>
      <c r="H75" s="296"/>
      <c r="I75" s="296"/>
      <c r="J75" s="296"/>
      <c r="K75" s="296"/>
      <c r="L75" s="296"/>
    </row>
    <row r="76" spans="1:21" ht="13.15">
      <c r="A76" s="131">
        <v>3</v>
      </c>
      <c r="B76" s="119">
        <f t="shared" si="11"/>
        <v>64.713996295120552</v>
      </c>
      <c r="C76" s="119">
        <f t="shared" si="11"/>
        <v>70.319677516042731</v>
      </c>
      <c r="D76" s="119">
        <f t="shared" si="11"/>
        <v>76.263393055211637</v>
      </c>
      <c r="E76" s="119">
        <f t="shared" si="11"/>
        <v>89.203250472411256</v>
      </c>
      <c r="F76" s="119">
        <f t="shared" si="11"/>
        <v>96.218554042502788</v>
      </c>
      <c r="G76" s="296"/>
      <c r="H76" s="296"/>
      <c r="I76" s="296"/>
      <c r="J76" s="296"/>
      <c r="K76" s="296"/>
      <c r="L76" s="296"/>
    </row>
    <row r="77" spans="1:21" ht="13.15">
      <c r="A77" s="131">
        <v>4</v>
      </c>
      <c r="B77" s="119">
        <f t="shared" si="11"/>
        <v>64.650762121906439</v>
      </c>
      <c r="C77" s="119">
        <f t="shared" si="11"/>
        <v>71.563880893229509</v>
      </c>
      <c r="D77" s="119">
        <f t="shared" si="11"/>
        <v>79.075699383894474</v>
      </c>
      <c r="E77" s="119">
        <f t="shared" si="11"/>
        <v>96.029296612301508</v>
      </c>
      <c r="F77" s="119">
        <f t="shared" si="11"/>
        <v>105.54023919201239</v>
      </c>
      <c r="G77" s="296"/>
      <c r="H77" s="296"/>
      <c r="I77" s="296"/>
      <c r="J77" s="296"/>
      <c r="K77" s="296"/>
      <c r="L77" s="296"/>
    </row>
    <row r="78" spans="1:21" ht="13.15">
      <c r="A78" s="131">
        <v>5</v>
      </c>
      <c r="B78" s="119">
        <f t="shared" si="11"/>
        <v>62.023838402741113</v>
      </c>
      <c r="C78" s="119">
        <f t="shared" si="11"/>
        <v>71.451464839384727</v>
      </c>
      <c r="D78" s="119">
        <f t="shared" si="11"/>
        <v>82.137722109043125</v>
      </c>
      <c r="E78" s="119">
        <f t="shared" si="11"/>
        <v>107.77084069842249</v>
      </c>
      <c r="F78" s="119">
        <f t="shared" si="11"/>
        <v>122.97826222995579</v>
      </c>
      <c r="G78" s="296"/>
      <c r="H78" s="296"/>
      <c r="I78" s="296"/>
      <c r="J78" s="296"/>
      <c r="K78" s="296"/>
      <c r="L78" s="296"/>
    </row>
    <row r="79" spans="1:21" ht="13.15">
      <c r="A79" s="131">
        <v>6</v>
      </c>
      <c r="B79" s="119">
        <f t="shared" si="11"/>
        <v>61.968864414802248</v>
      </c>
      <c r="C79" s="119">
        <f t="shared" si="11"/>
        <v>72.615617509450445</v>
      </c>
      <c r="D79" s="119">
        <f t="shared" si="11"/>
        <v>84.961626616954888</v>
      </c>
      <c r="E79" s="119">
        <f t="shared" si="11"/>
        <v>115.60420904973996</v>
      </c>
      <c r="F79" s="119">
        <f t="shared" si="11"/>
        <v>134.3745226210624</v>
      </c>
      <c r="G79" s="296"/>
      <c r="H79" s="296"/>
      <c r="I79" s="296"/>
      <c r="J79" s="296"/>
      <c r="K79" s="296"/>
      <c r="L79" s="296"/>
    </row>
    <row r="80" spans="1:21" ht="13.15">
      <c r="A80" s="131">
        <f t="shared" ref="A80" si="12">A62</f>
        <v>7</v>
      </c>
      <c r="B80" s="119">
        <f t="shared" si="11"/>
        <v>59.523234480033231</v>
      </c>
      <c r="C80" s="119">
        <f t="shared" si="11"/>
        <v>72.481137051069538</v>
      </c>
      <c r="D80" s="119">
        <f t="shared" si="11"/>
        <v>88.174570553207701</v>
      </c>
      <c r="E80" s="119">
        <f t="shared" si="11"/>
        <v>129.67284062842361</v>
      </c>
      <c r="F80" s="119">
        <f t="shared" si="11"/>
        <v>156.5846531729045</v>
      </c>
      <c r="G80" s="296"/>
      <c r="H80" s="296"/>
      <c r="I80" s="296"/>
      <c r="J80" s="296"/>
      <c r="K80" s="296"/>
      <c r="L80" s="296"/>
    </row>
    <row r="81" spans="1:12" ht="13.15">
      <c r="A81" s="131">
        <v>8</v>
      </c>
      <c r="B81" s="119">
        <f t="shared" si="11"/>
        <v>59.475441661746991</v>
      </c>
      <c r="C81" s="119">
        <f t="shared" si="11"/>
        <v>73.570389390414135</v>
      </c>
      <c r="D81" s="119">
        <f t="shared" si="11"/>
        <v>91.01012107217953</v>
      </c>
      <c r="E81" s="119">
        <f t="shared" si="11"/>
        <v>138.66218211101852</v>
      </c>
      <c r="F81" s="119">
        <f t="shared" si="11"/>
        <v>170.51719313953686</v>
      </c>
      <c r="G81" s="296"/>
      <c r="H81" s="296"/>
      <c r="I81" s="296"/>
      <c r="J81" s="296"/>
      <c r="K81" s="296"/>
      <c r="L81" s="296"/>
    </row>
    <row r="82" spans="1:12" ht="13.15">
      <c r="A82" s="131">
        <f t="shared" ref="A82" si="13">A64</f>
        <v>9</v>
      </c>
      <c r="B82" s="119">
        <f t="shared" si="11"/>
        <v>57.198364780214796</v>
      </c>
      <c r="C82" s="119">
        <f t="shared" si="11"/>
        <v>73.415878752712317</v>
      </c>
      <c r="D82" s="119">
        <f t="shared" si="11"/>
        <v>94.378154609848323</v>
      </c>
      <c r="E82" s="119">
        <f t="shared" si="11"/>
        <v>155.47197132635759</v>
      </c>
      <c r="F82" s="119">
        <f t="shared" si="11"/>
        <v>198.70897778651107</v>
      </c>
      <c r="G82" s="296"/>
      <c r="H82" s="296"/>
      <c r="I82" s="296"/>
      <c r="J82" s="296"/>
      <c r="K82" s="296"/>
      <c r="L82" s="296"/>
    </row>
    <row r="83" spans="1:12" ht="13.15">
      <c r="A83" s="131">
        <f t="shared" ref="A83:A87" si="14">A65</f>
        <v>10</v>
      </c>
      <c r="B83" s="119">
        <f t="shared" si="11"/>
        <v>57.156815066152177</v>
      </c>
      <c r="C83" s="119">
        <f t="shared" si="11"/>
        <v>74.435049768057482</v>
      </c>
      <c r="D83" s="119">
        <f t="shared" si="11"/>
        <v>97.225399168973709</v>
      </c>
      <c r="E83" s="119">
        <f t="shared" si="11"/>
        <v>165.78787333256301</v>
      </c>
      <c r="F83" s="119">
        <f t="shared" si="11"/>
        <v>215.74225565661774</v>
      </c>
      <c r="G83" s="296"/>
      <c r="H83" s="296"/>
      <c r="I83" s="296"/>
      <c r="J83" s="296"/>
      <c r="K83" s="296"/>
      <c r="L83" s="296"/>
    </row>
    <row r="84" spans="1:12" ht="13.15">
      <c r="A84" s="131">
        <f t="shared" si="14"/>
        <v>15</v>
      </c>
      <c r="B84" s="119">
        <f t="shared" si="11"/>
        <v>51.155420968192068</v>
      </c>
      <c r="C84" s="119">
        <f t="shared" si="11"/>
        <v>75.71542271146896</v>
      </c>
      <c r="D84" s="119">
        <f t="shared" si="11"/>
        <v>114.03312407417104</v>
      </c>
      <c r="E84" s="119">
        <f t="shared" si="11"/>
        <v>263.34019016709891</v>
      </c>
      <c r="F84" s="119">
        <f t="shared" si="11"/>
        <v>399.42207032654022</v>
      </c>
      <c r="G84" s="296"/>
      <c r="H84" s="296"/>
      <c r="I84" s="296"/>
      <c r="J84" s="296"/>
      <c r="K84" s="296"/>
      <c r="L84" s="296"/>
    </row>
    <row r="85" spans="1:12" ht="13.15">
      <c r="A85" s="132">
        <f t="shared" si="14"/>
        <v>20</v>
      </c>
      <c r="B85" s="119">
        <f t="shared" si="11"/>
        <v>47.775527183439898</v>
      </c>
      <c r="C85" s="119">
        <f t="shared" si="11"/>
        <v>77.616372549099012</v>
      </c>
      <c r="D85" s="119">
        <f t="shared" si="11"/>
        <v>130.9588583322903</v>
      </c>
      <c r="E85" s="119">
        <f t="shared" si="11"/>
        <v>390.42903957644683</v>
      </c>
      <c r="F85" s="119">
        <f t="shared" si="11"/>
        <v>675.6572673929827</v>
      </c>
      <c r="G85" s="296"/>
      <c r="H85" s="296"/>
      <c r="I85" s="296"/>
      <c r="J85" s="296"/>
      <c r="K85" s="296"/>
      <c r="L85" s="296"/>
    </row>
    <row r="86" spans="1:12" ht="13.15">
      <c r="A86" s="132">
        <f t="shared" si="14"/>
        <v>25</v>
      </c>
      <c r="B86" s="119">
        <f t="shared" si="11"/>
        <v>43.581469830562803</v>
      </c>
      <c r="C86" s="119">
        <f t="shared" si="11"/>
        <v>78.195038785022049</v>
      </c>
      <c r="D86" s="119">
        <f t="shared" si="11"/>
        <v>150.55231523120767</v>
      </c>
      <c r="E86" s="119">
        <f t="shared" si="11"/>
        <v>607.7261508457334</v>
      </c>
      <c r="F86" s="119">
        <f t="shared" si="11"/>
        <v>1227.8975725251671</v>
      </c>
      <c r="G86" s="296"/>
      <c r="H86" s="296"/>
      <c r="I86" s="296"/>
      <c r="J86" s="296"/>
      <c r="K86" s="296"/>
      <c r="L86" s="296"/>
    </row>
    <row r="87" spans="1:12" ht="13.15">
      <c r="A87" s="132">
        <f t="shared" si="14"/>
        <v>30</v>
      </c>
      <c r="B87" s="119">
        <f t="shared" si="11"/>
        <v>41.224424554792321</v>
      </c>
      <c r="C87" s="119">
        <f t="shared" si="11"/>
        <v>79.343611610327812</v>
      </c>
      <c r="D87" s="119">
        <f t="shared" si="11"/>
        <v>169.56003610113581</v>
      </c>
      <c r="E87" s="119">
        <f t="shared" si="11"/>
        <v>881.04057133341098</v>
      </c>
      <c r="F87" s="119">
        <f t="shared" si="11"/>
        <v>2031.5467205267655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399.42207032654022</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263.34019016709891</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114.03312407417104</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75.71542271146896</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51.155420968192068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263.34019016709891</v>
      </c>
      <c r="F22" s="328">
        <f>1-F23-F24</f>
        <v>0.2</v>
      </c>
      <c r="G22" s="328">
        <f>F22*(1-F$29-F$30)</f>
        <v>0.18</v>
      </c>
    </row>
    <row r="23" spans="2:7">
      <c r="B23" s="302" t="s">
        <v>437</v>
      </c>
      <c r="C23" s="324">
        <v>0.1</v>
      </c>
      <c r="D23" s="325">
        <f>C18</f>
        <v>15</v>
      </c>
      <c r="E23" s="326">
        <f>DCF!E92</f>
        <v>114.03312407417104</v>
      </c>
      <c r="F23" s="327">
        <v>0.6</v>
      </c>
      <c r="G23" s="328">
        <f t="shared" ref="G23:G24" si="0">F23*(1-F$29-F$30)</f>
        <v>0.53999999999999992</v>
      </c>
    </row>
    <row r="24" spans="2:7">
      <c r="B24" s="302" t="s">
        <v>446</v>
      </c>
      <c r="C24" s="324">
        <v>0.05</v>
      </c>
      <c r="D24" s="325">
        <f>C18</f>
        <v>15</v>
      </c>
      <c r="E24" s="326">
        <f>DCF!E93</f>
        <v>75.71542271146896</v>
      </c>
      <c r="F24" s="327">
        <v>0.2</v>
      </c>
      <c r="G24" s="328">
        <f t="shared" si="0"/>
        <v>0.18</v>
      </c>
    </row>
    <row r="25" spans="2:7">
      <c r="B25" s="141" t="s">
        <v>451</v>
      </c>
      <c r="C25" s="441">
        <f>E23*F23+E24*F24+E22*F22</f>
        <v>136.23099702021619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399.42207032654022</v>
      </c>
      <c r="F29" s="327">
        <v>0.05</v>
      </c>
      <c r="G29" s="328">
        <f>F29</f>
        <v>0.05</v>
      </c>
    </row>
    <row r="30" spans="2:7">
      <c r="B30" s="315" t="s">
        <v>447</v>
      </c>
      <c r="C30" s="324">
        <v>0</v>
      </c>
      <c r="D30" s="325">
        <f>C18</f>
        <v>15</v>
      </c>
      <c r="E30" s="326">
        <f>DCF!E94</f>
        <v>51.155420968192068</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96.55</v>
      </c>
      <c r="D34" t="str">
        <f>Market_currency</f>
        <v>HKD</v>
      </c>
      <c r="E34" s="97" t="s">
        <v>454</v>
      </c>
      <c r="F34" s="330">
        <f>RATE(Holding_Period,$C$33,-C34,$C$36)</f>
        <v>0.14553508131889137</v>
      </c>
    </row>
    <row r="35" spans="2:7">
      <c r="B35" s="97" t="s">
        <v>434</v>
      </c>
      <c r="C35" s="320">
        <f>DCF!C11</f>
        <v>32.718689142089133</v>
      </c>
      <c r="D35" s="97" t="str">
        <f>Market_currency</f>
        <v>HKD</v>
      </c>
      <c r="E35" s="97" t="s">
        <v>454</v>
      </c>
      <c r="F35" s="330">
        <f>RATE(Holding_Period,$C$33,-C35,$C$36)</f>
        <v>0.64308685510835195</v>
      </c>
    </row>
    <row r="36" spans="2:7">
      <c r="B36" s="97" t="s">
        <v>435</v>
      </c>
      <c r="C36" s="321">
        <f>E22*G22+E23*G23+E24*G24+E30*G30+E29*G29</f>
        <v>145.13677188293119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0.13647968218259099</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232.24325707841359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6.08603574893763E-2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66.883305015175679</v>
      </c>
      <c r="E62" s="332">
        <f>C62+D62</f>
        <v>66.883305015175679</v>
      </c>
      <c r="F62" s="301">
        <f>Thesis!E22</f>
        <v>0.29465259038036606</v>
      </c>
      <c r="G62" s="440">
        <f>(1-E62/C36)</f>
        <v>0.53917050691244228</v>
      </c>
    </row>
    <row r="63" spans="2:7" ht="13.15">
      <c r="B63" s="302" t="s">
        <v>313</v>
      </c>
      <c r="C63" s="119">
        <f>PV(F63, Holding_Period, -C58, 0)</f>
        <v>0</v>
      </c>
      <c r="D63" s="119">
        <f>C36/(1+F63)^Holding_Period</f>
        <v>83.833514445014444</v>
      </c>
      <c r="E63" s="332">
        <f>C63+D63</f>
        <v>83.833514445014444</v>
      </c>
      <c r="F63" s="301">
        <f>Thesis!E23</f>
        <v>0.20075184365903009</v>
      </c>
      <c r="G63" s="440">
        <f>(1-E63/C36)</f>
        <v>0.42238267148014408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104.02828965570951</v>
      </c>
      <c r="E66" s="332">
        <f>C66+D66</f>
        <v>104.02828965570951</v>
      </c>
      <c r="F66" s="301">
        <f>Thesis!E24</f>
        <v>0.1174</v>
      </c>
      <c r="G66" s="440">
        <f>(1-E66/C36)</f>
        <v>0.28323960698519735</v>
      </c>
    </row>
    <row r="67" spans="2:7" ht="13.15">
      <c r="B67" s="302" t="s">
        <v>314</v>
      </c>
      <c r="C67" s="119">
        <f>PV(F67, Holding_Period, -C58, 0)</f>
        <v>0</v>
      </c>
      <c r="D67" s="119">
        <f>C36/(1+F67)^Holding_Period</f>
        <v>117.64827309506597</v>
      </c>
      <c r="E67" s="332">
        <f>C67+D67</f>
        <v>117.64827309506597</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TMT_01</v>
      </c>
      <c r="E6" s="354"/>
    </row>
    <row r="7" spans="1:10">
      <c r="B7" s="343" t="s">
        <v>366</v>
      </c>
      <c r="C7" s="352" t="str">
        <f>Market_currency</f>
        <v>HKD</v>
      </c>
      <c r="D7" s="354"/>
      <c r="E7" s="354"/>
    </row>
    <row r="8" spans="1:10">
      <c r="B8" s="351" t="s">
        <v>365</v>
      </c>
      <c r="C8" s="356">
        <f>Market_Price</f>
        <v>96.55</v>
      </c>
    </row>
    <row r="9" spans="1:10">
      <c r="B9" s="351" t="s">
        <v>361</v>
      </c>
      <c r="C9" s="353">
        <f>Common_Shares</f>
        <v>9264431217</v>
      </c>
    </row>
    <row r="10" spans="1:10">
      <c r="B10" s="351" t="s">
        <v>367</v>
      </c>
      <c r="C10" s="357">
        <f>投资主题!C8*Common_Shares/1000000</f>
        <v>894480.83400134998</v>
      </c>
      <c r="D10" s="343" t="s">
        <v>528</v>
      </c>
      <c r="E10" s="360">
        <f>Scenarios!F34</f>
        <v>0.14553508131889137</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1.1215249683380129</v>
      </c>
    </row>
    <row r="17" spans="1:6">
      <c r="B17" s="343" t="s">
        <v>534</v>
      </c>
      <c r="C17" s="424">
        <f>Terminal_Growth</f>
        <v>0.02</v>
      </c>
      <c r="D17" s="351" t="s">
        <v>339</v>
      </c>
      <c r="E17" s="344" t="str">
        <f>Reporting_currency</f>
        <v>CNY</v>
      </c>
    </row>
    <row r="18" spans="1:6">
      <c r="B18" s="343" t="str">
        <f>"预期股权价值 ("&amp;C7&amp;") :"</f>
        <v>预期股权价值 (HKD) :</v>
      </c>
      <c r="C18" s="359">
        <f>C125</f>
        <v>145.13677188293119</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66.883305015175679</v>
      </c>
      <c r="D22" s="365" t="s">
        <v>440</v>
      </c>
      <c r="E22" s="366">
        <f>Thesis!E22</f>
        <v>0.29465259038036606</v>
      </c>
    </row>
    <row r="23" spans="1:6">
      <c r="B23" s="343" t="s">
        <v>341</v>
      </c>
      <c r="C23" s="367">
        <f>E141</f>
        <v>83.833514445014444</v>
      </c>
      <c r="D23" s="365" t="s">
        <v>441</v>
      </c>
      <c r="E23" s="368">
        <f>Thesis!E23</f>
        <v>0.20075184365903009</v>
      </c>
    </row>
    <row r="24" spans="1:6">
      <c r="B24" s="343" t="s">
        <v>343</v>
      </c>
      <c r="C24" s="367">
        <f>E144</f>
        <v>104.02828965570951</v>
      </c>
      <c r="D24" s="365" t="s">
        <v>443</v>
      </c>
      <c r="E24" s="368">
        <f>Thesis!E24</f>
        <v>0.1174</v>
      </c>
    </row>
    <row r="25" spans="1:6">
      <c r="B25" s="343" t="s">
        <v>342</v>
      </c>
      <c r="C25" s="367">
        <f>E145</f>
        <v>117.64827309506597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1.2733366835461593E-2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0.25</v>
      </c>
      <c r="D66" s="378">
        <f>Normalized_FCF!G119</f>
        <v>0.18051269149145724</v>
      </c>
    </row>
    <row r="67" spans="1:6">
      <c r="B67" s="382" t="str">
        <f>Normalized_FCF!B116</f>
        <v>Pre-tax Profit/Sales</v>
      </c>
      <c r="C67" s="383">
        <f>Normalized_FCF!E116</f>
        <v>0.13647968218259099</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-6.1711753074591531</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7.9927648364700099</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7.0114862926383923</v>
      </c>
      <c r="D90" s="343" t="str">
        <f>Market_currency</f>
        <v>HKD</v>
      </c>
    </row>
    <row r="92" spans="1:6">
      <c r="B92" s="372" t="s">
        <v>480</v>
      </c>
      <c r="C92" s="387">
        <f>DCF!F8</f>
        <v>8.8330758216492491</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3.5743750219125552</v>
      </c>
      <c r="D111" s="343" t="str">
        <f>Market_currency</f>
        <v>HKD</v>
      </c>
    </row>
    <row r="112" spans="1:6">
      <c r="A112" s="385"/>
      <c r="B112" s="372" t="s">
        <v>377</v>
      </c>
      <c r="C112" s="394">
        <f>DCF!C11</f>
        <v>32.718689142089133</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399.42 HKD</v>
      </c>
      <c r="F118" s="399">
        <f>DCF!F90</f>
        <v>0.05</v>
      </c>
    </row>
    <row r="119" spans="1:6">
      <c r="A119" s="385"/>
      <c r="B119" s="400" t="str">
        <f>DCF!B91</f>
        <v>Optimistic</v>
      </c>
      <c r="C119" s="401">
        <f>DCF!C91</f>
        <v>0.2</v>
      </c>
      <c r="D119" s="402">
        <f>DCF!D91</f>
        <v>15</v>
      </c>
      <c r="E119" s="398" t="str">
        <f>ROUND(DCF!E91,2)&amp;" "&amp;Market_currency</f>
        <v>263.34 HKD</v>
      </c>
      <c r="F119" s="403">
        <f>DCF!F91</f>
        <v>0.18</v>
      </c>
    </row>
    <row r="120" spans="1:6">
      <c r="B120" s="400" t="str">
        <f>DCF!B92</f>
        <v>Base</v>
      </c>
      <c r="C120" s="401">
        <f>DCF!C92</f>
        <v>0.1</v>
      </c>
      <c r="D120" s="402">
        <f>DCF!D92</f>
        <v>15</v>
      </c>
      <c r="E120" s="398" t="str">
        <f>ROUND(DCF!E92,2)&amp;" "&amp;Market_currency</f>
        <v>114.03 HKD</v>
      </c>
      <c r="F120" s="403">
        <f>DCF!F92</f>
        <v>0.53999999999999992</v>
      </c>
    </row>
    <row r="121" spans="1:6">
      <c r="B121" s="400" t="str">
        <f>DCF!B93</f>
        <v>Pessimistic</v>
      </c>
      <c r="C121" s="401">
        <f>DCF!C93</f>
        <v>0.05</v>
      </c>
      <c r="D121" s="402">
        <f>DCF!D93</f>
        <v>15</v>
      </c>
      <c r="E121" s="398" t="str">
        <f>ROUND(DCF!E93,2)&amp;" "&amp;Market_currency</f>
        <v>75.72 HKD</v>
      </c>
      <c r="F121" s="403">
        <f>DCF!F93</f>
        <v>0.18</v>
      </c>
    </row>
    <row r="122" spans="1:6">
      <c r="B122" s="400" t="str">
        <f>DCF!B94</f>
        <v>Devil's advocate</v>
      </c>
      <c r="C122" s="401">
        <f>DCF!C94</f>
        <v>0</v>
      </c>
      <c r="D122" s="402">
        <f>DCF!D94</f>
        <v>15</v>
      </c>
      <c r="E122" s="398" t="str">
        <f>ROUND(DCF!E94,2)&amp;" "&amp;Market_currency</f>
        <v>51.16 HKD</v>
      </c>
      <c r="F122" s="403">
        <f>DCF!F94</f>
        <v>0.05</v>
      </c>
    </row>
    <row r="124" spans="1:6">
      <c r="B124" s="470" t="s">
        <v>518</v>
      </c>
      <c r="C124" s="470"/>
      <c r="D124" s="470"/>
      <c r="E124" s="470"/>
      <c r="F124" s="470"/>
    </row>
    <row r="125" spans="1:6">
      <c r="B125" s="372" t="s">
        <v>218</v>
      </c>
      <c r="C125" s="404">
        <f>Scenarios!C36</f>
        <v>145.13677188293119</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66.883305015175679</v>
      </c>
      <c r="E140" s="410">
        <f>Scenarios!E62</f>
        <v>66.883305015175679</v>
      </c>
      <c r="F140" s="411">
        <f>E22</f>
        <v>0.29465259038036606</v>
      </c>
    </row>
    <row r="141" spans="1:6">
      <c r="B141" s="408" t="s">
        <v>313</v>
      </c>
      <c r="C141" s="409">
        <f>Scenarios!C63</f>
        <v>0</v>
      </c>
      <c r="D141" s="409">
        <f>Scenarios!D63</f>
        <v>83.833514445014444</v>
      </c>
      <c r="E141" s="410">
        <f>Scenarios!E63</f>
        <v>83.833514445014444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104.02828965570951</v>
      </c>
      <c r="E144" s="410">
        <f>Scenarios!E66</f>
        <v>104.02828965570951</v>
      </c>
      <c r="F144" s="411">
        <f>E24</f>
        <v>0.1174</v>
      </c>
    </row>
    <row r="145" spans="1:6">
      <c r="B145" s="408" t="s">
        <v>314</v>
      </c>
      <c r="C145" s="409">
        <f>Scenarios!C67</f>
        <v>0</v>
      </c>
      <c r="D145" s="409">
        <f>Scenarios!D67</f>
        <v>117.64827309506597</v>
      </c>
      <c r="E145" s="410">
        <f>Scenarios!E67</f>
        <v>117.64827309506597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2026-01-27T08:36:06Z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