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341E7BB-2004-4FE5-8AD6-D72510A7935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<sst xmlns="http://schemas.openxmlformats.org/spreadsheetml/2006/main" count="768" uniqueCount="558">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</sst>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10" sqref="B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90</v>
      </c>
      <c r="E8" s="32"/>
    </row>
    <row r="9" spans="1:9">
      <c r="B9" s="4" t="s">
        <v>346</v>
      </c>
      <c r="C9" s="48">
        <v>9264431217</v>
      </c>
    </row>
    <row r="10" spans="1:9">
      <c r="B10" s="4" t="s">
        <v>352</v>
      </c>
      <c r="C10" s="33">
        <f>Thesis!C8*Common_Shares/1000000</f>
        <v>833798.80952999997</v>
      </c>
      <c r="D10" s="1" t="s">
        <v>527</v>
      </c>
      <c r="E10" s="303">
        <f>Scenarios!F34</f>
        <v>2.1100294090824159E-2</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1.1347130000000001</v>
      </c>
    </row>
    <row r="17" spans="1:6">
      <c r="B17" s="1" t="s">
        <v>531</v>
      </c>
      <c r="C17" s="456">
        <v>0.02</v>
      </c>
      <c r="D17" s="4" t="s">
        <v>274</v>
      </c>
      <c r="E17" s="224" t="s">
        <v>556</v>
      </c>
    </row>
    <row r="18" spans="1:6">
      <c r="B18" s="1" t="str">
        <f>"Expected Equity Value ("&amp;C7&amp;") :"</f>
        <v>Expected Equity Value (HKD) :</v>
      </c>
      <c r="C18" s="252">
        <f>C125</f>
        <v>95.818134944558366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43.613170206899568</v>
      </c>
      <c r="D22" s="38" t="s">
        <v>406</v>
      </c>
      <c r="E22" s="79">
        <v>0.3</v>
      </c>
    </row>
    <row r="23" spans="1:6">
      <c r="B23" s="1" t="s">
        <v>313</v>
      </c>
      <c r="C23" s="256">
        <f>E141</f>
        <v>55.450309574397203</v>
      </c>
      <c r="D23" s="38" t="s">
        <v>407</v>
      </c>
      <c r="E23" s="443">
        <v>0.2</v>
      </c>
    </row>
    <row r="24" spans="1:6">
      <c r="B24" s="1" t="s">
        <v>315</v>
      </c>
      <c r="C24" s="256">
        <f>E144</f>
        <v>68.678644060807045</v>
      </c>
      <c r="D24" s="38" t="s">
        <v>408</v>
      </c>
      <c r="E24" s="443">
        <v>0.1174</v>
      </c>
    </row>
    <row r="25" spans="1:6">
      <c r="B25" s="1" t="s">
        <v>314</v>
      </c>
      <c r="C25" s="256">
        <f>E145</f>
        <v>77.670448096434683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1.3820702013747219E-2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0.15</v>
      </c>
      <c r="D66" s="89">
        <f>Normalized_FCF!G119</f>
        <v>0.18051269149145724</v>
      </c>
    </row>
    <row r="67" spans="1:6">
      <c r="B67" s="229" t="str">
        <f>Normalized_FCF!B116</f>
        <v>Pre-tax Profit/Sales</v>
      </c>
      <c r="C67" s="263">
        <f>Normalized_FCF!E116</f>
        <v>8.1887809309554582E-2</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-6.2437422655243413</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8.0867518975752049</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7.0939344822332551</v>
      </c>
      <c r="D90" s="1" t="str">
        <f>Market_currency</f>
        <v>HKD</v>
      </c>
    </row>
    <row r="91" spans="1:6">
      <c r="A91" s="191"/>
    </row>
    <row r="92" spans="1:6">
      <c r="A92" s="191"/>
      <c r="B92" s="44" t="s">
        <v>469</v>
      </c>
      <c r="C92" s="216">
        <f>DCF!F8</f>
        <v>8.9369441142841168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3.6164061601320228</v>
      </c>
      <c r="D111" s="1" t="str">
        <f>Market_currency</f>
        <v>HKD</v>
      </c>
    </row>
    <row r="112" spans="2:6">
      <c r="B112" s="44" t="s">
        <v>323</v>
      </c>
      <c r="C112" s="216">
        <f>DCF!C11</f>
        <v>33.103428778322126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0.25</v>
      </c>
      <c r="D118" s="207" t="str">
        <f>ROUND(DCF!E90,2)&amp;" "&amp;Market_currency</f>
        <v>252.78 HKD</v>
      </c>
      <c r="E118" s="208">
        <f>DCF!F90</f>
        <v>0.05</v>
      </c>
      <c r="F118" s="208">
        <f>RATE(Holding_Period,Scenarios!C$58,-DCF!E90,C$18)</f>
        <v>-0.27628214511278004</v>
      </c>
    </row>
    <row r="119" spans="2:6">
      <c r="B119" s="205" t="str">
        <f>DCF!B91&amp;" ("&amp;DCF!D91&amp;"yrs)"</f>
        <v>Optimistic (15yrs)</v>
      </c>
      <c r="C119" s="198">
        <f>DCF!C91</f>
        <v>0.2</v>
      </c>
      <c r="D119" s="207" t="str">
        <f>ROUND(DCF!E91,2)&amp;" "&amp;Market_currency</f>
        <v>169.03 HKD</v>
      </c>
      <c r="E119" s="199">
        <f>DCF!F91</f>
        <v>0.18</v>
      </c>
      <c r="F119" s="208">
        <f>RATE(Holding_Period,Scenarios!C$58,-DCF!E91,C$18)</f>
        <v>-0.1723923206221302</v>
      </c>
    </row>
    <row r="120" spans="2:6">
      <c r="B120" s="205" t="str">
        <f>DCF!B92&amp;" ("&amp;DCF!D92&amp;"yrs)"</f>
        <v>Base (15yrs)</v>
      </c>
      <c r="C120" s="198">
        <f>DCF!C92</f>
        <v>0.1</v>
      </c>
      <c r="D120" s="207" t="str">
        <f>ROUND(DCF!E92,2)&amp;" "&amp;Market_currency</f>
        <v>76.66 HKD</v>
      </c>
      <c r="E120" s="199">
        <f>DCF!F92</f>
        <v>0.53999999999999992</v>
      </c>
      <c r="F120" s="208">
        <f>RATE(Holding_Period,Scenarios!C$58,-DCF!E92,C$18)</f>
        <v>7.7200288038073675E-2</v>
      </c>
    </row>
    <row r="121" spans="2:6">
      <c r="B121" s="205" t="str">
        <f>DCF!B93&amp;" ("&amp;DCF!D93&amp;"yrs)"</f>
        <v>Pessimistic (15yrs)</v>
      </c>
      <c r="C121" s="198">
        <f>DCF!C93</f>
        <v>0.05</v>
      </c>
      <c r="D121" s="207" t="str">
        <f>ROUND(DCF!E93,2)&amp;" "&amp;Market_currency</f>
        <v>52.74 HKD</v>
      </c>
      <c r="E121" s="199">
        <f>DCF!F93</f>
        <v>0.18</v>
      </c>
      <c r="F121" s="208">
        <f>RATE(Holding_Period,Scenarios!C$58,-DCF!E93,C$18)</f>
        <v>0.22020794486684606</v>
      </c>
    </row>
    <row r="122" spans="2:6">
      <c r="B122" s="205" t="str">
        <f>DCF!B94&amp;" ("&amp;DCF!D94&amp;"yrs)"</f>
        <v>Devil's advocate (15yrs)</v>
      </c>
      <c r="C122" s="198">
        <f>DCF!C94</f>
        <v>0</v>
      </c>
      <c r="D122" s="207" t="str">
        <f>ROUND(DCF!E94,2)&amp;" "&amp;Market_currency</f>
        <v>37.29 HKD</v>
      </c>
      <c r="E122" s="199">
        <f>DCF!F94</f>
        <v>0.05</v>
      </c>
      <c r="F122" s="208">
        <f>RATE(Holding_Period,Scenarios!C$58,-DCF!E94,C$18)</f>
        <v>0.36971272439319547</v>
      </c>
    </row>
    <row r="124" spans="2:6">
      <c r="B124" s="463" t="s">
        <v>357</v>
      </c>
      <c r="C124" s="463"/>
      <c r="D124" s="463"/>
      <c r="E124" s="463"/>
      <c r="F124" s="463"/>
    </row>
    <row r="125" spans="2:6">
      <c r="B125" s="193" t="s">
        <v>218</v>
      </c>
      <c r="C125" s="197">
        <f>Scenarios!C36</f>
        <v>95.818134944558366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43.613170206899568</v>
      </c>
      <c r="E140" s="334">
        <f>Scenarios!E62</f>
        <v>43.613170206899568</v>
      </c>
      <c r="F140" s="335">
        <f>E22</f>
        <v>0.3</v>
      </c>
    </row>
    <row r="141" spans="1:6">
      <c r="B141" s="336" t="s">
        <v>313</v>
      </c>
      <c r="C141" s="333">
        <f>Scenarios!C63</f>
        <v>0</v>
      </c>
      <c r="D141" s="333">
        <f>Scenarios!D63</f>
        <v>55.450309574397203</v>
      </c>
      <c r="E141" s="334">
        <f>Scenarios!E63</f>
        <v>55.450309574397203</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68.678644060807045</v>
      </c>
      <c r="E144" s="334">
        <f>Scenarios!E66</f>
        <v>68.678644060807045</v>
      </c>
      <c r="F144" s="335">
        <f>E24</f>
        <v>0.1174</v>
      </c>
    </row>
    <row r="145" spans="1:6">
      <c r="B145" s="336" t="s">
        <v>314</v>
      </c>
      <c r="C145" s="333">
        <f>Scenarios!C67</f>
        <v>0</v>
      </c>
      <c r="D145" s="333">
        <f>Scenarios!D67</f>
        <v>77.670448096434683</v>
      </c>
      <c r="E145" s="334">
        <f>Scenarios!E67</f>
        <v>77.670448096434683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0" activePane="bottomRight" state="frozen"/>
      <selection pane="topRight" activeCell="C1" sqref="C1"/>
      <selection pane="bottomLeft" activeCell="A2" sqref="A2"/>
      <selection pane="bottomRight" activeCell="C71" sqref="C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22.580021087405957</v>
      </c>
      <c r="D47" s="134">
        <f>D46*H1/Common_Shares*Exchange_Rate</f>
        <v>3.6164061601320228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-57844720.755626008</v>
      </c>
      <c r="D86" s="201">
        <f>C86*scaling_factor/Common_Shares</f>
        <v>-6.2437422655243413</v>
      </c>
      <c r="E86" s="214" t="str">
        <f>Market_currency</f>
        <v>HKD</v>
      </c>
    </row>
    <row r="87" spans="2:8" ht="15" customHeight="1">
      <c r="B87" s="212" t="s">
        <v>240</v>
      </c>
      <c r="C87" s="73">
        <f>DCF!F5*Exchange_Rate</f>
        <v>74919156.724029705</v>
      </c>
      <c r="D87" s="201">
        <f>C87*scaling_factor/Common_Shares</f>
        <v>8.0867518975752049</v>
      </c>
      <c r="E87" s="214" t="str">
        <f>Market_currency</f>
        <v>HKD</v>
      </c>
    </row>
    <row r="88" spans="2:8" ht="15" customHeight="1">
      <c r="B88" s="213" t="s">
        <v>159</v>
      </c>
      <c r="C88" s="73">
        <f>DCF!F6*Exchange_Rate</f>
        <v>65721268.068554498</v>
      </c>
      <c r="D88" s="201">
        <f>C88*scaling_factor/Common_Shares</f>
        <v>7.0939344822332551</v>
      </c>
      <c r="E88" s="214" t="str">
        <f>Market_currency</f>
        <v>HKD</v>
      </c>
    </row>
    <row r="89" spans="2:8" ht="15" customHeight="1">
      <c r="B89" s="77" t="s">
        <v>244</v>
      </c>
      <c r="C89" s="162">
        <f>SUM(C86:C88)</f>
        <v>82795704.036958188</v>
      </c>
      <c r="D89" s="216">
        <f>SUM(D86:D88)</f>
        <v>8.9369441142841186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41" activePane="bottomRight" state="frozen"/>
      <selection activeCell="C17" sqref="C17"/>
      <selection pane="topRight" activeCell="C17" sqref="C17"/>
      <selection pane="bottomLeft" activeCell="C17" sqref="C17"/>
      <selection pane="bottomRight" activeCell="C18" sqref="C18"/>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8.1887809309554582E-2</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0.15</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1.24386318123725</v>
      </c>
      <c r="D123" s="26"/>
      <c r="E123" s="234"/>
      <c r="F123" s="26"/>
      <c r="G123" s="159">
        <f t="shared" ref="G123:Q123" si="48">IF(G$4="","",G14*$C$3/Common_Shares*Exchange_Rate)</f>
        <v>3.8078969578911126</v>
      </c>
      <c r="H123" s="159">
        <f t="shared" si="48"/>
        <v>0.83019532419401187</v>
      </c>
      <c r="I123" s="159">
        <f t="shared" si="48"/>
        <v>-1.1963654963978141</v>
      </c>
      <c r="J123" s="159">
        <f t="shared" si="48"/>
        <v>-2.9828155862571406</v>
      </c>
      <c r="K123" s="159">
        <f t="shared" si="48"/>
        <v>-0.37346965175217839</v>
      </c>
      <c r="L123" s="159">
        <f t="shared" si="48"/>
        <v>2.3330102752923274E-2</v>
      </c>
      <c r="M123" s="159">
        <f t="shared" si="48"/>
        <v>-1.658477189693492</v>
      </c>
      <c r="N123" s="159">
        <f t="shared" si="48"/>
        <v>-0.55770199285289712</v>
      </c>
      <c r="O123" s="159">
        <f t="shared" si="48"/>
        <v>-0.83278830325642605</v>
      </c>
      <c r="P123" s="159">
        <f t="shared" si="48"/>
        <v>-1.0422863889289928</v>
      </c>
      <c r="Q123" s="159" t="str">
        <f t="shared" si="48"/>
        <v/>
      </c>
    </row>
    <row r="124" spans="1:17" ht="15.75" customHeight="1">
      <c r="A124" s="10"/>
      <c r="B124" s="26" t="s">
        <v>226</v>
      </c>
      <c r="C124" s="74">
        <f>C19*Exchange_Rate*$C$3/(Market_Price*Common_Shares)</f>
        <v>1.3820702013747219E-2</v>
      </c>
      <c r="D124" s="26"/>
      <c r="E124" s="234"/>
      <c r="F124" s="26"/>
      <c r="G124" s="74">
        <f t="shared" ref="G124" si="49">IF(G$4="","",G123/Market_Price)</f>
        <v>4.2309966198790142E-2</v>
      </c>
      <c r="H124" s="74">
        <f t="shared" ref="H124" si="50">IF(H$4="","",H123/Market_Price)</f>
        <v>9.2243924910445762E-3</v>
      </c>
      <c r="I124" s="74">
        <f t="shared" ref="I124" si="51">IF(I$4="","",I123/Market_Price)</f>
        <v>-1.3292949959975712E-2</v>
      </c>
      <c r="J124" s="74">
        <f t="shared" ref="J124" si="52">IF(J$4="","",J123/Market_Price)</f>
        <v>-3.3142395402857121E-2</v>
      </c>
      <c r="K124" s="74">
        <f t="shared" ref="K124" si="53">IF(K$4="","",K123/Market_Price)</f>
        <v>-4.1496627972464261E-3</v>
      </c>
      <c r="L124" s="74">
        <f t="shared" ref="L124" si="54">IF(L$4="","",L123/Market_Price)</f>
        <v>2.592233639213697E-4</v>
      </c>
      <c r="M124" s="74">
        <f t="shared" ref="M124" si="55">IF(M$4="","",M123/Market_Price)</f>
        <v>-1.842752432992769E-2</v>
      </c>
      <c r="N124" s="74">
        <f t="shared" ref="N124" si="56">IF(N$4="","",N123/Market_Price)</f>
        <v>-6.1966888094766347E-3</v>
      </c>
      <c r="O124" s="74">
        <f t="shared" ref="O124" si="57">IF(O$4="","",O123/Market_Price)</f>
        <v>-9.2532033695158448E-3</v>
      </c>
      <c r="P124" s="74">
        <f t="shared" ref="P124" si="58">IF(P$4="","",P123/Market_Price)</f>
        <v>-1.158095987698881E-2</v>
      </c>
      <c r="Q124" s="74" t="str">
        <f t="shared" ref="Q124" si="59">IF(Q$4="","",Q123/Market_Price)</f>
        <v/>
      </c>
    </row>
    <row r="125" spans="1:17" ht="15.75" customHeight="1">
      <c r="B125" s="2" t="s">
        <v>306</v>
      </c>
      <c r="C125" s="151"/>
      <c r="G125" s="22">
        <f>IF(G$4="","",(Data!C47*$C$3)/(Market_Price*Common_Shares))</f>
        <v>4.2944627157939903E-2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6" zoomScaleNormal="100" workbookViewId="0">
      <selection activeCell="F27" sqref="F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7.2499999999999995E-2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197308689.44540638</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270274896.79207307</v>
      </c>
      <c r="D8" t="str">
        <f>Reporting_currency</f>
        <v>CNY</v>
      </c>
      <c r="E8" s="140" t="s">
        <v>464</v>
      </c>
      <c r="F8" s="108">
        <f>FV_adjustments*scaling_factor/Common_Shares*Exchange_Rate</f>
        <v>8.9369441142841168</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306684438.96362364</v>
      </c>
      <c r="D10" t="str">
        <f>Market_currency</f>
        <v>HKD</v>
      </c>
      <c r="H10" s="308" t="s">
        <v>397</v>
      </c>
      <c r="I10" s="306">
        <f>Normalized_FCF!C41</f>
        <v>0.25</v>
      </c>
      <c r="N10" s="304"/>
      <c r="O10" s="304"/>
    </row>
    <row r="11" spans="2:15" ht="13.15">
      <c r="B11" s="136" t="s">
        <v>425</v>
      </c>
      <c r="C11" s="108">
        <f>(C10*scaling_factor)/Common_Shares</f>
        <v>33.103428778322126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8.1887809309554582E-2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149.85376581835388</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0.93240093240093236</v>
      </c>
      <c r="L21" s="277">
        <f t="shared" ref="L21:L51" si="4">H21*K21</f>
        <v>11220866.440077098</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0.86937149874212816</v>
      </c>
      <c r="L22" s="277">
        <f t="shared" si="4"/>
        <v>12397880.40232295</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0.81060279602995633</v>
      </c>
      <c r="L23" s="277">
        <f t="shared" si="4"/>
        <v>13698357.367601583</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0.75580680282513402</v>
      </c>
      <c r="L24" s="277">
        <f t="shared" si="4"/>
        <v>15135248.000566782</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0.70471496766912267</v>
      </c>
      <c r="L25" s="277">
        <f t="shared" si="4"/>
        <v>16722861.427199664</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0.65707689293158289</v>
      </c>
      <c r="L26" s="277">
        <f t="shared" si="4"/>
        <v>18477007.730752073</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0.61265910762851561</v>
      </c>
      <c r="L27" s="277">
        <f t="shared" si="4"/>
        <v>20415155.39481698</v>
      </c>
    </row>
    <row r="28" spans="1:21">
      <c r="A28" s="302" t="str">
        <f t="shared" si="0"/>
        <v>II</v>
      </c>
      <c r="B28" s="117">
        <v>8</v>
      </c>
      <c r="C28" s="277">
        <f t="shared" si="5"/>
        <v>1210156392.0914392</v>
      </c>
      <c r="D28" s="299">
        <f t="shared" si="1"/>
        <v>9.2499999999999999E-2</v>
      </c>
      <c r="E28" s="299">
        <f t="shared" si="6"/>
        <v>8.1887809309554582E-2</v>
      </c>
      <c r="F28" s="277">
        <f t="shared" si="7"/>
        <v>99097055.870322347</v>
      </c>
      <c r="G28" s="299">
        <f t="shared" si="2"/>
        <v>0</v>
      </c>
      <c r="H28" s="277">
        <f t="shared" si="8"/>
        <v>74322791.90274176</v>
      </c>
      <c r="I28" s="299">
        <f t="shared" si="9"/>
        <v>1.2304280561662528</v>
      </c>
      <c r="J28" s="299">
        <f t="shared" si="10"/>
        <v>6.1415856982165937E-2</v>
      </c>
      <c r="K28" s="119">
        <f t="shared" si="3"/>
        <v>0.5712439231967511</v>
      </c>
      <c r="L28" s="277">
        <f t="shared" si="4"/>
        <v>42456443.22945793</v>
      </c>
    </row>
    <row r="29" spans="1:21">
      <c r="A29" s="302" t="str">
        <f t="shared" si="0"/>
        <v>II</v>
      </c>
      <c r="B29" s="117">
        <v>9</v>
      </c>
      <c r="C29" s="277">
        <f t="shared" si="5"/>
        <v>1322095858.3598974</v>
      </c>
      <c r="D29" s="299">
        <f t="shared" si="1"/>
        <v>9.2499999999999999E-2</v>
      </c>
      <c r="E29" s="299">
        <f t="shared" si="6"/>
        <v>8.1887809309554582E-2</v>
      </c>
      <c r="F29" s="277">
        <f t="shared" si="7"/>
        <v>108263533.53832716</v>
      </c>
      <c r="G29" s="299">
        <f t="shared" si="2"/>
        <v>0</v>
      </c>
      <c r="H29" s="277">
        <f t="shared" si="8"/>
        <v>81197650.153745368</v>
      </c>
      <c r="I29" s="299">
        <f t="shared" si="9"/>
        <v>9.2500000000000027E-2</v>
      </c>
      <c r="J29" s="299">
        <f t="shared" si="10"/>
        <v>6.1415856982165937E-2</v>
      </c>
      <c r="K29" s="119">
        <f t="shared" si="3"/>
        <v>0.53262836661701729</v>
      </c>
      <c r="L29" s="277">
        <f t="shared" si="4"/>
        <v>43248171.774529397</v>
      </c>
    </row>
    <row r="30" spans="1:21">
      <c r="A30" s="302" t="str">
        <f t="shared" si="0"/>
        <v>II</v>
      </c>
      <c r="B30" s="117">
        <v>10</v>
      </c>
      <c r="C30" s="277">
        <f t="shared" si="5"/>
        <v>1444389725.258188</v>
      </c>
      <c r="D30" s="299">
        <f t="shared" si="1"/>
        <v>9.2499999999999999E-2</v>
      </c>
      <c r="E30" s="299">
        <f t="shared" si="6"/>
        <v>8.1887809309554582E-2</v>
      </c>
      <c r="F30" s="277">
        <f t="shared" si="7"/>
        <v>118277910.39062244</v>
      </c>
      <c r="G30" s="299">
        <f t="shared" si="2"/>
        <v>0</v>
      </c>
      <c r="H30" s="277">
        <f t="shared" si="8"/>
        <v>88708432.792966828</v>
      </c>
      <c r="I30" s="299">
        <f t="shared" si="9"/>
        <v>9.2500000000000249E-2</v>
      </c>
      <c r="J30" s="299">
        <f t="shared" si="10"/>
        <v>6.1415856982165937E-2</v>
      </c>
      <c r="K30" s="119">
        <f t="shared" si="3"/>
        <v>0.49662318565689262</v>
      </c>
      <c r="L30" s="277">
        <f t="shared" si="4"/>
        <v>44054664.488273546</v>
      </c>
    </row>
    <row r="31" spans="1:21">
      <c r="A31" s="302" t="str">
        <f t="shared" si="0"/>
        <v>II</v>
      </c>
      <c r="B31" s="117">
        <v>11</v>
      </c>
      <c r="C31" s="277">
        <f t="shared" si="5"/>
        <v>1577995774.8445704</v>
      </c>
      <c r="D31" s="299">
        <f t="shared" si="1"/>
        <v>9.2499999999999999E-2</v>
      </c>
      <c r="E31" s="299">
        <f t="shared" si="6"/>
        <v>8.1887809309554582E-2</v>
      </c>
      <c r="F31" s="277">
        <f t="shared" si="7"/>
        <v>129218617.10175501</v>
      </c>
      <c r="G31" s="299">
        <f t="shared" si="2"/>
        <v>0</v>
      </c>
      <c r="H31" s="277">
        <f t="shared" si="8"/>
        <v>96913962.826316252</v>
      </c>
      <c r="I31" s="299">
        <f t="shared" si="9"/>
        <v>9.2500000000000027E-2</v>
      </c>
      <c r="J31" s="299">
        <f t="shared" si="10"/>
        <v>6.1415856982165937E-2</v>
      </c>
      <c r="K31" s="119">
        <f t="shared" si="3"/>
        <v>0.46305192135840806</v>
      </c>
      <c r="L31" s="277">
        <f t="shared" si="4"/>
        <v>44876196.693183072</v>
      </c>
    </row>
    <row r="32" spans="1:21">
      <c r="A32" s="302" t="str">
        <f t="shared" si="0"/>
        <v>II</v>
      </c>
      <c r="B32" s="117">
        <v>12</v>
      </c>
      <c r="C32" s="277">
        <f t="shared" si="5"/>
        <v>1723960384.0176933</v>
      </c>
      <c r="D32" s="299">
        <f t="shared" si="1"/>
        <v>9.2499999999999999E-2</v>
      </c>
      <c r="E32" s="299">
        <f t="shared" si="6"/>
        <v>8.1887809309554582E-2</v>
      </c>
      <c r="F32" s="277">
        <f t="shared" si="7"/>
        <v>141171339.18366736</v>
      </c>
      <c r="G32" s="299">
        <f t="shared" si="2"/>
        <v>0</v>
      </c>
      <c r="H32" s="277">
        <f t="shared" si="8"/>
        <v>105878504.38775052</v>
      </c>
      <c r="I32" s="299">
        <f t="shared" si="9"/>
        <v>9.2500000000000249E-2</v>
      </c>
      <c r="J32" s="299">
        <f t="shared" si="10"/>
        <v>6.1415856982165937E-2</v>
      </c>
      <c r="K32" s="119">
        <f t="shared" si="3"/>
        <v>0.43175004322462285</v>
      </c>
      <c r="L32" s="277">
        <f t="shared" si="4"/>
        <v>45713048.845969707</v>
      </c>
    </row>
    <row r="33" spans="1:21">
      <c r="A33" s="302" t="str">
        <f t="shared" si="0"/>
        <v>II</v>
      </c>
      <c r="B33" s="117">
        <v>13</v>
      </c>
      <c r="C33" s="277">
        <f t="shared" si="5"/>
        <v>1883426719.53933</v>
      </c>
      <c r="D33" s="299">
        <f t="shared" si="1"/>
        <v>9.2499999999999999E-2</v>
      </c>
      <c r="E33" s="299">
        <f t="shared" si="6"/>
        <v>8.1887809309554582E-2</v>
      </c>
      <c r="F33" s="277">
        <f t="shared" si="7"/>
        <v>154229688.05815661</v>
      </c>
      <c r="G33" s="299">
        <f t="shared" si="2"/>
        <v>0</v>
      </c>
      <c r="H33" s="277">
        <f t="shared" si="8"/>
        <v>115672266.04361746</v>
      </c>
      <c r="I33" s="299">
        <f t="shared" si="9"/>
        <v>9.2500000000000027E-2</v>
      </c>
      <c r="J33" s="299">
        <f t="shared" si="10"/>
        <v>6.1415856982165944E-2</v>
      </c>
      <c r="K33" s="119">
        <f t="shared" si="3"/>
        <v>0.40256414286678116</v>
      </c>
      <c r="L33" s="277">
        <f t="shared" si="4"/>
        <v>46565506.633307137</v>
      </c>
      <c r="N33" s="275"/>
      <c r="O33" s="275"/>
      <c r="P33" s="275"/>
      <c r="Q33" s="275"/>
      <c r="R33" s="275"/>
      <c r="S33" s="275"/>
      <c r="T33" s="275"/>
      <c r="U33" s="275"/>
    </row>
    <row r="34" spans="1:21">
      <c r="A34" s="302" t="str">
        <f t="shared" si="0"/>
        <v>II</v>
      </c>
      <c r="B34" s="117">
        <v>14</v>
      </c>
      <c r="C34" s="277">
        <f t="shared" si="5"/>
        <v>2057643691.0967181</v>
      </c>
      <c r="D34" s="299">
        <f t="shared" si="1"/>
        <v>9.2499999999999999E-2</v>
      </c>
      <c r="E34" s="299">
        <f t="shared" si="6"/>
        <v>8.1887809309554582E-2</v>
      </c>
      <c r="F34" s="277">
        <f t="shared" si="7"/>
        <v>168495934.20353609</v>
      </c>
      <c r="G34" s="299">
        <f t="shared" si="2"/>
        <v>0</v>
      </c>
      <c r="H34" s="277">
        <f t="shared" si="8"/>
        <v>126371950.65265207</v>
      </c>
      <c r="I34" s="299">
        <f t="shared" si="9"/>
        <v>9.2500000000000027E-2</v>
      </c>
      <c r="J34" s="299">
        <f t="shared" si="10"/>
        <v>6.1415856982165944E-2</v>
      </c>
      <c r="K34" s="119">
        <f t="shared" si="3"/>
        <v>0.37535118216016894</v>
      </c>
      <c r="L34" s="277">
        <f t="shared" si="4"/>
        <v>47433861.069359489</v>
      </c>
      <c r="N34" s="275"/>
      <c r="O34" s="275"/>
      <c r="P34" s="275"/>
      <c r="Q34" s="275"/>
      <c r="R34" s="275"/>
      <c r="S34" s="275"/>
      <c r="T34" s="275"/>
      <c r="U34" s="275"/>
    </row>
    <row r="35" spans="1:21">
      <c r="A35" s="302" t="str">
        <f t="shared" si="0"/>
        <v>II</v>
      </c>
      <c r="B35" s="117">
        <v>15</v>
      </c>
      <c r="C35" s="277">
        <f t="shared" si="5"/>
        <v>2247975732.5231647</v>
      </c>
      <c r="D35" s="299">
        <f t="shared" si="1"/>
        <v>9.2499999999999999E-2</v>
      </c>
      <c r="E35" s="299">
        <f t="shared" si="6"/>
        <v>8.1887809309554582E-2</v>
      </c>
      <c r="F35" s="277">
        <f t="shared" si="7"/>
        <v>184081808.11736318</v>
      </c>
      <c r="G35" s="299">
        <f t="shared" si="2"/>
        <v>0</v>
      </c>
      <c r="H35" s="277">
        <f t="shared" si="8"/>
        <v>138061356.08802238</v>
      </c>
      <c r="I35" s="299">
        <f t="shared" si="9"/>
        <v>9.2500000000000027E-2</v>
      </c>
      <c r="J35" s="299">
        <f t="shared" si="10"/>
        <v>6.141585698216593E-2</v>
      </c>
      <c r="K35" s="119">
        <f t="shared" si="3"/>
        <v>0.34997779222393377</v>
      </c>
      <c r="L35" s="277">
        <f t="shared" si="4"/>
        <v>48318408.595128432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2292935247.1736279</v>
      </c>
      <c r="D51" s="301">
        <f>Terminal_Growth</f>
        <v>0.02</v>
      </c>
      <c r="E51" s="301">
        <f>F17</f>
        <v>8.1887809309554582E-2</v>
      </c>
      <c r="F51" s="277">
        <f>C51*E51</f>
        <v>187763444.27971044</v>
      </c>
      <c r="G51" s="299">
        <f>F18</f>
        <v>0</v>
      </c>
      <c r="H51" s="277">
        <f>(F51*(1-$I$10)+C51*(G51-$I$9))/Equity_Cost</f>
        <v>1942380458.0659704</v>
      </c>
      <c r="I51" s="415">
        <f>(F51*(1-$I$10)+C51*(G51-$I$9))/VLOOKUP(C15,B21:H50,COLUMN(H20)-1,FALSE)-1</f>
        <v>2.0000000000000018E-2</v>
      </c>
      <c r="J51" s="454"/>
      <c r="K51" s="119">
        <f>1/(1+Equity_Cost)^C15</f>
        <v>0.34997779222393377</v>
      </c>
      <c r="L51" s="277">
        <f t="shared" si="4"/>
        <v>679790024.37284148</v>
      </c>
    </row>
    <row r="52" spans="1:21" ht="13.15">
      <c r="G52" s="111"/>
      <c r="H52" s="111"/>
      <c r="I52" s="111"/>
      <c r="J52" s="468" t="s">
        <v>420</v>
      </c>
      <c r="K52" s="468"/>
      <c r="L52" s="317">
        <f>SUM(L21:L51)</f>
        <v>1150523702.4653873</v>
      </c>
    </row>
    <row r="53" spans="1:21">
      <c r="C53" s="111"/>
    </row>
    <row r="54" spans="1:21" ht="13.15">
      <c r="B54" s="115" t="s">
        <v>108</v>
      </c>
      <c r="C54" s="128"/>
      <c r="D54" s="128"/>
      <c r="E54" s="113"/>
      <c r="F54" s="113"/>
      <c r="G54" s="113"/>
      <c r="H54" s="113"/>
      <c r="I54" s="113"/>
      <c r="J54" s="113"/>
      <c r="K54" s="113"/>
      <c r="L54" s="113"/>
    </row>
    <row r="55" spans="1:21" ht="13.15">
      <c r="A55" s="125">
        <f>L52</f>
        <v>1150523702.4653873</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281449093.24269783</v>
      </c>
      <c r="C56" s="118">
        <v>288485320.57376528</v>
      </c>
      <c r="D56" s="118">
        <v>295521547.90483284</v>
      </c>
      <c r="E56" s="118">
        <v>309594002.56696767</v>
      </c>
      <c r="F56" s="118">
        <v>316630229.89803517</v>
      </c>
      <c r="G56" s="295"/>
      <c r="H56" s="295"/>
      <c r="I56" s="295"/>
      <c r="J56" s="295"/>
      <c r="K56" s="295"/>
      <c r="L56" s="295"/>
    </row>
    <row r="57" spans="1:21" ht="13.15">
      <c r="A57" s="131">
        <v>2</v>
      </c>
      <c r="B57" s="118">
        <v>281088591.38148218</v>
      </c>
      <c r="C57" s="118">
        <v>295076056.00158155</v>
      </c>
      <c r="D57" s="118">
        <v>309403045.00390351</v>
      </c>
      <c r="E57" s="118">
        <v>339075596.15521502</v>
      </c>
      <c r="F57" s="118">
        <v>354421158.30420458</v>
      </c>
      <c r="G57" s="295"/>
      <c r="H57" s="295"/>
      <c r="I57" s="295"/>
      <c r="J57" s="295"/>
      <c r="K57" s="295"/>
      <c r="L57" s="295"/>
    </row>
    <row r="58" spans="1:21" ht="13.15">
      <c r="A58" s="131">
        <v>3</v>
      </c>
      <c r="B58" s="118">
        <v>280752459.10995239</v>
      </c>
      <c r="C58" s="118">
        <v>308725501.22823876</v>
      </c>
      <c r="D58" s="118">
        <v>338373956.25954658</v>
      </c>
      <c r="E58" s="118">
        <v>402887048.77156019</v>
      </c>
      <c r="F58" s="118">
        <v>437846658.10743332</v>
      </c>
      <c r="G58" s="295"/>
      <c r="H58" s="295"/>
      <c r="I58" s="295"/>
      <c r="J58" s="295"/>
      <c r="K58" s="295"/>
      <c r="L58" s="295"/>
    </row>
    <row r="59" spans="1:21" ht="13.15">
      <c r="A59" s="131">
        <v>4</v>
      </c>
      <c r="B59" s="118">
        <v>280439049.06656796</v>
      </c>
      <c r="C59" s="118">
        <v>314892195.82710493</v>
      </c>
      <c r="D59" s="118">
        <v>352312701.77770966</v>
      </c>
      <c r="E59" s="118">
        <v>436719252.27967972</v>
      </c>
      <c r="F59" s="118">
        <v>484048096.32711315</v>
      </c>
      <c r="G59" s="295"/>
      <c r="H59" s="295"/>
      <c r="I59" s="295"/>
      <c r="J59" s="295"/>
      <c r="K59" s="295"/>
      <c r="L59" s="295"/>
    </row>
    <row r="60" spans="1:21" ht="13.15">
      <c r="A60" s="131">
        <v>5</v>
      </c>
      <c r="B60" s="118">
        <v>270950716.43473935</v>
      </c>
      <c r="C60" s="118">
        <v>318228605.72833085</v>
      </c>
      <c r="D60" s="118">
        <v>371762354.96143556</v>
      </c>
      <c r="E60" s="118">
        <v>499999828.35174233</v>
      </c>
      <c r="F60" s="118">
        <v>575994977.4321717</v>
      </c>
      <c r="G60" s="295"/>
      <c r="H60" s="295"/>
      <c r="I60" s="295"/>
      <c r="J60" s="295"/>
      <c r="K60" s="295"/>
      <c r="L60" s="295"/>
    </row>
    <row r="61" spans="1:21" ht="13.15">
      <c r="A61" s="131">
        <v>6</v>
      </c>
      <c r="B61" s="118">
        <v>270678246.67560136</v>
      </c>
      <c r="C61" s="118">
        <v>323998541.82911694</v>
      </c>
      <c r="D61" s="118">
        <v>385758584.99581128</v>
      </c>
      <c r="E61" s="118">
        <v>538824662.93161774</v>
      </c>
      <c r="F61" s="118">
        <v>632478715.29182243</v>
      </c>
      <c r="G61" s="295"/>
      <c r="H61" s="295"/>
      <c r="I61" s="295"/>
      <c r="J61" s="295"/>
      <c r="K61" s="295"/>
      <c r="L61" s="295"/>
    </row>
    <row r="62" spans="1:21" ht="13.15">
      <c r="A62" s="131">
        <v>7</v>
      </c>
      <c r="B62" s="118">
        <v>261849735.18442094</v>
      </c>
      <c r="C62" s="118">
        <v>327143909.50652432</v>
      </c>
      <c r="D62" s="118">
        <v>406065824.92871946</v>
      </c>
      <c r="E62" s="118">
        <v>614243644.46579909</v>
      </c>
      <c r="F62" s="118">
        <v>748991036.83159995</v>
      </c>
      <c r="G62" s="295"/>
      <c r="H62" s="295"/>
      <c r="I62" s="295"/>
      <c r="J62" s="295"/>
      <c r="K62" s="295"/>
      <c r="L62" s="295"/>
    </row>
    <row r="63" spans="1:21" ht="13.15">
      <c r="A63" s="131">
        <v>8</v>
      </c>
      <c r="B63" s="118">
        <v>261612857.74155724</v>
      </c>
      <c r="C63" s="118">
        <v>332542614.12427449</v>
      </c>
      <c r="D63" s="118">
        <v>420119776.55011177</v>
      </c>
      <c r="E63" s="118">
        <v>658797874.57359946</v>
      </c>
      <c r="F63" s="118">
        <v>818045437.85322762</v>
      </c>
      <c r="G63" s="295"/>
      <c r="H63" s="295"/>
      <c r="I63" s="295"/>
      <c r="J63" s="295"/>
      <c r="K63" s="295"/>
      <c r="L63" s="295"/>
    </row>
    <row r="64" spans="1:21" ht="13.15">
      <c r="A64" s="131">
        <v>9</v>
      </c>
      <c r="B64" s="118">
        <v>253397158.08974105</v>
      </c>
      <c r="C64" s="118">
        <v>335508735.52975541</v>
      </c>
      <c r="D64" s="118">
        <v>441308072.67671973</v>
      </c>
      <c r="E64" s="118">
        <v>748479405.74354053</v>
      </c>
      <c r="F64" s="118">
        <v>965269268.25514877</v>
      </c>
      <c r="G64" s="295"/>
      <c r="H64" s="295"/>
      <c r="I64" s="295"/>
      <c r="J64" s="295"/>
      <c r="K64" s="295"/>
      <c r="L64" s="295"/>
    </row>
    <row r="65" spans="1:21" ht="13.15">
      <c r="A65" s="131">
        <v>10</v>
      </c>
      <c r="B65" s="118">
        <v>253191223.59222049</v>
      </c>
      <c r="C65" s="118">
        <v>340560093.29882097</v>
      </c>
      <c r="D65" s="118">
        <v>455419983.93363142</v>
      </c>
      <c r="E65" s="118">
        <v>799608520.44497907</v>
      </c>
      <c r="F65" s="118">
        <v>1049691979.6611197</v>
      </c>
      <c r="G65" s="295"/>
      <c r="H65" s="295"/>
      <c r="I65" s="295"/>
      <c r="J65" s="295"/>
      <c r="K65" s="295"/>
      <c r="L65" s="295"/>
    </row>
    <row r="66" spans="1:21" ht="13.15">
      <c r="A66" s="131">
        <v>15</v>
      </c>
      <c r="B66" s="118">
        <v>231466964.94902861</v>
      </c>
      <c r="C66" s="277">
        <v>357638624.66209</v>
      </c>
      <c r="D66" s="118">
        <v>552913774.7866087</v>
      </c>
      <c r="E66" s="118">
        <v>1307122202.3846078</v>
      </c>
      <c r="F66" s="118">
        <v>1990857430.50455</v>
      </c>
      <c r="G66" s="295"/>
      <c r="H66" s="295"/>
      <c r="I66" s="295"/>
      <c r="J66" s="295"/>
      <c r="K66" s="295"/>
      <c r="L66" s="295"/>
      <c r="M66" s="275"/>
      <c r="N66" s="275"/>
      <c r="O66" s="275"/>
      <c r="P66" s="275"/>
      <c r="Q66" s="275"/>
      <c r="R66" s="275"/>
      <c r="S66" s="275"/>
      <c r="T66" s="275"/>
      <c r="U66" s="275"/>
    </row>
    <row r="67" spans="1:21" ht="13.15">
      <c r="A67" s="132">
        <v>20</v>
      </c>
      <c r="B67" s="118">
        <v>219199254.84457648</v>
      </c>
      <c r="C67" s="277">
        <v>373845406.9819231</v>
      </c>
      <c r="D67" s="118">
        <v>646879526.96745467</v>
      </c>
      <c r="E67" s="118">
        <v>1958159587.068953</v>
      </c>
      <c r="F67" s="118">
        <v>3389924879.7811742</v>
      </c>
      <c r="G67" s="295"/>
      <c r="H67" s="295"/>
      <c r="I67" s="295"/>
      <c r="J67" s="295"/>
      <c r="K67" s="295"/>
      <c r="L67" s="295"/>
      <c r="M67" s="275"/>
      <c r="N67" s="275"/>
      <c r="O67" s="275"/>
      <c r="P67" s="275"/>
      <c r="Q67" s="275"/>
      <c r="R67" s="275"/>
      <c r="S67" s="275"/>
      <c r="T67" s="275"/>
      <c r="U67" s="275"/>
    </row>
    <row r="68" spans="1:21" ht="13.15">
      <c r="A68" s="132">
        <v>25</v>
      </c>
      <c r="B68" s="118">
        <v>204064381.59867322</v>
      </c>
      <c r="C68" s="277">
        <v>386366503.16232318</v>
      </c>
      <c r="D68" s="118">
        <v>760095164.12431884</v>
      </c>
      <c r="E68" s="118">
        <v>3077262986.0418406</v>
      </c>
      <c r="F68" s="118">
        <v>6193224168.4030266</v>
      </c>
      <c r="G68" s="295"/>
      <c r="H68" s="295"/>
      <c r="I68" s="295"/>
      <c r="J68" s="295"/>
      <c r="K68" s="295"/>
      <c r="L68" s="295"/>
      <c r="M68" s="275"/>
      <c r="N68" s="275"/>
      <c r="O68" s="275"/>
      <c r="P68" s="275"/>
      <c r="Q68" s="275"/>
      <c r="R68" s="275"/>
      <c r="S68" s="275"/>
      <c r="T68" s="275"/>
      <c r="U68" s="275"/>
    </row>
    <row r="69" spans="1:21" ht="13.15">
      <c r="A69" s="132">
        <v>30</v>
      </c>
      <c r="B69" s="118">
        <v>195542141.49229324</v>
      </c>
      <c r="C69" s="277">
        <v>398161775.36536586</v>
      </c>
      <c r="D69" s="118">
        <v>865739719.04005134</v>
      </c>
      <c r="E69" s="118">
        <v>4468975568.1147928</v>
      </c>
      <c r="F69" s="118">
        <v>10240797646.328701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33.103428778322126</v>
      </c>
      <c r="C73" s="119">
        <f>C11</f>
        <v>33.103428778322126</v>
      </c>
      <c r="D73" s="119">
        <f>C11</f>
        <v>33.103428778322126</v>
      </c>
      <c r="E73" s="119">
        <f>C11</f>
        <v>33.103428778322126</v>
      </c>
      <c r="F73" s="119">
        <f>C11</f>
        <v>33.103428778322126</v>
      </c>
      <c r="G73" s="296"/>
      <c r="H73" s="296"/>
      <c r="I73" s="296"/>
      <c r="J73" s="296"/>
      <c r="K73" s="296"/>
      <c r="L73" s="296"/>
    </row>
    <row r="74" spans="1:21" ht="13.15">
      <c r="A74" s="131">
        <v>1</v>
      </c>
      <c r="B74" s="119">
        <f t="shared" ref="B74:F87" si="11">(B56+FV_adjustments)/Common_Shares*scaling_factor*Exchange_Rate</f>
        <v>43.408995064878539</v>
      </c>
      <c r="C74" s="119">
        <f t="shared" si="11"/>
        <v>44.270796338643393</v>
      </c>
      <c r="D74" s="119">
        <f t="shared" si="11"/>
        <v>45.132597612408262</v>
      </c>
      <c r="E74" s="119">
        <f t="shared" si="11"/>
        <v>46.856200159937984</v>
      </c>
      <c r="F74" s="119">
        <f t="shared" si="11"/>
        <v>47.718001433702852</v>
      </c>
      <c r="G74" s="296"/>
      <c r="H74" s="296"/>
      <c r="I74" s="296"/>
      <c r="J74" s="296"/>
      <c r="K74" s="296"/>
      <c r="L74" s="296"/>
    </row>
    <row r="75" spans="1:21" ht="13.15">
      <c r="A75" s="131">
        <v>2</v>
      </c>
      <c r="B75" s="119">
        <f t="shared" si="11"/>
        <v>43.364840584278049</v>
      </c>
      <c r="C75" s="119">
        <f t="shared" si="11"/>
        <v>45.07803350132864</v>
      </c>
      <c r="D75" s="119">
        <f t="shared" si="11"/>
        <v>46.832811564979274</v>
      </c>
      <c r="E75" s="119">
        <f t="shared" si="11"/>
        <v>50.467123132080644</v>
      </c>
      <c r="F75" s="119">
        <f t="shared" si="11"/>
        <v>52.346656635531382</v>
      </c>
      <c r="G75" s="296"/>
      <c r="H75" s="296"/>
      <c r="I75" s="296"/>
      <c r="J75" s="296"/>
      <c r="K75" s="296"/>
      <c r="L75" s="296"/>
    </row>
    <row r="76" spans="1:21" ht="13.15">
      <c r="A76" s="131">
        <v>3</v>
      </c>
      <c r="B76" s="119">
        <f t="shared" si="11"/>
        <v>43.323670905396462</v>
      </c>
      <c r="C76" s="119">
        <f t="shared" si="11"/>
        <v>46.749825603692727</v>
      </c>
      <c r="D76" s="119">
        <f t="shared" si="11"/>
        <v>50.381185863803154</v>
      </c>
      <c r="E76" s="119">
        <f t="shared" si="11"/>
        <v>58.282787487144837</v>
      </c>
      <c r="F76" s="119">
        <f t="shared" si="11"/>
        <v>62.564661059215268</v>
      </c>
      <c r="G76" s="296"/>
      <c r="H76" s="296"/>
      <c r="I76" s="296"/>
      <c r="J76" s="296"/>
      <c r="K76" s="296"/>
      <c r="L76" s="296"/>
    </row>
    <row r="77" spans="1:21" ht="13.15">
      <c r="A77" s="131">
        <v>4</v>
      </c>
      <c r="B77" s="119">
        <f t="shared" si="11"/>
        <v>43.285284258420624</v>
      </c>
      <c r="C77" s="119">
        <f t="shared" si="11"/>
        <v>47.505125995531472</v>
      </c>
      <c r="D77" s="119">
        <f t="shared" si="11"/>
        <v>52.08841163651207</v>
      </c>
      <c r="E77" s="119">
        <f t="shared" si="11"/>
        <v>62.426575728441776</v>
      </c>
      <c r="F77" s="119">
        <f t="shared" si="11"/>
        <v>68.22344046386651</v>
      </c>
      <c r="G77" s="296"/>
      <c r="H77" s="296"/>
      <c r="I77" s="296"/>
      <c r="J77" s="296"/>
      <c r="K77" s="296"/>
      <c r="L77" s="296"/>
    </row>
    <row r="78" spans="1:21" ht="13.15">
      <c r="A78" s="131">
        <v>5</v>
      </c>
      <c r="B78" s="119">
        <f t="shared" si="11"/>
        <v>42.123147681066172</v>
      </c>
      <c r="C78" s="119">
        <f t="shared" si="11"/>
        <v>47.913771448185145</v>
      </c>
      <c r="D78" s="119">
        <f t="shared" si="11"/>
        <v>54.470616630658689</v>
      </c>
      <c r="E78" s="119">
        <f t="shared" si="11"/>
        <v>70.177218011229456</v>
      </c>
      <c r="F78" s="119">
        <f t="shared" si="11"/>
        <v>79.485148695659007</v>
      </c>
      <c r="G78" s="296"/>
      <c r="H78" s="296"/>
      <c r="I78" s="296"/>
      <c r="J78" s="296"/>
      <c r="K78" s="296"/>
      <c r="L78" s="296"/>
    </row>
    <row r="79" spans="1:21" ht="13.15">
      <c r="A79" s="131">
        <v>6</v>
      </c>
      <c r="B79" s="119">
        <f t="shared" si="11"/>
        <v>42.089775424253105</v>
      </c>
      <c r="C79" s="119">
        <f t="shared" si="11"/>
        <v>48.620476625154595</v>
      </c>
      <c r="D79" s="119">
        <f t="shared" si="11"/>
        <v>56.184883140820048</v>
      </c>
      <c r="E79" s="119">
        <f t="shared" si="11"/>
        <v>74.932506651053799</v>
      </c>
      <c r="F79" s="119">
        <f t="shared" si="11"/>
        <v>86.403310225136295</v>
      </c>
      <c r="G79" s="296"/>
      <c r="H79" s="296"/>
      <c r="I79" s="296"/>
      <c r="J79" s="296"/>
      <c r="K79" s="296"/>
      <c r="L79" s="296"/>
    </row>
    <row r="80" spans="1:21" ht="13.15">
      <c r="A80" s="131">
        <f t="shared" ref="A80" si="12">A62</f>
        <v>7</v>
      </c>
      <c r="B80" s="119">
        <f t="shared" si="11"/>
        <v>41.008454129394842</v>
      </c>
      <c r="C80" s="119">
        <f t="shared" si="11"/>
        <v>49.005723113550424</v>
      </c>
      <c r="D80" s="119">
        <f t="shared" si="11"/>
        <v>58.672125865846375</v>
      </c>
      <c r="E80" s="119">
        <f t="shared" si="11"/>
        <v>84.169867994571632</v>
      </c>
      <c r="F80" s="119">
        <f t="shared" si="11"/>
        <v>100.67380809107836</v>
      </c>
      <c r="G80" s="296"/>
      <c r="H80" s="296"/>
      <c r="I80" s="296"/>
      <c r="J80" s="296"/>
      <c r="K80" s="296"/>
      <c r="L80" s="296"/>
    </row>
    <row r="81" spans="1:12" ht="13.15">
      <c r="A81" s="131">
        <v>8</v>
      </c>
      <c r="B81" s="119">
        <f t="shared" si="11"/>
        <v>40.979441240472852</v>
      </c>
      <c r="C81" s="119">
        <f t="shared" si="11"/>
        <v>49.666959639510061</v>
      </c>
      <c r="D81" s="119">
        <f t="shared" si="11"/>
        <v>60.393462150032093</v>
      </c>
      <c r="E81" s="119">
        <f t="shared" si="11"/>
        <v>89.626896378088901</v>
      </c>
      <c r="F81" s="119">
        <f t="shared" si="11"/>
        <v>109.13163185932774</v>
      </c>
      <c r="G81" s="296"/>
      <c r="H81" s="296"/>
      <c r="I81" s="296"/>
      <c r="J81" s="296"/>
      <c r="K81" s="296"/>
      <c r="L81" s="296"/>
    </row>
    <row r="82" spans="1:12" ht="13.15">
      <c r="A82" s="131">
        <f t="shared" ref="A82" si="13">A64</f>
        <v>9</v>
      </c>
      <c r="B82" s="119">
        <f t="shared" si="11"/>
        <v>39.973177501161494</v>
      </c>
      <c r="C82" s="119">
        <f t="shared" si="11"/>
        <v>50.030251938793526</v>
      </c>
      <c r="D82" s="119">
        <f t="shared" si="11"/>
        <v>62.988617157345878</v>
      </c>
      <c r="E82" s="119">
        <f t="shared" si="11"/>
        <v>100.61114321363183</v>
      </c>
      <c r="F82" s="119">
        <f t="shared" si="11"/>
        <v>127.1636934456138</v>
      </c>
      <c r="G82" s="296"/>
      <c r="H82" s="296"/>
      <c r="I82" s="296"/>
      <c r="J82" s="296"/>
      <c r="K82" s="296"/>
      <c r="L82" s="296"/>
    </row>
    <row r="83" spans="1:12" ht="13.15">
      <c r="A83" s="131">
        <f t="shared" ref="A83:A87" si="14">A65</f>
        <v>10</v>
      </c>
      <c r="B83" s="119">
        <f t="shared" si="11"/>
        <v>39.947954522436554</v>
      </c>
      <c r="C83" s="119">
        <f t="shared" si="11"/>
        <v>50.648945217846858</v>
      </c>
      <c r="D83" s="119">
        <f t="shared" si="11"/>
        <v>64.717052371876974</v>
      </c>
      <c r="E83" s="119">
        <f t="shared" si="11"/>
        <v>106.87346734031473</v>
      </c>
      <c r="F83" s="119">
        <f t="shared" si="11"/>
        <v>137.5038369345979</v>
      </c>
      <c r="G83" s="296"/>
      <c r="H83" s="296"/>
      <c r="I83" s="296"/>
      <c r="J83" s="296"/>
      <c r="K83" s="296"/>
      <c r="L83" s="296"/>
    </row>
    <row r="84" spans="1:12" ht="13.15">
      <c r="A84" s="131">
        <f t="shared" si="14"/>
        <v>15</v>
      </c>
      <c r="B84" s="119">
        <f t="shared" si="11"/>
        <v>37.287154509958874</v>
      </c>
      <c r="C84" s="119">
        <f t="shared" si="11"/>
        <v>52.740733812838926</v>
      </c>
      <c r="D84" s="119">
        <f t="shared" si="11"/>
        <v>76.658149381389634</v>
      </c>
      <c r="E84" s="119">
        <f t="shared" si="11"/>
        <v>169.03404245668369</v>
      </c>
      <c r="F84" s="119">
        <f t="shared" si="11"/>
        <v>252.77833649191933</v>
      </c>
      <c r="G84" s="296"/>
      <c r="H84" s="296"/>
      <c r="I84" s="296"/>
      <c r="J84" s="296"/>
      <c r="K84" s="296"/>
      <c r="L84" s="296"/>
    </row>
    <row r="85" spans="1:12" ht="13.15">
      <c r="A85" s="132">
        <f t="shared" si="14"/>
        <v>20</v>
      </c>
      <c r="B85" s="119">
        <f t="shared" si="11"/>
        <v>35.784598140366569</v>
      </c>
      <c r="C85" s="119">
        <f t="shared" si="11"/>
        <v>54.725750070797588</v>
      </c>
      <c r="D85" s="119">
        <f t="shared" si="11"/>
        <v>88.167130133357617</v>
      </c>
      <c r="E85" s="119">
        <f t="shared" si="11"/>
        <v>248.77348534139708</v>
      </c>
      <c r="F85" s="119">
        <f t="shared" si="11"/>
        <v>424.13694290673408</v>
      </c>
      <c r="G85" s="296"/>
      <c r="H85" s="296"/>
      <c r="I85" s="296"/>
      <c r="J85" s="296"/>
      <c r="K85" s="296"/>
      <c r="L85" s="296"/>
    </row>
    <row r="86" spans="1:12" ht="13.15">
      <c r="A86" s="132">
        <f t="shared" si="14"/>
        <v>25</v>
      </c>
      <c r="B86" s="119">
        <f t="shared" si="11"/>
        <v>33.930869938038796</v>
      </c>
      <c r="C86" s="119">
        <f t="shared" si="11"/>
        <v>56.259341316429513</v>
      </c>
      <c r="D86" s="119">
        <f t="shared" si="11"/>
        <v>102.03384815156068</v>
      </c>
      <c r="E86" s="119">
        <f t="shared" si="11"/>
        <v>385.84192974072073</v>
      </c>
      <c r="F86" s="119">
        <f t="shared" si="11"/>
        <v>767.48669327813536</v>
      </c>
      <c r="G86" s="296"/>
      <c r="H86" s="296"/>
      <c r="I86" s="296"/>
      <c r="J86" s="296"/>
      <c r="K86" s="296"/>
      <c r="L86" s="296"/>
    </row>
    <row r="87" spans="1:12" ht="13.15">
      <c r="A87" s="132">
        <f t="shared" si="14"/>
        <v>30</v>
      </c>
      <c r="B87" s="119">
        <f t="shared" si="11"/>
        <v>32.887060943042322</v>
      </c>
      <c r="C87" s="119">
        <f t="shared" si="11"/>
        <v>57.704033213193931</v>
      </c>
      <c r="D87" s="119">
        <f t="shared" si="11"/>
        <v>114.97325555113483</v>
      </c>
      <c r="E87" s="119">
        <f t="shared" si="11"/>
        <v>556.29970768222699</v>
      </c>
      <c r="F87" s="119">
        <f t="shared" si="11"/>
        <v>1263.2358802794636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15</v>
      </c>
      <c r="E90" s="127">
        <f>INDEX(B$73:F$87, MATCH(D90, A$73:A$87, 0), MATCH(C90, B$72:F$72, 0))</f>
        <v>252.77833649191933</v>
      </c>
      <c r="F90" s="130">
        <f>Scenarios!F29</f>
        <v>0.05</v>
      </c>
      <c r="G90" s="297"/>
      <c r="H90" s="297"/>
      <c r="I90" s="297"/>
      <c r="J90" s="297"/>
      <c r="K90" s="297"/>
      <c r="L90" s="297"/>
    </row>
    <row r="91" spans="1:12">
      <c r="B91" s="120" t="str">
        <f>Scenarios!B22</f>
        <v>Optimistic</v>
      </c>
      <c r="C91" s="130">
        <f>Scenarios!C22</f>
        <v>0.2</v>
      </c>
      <c r="D91" s="133">
        <f>Scenarios!D22</f>
        <v>15</v>
      </c>
      <c r="E91" s="127">
        <f>INDEX(B$73:F$87, MATCH(D91, A$73:A$87, 0), MATCH(C91, B$72:F$72, 0))</f>
        <v>169.03404245668369</v>
      </c>
      <c r="F91" s="130">
        <f>Scenarios!F22*(1-F$90-F$94)</f>
        <v>0.18</v>
      </c>
      <c r="G91" s="297"/>
      <c r="H91" s="297"/>
      <c r="I91" s="297"/>
      <c r="J91" s="297"/>
      <c r="K91" s="297"/>
      <c r="L91" s="297"/>
    </row>
    <row r="92" spans="1:12">
      <c r="B92" s="120" t="str">
        <f>Scenarios!B23</f>
        <v>Base</v>
      </c>
      <c r="C92" s="130">
        <f>Scenarios!C23</f>
        <v>0.1</v>
      </c>
      <c r="D92" s="133">
        <f>Scenarios!D23</f>
        <v>15</v>
      </c>
      <c r="E92" s="127">
        <f>INDEX(B$73:F$87, MATCH(D92, A$73:A$87, 0), MATCH(C92, B$72:F$72, 0))</f>
        <v>76.658149381389634</v>
      </c>
      <c r="F92" s="130">
        <f>Scenarios!F23*(1-F$90-F$94)</f>
        <v>0.53999999999999992</v>
      </c>
      <c r="G92" s="297"/>
      <c r="H92" s="297"/>
      <c r="I92" s="297"/>
      <c r="J92" s="297"/>
      <c r="K92" s="297"/>
      <c r="L92" s="297"/>
    </row>
    <row r="93" spans="1:12">
      <c r="B93" s="120" t="str">
        <f>Scenarios!B24</f>
        <v>Pessimistic</v>
      </c>
      <c r="C93" s="130">
        <f>Scenarios!C24</f>
        <v>0.05</v>
      </c>
      <c r="D93" s="133">
        <f>Scenarios!D24</f>
        <v>15</v>
      </c>
      <c r="E93" s="127">
        <f>INDEX(B$73:F$87, MATCH(D93, A$73:A$87, 0), MATCH(C93, B$72:F$72, 0))</f>
        <v>52.740733812838926</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37.287154509958874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E26" sqref="E2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15</v>
      </c>
      <c r="E22" s="326">
        <f>DCF!E91</f>
        <v>169.03404245668369</v>
      </c>
      <c r="F22" s="328">
        <f>1-F23-F24</f>
        <v>0.2</v>
      </c>
      <c r="G22" s="328">
        <f>F22*(1-F$29-F$30)</f>
        <v>0.18</v>
      </c>
    </row>
    <row r="23" spans="2:7">
      <c r="B23" s="302" t="s">
        <v>437</v>
      </c>
      <c r="C23" s="324">
        <v>0.1</v>
      </c>
      <c r="D23" s="325">
        <f>C18</f>
        <v>15</v>
      </c>
      <c r="E23" s="326">
        <f>DCF!E92</f>
        <v>76.658149381389634</v>
      </c>
      <c r="F23" s="327">
        <v>0.6</v>
      </c>
      <c r="G23" s="328">
        <f t="shared" ref="G23:G24" si="0">F23*(1-F$29-F$30)</f>
        <v>0.53999999999999992</v>
      </c>
    </row>
    <row r="24" spans="2:7">
      <c r="B24" s="302" t="s">
        <v>446</v>
      </c>
      <c r="C24" s="324">
        <v>0.05</v>
      </c>
      <c r="D24" s="325">
        <f>C18</f>
        <v>15</v>
      </c>
      <c r="E24" s="326">
        <f>DCF!E93</f>
        <v>52.740733812838926</v>
      </c>
      <c r="F24" s="327">
        <v>0.2</v>
      </c>
      <c r="G24" s="328">
        <f t="shared" si="0"/>
        <v>0.18</v>
      </c>
    </row>
    <row r="25" spans="2:7">
      <c r="B25" s="141" t="s">
        <v>451</v>
      </c>
      <c r="C25" s="441">
        <f>E23*F23+E24*F24+E22*F22</f>
        <v>90.34984488273831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15</v>
      </c>
      <c r="E29" s="326">
        <f>DCF!E90</f>
        <v>252.77833649191933</v>
      </c>
      <c r="F29" s="327">
        <v>0.05</v>
      </c>
      <c r="G29" s="328">
        <f>F29</f>
        <v>0.05</v>
      </c>
    </row>
    <row r="30" spans="2:7">
      <c r="B30" s="315" t="s">
        <v>447</v>
      </c>
      <c r="C30" s="324">
        <v>0</v>
      </c>
      <c r="D30" s="325">
        <f>C18</f>
        <v>15</v>
      </c>
      <c r="E30" s="326">
        <f>DCF!E94</f>
        <v>37.287154509958874</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90</v>
      </c>
      <c r="D34" t="str">
        <f>Market_currency</f>
        <v>HKD</v>
      </c>
      <c r="E34" s="97" t="s">
        <v>454</v>
      </c>
      <c r="F34" s="330">
        <f>RATE(Holding_Period,$C$33,-C34,$C$36)</f>
        <v>2.1100294090824159E-2</v>
      </c>
    </row>
    <row r="35" spans="2:7">
      <c r="B35" s="97" t="s">
        <v>434</v>
      </c>
      <c r="C35" s="320">
        <f>DCF!C11</f>
        <v>33.103428778322126</v>
      </c>
      <c r="D35" s="97" t="str">
        <f>Market_currency</f>
        <v>HKD</v>
      </c>
      <c r="E35" s="97" t="s">
        <v>454</v>
      </c>
      <c r="F35" s="330">
        <f>RATE(Holding_Period,$C$33,-C35,$C$36)</f>
        <v>0.42514234582660076</v>
      </c>
    </row>
    <row r="36" spans="2:7">
      <c r="B36" s="97" t="s">
        <v>435</v>
      </c>
      <c r="C36" s="321">
        <f>E22*G22+E23*G23+E24*G24+E30*G30+E29*G29</f>
        <v>95.818134944558366</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8.1887809309554582E-2</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0.185</v>
      </c>
      <c r="D46" s="138"/>
      <c r="E46" s="221" t="s">
        <v>252</v>
      </c>
    </row>
    <row r="47" spans="2:7">
      <c r="B47" s="97" t="s">
        <v>96</v>
      </c>
      <c r="C47" s="146">
        <f>DCF!I18</f>
        <v>149.85376581835388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9.3269860861465853E-2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43.613170206899568</v>
      </c>
      <c r="E62" s="332">
        <f>C62+D62</f>
        <v>43.613170206899568</v>
      </c>
      <c r="F62" s="301">
        <f>Thesis!E22</f>
        <v>0.3</v>
      </c>
      <c r="G62" s="440">
        <f>(1-E62/C36)</f>
        <v>0.54483386436049164</v>
      </c>
    </row>
    <row r="63" spans="2:7" ht="13.15">
      <c r="B63" s="302" t="s">
        <v>313</v>
      </c>
      <c r="C63" s="119">
        <f>PV(F63, Holding_Period, -C58, 0)</f>
        <v>0</v>
      </c>
      <c r="D63" s="119">
        <f>C36/(1+F63)^Holding_Period</f>
        <v>55.450309574397203</v>
      </c>
      <c r="E63" s="332">
        <f>C63+D63</f>
        <v>55.450309574397203</v>
      </c>
      <c r="F63" s="301">
        <f>Thesis!E23</f>
        <v>0.2</v>
      </c>
      <c r="G63" s="440">
        <f>(1-E63/C36)</f>
        <v>0.42129629629629628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68.678644060807045</v>
      </c>
      <c r="E66" s="332">
        <f>C66+D66</f>
        <v>68.678644060807045</v>
      </c>
      <c r="F66" s="301">
        <f>Thesis!E24</f>
        <v>0.1174</v>
      </c>
      <c r="G66" s="440">
        <f>(1-E66/C36)</f>
        <v>0.28323960698519746</v>
      </c>
    </row>
    <row r="67" spans="2:7" ht="13.15">
      <c r="B67" s="302" t="s">
        <v>314</v>
      </c>
      <c r="C67" s="119">
        <f>PV(F67, Holding_Period, -C58, 0)</f>
        <v>0</v>
      </c>
      <c r="D67" s="119">
        <f>C36/(1+F67)^Holding_Period</f>
        <v>77.670448096434683</v>
      </c>
      <c r="E67" s="332">
        <f>C67+D67</f>
        <v>77.670448096434683</v>
      </c>
      <c r="F67" s="301">
        <f>Thesis!E25</f>
        <v>7.2499999999999995E-2</v>
      </c>
      <c r="G67" s="440">
        <f>(1-E67/C36)</f>
        <v>0.18939720397004356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90</v>
      </c>
    </row>
    <row r="9" spans="1:10">
      <c r="B9" s="351" t="s">
        <v>361</v>
      </c>
      <c r="C9" s="353">
        <f>Common_Shares</f>
        <v>9264431217</v>
      </c>
    </row>
    <row r="10" spans="1:10">
      <c r="B10" s="351" t="s">
        <v>367</v>
      </c>
      <c r="C10" s="357">
        <f>投资主题!C8*Common_Shares/1000000</f>
        <v>833798.80952999997</v>
      </c>
      <c r="D10" s="343" t="s">
        <v>528</v>
      </c>
      <c r="E10" s="360">
        <f>Scenarios!F34</f>
        <v>2.1100294090824159E-2</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534</v>
      </c>
      <c r="C17" s="424">
        <f>Terminal_Growth</f>
        <v>0.02</v>
      </c>
      <c r="D17" s="351" t="s">
        <v>339</v>
      </c>
      <c r="E17" s="344" t="str">
        <f>Reporting_currency</f>
        <v>CNY</v>
      </c>
    </row>
    <row r="18" spans="1:6">
      <c r="B18" s="343" t="str">
        <f>"预期股权价值 ("&amp;C7&amp;") :"</f>
        <v>预期股权价值 (HKD) :</v>
      </c>
      <c r="C18" s="359">
        <f>C125</f>
        <v>95.818134944558366</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43.613170206899568</v>
      </c>
      <c r="D22" s="365" t="s">
        <v>440</v>
      </c>
      <c r="E22" s="366">
        <f>Thesis!E22</f>
        <v>0.3</v>
      </c>
    </row>
    <row r="23" spans="1:6">
      <c r="B23" s="343" t="s">
        <v>341</v>
      </c>
      <c r="C23" s="367">
        <f>E141</f>
        <v>55.450309574397203</v>
      </c>
      <c r="D23" s="365" t="s">
        <v>441</v>
      </c>
      <c r="E23" s="368">
        <f>Thesis!E23</f>
        <v>0.2</v>
      </c>
    </row>
    <row r="24" spans="1:6">
      <c r="B24" s="343" t="s">
        <v>343</v>
      </c>
      <c r="C24" s="367">
        <f>E144</f>
        <v>68.678644060807045</v>
      </c>
      <c r="D24" s="365" t="s">
        <v>443</v>
      </c>
      <c r="E24" s="368">
        <f>Thesis!E24</f>
        <v>0.1174</v>
      </c>
    </row>
    <row r="25" spans="1:6">
      <c r="B25" s="343" t="s">
        <v>342</v>
      </c>
      <c r="C25" s="367">
        <f>E145</f>
        <v>77.670448096434683</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1.3820702013747219E-2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0.15</v>
      </c>
      <c r="D66" s="378">
        <f>Normalized_FCF!G119</f>
        <v>0.18051269149145724</v>
      </c>
    </row>
    <row r="67" spans="1:6">
      <c r="B67" s="382" t="str">
        <f>Normalized_FCF!B116</f>
        <v>Pre-tax Profit/Sales</v>
      </c>
      <c r="C67" s="383">
        <f>Normalized_FCF!E116</f>
        <v>8.1887809309554582E-2</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-6.2437422655243413</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8.0867518975752049</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7.0939344822332551</v>
      </c>
      <c r="D90" s="343" t="str">
        <f>Market_currency</f>
        <v>HKD</v>
      </c>
    </row>
    <row r="92" spans="1:6">
      <c r="B92" s="372" t="s">
        <v>480</v>
      </c>
      <c r="C92" s="387">
        <f>DCF!F8</f>
        <v>8.9369441142841168</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3.6164061601320228</v>
      </c>
      <c r="D111" s="343" t="str">
        <f>Market_currency</f>
        <v>HKD</v>
      </c>
    </row>
    <row r="112" spans="1:6">
      <c r="A112" s="385"/>
      <c r="B112" s="372" t="s">
        <v>377</v>
      </c>
      <c r="C112" s="394">
        <f>DCF!C11</f>
        <v>33.103428778322126</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15</v>
      </c>
      <c r="E118" s="398" t="str">
        <f>ROUND(DCF!E90,2)&amp;" "&amp;Market_currency</f>
        <v>252.78 HKD</v>
      </c>
      <c r="F118" s="399">
        <f>DCF!F90</f>
        <v>0.05</v>
      </c>
    </row>
    <row r="119" spans="1:6">
      <c r="A119" s="385"/>
      <c r="B119" s="400" t="str">
        <f>DCF!B91</f>
        <v>Optimistic</v>
      </c>
      <c r="C119" s="401">
        <f>DCF!C91</f>
        <v>0.2</v>
      </c>
      <c r="D119" s="402">
        <f>DCF!D91</f>
        <v>15</v>
      </c>
      <c r="E119" s="398" t="str">
        <f>ROUND(DCF!E91,2)&amp;" "&amp;Market_currency</f>
        <v>169.03 HKD</v>
      </c>
      <c r="F119" s="403">
        <f>DCF!F91</f>
        <v>0.18</v>
      </c>
    </row>
    <row r="120" spans="1:6">
      <c r="B120" s="400" t="str">
        <f>DCF!B92</f>
        <v>Base</v>
      </c>
      <c r="C120" s="401">
        <f>DCF!C92</f>
        <v>0.1</v>
      </c>
      <c r="D120" s="402">
        <f>DCF!D92</f>
        <v>15</v>
      </c>
      <c r="E120" s="398" t="str">
        <f>ROUND(DCF!E92,2)&amp;" "&amp;Market_currency</f>
        <v>76.66 HKD</v>
      </c>
      <c r="F120" s="403">
        <f>DCF!F92</f>
        <v>0.53999999999999992</v>
      </c>
    </row>
    <row r="121" spans="1:6">
      <c r="B121" s="400" t="str">
        <f>DCF!B93</f>
        <v>Pessimistic</v>
      </c>
      <c r="C121" s="401">
        <f>DCF!C93</f>
        <v>0.05</v>
      </c>
      <c r="D121" s="402">
        <f>DCF!D93</f>
        <v>15</v>
      </c>
      <c r="E121" s="398" t="str">
        <f>ROUND(DCF!E93,2)&amp;" "&amp;Market_currency</f>
        <v>52.74 HKD</v>
      </c>
      <c r="F121" s="403">
        <f>DCF!F93</f>
        <v>0.18</v>
      </c>
    </row>
    <row r="122" spans="1:6">
      <c r="B122" s="400" t="str">
        <f>DCF!B94</f>
        <v>Devil's advocate</v>
      </c>
      <c r="C122" s="401">
        <f>DCF!C94</f>
        <v>0</v>
      </c>
      <c r="D122" s="402">
        <f>DCF!D94</f>
        <v>15</v>
      </c>
      <c r="E122" s="398" t="str">
        <f>ROUND(DCF!E94,2)&amp;" "&amp;Market_currency</f>
        <v>37.29 HKD</v>
      </c>
      <c r="F122" s="403">
        <f>DCF!F94</f>
        <v>0.05</v>
      </c>
    </row>
    <row r="124" spans="1:6">
      <c r="B124" s="470" t="s">
        <v>518</v>
      </c>
      <c r="C124" s="470"/>
      <c r="D124" s="470"/>
      <c r="E124" s="470"/>
      <c r="F124" s="470"/>
    </row>
    <row r="125" spans="1:6">
      <c r="B125" s="372" t="s">
        <v>218</v>
      </c>
      <c r="C125" s="404">
        <f>Scenarios!C36</f>
        <v>95.818134944558366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43.613170206899568</v>
      </c>
      <c r="E140" s="410">
        <f>Scenarios!E62</f>
        <v>43.613170206899568</v>
      </c>
      <c r="F140" s="411">
        <f>E22</f>
        <v>0.3</v>
      </c>
    </row>
    <row r="141" spans="1:6">
      <c r="B141" s="408" t="s">
        <v>313</v>
      </c>
      <c r="C141" s="409">
        <f>Scenarios!C63</f>
        <v>0</v>
      </c>
      <c r="D141" s="409">
        <f>Scenarios!D63</f>
        <v>55.450309574397203</v>
      </c>
      <c r="E141" s="410">
        <f>Scenarios!E63</f>
        <v>55.450309574397203</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68.678644060807045</v>
      </c>
      <c r="E144" s="410">
        <f>Scenarios!E66</f>
        <v>68.678644060807045</v>
      </c>
      <c r="F144" s="411">
        <f>E24</f>
        <v>0.1174</v>
      </c>
    </row>
    <row r="145" spans="1:6">
      <c r="B145" s="408" t="s">
        <v>314</v>
      </c>
      <c r="C145" s="409">
        <f>Scenarios!C67</f>
        <v>0</v>
      </c>
      <c r="D145" s="409">
        <f>Scenarios!D67</f>
        <v>77.670448096434683</v>
      </c>
      <c r="E145" s="410">
        <f>Scenarios!E67</f>
        <v>77.670448096434683</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