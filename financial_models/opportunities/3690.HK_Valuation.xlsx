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AC26A6-B0AD-4752-A474-BA165D7F400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<sst xmlns="http://schemas.openxmlformats.org/spreadsheetml/2006/main" count="766" uniqueCount="556">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</sst>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98.75</v>
      </c>
      <c r="E8" s="32"/>
    </row>
    <row r="9" spans="1:9">
      <c r="B9" s="4" t="s">
        <v>346</v>
      </c>
      <c r="C9" s="48">
        <v>9264431217</v>
      </c>
    </row>
    <row r="10" spans="1:9">
      <c r="B10" s="4" t="s">
        <v>352</v>
      </c>
      <c r="C10" s="33">
        <f>Thesis!C8*Common_Shares/1000000</f>
        <v>914862.58267875004</v>
      </c>
      <c r="D10" s="1" t="s">
        <v>530</v>
      </c>
      <c r="E10" s="307">
        <f>Scenarios!F34</f>
        <v>0.1539977522793633</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1.0902572700000002</v>
      </c>
    </row>
    <row r="17" spans="1:6">
      <c r="B17" s="1" t="s">
        <v>534</v>
      </c>
      <c r="C17" s="420">
        <v>0</v>
      </c>
      <c r="D17" s="4" t="s">
        <v>274</v>
      </c>
      <c r="E17" s="224" t="s">
        <v>555</v>
      </c>
    </row>
    <row r="18" spans="1:6">
      <c r="B18" s="1" t="str">
        <f>"Expected Equity Value ("&amp;C7&amp;") :"</f>
        <v>Expected Equity Value (HKD) :</v>
      </c>
      <c r="C18" s="255">
        <f>C125</f>
        <v>151.75813929903731</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69.934626405086334</v>
      </c>
      <c r="D22" s="38" t="s">
        <v>408</v>
      </c>
      <c r="E22" s="79">
        <v>0.29465259038036606</v>
      </c>
    </row>
    <row r="23" spans="1:6">
      <c r="B23" s="1" t="s">
        <v>313</v>
      </c>
      <c r="C23" s="259">
        <f>E141</f>
        <v>87.658131003054081</v>
      </c>
      <c r="D23" s="38" t="s">
        <v>409</v>
      </c>
      <c r="E23" s="448">
        <v>0.20075184365903009</v>
      </c>
    </row>
    <row r="24" spans="1:6">
      <c r="B24" s="1" t="s">
        <v>315</v>
      </c>
      <c r="C24" s="259">
        <f>E144</f>
        <v>108.77422356717314</v>
      </c>
      <c r="D24" s="38" t="s">
        <v>410</v>
      </c>
      <c r="E24" s="448">
        <v>0.1174</v>
      </c>
    </row>
    <row r="25" spans="1:6">
      <c r="B25" s="1" t="s">
        <v>314</v>
      </c>
      <c r="C25" s="259">
        <f>E145</f>
        <v>123.01557203610324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29781786.120000005</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-6757737.9474700009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2.4159933083320251E-2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-50977402</v>
      </c>
      <c r="D78" s="1" t="str">
        <f>Reporting_currency</f>
        <v>CNY</v>
      </c>
    </row>
    <row r="79" spans="1:6">
      <c r="A79" s="191"/>
      <c r="B79" s="44" t="s">
        <v>234</v>
      </c>
      <c r="C79" s="201">
        <f>C78*scaling_factor*Exchange_Rate/Common_Shares</f>
        <v>-5.9991252387116241</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8.0347859913779249</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6.8160086666482993</v>
      </c>
      <c r="D90" s="1" t="str">
        <f>Market_currency</f>
        <v>HKD</v>
      </c>
    </row>
    <row r="91" spans="1:6">
      <c r="A91" s="191"/>
    </row>
    <row r="92" spans="1:6">
      <c r="A92" s="191"/>
      <c r="B92" s="44" t="s">
        <v>472</v>
      </c>
      <c r="C92" s="216">
        <f>DCF!F8</f>
        <v>8.8516694193146037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3.4747227777920253</v>
      </c>
      <c r="D111" s="1" t="str">
        <f>Market_currency</f>
        <v>HKD</v>
      </c>
    </row>
    <row r="112" spans="2:6">
      <c r="B112" s="44" t="s">
        <v>323</v>
      </c>
      <c r="C112" s="216">
        <f>DCF!C11</f>
        <v>41.759164481078393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297.53 HKD</v>
      </c>
      <c r="E118" s="208">
        <f>DCF!F90</f>
        <v>0.05</v>
      </c>
      <c r="F118" s="208">
        <f>RATE(Holding_Period,Scenarios!C$58,-DCF!E90,C$18)</f>
        <v>-0.20101303951618571</v>
      </c>
    </row>
    <row r="119" spans="2:6">
      <c r="B119" s="205" t="str">
        <f>DCF!B91&amp;" ("&amp;DCF!D91&amp;"yrs)"</f>
        <v>Optimistic (10yrs)</v>
      </c>
      <c r="C119" s="198">
        <f>DCF!C91</f>
        <v>0.25</v>
      </c>
      <c r="D119" s="207" t="str">
        <f>ROUND(DCF!E91,2)&amp;" "&amp;Market_currency</f>
        <v>222.59 HKD</v>
      </c>
      <c r="E119" s="199">
        <f>DCF!F91</f>
        <v>0.18</v>
      </c>
      <c r="F119" s="208">
        <f>RATE(Holding_Period,Scenarios!C$58,-DCF!E91,C$18)</f>
        <v>-0.1198702878013457</v>
      </c>
    </row>
    <row r="120" spans="2:6">
      <c r="B120" s="205" t="str">
        <f>DCF!B92&amp;" ("&amp;DCF!D92&amp;"yrs)"</f>
        <v>Base (10yrs)</v>
      </c>
      <c r="C120" s="198">
        <f>DCF!C92</f>
        <v>0.18</v>
      </c>
      <c r="D120" s="207" t="str">
        <f>ROUND(DCF!E92,2)&amp;" "&amp;Market_currency</f>
        <v>147.41 HKD</v>
      </c>
      <c r="E120" s="199">
        <f>DCF!F92</f>
        <v>0.53999999999999992</v>
      </c>
      <c r="F120" s="208">
        <f>RATE(Holding_Period,Scenarios!C$58,-DCF!E92,C$18)</f>
        <v>9.7443353057206205E-3</v>
      </c>
    </row>
    <row r="121" spans="2:6">
      <c r="B121" s="205" t="str">
        <f>DCF!B93&amp;" ("&amp;DCF!D93&amp;"yrs)"</f>
        <v>Pessimistic (10yrs)</v>
      </c>
      <c r="C121" s="198">
        <f>DCF!C93</f>
        <v>0.08</v>
      </c>
      <c r="D121" s="207" t="str">
        <f>ROUND(DCF!E93,2)&amp;" "&amp;Market_currency</f>
        <v>81.45 HKD</v>
      </c>
      <c r="E121" s="199">
        <f>DCF!F93</f>
        <v>0.18</v>
      </c>
      <c r="F121" s="208">
        <f>RATE(Holding_Period,Scenarios!C$58,-DCF!E93,C$18)</f>
        <v>0.230510092356077</v>
      </c>
    </row>
    <row r="122" spans="2:6">
      <c r="B122" s="205" t="str">
        <f>DCF!B94&amp;" ("&amp;DCF!D94&amp;"yrs)"</f>
        <v>Devil's advocate (10yrs)</v>
      </c>
      <c r="C122" s="198">
        <f>DCF!C94</f>
        <v>0</v>
      </c>
      <c r="D122" s="207" t="str">
        <f>ROUND(DCF!E94,2)&amp;" "&amp;Market_currency</f>
        <v>51.08 HKD</v>
      </c>
      <c r="E122" s="199">
        <f>DCF!F94</f>
        <v>0.05</v>
      </c>
      <c r="F122" s="208">
        <f>RATE(Holding_Period,Scenarios!C$58,-DCF!E94,C$18)</f>
        <v>0.43760522930534751</v>
      </c>
    </row>
    <row r="124" spans="2:6">
      <c r="B124" s="457" t="s">
        <v>357</v>
      </c>
      <c r="C124" s="457"/>
      <c r="D124" s="457"/>
      <c r="E124" s="457"/>
      <c r="F124" s="457"/>
    </row>
    <row r="125" spans="2:6">
      <c r="B125" s="193" t="s">
        <v>218</v>
      </c>
      <c r="C125" s="197">
        <f>Scenarios!C36</f>
        <v>151.75813929903731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69.934626405086334</v>
      </c>
      <c r="E140" s="338">
        <f>Scenarios!E62</f>
        <v>69.934626405086334</v>
      </c>
      <c r="F140" s="339">
        <f>E22</f>
        <v>0.29465259038036606</v>
      </c>
    </row>
    <row r="141" spans="1:6">
      <c r="B141" s="340" t="s">
        <v>313</v>
      </c>
      <c r="C141" s="337">
        <f>Scenarios!C63</f>
        <v>0</v>
      </c>
      <c r="D141" s="337">
        <f>Scenarios!D63</f>
        <v>87.658131003054081</v>
      </c>
      <c r="E141" s="338">
        <f>Scenarios!E63</f>
        <v>87.658131003054081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108.77422356717314</v>
      </c>
      <c r="E144" s="338">
        <f>Scenarios!E66</f>
        <v>108.77422356717314</v>
      </c>
      <c r="F144" s="339">
        <f>E24</f>
        <v>0.1174</v>
      </c>
    </row>
    <row r="145" spans="1:6">
      <c r="B145" s="340" t="s">
        <v>314</v>
      </c>
      <c r="C145" s="337">
        <f>Scenarios!C67</f>
        <v>0</v>
      </c>
      <c r="D145" s="337">
        <f>Scenarios!D67</f>
        <v>123.01557203610324</v>
      </c>
      <c r="E145" s="338">
        <f>Scenarios!E67</f>
        <v>123.01557203610324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21.695382133894341</v>
      </c>
      <c r="D47" s="134">
        <f>D46*H1/Common_Shares*Exchange_Rate</f>
        <v>3.4747227777920253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55578483.13621255</v>
      </c>
      <c r="D86" s="201">
        <f>C86*scaling_factor/Common_Shares</f>
        <v>5.9991252387116241</v>
      </c>
      <c r="E86" s="214" t="str">
        <f>Market_currency</f>
        <v>HKD</v>
      </c>
    </row>
    <row r="87" spans="2:8" ht="15" customHeight="1">
      <c r="B87" s="212" t="s">
        <v>240</v>
      </c>
      <c r="C87" s="73">
        <f>DCF!F5*Exchange_Rate</f>
        <v>74437722.160435945</v>
      </c>
      <c r="D87" s="201">
        <f>C87*scaling_factor/Common_Shares</f>
        <v>8.0347859913779249</v>
      </c>
      <c r="E87" s="214" t="str">
        <f>Market_currency</f>
        <v>HKD</v>
      </c>
    </row>
    <row r="88" spans="2:8" ht="15" customHeight="1">
      <c r="B88" s="213" t="s">
        <v>159</v>
      </c>
      <c r="C88" s="73">
        <f>DCF!F6*Exchange_Rate</f>
        <v>63146443.466639057</v>
      </c>
      <c r="D88" s="201">
        <f>C88*scaling_factor/Common_Shares</f>
        <v>6.8160086666482993</v>
      </c>
      <c r="E88" s="214" t="str">
        <f>Market_currency</f>
        <v>HKD</v>
      </c>
    </row>
    <row r="89" spans="2:8" ht="15" customHeight="1">
      <c r="B89" s="77" t="s">
        <v>244</v>
      </c>
      <c r="C89" s="162">
        <f>SUM(C86:C88)</f>
        <v>193162648.76328754</v>
      </c>
      <c r="D89" s="216">
        <f>SUM(D86:D88)</f>
        <v>20.849919896737848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2.3857933919778751</v>
      </c>
      <c r="D123" s="26"/>
      <c r="E123" s="235"/>
      <c r="F123" s="26"/>
      <c r="G123" s="159">
        <f t="shared" ref="G123:Q123" si="48">IF(G$4="","",G14*$C$3/Common_Shares*Exchange_Rate)</f>
        <v>3.6558500773611611</v>
      </c>
      <c r="H123" s="159">
        <f t="shared" si="48"/>
        <v>0.79585596393856395</v>
      </c>
      <c r="I123" s="159">
        <f t="shared" si="48"/>
        <v>-1.1509515778119608</v>
      </c>
      <c r="J123" s="159">
        <f t="shared" si="48"/>
        <v>-2.8671644259939733</v>
      </c>
      <c r="K123" s="159">
        <f t="shared" si="48"/>
        <v>-0.3588378761388834</v>
      </c>
      <c r="L123" s="159">
        <f t="shared" si="48"/>
        <v>2.2416077136880968E-2</v>
      </c>
      <c r="M123" s="159">
        <f t="shared" si="48"/>
        <v>-1.5941527499417594</v>
      </c>
      <c r="N123" s="159">
        <f t="shared" si="48"/>
        <v>-0.53598722857015069</v>
      </c>
      <c r="O123" s="159">
        <f t="shared" si="48"/>
        <v>-0.80020938636527239</v>
      </c>
      <c r="P123" s="159">
        <f t="shared" si="48"/>
        <v>-1.0014817367101834</v>
      </c>
      <c r="Q123" s="159" t="str">
        <f t="shared" si="48"/>
        <v/>
      </c>
    </row>
    <row r="124" spans="1:17" ht="15.75" customHeight="1">
      <c r="A124" s="10"/>
      <c r="B124" s="26" t="s">
        <v>226</v>
      </c>
      <c r="C124" s="74">
        <f>C19*Exchange_Rate*$C$3/(Market_Price*Common_Shares)</f>
        <v>2.4159933083320251E-2</v>
      </c>
      <c r="D124" s="26"/>
      <c r="E124" s="235"/>
      <c r="F124" s="26"/>
      <c r="G124" s="74">
        <f t="shared" ref="G124" si="49">IF(G$4="","",G123/Market_Price)</f>
        <v>3.7021266606188971E-2</v>
      </c>
      <c r="H124" s="74">
        <f t="shared" ref="H124" si="50">IF(H$4="","",H123/Market_Price)</f>
        <v>8.0593009006436848E-3</v>
      </c>
      <c r="I124" s="74">
        <f t="shared" ref="I124" si="51">IF(I$4="","",I123/Market_Price)</f>
        <v>-1.1655205851260363E-2</v>
      </c>
      <c r="J124" s="74">
        <f t="shared" ref="J124" si="52">IF(J$4="","",J123/Market_Price)</f>
        <v>-2.9034576465761755E-2</v>
      </c>
      <c r="K124" s="74">
        <f t="shared" ref="K124" si="53">IF(K$4="","",K123/Market_Price)</f>
        <v>-3.6338012773557814E-3</v>
      </c>
      <c r="L124" s="74">
        <f t="shared" ref="L124" si="54">IF(L$4="","",L123/Market_Price)</f>
        <v>2.2699824948740221E-4</v>
      </c>
      <c r="M124" s="74">
        <f t="shared" ref="M124" si="55">IF(M$4="","",M123/Market_Price)</f>
        <v>-1.6143318986751993E-2</v>
      </c>
      <c r="N124" s="74">
        <f t="shared" ref="N124" si="56">IF(N$4="","",N123/Market_Price)</f>
        <v>-5.4277187703306402E-3</v>
      </c>
      <c r="O124" s="74">
        <f t="shared" ref="O124" si="57">IF(O$4="","",O123/Market_Price)</f>
        <v>-8.1033861910407325E-3</v>
      </c>
      <c r="P124" s="74">
        <f t="shared" ref="P124" si="58">IF(P$4="","",P123/Market_Price)</f>
        <v>-1.014158720719173E-2</v>
      </c>
      <c r="Q124" s="74" t="str">
        <f t="shared" ref="Q124" si="59">IF(Q$4="","",Q123/Market_Price)</f>
        <v/>
      </c>
    </row>
    <row r="125" spans="1:17" ht="15.75" customHeight="1">
      <c r="B125" s="2" t="s">
        <v>306</v>
      </c>
      <c r="C125" s="151"/>
      <c r="G125" s="22">
        <f>IF(G$4="","",(Data!C47*$C$3)/(Market_Price*Common_Shares))</f>
        <v>3.9139407030021181E-2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8.8516694193146037</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1.0902572700000002</v>
      </c>
      <c r="D9" t="str">
        <f>Thesis!E15</f>
        <v>CNY/HKD</v>
      </c>
      <c r="F9" s="326"/>
      <c r="H9" s="312" t="str">
        <f>Normalized_FCF!B79</f>
        <v>NCI’s Share of Profits</v>
      </c>
      <c r="I9" s="144">
        <f>Normalized_FCF!C79</f>
        <v>0</v>
      </c>
      <c r="J9" s="310"/>
      <c r="N9" s="308"/>
      <c r="O9" s="308"/>
    </row>
    <row r="10" spans="2:15" ht="13.5" thickTop="1">
      <c r="B10" s="107" t="s">
        <v>430</v>
      </c>
      <c r="C10" s="287">
        <f>C8*Exchange_Rate</f>
        <v>386874907.01434028</v>
      </c>
      <c r="D10" t="str">
        <f>Market_currency</f>
        <v>HKD</v>
      </c>
      <c r="H10" s="312" t="s">
        <v>398</v>
      </c>
      <c r="I10" s="310">
        <f>Normalized_FCF!C41</f>
        <v>0.25</v>
      </c>
      <c r="N10" s="308"/>
      <c r="O10" s="308"/>
    </row>
    <row r="11" spans="2:15" ht="13.15">
      <c r="B11" s="136" t="s">
        <v>428</v>
      </c>
      <c r="C11" s="108">
        <f>(C10*scaling_factor)/Common_Shares</f>
        <v>41.759164481078393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151.83624827260675</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41.759164481078393</v>
      </c>
      <c r="C73" s="119">
        <f>C11</f>
        <v>41.759164481078393</v>
      </c>
      <c r="D73" s="119">
        <f>C11</f>
        <v>41.759164481078393</v>
      </c>
      <c r="E73" s="119">
        <f>C11</f>
        <v>41.759164481078393</v>
      </c>
      <c r="F73" s="119">
        <f>C11</f>
        <v>41.759164481078393</v>
      </c>
      <c r="G73" s="300"/>
      <c r="H73" s="300"/>
      <c r="I73" s="300"/>
      <c r="J73" s="300"/>
      <c r="K73" s="300"/>
      <c r="L73" s="300"/>
    </row>
    <row r="74" spans="1:21" ht="13.15">
      <c r="A74" s="131">
        <v>1</v>
      </c>
      <c r="B74" s="119">
        <f t="shared" ref="B74:F87" si="11">(B56+FV_adjustments)/Common_Shares*scaling_factor*Exchange_Rate</f>
        <v>53.255225009054357</v>
      </c>
      <c r="C74" s="119">
        <f t="shared" si="11"/>
        <v>55.802020889793148</v>
      </c>
      <c r="D74" s="119">
        <f t="shared" si="11"/>
        <v>58.985515740716671</v>
      </c>
      <c r="E74" s="119">
        <f t="shared" si="11"/>
        <v>61.213962136363108</v>
      </c>
      <c r="F74" s="119">
        <f t="shared" si="11"/>
        <v>62.805709561824841</v>
      </c>
      <c r="G74" s="300"/>
      <c r="H74" s="300"/>
      <c r="I74" s="300"/>
      <c r="J74" s="300"/>
      <c r="K74" s="300"/>
      <c r="L74" s="300"/>
    </row>
    <row r="75" spans="1:21" ht="13.15">
      <c r="A75" s="131">
        <v>2</v>
      </c>
      <c r="B75" s="119">
        <f t="shared" si="11"/>
        <v>53.255225009054357</v>
      </c>
      <c r="C75" s="119">
        <f t="shared" si="11"/>
        <v>58.346959977502785</v>
      </c>
      <c r="D75" s="119">
        <f t="shared" si="11"/>
        <v>65.07404089992076</v>
      </c>
      <c r="E75" s="119">
        <f t="shared" si="11"/>
        <v>70.022592285674591</v>
      </c>
      <c r="F75" s="119">
        <f t="shared" si="11"/>
        <v>73.678075917546423</v>
      </c>
      <c r="G75" s="300"/>
      <c r="H75" s="300"/>
      <c r="I75" s="300"/>
      <c r="J75" s="300"/>
      <c r="K75" s="300"/>
      <c r="L75" s="300"/>
    </row>
    <row r="76" spans="1:21" ht="13.15">
      <c r="A76" s="131">
        <v>3</v>
      </c>
      <c r="B76" s="119">
        <f t="shared" si="11"/>
        <v>53.255225009054357</v>
      </c>
      <c r="C76" s="119">
        <f t="shared" si="11"/>
        <v>62.247522620082506</v>
      </c>
      <c r="D76" s="119">
        <f t="shared" si="11"/>
        <v>74.964154168181892</v>
      </c>
      <c r="E76" s="119">
        <f t="shared" si="11"/>
        <v>84.897617422628159</v>
      </c>
      <c r="F76" s="119">
        <f t="shared" si="11"/>
        <v>92.537974609298274</v>
      </c>
      <c r="G76" s="300"/>
      <c r="H76" s="300"/>
      <c r="I76" s="300"/>
      <c r="J76" s="300"/>
      <c r="K76" s="300"/>
      <c r="L76" s="300"/>
    </row>
    <row r="77" spans="1:21" ht="13.15">
      <c r="A77" s="131">
        <v>4</v>
      </c>
      <c r="B77" s="119">
        <f t="shared" si="11"/>
        <v>53.255225009054357</v>
      </c>
      <c r="C77" s="119">
        <f t="shared" si="11"/>
        <v>64.76445978619526</v>
      </c>
      <c r="D77" s="119">
        <f t="shared" si="11"/>
        <v>81.959634393048418</v>
      </c>
      <c r="E77" s="119">
        <f t="shared" si="11"/>
        <v>96.065493248337305</v>
      </c>
      <c r="F77" s="119">
        <f t="shared" si="11"/>
        <v>107.28329028563184</v>
      </c>
      <c r="G77" s="300"/>
      <c r="H77" s="300"/>
      <c r="I77" s="300"/>
      <c r="J77" s="300"/>
      <c r="K77" s="300"/>
      <c r="L77" s="300"/>
    </row>
    <row r="78" spans="1:21" ht="13.15">
      <c r="A78" s="131">
        <v>5</v>
      </c>
      <c r="B78" s="119">
        <f t="shared" si="11"/>
        <v>52.478102036300733</v>
      </c>
      <c r="C78" s="119">
        <f t="shared" si="11"/>
        <v>67.825844956010258</v>
      </c>
      <c r="D78" s="119">
        <f t="shared" si="11"/>
        <v>92.51519732561043</v>
      </c>
      <c r="E78" s="119">
        <f t="shared" si="11"/>
        <v>114.1173445123773</v>
      </c>
      <c r="F78" s="119">
        <f t="shared" si="11"/>
        <v>132.05925594523944</v>
      </c>
      <c r="G78" s="300"/>
      <c r="H78" s="300"/>
      <c r="I78" s="300"/>
      <c r="J78" s="300"/>
      <c r="K78" s="300"/>
      <c r="L78" s="300"/>
    </row>
    <row r="79" spans="1:21" ht="13.15">
      <c r="A79" s="131">
        <v>6</v>
      </c>
      <c r="B79" s="119">
        <f t="shared" si="11"/>
        <v>52.478102036300733</v>
      </c>
      <c r="C79" s="119">
        <f t="shared" si="11"/>
        <v>70.315088305194294</v>
      </c>
      <c r="D79" s="119">
        <f t="shared" si="11"/>
        <v>100.55273388773179</v>
      </c>
      <c r="E79" s="119">
        <f t="shared" si="11"/>
        <v>128.276350889573</v>
      </c>
      <c r="F79" s="119">
        <f t="shared" si="11"/>
        <v>152.05714116001684</v>
      </c>
      <c r="G79" s="300"/>
      <c r="H79" s="300"/>
      <c r="I79" s="300"/>
      <c r="J79" s="300"/>
      <c r="K79" s="300"/>
      <c r="L79" s="300"/>
    </row>
    <row r="80" spans="1:21" ht="13.15">
      <c r="A80" s="131">
        <f t="shared" ref="A80" si="12">A62</f>
        <v>7</v>
      </c>
      <c r="B80" s="119">
        <f t="shared" si="11"/>
        <v>51.753511851915079</v>
      </c>
      <c r="C80" s="119">
        <f t="shared" si="11"/>
        <v>73.415289059058253</v>
      </c>
      <c r="D80" s="119">
        <f t="shared" si="11"/>
        <v>112.97194082558839</v>
      </c>
      <c r="E80" s="119">
        <f t="shared" si="11"/>
        <v>151.65913663502954</v>
      </c>
      <c r="F80" s="119">
        <f t="shared" si="11"/>
        <v>186.33059033843355</v>
      </c>
      <c r="G80" s="300"/>
      <c r="H80" s="300"/>
      <c r="I80" s="300"/>
      <c r="J80" s="300"/>
      <c r="K80" s="300"/>
      <c r="L80" s="300"/>
    </row>
    <row r="81" spans="1:12" ht="13.15">
      <c r="A81" s="131">
        <v>8</v>
      </c>
      <c r="B81" s="119">
        <f t="shared" si="11"/>
        <v>51.753511851915071</v>
      </c>
      <c r="C81" s="119">
        <f t="shared" si="11"/>
        <v>75.877143305911304</v>
      </c>
      <c r="D81" s="119">
        <f t="shared" si="11"/>
        <v>122.20675986743196</v>
      </c>
      <c r="E81" s="119">
        <f t="shared" si="11"/>
        <v>169.61039833584076</v>
      </c>
      <c r="F81" s="119">
        <f t="shared" si="11"/>
        <v>213.45211298615038</v>
      </c>
      <c r="G81" s="300"/>
      <c r="H81" s="300"/>
      <c r="I81" s="300"/>
      <c r="J81" s="300"/>
      <c r="K81" s="300"/>
      <c r="L81" s="300"/>
    </row>
    <row r="82" spans="1:12" ht="13.15">
      <c r="A82" s="131">
        <f t="shared" ref="A82" si="13">A64</f>
        <v>9</v>
      </c>
      <c r="B82" s="119">
        <f t="shared" si="11"/>
        <v>51.077903288385322</v>
      </c>
      <c r="C82" s="119">
        <f t="shared" si="11"/>
        <v>79.016239549290731</v>
      </c>
      <c r="D82" s="119">
        <f t="shared" si="11"/>
        <v>136.79641696176199</v>
      </c>
      <c r="E82" s="119">
        <f t="shared" si="11"/>
        <v>199.83401710853511</v>
      </c>
      <c r="F82" s="119">
        <f t="shared" si="11"/>
        <v>260.74873800647413</v>
      </c>
      <c r="G82" s="300"/>
      <c r="H82" s="300"/>
      <c r="I82" s="300"/>
      <c r="J82" s="300"/>
      <c r="K82" s="300"/>
      <c r="L82" s="300"/>
    </row>
    <row r="83" spans="1:12" ht="13.15">
      <c r="A83" s="131">
        <f t="shared" ref="A83:A87" si="14">A65</f>
        <v>10</v>
      </c>
      <c r="B83" s="119">
        <f t="shared" si="11"/>
        <v>51.077903288385322</v>
      </c>
      <c r="C83" s="119">
        <f t="shared" si="11"/>
        <v>81.45100605564096</v>
      </c>
      <c r="D83" s="119">
        <f t="shared" si="11"/>
        <v>147.40686732506188</v>
      </c>
      <c r="E83" s="119">
        <f t="shared" si="11"/>
        <v>222.59322690520702</v>
      </c>
      <c r="F83" s="119">
        <f t="shared" si="11"/>
        <v>297.53147692264008</v>
      </c>
      <c r="G83" s="300"/>
      <c r="H83" s="300"/>
      <c r="I83" s="300"/>
      <c r="J83" s="300"/>
      <c r="K83" s="300"/>
      <c r="L83" s="300"/>
    </row>
    <row r="84" spans="1:12" ht="13.15">
      <c r="A84" s="131">
        <f t="shared" si="14"/>
        <v>15</v>
      </c>
      <c r="B84" s="119">
        <f t="shared" si="11"/>
        <v>49.312960213754252</v>
      </c>
      <c r="C84" s="119">
        <f t="shared" si="11"/>
        <v>95.891965439169041</v>
      </c>
      <c r="D84" s="119">
        <f t="shared" si="11"/>
        <v>234.24038757462068</v>
      </c>
      <c r="E84" s="119">
        <f t="shared" si="11"/>
        <v>441.83212745896844</v>
      </c>
      <c r="F84" s="119">
        <f t="shared" si="11"/>
        <v>692.604899541186</v>
      </c>
      <c r="G84" s="300"/>
      <c r="H84" s="300"/>
      <c r="I84" s="300"/>
      <c r="J84" s="300"/>
      <c r="K84" s="300"/>
      <c r="L84" s="300"/>
    </row>
    <row r="85" spans="1:12" ht="13.15">
      <c r="A85" s="132">
        <f t="shared" si="14"/>
        <v>20</v>
      </c>
      <c r="B85" s="119">
        <f t="shared" si="11"/>
        <v>48.326219198386688</v>
      </c>
      <c r="C85" s="119">
        <f t="shared" si="11"/>
        <v>109.51073670135699</v>
      </c>
      <c r="D85" s="119">
        <f t="shared" si="11"/>
        <v>349.53734918244089</v>
      </c>
      <c r="E85" s="119">
        <f t="shared" si="11"/>
        <v>810.93743541140805</v>
      </c>
      <c r="F85" s="119">
        <f t="shared" si="11"/>
        <v>1476.4859413911174</v>
      </c>
      <c r="G85" s="300"/>
      <c r="H85" s="300"/>
      <c r="I85" s="300"/>
      <c r="J85" s="300"/>
      <c r="K85" s="300"/>
      <c r="L85" s="300"/>
    </row>
    <row r="86" spans="1:12" ht="13.15">
      <c r="A86" s="132">
        <f t="shared" si="14"/>
        <v>25</v>
      </c>
      <c r="B86" s="119">
        <f t="shared" si="11"/>
        <v>47.082437396610203</v>
      </c>
      <c r="C86" s="119">
        <f t="shared" si="11"/>
        <v>124.28401611233367</v>
      </c>
      <c r="D86" s="119">
        <f t="shared" si="11"/>
        <v>533.68454523821788</v>
      </c>
      <c r="E86" s="119">
        <f t="shared" si="11"/>
        <v>1559.5376745812177</v>
      </c>
      <c r="F86" s="119">
        <f t="shared" si="11"/>
        <v>3349.4599025092016</v>
      </c>
      <c r="G86" s="300"/>
      <c r="H86" s="300"/>
      <c r="I86" s="300"/>
      <c r="J86" s="300"/>
      <c r="K86" s="300"/>
      <c r="L86" s="300"/>
    </row>
    <row r="87" spans="1:12" ht="13.15">
      <c r="A87" s="132">
        <f t="shared" si="14"/>
        <v>30</v>
      </c>
      <c r="B87" s="119">
        <f t="shared" si="11"/>
        <v>46.387066233867664</v>
      </c>
      <c r="C87" s="119">
        <f t="shared" si="11"/>
        <v>137.92251484480781</v>
      </c>
      <c r="D87" s="119">
        <f t="shared" si="11"/>
        <v>773.22901505820948</v>
      </c>
      <c r="E87" s="119">
        <f t="shared" si="11"/>
        <v>2798.2388625248782</v>
      </c>
      <c r="F87" s="119">
        <f t="shared" si="11"/>
        <v>7010.6191934527815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297.53147692264008</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222.59322690520702</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147.40686732506188</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81.45100605564096</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51.077903288385322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222.59322690520702</v>
      </c>
      <c r="F22" s="332">
        <f>1-F23-F24</f>
        <v>0.2</v>
      </c>
      <c r="G22" s="332">
        <f>F22*(1-F$29-F$30)</f>
        <v>0.18</v>
      </c>
    </row>
    <row r="23" spans="2:7">
      <c r="B23" s="306" t="s">
        <v>440</v>
      </c>
      <c r="C23" s="328">
        <v>0.18</v>
      </c>
      <c r="D23" s="329">
        <f>C18</f>
        <v>10</v>
      </c>
      <c r="E23" s="330">
        <f>DCF!E92</f>
        <v>147.40686732506188</v>
      </c>
      <c r="F23" s="331">
        <v>0.6</v>
      </c>
      <c r="G23" s="332">
        <f t="shared" ref="G23:G24" si="0">F23*(1-F$29-F$30)</f>
        <v>0.53999999999999992</v>
      </c>
    </row>
    <row r="24" spans="2:7">
      <c r="B24" s="306" t="s">
        <v>449</v>
      </c>
      <c r="C24" s="328">
        <v>0.08</v>
      </c>
      <c r="D24" s="329">
        <f>C18</f>
        <v>10</v>
      </c>
      <c r="E24" s="330">
        <f>DCF!E93</f>
        <v>81.45100605564096</v>
      </c>
      <c r="F24" s="331">
        <v>0.2</v>
      </c>
      <c r="G24" s="332">
        <f t="shared" si="0"/>
        <v>0.18</v>
      </c>
    </row>
    <row r="25" spans="2:7">
      <c r="B25" s="141" t="s">
        <v>454</v>
      </c>
      <c r="C25" s="446">
        <f>E23*F23+E24*F24+E22*F22</f>
        <v>149.25296698720672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297.53147692264008</v>
      </c>
      <c r="F29" s="331">
        <v>0.05</v>
      </c>
      <c r="G29" s="332">
        <f>F29</f>
        <v>0.05</v>
      </c>
    </row>
    <row r="30" spans="2:7">
      <c r="B30" s="319" t="s">
        <v>450</v>
      </c>
      <c r="C30" s="328">
        <v>0</v>
      </c>
      <c r="D30" s="329">
        <f>C18</f>
        <v>10</v>
      </c>
      <c r="E30" s="330">
        <f>DCF!E94</f>
        <v>51.077903288385322</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98.75</v>
      </c>
      <c r="D34" t="str">
        <f>Market_currency</f>
        <v>HKD</v>
      </c>
      <c r="E34" s="97" t="s">
        <v>457</v>
      </c>
      <c r="F34" s="334">
        <f>RATE(Holding_Period,$C$33,-C34,$C$36)</f>
        <v>0.1539977522793633</v>
      </c>
    </row>
    <row r="35" spans="2:7">
      <c r="B35" s="97" t="s">
        <v>437</v>
      </c>
      <c r="C35" s="324">
        <f>DCF!C11</f>
        <v>41.759164481078393</v>
      </c>
      <c r="D35" s="97" t="str">
        <f>Market_currency</f>
        <v>HKD</v>
      </c>
      <c r="E35" s="97" t="s">
        <v>457</v>
      </c>
      <c r="F35" s="334">
        <f>RATE(Holding_Period,$C$33,-C35,$C$36)</f>
        <v>0.53744668396371309</v>
      </c>
    </row>
    <row r="36" spans="2:7">
      <c r="B36" s="97" t="s">
        <v>438</v>
      </c>
      <c r="C36" s="325">
        <f>E22*G22+E23*G23+E24*G24+E30*G30+E29*G29</f>
        <v>151.75813929903731</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151.83624827260675</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69.934626405086334</v>
      </c>
      <c r="E62" s="336">
        <f>C62+D62</f>
        <v>69.934626405086334</v>
      </c>
      <c r="F62" s="305">
        <f>Thesis!E22</f>
        <v>0.29465259038036606</v>
      </c>
      <c r="G62" s="445">
        <f>(1-E62/C36)</f>
        <v>0.53917050691244228</v>
      </c>
    </row>
    <row r="63" spans="2:7" ht="13.15">
      <c r="B63" s="306" t="s">
        <v>313</v>
      </c>
      <c r="C63" s="119">
        <f>PV(F63, Holding_Period, -C58, 0)</f>
        <v>0</v>
      </c>
      <c r="D63" s="119">
        <f>C36/(1+F63)^Holding_Period</f>
        <v>87.658131003054081</v>
      </c>
      <c r="E63" s="336">
        <f>C63+D63</f>
        <v>87.658131003054081</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108.77422356717314</v>
      </c>
      <c r="E66" s="336">
        <f>C66+D66</f>
        <v>108.77422356717314</v>
      </c>
      <c r="F66" s="305">
        <f>Thesis!E24</f>
        <v>0.1174</v>
      </c>
      <c r="G66" s="445">
        <f>(1-E66/C36)</f>
        <v>0.28323960698519746</v>
      </c>
    </row>
    <row r="67" spans="2:7" ht="13.15">
      <c r="B67" s="306" t="s">
        <v>314</v>
      </c>
      <c r="C67" s="119">
        <f>PV(F67, Holding_Period, -C58, 0)</f>
        <v>0</v>
      </c>
      <c r="D67" s="119">
        <f>C36/(1+F67)^Holding_Period</f>
        <v>123.01557203610324</v>
      </c>
      <c r="E67" s="336">
        <f>C67+D67</f>
        <v>123.01557203610324</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98.75</v>
      </c>
    </row>
    <row r="9" spans="1:10">
      <c r="B9" s="355" t="s">
        <v>361</v>
      </c>
      <c r="C9" s="357">
        <f>Common_Shares</f>
        <v>9264431217</v>
      </c>
    </row>
    <row r="10" spans="1:10">
      <c r="B10" s="355" t="s">
        <v>367</v>
      </c>
      <c r="C10" s="361">
        <f>投资主题!C8*Common_Shares/1000000</f>
        <v>914862.58267875004</v>
      </c>
      <c r="D10" s="347" t="s">
        <v>531</v>
      </c>
      <c r="E10" s="364">
        <f>Scenarios!F34</f>
        <v>0.1539977522793633</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1.0902572700000002</v>
      </c>
    </row>
    <row r="17" spans="1:6">
      <c r="B17" s="347" t="s">
        <v>537</v>
      </c>
      <c r="C17" s="429">
        <f>Terminal_Growth</f>
        <v>0</v>
      </c>
      <c r="D17" s="355" t="s">
        <v>339</v>
      </c>
      <c r="E17" s="348" t="str">
        <f>Reporting_currency</f>
        <v>CNY</v>
      </c>
    </row>
    <row r="18" spans="1:6">
      <c r="B18" s="347" t="str">
        <f>"预期股权价值 ("&amp;C7&amp;") :"</f>
        <v>预期股权价值 (HKD) :</v>
      </c>
      <c r="C18" s="363">
        <f>C125</f>
        <v>151.75813929903731</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69.934626405086334</v>
      </c>
      <c r="D22" s="369" t="s">
        <v>443</v>
      </c>
      <c r="E22" s="370">
        <f>Thesis!E22</f>
        <v>0.29465259038036606</v>
      </c>
    </row>
    <row r="23" spans="1:6">
      <c r="B23" s="347" t="s">
        <v>341</v>
      </c>
      <c r="C23" s="371">
        <f>E141</f>
        <v>87.658131003054081</v>
      </c>
      <c r="D23" s="369" t="s">
        <v>444</v>
      </c>
      <c r="E23" s="372">
        <f>Thesis!E23</f>
        <v>0.20075184365903009</v>
      </c>
    </row>
    <row r="24" spans="1:6">
      <c r="B24" s="347" t="s">
        <v>343</v>
      </c>
      <c r="C24" s="371">
        <f>E144</f>
        <v>108.77422356717314</v>
      </c>
      <c r="D24" s="369" t="s">
        <v>446</v>
      </c>
      <c r="E24" s="372">
        <f>Thesis!E24</f>
        <v>0.1174</v>
      </c>
    </row>
    <row r="25" spans="1:6">
      <c r="B25" s="347" t="s">
        <v>342</v>
      </c>
      <c r="C25" s="371">
        <f>E145</f>
        <v>123.01557203610324</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2.4159933083320251E-2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-50977402</v>
      </c>
      <c r="D78" s="347" t="str">
        <f>Reporting_currency</f>
        <v>CNY</v>
      </c>
    </row>
    <row r="79" spans="1:6">
      <c r="B79" s="376" t="s">
        <v>234</v>
      </c>
      <c r="C79" s="391">
        <f>C78*scaling_factor*Exchange_Rate/Common_Shares</f>
        <v>-5.9991252387116241</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8.0347859913779249</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6.8160086666482993</v>
      </c>
      <c r="D90" s="347" t="str">
        <f>Market_currency</f>
        <v>HKD</v>
      </c>
    </row>
    <row r="92" spans="1:6">
      <c r="B92" s="376" t="s">
        <v>483</v>
      </c>
      <c r="C92" s="391">
        <f>DCF!F8</f>
        <v>8.8516694193146037</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3.4747227777920253</v>
      </c>
      <c r="D111" s="347" t="str">
        <f>Market_currency</f>
        <v>HKD</v>
      </c>
    </row>
    <row r="112" spans="1:6">
      <c r="A112" s="389"/>
      <c r="B112" s="376" t="s">
        <v>377</v>
      </c>
      <c r="C112" s="398">
        <f>DCF!C11</f>
        <v>41.759164481078393</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297.53 HKD</v>
      </c>
      <c r="F118" s="403">
        <f>DCF!F90</f>
        <v>0.05</v>
      </c>
    </row>
    <row r="119" spans="1:6">
      <c r="A119" s="389"/>
      <c r="B119" s="404" t="str">
        <f>DCF!B91</f>
        <v>Optimistic</v>
      </c>
      <c r="C119" s="405">
        <f>DCF!C91</f>
        <v>0.25</v>
      </c>
      <c r="D119" s="406">
        <f>DCF!D91</f>
        <v>10</v>
      </c>
      <c r="E119" s="402" t="str">
        <f>ROUND(DCF!E91,2)&amp;" "&amp;Market_currency</f>
        <v>222.59 HKD</v>
      </c>
      <c r="F119" s="407">
        <f>DCF!F91</f>
        <v>0.18</v>
      </c>
    </row>
    <row r="120" spans="1:6">
      <c r="B120" s="404" t="str">
        <f>DCF!B92</f>
        <v>Base</v>
      </c>
      <c r="C120" s="405">
        <f>DCF!C92</f>
        <v>0.18</v>
      </c>
      <c r="D120" s="406">
        <f>DCF!D92</f>
        <v>10</v>
      </c>
      <c r="E120" s="402" t="str">
        <f>ROUND(DCF!E92,2)&amp;" "&amp;Market_currency</f>
        <v>147.41 HKD</v>
      </c>
      <c r="F120" s="407">
        <f>DCF!F92</f>
        <v>0.53999999999999992</v>
      </c>
    </row>
    <row r="121" spans="1:6">
      <c r="B121" s="404" t="str">
        <f>DCF!B93</f>
        <v>Pessimistic</v>
      </c>
      <c r="C121" s="405">
        <f>DCF!C93</f>
        <v>0.08</v>
      </c>
      <c r="D121" s="406">
        <f>DCF!D93</f>
        <v>10</v>
      </c>
      <c r="E121" s="402" t="str">
        <f>ROUND(DCF!E93,2)&amp;" "&amp;Market_currency</f>
        <v>81.45 HKD</v>
      </c>
      <c r="F121" s="407">
        <f>DCF!F93</f>
        <v>0.18</v>
      </c>
    </row>
    <row r="122" spans="1:6">
      <c r="B122" s="404" t="str">
        <f>DCF!B94</f>
        <v>Devil's advocate</v>
      </c>
      <c r="C122" s="405">
        <f>DCF!C94</f>
        <v>0</v>
      </c>
      <c r="D122" s="406">
        <f>DCF!D94</f>
        <v>10</v>
      </c>
      <c r="E122" s="402" t="str">
        <f>ROUND(DCF!E94,2)&amp;" "&amp;Market_currency</f>
        <v>51.08 HKD</v>
      </c>
      <c r="F122" s="407">
        <f>DCF!F94</f>
        <v>0.05</v>
      </c>
    </row>
    <row r="124" spans="1:6">
      <c r="B124" s="466" t="s">
        <v>521</v>
      </c>
      <c r="C124" s="466"/>
      <c r="D124" s="466"/>
      <c r="E124" s="466"/>
      <c r="F124" s="466"/>
    </row>
    <row r="125" spans="1:6">
      <c r="B125" s="376" t="s">
        <v>218</v>
      </c>
      <c r="C125" s="408">
        <f>Scenarios!C36</f>
        <v>151.75813929903731</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69.934626405086334</v>
      </c>
      <c r="E140" s="414">
        <f>Scenarios!E62</f>
        <v>69.934626405086334</v>
      </c>
      <c r="F140" s="415">
        <f>E22</f>
        <v>0.29465259038036606</v>
      </c>
    </row>
    <row r="141" spans="1:6">
      <c r="B141" s="412" t="s">
        <v>313</v>
      </c>
      <c r="C141" s="413">
        <f>Scenarios!C63</f>
        <v>0</v>
      </c>
      <c r="D141" s="413">
        <f>Scenarios!D63</f>
        <v>87.658131003054081</v>
      </c>
      <c r="E141" s="414">
        <f>Scenarios!E63</f>
        <v>87.658131003054081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108.77422356717314</v>
      </c>
      <c r="E144" s="414">
        <f>Scenarios!E66</f>
        <v>108.77422356717314</v>
      </c>
      <c r="F144" s="415">
        <f>E24</f>
        <v>0.1174</v>
      </c>
    </row>
    <row r="145" spans="1:6">
      <c r="B145" s="412" t="s">
        <v>314</v>
      </c>
      <c r="C145" s="413">
        <f>Scenarios!C67</f>
        <v>0</v>
      </c>
      <c r="D145" s="413">
        <f>Scenarios!D67</f>
        <v>123.01557203610324</v>
      </c>
      <c r="E145" s="414">
        <f>Scenarios!E67</f>
        <v>123.01557203610324</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2025-10-20T00:17:36Z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