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C05F518-A214-4527-88D2-1453E13AB0A4}"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G17" i="3"/>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D73" i="3"/>
  <c r="C73" i="3"/>
  <c r="C74" i="3" s="1"/>
  <c r="F1" i="3"/>
  <c r="H1" i="2"/>
  <c r="E1" i="4"/>
  <c r="F1" i="4" s="1"/>
  <c r="G1" i="4" s="1"/>
  <c r="H1" i="4" s="1"/>
  <c r="I1" i="4" s="1"/>
  <c r="J1" i="4" s="1"/>
  <c r="K1" i="4" s="1"/>
  <c r="L1" i="4" s="1"/>
  <c r="M1" i="4" s="1"/>
  <c r="F42" i="8" l="1"/>
  <c r="F44" i="8"/>
  <c r="F50" i="8"/>
  <c r="F45" i="8"/>
  <c r="F49" i="8"/>
  <c r="F48" i="8"/>
  <c r="F43" i="8"/>
  <c r="F47" i="8"/>
  <c r="F41" i="8"/>
  <c r="F46" i="8"/>
  <c r="H42" i="8"/>
  <c r="H50" i="8"/>
  <c r="H45" i="8"/>
  <c r="H49" i="8"/>
  <c r="H44" i="8"/>
  <c r="H48" i="8"/>
  <c r="H43" i="8"/>
  <c r="H47" i="8"/>
  <c r="H41" i="8"/>
  <c r="H46" i="8"/>
  <c r="C49" i="6"/>
  <c r="I42" i="8"/>
  <c r="I46" i="8"/>
  <c r="I45" i="8"/>
  <c r="I49" i="8"/>
  <c r="I44" i="8"/>
  <c r="I50" i="8"/>
  <c r="I48" i="8"/>
  <c r="I43" i="8"/>
  <c r="I47" i="8"/>
  <c r="I41" i="8"/>
  <c r="D46" i="8"/>
  <c r="G46" i="8"/>
  <c r="G42" i="8"/>
  <c r="D42" i="8"/>
  <c r="D44" i="8"/>
  <c r="G44" i="8"/>
  <c r="D50" i="8"/>
  <c r="G50" i="8"/>
  <c r="G45" i="8"/>
  <c r="D45" i="8"/>
  <c r="D49" i="8"/>
  <c r="G49" i="8"/>
  <c r="D48" i="8"/>
  <c r="G48" i="8"/>
  <c r="D43" i="8"/>
  <c r="G43" i="8"/>
  <c r="D47" i="8"/>
  <c r="G47" i="8"/>
  <c r="G41" i="8"/>
  <c r="D41"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E79" i="8"/>
  <c r="B74" i="8"/>
  <c r="C80" i="6"/>
  <c r="C80" i="12"/>
  <c r="D68" i="6"/>
  <c r="D68" i="12"/>
  <c r="O77" i="2"/>
  <c r="O116" i="2" s="1"/>
  <c r="O14" i="2"/>
  <c r="P77" i="2"/>
  <c r="P116" i="2" s="1"/>
  <c r="P14" i="2"/>
  <c r="O96" i="2"/>
  <c r="G52" i="2"/>
  <c r="D77" i="8" l="1"/>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5" i="8"/>
  <c r="C50" i="8"/>
  <c r="C67" i="6"/>
  <c r="C80" i="2"/>
  <c r="C9" i="9"/>
  <c r="E115" i="2" l="1"/>
  <c r="E38" i="8"/>
  <c r="A38" i="8"/>
  <c r="A39" i="8"/>
  <c r="E40" i="8"/>
  <c r="E37" i="8"/>
  <c r="E39" i="8"/>
  <c r="A37" i="8"/>
  <c r="A40" i="8"/>
  <c r="E36" i="8"/>
  <c r="A36"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37" i="8" l="1"/>
  <c r="D37" i="8"/>
  <c r="D39" i="8"/>
  <c r="G39" i="8"/>
  <c r="D36" i="8"/>
  <c r="G36" i="8"/>
  <c r="D38" i="8"/>
  <c r="G38" i="8"/>
  <c r="G40" i="8"/>
  <c r="D40"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F36" i="8" l="1"/>
  <c r="H36" i="8" s="1"/>
  <c r="C37" i="8"/>
  <c r="I35" i="8"/>
  <c r="J35" i="8"/>
  <c r="L35" i="8"/>
  <c r="F37" i="8" l="1"/>
  <c r="H37" i="8" s="1"/>
  <c r="C38" i="8"/>
  <c r="J36" i="8"/>
  <c r="I36" i="8"/>
  <c r="L36" i="8"/>
  <c r="F38" i="8" l="1"/>
  <c r="H38" i="8" s="1"/>
  <c r="C39" i="8"/>
  <c r="J37" i="8"/>
  <c r="I37" i="8"/>
  <c r="L37" i="8"/>
  <c r="C40" i="8" l="1"/>
  <c r="F39" i="8"/>
  <c r="H39" i="8" s="1"/>
  <c r="J38" i="8"/>
  <c r="I38" i="8"/>
  <c r="L38" i="8"/>
  <c r="C41" i="8" l="1"/>
  <c r="F40" i="8"/>
  <c r="H40" i="8" s="1"/>
  <c r="C51" i="8"/>
  <c r="F51" i="8" s="1"/>
  <c r="I39" i="8"/>
  <c r="J39" i="8"/>
  <c r="L39" i="8"/>
  <c r="J40" i="8" l="1"/>
  <c r="I40" i="8"/>
  <c r="L40" i="8"/>
  <c r="H51" i="8"/>
  <c r="L51" i="8" s="1"/>
  <c r="I51" i="8"/>
  <c r="L52" i="8" l="1"/>
  <c r="I18" i="8" s="1"/>
  <c r="C47" i="9" s="1"/>
  <c r="A55" i="8" l="1"/>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<sst xmlns="http://schemas.openxmlformats.org/spreadsheetml/2006/main" count="768" uniqueCount="559">
  <si>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</si>
  <si>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</si>
  <si>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</si>
  <si>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</si>
  <si>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</si>
  <si>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</si>
  <si>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</si>
  <si>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</si>
  <si>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</si>
  <si>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</si>
  <si>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</si>
  <si>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</si>
  <si>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</si>
  <si>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</si>
  <si>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</si>
  <si>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</si>
  <si>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</si>
  <si>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</si>
  <si>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</si>
  <si>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</si>
  <si>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</si>
  <si>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</si>
  <si>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</si>
  <si>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</si>
  <si>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</si>
  <si>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</si>
  <si>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</si>
  <si>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</si>
  <si>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</si>
  <si>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</si>
  <si>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</si>
  <si>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</si>
  <si>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</si>
  <si>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</si>
  <si>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</si>
  <si>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</si>
  <si>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</si>
  <si>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</si>
  <si>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</si>
  <si>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</si>
  <si>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</si>
  <si>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</si>
  <si>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</si>
  <si>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</si>
  <si>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</si>
  <si>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</si>
  <si>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</si>
  <si>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</si>
  <si>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</si>
  <si>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</si>
  <si>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</si>
  <si>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</si>
  <si>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</si>
  <si>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</si>
  <si>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</si>
  <si>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</si>
  <si>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</si>
  <si>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</si>
  <si>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</si>
  <si>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</si>
  <si>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</si>
  <si>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</si>
  <si>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</si>
  <si>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</si>
  <si>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</si>
  <si>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</si>
  <si>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</si>
  <si>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</si>
  <si>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</si>
  <si>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</si>
  <si>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</si>
  <si>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</si>
  <si>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</si>
  <si>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</si>
  <si>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</si>
  <si>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</si>
  <si>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</si>
  <si>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</si>
  <si>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</si>
  <si>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</si>
  <si>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</si>
  <si>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</si>
  <si>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</si>
  <si>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</si>
  <si>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</si>
  <si>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</si>
  <si>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</si>
  <si>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</si>
  <si>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</si>
  <si>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</si>
  <si>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</si>
  <si>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</si>
  <si>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</si>
  <si>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</si>
  <si>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</si>
  <si>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</si>
  <si>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</si>
  <si>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</si>
  <si>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</si>
  <si>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</si>
  <si>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</si>
  <si>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</si>
  <si>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</si>
  <si>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</si>
  <si>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</si>
  <si>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</si>
  <si>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</si>
  <si>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</si>
  <si>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</si>
  <si>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</si>
  <si>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</si>
  <si>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</si>
  <si>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</si>
  <si>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</si>
  <si>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</si>
  <si>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</si>
  <si>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</si>
  <si>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</si>
  <si>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</si>
  <si>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</si>
  <si>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</si>
  <si>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</si>
  <si>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</si>
  <si>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</si>
  <si>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</si>
  <si>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</si>
  <si>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</si>
  <si>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</si>
  <si>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</si>
  <si>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</si>
  <si>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</si>
  <si>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</si>
  <si>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</si>
  <si>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</si>
  <si>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</si>
  <si>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</si>
  <si>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</si>
  <si>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</si>
  <si>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</si>
  <si>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</si>
  <si>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</si>
  <si>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</si>
  <si>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</si>
  <si>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</si>
  <si>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</si>
  <si>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</si>
  <si>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</si>
  <si>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</si>
  <si>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</si>
  <si>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</si>
  <si>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</si>
  <si>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</si>
  <si>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</si>
  <si>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</si>
  <si>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</si>
  <si>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</si>
  <si>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</si>
  <si>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</si>
  <si>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</si>
  <si>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</si>
  <si>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</si>
  <si>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</si>
  <si>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</si>
  <si>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</si>
  <si>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</si>
  <si>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</si>
  <si>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</si>
  <si>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</si>
  <si>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</si>
  <si>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</si>
  <si>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</si>
  <si>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</si>
  <si>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</si>
  <si>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</si>
  <si>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</si>
  <si>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</si>
  <si>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</si>
  <si>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</si>
  <si>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</si>
  <si>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</si>
  <si>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</si>
  <si>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</si>
  <si>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</si>
  <si>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</si>
  <si>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</si>
  <si>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</si>
  <si>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</si>
  <si>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</si>
  <si>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</si>
  <si>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</si>
  <si>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</si>
  <si>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</si>
  <si>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</si>
  <si>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</si>
  <si>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</si>
  <si>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</si>
  <si>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</si>
  <si>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</si>
  <si>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</si>
  <si>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</si>
  <si>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</si>
  <si>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</si>
  <si>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</si>
  <si>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</si>
  <si>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</si>
  <si>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</si>
  <si>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</si>
  <si>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</si>
  <si>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</si>
  <si>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</si>
  <si>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</si>
  <si>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</si>
  <si>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</si>
  <si>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</si>
  <si>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</si>
  <si>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</si>
  <si>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</si>
  <si>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</si>
  <si>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</si>
  <si>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</si>
  <si>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</si>
  <si>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</si>
  <si>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</si>
  <si>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</si>
  <si>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</si>
  <si>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</si>
  <si>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</si>
  <si>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</si>
  <si>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</si>
  <si>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</si>
  <si>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</si>
  <si>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</si>
  <si>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</si>
  <si>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</si>
  <si>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</si>
  <si>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</si>
  <si>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</si>
  <si>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</si>
  <si>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</si>
  <si>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</si>
  <si>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</si>
  <si>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</si>
  <si>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</si>
  <si>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</si>
  <si>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</si>
  <si>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</si>
  <si>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</si>
  <si>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</si>
  <si>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</si>
  <si>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</si>
  <si>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</si>
  <si>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</si>
  <si>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</si>
  <si>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</si>
  <si>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</si>
  <si>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</si>
  <si>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</si>
  <si>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</si>
  <si>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</si>
  <si>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</si>
  <si>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</si>
  <si>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</si>
  <si>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</si>
  <si>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</si>
  <si>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</si>
  <si>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</si>
  <si>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</si>
  <si>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</si>
  <si>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</si>
  <si>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</si>
  <si>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</si>
  <si>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</si>
  <si>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</si>
  <si>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</si>
  <si>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</si>
  <si>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</si>
  <si>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</si>
  <si>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</si>
  <si>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</si>
  <si>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</si>
  <si>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</si>
  <si>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</si>
  <si>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</si>
  <si>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</si>
  <si>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</si>
  <si>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</si>
  <si>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</si>
  <si>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</si>
  <si>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</si>
  <si>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</si>
  <si>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</si>
  <si>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</si>
  <si>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</si>
  <si>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</si>
  <si>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</si>
  <si>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</si>
  <si>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</si>
  <si>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</si>
  <si>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</si>
  <si>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</si>
  <si>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</si>
  <si>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</si>
  <si>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</si>
  <si>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</si>
  <si>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</si>
  <si>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</si>
  <si>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</si>
  <si>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</si>
  <si>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</si>
  <si>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</si>
  <si>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</si>
  <si>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</si>
  <si>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</si>
  <si>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</si>
  <si>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</si>
  <si>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</si>
  <si>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</si>
  <si>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</si>
  <si>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</si>
  <si>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</si>
  <si>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</si>
  <si>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</si>
  <si>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</si>
  <si>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</si>
  <si>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</si>
  <si>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</si>
  <si>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</si>
  <si>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</si>
  <si>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</si>
  <si>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</si>
  <si>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</si>
  <si>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</si>
  <si>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</si>
  <si>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</si>
  <si>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</si>
  <si>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</si>
  <si>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</si>
  <si>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</si>
  <si>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</si>
  <si>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</si>
  <si>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</si>
  <si>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</si>
  <si>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</si>
  <si>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</si>
  <si>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</si>
  <si>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</si>
  <si>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</si>
  <si>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</si>
  <si>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</si>
  <si>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</si>
  <si>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</si>
  <si>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</si>
  <si>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</si>
  <si>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</si>
  <si>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</si>
  <si>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</si>
  <si>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</si>
  <si>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</si>
  <si>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</si>
  <si>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</si>
  <si>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</si>
  <si>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</si>
  <si>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</si>
  <si>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</si>
  <si>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</si>
  <si>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</si>
  <si>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</si>
  <si>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</si>
  <si>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</si>
  <si>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</si>
  <si>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</si>
  <si>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</si>
  <si>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</si>
  <si>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</si>
  <si>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</si>
  <si>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</si>
  <si>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</si>
  <si>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</si>
  <si>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</si>
  <si>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</si>
  <si>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</si>
  <si>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</si>
  <si>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</si>
  <si>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</si>
  <si>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</si>
  <si>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</si>
  <si>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</si>
  <si>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</si>
  <si>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</si>
  <si>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</si>
  <si>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</si>
  <si>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</si>
  <si>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</si>
  <si>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</si>
  <si>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</si>
  <si>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</si>
  <si>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</si>
  <si>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</si>
  <si>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</si>
  <si>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</si>
  <si>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</si>
  <si>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</si>
  <si>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</si>
  <si>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</si>
  <si>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</si>
  <si>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</si>
  <si>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</si>
  <si>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</si>
  <si>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</si>
  <si>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</si>
  <si>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</si>
  <si>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</si>
  <si>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</si>
  <si>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</si>
  <si>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</si>
  <si>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</si>
  <si>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</si>
  <si>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</si>
  <si>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</si>
  <si>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</si>
  <si>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</si>
  <si>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</si>
  <si>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</si>
  <si>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</si>
  <si>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</si>
  <si>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</si>
  <si>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</si>
  <si>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</si>
  <si>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</si>
  <si>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</si>
  <si>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</si>
  <si>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</si>
  <si>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</si>
  <si>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</si>
  <si>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</si>
  <si>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</si>
  <si>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</si>
  <si>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</si>
  <si>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</si>
  <si>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</si>
  <si>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</si>
  <si>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</si>
  <si>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</si>
  <si>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</si>
  <si>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</si>
  <si>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</si>
  <si>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</si>
  <si>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</si>
  <si>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</si>
  <si>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</si>
  <si>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</si>
  <si>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</si>
  <si>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</si>
  <si>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</si>
  <si>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</si>
  <si>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</si>
  <si>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</si>
  <si>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</si>
  <si>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</si>
  <si>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</si>
  <si>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</si>
  <si>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</si>
  <si>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</si>
  <si>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</si>
  <si>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</si>
  <si>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</si>
  <si>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</si>
  <si>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</si>
  <si>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</si>
  <si>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</si>
  <si>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</si>
  <si>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</si>
  <si>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</si>
  <si>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</si>
  <si>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</si>
  <si>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</si>
  <si>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</si>
  <si>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</si>
  <si>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</si>
  <si>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</si>
  <si>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</si>
  <si>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</si>
  <si>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</si>
  <si>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</si>
  <si>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</si>
  <si>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</si>
  <si>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</si>
  <si>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</si>
  <si>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</si>
  <si>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</si>
  <si>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</si>
  <si>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</si>
  <si>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</si>
  <si>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</si>
  <si>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</si>
  <si>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</si>
  <si>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</si>
  <si>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</si>
  <si>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</si>
  <si>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</si>
  <si>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</si>
  <si>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</si>
  <si>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</si>
  <si>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</si>
  <si>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</si>
  <si>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</si>
  <si>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</si>
  <si>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</si>
  <si>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</si>
  <si>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</si>
  <si>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</si>
  <si>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</si>
  <si>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</si>
  <si>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</si>
  <si>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</si>
  <si>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</si>
  <si>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</si>
  <si>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</si>
  <si>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</si>
  <si>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</si>
  <si>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</si>
  <si>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</si>
  <si>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</si>
  <si>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</si>
  <si>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</si>
  <si>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</si>
  <si>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</si>
  <si>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</si>
  <si>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</si>
  <si>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</si>
  <si>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</si>
  <si>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</si>
  <si>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</si>
  <si>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</si>
  <si>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</si>
  <si>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</si>
  <si>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</si>
  <si>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</si>
  <si>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</si>
  <si>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</si>
  <si>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</si>
  <si>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</si>
  <si>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</si>
  <si>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</si>
  <si>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</si>
  <si>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</si>
  <si>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</si>
  <si>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</si>
  <si>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</si>
  <si>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</si>
  <si>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</si>
  <si>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</si>
  <si>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</si>
  <si>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</si>
  <si>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美团</t>
  </si>
  <si>
    <t>3690.HK</t>
  </si>
  <si>
    <t>CNY</t>
  </si>
  <si>
    <t>TMT_02</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</si>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</sst>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D25" sqref="D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45930</v>
      </c>
    </row>
    <row r="4" spans="1:9" ht="12.4">
      <c r="B4" s="421" t="s">
        <v>532</v>
      </c>
      <c r="C4" s="420" t="s">
        <v>554</v>
      </c>
      <c r="E4" s="430" t="s">
        <v>536</v>
      </c>
      <c r="F4" s="431" t="s">
        <v>324</v>
      </c>
    </row>
    <row r="5" spans="1:9">
      <c r="B5" s="1" t="s">
        <v>349</v>
      </c>
      <c r="C5" s="46" t="s">
        <v>555</v>
      </c>
      <c r="E5" s="433" t="s">
        <v>538</v>
      </c>
      <c r="F5" s="432" t="s">
        <v>545</v>
      </c>
    </row>
    <row r="6" spans="1:9">
      <c r="B6" s="2" t="s">
        <v>53</v>
      </c>
      <c r="C6" s="45" t="s">
        <v>557</v>
      </c>
      <c r="D6" s="45"/>
      <c r="E6" s="45"/>
    </row>
    <row r="7" spans="1:9">
      <c r="B7" s="1" t="s">
        <v>351</v>
      </c>
      <c r="C7" s="45" t="s">
        <v>308</v>
      </c>
      <c r="D7" s="45"/>
      <c r="E7" s="45"/>
    </row>
    <row r="8" spans="1:9">
      <c r="B8" s="4" t="s">
        <v>350</v>
      </c>
      <c r="C8" s="47">
        <v>88</v>
      </c>
      <c r="E8" s="32"/>
    </row>
    <row r="9" spans="1:9">
      <c r="B9" s="4" t="s">
        <v>346</v>
      </c>
      <c r="C9" s="48">
        <v>9264431217</v>
      </c>
    </row>
    <row r="10" spans="1:9">
      <c r="B10" s="4" t="s">
        <v>352</v>
      </c>
      <c r="C10" s="33">
        <f>Thesis!C8*Common_Shares/1000000</f>
        <v>815269.94709599996</v>
      </c>
      <c r="D10" s="1" t="s">
        <v>527</v>
      </c>
      <c r="E10" s="303">
        <f>Scenarios!F34</f>
        <v>0.13638734234649466</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558</v>
      </c>
      <c r="D15" s="4" t="s">
        <v>353</v>
      </c>
      <c r="E15" s="253" t="str">
        <f>IF(E17=C7,C7,E17&amp;"/"&amp;C7)</f>
        <v>CNY/HKD</v>
      </c>
    </row>
    <row r="16" spans="1:9">
      <c r="B16" s="1" t="s">
        <v>320</v>
      </c>
      <c r="C16" s="417" t="s">
        <v>545</v>
      </c>
      <c r="D16" s="4" t="s">
        <v>354</v>
      </c>
      <c r="E16" s="416">
        <v>1.1268191807746888</v>
      </c>
    </row>
    <row r="17" spans="1:6">
      <c r="B17" s="1" t="s">
        <v>531</v>
      </c>
      <c r="C17" s="456">
        <v>0.02</v>
      </c>
      <c r="D17" s="4" t="s">
        <v>274</v>
      </c>
      <c r="E17" s="224" t="s">
        <v>556</v>
      </c>
    </row>
    <row r="18" spans="1:6">
      <c r="B18" s="1" t="str">
        <f>"Expected Equity Value ("&amp;C7&amp;") :"</f>
        <v>Expected Equity Value (HKD) :</v>
      </c>
      <c r="C18" s="252">
        <f>C125</f>
        <v>129.14031315803365</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59.511665049785108</v>
      </c>
      <c r="D22" s="38" t="s">
        <v>406</v>
      </c>
      <c r="E22" s="79">
        <v>0.29465259038036606</v>
      </c>
    </row>
    <row r="23" spans="1:6">
      <c r="B23" s="1" t="s">
        <v>313</v>
      </c>
      <c r="C23" s="256">
        <f>E141</f>
        <v>74.593682690560982</v>
      </c>
      <c r="D23" s="38" t="s">
        <v>407</v>
      </c>
      <c r="E23" s="443">
        <v>0.20075184365903009</v>
      </c>
    </row>
    <row r="24" spans="1:6">
      <c r="B24" s="1" t="s">
        <v>315</v>
      </c>
      <c r="C24" s="256">
        <f>E144</f>
        <v>92.562661613206885</v>
      </c>
      <c r="D24" s="38" t="s">
        <v>408</v>
      </c>
      <c r="E24" s="443">
        <v>0.1174</v>
      </c>
    </row>
    <row r="25" spans="1:6">
      <c r="B25" s="1" t="s">
        <v>314</v>
      </c>
      <c r="C25" s="256">
        <f>E145</f>
        <v>104.68149892608623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16278123.080000043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321313.45291999989</v>
      </c>
      <c r="D44" s="1" t="str">
        <f>Reporting_currency</f>
        <v>CNY</v>
      </c>
      <c r="E44" s="244"/>
      <c r="F44" s="244"/>
    </row>
    <row r="45" spans="2:6">
      <c r="B45" s="44" t="s">
        <v>268</v>
      </c>
      <c r="C45" s="286">
        <f>Normalized_FCF!C45</f>
        <v>-3058644.12</v>
      </c>
      <c r="D45" s="1" t="str">
        <f>Reporting_currency</f>
        <v>CNY</v>
      </c>
      <c r="E45" s="244"/>
      <c r="F45" s="244"/>
    </row>
    <row r="46" spans="2:6">
      <c r="B46" s="44" t="s">
        <v>203</v>
      </c>
      <c r="C46" s="285">
        <f>Normalized_FCF!C10</f>
        <v>-2737330.66708</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-3385198.1032300107</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31089799.312959094</v>
      </c>
      <c r="D60" s="1" t="str">
        <f>Reporting_currency</f>
        <v>CNY</v>
      </c>
    </row>
    <row r="61" spans="2:6">
      <c r="B61" s="44" t="s">
        <v>213</v>
      </c>
      <c r="C61" s="285">
        <f>Normalized_FCF!C19</f>
        <v>10155594.309690032</v>
      </c>
      <c r="D61" s="1" t="str">
        <f>Reporting_currency</f>
        <v>CNY</v>
      </c>
    </row>
    <row r="62" spans="2:6">
      <c r="B62" s="204" t="s">
        <v>302</v>
      </c>
      <c r="C62" s="89">
        <f>Normalized_FCF!C124</f>
        <v>1.4036477734874131E-2</v>
      </c>
      <c r="F62" s="257"/>
    </row>
    <row r="63" spans="2:6">
      <c r="B63" s="204" t="s">
        <v>332</v>
      </c>
      <c r="C63" s="89">
        <f>Normalized_FCF!C92</f>
        <v>0</v>
      </c>
      <c r="E63" s="44" t="s">
        <v>322</v>
      </c>
      <c r="F63" s="258">
        <f>Normalized_FCF!C90</f>
        <v>0</v>
      </c>
    </row>
    <row r="65" spans="1:6">
      <c r="B65" s="192" t="s">
        <v>325</v>
      </c>
      <c r="C65" s="264" t="s">
        <v>327</v>
      </c>
      <c r="D65" s="264" t="s">
        <v>328</v>
      </c>
    </row>
    <row r="66" spans="1:6">
      <c r="B66" s="44" t="s">
        <v>326</v>
      </c>
      <c r="C66" s="89">
        <f>Normalized_FCF!E119</f>
        <v>0.2</v>
      </c>
      <c r="D66" s="89">
        <f>Normalized_FCF!G119</f>
        <v>0.18051269149145724</v>
      </c>
    </row>
    <row r="67" spans="1:6">
      <c r="B67" s="229" t="str">
        <f>Normalized_FCF!B116</f>
        <v>Pre-tax Profit/Sales</v>
      </c>
      <c r="C67" s="263">
        <f>Normalized_FCF!E116</f>
        <v>0.10918374574607279</v>
      </c>
      <c r="D67" s="263">
        <f>Normalized_FCF!G116</f>
        <v>9.8545259058712684E-2</v>
      </c>
    </row>
    <row r="68" spans="1:6">
      <c r="B68" s="229" t="str">
        <f>Normalized_FCF!B117</f>
        <v>Sales/Total Assets</v>
      </c>
      <c r="C68" s="265">
        <f>Normalized_FCF!E117</f>
        <v>1.022390799101176</v>
      </c>
      <c r="D68" s="265">
        <f>Normalized_FCF!G117</f>
        <v>1.022390799101176</v>
      </c>
    </row>
    <row r="69" spans="1:6">
      <c r="B69" s="229" t="str">
        <f>Normalized_FCF!B118</f>
        <v>Total Assets/Equity</v>
      </c>
      <c r="C69" s="265">
        <f>Normalized_FCF!E118</f>
        <v>1.7916578376478161</v>
      </c>
      <c r="D69" s="265">
        <f>Normalized_FCF!G118</f>
        <v>1.7916578376478161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-50977402</v>
      </c>
      <c r="D78" s="1" t="str">
        <f>Reporting_currency</f>
        <v>CNY</v>
      </c>
    </row>
    <row r="79" spans="1:6">
      <c r="A79" s="191"/>
      <c r="B79" s="44" t="s">
        <v>234</v>
      </c>
      <c r="C79" s="201">
        <f>C78*scaling_factor*Exchange_Rate/Common_Shares</f>
        <v>-6.2003066366618134</v>
      </c>
      <c r="D79" s="1" t="str">
        <f>Market_currency</f>
        <v>HKD</v>
      </c>
    </row>
    <row r="80" spans="1:6">
      <c r="A80" s="191"/>
      <c r="B80" s="229" t="s">
        <v>309</v>
      </c>
      <c r="C80" s="337">
        <f>IF(BS!G31/BS!G27&gt;300%,"nm",BS!G31/BS!G27)</f>
        <v>0.27660377540313014</v>
      </c>
    </row>
    <row r="81" spans="1:6">
      <c r="A81" s="191"/>
      <c r="B81" s="229" t="s">
        <v>311</v>
      </c>
      <c r="C81" s="338">
        <f>IF(BS!C50&gt;30,"nm",BS!C50)</f>
        <v>3.1316510969641755</v>
      </c>
    </row>
    <row r="82" spans="1:6">
      <c r="A82" s="191"/>
    </row>
    <row r="83" spans="1:6">
      <c r="A83" s="191"/>
      <c r="B83" s="1" t="s">
        <v>466</v>
      </c>
    </row>
    <row r="84" spans="1:6">
      <c r="A84" s="191"/>
      <c r="B84" s="1" t="s">
        <v>224</v>
      </c>
      <c r="C84" s="285">
        <f>DCF!F5</f>
        <v>66024762.846666686</v>
      </c>
      <c r="D84" s="1" t="str">
        <f>Reporting_currency</f>
        <v>CNY</v>
      </c>
    </row>
    <row r="85" spans="1:6">
      <c r="A85" s="191"/>
      <c r="B85" s="229" t="s">
        <v>222</v>
      </c>
      <c r="C85" s="291">
        <f>BS!C66</f>
        <v>119577005</v>
      </c>
      <c r="D85" s="339" t="str">
        <f>Reporting_currency</f>
        <v>CNY</v>
      </c>
    </row>
    <row r="86" spans="1:6">
      <c r="A86" s="191"/>
      <c r="B86" s="44" t="s">
        <v>235</v>
      </c>
      <c r="C86" s="201">
        <f>C84*scaling_factor*Exchange_Rate/Common_Shares</f>
        <v>8.0304950664651322</v>
      </c>
      <c r="D86" s="1" t="str">
        <f>Market_currency</f>
        <v>HKD</v>
      </c>
    </row>
    <row r="87" spans="1:6">
      <c r="A87" s="191"/>
    </row>
    <row r="88" spans="1:6">
      <c r="A88" s="191"/>
      <c r="B88" s="1" t="s">
        <v>216</v>
      </c>
    </row>
    <row r="89" spans="1:6">
      <c r="A89" s="191"/>
      <c r="B89" s="1" t="s">
        <v>217</v>
      </c>
      <c r="C89" s="285">
        <f>DCF!F6</f>
        <v>57918846.499999993</v>
      </c>
      <c r="D89" s="1" t="str">
        <f>Reporting_currency</f>
        <v>CNY</v>
      </c>
    </row>
    <row r="90" spans="1:6">
      <c r="A90" s="191"/>
      <c r="B90" s="44" t="s">
        <v>236</v>
      </c>
      <c r="C90" s="201">
        <f>C89*scaling_factor*Exchange_Rate/Common_Shares</f>
        <v>7.0445843501743539</v>
      </c>
      <c r="D90" s="1" t="str">
        <f>Market_currency</f>
        <v>HKD</v>
      </c>
    </row>
    <row r="91" spans="1:6">
      <c r="A91" s="191"/>
    </row>
    <row r="92" spans="1:6">
      <c r="A92" s="191"/>
      <c r="B92" s="44" t="s">
        <v>469</v>
      </c>
      <c r="C92" s="216">
        <f>DCF!F8</f>
        <v>8.8747727799776719</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8.249999999999999E-2</v>
      </c>
    </row>
    <row r="102" spans="2:6">
      <c r="B102" s="229" t="s">
        <v>318</v>
      </c>
      <c r="C102" s="263">
        <f>E25</f>
        <v>7.2499999999999995E-2</v>
      </c>
    </row>
    <row r="103" spans="2:6">
      <c r="B103" s="229" t="s">
        <v>317</v>
      </c>
      <c r="C103" s="263">
        <f>IF(C15="Y",1%,0)+IF(C16="Y",1%,0)</f>
        <v>0.01</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3.5912480307430195</v>
      </c>
      <c r="D111" s="1" t="str">
        <f>Market_currency</f>
        <v>HKD</v>
      </c>
    </row>
    <row r="112" spans="2:6">
      <c r="B112" s="44" t="s">
        <v>323</v>
      </c>
      <c r="C112" s="216">
        <f>DCF!C11</f>
        <v>29.03340064369451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(20yrs)</v>
      </c>
      <c r="C118" s="206">
        <f>DCF!C90</f>
        <v>0.25</v>
      </c>
      <c r="D118" s="207" t="str">
        <f>ROUND(DCF!E90,2)&amp;" "&amp;Market_currency</f>
        <v>436.47 HKD</v>
      </c>
      <c r="E118" s="208">
        <f>DCF!F90</f>
        <v>0.05</v>
      </c>
      <c r="F118" s="208">
        <f>RATE(Holding_Period,Scenarios!C$58,-DCF!E90,C$18)</f>
        <v>-0.33365119507028224</v>
      </c>
    </row>
    <row r="119" spans="2:6">
      <c r="B119" s="205" t="str">
        <f>DCF!B91&amp;" ("&amp;DCF!D91&amp;"yrs)"</f>
        <v>Optimistic (20yrs)</v>
      </c>
      <c r="C119" s="198">
        <f>DCF!C91</f>
        <v>0.2</v>
      </c>
      <c r="D119" s="207" t="str">
        <f>ROUND(DCF!E91,2)&amp;" "&amp;Market_currency</f>
        <v>256.6 HKD</v>
      </c>
      <c r="E119" s="199">
        <f>DCF!F91</f>
        <v>0.18</v>
      </c>
      <c r="F119" s="208">
        <f>RATE(Holding_Period,Scenarios!C$58,-DCF!E91,C$18)</f>
        <v>-0.2045664777060639</v>
      </c>
    </row>
    <row r="120" spans="2:6">
      <c r="B120" s="205" t="str">
        <f>DCF!B92&amp;" ("&amp;DCF!D92&amp;"yrs)"</f>
        <v>Base (20yrs)</v>
      </c>
      <c r="C120" s="198">
        <f>DCF!C92</f>
        <v>0.1</v>
      </c>
      <c r="D120" s="207" t="str">
        <f>ROUND(DCF!E92,2)&amp;" "&amp;Market_currency</f>
        <v>91.03 HKD</v>
      </c>
      <c r="E120" s="199">
        <f>DCF!F92</f>
        <v>0.53999999999999992</v>
      </c>
      <c r="F120" s="208">
        <f>RATE(Holding_Period,Scenarios!C$58,-DCF!E92,C$18)</f>
        <v>0.12365028999849106</v>
      </c>
    </row>
    <row r="121" spans="2:6">
      <c r="B121" s="205" t="str">
        <f>DCF!B93&amp;" ("&amp;DCF!D93&amp;"yrs)"</f>
        <v>Pessimistic (20yrs)</v>
      </c>
      <c r="C121" s="198">
        <f>DCF!C93</f>
        <v>0.05</v>
      </c>
      <c r="D121" s="207" t="str">
        <f>ROUND(DCF!E93,2)&amp;" "&amp;Market_currency</f>
        <v>56.35 HKD</v>
      </c>
      <c r="E121" s="199">
        <f>DCF!F93</f>
        <v>0.18</v>
      </c>
      <c r="F121" s="208">
        <f>RATE(Holding_Period,Scenarios!C$58,-DCF!E93,C$18)</f>
        <v>0.31844077642713853</v>
      </c>
    </row>
    <row r="122" spans="2:6">
      <c r="B122" s="205" t="str">
        <f>DCF!B94&amp;" ("&amp;DCF!D94&amp;"yrs)"</f>
        <v>Devil's advocate (20yrs)</v>
      </c>
      <c r="C122" s="198">
        <f>DCF!C94</f>
        <v>0</v>
      </c>
      <c r="D122" s="207" t="str">
        <f>ROUND(DCF!E94,2)&amp;" "&amp;Market_currency</f>
        <v>36.65 HKD</v>
      </c>
      <c r="E122" s="199">
        <f>DCF!F94</f>
        <v>0.05</v>
      </c>
      <c r="F122" s="208">
        <f>RATE(Holding_Period,Scenarios!C$58,-DCF!E94,C$18)</f>
        <v>0.52174652376041453</v>
      </c>
    </row>
    <row r="124" spans="2:6">
      <c r="B124" s="463" t="s">
        <v>357</v>
      </c>
      <c r="C124" s="463"/>
      <c r="D124" s="463"/>
      <c r="E124" s="463"/>
      <c r="F124" s="463"/>
    </row>
    <row r="125" spans="2:6">
      <c r="B125" s="193" t="s">
        <v>218</v>
      </c>
      <c r="C125" s="197">
        <f>Scenarios!C36</f>
        <v>129.14031315803365</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v>
      </c>
      <c r="D140" s="333">
        <f>Scenarios!D62</f>
        <v>59.511665049785108</v>
      </c>
      <c r="E140" s="334">
        <f>Scenarios!E62</f>
        <v>59.511665049785108</v>
      </c>
      <c r="F140" s="335">
        <f>E22</f>
        <v>0.29465259038036606</v>
      </c>
    </row>
    <row r="141" spans="1:6">
      <c r="B141" s="336" t="s">
        <v>313</v>
      </c>
      <c r="C141" s="333">
        <f>Scenarios!C63</f>
        <v>0</v>
      </c>
      <c r="D141" s="333">
        <f>Scenarios!D63</f>
        <v>74.593682690560982</v>
      </c>
      <c r="E141" s="334">
        <f>Scenarios!E63</f>
        <v>74.593682690560982</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v>
      </c>
      <c r="D144" s="333">
        <f>Scenarios!D66</f>
        <v>92.562661613206885</v>
      </c>
      <c r="E144" s="334">
        <f>Scenarios!E66</f>
        <v>92.562661613206885</v>
      </c>
      <c r="F144" s="335">
        <f>E24</f>
        <v>0.1174</v>
      </c>
    </row>
    <row r="145" spans="1:6">
      <c r="B145" s="336" t="s">
        <v>314</v>
      </c>
      <c r="C145" s="333">
        <f>Scenarios!C67</f>
        <v>0</v>
      </c>
      <c r="D145" s="333">
        <f>Scenarios!D67</f>
        <v>104.68149892608623</v>
      </c>
      <c r="E145" s="334">
        <f>Scenarios!E67</f>
        <v>104.68149892608623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2" activePane="bottomRight" state="frozen"/>
      <selection pane="topRight" activeCell="C1" sqref="C1"/>
      <selection pane="bottomLeft" activeCell="A2" sqref="A2"/>
      <selection pane="bottomRight" activeCell="C68" sqref="C68:H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337591576</v>
      </c>
      <c r="D4" s="287">
        <v>276744954</v>
      </c>
      <c r="E4" s="287">
        <v>219954948</v>
      </c>
      <c r="F4" s="287">
        <v>179127997</v>
      </c>
      <c r="G4" s="287">
        <v>114794510</v>
      </c>
      <c r="H4" s="287">
        <v>97528531</v>
      </c>
      <c r="I4" s="287">
        <v>65227278</v>
      </c>
      <c r="J4" s="287">
        <v>33927987</v>
      </c>
      <c r="K4" s="287">
        <v>12988077</v>
      </c>
      <c r="L4" s="287">
        <v>4018959</v>
      </c>
      <c r="M4" s="287"/>
    </row>
    <row r="5" spans="2:13">
      <c r="B5" s="38" t="s">
        <v>40</v>
      </c>
      <c r="C5" s="287">
        <v>207806982</v>
      </c>
      <c r="D5" s="287">
        <v>179553793</v>
      </c>
      <c r="E5" s="287">
        <v>158201969</v>
      </c>
      <c r="F5" s="287">
        <v>136653869</v>
      </c>
      <c r="G5" s="287">
        <v>80744368</v>
      </c>
      <c r="H5" s="287">
        <v>65208143</v>
      </c>
      <c r="I5" s="287">
        <v>50122320</v>
      </c>
      <c r="J5" s="287">
        <v>21708483</v>
      </c>
      <c r="K5" s="287">
        <v>7046841</v>
      </c>
      <c r="L5" s="287">
        <v>1239504</v>
      </c>
      <c r="M5" s="287"/>
    </row>
    <row r="6" spans="2:13">
      <c r="B6" s="38" t="s">
        <v>51</v>
      </c>
      <c r="C6" s="287">
        <v>74704438</v>
      </c>
      <c r="D6" s="287">
        <v>67989064</v>
      </c>
      <c r="E6" s="287">
        <v>49516922</v>
      </c>
      <c r="F6" s="287">
        <v>49295792</v>
      </c>
      <c r="G6" s="287">
        <v>26476580</v>
      </c>
      <c r="H6" s="287">
        <v>23158021</v>
      </c>
      <c r="I6" s="287">
        <v>21703593</v>
      </c>
      <c r="J6" s="287">
        <v>13080096</v>
      </c>
      <c r="K6" s="287">
        <v>10059737</v>
      </c>
      <c r="L6" s="287">
        <v>10046382</v>
      </c>
      <c r="M6" s="287"/>
    </row>
    <row r="7" spans="2:13">
      <c r="B7" s="66" t="s">
        <v>58</v>
      </c>
      <c r="C7" s="288">
        <v>63975235</v>
      </c>
      <c r="D7" s="288">
        <v>58616997</v>
      </c>
      <c r="E7" s="288">
        <v>39745112</v>
      </c>
      <c r="F7" s="288">
        <v>40683166</v>
      </c>
      <c r="G7" s="288">
        <v>20882685</v>
      </c>
      <c r="H7" s="288">
        <v>18819067</v>
      </c>
      <c r="I7" s="288">
        <v>15871901</v>
      </c>
      <c r="J7" s="288">
        <v>10908688</v>
      </c>
      <c r="K7" s="288">
        <v>8337132</v>
      </c>
      <c r="L7" s="288">
        <v>7140962</v>
      </c>
      <c r="M7" s="288"/>
    </row>
    <row r="8" spans="2:13">
      <c r="B8" s="38" t="s">
        <v>46</v>
      </c>
      <c r="C8" s="287">
        <v>21053601</v>
      </c>
      <c r="D8" s="287">
        <v>21201005</v>
      </c>
      <c r="E8" s="287">
        <v>20739865</v>
      </c>
      <c r="F8" s="287">
        <v>16675595</v>
      </c>
      <c r="G8" s="287">
        <v>10892514</v>
      </c>
      <c r="H8" s="287">
        <v>8445664</v>
      </c>
      <c r="I8" s="287">
        <v>7071900</v>
      </c>
      <c r="J8" s="287">
        <v>3646634</v>
      </c>
      <c r="K8" s="287">
        <v>2366674</v>
      </c>
      <c r="L8" s="287">
        <v>1204033</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1337038</v>
      </c>
      <c r="D12" s="287">
        <v>1425157</v>
      </c>
      <c r="E12" s="287">
        <v>1628825</v>
      </c>
      <c r="F12" s="287">
        <v>1130935</v>
      </c>
      <c r="G12" s="287">
        <v>0</v>
      </c>
      <c r="H12" s="287">
        <v>0</v>
      </c>
      <c r="I12" s="287">
        <v>0</v>
      </c>
      <c r="J12" s="287">
        <v>19214</v>
      </c>
      <c r="K12" s="287">
        <v>55981</v>
      </c>
      <c r="L12" s="287">
        <v>56561</v>
      </c>
      <c r="M12" s="287"/>
    </row>
    <row r="13" spans="2:13">
      <c r="B13" s="38" t="s">
        <v>64</v>
      </c>
      <c r="C13" s="287">
        <v>1291807</v>
      </c>
      <c r="D13" s="287">
        <v>818986</v>
      </c>
      <c r="E13" s="287">
        <v>657908</v>
      </c>
      <c r="F13" s="287">
        <v>546037</v>
      </c>
      <c r="G13" s="287">
        <v>0</v>
      </c>
      <c r="H13" s="287">
        <v>0</v>
      </c>
      <c r="I13" s="287">
        <v>294047</v>
      </c>
      <c r="J13" s="287">
        <v>60885</v>
      </c>
      <c r="K13" s="287">
        <v>21681</v>
      </c>
      <c r="L13" s="287">
        <v>13541</v>
      </c>
      <c r="M13" s="287"/>
    </row>
    <row r="14" spans="2:13">
      <c r="B14" s="38" t="s">
        <v>47</v>
      </c>
      <c r="C14" s="287">
        <v>2177107</v>
      </c>
      <c r="D14" s="287">
        <v>164537</v>
      </c>
      <c r="E14" s="287">
        <v>-70194</v>
      </c>
      <c r="F14" s="287">
        <v>-30279</v>
      </c>
      <c r="G14" s="287">
        <v>-269737</v>
      </c>
      <c r="H14" s="287">
        <v>526223</v>
      </c>
      <c r="I14" s="287">
        <v>1888</v>
      </c>
      <c r="J14" s="287">
        <v>54218</v>
      </c>
      <c r="K14" s="287">
        <v>267903</v>
      </c>
      <c r="L14" s="287">
        <v>-11648</v>
      </c>
      <c r="M14" s="287"/>
    </row>
    <row r="15" spans="2:13">
      <c r="B15" s="41" t="s">
        <v>39</v>
      </c>
      <c r="C15" s="289">
        <v>35807179</v>
      </c>
      <c r="D15" s="289"/>
      <c r="E15" s="289"/>
      <c r="F15" s="289"/>
      <c r="G15" s="289"/>
      <c r="H15" s="289"/>
      <c r="I15" s="289"/>
      <c r="J15" s="289"/>
      <c r="K15" s="289"/>
      <c r="L15" s="289"/>
      <c r="M15" s="289"/>
    </row>
    <row r="16" spans="2:13">
      <c r="B16" s="27" t="s">
        <v>41</v>
      </c>
      <c r="C16" s="287">
        <v>1143</v>
      </c>
      <c r="D16" s="287"/>
      <c r="E16" s="287"/>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-237258</v>
      </c>
      <c r="D22" s="287"/>
      <c r="E22" s="287"/>
      <c r="F22" s="287"/>
      <c r="G22" s="287"/>
      <c r="H22" s="287"/>
      <c r="I22" s="287"/>
      <c r="J22" s="287"/>
      <c r="K22" s="287"/>
      <c r="L22" s="287"/>
      <c r="M22" s="287"/>
    </row>
    <row r="23" spans="2:13">
      <c r="B23" s="26" t="s">
        <v>288</v>
      </c>
      <c r="C23" s="287">
        <v>23438</v>
      </c>
      <c r="D23" s="287"/>
      <c r="E23" s="287"/>
      <c r="F23" s="287"/>
      <c r="G23" s="287"/>
      <c r="H23" s="287"/>
      <c r="I23" s="287"/>
      <c r="J23" s="287"/>
      <c r="K23" s="287"/>
      <c r="L23" s="287"/>
      <c r="M23" s="287"/>
    </row>
    <row r="24" spans="2:13">
      <c r="B24" s="26" t="s">
        <v>287</v>
      </c>
      <c r="C24" s="287">
        <v>194894</v>
      </c>
      <c r="D24" s="287"/>
      <c r="E24" s="287"/>
      <c r="F24" s="287"/>
      <c r="G24" s="287"/>
      <c r="H24" s="287"/>
      <c r="I24" s="287"/>
      <c r="J24" s="287"/>
      <c r="K24" s="287"/>
      <c r="L24" s="287"/>
      <c r="M24" s="287"/>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546</v>
      </c>
    </row>
    <row r="28" spans="2:13">
      <c r="B28" s="25" t="s">
        <v>22</v>
      </c>
      <c r="C28" s="270">
        <f>BS!C4</f>
        <v>3141262</v>
      </c>
      <c r="D28" s="287"/>
      <c r="E28" s="287"/>
      <c r="F28" s="287"/>
      <c r="G28" s="287"/>
      <c r="H28" s="287"/>
      <c r="I28" s="287"/>
      <c r="J28" s="287"/>
      <c r="K28" s="287"/>
      <c r="L28" s="287"/>
      <c r="M28" s="287"/>
    </row>
    <row r="29" spans="2:13">
      <c r="B29" s="25" t="s">
        <v>30</v>
      </c>
      <c r="C29" s="270">
        <f>BS!C6</f>
        <v>2483059</v>
      </c>
      <c r="D29" s="287">
        <v>1734.124</v>
      </c>
      <c r="E29" s="287">
        <v>1304.595</v>
      </c>
      <c r="F29" s="287">
        <v>1162.7650000000001</v>
      </c>
      <c r="G29" s="287">
        <v>681.69299999999998</v>
      </c>
      <c r="H29" s="287"/>
      <c r="I29" s="287"/>
      <c r="J29" s="287"/>
      <c r="K29" s="287"/>
      <c r="L29" s="287"/>
      <c r="M29" s="287"/>
    </row>
    <row r="30" spans="2:13">
      <c r="B30" s="28" t="s">
        <v>38</v>
      </c>
      <c r="C30" s="271">
        <f>BS!C33+BS!C42</f>
        <v>145900611</v>
      </c>
      <c r="D30" s="289"/>
      <c r="E30" s="289"/>
      <c r="F30" s="289"/>
      <c r="G30" s="289"/>
      <c r="H30" s="289"/>
      <c r="I30" s="289"/>
      <c r="J30" s="289"/>
      <c r="K30" s="289"/>
      <c r="L30" s="289"/>
      <c r="M30" s="289"/>
    </row>
    <row r="31" spans="2:13">
      <c r="B31" s="28" t="s">
        <v>28</v>
      </c>
      <c r="C31" s="271">
        <f>BS!G27</f>
        <v>184297564</v>
      </c>
      <c r="D31" s="289"/>
      <c r="E31" s="289"/>
      <c r="F31" s="289"/>
      <c r="G31" s="289"/>
      <c r="H31" s="289"/>
      <c r="I31" s="289"/>
      <c r="J31" s="289"/>
      <c r="K31" s="289"/>
      <c r="L31" s="289"/>
      <c r="M31" s="289"/>
    </row>
    <row r="32" spans="2:13">
      <c r="B32" s="25" t="s">
        <v>143</v>
      </c>
      <c r="C32" s="270">
        <f>BS!G28</f>
        <v>-58350</v>
      </c>
      <c r="D32" s="287">
        <v>-58.881999999999998</v>
      </c>
      <c r="E32" s="287">
        <v>-56.84</v>
      </c>
      <c r="F32" s="287">
        <v>-55.893000000000001</v>
      </c>
      <c r="G32" s="287">
        <v>-56.68</v>
      </c>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337591576</v>
      </c>
      <c r="D36" s="270">
        <f t="shared" si="1"/>
        <v>276744954</v>
      </c>
      <c r="E36" s="270">
        <f t="shared" si="1"/>
        <v>219954948</v>
      </c>
      <c r="F36" s="270">
        <f t="shared" si="1"/>
        <v>179127997</v>
      </c>
      <c r="G36" s="270">
        <f t="shared" si="1"/>
        <v>114794510</v>
      </c>
      <c r="H36" s="270">
        <f t="shared" si="1"/>
        <v>97528531</v>
      </c>
      <c r="I36" s="270">
        <f t="shared" si="1"/>
        <v>65227278</v>
      </c>
      <c r="J36" s="270">
        <f t="shared" si="1"/>
        <v>33927987</v>
      </c>
      <c r="K36" s="270">
        <f t="shared" si="1"/>
        <v>12988077</v>
      </c>
      <c r="L36" s="270">
        <f t="shared" si="1"/>
        <v>4018959</v>
      </c>
      <c r="M36" s="270" t="str">
        <f t="shared" si="1"/>
        <v/>
      </c>
    </row>
    <row r="37" spans="2:13">
      <c r="B37" s="38" t="s">
        <v>40</v>
      </c>
      <c r="C37" s="270">
        <f t="shared" ref="C37:M37" si="2">IF(C$4="","",-C5)</f>
        <v>-207806982</v>
      </c>
      <c r="D37" s="270">
        <f t="shared" si="2"/>
        <v>-179553793</v>
      </c>
      <c r="E37" s="270">
        <f t="shared" si="2"/>
        <v>-158201969</v>
      </c>
      <c r="F37" s="270">
        <f t="shared" si="2"/>
        <v>-136653869</v>
      </c>
      <c r="G37" s="270">
        <f t="shared" si="2"/>
        <v>-80744368</v>
      </c>
      <c r="H37" s="270">
        <f t="shared" si="2"/>
        <v>-65208143</v>
      </c>
      <c r="I37" s="270">
        <f t="shared" si="2"/>
        <v>-50122320</v>
      </c>
      <c r="J37" s="270">
        <f t="shared" si="2"/>
        <v>-21708483</v>
      </c>
      <c r="K37" s="270">
        <f t="shared" si="2"/>
        <v>-7046841</v>
      </c>
      <c r="L37" s="270">
        <f t="shared" si="2"/>
        <v>-1239504</v>
      </c>
      <c r="M37" s="270" t="str">
        <f t="shared" si="2"/>
        <v/>
      </c>
    </row>
    <row r="38" spans="2:13">
      <c r="B38" s="30" t="s">
        <v>55</v>
      </c>
      <c r="C38" s="267">
        <f>IF(C36="","",C36+C37)</f>
        <v>129784594</v>
      </c>
      <c r="D38" s="267">
        <f t="shared" ref="D38" si="3">IF(D36="","",D36+D37)</f>
        <v>97191161</v>
      </c>
      <c r="E38" s="267">
        <f t="shared" ref="E38" si="4">IF(E36="","",E36+E37)</f>
        <v>61752979</v>
      </c>
      <c r="F38" s="267">
        <f t="shared" ref="F38" si="5">IF(F36="","",F36+F37)</f>
        <v>42474128</v>
      </c>
      <c r="G38" s="267">
        <f t="shared" ref="G38" si="6">IF(G36="","",G36+G37)</f>
        <v>34050142</v>
      </c>
      <c r="H38" s="267">
        <f t="shared" ref="H38" si="7">IF(H36="","",H36+H37)</f>
        <v>32320388</v>
      </c>
      <c r="I38" s="267">
        <f t="shared" ref="I38" si="8">IF(I36="","",I36+I37)</f>
        <v>15104958</v>
      </c>
      <c r="J38" s="267">
        <f t="shared" ref="J38" si="9">IF(J36="","",J36+J37)</f>
        <v>12219504</v>
      </c>
      <c r="K38" s="267">
        <f t="shared" ref="K38" si="10">IF(K36="","",K36+K37)</f>
        <v>5941236</v>
      </c>
      <c r="L38" s="267">
        <f t="shared" ref="L38" si="11">IF(L36="","",L36+L37)</f>
        <v>2779455</v>
      </c>
      <c r="M38" s="267" t="str">
        <f t="shared" ref="M38" si="12">IF(M36="","",M36+M37)</f>
        <v/>
      </c>
    </row>
    <row r="39" spans="2:13">
      <c r="B39" s="38" t="s">
        <v>51</v>
      </c>
      <c r="C39" s="270">
        <f t="shared" ref="C39:M39" si="13">IF(C$4="","",-C6)</f>
        <v>-74704438</v>
      </c>
      <c r="D39" s="270">
        <f t="shared" si="13"/>
        <v>-67989064</v>
      </c>
      <c r="E39" s="270">
        <f t="shared" si="13"/>
        <v>-49516922</v>
      </c>
      <c r="F39" s="270">
        <f t="shared" si="13"/>
        <v>-49295792</v>
      </c>
      <c r="G39" s="270">
        <f t="shared" si="13"/>
        <v>-26476580</v>
      </c>
      <c r="H39" s="270">
        <f t="shared" si="13"/>
        <v>-23158021</v>
      </c>
      <c r="I39" s="270">
        <f t="shared" si="13"/>
        <v>-21703593</v>
      </c>
      <c r="J39" s="270">
        <f t="shared" si="13"/>
        <v>-13080096</v>
      </c>
      <c r="K39" s="270">
        <f t="shared" si="13"/>
        <v>-10059737</v>
      </c>
      <c r="L39" s="270">
        <f t="shared" si="13"/>
        <v>-10046382</v>
      </c>
      <c r="M39" s="270" t="str">
        <f t="shared" si="13"/>
        <v/>
      </c>
    </row>
    <row r="40" spans="2:13">
      <c r="B40" s="66" t="s">
        <v>58</v>
      </c>
      <c r="C40" s="282">
        <f t="shared" ref="C40:M40" si="14">IF(C$4="","",-C7)</f>
        <v>-63975235</v>
      </c>
      <c r="D40" s="282">
        <f t="shared" si="14"/>
        <v>-58616997</v>
      </c>
      <c r="E40" s="282">
        <f t="shared" si="14"/>
        <v>-39745112</v>
      </c>
      <c r="F40" s="282">
        <f t="shared" si="14"/>
        <v>-40683166</v>
      </c>
      <c r="G40" s="282">
        <f t="shared" si="14"/>
        <v>-20882685</v>
      </c>
      <c r="H40" s="282">
        <f t="shared" si="14"/>
        <v>-18819067</v>
      </c>
      <c r="I40" s="282">
        <f t="shared" si="14"/>
        <v>-15871901</v>
      </c>
      <c r="J40" s="282">
        <f t="shared" si="14"/>
        <v>-10908688</v>
      </c>
      <c r="K40" s="282">
        <f t="shared" si="14"/>
        <v>-8337132</v>
      </c>
      <c r="L40" s="282">
        <f t="shared" si="14"/>
        <v>-7140962</v>
      </c>
      <c r="M40" s="282" t="str">
        <f t="shared" si="14"/>
        <v/>
      </c>
    </row>
    <row r="41" spans="2:13">
      <c r="B41" s="66" t="s">
        <v>61</v>
      </c>
      <c r="C41" s="282">
        <f>IF(C$4="","",C39-C40)</f>
        <v>-10729203</v>
      </c>
      <c r="D41" s="282">
        <f t="shared" ref="D41:M41" si="15">IF(D$4="","",D39-D40)</f>
        <v>-9372067</v>
      </c>
      <c r="E41" s="282">
        <f t="shared" si="15"/>
        <v>-9771810</v>
      </c>
      <c r="F41" s="282">
        <f t="shared" si="15"/>
        <v>-8612626</v>
      </c>
      <c r="G41" s="282">
        <f t="shared" si="15"/>
        <v>-5593895</v>
      </c>
      <c r="H41" s="282">
        <f t="shared" si="15"/>
        <v>-4338954</v>
      </c>
      <c r="I41" s="282">
        <f t="shared" si="15"/>
        <v>-5831692</v>
      </c>
      <c r="J41" s="282">
        <f t="shared" si="15"/>
        <v>-2171408</v>
      </c>
      <c r="K41" s="282">
        <f t="shared" si="15"/>
        <v>-1722605</v>
      </c>
      <c r="L41" s="282">
        <f t="shared" si="15"/>
        <v>-2905420</v>
      </c>
      <c r="M41" s="282" t="str">
        <f t="shared" si="15"/>
        <v/>
      </c>
    </row>
    <row r="42" spans="2:13">
      <c r="B42" s="38" t="s">
        <v>46</v>
      </c>
      <c r="C42" s="270">
        <f t="shared" ref="C42:M42" si="16">IF(C$4="","",-C8)</f>
        <v>-21053601</v>
      </c>
      <c r="D42" s="270">
        <f t="shared" si="16"/>
        <v>-21201005</v>
      </c>
      <c r="E42" s="270">
        <f t="shared" si="16"/>
        <v>-20739865</v>
      </c>
      <c r="F42" s="270">
        <f t="shared" si="16"/>
        <v>-16675595</v>
      </c>
      <c r="G42" s="270">
        <f t="shared" si="16"/>
        <v>-10892514</v>
      </c>
      <c r="H42" s="270">
        <f t="shared" si="16"/>
        <v>-8445664</v>
      </c>
      <c r="I42" s="270">
        <f t="shared" si="16"/>
        <v>-7071900</v>
      </c>
      <c r="J42" s="270">
        <f t="shared" si="16"/>
        <v>-3646634</v>
      </c>
      <c r="K42" s="270">
        <f t="shared" si="16"/>
        <v>-2366674</v>
      </c>
      <c r="L42" s="270">
        <f t="shared" si="16"/>
        <v>-1204033</v>
      </c>
      <c r="M42" s="270" t="str">
        <f t="shared" si="16"/>
        <v/>
      </c>
    </row>
    <row r="43" spans="2:13">
      <c r="B43" s="41" t="s">
        <v>127</v>
      </c>
      <c r="C43" s="271">
        <f>IF(C$4="","",C38+C39+C42)</f>
        <v>34026555</v>
      </c>
      <c r="D43" s="271">
        <f t="shared" ref="D43:M43" si="17">IF(D$4="","",D38+D39+D42)</f>
        <v>8001092</v>
      </c>
      <c r="E43" s="271">
        <f t="shared" si="17"/>
        <v>-8503808</v>
      </c>
      <c r="F43" s="271">
        <f t="shared" si="17"/>
        <v>-23497259</v>
      </c>
      <c r="G43" s="271">
        <f t="shared" si="17"/>
        <v>-3318952</v>
      </c>
      <c r="H43" s="271">
        <f t="shared" si="17"/>
        <v>716703</v>
      </c>
      <c r="I43" s="271">
        <f t="shared" si="17"/>
        <v>-13670535</v>
      </c>
      <c r="J43" s="271">
        <f t="shared" si="17"/>
        <v>-4507226</v>
      </c>
      <c r="K43" s="271">
        <f t="shared" si="17"/>
        <v>-6485175</v>
      </c>
      <c r="L43" s="271">
        <f t="shared" si="17"/>
        <v>-8470960</v>
      </c>
      <c r="M43" s="271" t="str">
        <f t="shared" si="17"/>
        <v/>
      </c>
    </row>
    <row r="44" spans="2:13">
      <c r="B44" s="41" t="s">
        <v>139</v>
      </c>
      <c r="C44" s="290">
        <f t="shared" ref="C44:M44" si="18">IF(C$4="","",C47-C46-C45-C43)</f>
        <v>4002962</v>
      </c>
      <c r="D44" s="290">
        <f t="shared" si="18"/>
        <v>-7230384</v>
      </c>
      <c r="E44" s="290">
        <f t="shared" si="18"/>
        <v>9404531</v>
      </c>
      <c r="F44" s="290">
        <f t="shared" si="18"/>
        <v>24051878</v>
      </c>
      <c r="G44" s="290">
        <f t="shared" si="18"/>
        <v>3049215</v>
      </c>
      <c r="H44" s="290">
        <f t="shared" si="18"/>
        <v>-190480</v>
      </c>
      <c r="I44" s="290">
        <f t="shared" si="18"/>
        <v>13378376</v>
      </c>
      <c r="J44" s="290">
        <f t="shared" si="18"/>
        <v>4519773</v>
      </c>
      <c r="K44" s="290">
        <f t="shared" si="18"/>
        <v>6787378</v>
      </c>
      <c r="L44" s="290">
        <f t="shared" si="18"/>
        <v>8502332</v>
      </c>
      <c r="M44" s="290" t="str">
        <f t="shared" si="18"/>
        <v/>
      </c>
    </row>
    <row r="45" spans="2:13">
      <c r="B45" s="38" t="s">
        <v>65</v>
      </c>
      <c r="C45" s="285">
        <f t="shared" ref="C45:M45" si="19">IF(C$4="","",C51+C52)</f>
        <v>-45231</v>
      </c>
      <c r="D45" s="285">
        <f t="shared" si="19"/>
        <v>-606171</v>
      </c>
      <c r="E45" s="285">
        <f t="shared" si="19"/>
        <v>-970917</v>
      </c>
      <c r="F45" s="285">
        <f t="shared" si="19"/>
        <v>-584898</v>
      </c>
      <c r="G45" s="285">
        <f t="shared" si="19"/>
        <v>0</v>
      </c>
      <c r="H45" s="285">
        <f t="shared" si="19"/>
        <v>0</v>
      </c>
      <c r="I45" s="285">
        <f t="shared" si="19"/>
        <v>294047</v>
      </c>
      <c r="J45" s="285">
        <f t="shared" si="19"/>
        <v>41671</v>
      </c>
      <c r="K45" s="285">
        <f t="shared" si="19"/>
        <v>-34300</v>
      </c>
      <c r="L45" s="285">
        <f t="shared" si="19"/>
        <v>-43020</v>
      </c>
      <c r="M45" s="285" t="str">
        <f t="shared" si="19"/>
        <v/>
      </c>
    </row>
    <row r="46" spans="2:13">
      <c r="B46" s="38" t="s">
        <v>47</v>
      </c>
      <c r="C46" s="270">
        <f>IF(C$4="","",-C14)</f>
        <v>-2177107</v>
      </c>
      <c r="D46" s="270">
        <f t="shared" ref="D46:M46" si="20">IF(D$4="","",-D14)</f>
        <v>-164537</v>
      </c>
      <c r="E46" s="270">
        <f t="shared" si="20"/>
        <v>70194</v>
      </c>
      <c r="F46" s="270">
        <f t="shared" si="20"/>
        <v>30279</v>
      </c>
      <c r="G46" s="270">
        <f t="shared" si="20"/>
        <v>269737</v>
      </c>
      <c r="H46" s="270">
        <f t="shared" si="20"/>
        <v>-526223</v>
      </c>
      <c r="I46" s="270">
        <f t="shared" si="20"/>
        <v>-1888</v>
      </c>
      <c r="J46" s="270">
        <f t="shared" si="20"/>
        <v>-54218</v>
      </c>
      <c r="K46" s="270">
        <f t="shared" si="20"/>
        <v>-267903</v>
      </c>
      <c r="L46" s="270">
        <f t="shared" si="20"/>
        <v>11648</v>
      </c>
      <c r="M46" s="270" t="str">
        <f t="shared" si="20"/>
        <v/>
      </c>
    </row>
    <row r="47" spans="2:13">
      <c r="B47" s="41" t="s">
        <v>39</v>
      </c>
      <c r="C47" s="271">
        <f t="shared" ref="C47:M47" si="21">IF(C$4="","",C15)</f>
        <v>35807179</v>
      </c>
      <c r="D47" s="271">
        <f t="shared" si="21"/>
        <v>0</v>
      </c>
      <c r="E47" s="271">
        <f t="shared" si="21"/>
        <v>0</v>
      </c>
      <c r="F47" s="271">
        <f t="shared" si="21"/>
        <v>0</v>
      </c>
      <c r="G47" s="271">
        <f t="shared" si="21"/>
        <v>0</v>
      </c>
      <c r="H47" s="271">
        <f t="shared" si="21"/>
        <v>0</v>
      </c>
      <c r="I47" s="271">
        <f t="shared" si="21"/>
        <v>0</v>
      </c>
      <c r="J47" s="271">
        <f t="shared" si="21"/>
        <v>0</v>
      </c>
      <c r="K47" s="271">
        <f t="shared" si="21"/>
        <v>0</v>
      </c>
      <c r="L47" s="271">
        <f t="shared" si="21"/>
        <v>0</v>
      </c>
      <c r="M47" s="271" t="str">
        <f t="shared" si="21"/>
        <v/>
      </c>
    </row>
    <row r="48" spans="2:13">
      <c r="B48" s="27" t="s">
        <v>41</v>
      </c>
      <c r="C48" s="270">
        <f t="shared" ref="C48:M48" si="22">IF(C$4="","",MIN(-C16,0))</f>
        <v>-1143</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-1337038</v>
      </c>
      <c r="D51" s="270">
        <f t="shared" si="23"/>
        <v>-1425157</v>
      </c>
      <c r="E51" s="270">
        <f t="shared" si="23"/>
        <v>-1628825</v>
      </c>
      <c r="F51" s="270">
        <f t="shared" si="23"/>
        <v>-1130935</v>
      </c>
      <c r="G51" s="270">
        <f t="shared" si="23"/>
        <v>0</v>
      </c>
      <c r="H51" s="270">
        <f t="shared" si="23"/>
        <v>0</v>
      </c>
      <c r="I51" s="270">
        <f t="shared" si="23"/>
        <v>0</v>
      </c>
      <c r="J51" s="270">
        <f t="shared" si="23"/>
        <v>-19214</v>
      </c>
      <c r="K51" s="270">
        <f t="shared" si="23"/>
        <v>-55981</v>
      </c>
      <c r="L51" s="270">
        <f t="shared" si="23"/>
        <v>-56561</v>
      </c>
      <c r="M51" s="270" t="str">
        <f t="shared" si="23"/>
        <v/>
      </c>
    </row>
    <row r="52" spans="2:13">
      <c r="B52" s="38" t="s">
        <v>64</v>
      </c>
      <c r="C52" s="270">
        <f>IF(C$4="","",C13)</f>
        <v>1291807</v>
      </c>
      <c r="D52" s="270">
        <f t="shared" ref="D52:M52" si="24">IF(D$4="","",D13)</f>
        <v>818986</v>
      </c>
      <c r="E52" s="270">
        <f t="shared" si="24"/>
        <v>657908</v>
      </c>
      <c r="F52" s="270">
        <f t="shared" si="24"/>
        <v>546037</v>
      </c>
      <c r="G52" s="270">
        <f t="shared" si="24"/>
        <v>0</v>
      </c>
      <c r="H52" s="270">
        <f t="shared" si="24"/>
        <v>0</v>
      </c>
      <c r="I52" s="270">
        <f t="shared" si="24"/>
        <v>294047</v>
      </c>
      <c r="J52" s="270">
        <f t="shared" si="24"/>
        <v>60885</v>
      </c>
      <c r="K52" s="270">
        <f t="shared" si="24"/>
        <v>21681</v>
      </c>
      <c r="L52" s="270">
        <f t="shared" si="24"/>
        <v>13541</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4002962</v>
      </c>
      <c r="D58" s="285">
        <f t="shared" ref="D58:M58" si="28">IF(D$4="","",D44-D55-D56-D57)</f>
        <v>-7230384</v>
      </c>
      <c r="E58" s="285">
        <f t="shared" si="28"/>
        <v>9404531</v>
      </c>
      <c r="F58" s="285">
        <f t="shared" si="28"/>
        <v>24051878</v>
      </c>
      <c r="G58" s="285">
        <f t="shared" si="28"/>
        <v>3049215</v>
      </c>
      <c r="H58" s="285">
        <f t="shared" si="28"/>
        <v>-190480</v>
      </c>
      <c r="I58" s="285">
        <f t="shared" si="28"/>
        <v>13378376</v>
      </c>
      <c r="J58" s="285">
        <f t="shared" si="28"/>
        <v>4519773</v>
      </c>
      <c r="K58" s="285">
        <f t="shared" si="28"/>
        <v>6787378</v>
      </c>
      <c r="L58" s="285">
        <f t="shared" si="28"/>
        <v>8502332</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-18926</v>
      </c>
      <c r="D64" s="270">
        <f t="shared" ref="D64:M64" si="32">IF(D$4="","",D22+D23+D24)</f>
        <v>0</v>
      </c>
      <c r="E64" s="270">
        <f t="shared" si="32"/>
        <v>0</v>
      </c>
      <c r="F64" s="270">
        <f t="shared" si="32"/>
        <v>0</v>
      </c>
      <c r="G64" s="270">
        <f t="shared" si="32"/>
        <v>0</v>
      </c>
      <c r="H64" s="270">
        <f t="shared" si="32"/>
        <v>0</v>
      </c>
      <c r="I64" s="270">
        <f t="shared" si="32"/>
        <v>0</v>
      </c>
      <c r="J64" s="270">
        <f t="shared" si="32"/>
        <v>0</v>
      </c>
      <c r="K64" s="270">
        <f t="shared" si="32"/>
        <v>0</v>
      </c>
      <c r="L64" s="270">
        <f t="shared" si="32"/>
        <v>0</v>
      </c>
      <c r="M64" s="270"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5">
        <f t="shared" ref="D76:M76" si="39">IF(D$4="","",D79+D80)</f>
        <v>0</v>
      </c>
      <c r="E76" s="285">
        <f t="shared" si="39"/>
        <v>0</v>
      </c>
      <c r="F76" s="285">
        <f t="shared" si="39"/>
        <v>0</v>
      </c>
      <c r="G76" s="285">
        <f t="shared" si="39"/>
        <v>0</v>
      </c>
      <c r="H76" s="285">
        <f t="shared" si="39"/>
        <v>0</v>
      </c>
      <c r="I76" s="285">
        <f t="shared" si="39"/>
        <v>0</v>
      </c>
      <c r="J76" s="285">
        <f t="shared" si="39"/>
        <v>0</v>
      </c>
      <c r="K76" s="285">
        <f t="shared" si="39"/>
        <v>0</v>
      </c>
      <c r="L76" s="285">
        <f t="shared" si="39"/>
        <v>0</v>
      </c>
      <c r="M76" s="285" t="str">
        <f t="shared" si="39"/>
        <v/>
      </c>
    </row>
    <row r="77" spans="2:13">
      <c r="B77" s="90" t="s">
        <v>82</v>
      </c>
      <c r="C77" s="260">
        <f t="shared" ref="C77:H78" si="40">IF(C$4="","",C28)</f>
        <v>3141262</v>
      </c>
      <c r="D77" s="282">
        <f t="shared" si="40"/>
        <v>0</v>
      </c>
      <c r="E77" s="282">
        <f t="shared" si="40"/>
        <v>0</v>
      </c>
      <c r="F77" s="282">
        <f t="shared" si="40"/>
        <v>0</v>
      </c>
      <c r="G77" s="282">
        <f t="shared" si="40"/>
        <v>0</v>
      </c>
      <c r="H77" s="282">
        <f t="shared" si="40"/>
        <v>0</v>
      </c>
      <c r="I77" s="291"/>
      <c r="J77" s="291"/>
      <c r="K77" s="291"/>
      <c r="L77" s="291"/>
      <c r="M77" s="291"/>
    </row>
    <row r="78" spans="2:13">
      <c r="B78" s="90" t="s">
        <v>83</v>
      </c>
      <c r="C78" s="260">
        <f t="shared" si="40"/>
        <v>2483059</v>
      </c>
      <c r="D78" s="282">
        <f t="shared" si="40"/>
        <v>1734.124</v>
      </c>
      <c r="E78" s="282">
        <f t="shared" si="40"/>
        <v>1304.595</v>
      </c>
      <c r="F78" s="282">
        <f t="shared" si="40"/>
        <v>1162.7650000000001</v>
      </c>
      <c r="G78" s="282">
        <f t="shared" si="40"/>
        <v>681.69299999999998</v>
      </c>
      <c r="H78" s="282">
        <f t="shared" si="40"/>
        <v>0</v>
      </c>
      <c r="I78" s="291"/>
      <c r="J78" s="291"/>
      <c r="K78" s="291"/>
      <c r="L78" s="291"/>
      <c r="M78" s="291"/>
    </row>
    <row r="79" spans="2:13">
      <c r="B79" s="25" t="s">
        <v>38</v>
      </c>
      <c r="C79" s="259">
        <f t="shared" ref="C79:M79" si="41">IF(C$4="","",C30)</f>
        <v>145900611</v>
      </c>
      <c r="D79" s="270">
        <f t="shared" si="41"/>
        <v>0</v>
      </c>
      <c r="E79" s="270">
        <f t="shared" si="41"/>
        <v>0</v>
      </c>
      <c r="F79" s="270">
        <f t="shared" si="41"/>
        <v>0</v>
      </c>
      <c r="G79" s="270">
        <f t="shared" si="41"/>
        <v>0</v>
      </c>
      <c r="H79" s="270">
        <f t="shared" si="41"/>
        <v>0</v>
      </c>
      <c r="I79" s="270">
        <f t="shared" si="41"/>
        <v>0</v>
      </c>
      <c r="J79" s="270">
        <f t="shared" si="41"/>
        <v>0</v>
      </c>
      <c r="K79" s="270">
        <f t="shared" si="41"/>
        <v>0</v>
      </c>
      <c r="L79" s="270">
        <f t="shared" si="41"/>
        <v>0</v>
      </c>
      <c r="M79" s="270" t="str">
        <f t="shared" si="41"/>
        <v/>
      </c>
    </row>
    <row r="80" spans="2:13">
      <c r="B80" s="25" t="s">
        <v>28</v>
      </c>
      <c r="C80" s="259">
        <f t="shared" ref="C80:M80" si="42">IF(C$4="","",C31)</f>
        <v>184297564</v>
      </c>
      <c r="D80" s="270">
        <f t="shared" si="42"/>
        <v>0</v>
      </c>
      <c r="E80" s="270">
        <f t="shared" si="42"/>
        <v>0</v>
      </c>
      <c r="F80" s="270">
        <f t="shared" si="42"/>
        <v>0</v>
      </c>
      <c r="G80" s="270">
        <f t="shared" si="42"/>
        <v>0</v>
      </c>
      <c r="H80" s="270">
        <f t="shared" si="42"/>
        <v>0</v>
      </c>
      <c r="I80" s="270">
        <f t="shared" si="42"/>
        <v>0</v>
      </c>
      <c r="J80" s="270">
        <f t="shared" si="42"/>
        <v>0</v>
      </c>
      <c r="K80" s="270">
        <f t="shared" si="42"/>
        <v>0</v>
      </c>
      <c r="L80" s="270">
        <f t="shared" si="42"/>
        <v>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7" sqref="G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87">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22.422939424846614</v>
      </c>
      <c r="D47" s="134">
        <f>D46*H1/Common_Shares*Exchange_Rate</f>
        <v>3.5912480307430195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3.1316510969641755</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0.16637304176128054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66024762.846666686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-25297085.083333332</v>
      </c>
      <c r="D73" s="285">
        <f>(Normalized_FCF!C26+Normalized_FCF!C35-Normalized_FCF!C89)/12</f>
        <v>-26776121.076666657</v>
      </c>
      <c r="F73" s="1" t="s">
        <v>278</v>
      </c>
    </row>
    <row r="74" spans="2:6" ht="15" customHeight="1">
      <c r="B74" s="227" t="s">
        <v>259</v>
      </c>
      <c r="C74" s="228">
        <f>-$C$66/C73</f>
        <v>4.7269084404820152</v>
      </c>
      <c r="D74" s="228">
        <f>-$C$66/D73</f>
        <v>4.4658075998992333</v>
      </c>
      <c r="F74" s="223" t="s">
        <v>257</v>
      </c>
    </row>
    <row r="75" spans="2:6" ht="15" customHeight="1">
      <c r="B75" s="77" t="s">
        <v>258</v>
      </c>
      <c r="C75" s="261"/>
      <c r="D75" s="262">
        <f>MAX(-D73*D76,G5)</f>
        <v>53552242.153333314</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-57442314.359661981</v>
      </c>
      <c r="D86" s="201">
        <f>C86*scaling_factor/Common_Shares</f>
        <v>-6.2003066366618134</v>
      </c>
      <c r="E86" s="214" t="str">
        <f>Market_currency</f>
        <v>HKD</v>
      </c>
    </row>
    <row r="87" spans="2:8" ht="15" customHeight="1">
      <c r="B87" s="212" t="s">
        <v>240</v>
      </c>
      <c r="C87" s="73">
        <f>DCF!F5*Exchange_Rate</f>
        <v>74397969.181724072</v>
      </c>
      <c r="D87" s="201">
        <f>C87*scaling_factor/Common_Shares</f>
        <v>8.030495066465134</v>
      </c>
      <c r="E87" s="214" t="str">
        <f>Market_currency</f>
        <v>HKD</v>
      </c>
    </row>
    <row r="88" spans="2:8" ht="15" customHeight="1">
      <c r="B88" s="213" t="s">
        <v>159</v>
      </c>
      <c r="C88" s="73">
        <f>DCF!F6*Exchange_Rate</f>
        <v>65264067.16454494</v>
      </c>
      <c r="D88" s="201">
        <f>C88*scaling_factor/Common_Shares</f>
        <v>7.044584350174353</v>
      </c>
      <c r="E88" s="214" t="str">
        <f>Market_currency</f>
        <v>HKD</v>
      </c>
    </row>
    <row r="89" spans="2:8" ht="15" customHeight="1">
      <c r="B89" s="77" t="s">
        <v>244</v>
      </c>
      <c r="C89" s="162">
        <f>SUM(C86:C88)</f>
        <v>82219721.98660703</v>
      </c>
      <c r="D89" s="216">
        <f>SUM(D86:D88)</f>
        <v>8.8747727799776737</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5" activePane="bottomRight" state="frozen"/>
      <selection activeCell="C17" sqref="C17"/>
      <selection pane="topRight" activeCell="C17" sqref="C17"/>
      <selection pane="bottomLeft" activeCell="C17" sqref="C17"/>
      <selection pane="bottomRight" activeCell="E119" sqref="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337591575.99999994</v>
      </c>
      <c r="D4" s="54"/>
      <c r="E4" s="235"/>
      <c r="F4" s="54"/>
      <c r="G4" s="270">
        <f>Data!C36</f>
        <v>337591576</v>
      </c>
      <c r="H4" s="270">
        <f>Data!D36</f>
        <v>276744954</v>
      </c>
      <c r="I4" s="270">
        <f>Data!E36</f>
        <v>219954948</v>
      </c>
      <c r="J4" s="270">
        <f>Data!F36</f>
        <v>179127997</v>
      </c>
      <c r="K4" s="270">
        <f>Data!G36</f>
        <v>114794510</v>
      </c>
      <c r="L4" s="270">
        <f>Data!H36</f>
        <v>97528531</v>
      </c>
      <c r="M4" s="270">
        <f>Data!I36</f>
        <v>65227278</v>
      </c>
      <c r="N4" s="270">
        <f>Data!J36</f>
        <v>33927987</v>
      </c>
      <c r="O4" s="270">
        <f>Data!K36</f>
        <v>12988077</v>
      </c>
      <c r="P4" s="270">
        <f>Data!L36</f>
        <v>4018959</v>
      </c>
      <c r="Q4" s="270" t="str">
        <f>Data!M36</f>
        <v/>
      </c>
    </row>
    <row r="5" spans="1:17" ht="15.75" customHeight="1">
      <c r="A5" s="10"/>
      <c r="B5" s="2" t="s">
        <v>43</v>
      </c>
      <c r="C5" s="266">
        <f>C26</f>
        <v>-310584249.9199999</v>
      </c>
      <c r="E5" s="237"/>
      <c r="G5" s="270">
        <f t="shared" ref="G5:Q5" si="1">G26</f>
        <v>-292835818</v>
      </c>
      <c r="H5" s="270">
        <f t="shared" si="1"/>
        <v>-259371795</v>
      </c>
      <c r="I5" s="270">
        <f t="shared" si="1"/>
        <v>-218686946</v>
      </c>
      <c r="J5" s="270">
        <f t="shared" si="1"/>
        <v>-194012630</v>
      </c>
      <c r="K5" s="270">
        <f t="shared" si="1"/>
        <v>-112519567</v>
      </c>
      <c r="L5" s="270">
        <f t="shared" si="1"/>
        <v>-92472874</v>
      </c>
      <c r="M5" s="270">
        <f t="shared" si="1"/>
        <v>-73066121</v>
      </c>
      <c r="N5" s="270">
        <f t="shared" si="1"/>
        <v>-36263805</v>
      </c>
      <c r="O5" s="270">
        <f t="shared" si="1"/>
        <v>-17750647</v>
      </c>
      <c r="P5" s="270">
        <f t="shared" si="1"/>
        <v>-9584499</v>
      </c>
      <c r="Q5" s="270" t="str">
        <f t="shared" si="1"/>
        <v/>
      </c>
    </row>
    <row r="6" spans="1:17" ht="15.75" customHeight="1">
      <c r="A6" s="10"/>
      <c r="B6" s="30" t="s">
        <v>45</v>
      </c>
      <c r="C6" s="267">
        <f>C4+C5</f>
        <v>27007326.080000043</v>
      </c>
      <c r="E6" s="237"/>
      <c r="G6" s="267">
        <f>IF(G4="","",G4+G5)</f>
        <v>44755758</v>
      </c>
      <c r="H6" s="267">
        <f t="shared" ref="H6:Q6" si="2">IF(H4="","",H4+H5)</f>
        <v>17373159</v>
      </c>
      <c r="I6" s="267">
        <f t="shared" si="2"/>
        <v>1268002</v>
      </c>
      <c r="J6" s="267">
        <f t="shared" si="2"/>
        <v>-14884633</v>
      </c>
      <c r="K6" s="267">
        <f t="shared" si="2"/>
        <v>2274943</v>
      </c>
      <c r="L6" s="267">
        <f t="shared" si="2"/>
        <v>5055657</v>
      </c>
      <c r="M6" s="267">
        <f t="shared" si="2"/>
        <v>-7838843</v>
      </c>
      <c r="N6" s="267">
        <f t="shared" si="2"/>
        <v>-2335818</v>
      </c>
      <c r="O6" s="267">
        <f t="shared" si="2"/>
        <v>-4762570</v>
      </c>
      <c r="P6" s="267">
        <f t="shared" si="2"/>
        <v>-5565540</v>
      </c>
      <c r="Q6" s="267" t="str">
        <f t="shared" si="2"/>
        <v/>
      </c>
    </row>
    <row r="7" spans="1:17" ht="15.75" customHeight="1">
      <c r="A7" s="10"/>
      <c r="B7" s="8" t="s">
        <v>42</v>
      </c>
      <c r="C7" s="266">
        <f>C35</f>
        <v>-10729203</v>
      </c>
      <c r="E7" s="237"/>
      <c r="G7" s="266">
        <f t="shared" ref="G7:Q7" si="3">G35</f>
        <v>-10729203</v>
      </c>
      <c r="H7" s="266">
        <f t="shared" si="3"/>
        <v>-9372067</v>
      </c>
      <c r="I7" s="266">
        <f t="shared" si="3"/>
        <v>-9771810</v>
      </c>
      <c r="J7" s="266">
        <f t="shared" si="3"/>
        <v>-8612626</v>
      </c>
      <c r="K7" s="266">
        <f t="shared" si="3"/>
        <v>-5593895</v>
      </c>
      <c r="L7" s="266">
        <f t="shared" si="3"/>
        <v>-4338954</v>
      </c>
      <c r="M7" s="266">
        <f t="shared" si="3"/>
        <v>-5831692</v>
      </c>
      <c r="N7" s="266">
        <f t="shared" si="3"/>
        <v>-2171408</v>
      </c>
      <c r="O7" s="266">
        <f t="shared" si="3"/>
        <v>-1722605</v>
      </c>
      <c r="P7" s="266">
        <f t="shared" si="3"/>
        <v>-2905420</v>
      </c>
      <c r="Q7" s="266" t="str">
        <f t="shared" si="3"/>
        <v/>
      </c>
    </row>
    <row r="8" spans="1:17" ht="15.75" customHeight="1">
      <c r="A8" s="10"/>
      <c r="B8" s="28" t="s">
        <v>127</v>
      </c>
      <c r="C8" s="268">
        <f>C6+C7</f>
        <v>16278123.080000043</v>
      </c>
      <c r="D8" s="56"/>
      <c r="E8" s="241"/>
      <c r="F8" s="56"/>
      <c r="G8" s="267">
        <f>IF(G$4="","",G6+G7)</f>
        <v>34026555</v>
      </c>
      <c r="H8" s="267">
        <f t="shared" ref="H8:Q8" si="4">IF(H$4="","",H6+H7)</f>
        <v>8001092</v>
      </c>
      <c r="I8" s="267">
        <f t="shared" si="4"/>
        <v>-8503808</v>
      </c>
      <c r="J8" s="267">
        <f t="shared" si="4"/>
        <v>-23497259</v>
      </c>
      <c r="K8" s="267">
        <f t="shared" si="4"/>
        <v>-3318952</v>
      </c>
      <c r="L8" s="267">
        <f t="shared" si="4"/>
        <v>716703</v>
      </c>
      <c r="M8" s="267">
        <f t="shared" si="4"/>
        <v>-13670535</v>
      </c>
      <c r="N8" s="267">
        <f t="shared" si="4"/>
        <v>-4507226</v>
      </c>
      <c r="O8" s="267">
        <f t="shared" si="4"/>
        <v>-6485175</v>
      </c>
      <c r="P8" s="267">
        <f t="shared" si="4"/>
        <v>-8470960</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-2737330.66708</v>
      </c>
      <c r="E10" s="237"/>
      <c r="G10" s="266">
        <f>G48</f>
        <v>-758505.68704090687</v>
      </c>
      <c r="H10" s="266">
        <f t="shared" ref="H10:Q10" si="6">H48</f>
        <v>-1058376.3084097579</v>
      </c>
      <c r="I10" s="266">
        <f t="shared" si="6"/>
        <v>-1334182.6602741035</v>
      </c>
      <c r="J10" s="266">
        <f t="shared" si="6"/>
        <v>-886393.78868031804</v>
      </c>
      <c r="K10" s="266">
        <f t="shared" si="6"/>
        <v>0</v>
      </c>
      <c r="L10" s="266">
        <f t="shared" si="6"/>
        <v>0</v>
      </c>
      <c r="M10" s="266">
        <f t="shared" si="6"/>
        <v>131688.16319208866</v>
      </c>
      <c r="N10" s="266">
        <f t="shared" si="6"/>
        <v>8053.1845519604612</v>
      </c>
      <c r="O10" s="266">
        <f t="shared" si="6"/>
        <v>-46271.222086375055</v>
      </c>
      <c r="P10" s="266">
        <f t="shared" si="6"/>
        <v>-50496.699334514306</v>
      </c>
      <c r="Q10" s="266" t="str">
        <f t="shared" si="6"/>
        <v/>
      </c>
    </row>
    <row r="11" spans="1:17" ht="15.75" customHeight="1">
      <c r="A11" s="10"/>
      <c r="B11" s="67" t="s">
        <v>137</v>
      </c>
      <c r="C11" s="267">
        <f>SUM(C8:C10)</f>
        <v>13540792.412920043</v>
      </c>
      <c r="E11" s="237"/>
      <c r="G11" s="267">
        <f t="shared" ref="G11:Q11" si="7">IF(G$4="","",SUM(G8:G10))</f>
        <v>33268049.312959094</v>
      </c>
      <c r="H11" s="267">
        <f t="shared" si="7"/>
        <v>6942715.6915902421</v>
      </c>
      <c r="I11" s="267">
        <f t="shared" si="7"/>
        <v>-9837990.6602741033</v>
      </c>
      <c r="J11" s="267">
        <f t="shared" si="7"/>
        <v>-24383652.788680319</v>
      </c>
      <c r="K11" s="267">
        <f t="shared" si="7"/>
        <v>-3318952</v>
      </c>
      <c r="L11" s="267">
        <f t="shared" si="7"/>
        <v>716703</v>
      </c>
      <c r="M11" s="267">
        <f t="shared" si="7"/>
        <v>-13538846.836807912</v>
      </c>
      <c r="N11" s="267">
        <f t="shared" si="7"/>
        <v>-4499172.8154480392</v>
      </c>
      <c r="O11" s="267">
        <f t="shared" si="7"/>
        <v>-6531446.2220863746</v>
      </c>
      <c r="P11" s="267">
        <f t="shared" si="7"/>
        <v>-8521456.6993345134</v>
      </c>
      <c r="Q11" s="267" t="str">
        <f t="shared" si="7"/>
        <v/>
      </c>
    </row>
    <row r="12" spans="1:17" ht="15.75" customHeight="1">
      <c r="A12" s="10"/>
      <c r="B12" s="2" t="s">
        <v>60</v>
      </c>
      <c r="C12" s="266">
        <f>-C11*C41</f>
        <v>-3385198.1032300107</v>
      </c>
      <c r="E12" s="237"/>
      <c r="G12" s="266">
        <f>Data!C46</f>
        <v>-2177107</v>
      </c>
      <c r="H12" s="266">
        <f>Data!D46</f>
        <v>-164537</v>
      </c>
      <c r="I12" s="266">
        <f>Data!E46</f>
        <v>70194</v>
      </c>
      <c r="J12" s="266">
        <f>Data!F46</f>
        <v>30279</v>
      </c>
      <c r="K12" s="266">
        <f>Data!G46</f>
        <v>269737</v>
      </c>
      <c r="L12" s="266">
        <f>Data!H46</f>
        <v>-526223</v>
      </c>
      <c r="M12" s="266">
        <f>Data!I46</f>
        <v>-1888</v>
      </c>
      <c r="N12" s="266">
        <f>Data!J46</f>
        <v>-54218</v>
      </c>
      <c r="O12" s="266">
        <f>Data!K46</f>
        <v>-267903</v>
      </c>
      <c r="P12" s="266">
        <f>Data!L46</f>
        <v>11648</v>
      </c>
      <c r="Q12" s="266" t="str">
        <f>Data!M46</f>
        <v/>
      </c>
    </row>
    <row r="13" spans="1:17" ht="15.75" customHeight="1">
      <c r="A13" s="10"/>
      <c r="B13" s="38" t="s">
        <v>208</v>
      </c>
      <c r="C13" s="266">
        <f>-C4*C79</f>
        <v>0</v>
      </c>
      <c r="D13" s="57"/>
      <c r="E13" s="242"/>
      <c r="F13" s="57"/>
      <c r="G13" s="270">
        <f>Data!C48</f>
        <v>-1143</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10155594.309690032</v>
      </c>
      <c r="D14" s="58"/>
      <c r="E14" s="243"/>
      <c r="F14" s="58"/>
      <c r="G14" s="267">
        <f t="shared" ref="G14:Q14" si="8">IF(G$4="","",SUM(G11:G13))</f>
        <v>31089799.312959094</v>
      </c>
      <c r="H14" s="267">
        <f t="shared" si="8"/>
        <v>6778178.6915902421</v>
      </c>
      <c r="I14" s="267">
        <f t="shared" si="8"/>
        <v>-9767796.6602741033</v>
      </c>
      <c r="J14" s="267">
        <f t="shared" si="8"/>
        <v>-24353373.788680319</v>
      </c>
      <c r="K14" s="267">
        <f t="shared" si="8"/>
        <v>-3049215</v>
      </c>
      <c r="L14" s="267">
        <f t="shared" si="8"/>
        <v>190480</v>
      </c>
      <c r="M14" s="267">
        <f t="shared" si="8"/>
        <v>-13540734.836807912</v>
      </c>
      <c r="N14" s="267">
        <f t="shared" si="8"/>
        <v>-4553390.8154480392</v>
      </c>
      <c r="O14" s="267">
        <f t="shared" si="8"/>
        <v>-6799349.2220863746</v>
      </c>
      <c r="P14" s="267">
        <f t="shared" si="8"/>
        <v>-8509808.6993345134</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10155594.309690032</v>
      </c>
      <c r="D19" s="26"/>
      <c r="E19" s="234"/>
      <c r="F19" s="26"/>
      <c r="G19" s="271">
        <f t="shared" ref="G19:Q19" si="9">IF(G$4="","",G14+G17)</f>
        <v>31089799.312959094</v>
      </c>
      <c r="H19" s="271">
        <f t="shared" si="9"/>
        <v>6778178.6915902421</v>
      </c>
      <c r="I19" s="271">
        <f t="shared" si="9"/>
        <v>-9767796.6602741033</v>
      </c>
      <c r="J19" s="271">
        <f t="shared" si="9"/>
        <v>-24353373.788680319</v>
      </c>
      <c r="K19" s="271">
        <f t="shared" si="9"/>
        <v>-3049215</v>
      </c>
      <c r="L19" s="271">
        <f t="shared" si="9"/>
        <v>190480</v>
      </c>
      <c r="M19" s="271">
        <f t="shared" si="9"/>
        <v>-13540734.836807912</v>
      </c>
      <c r="N19" s="271">
        <f t="shared" si="9"/>
        <v>-4553390.8154480392</v>
      </c>
      <c r="O19" s="271">
        <f t="shared" si="9"/>
        <v>-6799349.2220863746</v>
      </c>
      <c r="P19" s="271">
        <f t="shared" si="9"/>
        <v>-8509808.6993345134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-216058608.63999996</v>
      </c>
      <c r="D23" s="55"/>
      <c r="E23" s="236"/>
      <c r="F23" s="55"/>
      <c r="G23" s="270">
        <f>Data!C37</f>
        <v>-207806982</v>
      </c>
      <c r="H23" s="270">
        <f>Data!D37</f>
        <v>-179553793</v>
      </c>
      <c r="I23" s="270">
        <f>Data!E37</f>
        <v>-158201969</v>
      </c>
      <c r="J23" s="270">
        <f>Data!F37</f>
        <v>-136653869</v>
      </c>
      <c r="K23" s="270">
        <f>Data!G37</f>
        <v>-80744368</v>
      </c>
      <c r="L23" s="270">
        <f>Data!H37</f>
        <v>-65208143</v>
      </c>
      <c r="M23" s="270">
        <f>Data!I37</f>
        <v>-50122320</v>
      </c>
      <c r="N23" s="270">
        <f>Data!J37</f>
        <v>-21708483</v>
      </c>
      <c r="O23" s="270">
        <f>Data!K37</f>
        <v>-7046841</v>
      </c>
      <c r="P23" s="270">
        <f>Data!L37</f>
        <v>-1239504</v>
      </c>
      <c r="Q23" s="270" t="str">
        <f>Data!M37</f>
        <v/>
      </c>
    </row>
    <row r="24" spans="1:17" ht="15.75" customHeight="1">
      <c r="A24" s="10"/>
      <c r="B24" s="65" t="s">
        <v>59</v>
      </c>
      <c r="C24" s="266">
        <f>-C4*C30</f>
        <v>-70894230.959999979</v>
      </c>
      <c r="D24" s="26"/>
      <c r="E24" s="234"/>
      <c r="F24" s="26"/>
      <c r="G24" s="270">
        <f>Data!C40</f>
        <v>-63975235</v>
      </c>
      <c r="H24" s="270">
        <f>Data!D40</f>
        <v>-58616997</v>
      </c>
      <c r="I24" s="270">
        <f>Data!E40</f>
        <v>-39745112</v>
      </c>
      <c r="J24" s="270">
        <f>Data!F40</f>
        <v>-40683166</v>
      </c>
      <c r="K24" s="270">
        <f>Data!G40</f>
        <v>-20882685</v>
      </c>
      <c r="L24" s="270">
        <f>Data!H40</f>
        <v>-18819067</v>
      </c>
      <c r="M24" s="270">
        <f>Data!I40</f>
        <v>-15871901</v>
      </c>
      <c r="N24" s="270">
        <f>Data!J40</f>
        <v>-10908688</v>
      </c>
      <c r="O24" s="270">
        <f>Data!K40</f>
        <v>-8337132</v>
      </c>
      <c r="P24" s="270">
        <f>Data!L40</f>
        <v>-7140962</v>
      </c>
      <c r="Q24" s="270" t="str">
        <f>Data!M40</f>
        <v/>
      </c>
    </row>
    <row r="25" spans="1:17" ht="15.75" customHeight="1">
      <c r="A25" s="10"/>
      <c r="B25" s="26" t="s">
        <v>46</v>
      </c>
      <c r="C25" s="266">
        <f>-C4*C31</f>
        <v>-23631410.319999997</v>
      </c>
      <c r="D25" s="55"/>
      <c r="E25" s="235"/>
      <c r="F25" s="55"/>
      <c r="G25" s="270">
        <f>Data!C42</f>
        <v>-21053601</v>
      </c>
      <c r="H25" s="270">
        <f>Data!D42</f>
        <v>-21201005</v>
      </c>
      <c r="I25" s="270">
        <f>Data!E42</f>
        <v>-20739865</v>
      </c>
      <c r="J25" s="270">
        <f>Data!F42</f>
        <v>-16675595</v>
      </c>
      <c r="K25" s="270">
        <f>Data!G42</f>
        <v>-10892514</v>
      </c>
      <c r="L25" s="270">
        <f>Data!H42</f>
        <v>-8445664</v>
      </c>
      <c r="M25" s="270">
        <f>Data!I42</f>
        <v>-7071900</v>
      </c>
      <c r="N25" s="270">
        <f>Data!J42</f>
        <v>-3646634</v>
      </c>
      <c r="O25" s="270">
        <f>Data!K42</f>
        <v>-2366674</v>
      </c>
      <c r="P25" s="270">
        <f>Data!L42</f>
        <v>-1204033</v>
      </c>
      <c r="Q25" s="270" t="str">
        <f>Data!M42</f>
        <v/>
      </c>
    </row>
    <row r="26" spans="1:17" ht="15.75" customHeight="1">
      <c r="A26" s="10"/>
      <c r="B26" s="67" t="s">
        <v>43</v>
      </c>
      <c r="C26" s="267">
        <f>SUM(C23:C25)</f>
        <v>-310584249.9199999</v>
      </c>
      <c r="D26" s="9"/>
      <c r="E26" s="240"/>
      <c r="F26" s="9"/>
      <c r="G26" s="267">
        <f>IF(G$4="","",SUM(G23:G25))</f>
        <v>-292835818</v>
      </c>
      <c r="H26" s="267">
        <f t="shared" ref="H26:Q26" si="10">IF(H$4="","",SUM(H23:H25))</f>
        <v>-259371795</v>
      </c>
      <c r="I26" s="267">
        <f t="shared" si="10"/>
        <v>-218686946</v>
      </c>
      <c r="J26" s="267">
        <f t="shared" si="10"/>
        <v>-194012630</v>
      </c>
      <c r="K26" s="267">
        <f t="shared" si="10"/>
        <v>-112519567</v>
      </c>
      <c r="L26" s="267">
        <f t="shared" si="10"/>
        <v>-92472874</v>
      </c>
      <c r="M26" s="267">
        <f t="shared" si="10"/>
        <v>-73066121</v>
      </c>
      <c r="N26" s="267">
        <f t="shared" si="10"/>
        <v>-36263805</v>
      </c>
      <c r="O26" s="267">
        <f t="shared" si="10"/>
        <v>-17750647</v>
      </c>
      <c r="P26" s="267">
        <f t="shared" si="10"/>
        <v>-9584499</v>
      </c>
      <c r="Q26" s="267" t="str">
        <f t="shared" si="10"/>
        <v/>
      </c>
    </row>
    <row r="27" spans="1:17" ht="15.75" customHeight="1">
      <c r="A27" s="10"/>
      <c r="E27" s="237"/>
    </row>
    <row r="28" spans="1:17" ht="15.75" customHeight="1">
      <c r="A28" s="10"/>
      <c r="B28" s="61" t="s">
        <v>175</v>
      </c>
      <c r="E28" s="237"/>
    </row>
    <row r="29" spans="1:17" ht="15.75" customHeight="1">
      <c r="A29" s="10"/>
      <c r="B29" s="25" t="s">
        <v>40</v>
      </c>
      <c r="C29" s="60">
        <v>0.64</v>
      </c>
      <c r="D29" s="25"/>
      <c r="E29" s="235"/>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0.21</v>
      </c>
      <c r="D30" s="25"/>
      <c r="E30" s="235"/>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4"/>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0.91999999999999982</v>
      </c>
      <c r="E32" s="237"/>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-10729203</v>
      </c>
      <c r="D35" s="55"/>
      <c r="E35" s="236"/>
      <c r="F35" s="55"/>
      <c r="G35" s="267">
        <f>IF(G4="","",Data!C41)</f>
        <v>-10729203</v>
      </c>
      <c r="H35" s="267">
        <f>IF(H4="","",Data!D41)</f>
        <v>-9372067</v>
      </c>
      <c r="I35" s="267">
        <f>IF(I4="","",Data!E41)</f>
        <v>-9771810</v>
      </c>
      <c r="J35" s="267">
        <f>IF(J4="","",Data!F41)</f>
        <v>-8612626</v>
      </c>
      <c r="K35" s="267">
        <f>IF(K4="","",Data!G41)</f>
        <v>-5593895</v>
      </c>
      <c r="L35" s="267">
        <f>IF(L4="","",Data!H41)</f>
        <v>-4338954</v>
      </c>
      <c r="M35" s="267">
        <f>IF(M4="","",Data!I41)</f>
        <v>-5831692</v>
      </c>
      <c r="N35" s="267">
        <f>IF(N4="","",Data!J41)</f>
        <v>-2171408</v>
      </c>
      <c r="O35" s="267">
        <f>IF(O4="","",Data!K41)</f>
        <v>-1722605</v>
      </c>
      <c r="P35" s="267">
        <f>IF(P4="","",Data!L41)</f>
        <v>-2905420</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3.1781607607412582E-2</v>
      </c>
      <c r="E38" s="237"/>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6.5441378288204566E-2</v>
      </c>
      <c r="H41" s="6">
        <f t="shared" si="16"/>
        <v>2.3699227695483018E-2</v>
      </c>
      <c r="I41" s="6">
        <f t="shared" si="16"/>
        <v>7.1349935595531738E-3</v>
      </c>
      <c r="J41" s="6">
        <f t="shared" si="16"/>
        <v>1.241774571776075E-3</v>
      </c>
      <c r="K41" s="6">
        <f t="shared" si="16"/>
        <v>8.127173878983486E-2</v>
      </c>
      <c r="L41" s="6">
        <f t="shared" si="16"/>
        <v>0.73422742753972003</v>
      </c>
      <c r="M41" s="6">
        <f t="shared" si="16"/>
        <v>-1.3945057675570385E-4</v>
      </c>
      <c r="N41" s="6">
        <f t="shared" si="16"/>
        <v>-1.205065958209939E-2</v>
      </c>
      <c r="O41" s="6">
        <f t="shared" si="16"/>
        <v>-4.1017408838807265E-2</v>
      </c>
      <c r="P41" s="6">
        <f t="shared" si="16"/>
        <v>1.3669024453189624E-3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-3058644.12</v>
      </c>
      <c r="E45" s="237"/>
      <c r="G45" s="266">
        <f>Data!C51</f>
        <v>-1337038</v>
      </c>
      <c r="H45" s="266">
        <f>Data!D51</f>
        <v>-1425157</v>
      </c>
      <c r="I45" s="266">
        <f>Data!E51</f>
        <v>-1628825</v>
      </c>
      <c r="J45" s="266">
        <f>Data!F51</f>
        <v>-1130935</v>
      </c>
      <c r="K45" s="266">
        <f>Data!G51</f>
        <v>0</v>
      </c>
      <c r="L45" s="266">
        <f>Data!H51</f>
        <v>0</v>
      </c>
      <c r="M45" s="266">
        <f>Data!I51</f>
        <v>0</v>
      </c>
      <c r="N45" s="266">
        <f>Data!J51</f>
        <v>-19214</v>
      </c>
      <c r="O45" s="266">
        <f>Data!K51</f>
        <v>-55981</v>
      </c>
      <c r="P45" s="266">
        <f>Data!L51</f>
        <v>-56561</v>
      </c>
      <c r="Q45" s="266" t="str">
        <f>Data!M51</f>
        <v/>
      </c>
    </row>
    <row r="46" spans="1:17" ht="15.75" customHeight="1">
      <c r="A46" s="10"/>
      <c r="B46" s="2" t="s">
        <v>272</v>
      </c>
      <c r="C46" s="266">
        <f>BS!D75*C51</f>
        <v>321313.45291999989</v>
      </c>
      <c r="E46" s="237"/>
      <c r="G46" s="274">
        <f t="shared" ref="G46:Q46" si="17">IFERROR(IF(G$4="","",($C$46/$C$47)*G47),0)</f>
        <v>578532.31295909313</v>
      </c>
      <c r="H46" s="274">
        <f t="shared" si="17"/>
        <v>366780.69159024209</v>
      </c>
      <c r="I46" s="274">
        <f t="shared" si="17"/>
        <v>294642.33972589643</v>
      </c>
      <c r="J46" s="274">
        <f t="shared" si="17"/>
        <v>244541.21131968193</v>
      </c>
      <c r="K46" s="274">
        <f t="shared" si="17"/>
        <v>0</v>
      </c>
      <c r="L46" s="274">
        <f t="shared" si="17"/>
        <v>0</v>
      </c>
      <c r="M46" s="274">
        <f t="shared" si="17"/>
        <v>131688.16319208866</v>
      </c>
      <c r="N46" s="274">
        <f t="shared" si="17"/>
        <v>27267.184551960461</v>
      </c>
      <c r="O46" s="274">
        <f t="shared" si="17"/>
        <v>9709.7779136249446</v>
      </c>
      <c r="P46" s="274">
        <f t="shared" si="17"/>
        <v>6064.3006654856963</v>
      </c>
      <c r="Q46" s="274" t="str">
        <f t="shared" si="17"/>
        <v/>
      </c>
    </row>
    <row r="47" spans="1:17" ht="15.75" customHeight="1">
      <c r="A47" s="10"/>
      <c r="B47" s="245" t="s">
        <v>269</v>
      </c>
      <c r="C47" s="278">
        <f>BS!$C$66*C51</f>
        <v>717462.03</v>
      </c>
      <c r="D47" s="246"/>
      <c r="E47" s="247"/>
      <c r="F47" s="246"/>
      <c r="G47" s="278">
        <f>Data!C52</f>
        <v>1291807</v>
      </c>
      <c r="H47" s="278">
        <f>Data!D52</f>
        <v>818986</v>
      </c>
      <c r="I47" s="278">
        <f>Data!E52</f>
        <v>657908</v>
      </c>
      <c r="J47" s="278">
        <f>Data!F52</f>
        <v>546037</v>
      </c>
      <c r="K47" s="278">
        <f>Data!G52</f>
        <v>0</v>
      </c>
      <c r="L47" s="278">
        <f>Data!H52</f>
        <v>0</v>
      </c>
      <c r="M47" s="278">
        <f>Data!I52</f>
        <v>294047</v>
      </c>
      <c r="N47" s="278">
        <f>Data!J52</f>
        <v>60885</v>
      </c>
      <c r="O47" s="278">
        <f>Data!K52</f>
        <v>21681</v>
      </c>
      <c r="P47" s="278">
        <f>Data!L52</f>
        <v>13541</v>
      </c>
      <c r="Q47" s="278" t="str">
        <f>Data!M52</f>
        <v/>
      </c>
    </row>
    <row r="48" spans="1:17" ht="15.75" customHeight="1">
      <c r="A48" s="10"/>
      <c r="B48" s="67" t="s">
        <v>65</v>
      </c>
      <c r="C48" s="267">
        <f>C45+C46</f>
        <v>-2737330.66708</v>
      </c>
      <c r="E48" s="237"/>
      <c r="G48" s="267">
        <f>IF(G$4="","",(G45+G46))</f>
        <v>-758505.68704090687</v>
      </c>
      <c r="H48" s="267">
        <f t="shared" ref="H48:Q48" si="18">IF(H$4="","",(H45+H46))</f>
        <v>-1058376.3084097579</v>
      </c>
      <c r="I48" s="267">
        <f t="shared" si="18"/>
        <v>-1334182.6602741035</v>
      </c>
      <c r="J48" s="267">
        <f t="shared" si="18"/>
        <v>-886393.78868031804</v>
      </c>
      <c r="K48" s="267">
        <f t="shared" si="18"/>
        <v>0</v>
      </c>
      <c r="L48" s="267">
        <f t="shared" si="18"/>
        <v>0</v>
      </c>
      <c r="M48" s="267">
        <f t="shared" si="18"/>
        <v>131688.16319208866</v>
      </c>
      <c r="N48" s="267">
        <f t="shared" si="18"/>
        <v>8053.1845519604612</v>
      </c>
      <c r="O48" s="267">
        <f t="shared" si="18"/>
        <v>-46271.222086375055</v>
      </c>
      <c r="P48" s="267">
        <f t="shared" si="18"/>
        <v>-50496.699334514306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4"/>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5.3220062358873061</v>
      </c>
      <c r="E53" s="237"/>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4002962</v>
      </c>
      <c r="H60" s="266">
        <f>Data!D58</f>
        <v>-7230384</v>
      </c>
      <c r="I60" s="266">
        <f>Data!E58</f>
        <v>9404531</v>
      </c>
      <c r="J60" s="266">
        <f>Data!F58</f>
        <v>24051878</v>
      </c>
      <c r="K60" s="266">
        <f>Data!G58</f>
        <v>3049215</v>
      </c>
      <c r="L60" s="266">
        <f>Data!H58</f>
        <v>-190480</v>
      </c>
      <c r="M60" s="266">
        <f>Data!I58</f>
        <v>13378376</v>
      </c>
      <c r="N60" s="266">
        <f>Data!J58</f>
        <v>4519773</v>
      </c>
      <c r="O60" s="266">
        <f>Data!K58</f>
        <v>6787378</v>
      </c>
      <c r="P60" s="266">
        <f>Data!L58</f>
        <v>8502332</v>
      </c>
      <c r="Q60" s="266" t="str">
        <f>Data!M58</f>
        <v/>
      </c>
    </row>
    <row r="61" spans="1:17" ht="15.75" customHeight="1">
      <c r="A61" s="10"/>
      <c r="B61" s="30" t="s">
        <v>164</v>
      </c>
      <c r="C61" s="267">
        <f>C59+C60</f>
        <v>0</v>
      </c>
      <c r="E61" s="237"/>
      <c r="G61" s="267">
        <f t="shared" ref="G61:Q61" si="21">IF(G4="","",G59+G60)</f>
        <v>4002962</v>
      </c>
      <c r="H61" s="267">
        <f t="shared" si="21"/>
        <v>-7230384</v>
      </c>
      <c r="I61" s="267">
        <f t="shared" si="21"/>
        <v>9404531</v>
      </c>
      <c r="J61" s="267">
        <f t="shared" si="21"/>
        <v>24051878</v>
      </c>
      <c r="K61" s="267">
        <f t="shared" si="21"/>
        <v>3049215</v>
      </c>
      <c r="L61" s="267">
        <f t="shared" si="21"/>
        <v>-190480</v>
      </c>
      <c r="M61" s="267">
        <f t="shared" si="21"/>
        <v>13378376</v>
      </c>
      <c r="N61" s="267">
        <f t="shared" si="21"/>
        <v>4519773</v>
      </c>
      <c r="O61" s="267">
        <f t="shared" si="21"/>
        <v>6787378</v>
      </c>
      <c r="P61" s="267">
        <f t="shared" si="21"/>
        <v>8502332</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0.91999999999999982</v>
      </c>
      <c r="D71" s="26"/>
      <c r="E71" s="234"/>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8.000000000000014E-2</v>
      </c>
      <c r="D72" s="26"/>
      <c r="E72" s="234"/>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3.1781607607412582E-2</v>
      </c>
      <c r="D73" s="26"/>
      <c r="E73" s="234"/>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4.8218392392587565E-2</v>
      </c>
      <c r="D74" s="26"/>
      <c r="E74" s="234"/>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8.1084092781983415E-3</v>
      </c>
      <c r="D76" s="26"/>
      <c r="E76" s="234"/>
      <c r="F76" s="26"/>
      <c r="G76" s="6">
        <f t="shared" ref="G76:Q76" si="28">IF(G$4="","",ABS(G10/G$4))</f>
        <v>2.2468146155427376E-3</v>
      </c>
      <c r="H76" s="6">
        <f t="shared" si="28"/>
        <v>3.8243743674898508E-3</v>
      </c>
      <c r="I76" s="6">
        <f t="shared" si="28"/>
        <v>6.0657087844830093E-3</v>
      </c>
      <c r="J76" s="6">
        <f t="shared" si="28"/>
        <v>4.948382182157254E-3</v>
      </c>
      <c r="K76" s="6">
        <f t="shared" si="28"/>
        <v>0</v>
      </c>
      <c r="L76" s="6">
        <f t="shared" si="28"/>
        <v>0</v>
      </c>
      <c r="M76" s="6">
        <f t="shared" si="28"/>
        <v>2.018912443227949E-3</v>
      </c>
      <c r="N76" s="6">
        <f t="shared" si="28"/>
        <v>2.3736110698110269E-4</v>
      </c>
      <c r="O76" s="6">
        <f t="shared" si="28"/>
        <v>3.5625922210328021E-3</v>
      </c>
      <c r="P76" s="6">
        <f t="shared" si="28"/>
        <v>1.2564621668077307E-2</v>
      </c>
      <c r="Q76" s="6" t="str">
        <f t="shared" si="28"/>
        <v/>
      </c>
    </row>
    <row r="77" spans="1:17" ht="15.75" customHeight="1">
      <c r="A77" s="10"/>
      <c r="B77" s="67" t="s">
        <v>137</v>
      </c>
      <c r="C77" s="75">
        <f>C11/C4</f>
        <v>4.0109983114389222E-2</v>
      </c>
      <c r="D77" s="26"/>
      <c r="E77" s="234"/>
      <c r="F77" s="26"/>
      <c r="G77" s="62">
        <f t="shared" ref="G77:Q77" si="29">IF(G$4="","",G11/G$4)</f>
        <v>9.8545259058712684E-2</v>
      </c>
      <c r="H77" s="62">
        <f t="shared" si="29"/>
        <v>2.5087054312073354E-2</v>
      </c>
      <c r="I77" s="62">
        <f t="shared" si="29"/>
        <v>-4.472729870243293E-2</v>
      </c>
      <c r="J77" s="62">
        <f t="shared" si="29"/>
        <v>-0.13612418604044524</v>
      </c>
      <c r="K77" s="62">
        <f t="shared" si="29"/>
        <v>-2.8912114351113131E-2</v>
      </c>
      <c r="L77" s="62">
        <f t="shared" si="29"/>
        <v>7.3486495967010927E-3</v>
      </c>
      <c r="M77" s="62">
        <f t="shared" si="29"/>
        <v>-0.2075641855974415</v>
      </c>
      <c r="N77" s="62">
        <f t="shared" si="29"/>
        <v>-0.13260948300434208</v>
      </c>
      <c r="O77" s="62">
        <f t="shared" si="29"/>
        <v>-0.50288015863213431</v>
      </c>
      <c r="P77" s="62">
        <f t="shared" si="29"/>
        <v>-2.1203144145870891</v>
      </c>
      <c r="Q77" s="62" t="str">
        <f t="shared" si="29"/>
        <v/>
      </c>
    </row>
    <row r="78" spans="1:17" ht="15.75" customHeight="1">
      <c r="A78" s="10"/>
      <c r="B78" s="2" t="s">
        <v>60</v>
      </c>
      <c r="C78" s="74">
        <f>ABS(C12/C$4)</f>
        <v>1.0027495778597306E-2</v>
      </c>
      <c r="D78" s="26"/>
      <c r="E78" s="234"/>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3">
        <f>MIN(BS!C62,MAX(G79:K79))</f>
        <v>0</v>
      </c>
      <c r="D79" s="26"/>
      <c r="E79" s="234"/>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3.0082487335791917E-2</v>
      </c>
      <c r="D80" s="26"/>
      <c r="E80" s="234"/>
      <c r="F80" s="26"/>
      <c r="G80" s="62">
        <f t="shared" ref="G80:Q80" si="32">IF(G$4="","",ABS(G14/G$4))</f>
        <v>9.2092935734152004E-2</v>
      </c>
      <c r="H80" s="62">
        <f t="shared" si="32"/>
        <v>2.4492510499722578E-2</v>
      </c>
      <c r="I80" s="62">
        <f t="shared" si="32"/>
        <v>4.4408169714254861E-2</v>
      </c>
      <c r="J80" s="62">
        <f t="shared" si="32"/>
        <v>0.1359551504876165</v>
      </c>
      <c r="K80" s="62">
        <f t="shared" si="32"/>
        <v>2.6562376545707631E-2</v>
      </c>
      <c r="L80" s="62">
        <f t="shared" si="32"/>
        <v>1.9530695074244479E-3</v>
      </c>
      <c r="M80" s="62">
        <f t="shared" si="32"/>
        <v>0.20759313054283687</v>
      </c>
      <c r="N80" s="62">
        <f t="shared" si="32"/>
        <v>0.13420751474138562</v>
      </c>
      <c r="O80" s="62">
        <f t="shared" si="32"/>
        <v>0.52350699969567283</v>
      </c>
      <c r="P80" s="62">
        <f t="shared" si="32"/>
        <v>2.1174161516289449</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3.0082487335791917E-2</v>
      </c>
      <c r="D85" s="72"/>
      <c r="E85" s="234"/>
      <c r="F85" s="72"/>
      <c r="G85" s="62">
        <f t="shared" ref="G85:Q85" si="35">IF(G$4="","",ABS(G19/G$4))</f>
        <v>9.2092935734152004E-2</v>
      </c>
      <c r="H85" s="62">
        <f t="shared" si="35"/>
        <v>2.4492510499722578E-2</v>
      </c>
      <c r="I85" s="62">
        <f t="shared" si="35"/>
        <v>4.4408169714254861E-2</v>
      </c>
      <c r="J85" s="62">
        <f t="shared" si="35"/>
        <v>0.1359551504876165</v>
      </c>
      <c r="K85" s="62">
        <f t="shared" si="35"/>
        <v>2.6562376545707631E-2</v>
      </c>
      <c r="L85" s="62">
        <f t="shared" si="35"/>
        <v>1.9530695074244479E-3</v>
      </c>
      <c r="M85" s="62">
        <f t="shared" si="35"/>
        <v>0.20759313054283687</v>
      </c>
      <c r="N85" s="62">
        <f t="shared" si="35"/>
        <v>0.13420751474138562</v>
      </c>
      <c r="O85" s="62">
        <f t="shared" si="35"/>
        <v>0.52350699969567283</v>
      </c>
      <c r="P85" s="62">
        <f t="shared" si="35"/>
        <v>2.1174161516289449</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v>
      </c>
      <c r="E88" s="237"/>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7"/>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7"/>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0</v>
      </c>
      <c r="E92" s="237"/>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-0.59297906872930417</v>
      </c>
      <c r="D96" s="26"/>
      <c r="E96" s="234"/>
      <c r="F96" s="26"/>
      <c r="G96" s="6">
        <f t="shared" ref="G96:Q96" si="40">IF(H5="","",G11/H11-1)</f>
        <v>3.791791971729003</v>
      </c>
      <c r="H96" s="6">
        <f t="shared" si="40"/>
        <v>-1.7057046434923944</v>
      </c>
      <c r="I96" s="6">
        <f t="shared" si="40"/>
        <v>-0.59653335185115419</v>
      </c>
      <c r="J96" s="6">
        <f t="shared" si="40"/>
        <v>6.3467928396314015</v>
      </c>
      <c r="K96" s="6">
        <f t="shared" si="40"/>
        <v>-5.6308610400682015</v>
      </c>
      <c r="L96" s="6">
        <f t="shared" si="40"/>
        <v>-1.0529367832163894</v>
      </c>
      <c r="M96" s="6">
        <f t="shared" si="40"/>
        <v>2.0091857752878246</v>
      </c>
      <c r="N96" s="6">
        <f t="shared" si="40"/>
        <v>-0.31115213040660317</v>
      </c>
      <c r="O96" s="6">
        <f t="shared" si="40"/>
        <v>-0.23352937736614321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330198175</v>
      </c>
      <c r="D100" s="25"/>
      <c r="E100" s="238"/>
      <c r="F100" s="25"/>
      <c r="G100" s="270">
        <f t="shared" ref="G100:Q100" si="41">IF(G$4="","",G104+G103)</f>
        <v>330198175</v>
      </c>
      <c r="H100" s="270">
        <f t="shared" si="41"/>
        <v>0</v>
      </c>
      <c r="I100" s="270">
        <f t="shared" si="41"/>
        <v>0</v>
      </c>
      <c r="J100" s="270">
        <f t="shared" si="41"/>
        <v>0</v>
      </c>
      <c r="K100" s="270">
        <f t="shared" si="41"/>
        <v>0</v>
      </c>
      <c r="L100" s="270">
        <f t="shared" si="41"/>
        <v>0</v>
      </c>
      <c r="M100" s="270">
        <f t="shared" si="41"/>
        <v>0</v>
      </c>
      <c r="N100" s="270">
        <f t="shared" si="41"/>
        <v>0</v>
      </c>
      <c r="O100" s="270">
        <f t="shared" si="41"/>
        <v>0</v>
      </c>
      <c r="P100" s="270">
        <f t="shared" si="41"/>
        <v>0</v>
      </c>
      <c r="Q100" s="270" t="str">
        <f t="shared" si="41"/>
        <v/>
      </c>
    </row>
    <row r="101" spans="1:17" ht="15.75" customHeight="1">
      <c r="A101" s="10"/>
      <c r="B101" s="90" t="s">
        <v>179</v>
      </c>
      <c r="C101" s="281">
        <f>BS!C4</f>
        <v>3141262</v>
      </c>
      <c r="D101" s="86"/>
      <c r="E101" s="239"/>
      <c r="F101" s="86"/>
      <c r="G101" s="282">
        <f>IF(G$4="","",Data!D77)</f>
        <v>0</v>
      </c>
      <c r="H101" s="282">
        <f>IF(H$4="","",Data!E77)</f>
        <v>0</v>
      </c>
      <c r="I101" s="282">
        <f>IF(I$4="","",Data!F77)</f>
        <v>0</v>
      </c>
      <c r="J101" s="282">
        <f>IF(J$4="","",Data!G77)</f>
        <v>0</v>
      </c>
      <c r="K101" s="282">
        <f>IF(K$4="","",Data!H77)</f>
        <v>0</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2483059</v>
      </c>
      <c r="D102" s="86"/>
      <c r="E102" s="239"/>
      <c r="F102" s="86"/>
      <c r="G102" s="282">
        <f>IF(G$4="","",Data!D78)</f>
        <v>1734.124</v>
      </c>
      <c r="H102" s="282">
        <f>IF(H$4="","",Data!E78)</f>
        <v>1304.595</v>
      </c>
      <c r="I102" s="282">
        <f>IF(I$4="","",Data!F78)</f>
        <v>1162.7650000000001</v>
      </c>
      <c r="J102" s="282">
        <f>IF(J$4="","",Data!G78)</f>
        <v>681.69299999999998</v>
      </c>
      <c r="K102" s="282">
        <f>IF(K$4="","",Data!H78)</f>
        <v>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145900611</v>
      </c>
      <c r="D103" s="25"/>
      <c r="E103" s="238"/>
      <c r="F103" s="25"/>
      <c r="G103" s="270">
        <f>Data!C79</f>
        <v>145900611</v>
      </c>
      <c r="H103" s="270">
        <f>Data!D79</f>
        <v>0</v>
      </c>
      <c r="I103" s="270">
        <f>Data!E79</f>
        <v>0</v>
      </c>
      <c r="J103" s="270">
        <f>Data!F79</f>
        <v>0</v>
      </c>
      <c r="K103" s="270">
        <f>Data!G79</f>
        <v>0</v>
      </c>
      <c r="L103" s="270">
        <f>Data!H79</f>
        <v>0</v>
      </c>
      <c r="M103" s="270">
        <f>Data!I79</f>
        <v>0</v>
      </c>
      <c r="N103" s="270">
        <f>Data!J79</f>
        <v>0</v>
      </c>
      <c r="O103" s="270">
        <f>Data!K79</f>
        <v>0</v>
      </c>
      <c r="P103" s="270">
        <f>Data!L79</f>
        <v>0</v>
      </c>
      <c r="Q103" s="270" t="str">
        <f>Data!M79</f>
        <v/>
      </c>
    </row>
    <row r="104" spans="1:17" ht="15.75" customHeight="1">
      <c r="A104" s="10"/>
      <c r="B104" s="25" t="s">
        <v>28</v>
      </c>
      <c r="C104" s="280">
        <f>BS!G27</f>
        <v>184297564</v>
      </c>
      <c r="D104" s="25"/>
      <c r="E104" s="238"/>
      <c r="F104" s="25"/>
      <c r="G104" s="270">
        <f>Data!C80</f>
        <v>184297564</v>
      </c>
      <c r="H104" s="270">
        <f>Data!D80</f>
        <v>0</v>
      </c>
      <c r="I104" s="270">
        <f>Data!E80</f>
        <v>0</v>
      </c>
      <c r="J104" s="270">
        <f>Data!F80</f>
        <v>0</v>
      </c>
      <c r="K104" s="270">
        <f>Data!G80</f>
        <v>0</v>
      </c>
      <c r="L104" s="270">
        <f>Data!H80</f>
        <v>0</v>
      </c>
      <c r="M104" s="270">
        <f>Data!I80</f>
        <v>0</v>
      </c>
      <c r="N104" s="270">
        <f>Data!J80</f>
        <v>0</v>
      </c>
      <c r="O104" s="270">
        <f>Data!K80</f>
        <v>0</v>
      </c>
      <c r="P104" s="270">
        <f>Data!L80</f>
        <v>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9.304918200920987E-3</v>
      </c>
      <c r="D107" s="25"/>
      <c r="E107" s="238"/>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7.355216114752817E-3</v>
      </c>
      <c r="D108" s="25"/>
      <c r="E108" s="238"/>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-6.6259897212232214E-3</v>
      </c>
      <c r="H112" s="251" t="e">
        <f>IF(H$4="","",Data!D$22/Data!D15)</f>
        <v>#DIV/0!</v>
      </c>
      <c r="I112" s="251" t="e">
        <f>IF(I$4="","",Data!E$22/Data!E15)</f>
        <v>#DIV/0!</v>
      </c>
      <c r="J112" s="251" t="e">
        <f>IF(J$4="","",Data!F$22/Data!F15)</f>
        <v>#DIV/0!</v>
      </c>
      <c r="K112" s="251" t="e">
        <f>IF(K$4="","",Data!G$22/Data!G15)</f>
        <v>#DIV/0!</v>
      </c>
      <c r="L112" s="251" t="e">
        <f>IF(L$4="","",Data!H$22/Data!H15)</f>
        <v>#DIV/0!</v>
      </c>
      <c r="M112" s="251" t="e">
        <f>IF(M$4="","",Data!I$22/Data!I15)</f>
        <v>#DIV/0!</v>
      </c>
      <c r="N112" s="251" t="e">
        <f>IF(N$4="","",Data!J$22/Data!J15)</f>
        <v>#DIV/0!</v>
      </c>
      <c r="O112" s="251" t="e">
        <f>IF(O$4="","",Data!K$22/Data!K15)</f>
        <v>#DIV/0!</v>
      </c>
      <c r="P112" s="251" t="e">
        <f>IF(P$4="","",Data!L$22/Data!L15)</f>
        <v>#DIV/0!</v>
      </c>
      <c r="Q112" s="251" t="str">
        <f>IF(Q$4="","",Data!M$22/Data!M15)</f>
        <v/>
      </c>
    </row>
    <row r="113" spans="1:17" ht="15.75" customHeight="1">
      <c r="A113" s="10"/>
      <c r="B113" s="2" t="s">
        <v>304</v>
      </c>
      <c r="C113" s="151"/>
      <c r="E113" s="459">
        <f>(Normalized_FCF!E117/Normalized_FCF!C117)^(1/DCF!C15)-1</f>
        <v>0</v>
      </c>
      <c r="G113" s="251">
        <f>IF(G$4="","",Data!C$22/G19)</f>
        <v>-7.6313776622258305E-3</v>
      </c>
      <c r="H113" s="251">
        <f>IF(H$4="","",Data!D$22/H19)</f>
        <v>0</v>
      </c>
      <c r="I113" s="251">
        <f>IF(I$4="","",Data!E$22/I19)</f>
        <v>0</v>
      </c>
      <c r="J113" s="251">
        <f>IF(J$4="","",Data!F$22/J19)</f>
        <v>0</v>
      </c>
      <c r="K113" s="251">
        <f>IF(K$4="","",Data!G$22/K19)</f>
        <v>0</v>
      </c>
      <c r="L113" s="251">
        <f>IF(L$4="","",Data!H$22/L19)</f>
        <v>0</v>
      </c>
      <c r="M113" s="251">
        <f>IF(M$4="","",Data!I$22/M19)</f>
        <v>0</v>
      </c>
      <c r="N113" s="251">
        <f>IF(N$4="","",Data!J$22/N19)</f>
        <v>0</v>
      </c>
      <c r="O113" s="251">
        <f>IF(O$4="","",Data!K$22/O19)</f>
        <v>0</v>
      </c>
      <c r="P113" s="251">
        <f>IF(P$4="","",Data!L$22/P19)</f>
        <v>0</v>
      </c>
      <c r="Q113" s="251" t="str">
        <f>IF(Q$4="","",Data!M$22/Q19)</f>
        <v/>
      </c>
    </row>
    <row r="114" spans="1:17" ht="15.75" customHeight="1">
      <c r="A114" s="10"/>
      <c r="E114" s="237"/>
    </row>
    <row r="115" spans="1:17" ht="15.75" customHeight="1">
      <c r="A115" s="10"/>
      <c r="B115" s="88" t="s">
        <v>36</v>
      </c>
      <c r="C115" s="451" t="s">
        <v>327</v>
      </c>
      <c r="D115" s="52"/>
      <c r="E115" s="451" t="str">
        <f>DCF!F15&amp;"yrs Projection"</f>
        <v>10yrs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4.0109983114389222E-2</v>
      </c>
      <c r="E116" s="22">
        <f>E119/E117/E118</f>
        <v>0.10918374574607279</v>
      </c>
      <c r="G116" s="22">
        <f t="shared" ref="G116:Q116" si="44">IF(G4="","",G77)</f>
        <v>9.8545259058712684E-2</v>
      </c>
      <c r="H116" s="22">
        <f t="shared" si="44"/>
        <v>2.5087054312073354E-2</v>
      </c>
      <c r="I116" s="22">
        <f t="shared" si="44"/>
        <v>-4.472729870243293E-2</v>
      </c>
      <c r="J116" s="22">
        <f t="shared" si="44"/>
        <v>-0.13612418604044524</v>
      </c>
      <c r="K116" s="22">
        <f t="shared" si="44"/>
        <v>-2.8912114351113131E-2</v>
      </c>
      <c r="L116" s="22">
        <f t="shared" si="44"/>
        <v>7.3486495967010927E-3</v>
      </c>
      <c r="M116" s="22">
        <f t="shared" si="44"/>
        <v>-0.2075641855974415</v>
      </c>
      <c r="N116" s="22">
        <f t="shared" si="44"/>
        <v>-0.13260948300434208</v>
      </c>
      <c r="O116" s="22">
        <f t="shared" si="44"/>
        <v>-0.50288015863213431</v>
      </c>
      <c r="P116" s="22">
        <f t="shared" si="44"/>
        <v>-2.1203144145870891</v>
      </c>
      <c r="Q116" s="22" t="str">
        <f t="shared" si="44"/>
        <v/>
      </c>
    </row>
    <row r="117" spans="1:17" ht="15.75" customHeight="1">
      <c r="B117" s="7" t="s">
        <v>80</v>
      </c>
      <c r="C117" s="452">
        <f>G117</f>
        <v>1.022390799101176</v>
      </c>
      <c r="E117" s="452">
        <f>C117</f>
        <v>1.022390799101176</v>
      </c>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15">
        <f>C100/C104</f>
        <v>1.7916578376478161</v>
      </c>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62">
        <f>C11/C104</f>
        <v>7.347244379703273E-2</v>
      </c>
      <c r="D119" s="100"/>
      <c r="E119" s="453">
        <v>0.2</v>
      </c>
      <c r="F119" s="100"/>
      <c r="G119" s="99">
        <f t="shared" ref="G119:Q119" si="47">IF(G$4="","",G11/G104)</f>
        <v>0.18051269149145724</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1.2352100406689235</v>
      </c>
      <c r="D123" s="26"/>
      <c r="E123" s="234"/>
      <c r="F123" s="26"/>
      <c r="G123" s="159">
        <f t="shared" ref="G123:Q123" si="48">IF(G$4="","",G14*$C$3/Common_Shares*Exchange_Rate)</f>
        <v>3.7814066910005373</v>
      </c>
      <c r="H123" s="159">
        <f t="shared" si="48"/>
        <v>0.82441993269776026</v>
      </c>
      <c r="I123" s="159">
        <f t="shared" si="48"/>
        <v>-1.188042781353601</v>
      </c>
      <c r="J123" s="159">
        <f t="shared" si="48"/>
        <v>-2.9620651348034648</v>
      </c>
      <c r="K123" s="159">
        <f t="shared" si="48"/>
        <v>-0.37087154816380702</v>
      </c>
      <c r="L123" s="159">
        <f t="shared" si="48"/>
        <v>2.3167803022824549E-2</v>
      </c>
      <c r="M123" s="159">
        <f t="shared" si="48"/>
        <v>-1.6469397179938263</v>
      </c>
      <c r="N123" s="159">
        <f t="shared" si="48"/>
        <v>-0.55382224642082434</v>
      </c>
      <c r="O123" s="159">
        <f t="shared" si="48"/>
        <v>-0.82699487327116994</v>
      </c>
      <c r="P123" s="159">
        <f t="shared" si="48"/>
        <v>-1.0350355507565141</v>
      </c>
      <c r="Q123" s="159" t="str">
        <f t="shared" si="48"/>
        <v/>
      </c>
    </row>
    <row r="124" spans="1:17" ht="15.75" customHeight="1">
      <c r="A124" s="10"/>
      <c r="B124" s="26" t="s">
        <v>226</v>
      </c>
      <c r="C124" s="74">
        <f>C19*Exchange_Rate*$C$3/(Market_Price*Common_Shares)</f>
        <v>1.4036477734874131E-2</v>
      </c>
      <c r="D124" s="26"/>
      <c r="E124" s="234"/>
      <c r="F124" s="26"/>
      <c r="G124" s="74">
        <f t="shared" ref="G124" si="49">IF(G$4="","",G123/Market_Price)</f>
        <v>4.2970530579551559E-2</v>
      </c>
      <c r="H124" s="74">
        <f t="shared" ref="H124" si="50">IF(H$4="","",H123/Market_Price)</f>
        <v>9.3684083261109125E-3</v>
      </c>
      <c r="I124" s="74">
        <f t="shared" ref="I124" si="51">IF(I$4="","",I123/Market_Price)</f>
        <v>-1.3500486151745466E-2</v>
      </c>
      <c r="J124" s="74">
        <f t="shared" ref="J124" si="52">IF(J$4="","",J123/Market_Price)</f>
        <v>-3.3659831077312102E-2</v>
      </c>
      <c r="K124" s="74">
        <f t="shared" ref="K124" si="53">IF(K$4="","",K123/Market_Price)</f>
        <v>-4.2144494109523523E-3</v>
      </c>
      <c r="L124" s="74">
        <f t="shared" ref="L124" si="54">IF(L$4="","",L123/Market_Price)</f>
        <v>2.6327048889573349E-4</v>
      </c>
      <c r="M124" s="74">
        <f t="shared" ref="M124" si="55">IF(M$4="","",M123/Market_Price)</f>
        <v>-1.8715224068111661E-2</v>
      </c>
      <c r="N124" s="74">
        <f t="shared" ref="N124" si="56">IF(N$4="","",N123/Market_Price)</f>
        <v>-6.2934346184184585E-3</v>
      </c>
      <c r="O124" s="74">
        <f t="shared" ref="O124" si="57">IF(O$4="","",O123/Market_Price)</f>
        <v>-9.3976690144451126E-3</v>
      </c>
      <c r="P124" s="74">
        <f t="shared" ref="P124" si="58">IF(P$4="","",P123/Market_Price)</f>
        <v>-1.1761767622233115E-2</v>
      </c>
      <c r="Q124" s="74" t="str">
        <f t="shared" ref="Q124" si="59">IF(Q$4="","",Q123/Market_Price)</f>
        <v/>
      </c>
    </row>
    <row r="125" spans="1:17" ht="15.75" customHeight="1">
      <c r="B125" s="2" t="s">
        <v>306</v>
      </c>
      <c r="C125" s="151"/>
      <c r="G125" s="22">
        <f>IF(G$4="","",(Data!C47*$C$3)/(Market_Price*Common_Shares))</f>
        <v>4.3920641411529446E-2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J28" sqref="J28:J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10155594.309690032</v>
      </c>
      <c r="D4" t="str">
        <f>Reporting_currency</f>
        <v>CNY</v>
      </c>
      <c r="E4" s="135" t="s">
        <v>431</v>
      </c>
      <c r="F4" s="275">
        <f>-BS!G31</f>
        <v>-50977402</v>
      </c>
      <c r="G4" t="str">
        <f>Reporting_currency</f>
        <v>CNY</v>
      </c>
      <c r="H4" s="308" t="s">
        <v>394</v>
      </c>
      <c r="I4" s="305">
        <f>Normalized_FCF!C4</f>
        <v>337591575.99999994</v>
      </c>
      <c r="J4" s="305"/>
    </row>
    <row r="5" spans="2:15">
      <c r="B5" s="187" t="s">
        <v>105</v>
      </c>
      <c r="C5" s="188">
        <f>Equity_Cost</f>
        <v>8.249999999999999E-2</v>
      </c>
      <c r="E5" s="135" t="s">
        <v>432</v>
      </c>
      <c r="F5" s="275">
        <f>BS!D66</f>
        <v>66024762.846666686</v>
      </c>
      <c r="G5" t="str">
        <f>Reporting_currency</f>
        <v>CNY</v>
      </c>
      <c r="H5" s="308" t="s">
        <v>395</v>
      </c>
      <c r="I5" s="305">
        <f>Normalized_FCF!C7</f>
        <v>-10729203</v>
      </c>
      <c r="J5" s="305"/>
    </row>
    <row r="6" spans="2:15" ht="13.25" customHeight="1">
      <c r="B6" s="136" t="s">
        <v>194</v>
      </c>
      <c r="C6" s="283">
        <f>(C4*(1+Terminal_Growth))/(Equity_Cost-Terminal_Growth)</f>
        <v>165739299.13414136</v>
      </c>
      <c r="D6" t="str">
        <f>Reporting_currency</f>
        <v>CNY</v>
      </c>
      <c r="E6" s="187" t="s">
        <v>433</v>
      </c>
      <c r="F6" s="284">
        <f>BS!H42</f>
        <v>57918846.499999993</v>
      </c>
      <c r="G6" t="str">
        <f>Reporting_currency</f>
        <v>CNY</v>
      </c>
      <c r="H6" s="308" t="s">
        <v>416</v>
      </c>
      <c r="I6" s="305">
        <f>I7+I8</f>
        <v>-2737330.66708</v>
      </c>
      <c r="J6" s="305"/>
      <c r="N6" s="135"/>
    </row>
    <row r="7" spans="2:15" ht="12.75" customHeight="1">
      <c r="B7" s="318" t="s">
        <v>430</v>
      </c>
      <c r="C7" s="275">
        <f>F7</f>
        <v>72966207.346666679</v>
      </c>
      <c r="E7" s="140" t="s">
        <v>424</v>
      </c>
      <c r="F7" s="283">
        <f>SUM(F4:F6)</f>
        <v>72966207.346666679</v>
      </c>
      <c r="G7" t="str">
        <f>Reporting_currency</f>
        <v>CNY</v>
      </c>
      <c r="H7" s="312" t="s">
        <v>417</v>
      </c>
      <c r="I7" s="313">
        <f>Normalized_FCF!C9</f>
        <v>0</v>
      </c>
      <c r="J7" s="313"/>
      <c r="N7" s="304"/>
      <c r="O7" s="304"/>
    </row>
    <row r="8" spans="2:15" ht="13.15">
      <c r="B8" s="136" t="s">
        <v>426</v>
      </c>
      <c r="C8" s="283">
        <f>C6+C7</f>
        <v>238705506.48080802</v>
      </c>
      <c r="D8" t="str">
        <f>Reporting_currency</f>
        <v>CNY</v>
      </c>
      <c r="E8" s="140" t="s">
        <v>464</v>
      </c>
      <c r="F8" s="108">
        <f>FV_adjustments*scaling_factor/Common_Shares*Exchange_Rate</f>
        <v>8.8747727799776719</v>
      </c>
      <c r="G8" s="294" t="str">
        <f>Market_currency</f>
        <v>HKD</v>
      </c>
      <c r="H8" s="314" t="str">
        <f>Normalized_FCF!B10</f>
        <v>Net Interest Income</v>
      </c>
      <c r="I8" s="313">
        <f>Normalized_FCF!C10</f>
        <v>-2737330.66708</v>
      </c>
      <c r="J8" s="313"/>
      <c r="N8" s="304"/>
      <c r="O8" s="304"/>
    </row>
    <row r="9" spans="2:15" ht="13.15" thickBot="1">
      <c r="B9" s="189" t="str">
        <f>"*"&amp;Thesis!E15</f>
        <v>*CNY/HKD</v>
      </c>
      <c r="C9" s="190">
        <f>Exchange_Rate</f>
        <v>1.1268191807746888</v>
      </c>
      <c r="D9" t="str">
        <f>Thesis!E15</f>
        <v>CNY/HKD</v>
      </c>
      <c r="F9" s="322"/>
      <c r="H9" s="308" t="str">
        <f>Normalized_FCF!B79</f>
        <v>NCI’s Share of Profits</v>
      </c>
      <c r="I9" s="144">
        <f>Normalized_FCF!C79</f>
        <v>0</v>
      </c>
      <c r="J9" s="306"/>
      <c r="N9" s="304"/>
      <c r="O9" s="304"/>
    </row>
    <row r="10" spans="2:15" ht="13.5" thickTop="1">
      <c r="B10" s="107" t="s">
        <v>427</v>
      </c>
      <c r="C10" s="283">
        <f>C8*Exchange_Rate</f>
        <v>268977943.25911129</v>
      </c>
      <c r="D10" t="str">
        <f>Market_currency</f>
        <v>HKD</v>
      </c>
      <c r="H10" s="308" t="s">
        <v>397</v>
      </c>
      <c r="I10" s="306">
        <f>Normalized_FCF!C41</f>
        <v>0.25</v>
      </c>
      <c r="N10" s="304"/>
      <c r="O10" s="304"/>
    </row>
    <row r="11" spans="2:15" ht="13.15">
      <c r="B11" s="136" t="s">
        <v>425</v>
      </c>
      <c r="C11" s="108">
        <f>(C10*scaling_factor)/Common_Shares</f>
        <v>29.03340064369451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20</v>
      </c>
      <c r="E15" s="308" t="str">
        <f>IF(F14="II","Change year","Terminal Year")</f>
        <v>Change year</v>
      </c>
      <c r="F15" s="310">
        <f>IF(F14="II",_xlfn.CEILING.MATH(C15/2),C15+1)</f>
        <v>10</v>
      </c>
      <c r="H15" s="97" t="s">
        <v>429</v>
      </c>
      <c r="I15" s="126">
        <f>Terminal_Growth</f>
        <v>0.02</v>
      </c>
      <c r="J15" s="126"/>
    </row>
    <row r="16" spans="2:15" ht="13.25" customHeight="1">
      <c r="B16" s="114" t="s">
        <v>422</v>
      </c>
      <c r="C16" s="147">
        <f>Scenarios!C46</f>
        <v>0.185</v>
      </c>
      <c r="E16" s="308" t="s">
        <v>400</v>
      </c>
      <c r="F16" s="311">
        <f>Scenarios!C41</f>
        <v>9.2499999999999999E-2</v>
      </c>
    </row>
    <row r="17" spans="1:21" ht="13.25" customHeight="1">
      <c r="B17" s="308" t="s">
        <v>548</v>
      </c>
      <c r="C17" s="306">
        <f>Normalized_FCF!C77</f>
        <v>4.0109983114389222E-2</v>
      </c>
      <c r="E17" s="308" t="s">
        <v>549</v>
      </c>
      <c r="F17" s="311">
        <f>Scenarios!C40</f>
        <v>0.10918374574607279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218.93106551769134</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400046017.55999994</v>
      </c>
      <c r="D21" s="299">
        <f t="shared" ref="D21:D50" si="1">IF(A21="",0,IF(A21="I",$C$16,$F$16))</f>
        <v>0.185</v>
      </c>
      <c r="E21" s="299">
        <f>$C$17</f>
        <v>4.0109983114389222E-2</v>
      </c>
      <c r="F21" s="277">
        <f>C21*E21</f>
        <v>16045839.009310251</v>
      </c>
      <c r="G21" s="299">
        <f t="shared" ref="G21:G50" si="2">IF(A21="",0%,IF(A21="I",$C$18,$F$18))</f>
        <v>0</v>
      </c>
      <c r="H21" s="277">
        <f>(F21*(1-$I$10)+C21*(G21-$I$9))</f>
        <v>12034379.256982688</v>
      </c>
      <c r="I21" s="299">
        <f>H21/C4-1</f>
        <v>0.18500000000000005</v>
      </c>
      <c r="J21" s="299">
        <f>H21/C21</f>
        <v>3.0082487335791913E-2</v>
      </c>
      <c r="K21" s="119">
        <f t="shared" ref="K21:K50" si="3">IF($C$15&lt;B21,0,1/(1+Equity_Cost)^B21)</f>
        <v>0.92378752886836024</v>
      </c>
      <c r="L21" s="277">
        <f t="shared" ref="L21:L51" si="4">H21*K21</f>
        <v>11117209.475272691</v>
      </c>
    </row>
    <row r="22" spans="1:21">
      <c r="A22" s="302" t="str">
        <f t="shared" si="0"/>
        <v>I</v>
      </c>
      <c r="B22" s="117">
        <v>2</v>
      </c>
      <c r="C22" s="277">
        <f t="shared" ref="C22:C50" si="5">IF(A22="",0,C21*(1+D22))</f>
        <v>474054530.80859995</v>
      </c>
      <c r="D22" s="299">
        <f t="shared" si="1"/>
        <v>0.185</v>
      </c>
      <c r="E22" s="299">
        <f t="shared" ref="E22:E50" si="6">IF($C$15&lt;B22,0,IF(B22&gt;=$F$15,$F$17,$C$17))</f>
        <v>4.0109983114389222E-2</v>
      </c>
      <c r="F22" s="277">
        <f t="shared" ref="F22:F50" si="7">IF(A22="", 0,C22*E22)</f>
        <v>19014319.226032648</v>
      </c>
      <c r="G22" s="299">
        <f t="shared" si="2"/>
        <v>0</v>
      </c>
      <c r="H22" s="277">
        <f t="shared" ref="H22:H50" si="8">IF(A22="", 0,F22*(1-$I$10)+C22*(G22-$I$9))</f>
        <v>14260739.419524487</v>
      </c>
      <c r="I22" s="299">
        <f t="shared" ref="I22:I50" si="9">IF(A22="", 0,H22/H21-1)</f>
        <v>0.18500000000000028</v>
      </c>
      <c r="J22" s="299">
        <f>IF(A22="", 0,H22/C22)</f>
        <v>3.0082487335791917E-2</v>
      </c>
      <c r="K22" s="119">
        <f t="shared" si="3"/>
        <v>0.85338339849271161</v>
      </c>
      <c r="L22" s="277">
        <f t="shared" si="4"/>
        <v>12169878.270852786</v>
      </c>
    </row>
    <row r="23" spans="1:21">
      <c r="A23" s="302" t="str">
        <f t="shared" si="0"/>
        <v>I</v>
      </c>
      <c r="B23" s="117">
        <v>3</v>
      </c>
      <c r="C23" s="277">
        <f t="shared" si="5"/>
        <v>561754619.00819099</v>
      </c>
      <c r="D23" s="299">
        <f t="shared" si="1"/>
        <v>0.185</v>
      </c>
      <c r="E23" s="299">
        <f t="shared" si="6"/>
        <v>4.0109983114389222E-2</v>
      </c>
      <c r="F23" s="277">
        <f t="shared" si="7"/>
        <v>22531968.28284869</v>
      </c>
      <c r="G23" s="299">
        <f t="shared" si="2"/>
        <v>0</v>
      </c>
      <c r="H23" s="277">
        <f t="shared" si="8"/>
        <v>16898976.212136518</v>
      </c>
      <c r="I23" s="299">
        <f t="shared" si="9"/>
        <v>0.18500000000000005</v>
      </c>
      <c r="J23" s="299">
        <f t="shared" ref="J23:J50" si="10">IF(A23="", 0,H23/C23)</f>
        <v>3.0082487335791917E-2</v>
      </c>
      <c r="K23" s="119">
        <f t="shared" si="3"/>
        <v>0.78834494087086515</v>
      </c>
      <c r="L23" s="277">
        <f t="shared" si="4"/>
        <v>13322222.40273492</v>
      </c>
      <c r="N23" s="275"/>
      <c r="O23" s="275"/>
      <c r="P23" s="275"/>
      <c r="Q23" s="275"/>
      <c r="R23" s="275"/>
      <c r="S23" s="275"/>
      <c r="T23" s="275"/>
      <c r="U23" s="275"/>
    </row>
    <row r="24" spans="1:21">
      <c r="A24" s="302" t="str">
        <f t="shared" si="0"/>
        <v>I</v>
      </c>
      <c r="B24" s="117">
        <v>4</v>
      </c>
      <c r="C24" s="277">
        <f t="shared" si="5"/>
        <v>665679223.52470636</v>
      </c>
      <c r="D24" s="299">
        <f t="shared" si="1"/>
        <v>0.185</v>
      </c>
      <c r="E24" s="299">
        <f t="shared" si="6"/>
        <v>4.0109983114389222E-2</v>
      </c>
      <c r="F24" s="277">
        <f t="shared" si="7"/>
        <v>26700382.415175702</v>
      </c>
      <c r="G24" s="299">
        <f t="shared" si="2"/>
        <v>0</v>
      </c>
      <c r="H24" s="277">
        <f t="shared" si="8"/>
        <v>20025286.811381776</v>
      </c>
      <c r="I24" s="299">
        <f t="shared" si="9"/>
        <v>0.18500000000000005</v>
      </c>
      <c r="J24" s="299">
        <f t="shared" si="10"/>
        <v>3.0082487335791917E-2</v>
      </c>
      <c r="K24" s="119">
        <f t="shared" si="3"/>
        <v>0.72826322482297023</v>
      </c>
      <c r="L24" s="277">
        <f t="shared" si="4"/>
        <v>14583679.951261787</v>
      </c>
      <c r="N24" s="275"/>
      <c r="O24" s="275"/>
      <c r="P24" s="275"/>
      <c r="Q24" s="275"/>
      <c r="R24" s="275"/>
      <c r="S24" s="275"/>
      <c r="T24" s="275"/>
      <c r="U24" s="275"/>
    </row>
    <row r="25" spans="1:21">
      <c r="A25" s="302" t="str">
        <f t="shared" si="0"/>
        <v>I</v>
      </c>
      <c r="B25" s="117">
        <v>5</v>
      </c>
      <c r="C25" s="277">
        <f t="shared" si="5"/>
        <v>788829879.87677705</v>
      </c>
      <c r="D25" s="299">
        <f t="shared" si="1"/>
        <v>0.185</v>
      </c>
      <c r="E25" s="299">
        <f t="shared" si="6"/>
        <v>4.0109983114389222E-2</v>
      </c>
      <c r="F25" s="277">
        <f t="shared" si="7"/>
        <v>31639953.161983207</v>
      </c>
      <c r="G25" s="299">
        <f t="shared" si="2"/>
        <v>0</v>
      </c>
      <c r="H25" s="277">
        <f t="shared" si="8"/>
        <v>23729964.871487405</v>
      </c>
      <c r="I25" s="299">
        <f t="shared" si="9"/>
        <v>0.18500000000000005</v>
      </c>
      <c r="J25" s="299">
        <f t="shared" si="10"/>
        <v>3.0082487335791917E-2</v>
      </c>
      <c r="K25" s="119">
        <f t="shared" si="3"/>
        <v>0.6727604848249148</v>
      </c>
      <c r="L25" s="277">
        <f t="shared" si="4"/>
        <v>15964582.671820063</v>
      </c>
      <c r="N25" s="275"/>
      <c r="O25" s="275"/>
      <c r="P25" s="275"/>
      <c r="Q25" s="275"/>
      <c r="R25" s="275"/>
      <c r="S25" s="275"/>
      <c r="T25" s="275"/>
      <c r="U25" s="275"/>
    </row>
    <row r="26" spans="1:21">
      <c r="A26" s="302" t="str">
        <f t="shared" si="0"/>
        <v>I</v>
      </c>
      <c r="B26" s="117">
        <v>6</v>
      </c>
      <c r="C26" s="277">
        <f t="shared" si="5"/>
        <v>934763407.65398085</v>
      </c>
      <c r="D26" s="299">
        <f t="shared" si="1"/>
        <v>0.185</v>
      </c>
      <c r="E26" s="299">
        <f t="shared" si="6"/>
        <v>4.0109983114389222E-2</v>
      </c>
      <c r="F26" s="277">
        <f t="shared" si="7"/>
        <v>37493344.496950097</v>
      </c>
      <c r="G26" s="299">
        <f t="shared" si="2"/>
        <v>0</v>
      </c>
      <c r="H26" s="277">
        <f t="shared" si="8"/>
        <v>28120008.372712575</v>
      </c>
      <c r="I26" s="299">
        <f t="shared" si="9"/>
        <v>0.18500000000000005</v>
      </c>
      <c r="J26" s="299">
        <f t="shared" si="10"/>
        <v>3.0082487335791917E-2</v>
      </c>
      <c r="K26" s="119">
        <f t="shared" si="3"/>
        <v>0.62148774579668808</v>
      </c>
      <c r="L26" s="277">
        <f t="shared" si="4"/>
        <v>17476240.615341134</v>
      </c>
    </row>
    <row r="27" spans="1:21">
      <c r="A27" s="302" t="str">
        <f t="shared" si="0"/>
        <v>I</v>
      </c>
      <c r="B27" s="117">
        <v>7</v>
      </c>
      <c r="C27" s="277">
        <f t="shared" si="5"/>
        <v>1107694638.0699673</v>
      </c>
      <c r="D27" s="299">
        <f t="shared" si="1"/>
        <v>0.185</v>
      </c>
      <c r="E27" s="299">
        <f t="shared" si="6"/>
        <v>4.0109983114389222E-2</v>
      </c>
      <c r="F27" s="277">
        <f t="shared" si="7"/>
        <v>44429613.228885867</v>
      </c>
      <c r="G27" s="299">
        <f t="shared" si="2"/>
        <v>0</v>
      </c>
      <c r="H27" s="277">
        <f t="shared" si="8"/>
        <v>33322209.921664402</v>
      </c>
      <c r="I27" s="299">
        <f t="shared" si="9"/>
        <v>0.18500000000000005</v>
      </c>
      <c r="J27" s="299">
        <f t="shared" si="10"/>
        <v>3.0082487335791917E-2</v>
      </c>
      <c r="K27" s="119">
        <f t="shared" si="3"/>
        <v>0.57412262891149013</v>
      </c>
      <c r="L27" s="277">
        <f t="shared" si="4"/>
        <v>19131034.761366505</v>
      </c>
    </row>
    <row r="28" spans="1:21">
      <c r="A28" s="302" t="str">
        <f t="shared" si="0"/>
        <v>I</v>
      </c>
      <c r="B28" s="117">
        <v>8</v>
      </c>
      <c r="C28" s="277">
        <f t="shared" si="5"/>
        <v>1312618146.1129112</v>
      </c>
      <c r="D28" s="299">
        <f t="shared" si="1"/>
        <v>0.185</v>
      </c>
      <c r="E28" s="299">
        <f t="shared" si="6"/>
        <v>4.0109983114389222E-2</v>
      </c>
      <c r="F28" s="277">
        <f t="shared" si="7"/>
        <v>52649091.676229753</v>
      </c>
      <c r="G28" s="299">
        <f t="shared" si="2"/>
        <v>0</v>
      </c>
      <c r="H28" s="277">
        <f t="shared" si="8"/>
        <v>39486818.757172316</v>
      </c>
      <c r="I28" s="299">
        <f t="shared" si="9"/>
        <v>0.18500000000000005</v>
      </c>
      <c r="J28" s="299">
        <f t="shared" si="10"/>
        <v>3.0082487335791917E-2</v>
      </c>
      <c r="K28" s="119">
        <f t="shared" si="3"/>
        <v>0.53036732462955216</v>
      </c>
      <c r="L28" s="277">
        <f t="shared" si="4"/>
        <v>20942518.4223735</v>
      </c>
    </row>
    <row r="29" spans="1:21">
      <c r="A29" s="302" t="str">
        <f t="shared" si="0"/>
        <v>I</v>
      </c>
      <c r="B29" s="117">
        <v>9</v>
      </c>
      <c r="C29" s="277">
        <f t="shared" si="5"/>
        <v>1555452503.1437998</v>
      </c>
      <c r="D29" s="299">
        <f t="shared" si="1"/>
        <v>0.185</v>
      </c>
      <c r="E29" s="299">
        <f t="shared" si="6"/>
        <v>4.0109983114389222E-2</v>
      </c>
      <c r="F29" s="277">
        <f t="shared" si="7"/>
        <v>62389173.636332259</v>
      </c>
      <c r="G29" s="299">
        <f t="shared" si="2"/>
        <v>0</v>
      </c>
      <c r="H29" s="277">
        <f t="shared" si="8"/>
        <v>46791880.22724919</v>
      </c>
      <c r="I29" s="299">
        <f t="shared" si="9"/>
        <v>0.18499999999999983</v>
      </c>
      <c r="J29" s="299">
        <f t="shared" si="10"/>
        <v>3.0082487335791913E-2</v>
      </c>
      <c r="K29" s="119">
        <f t="shared" si="3"/>
        <v>0.48994672021205737</v>
      </c>
      <c r="L29" s="277">
        <f t="shared" si="4"/>
        <v>22925528.249896158</v>
      </c>
    </row>
    <row r="30" spans="1:21">
      <c r="A30" s="302" t="str">
        <f t="shared" si="0"/>
        <v>II</v>
      </c>
      <c r="B30" s="117">
        <v>10</v>
      </c>
      <c r="C30" s="277">
        <f t="shared" si="5"/>
        <v>1699331859.6846013</v>
      </c>
      <c r="D30" s="299">
        <f t="shared" si="1"/>
        <v>9.2499999999999999E-2</v>
      </c>
      <c r="E30" s="299">
        <f t="shared" si="6"/>
        <v>0.10918374574607279</v>
      </c>
      <c r="F30" s="277">
        <f t="shared" si="7"/>
        <v>185539417.70600453</v>
      </c>
      <c r="G30" s="299">
        <f t="shared" si="2"/>
        <v>0</v>
      </c>
      <c r="H30" s="277">
        <f t="shared" si="8"/>
        <v>139154563.27950341</v>
      </c>
      <c r="I30" s="299">
        <f t="shared" si="9"/>
        <v>1.9739040748883379</v>
      </c>
      <c r="J30" s="299">
        <f t="shared" si="10"/>
        <v>8.1887809309554582E-2</v>
      </c>
      <c r="K30" s="119">
        <f t="shared" si="3"/>
        <v>0.45260666994185439</v>
      </c>
      <c r="L30" s="277">
        <f t="shared" si="4"/>
        <v>62982283.493149087</v>
      </c>
    </row>
    <row r="31" spans="1:21">
      <c r="A31" s="302" t="str">
        <f t="shared" si="0"/>
        <v>II</v>
      </c>
      <c r="B31" s="117">
        <v>11</v>
      </c>
      <c r="C31" s="277">
        <f t="shared" si="5"/>
        <v>1856520056.7054269</v>
      </c>
      <c r="D31" s="299">
        <f t="shared" si="1"/>
        <v>9.2499999999999999E-2</v>
      </c>
      <c r="E31" s="299">
        <f t="shared" si="6"/>
        <v>0.10918374574607279</v>
      </c>
      <c r="F31" s="277">
        <f t="shared" si="7"/>
        <v>202701813.84380996</v>
      </c>
      <c r="G31" s="299">
        <f t="shared" si="2"/>
        <v>0</v>
      </c>
      <c r="H31" s="277">
        <f t="shared" si="8"/>
        <v>152026360.38285747</v>
      </c>
      <c r="I31" s="299">
        <f t="shared" si="9"/>
        <v>9.2500000000000027E-2</v>
      </c>
      <c r="J31" s="299">
        <f t="shared" si="10"/>
        <v>8.1887809309554582E-2</v>
      </c>
      <c r="K31" s="119">
        <f t="shared" si="3"/>
        <v>0.41811239717492327</v>
      </c>
      <c r="L31" s="277">
        <f t="shared" si="4"/>
        <v>63564105.973455325</v>
      </c>
    </row>
    <row r="32" spans="1:21">
      <c r="A32" s="302" t="str">
        <f t="shared" si="0"/>
        <v>II</v>
      </c>
      <c r="B32" s="117">
        <v>12</v>
      </c>
      <c r="C32" s="277">
        <f t="shared" si="5"/>
        <v>2028248161.9506791</v>
      </c>
      <c r="D32" s="299">
        <f t="shared" si="1"/>
        <v>9.2499999999999999E-2</v>
      </c>
      <c r="E32" s="299">
        <f t="shared" si="6"/>
        <v>0.10918374574607279</v>
      </c>
      <c r="F32" s="277">
        <f t="shared" si="7"/>
        <v>221451731.62436241</v>
      </c>
      <c r="G32" s="299">
        <f t="shared" si="2"/>
        <v>0</v>
      </c>
      <c r="H32" s="277">
        <f t="shared" si="8"/>
        <v>166088798.71827179</v>
      </c>
      <c r="I32" s="299">
        <f t="shared" si="9"/>
        <v>9.2500000000000027E-2</v>
      </c>
      <c r="J32" s="299">
        <f t="shared" si="10"/>
        <v>8.1887809309554582E-2</v>
      </c>
      <c r="K32" s="119">
        <f t="shared" si="3"/>
        <v>0.38624701817544876</v>
      </c>
      <c r="L32" s="277">
        <f t="shared" si="4"/>
        <v>64151303.257274777</v>
      </c>
    </row>
    <row r="33" spans="1:21">
      <c r="A33" s="302" t="str">
        <f t="shared" si="0"/>
        <v>II</v>
      </c>
      <c r="B33" s="117">
        <v>13</v>
      </c>
      <c r="C33" s="277">
        <f t="shared" si="5"/>
        <v>2215861116.9311171</v>
      </c>
      <c r="D33" s="299">
        <f t="shared" si="1"/>
        <v>9.2499999999999999E-2</v>
      </c>
      <c r="E33" s="299">
        <f t="shared" si="6"/>
        <v>0.10918374574607279</v>
      </c>
      <c r="F33" s="277">
        <f t="shared" si="7"/>
        <v>241936016.79961595</v>
      </c>
      <c r="G33" s="299">
        <f t="shared" si="2"/>
        <v>0</v>
      </c>
      <c r="H33" s="277">
        <f t="shared" si="8"/>
        <v>181452012.59971195</v>
      </c>
      <c r="I33" s="299">
        <f t="shared" si="9"/>
        <v>9.2500000000000027E-2</v>
      </c>
      <c r="J33" s="299">
        <f t="shared" si="10"/>
        <v>8.1887809309554582E-2</v>
      </c>
      <c r="K33" s="119">
        <f t="shared" si="3"/>
        <v>0.35681017845307039</v>
      </c>
      <c r="L33" s="277">
        <f t="shared" si="4"/>
        <v>64743924.996371999</v>
      </c>
      <c r="N33" s="275"/>
      <c r="O33" s="275"/>
      <c r="P33" s="275"/>
      <c r="Q33" s="275"/>
      <c r="R33" s="275"/>
      <c r="S33" s="275"/>
      <c r="T33" s="275"/>
      <c r="U33" s="275"/>
    </row>
    <row r="34" spans="1:21">
      <c r="A34" s="302" t="str">
        <f t="shared" si="0"/>
        <v>II</v>
      </c>
      <c r="B34" s="117">
        <v>14</v>
      </c>
      <c r="C34" s="277">
        <f t="shared" si="5"/>
        <v>2420828270.2472453</v>
      </c>
      <c r="D34" s="299">
        <f t="shared" si="1"/>
        <v>9.2499999999999999E-2</v>
      </c>
      <c r="E34" s="299">
        <f t="shared" si="6"/>
        <v>0.10918374574607279</v>
      </c>
      <c r="F34" s="277">
        <f t="shared" si="7"/>
        <v>264315098.35358042</v>
      </c>
      <c r="G34" s="299">
        <f t="shared" si="2"/>
        <v>0</v>
      </c>
      <c r="H34" s="277">
        <f t="shared" si="8"/>
        <v>198236323.7651853</v>
      </c>
      <c r="I34" s="299">
        <f t="shared" si="9"/>
        <v>9.2500000000000027E-2</v>
      </c>
      <c r="J34" s="299">
        <f t="shared" si="10"/>
        <v>8.1887809309554582E-2</v>
      </c>
      <c r="K34" s="119">
        <f t="shared" si="3"/>
        <v>0.32961679302824065</v>
      </c>
      <c r="L34" s="277">
        <f t="shared" si="4"/>
        <v>65342021.301188387</v>
      </c>
      <c r="N34" s="275"/>
      <c r="O34" s="275"/>
      <c r="P34" s="275"/>
      <c r="Q34" s="275"/>
      <c r="R34" s="275"/>
      <c r="S34" s="275"/>
      <c r="T34" s="275"/>
      <c r="U34" s="275"/>
    </row>
    <row r="35" spans="1:21">
      <c r="A35" s="302" t="str">
        <f t="shared" si="0"/>
        <v>II</v>
      </c>
      <c r="B35" s="117">
        <v>15</v>
      </c>
      <c r="C35" s="277">
        <f t="shared" si="5"/>
        <v>2644754885.2451158</v>
      </c>
      <c r="D35" s="299">
        <f t="shared" si="1"/>
        <v>9.2499999999999999E-2</v>
      </c>
      <c r="E35" s="299">
        <f t="shared" si="6"/>
        <v>0.10918374574607279</v>
      </c>
      <c r="F35" s="277">
        <f t="shared" si="7"/>
        <v>288764244.95128661</v>
      </c>
      <c r="G35" s="299">
        <f t="shared" si="2"/>
        <v>0</v>
      </c>
      <c r="H35" s="277">
        <f t="shared" si="8"/>
        <v>216573183.71346498</v>
      </c>
      <c r="I35" s="299">
        <f t="shared" si="9"/>
        <v>9.2500000000000249E-2</v>
      </c>
      <c r="J35" s="299">
        <f t="shared" si="10"/>
        <v>8.1887809309554596E-2</v>
      </c>
      <c r="K35" s="119">
        <f t="shared" si="3"/>
        <v>0.30449588270507216</v>
      </c>
      <c r="L35" s="277">
        <f t="shared" si="4"/>
        <v>65945642.745079279</v>
      </c>
      <c r="N35" s="275"/>
      <c r="O35" s="275"/>
      <c r="P35" s="275"/>
      <c r="Q35" s="275"/>
      <c r="R35" s="275"/>
      <c r="S35" s="275"/>
      <c r="T35" s="275"/>
      <c r="U35" s="275"/>
    </row>
    <row r="36" spans="1:21">
      <c r="A36" s="302" t="str">
        <f t="shared" si="0"/>
        <v>II</v>
      </c>
      <c r="B36" s="117">
        <v>16</v>
      </c>
      <c r="C36" s="277">
        <f t="shared" si="5"/>
        <v>2889394712.1302891</v>
      </c>
      <c r="D36" s="299">
        <f t="shared" si="1"/>
        <v>9.2499999999999999E-2</v>
      </c>
      <c r="E36" s="299">
        <f t="shared" si="6"/>
        <v>0.10918374574607279</v>
      </c>
      <c r="F36" s="277">
        <f t="shared" si="7"/>
        <v>315474937.60928065</v>
      </c>
      <c r="G36" s="299">
        <f t="shared" si="2"/>
        <v>0</v>
      </c>
      <c r="H36" s="277">
        <f t="shared" si="8"/>
        <v>236606203.2069605</v>
      </c>
      <c r="I36" s="299">
        <f t="shared" si="9"/>
        <v>9.2500000000000027E-2</v>
      </c>
      <c r="J36" s="299">
        <f t="shared" si="10"/>
        <v>8.1887809309554596E-2</v>
      </c>
      <c r="K36" s="119">
        <f t="shared" si="3"/>
        <v>0.28128949903470873</v>
      </c>
      <c r="L36" s="277">
        <f t="shared" si="4"/>
        <v>66554840.368590415</v>
      </c>
    </row>
    <row r="37" spans="1:21">
      <c r="A37" s="302" t="str">
        <f t="shared" si="0"/>
        <v>II</v>
      </c>
      <c r="B37" s="117">
        <v>17</v>
      </c>
      <c r="C37" s="277">
        <f t="shared" si="5"/>
        <v>3156663723.0023408</v>
      </c>
      <c r="D37" s="299">
        <f t="shared" si="1"/>
        <v>9.2499999999999999E-2</v>
      </c>
      <c r="E37" s="299">
        <f t="shared" si="6"/>
        <v>0.10918374574607279</v>
      </c>
      <c r="F37" s="277">
        <f t="shared" si="7"/>
        <v>344656369.33813912</v>
      </c>
      <c r="G37" s="299">
        <f t="shared" si="2"/>
        <v>0</v>
      </c>
      <c r="H37" s="277">
        <f t="shared" si="8"/>
        <v>258492277.00360435</v>
      </c>
      <c r="I37" s="299">
        <f t="shared" si="9"/>
        <v>9.2500000000000027E-2</v>
      </c>
      <c r="J37" s="299">
        <f t="shared" si="10"/>
        <v>8.1887809309554596E-2</v>
      </c>
      <c r="K37" s="119">
        <f t="shared" si="3"/>
        <v>0.25985173120989258</v>
      </c>
      <c r="L37" s="277">
        <f t="shared" si="4"/>
        <v>67169665.683773696</v>
      </c>
    </row>
    <row r="38" spans="1:21">
      <c r="A38" s="302" t="str">
        <f t="shared" si="0"/>
        <v>II</v>
      </c>
      <c r="B38" s="117">
        <v>18</v>
      </c>
      <c r="C38" s="277">
        <f t="shared" si="5"/>
        <v>3448655117.3800573</v>
      </c>
      <c r="D38" s="299">
        <f t="shared" si="1"/>
        <v>9.2499999999999999E-2</v>
      </c>
      <c r="E38" s="299">
        <f t="shared" si="6"/>
        <v>0.10918374574607279</v>
      </c>
      <c r="F38" s="277">
        <f t="shared" si="7"/>
        <v>376537083.501917</v>
      </c>
      <c r="G38" s="299">
        <f t="shared" si="2"/>
        <v>0</v>
      </c>
      <c r="H38" s="277">
        <f t="shared" si="8"/>
        <v>282402812.62643778</v>
      </c>
      <c r="I38" s="299">
        <f t="shared" si="9"/>
        <v>9.2500000000000027E-2</v>
      </c>
      <c r="J38" s="299">
        <f t="shared" si="10"/>
        <v>8.188780930955461E-2</v>
      </c>
      <c r="K38" s="119">
        <f t="shared" si="3"/>
        <v>0.24004778864655205</v>
      </c>
      <c r="L38" s="277">
        <f t="shared" si="4"/>
        <v>67790170.678542972</v>
      </c>
    </row>
    <row r="39" spans="1:21">
      <c r="A39" s="302" t="str">
        <f t="shared" si="0"/>
        <v>II</v>
      </c>
      <c r="B39" s="117">
        <v>19</v>
      </c>
      <c r="C39" s="277">
        <f t="shared" si="5"/>
        <v>3767655715.7377129</v>
      </c>
      <c r="D39" s="299">
        <f t="shared" si="1"/>
        <v>9.2499999999999999E-2</v>
      </c>
      <c r="E39" s="299">
        <f t="shared" si="6"/>
        <v>0.10918374574607279</v>
      </c>
      <c r="F39" s="277">
        <f t="shared" si="7"/>
        <v>411366763.72584432</v>
      </c>
      <c r="G39" s="299">
        <f t="shared" si="2"/>
        <v>0</v>
      </c>
      <c r="H39" s="277">
        <f t="shared" si="8"/>
        <v>308525072.79438323</v>
      </c>
      <c r="I39" s="299">
        <f t="shared" si="9"/>
        <v>9.2499999999999805E-2</v>
      </c>
      <c r="J39" s="299">
        <f t="shared" si="10"/>
        <v>8.1887809309554582E-2</v>
      </c>
      <c r="K39" s="119">
        <f t="shared" si="3"/>
        <v>0.2217531534841127</v>
      </c>
      <c r="L39" s="277">
        <f t="shared" si="4"/>
        <v>68416407.821069911</v>
      </c>
    </row>
    <row r="40" spans="1:21">
      <c r="A40" s="302" t="str">
        <f t="shared" si="0"/>
        <v>II</v>
      </c>
      <c r="B40" s="117">
        <v>20</v>
      </c>
      <c r="C40" s="277">
        <f t="shared" si="5"/>
        <v>4116163869.4434514</v>
      </c>
      <c r="D40" s="299">
        <f t="shared" si="1"/>
        <v>9.2499999999999999E-2</v>
      </c>
      <c r="E40" s="299">
        <f t="shared" si="6"/>
        <v>0.10918374574607279</v>
      </c>
      <c r="F40" s="277">
        <f t="shared" si="7"/>
        <v>449418189.37048495</v>
      </c>
      <c r="G40" s="299">
        <f t="shared" si="2"/>
        <v>0</v>
      </c>
      <c r="H40" s="277">
        <f t="shared" si="8"/>
        <v>337063642.02786374</v>
      </c>
      <c r="I40" s="299">
        <f t="shared" si="9"/>
        <v>9.2500000000000249E-2</v>
      </c>
      <c r="J40" s="299">
        <f t="shared" si="10"/>
        <v>8.1887809309554596E-2</v>
      </c>
      <c r="K40" s="119">
        <f t="shared" si="3"/>
        <v>0.20485279767585476</v>
      </c>
      <c r="L40" s="277">
        <f t="shared" si="4"/>
        <v>69048430.064220712</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21</v>
      </c>
      <c r="C51" s="277">
        <f>VLOOKUP(C15,B21:C50,2,FALSE)*(1+Terminal_Growth)</f>
        <v>4198487146.8323207</v>
      </c>
      <c r="D51" s="301">
        <f>Terminal_Growth</f>
        <v>0.02</v>
      </c>
      <c r="E51" s="301">
        <f>F17</f>
        <v>0.10918374574607279</v>
      </c>
      <c r="F51" s="277">
        <f>C51*E51</f>
        <v>458406553.15789467</v>
      </c>
      <c r="G51" s="299">
        <f>F18</f>
        <v>0</v>
      </c>
      <c r="H51" s="277">
        <f>(F51*(1-$I$10)+C51*(G51-$I$9))/Equity_Cost</f>
        <v>4167332301.4354067</v>
      </c>
      <c r="I51" s="415">
        <f>(F51*(1-$I$10)+C51*(G51-$I$9))/VLOOKUP(C15,B21:H50,COLUMN(H20)-1,FALSE)-1</f>
        <v>2.0000000000000018E-2</v>
      </c>
      <c r="J51" s="454"/>
      <c r="K51" s="119">
        <f>1/(1+Equity_Cost)^C15</f>
        <v>0.20485279767585476</v>
      </c>
      <c r="L51" s="277">
        <f t="shared" si="4"/>
        <v>853689680.79400158</v>
      </c>
    </row>
    <row r="52" spans="1:21" ht="13.15">
      <c r="G52" s="111"/>
      <c r="H52" s="111"/>
      <c r="I52" s="111"/>
      <c r="J52" s="468" t="s">
        <v>420</v>
      </c>
      <c r="K52" s="468"/>
      <c r="L52" s="317">
        <f>SUM(L21:L51)</f>
        <v>1727031371.9976377</v>
      </c>
    </row>
    <row r="53" spans="1:21">
      <c r="C53" s="111"/>
    </row>
    <row r="54" spans="1:21" ht="13.15">
      <c r="B54" s="115" t="s">
        <v>108</v>
      </c>
      <c r="C54" s="128"/>
      <c r="D54" s="128"/>
      <c r="E54" s="113"/>
      <c r="F54" s="113"/>
      <c r="G54" s="113"/>
      <c r="H54" s="113"/>
      <c r="I54" s="113"/>
      <c r="J54" s="113"/>
      <c r="K54" s="113"/>
      <c r="L54" s="113"/>
    </row>
    <row r="55" spans="1:21" ht="13.15">
      <c r="A55" s="125">
        <f>L52</f>
        <v>1727031371.9976377</v>
      </c>
      <c r="B55" s="123">
        <f>C94</f>
        <v>0</v>
      </c>
      <c r="C55" s="123">
        <f>C93</f>
        <v>0.05</v>
      </c>
      <c r="D55" s="123">
        <f>C92</f>
        <v>0.1</v>
      </c>
      <c r="E55" s="123">
        <f>C91</f>
        <v>0.2</v>
      </c>
      <c r="F55" s="123">
        <f>C90</f>
        <v>0.25</v>
      </c>
      <c r="G55" s="123"/>
      <c r="H55" s="123"/>
      <c r="I55" s="123"/>
      <c r="J55" s="123"/>
      <c r="K55" s="123"/>
      <c r="L55" s="123"/>
    </row>
    <row r="56" spans="1:21" ht="13.15">
      <c r="A56" s="131">
        <v>1</v>
      </c>
      <c r="B56" s="118">
        <f t="dataTable" ref="B56:F69" dt2D="1" dtr="1" r1="C16" r2="C15"/>
        <v>325121296.91426343</v>
      </c>
      <c r="C56" s="118">
        <v>333249329.33711988</v>
      </c>
      <c r="D56" s="118">
        <v>341377361.75997651</v>
      </c>
      <c r="E56" s="118">
        <v>357633426.6056897</v>
      </c>
      <c r="F56" s="118">
        <v>365761459.02854633</v>
      </c>
      <c r="G56" s="295"/>
      <c r="H56" s="295"/>
      <c r="I56" s="295"/>
      <c r="J56" s="295"/>
      <c r="K56" s="295"/>
      <c r="L56" s="295"/>
    </row>
    <row r="57" spans="1:21" ht="13.15">
      <c r="A57" s="131">
        <v>2</v>
      </c>
      <c r="B57" s="118">
        <v>324649467.46976262</v>
      </c>
      <c r="C57" s="118">
        <v>340844442.96902364</v>
      </c>
      <c r="D57" s="118">
        <v>357433503.28840756</v>
      </c>
      <c r="E57" s="118">
        <v>391793878.38754362</v>
      </c>
      <c r="F57" s="118">
        <v>409565193.16729587</v>
      </c>
      <c r="G57" s="295"/>
      <c r="H57" s="295"/>
      <c r="I57" s="295"/>
      <c r="J57" s="295"/>
      <c r="K57" s="295"/>
      <c r="L57" s="295"/>
    </row>
    <row r="58" spans="1:21" ht="13.15">
      <c r="A58" s="131">
        <v>3</v>
      </c>
      <c r="B58" s="118">
        <v>324213597.31317997</v>
      </c>
      <c r="C58" s="118">
        <v>356524806.88199443</v>
      </c>
      <c r="D58" s="118">
        <v>390769855.9384222</v>
      </c>
      <c r="E58" s="118">
        <v>465279902.89940476</v>
      </c>
      <c r="F58" s="118">
        <v>505654115.99660337</v>
      </c>
      <c r="G58" s="295"/>
      <c r="H58" s="295"/>
      <c r="I58" s="295"/>
      <c r="J58" s="295"/>
      <c r="K58" s="295"/>
      <c r="L58" s="295"/>
    </row>
    <row r="59" spans="1:21" ht="13.15">
      <c r="A59" s="131">
        <v>4</v>
      </c>
      <c r="B59" s="118">
        <v>323810945.898323</v>
      </c>
      <c r="C59" s="118">
        <v>363500568.48621547</v>
      </c>
      <c r="D59" s="118">
        <v>406595717.47938764</v>
      </c>
      <c r="E59" s="118">
        <v>503760493.31445599</v>
      </c>
      <c r="F59" s="118">
        <v>558221680.92691195</v>
      </c>
      <c r="G59" s="295"/>
      <c r="H59" s="295"/>
      <c r="I59" s="295"/>
      <c r="J59" s="295"/>
      <c r="K59" s="295"/>
      <c r="L59" s="295"/>
    </row>
    <row r="60" spans="1:21" ht="13.15">
      <c r="A60" s="131">
        <v>5</v>
      </c>
      <c r="B60" s="118">
        <v>308514124.90347624</v>
      </c>
      <c r="C60" s="118">
        <v>362437848.43944651</v>
      </c>
      <c r="D60" s="118">
        <v>423488630.91730756</v>
      </c>
      <c r="E60" s="118">
        <v>569699127.15840673</v>
      </c>
      <c r="F60" s="118">
        <v>656324798.19469059</v>
      </c>
      <c r="G60" s="295"/>
      <c r="H60" s="295"/>
      <c r="I60" s="295"/>
      <c r="J60" s="295"/>
      <c r="K60" s="295"/>
      <c r="L60" s="295"/>
    </row>
    <row r="61" spans="1:21" ht="13.15">
      <c r="A61" s="131">
        <v>6</v>
      </c>
      <c r="B61" s="118">
        <v>308170508.87065774</v>
      </c>
      <c r="C61" s="118">
        <v>368844763.76912934</v>
      </c>
      <c r="D61" s="118">
        <v>439087515.18662679</v>
      </c>
      <c r="E61" s="118">
        <v>613046207.230618</v>
      </c>
      <c r="F61" s="118">
        <v>719409577.0847559</v>
      </c>
      <c r="G61" s="295"/>
      <c r="H61" s="295"/>
      <c r="I61" s="295"/>
      <c r="J61" s="295"/>
      <c r="K61" s="295"/>
      <c r="L61" s="295"/>
    </row>
    <row r="62" spans="1:21" ht="13.15">
      <c r="A62" s="131">
        <v>7</v>
      </c>
      <c r="B62" s="118">
        <v>294065684.23126817</v>
      </c>
      <c r="C62" s="118">
        <v>367621594.44134903</v>
      </c>
      <c r="D62" s="118">
        <v>456505700.1810149</v>
      </c>
      <c r="E62" s="118">
        <v>690847262.67747784</v>
      </c>
      <c r="F62" s="118">
        <v>842454008.53862143</v>
      </c>
      <c r="G62" s="295"/>
      <c r="H62" s="295"/>
      <c r="I62" s="295"/>
      <c r="J62" s="295"/>
      <c r="K62" s="295"/>
      <c r="L62" s="295"/>
    </row>
    <row r="63" spans="1:21" ht="13.15">
      <c r="A63" s="131">
        <v>8</v>
      </c>
      <c r="B63" s="118">
        <v>293772448.01340491</v>
      </c>
      <c r="C63" s="118">
        <v>373506050.70156354</v>
      </c>
      <c r="D63" s="118">
        <v>471880862.5263803</v>
      </c>
      <c r="E63" s="118">
        <v>739676278.3064003</v>
      </c>
      <c r="F63" s="118">
        <v>918160184.63569725</v>
      </c>
      <c r="G63" s="295"/>
      <c r="H63" s="295"/>
      <c r="I63" s="295"/>
      <c r="J63" s="295"/>
      <c r="K63" s="295"/>
      <c r="L63" s="295"/>
    </row>
    <row r="64" spans="1:21" ht="13.15">
      <c r="A64" s="131">
        <v>9</v>
      </c>
      <c r="B64" s="118">
        <v>280764935.17145026</v>
      </c>
      <c r="C64" s="118">
        <v>372142935.11484182</v>
      </c>
      <c r="D64" s="118">
        <v>489829194.01355875</v>
      </c>
      <c r="E64" s="118">
        <v>831222399.20490384</v>
      </c>
      <c r="F64" s="118">
        <v>1071958174.3018329</v>
      </c>
      <c r="G64" s="295"/>
      <c r="H64" s="295"/>
      <c r="I64" s="295"/>
      <c r="J64" s="295"/>
      <c r="K64" s="295"/>
      <c r="L64" s="295"/>
    </row>
    <row r="65" spans="1:21" ht="13.15">
      <c r="A65" s="131">
        <v>10</v>
      </c>
      <c r="B65" s="118">
        <v>280514692.25128901</v>
      </c>
      <c r="C65" s="118">
        <v>377547536.8141892</v>
      </c>
      <c r="D65" s="118">
        <v>504983843.09389687</v>
      </c>
      <c r="E65" s="118">
        <v>886226629.32415557</v>
      </c>
      <c r="F65" s="118">
        <v>1162810915.6458163</v>
      </c>
      <c r="G65" s="295"/>
      <c r="H65" s="295"/>
      <c r="I65" s="295"/>
      <c r="J65" s="295"/>
      <c r="K65" s="295"/>
      <c r="L65" s="295"/>
    </row>
    <row r="66" spans="1:21" ht="13.15">
      <c r="A66" s="131">
        <v>15</v>
      </c>
      <c r="B66" s="118">
        <v>246846080.5647696</v>
      </c>
      <c r="C66" s="277">
        <v>382319046.17335439</v>
      </c>
      <c r="D66" s="118">
        <v>591720797.91102254</v>
      </c>
      <c r="E66" s="118">
        <v>1398357295.8305826</v>
      </c>
      <c r="F66" s="118">
        <v>2127798316.6343429</v>
      </c>
      <c r="G66" s="295"/>
      <c r="H66" s="295"/>
      <c r="I66" s="295"/>
      <c r="J66" s="295"/>
      <c r="K66" s="295"/>
      <c r="L66" s="295"/>
      <c r="M66" s="275"/>
      <c r="N66" s="275"/>
      <c r="O66" s="275"/>
      <c r="P66" s="275"/>
      <c r="Q66" s="275"/>
      <c r="R66" s="275"/>
      <c r="S66" s="275"/>
      <c r="T66" s="275"/>
      <c r="U66" s="275"/>
    </row>
    <row r="67" spans="1:21" ht="13.15">
      <c r="A67" s="132">
        <v>20</v>
      </c>
      <c r="B67" s="118">
        <v>228333986.11338997</v>
      </c>
      <c r="C67" s="277">
        <v>390314789.68452591</v>
      </c>
      <c r="D67" s="118">
        <v>675432210.82301211</v>
      </c>
      <c r="E67" s="118">
        <v>2036704615.061543</v>
      </c>
      <c r="F67" s="118">
        <v>3515604403.0330386</v>
      </c>
      <c r="G67" s="295"/>
      <c r="H67" s="295"/>
      <c r="I67" s="295"/>
      <c r="J67" s="295"/>
      <c r="K67" s="295"/>
      <c r="L67" s="295"/>
      <c r="M67" s="275"/>
      <c r="N67" s="275"/>
      <c r="O67" s="275"/>
      <c r="P67" s="275"/>
      <c r="Q67" s="275"/>
      <c r="R67" s="275"/>
      <c r="S67" s="275"/>
      <c r="T67" s="275"/>
      <c r="U67" s="275"/>
    </row>
    <row r="68" spans="1:21" ht="13.15">
      <c r="A68" s="132">
        <v>25</v>
      </c>
      <c r="B68" s="118">
        <v>205901598.92651832</v>
      </c>
      <c r="C68" s="277">
        <v>390820551.59649181</v>
      </c>
      <c r="D68" s="118">
        <v>768452733.47411966</v>
      </c>
      <c r="E68" s="118">
        <v>3090537756.1502247</v>
      </c>
      <c r="F68" s="118">
        <v>6191939362.3591433</v>
      </c>
      <c r="G68" s="295"/>
      <c r="H68" s="295"/>
      <c r="I68" s="295"/>
      <c r="J68" s="295"/>
      <c r="K68" s="295"/>
      <c r="L68" s="295"/>
      <c r="M68" s="275"/>
      <c r="N68" s="275"/>
      <c r="O68" s="275"/>
      <c r="P68" s="275"/>
      <c r="Q68" s="275"/>
      <c r="R68" s="275"/>
      <c r="S68" s="275"/>
      <c r="T68" s="275"/>
      <c r="U68" s="275"/>
    </row>
    <row r="69" spans="1:21" ht="13.15">
      <c r="A69" s="132">
        <v>30</v>
      </c>
      <c r="B69" s="118">
        <v>193594407.82566449</v>
      </c>
      <c r="C69" s="277">
        <v>394432575.03761065</v>
      </c>
      <c r="D69" s="118">
        <v>854885052.81203067</v>
      </c>
      <c r="E69" s="118">
        <v>4355896034.4480495</v>
      </c>
      <c r="F69" s="118">
        <v>9907282973.1571465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0.1</v>
      </c>
      <c r="E72" s="124">
        <f>E55</f>
        <v>0.2</v>
      </c>
      <c r="F72" s="124">
        <f>F55</f>
        <v>0.25</v>
      </c>
      <c r="G72" s="124"/>
      <c r="H72" s="124"/>
      <c r="I72" s="124"/>
      <c r="J72" s="124"/>
      <c r="K72" s="124"/>
      <c r="L72" s="124"/>
    </row>
    <row r="73" spans="1:21" ht="13.15">
      <c r="A73" s="131">
        <v>0</v>
      </c>
      <c r="B73" s="119">
        <f>C11</f>
        <v>29.03340064369451</v>
      </c>
      <c r="C73" s="119">
        <f>C11</f>
        <v>29.03340064369451</v>
      </c>
      <c r="D73" s="119">
        <f>C11</f>
        <v>29.03340064369451</v>
      </c>
      <c r="E73" s="119">
        <f>C11</f>
        <v>29.03340064369451</v>
      </c>
      <c r="F73" s="119">
        <f>C11</f>
        <v>29.03340064369451</v>
      </c>
      <c r="G73" s="296"/>
      <c r="H73" s="296"/>
      <c r="I73" s="296"/>
      <c r="J73" s="296"/>
      <c r="K73" s="296"/>
      <c r="L73" s="296"/>
    </row>
    <row r="74" spans="1:21" ht="13.15">
      <c r="A74" s="131">
        <v>1</v>
      </c>
      <c r="B74" s="119">
        <f t="shared" ref="B74:F87" si="11">(B56+FV_adjustments)/Common_Shares*scaling_factor*Exchange_Rate</f>
        <v>48.418799267981193</v>
      </c>
      <c r="C74" s="119">
        <f t="shared" si="11"/>
        <v>49.407399930181263</v>
      </c>
      <c r="D74" s="119">
        <f t="shared" si="11"/>
        <v>50.396000592381363</v>
      </c>
      <c r="E74" s="119">
        <f t="shared" si="11"/>
        <v>52.373201916781539</v>
      </c>
      <c r="F74" s="119">
        <f t="shared" si="11"/>
        <v>53.361802578981631</v>
      </c>
      <c r="G74" s="296"/>
      <c r="H74" s="296"/>
      <c r="I74" s="296"/>
      <c r="J74" s="296"/>
      <c r="K74" s="296"/>
      <c r="L74" s="296"/>
    </row>
    <row r="75" spans="1:21" ht="13.15">
      <c r="A75" s="131">
        <v>2</v>
      </c>
      <c r="B75" s="119">
        <f t="shared" si="11"/>
        <v>48.361411344679198</v>
      </c>
      <c r="C75" s="119">
        <f t="shared" si="11"/>
        <v>50.331182461470199</v>
      </c>
      <c r="D75" s="119">
        <f t="shared" si="11"/>
        <v>52.348885536928208</v>
      </c>
      <c r="E75" s="119">
        <f t="shared" si="11"/>
        <v>56.528087563845204</v>
      </c>
      <c r="F75" s="119">
        <f t="shared" si="11"/>
        <v>58.689586515304207</v>
      </c>
      <c r="G75" s="296"/>
      <c r="H75" s="296"/>
      <c r="I75" s="296"/>
      <c r="J75" s="296"/>
      <c r="K75" s="296"/>
      <c r="L75" s="296"/>
    </row>
    <row r="76" spans="1:21" ht="13.15">
      <c r="A76" s="131">
        <v>3</v>
      </c>
      <c r="B76" s="119">
        <f t="shared" si="11"/>
        <v>48.308397096825182</v>
      </c>
      <c r="C76" s="119">
        <f t="shared" si="11"/>
        <v>52.238362125801963</v>
      </c>
      <c r="D76" s="119">
        <f t="shared" si="11"/>
        <v>56.403537215293149</v>
      </c>
      <c r="E76" s="119">
        <f t="shared" si="11"/>
        <v>65.466084943209211</v>
      </c>
      <c r="F76" s="119">
        <f t="shared" si="11"/>
        <v>70.376741265329329</v>
      </c>
      <c r="G76" s="296"/>
      <c r="H76" s="296"/>
      <c r="I76" s="296"/>
      <c r="J76" s="296"/>
      <c r="K76" s="296"/>
      <c r="L76" s="296"/>
    </row>
    <row r="77" spans="1:21" ht="13.15">
      <c r="A77" s="131">
        <v>4</v>
      </c>
      <c r="B77" s="119">
        <f t="shared" si="11"/>
        <v>48.25942319580529</v>
      </c>
      <c r="C77" s="119">
        <f t="shared" si="11"/>
        <v>53.086813778367983</v>
      </c>
      <c r="D77" s="119">
        <f t="shared" si="11"/>
        <v>58.328413542716412</v>
      </c>
      <c r="E77" s="119">
        <f t="shared" si="11"/>
        <v>70.146422715877719</v>
      </c>
      <c r="F77" s="119">
        <f t="shared" si="11"/>
        <v>76.770457086911264</v>
      </c>
      <c r="G77" s="296"/>
      <c r="H77" s="296"/>
      <c r="I77" s="296"/>
      <c r="J77" s="296"/>
      <c r="K77" s="296"/>
      <c r="L77" s="296"/>
    </row>
    <row r="78" spans="1:21" ht="13.15">
      <c r="A78" s="131">
        <v>5</v>
      </c>
      <c r="B78" s="119">
        <f t="shared" si="11"/>
        <v>46.39889329406224</v>
      </c>
      <c r="C78" s="119">
        <f t="shared" si="11"/>
        <v>52.957556697771849</v>
      </c>
      <c r="D78" s="119">
        <f t="shared" si="11"/>
        <v>60.383073827320317</v>
      </c>
      <c r="E78" s="119">
        <f t="shared" si="11"/>
        <v>78.166442038067984</v>
      </c>
      <c r="F78" s="119">
        <f t="shared" si="11"/>
        <v>88.702595352266954</v>
      </c>
      <c r="G78" s="296"/>
      <c r="H78" s="296"/>
      <c r="I78" s="296"/>
      <c r="J78" s="296"/>
      <c r="K78" s="296"/>
      <c r="L78" s="296"/>
    </row>
    <row r="79" spans="1:21" ht="13.15">
      <c r="A79" s="131">
        <v>6</v>
      </c>
      <c r="B79" s="119">
        <f t="shared" si="11"/>
        <v>46.357099779972444</v>
      </c>
      <c r="C79" s="119">
        <f t="shared" si="11"/>
        <v>53.736820412293099</v>
      </c>
      <c r="D79" s="119">
        <f t="shared" si="11"/>
        <v>62.280343242101004</v>
      </c>
      <c r="E79" s="119">
        <f t="shared" si="11"/>
        <v>83.43868381005241</v>
      </c>
      <c r="F79" s="119">
        <f t="shared" si="11"/>
        <v>96.375504482167614</v>
      </c>
      <c r="G79" s="296"/>
      <c r="H79" s="296"/>
      <c r="I79" s="296"/>
      <c r="J79" s="296"/>
      <c r="K79" s="296"/>
      <c r="L79" s="296"/>
    </row>
    <row r="80" spans="1:21" ht="13.15">
      <c r="A80" s="131">
        <f t="shared" ref="A80" si="12">A62</f>
        <v>7</v>
      </c>
      <c r="B80" s="119">
        <f t="shared" si="11"/>
        <v>44.641550646641591</v>
      </c>
      <c r="C80" s="119">
        <f t="shared" si="11"/>
        <v>53.588048120978655</v>
      </c>
      <c r="D80" s="119">
        <f t="shared" si="11"/>
        <v>64.398891535701921</v>
      </c>
      <c r="E80" s="119">
        <f t="shared" si="11"/>
        <v>92.901512073180825</v>
      </c>
      <c r="F80" s="119">
        <f t="shared" si="11"/>
        <v>111.34121821053067</v>
      </c>
      <c r="G80" s="296"/>
      <c r="H80" s="296"/>
      <c r="I80" s="296"/>
      <c r="J80" s="296"/>
      <c r="K80" s="296"/>
      <c r="L80" s="296"/>
    </row>
    <row r="81" spans="1:12" ht="13.15">
      <c r="A81" s="131">
        <v>8</v>
      </c>
      <c r="B81" s="119">
        <f t="shared" si="11"/>
        <v>44.605884755552701</v>
      </c>
      <c r="C81" s="119">
        <f t="shared" si="11"/>
        <v>54.303765905171623</v>
      </c>
      <c r="D81" s="119">
        <f t="shared" si="11"/>
        <v>66.268949981005235</v>
      </c>
      <c r="E81" s="119">
        <f t="shared" si="11"/>
        <v>98.840513626568566</v>
      </c>
      <c r="F81" s="119">
        <f t="shared" si="11"/>
        <v>120.54924937090613</v>
      </c>
      <c r="G81" s="296"/>
      <c r="H81" s="296"/>
      <c r="I81" s="296"/>
      <c r="J81" s="296"/>
      <c r="K81" s="296"/>
      <c r="L81" s="296"/>
    </row>
    <row r="82" spans="1:12" ht="13.15">
      <c r="A82" s="131">
        <f t="shared" ref="A82" si="13">A64</f>
        <v>9</v>
      </c>
      <c r="B82" s="119">
        <f t="shared" si="11"/>
        <v>43.023800046715721</v>
      </c>
      <c r="C82" s="119">
        <f t="shared" si="11"/>
        <v>54.137972155641428</v>
      </c>
      <c r="D82" s="119">
        <f t="shared" si="11"/>
        <v>68.45197921495793</v>
      </c>
      <c r="E82" s="119">
        <f t="shared" si="11"/>
        <v>109.9751340406814</v>
      </c>
      <c r="F82" s="119">
        <f t="shared" si="11"/>
        <v>139.25547327835801</v>
      </c>
      <c r="G82" s="296"/>
      <c r="H82" s="296"/>
      <c r="I82" s="296"/>
      <c r="J82" s="296"/>
      <c r="K82" s="296"/>
      <c r="L82" s="296"/>
    </row>
    <row r="83" spans="1:12" ht="13.15">
      <c r="A83" s="131">
        <f t="shared" ref="A83:A87" si="14">A65</f>
        <v>10</v>
      </c>
      <c r="B83" s="119">
        <f t="shared" si="11"/>
        <v>42.993363367368019</v>
      </c>
      <c r="C83" s="119">
        <f t="shared" si="11"/>
        <v>54.795325933399219</v>
      </c>
      <c r="D83" s="119">
        <f t="shared" si="11"/>
        <v>70.295216955262973</v>
      </c>
      <c r="E83" s="119">
        <f t="shared" si="11"/>
        <v>116.66521787533563</v>
      </c>
      <c r="F83" s="119">
        <f t="shared" si="11"/>
        <v>150.30575895423493</v>
      </c>
      <c r="G83" s="296"/>
      <c r="H83" s="296"/>
      <c r="I83" s="296"/>
      <c r="J83" s="296"/>
      <c r="K83" s="296"/>
      <c r="L83" s="296"/>
    </row>
    <row r="84" spans="1:12" ht="13.15">
      <c r="A84" s="131">
        <f t="shared" si="14"/>
        <v>15</v>
      </c>
      <c r="B84" s="119">
        <f t="shared" si="11"/>
        <v>38.898299509717596</v>
      </c>
      <c r="C84" s="119">
        <f t="shared" si="11"/>
        <v>55.375677618377701</v>
      </c>
      <c r="D84" s="119">
        <f t="shared" si="11"/>
        <v>80.844905552505722</v>
      </c>
      <c r="E84" s="119">
        <f t="shared" si="11"/>
        <v>178.95491970003508</v>
      </c>
      <c r="F84" s="119">
        <f t="shared" si="11"/>
        <v>267.67576118864059</v>
      </c>
      <c r="G84" s="296"/>
      <c r="H84" s="296"/>
      <c r="I84" s="296"/>
      <c r="J84" s="296"/>
      <c r="K84" s="296"/>
      <c r="L84" s="296"/>
    </row>
    <row r="85" spans="1:12" ht="13.15">
      <c r="A85" s="132">
        <f t="shared" si="14"/>
        <v>20</v>
      </c>
      <c r="B85" s="119">
        <f t="shared" si="11"/>
        <v>36.64670061330073</v>
      </c>
      <c r="C85" s="119">
        <f t="shared" si="11"/>
        <v>56.348188174277794</v>
      </c>
      <c r="D85" s="119">
        <f t="shared" si="11"/>
        <v>91.026601925391631</v>
      </c>
      <c r="E85" s="119">
        <f t="shared" si="11"/>
        <v>256.59616787354929</v>
      </c>
      <c r="F85" s="119">
        <f t="shared" si="11"/>
        <v>436.47257998096535</v>
      </c>
      <c r="G85" s="296"/>
      <c r="H85" s="296"/>
      <c r="I85" s="296"/>
      <c r="J85" s="296"/>
      <c r="K85" s="296"/>
      <c r="L85" s="296"/>
    </row>
    <row r="86" spans="1:12" ht="13.15">
      <c r="A86" s="132">
        <f t="shared" si="14"/>
        <v>25</v>
      </c>
      <c r="B86" s="119">
        <f t="shared" si="11"/>
        <v>33.918282261362592</v>
      </c>
      <c r="C86" s="119">
        <f t="shared" si="11"/>
        <v>56.409703253828795</v>
      </c>
      <c r="D86" s="119">
        <f t="shared" si="11"/>
        <v>102.34055166216739</v>
      </c>
      <c r="E86" s="119">
        <f t="shared" si="11"/>
        <v>384.77234716621547</v>
      </c>
      <c r="F86" s="119">
        <f t="shared" si="11"/>
        <v>761.99127570107419</v>
      </c>
      <c r="G86" s="296"/>
      <c r="H86" s="296"/>
      <c r="I86" s="296"/>
      <c r="J86" s="296"/>
      <c r="K86" s="296"/>
      <c r="L86" s="296"/>
    </row>
    <row r="87" spans="1:12" ht="13.15">
      <c r="A87" s="132">
        <f t="shared" si="14"/>
        <v>30</v>
      </c>
      <c r="B87" s="119">
        <f t="shared" si="11"/>
        <v>32.42137665873323</v>
      </c>
      <c r="C87" s="119">
        <f t="shared" si="11"/>
        <v>56.849028367214274</v>
      </c>
      <c r="D87" s="119">
        <f t="shared" si="11"/>
        <v>112.85318789288239</v>
      </c>
      <c r="E87" s="119">
        <f t="shared" si="11"/>
        <v>538.6760186535339</v>
      </c>
      <c r="F87" s="119">
        <f t="shared" si="11"/>
        <v>1213.8830697848514</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0.25</v>
      </c>
      <c r="D90" s="133">
        <f>Scenarios!D29</f>
        <v>20</v>
      </c>
      <c r="E90" s="127">
        <f>INDEX(B$73:F$87, MATCH(D90, A$73:A$87, 0), MATCH(C90, B$72:F$72, 0))</f>
        <v>436.47257998096535</v>
      </c>
      <c r="F90" s="130">
        <f>Scenarios!F29</f>
        <v>0.05</v>
      </c>
      <c r="G90" s="297"/>
      <c r="H90" s="297"/>
      <c r="I90" s="297"/>
      <c r="J90" s="297"/>
      <c r="K90" s="297"/>
      <c r="L90" s="297"/>
    </row>
    <row r="91" spans="1:12">
      <c r="B91" s="120" t="str">
        <f>Scenarios!B22</f>
        <v>Optimistic</v>
      </c>
      <c r="C91" s="130">
        <f>Scenarios!C22</f>
        <v>0.2</v>
      </c>
      <c r="D91" s="133">
        <f>Scenarios!D22</f>
        <v>20</v>
      </c>
      <c r="E91" s="127">
        <f>INDEX(B$73:F$87, MATCH(D91, A$73:A$87, 0), MATCH(C91, B$72:F$72, 0))</f>
        <v>256.59616787354929</v>
      </c>
      <c r="F91" s="130">
        <f>Scenarios!F22*(1-F$90-F$94)</f>
        <v>0.18</v>
      </c>
      <c r="G91" s="297"/>
      <c r="H91" s="297"/>
      <c r="I91" s="297"/>
      <c r="J91" s="297"/>
      <c r="K91" s="297"/>
      <c r="L91" s="297"/>
    </row>
    <row r="92" spans="1:12">
      <c r="B92" s="120" t="str">
        <f>Scenarios!B23</f>
        <v>Base</v>
      </c>
      <c r="C92" s="130">
        <f>Scenarios!C23</f>
        <v>0.1</v>
      </c>
      <c r="D92" s="133">
        <f>Scenarios!D23</f>
        <v>20</v>
      </c>
      <c r="E92" s="127">
        <f>INDEX(B$73:F$87, MATCH(D92, A$73:A$87, 0), MATCH(C92, B$72:F$72, 0))</f>
        <v>91.026601925391631</v>
      </c>
      <c r="F92" s="130">
        <f>Scenarios!F23*(1-F$90-F$94)</f>
        <v>0.53999999999999992</v>
      </c>
      <c r="G92" s="297"/>
      <c r="H92" s="297"/>
      <c r="I92" s="297"/>
      <c r="J92" s="297"/>
      <c r="K92" s="297"/>
      <c r="L92" s="297"/>
    </row>
    <row r="93" spans="1:12">
      <c r="B93" s="120" t="str">
        <f>Scenarios!B24</f>
        <v>Pessimistic</v>
      </c>
      <c r="C93" s="130">
        <f>Scenarios!C24</f>
        <v>0.05</v>
      </c>
      <c r="D93" s="133">
        <f>Scenarios!D24</f>
        <v>20</v>
      </c>
      <c r="E93" s="127">
        <f>INDEX(B$73:F$87, MATCH(D93, A$73:A$87, 0), MATCH(C93, B$72:F$72, 0))</f>
        <v>56.348188174277794</v>
      </c>
      <c r="F93" s="130">
        <f>Scenarios!F24*(1-F$90-F$94)</f>
        <v>0.18</v>
      </c>
      <c r="G93" s="297"/>
      <c r="H93" s="297"/>
      <c r="I93" s="297"/>
      <c r="J93" s="297"/>
      <c r="K93" s="297"/>
      <c r="L93" s="297"/>
    </row>
    <row r="94" spans="1:12">
      <c r="B94" s="120" t="str">
        <f>Scenarios!B30</f>
        <v>Devil's advocate</v>
      </c>
      <c r="C94" s="130">
        <f>Scenarios!C30</f>
        <v>0</v>
      </c>
      <c r="D94" s="133">
        <f>Scenarios!D30</f>
        <v>20</v>
      </c>
      <c r="E94" s="127">
        <f>INDEX(B$73:F$87, MATCH(D94, A$73:A$87, 0), MATCH(C94, B$72:F$72, 0))</f>
        <v>36.64670061330073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CNY</v>
      </c>
      <c r="D6" s="469"/>
      <c r="E6" s="469"/>
      <c r="F6" s="469"/>
      <c r="G6" s="469"/>
    </row>
    <row r="7" spans="2:7" ht="12.75" customHeight="1">
      <c r="B7" s="97" t="s">
        <v>232</v>
      </c>
      <c r="C7" s="447">
        <f>Normalized_FCF!G8</f>
        <v>34026555</v>
      </c>
      <c r="D7" s="469"/>
      <c r="E7" s="469"/>
      <c r="F7" s="469"/>
      <c r="G7" s="469"/>
    </row>
    <row r="8" spans="2:7">
      <c r="B8" s="97" t="s">
        <v>63</v>
      </c>
      <c r="C8" s="447">
        <f>Normalized_FCF!G19</f>
        <v>31089799.312959094</v>
      </c>
      <c r="D8" s="469"/>
      <c r="E8" s="469"/>
      <c r="F8" s="469"/>
      <c r="G8" s="469"/>
    </row>
    <row r="9" spans="2:7">
      <c r="B9" s="97" t="s">
        <v>54</v>
      </c>
      <c r="C9" s="447">
        <f>Normalized_FCF!C19</f>
        <v>10155594.309690032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0.23887911725357402</v>
      </c>
      <c r="D12" s="469"/>
      <c r="E12" s="469"/>
      <c r="F12" s="469"/>
      <c r="G12" s="469"/>
    </row>
    <row r="13" spans="2:7">
      <c r="B13" s="135" t="s">
        <v>127</v>
      </c>
      <c r="C13" s="249" t="e">
        <f ca="1">(Normalized_FCF!G8/OFFSET(Normalized_FCF!G8, 0, $C$4))^(1/$C$4) - 1</f>
        <v>#NUM!</v>
      </c>
      <c r="D13" s="469"/>
      <c r="E13" s="469"/>
      <c r="F13" s="469"/>
      <c r="G13" s="469"/>
    </row>
    <row r="14" spans="2:7">
      <c r="B14" s="97" t="s">
        <v>63</v>
      </c>
      <c r="C14" s="249" t="e">
        <f ca="1">(Normalized_FCF!G19/OFFSET(Normalized_FCF!G19, 0, $C$4))^(1/$C$4) - 1</f>
        <v>#NUM!</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20</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0.2</v>
      </c>
      <c r="D22" s="325">
        <f>C18</f>
        <v>20</v>
      </c>
      <c r="E22" s="326">
        <f>DCF!E91</f>
        <v>256.59616787354929</v>
      </c>
      <c r="F22" s="328">
        <f>1-F23-F24</f>
        <v>0.2</v>
      </c>
      <c r="G22" s="328">
        <f>F22*(1-F$29-F$30)</f>
        <v>0.18</v>
      </c>
    </row>
    <row r="23" spans="2:7">
      <c r="B23" s="302" t="s">
        <v>437</v>
      </c>
      <c r="C23" s="324">
        <v>0.1</v>
      </c>
      <c r="D23" s="325">
        <f>C18</f>
        <v>20</v>
      </c>
      <c r="E23" s="326">
        <f>DCF!E92</f>
        <v>91.026601925391631</v>
      </c>
      <c r="F23" s="327">
        <v>0.6</v>
      </c>
      <c r="G23" s="328">
        <f t="shared" ref="G23:G24" si="0">F23*(1-F$29-F$30)</f>
        <v>0.53999999999999992</v>
      </c>
    </row>
    <row r="24" spans="2:7">
      <c r="B24" s="302" t="s">
        <v>446</v>
      </c>
      <c r="C24" s="324">
        <v>0.05</v>
      </c>
      <c r="D24" s="325">
        <f>C18</f>
        <v>20</v>
      </c>
      <c r="E24" s="326">
        <f>DCF!E93</f>
        <v>56.348188174277794</v>
      </c>
      <c r="F24" s="327">
        <v>0.2</v>
      </c>
      <c r="G24" s="328">
        <f t="shared" si="0"/>
        <v>0.18</v>
      </c>
    </row>
    <row r="25" spans="2:7">
      <c r="B25" s="141" t="s">
        <v>451</v>
      </c>
      <c r="C25" s="441">
        <f>E23*F23+E24*F24+E22*F22</f>
        <v>117.20483236480041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0.25</v>
      </c>
      <c r="D29" s="325">
        <f>C18</f>
        <v>20</v>
      </c>
      <c r="E29" s="326">
        <f>DCF!E90</f>
        <v>436.47257998096535</v>
      </c>
      <c r="F29" s="327">
        <v>0.05</v>
      </c>
      <c r="G29" s="328">
        <f>F29</f>
        <v>0.05</v>
      </c>
    </row>
    <row r="30" spans="2:7">
      <c r="B30" s="315" t="s">
        <v>447</v>
      </c>
      <c r="C30" s="324">
        <v>0</v>
      </c>
      <c r="D30" s="325">
        <f>C18</f>
        <v>20</v>
      </c>
      <c r="E30" s="326">
        <f>DCF!E94</f>
        <v>36.64670061330073</v>
      </c>
      <c r="F30" s="327">
        <v>0.05</v>
      </c>
      <c r="G30" s="328">
        <f>F30</f>
        <v>0.05</v>
      </c>
    </row>
    <row r="31" spans="2:7">
      <c r="E31" s="329"/>
      <c r="F31" s="329"/>
    </row>
    <row r="32" spans="2:7" ht="13.15">
      <c r="B32" s="145" t="s">
        <v>456</v>
      </c>
    </row>
    <row r="33" spans="2:7">
      <c r="B33" s="97" t="s">
        <v>458</v>
      </c>
      <c r="C33" s="155">
        <f>Normalized_FCF!C88*(1-dividend_tax_rate)</f>
        <v>0</v>
      </c>
      <c r="D33" t="str">
        <f>Market_currency</f>
        <v>HKD</v>
      </c>
      <c r="E33" s="97" t="s">
        <v>455</v>
      </c>
      <c r="F33" s="219">
        <f>Holding_Period</f>
        <v>3</v>
      </c>
    </row>
    <row r="34" spans="2:7">
      <c r="B34" s="97" t="s">
        <v>233</v>
      </c>
      <c r="C34" s="146">
        <f>Market_Price</f>
        <v>88</v>
      </c>
      <c r="D34" t="str">
        <f>Market_currency</f>
        <v>HKD</v>
      </c>
      <c r="E34" s="97" t="s">
        <v>454</v>
      </c>
      <c r="F34" s="330">
        <f>RATE(Holding_Period,$C$33,-C34,$C$36)</f>
        <v>0.13638734234649466</v>
      </c>
    </row>
    <row r="35" spans="2:7">
      <c r="B35" s="97" t="s">
        <v>434</v>
      </c>
      <c r="C35" s="320">
        <f>DCF!C11</f>
        <v>29.03340064369451</v>
      </c>
      <c r="D35" s="97" t="str">
        <f>Market_currency</f>
        <v>HKD</v>
      </c>
      <c r="E35" s="97" t="s">
        <v>454</v>
      </c>
      <c r="F35" s="330">
        <f>RATE(Holding_Period,$C$33,-C35,$C$36)</f>
        <v>0.64457863015810479</v>
      </c>
    </row>
    <row r="36" spans="2:7">
      <c r="B36" s="97" t="s">
        <v>435</v>
      </c>
      <c r="C36" s="321">
        <f>E22*G22+E23*G23+E24*G24+E30*G30+E29*G29</f>
        <v>129.14031315803365</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549</v>
      </c>
      <c r="C40" s="126">
        <f>Normalized_FCF!E116</f>
        <v>0.10918374574607279</v>
      </c>
      <c r="E40" s="97" t="s">
        <v>401</v>
      </c>
    </row>
    <row r="41" spans="2:7">
      <c r="B41" s="97" t="s">
        <v>400</v>
      </c>
      <c r="C41" s="455">
        <f>DCF!C16*(1/2)</f>
        <v>9.2499999999999999E-2</v>
      </c>
      <c r="E41" s="97"/>
    </row>
    <row r="43" spans="2:7" ht="13.9">
      <c r="B43" s="34" t="s">
        <v>276</v>
      </c>
      <c r="C43" s="35"/>
      <c r="D43" s="35"/>
      <c r="E43" s="35"/>
      <c r="F43" s="35"/>
      <c r="G43" s="35"/>
    </row>
    <row r="44" spans="2:7" ht="13.15">
      <c r="B44" s="106" t="s">
        <v>249</v>
      </c>
      <c r="E44" s="222" t="s">
        <v>251</v>
      </c>
    </row>
    <row r="45" spans="2:7">
      <c r="B45" s="139" t="s">
        <v>111</v>
      </c>
      <c r="C45" s="150">
        <f>C18</f>
        <v>20</v>
      </c>
      <c r="D45" s="137"/>
      <c r="E45" s="221" t="s">
        <v>307</v>
      </c>
    </row>
    <row r="46" spans="2:7">
      <c r="B46" s="114" t="s">
        <v>112</v>
      </c>
      <c r="C46" s="138">
        <v>0.185</v>
      </c>
      <c r="D46" s="138"/>
      <c r="E46" s="221" t="s">
        <v>252</v>
      </c>
    </row>
    <row r="47" spans="2:7">
      <c r="B47" s="97" t="s">
        <v>96</v>
      </c>
      <c r="C47" s="146">
        <f>DCF!I18</f>
        <v>218.93106551769134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High Growth </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49">
        <f>BS!D89/C36</f>
        <v>6.8721939438982887E-2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v>
      </c>
      <c r="D62" s="119">
        <f>C36/(1+F62)^Holding_Period</f>
        <v>59.511665049785108</v>
      </c>
      <c r="E62" s="332">
        <f>C62+D62</f>
        <v>59.511665049785108</v>
      </c>
      <c r="F62" s="301">
        <f>Thesis!E22</f>
        <v>0.29465259038036606</v>
      </c>
      <c r="G62" s="440">
        <f>(1-E62/C36)</f>
        <v>0.53917050691244228</v>
      </c>
    </row>
    <row r="63" spans="2:7" ht="13.15">
      <c r="B63" s="302" t="s">
        <v>313</v>
      </c>
      <c r="C63" s="119">
        <f>PV(F63, Holding_Period, -C58, 0)</f>
        <v>0</v>
      </c>
      <c r="D63" s="119">
        <f>C36/(1+F63)^Holding_Period</f>
        <v>74.593682690560982</v>
      </c>
      <c r="E63" s="332">
        <f>C63+D63</f>
        <v>74.593682690560982</v>
      </c>
      <c r="F63" s="301">
        <f>Thesis!E23</f>
        <v>0.20075184365903009</v>
      </c>
      <c r="G63" s="440">
        <f>(1-E63/C36)</f>
        <v>0.42238267148014419</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v>
      </c>
      <c r="D66" s="119">
        <f>C36/(1+F66)^Holding_Period</f>
        <v>92.562661613206885</v>
      </c>
      <c r="E66" s="332">
        <f>C66+D66</f>
        <v>92.562661613206885</v>
      </c>
      <c r="F66" s="301">
        <f>Thesis!E24</f>
        <v>0.1174</v>
      </c>
      <c r="G66" s="440">
        <f>(1-E66/C36)</f>
        <v>0.28323960698519735</v>
      </c>
    </row>
    <row r="67" spans="2:7" ht="13.15">
      <c r="B67" s="302" t="s">
        <v>314</v>
      </c>
      <c r="C67" s="119">
        <f>PV(F67, Holding_Period, -C58, 0)</f>
        <v>0</v>
      </c>
      <c r="D67" s="119">
        <f>C36/(1+F67)^Holding_Period</f>
        <v>104.68149892608623</v>
      </c>
      <c r="E67" s="332">
        <f>C67+D67</f>
        <v>104.68149892608623</v>
      </c>
      <c r="F67" s="301">
        <f>Thesis!E25</f>
        <v>7.2499999999999995E-2</v>
      </c>
      <c r="G67" s="440">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45930</v>
      </c>
    </row>
    <row r="4" spans="1:10">
      <c r="B4" s="422" t="s">
        <v>533</v>
      </c>
      <c r="C4" s="423" t="str">
        <f>Thesis!C4</f>
        <v>美团</v>
      </c>
      <c r="D4" s="349"/>
      <c r="E4" s="434" t="s">
        <v>539</v>
      </c>
      <c r="F4" s="437" t="str">
        <f>Thesis!F4</f>
        <v>INT</v>
      </c>
    </row>
    <row r="5" spans="1:10">
      <c r="B5" s="343" t="s">
        <v>364</v>
      </c>
      <c r="C5" s="355" t="str">
        <f>Thesis!C5</f>
        <v>3690.HK</v>
      </c>
      <c r="E5" s="438" t="s">
        <v>540</v>
      </c>
      <c r="F5" s="439" t="str">
        <f>Thesis!F5</f>
        <v>N</v>
      </c>
    </row>
    <row r="6" spans="1:10">
      <c r="B6" s="350" t="s">
        <v>336</v>
      </c>
      <c r="C6" s="352" t="str">
        <f>Thesis!C6</f>
        <v>TMT_02</v>
      </c>
      <c r="E6" s="354"/>
    </row>
    <row r="7" spans="1:10">
      <c r="B7" s="343" t="s">
        <v>366</v>
      </c>
      <c r="C7" s="352" t="str">
        <f>Market_currency</f>
        <v>HKD</v>
      </c>
      <c r="D7" s="354"/>
      <c r="E7" s="354"/>
    </row>
    <row r="8" spans="1:10">
      <c r="B8" s="351" t="s">
        <v>365</v>
      </c>
      <c r="C8" s="356">
        <f>Market_Price</f>
        <v>88</v>
      </c>
    </row>
    <row r="9" spans="1:10">
      <c r="B9" s="351" t="s">
        <v>361</v>
      </c>
      <c r="C9" s="353">
        <f>Common_Shares</f>
        <v>9264431217</v>
      </c>
    </row>
    <row r="10" spans="1:10">
      <c r="B10" s="351" t="s">
        <v>367</v>
      </c>
      <c r="C10" s="357">
        <f>投资主题!C8*Common_Shares/1000000</f>
        <v>815269.94709599996</v>
      </c>
      <c r="D10" s="343" t="s">
        <v>528</v>
      </c>
      <c r="E10" s="360">
        <f>Scenarios!F34</f>
        <v>0.13638734234649466</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Y</v>
      </c>
      <c r="D15" s="351" t="s">
        <v>368</v>
      </c>
      <c r="E15" s="344" t="str">
        <f>IF(E17=C7,C7,E17&amp;"/"&amp;C7)</f>
        <v>CNY/HKD</v>
      </c>
    </row>
    <row r="16" spans="1:10">
      <c r="B16" s="343" t="s">
        <v>338</v>
      </c>
      <c r="C16" s="358" t="str">
        <f>Thesis!C16</f>
        <v>N</v>
      </c>
      <c r="D16" s="351" t="s">
        <v>369</v>
      </c>
      <c r="E16" s="425">
        <f>Exchange_Rate</f>
        <v>1.1268191807746888</v>
      </c>
    </row>
    <row r="17" spans="1:6">
      <c r="B17" s="343" t="s">
        <v>534</v>
      </c>
      <c r="C17" s="424">
        <f>Terminal_Growth</f>
        <v>0.02</v>
      </c>
      <c r="D17" s="351" t="s">
        <v>339</v>
      </c>
      <c r="E17" s="344" t="str">
        <f>Reporting_currency</f>
        <v>CNY</v>
      </c>
    </row>
    <row r="18" spans="1:6">
      <c r="B18" s="343" t="str">
        <f>"预期股权价值 ("&amp;C7&amp;") :"</f>
        <v>预期股权价值 (HKD) :</v>
      </c>
      <c r="C18" s="359">
        <f>C125</f>
        <v>129.14031315803365</v>
      </c>
      <c r="D18" s="350" t="s">
        <v>362</v>
      </c>
      <c r="E18" s="426">
        <f>Thesis!E18</f>
        <v>6</v>
      </c>
    </row>
    <row r="19" spans="1:6">
      <c r="B19" s="350" t="s">
        <v>335</v>
      </c>
      <c r="C19" s="352" t="str">
        <f>IF(Scenarios!C50="Y",Scenarios!B50,"")&amp;IF(Scenarios!C51="Y",Scenarios!B51,"")&amp;IF(Scenarios!C52="Y",Scenarios!B52,"")&amp;" "&amp;IF(Scenarios!C53="Y",Scenarios!B53,"")</f>
        <v xml:space="preserve">High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59.511665049785108</v>
      </c>
      <c r="D22" s="365" t="s">
        <v>440</v>
      </c>
      <c r="E22" s="366">
        <f>Thesis!E22</f>
        <v>0.29465259038036606</v>
      </c>
    </row>
    <row r="23" spans="1:6">
      <c r="B23" s="343" t="s">
        <v>341</v>
      </c>
      <c r="C23" s="367">
        <f>E141</f>
        <v>74.593682690560982</v>
      </c>
      <c r="D23" s="365" t="s">
        <v>441</v>
      </c>
      <c r="E23" s="368">
        <f>Thesis!E23</f>
        <v>0.20075184365903009</v>
      </c>
    </row>
    <row r="24" spans="1:6">
      <c r="B24" s="343" t="s">
        <v>343</v>
      </c>
      <c r="C24" s="367">
        <f>E144</f>
        <v>92.562661613206885</v>
      </c>
      <c r="D24" s="365" t="s">
        <v>443</v>
      </c>
      <c r="E24" s="368">
        <f>Thesis!E24</f>
        <v>0.1174</v>
      </c>
    </row>
    <row r="25" spans="1:6">
      <c r="B25" s="343" t="s">
        <v>342</v>
      </c>
      <c r="C25" s="367">
        <f>E145</f>
        <v>104.68149892608623</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16278123.080000043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0</v>
      </c>
      <c r="D41" s="343" t="str">
        <f>Reporting_currency</f>
        <v>CNY</v>
      </c>
    </row>
    <row r="43" spans="2:6">
      <c r="B43" s="470" t="s">
        <v>503</v>
      </c>
      <c r="C43" s="470"/>
      <c r="D43" s="470"/>
      <c r="E43" s="470"/>
      <c r="F43" s="470"/>
    </row>
    <row r="44" spans="2:6">
      <c r="B44" s="372" t="s">
        <v>267</v>
      </c>
      <c r="C44" s="376">
        <f>Normalized_FCF!C46</f>
        <v>321313.45291999989</v>
      </c>
      <c r="D44" s="343" t="str">
        <f>Reporting_currency</f>
        <v>CNY</v>
      </c>
      <c r="E44" s="371"/>
      <c r="F44" s="371"/>
    </row>
    <row r="45" spans="2:6">
      <c r="B45" s="372" t="s">
        <v>268</v>
      </c>
      <c r="C45" s="376">
        <f>Normalized_FCF!C45</f>
        <v>-3058644.12</v>
      </c>
      <c r="D45" s="343" t="str">
        <f>Reporting_currency</f>
        <v>CNY</v>
      </c>
      <c r="E45" s="371"/>
      <c r="F45" s="371"/>
    </row>
    <row r="46" spans="2:6">
      <c r="B46" s="372" t="s">
        <v>203</v>
      </c>
      <c r="C46" s="373">
        <f>Normalized_FCF!C10</f>
        <v>-2737330.66708</v>
      </c>
      <c r="D46" s="343" t="str">
        <f>Reporting_currency</f>
        <v>CNY</v>
      </c>
    </row>
    <row r="48" spans="2:6">
      <c r="B48" s="343" t="s">
        <v>504</v>
      </c>
    </row>
    <row r="49" spans="2:6">
      <c r="B49" s="372" t="s">
        <v>223</v>
      </c>
      <c r="C49" s="373">
        <f>Normalized_FCF!C13</f>
        <v>0</v>
      </c>
      <c r="D49" s="343" t="str">
        <f>Reporting_currency</f>
        <v>CNY</v>
      </c>
    </row>
    <row r="51" spans="2:6">
      <c r="B51" s="470" t="s">
        <v>505</v>
      </c>
      <c r="C51" s="470"/>
      <c r="D51" s="470"/>
      <c r="E51" s="470"/>
      <c r="F51" s="470"/>
    </row>
    <row r="52" spans="2:6">
      <c r="B52" s="372" t="s">
        <v>496</v>
      </c>
      <c r="C52" s="373">
        <f>Normalized_FCF!C12</f>
        <v>-3385198.1032300107</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31089799.312959094</v>
      </c>
      <c r="D60" s="343" t="str">
        <f>Reporting_currency</f>
        <v>CNY</v>
      </c>
    </row>
    <row r="61" spans="2:6">
      <c r="B61" s="372" t="s">
        <v>213</v>
      </c>
      <c r="C61" s="373">
        <f>Normalized_FCF!C19</f>
        <v>10155594.309690032</v>
      </c>
      <c r="D61" s="343" t="str">
        <f>Reporting_currency</f>
        <v>CNY</v>
      </c>
    </row>
    <row r="62" spans="2:6">
      <c r="B62" s="377" t="s">
        <v>302</v>
      </c>
      <c r="C62" s="378">
        <f>Normalized_FCF!C124</f>
        <v>1.4036477734874131E-2</v>
      </c>
      <c r="F62" s="379"/>
    </row>
    <row r="63" spans="2:6">
      <c r="B63" s="377" t="s">
        <v>332</v>
      </c>
      <c r="C63" s="378">
        <f>Normalized_FCF!C92</f>
        <v>0</v>
      </c>
      <c r="E63" s="372" t="s">
        <v>373</v>
      </c>
      <c r="F63" s="380">
        <f>Normalized_FCF!C90</f>
        <v>0</v>
      </c>
    </row>
    <row r="65" spans="1:6">
      <c r="B65" s="369" t="s">
        <v>376</v>
      </c>
      <c r="C65" s="381" t="s">
        <v>327</v>
      </c>
      <c r="D65" s="381" t="s">
        <v>374</v>
      </c>
    </row>
    <row r="66" spans="1:6">
      <c r="B66" s="372" t="s">
        <v>326</v>
      </c>
      <c r="C66" s="378">
        <f>Normalized_FCF!E119</f>
        <v>0.2</v>
      </c>
      <c r="D66" s="378">
        <f>Normalized_FCF!G119</f>
        <v>0.18051269149145724</v>
      </c>
    </row>
    <row r="67" spans="1:6">
      <c r="B67" s="382" t="str">
        <f>Normalized_FCF!B116</f>
        <v>Pre-tax Profit/Sales</v>
      </c>
      <c r="C67" s="383">
        <f>Normalized_FCF!E116</f>
        <v>0.10918374574607279</v>
      </c>
      <c r="D67" s="383">
        <f>Normalized_FCF!G116</f>
        <v>9.8545259058712684E-2</v>
      </c>
    </row>
    <row r="68" spans="1:6">
      <c r="B68" s="382" t="str">
        <f>Normalized_FCF!B117</f>
        <v>Sales/Total Assets</v>
      </c>
      <c r="C68" s="384">
        <f>Normalized_FCF!E117</f>
        <v>1.022390799101176</v>
      </c>
      <c r="D68" s="384">
        <f>Normalized_FCF!G117</f>
        <v>1.022390799101176</v>
      </c>
    </row>
    <row r="69" spans="1:6">
      <c r="B69" s="382" t="str">
        <f>Normalized_FCF!B118</f>
        <v>Total Assets/Equity</v>
      </c>
      <c r="C69" s="384">
        <f>Normalized_FCF!E118</f>
        <v>1.7916578376478161</v>
      </c>
      <c r="D69" s="384">
        <f>Normalized_FCF!G118</f>
        <v>1.7916578376478161</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-50977402</v>
      </c>
      <c r="D78" s="343" t="str">
        <f>Reporting_currency</f>
        <v>CNY</v>
      </c>
    </row>
    <row r="79" spans="1:6">
      <c r="B79" s="372" t="s">
        <v>234</v>
      </c>
      <c r="C79" s="387">
        <f>C78*scaling_factor*Exchange_Rate/Common_Shares</f>
        <v>-6.2003066366618134</v>
      </c>
      <c r="D79" s="343" t="str">
        <f>Market_currency</f>
        <v>HKD</v>
      </c>
    </row>
    <row r="80" spans="1:6">
      <c r="B80" s="382" t="s">
        <v>309</v>
      </c>
      <c r="C80" s="388">
        <f>IF(BS!G31/BS!G27&gt;300%,"nm",BS!G31/BS!G27)</f>
        <v>0.27660377540313014</v>
      </c>
    </row>
    <row r="81" spans="1:6">
      <c r="B81" s="382" t="s">
        <v>311</v>
      </c>
      <c r="C81" s="389">
        <f>IF(BS!C50&gt;30,"nm",BS!C50)</f>
        <v>3.1316510969641755</v>
      </c>
    </row>
    <row r="83" spans="1:6">
      <c r="B83" s="343" t="s">
        <v>511</v>
      </c>
    </row>
    <row r="84" spans="1:6">
      <c r="B84" s="343" t="s">
        <v>224</v>
      </c>
      <c r="C84" s="373">
        <f>DCF!F5</f>
        <v>66024762.846666686</v>
      </c>
      <c r="D84" s="343" t="str">
        <f>Reporting_currency</f>
        <v>CNY</v>
      </c>
    </row>
    <row r="85" spans="1:6">
      <c r="B85" s="382" t="s">
        <v>481</v>
      </c>
      <c r="C85" s="390">
        <f>BS!C66</f>
        <v>119577005</v>
      </c>
      <c r="D85" s="391" t="str">
        <f>Reporting_currency</f>
        <v>CNY</v>
      </c>
    </row>
    <row r="86" spans="1:6">
      <c r="B86" s="372" t="s">
        <v>235</v>
      </c>
      <c r="C86" s="387">
        <f>C84*scaling_factor*Exchange_Rate/Common_Shares</f>
        <v>8.0304950664651322</v>
      </c>
      <c r="D86" s="343" t="str">
        <f>Market_currency</f>
        <v>HKD</v>
      </c>
    </row>
    <row r="88" spans="1:6">
      <c r="B88" s="343" t="s">
        <v>512</v>
      </c>
    </row>
    <row r="89" spans="1:6">
      <c r="B89" s="343" t="s">
        <v>217</v>
      </c>
      <c r="C89" s="373">
        <f>DCF!F6</f>
        <v>57918846.499999993</v>
      </c>
      <c r="D89" s="343" t="str">
        <f>Reporting_currency</f>
        <v>CNY</v>
      </c>
    </row>
    <row r="90" spans="1:6">
      <c r="B90" s="372" t="s">
        <v>236</v>
      </c>
      <c r="C90" s="387">
        <f>C89*scaling_factor*Exchange_Rate/Common_Shares</f>
        <v>7.0445843501743539</v>
      </c>
      <c r="D90" s="343" t="str">
        <f>Market_currency</f>
        <v>HKD</v>
      </c>
    </row>
    <row r="92" spans="1:6">
      <c r="B92" s="372" t="s">
        <v>480</v>
      </c>
      <c r="C92" s="387">
        <f>DCF!F8</f>
        <v>8.8747727799776719</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8.249999999999999E-2</v>
      </c>
    </row>
    <row r="102" spans="1:6">
      <c r="A102" s="385"/>
      <c r="B102" s="382" t="s">
        <v>318</v>
      </c>
      <c r="C102" s="383">
        <f>E25</f>
        <v>7.2499999999999995E-2</v>
      </c>
    </row>
    <row r="103" spans="1:6">
      <c r="A103" s="385"/>
      <c r="B103" s="382" t="s">
        <v>317</v>
      </c>
      <c r="C103" s="383">
        <f>IF(C15="Y",1%,0)+IF(C16="Y",1%,0)</f>
        <v>0.01</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3.5912480307430195</v>
      </c>
      <c r="D111" s="343" t="str">
        <f>Market_currency</f>
        <v>HKD</v>
      </c>
    </row>
    <row r="112" spans="1:6">
      <c r="A112" s="385"/>
      <c r="B112" s="372" t="s">
        <v>377</v>
      </c>
      <c r="C112" s="394">
        <f>DCF!C11</f>
        <v>29.03340064369451</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0.25</v>
      </c>
      <c r="D118" s="397">
        <f>DCF!D90</f>
        <v>20</v>
      </c>
      <c r="E118" s="398" t="str">
        <f>ROUND(DCF!E90,2)&amp;" "&amp;Market_currency</f>
        <v>436.47 HKD</v>
      </c>
      <c r="F118" s="399">
        <f>DCF!F90</f>
        <v>0.05</v>
      </c>
    </row>
    <row r="119" spans="1:6">
      <c r="A119" s="385"/>
      <c r="B119" s="400" t="str">
        <f>DCF!B91</f>
        <v>Optimistic</v>
      </c>
      <c r="C119" s="401">
        <f>DCF!C91</f>
        <v>0.2</v>
      </c>
      <c r="D119" s="402">
        <f>DCF!D91</f>
        <v>20</v>
      </c>
      <c r="E119" s="398" t="str">
        <f>ROUND(DCF!E91,2)&amp;" "&amp;Market_currency</f>
        <v>256.6 HKD</v>
      </c>
      <c r="F119" s="403">
        <f>DCF!F91</f>
        <v>0.18</v>
      </c>
    </row>
    <row r="120" spans="1:6">
      <c r="B120" s="400" t="str">
        <f>DCF!B92</f>
        <v>Base</v>
      </c>
      <c r="C120" s="401">
        <f>DCF!C92</f>
        <v>0.1</v>
      </c>
      <c r="D120" s="402">
        <f>DCF!D92</f>
        <v>20</v>
      </c>
      <c r="E120" s="398" t="str">
        <f>ROUND(DCF!E92,2)&amp;" "&amp;Market_currency</f>
        <v>91.03 HKD</v>
      </c>
      <c r="F120" s="403">
        <f>DCF!F92</f>
        <v>0.53999999999999992</v>
      </c>
    </row>
    <row r="121" spans="1:6">
      <c r="B121" s="400" t="str">
        <f>DCF!B93</f>
        <v>Pessimistic</v>
      </c>
      <c r="C121" s="401">
        <f>DCF!C93</f>
        <v>0.05</v>
      </c>
      <c r="D121" s="402">
        <f>DCF!D93</f>
        <v>20</v>
      </c>
      <c r="E121" s="398" t="str">
        <f>ROUND(DCF!E93,2)&amp;" "&amp;Market_currency</f>
        <v>56.35 HKD</v>
      </c>
      <c r="F121" s="403">
        <f>DCF!F93</f>
        <v>0.18</v>
      </c>
    </row>
    <row r="122" spans="1:6">
      <c r="B122" s="400" t="str">
        <f>DCF!B94</f>
        <v>Devil's advocate</v>
      </c>
      <c r="C122" s="401">
        <f>DCF!C94</f>
        <v>0</v>
      </c>
      <c r="D122" s="402">
        <f>DCF!D94</f>
        <v>20</v>
      </c>
      <c r="E122" s="398" t="str">
        <f>ROUND(DCF!E94,2)&amp;" "&amp;Market_currency</f>
        <v>36.65 HKD</v>
      </c>
      <c r="F122" s="403">
        <f>DCF!F94</f>
        <v>0.05</v>
      </c>
    </row>
    <row r="124" spans="1:6">
      <c r="B124" s="470" t="s">
        <v>518</v>
      </c>
      <c r="C124" s="470"/>
      <c r="D124" s="470"/>
      <c r="E124" s="470"/>
      <c r="F124" s="470"/>
    </row>
    <row r="125" spans="1:6">
      <c r="B125" s="372" t="s">
        <v>218</v>
      </c>
      <c r="C125" s="404">
        <f>Scenarios!C36</f>
        <v>129.14031315803365</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v>
      </c>
      <c r="D140" s="409">
        <f>Scenarios!D62</f>
        <v>59.511665049785108</v>
      </c>
      <c r="E140" s="410">
        <f>Scenarios!E62</f>
        <v>59.511665049785108</v>
      </c>
      <c r="F140" s="411">
        <f>E22</f>
        <v>0.29465259038036606</v>
      </c>
    </row>
    <row r="141" spans="1:6">
      <c r="B141" s="408" t="s">
        <v>313</v>
      </c>
      <c r="C141" s="409">
        <f>Scenarios!C63</f>
        <v>0</v>
      </c>
      <c r="D141" s="409">
        <f>Scenarios!D63</f>
        <v>74.593682690560982</v>
      </c>
      <c r="E141" s="410">
        <f>Scenarios!E63</f>
        <v>74.593682690560982</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v>
      </c>
      <c r="D144" s="409">
        <f>Scenarios!D66</f>
        <v>92.562661613206885</v>
      </c>
      <c r="E144" s="410">
        <f>Scenarios!E66</f>
        <v>92.562661613206885</v>
      </c>
      <c r="F144" s="411">
        <f>E24</f>
        <v>0.1174</v>
      </c>
    </row>
    <row r="145" spans="1:6">
      <c r="B145" s="408" t="s">
        <v>314</v>
      </c>
      <c r="C145" s="409">
        <f>Scenarios!C67</f>
        <v>0</v>
      </c>
      <c r="D145" s="409">
        <f>Scenarios!D67</f>
        <v>104.68149892608623</v>
      </c>
      <c r="E145" s="410">
        <f>Scenarios!E67</f>
        <v>104.68149892608623</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2026-02-11T07:23:58Z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