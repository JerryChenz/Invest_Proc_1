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7B59D9-937C-4E75-AD6B-80F19B2554A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6" i="9" l="1"/>
  <c r="D4" i="9"/>
  <c r="C4" i="2" l="1"/>
  <c r="G17" i="3"/>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G28" i="8"/>
  <c r="I28" i="8" s="1"/>
  <c r="E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7" i="8"/>
  <c r="J28" i="8"/>
  <c r="J26" i="8"/>
  <c r="J25" i="8"/>
  <c r="J24" i="8"/>
  <c r="G31" i="8"/>
  <c r="I31" i="8" s="1"/>
  <c r="J31" i="8" s="1"/>
  <c r="C32" i="8"/>
  <c r="G30" i="8"/>
  <c r="I30" i="8" s="1"/>
  <c r="J30" i="8" s="1"/>
  <c r="J22" i="8"/>
  <c r="C52" i="6"/>
  <c r="C52" i="12"/>
  <c r="C68" i="6"/>
  <c r="C68" i="12"/>
  <c r="C119" i="2"/>
  <c r="C14" i="2"/>
  <c r="C19" i="2" s="1"/>
  <c r="J23" i="8" l="1"/>
  <c r="G32" i="8"/>
  <c r="I32" i="8" s="1"/>
  <c r="J32" i="8" s="1"/>
  <c r="C33" i="8"/>
  <c r="C90" i="2"/>
  <c r="F63" i="12" s="1"/>
  <c r="C61" i="12"/>
  <c r="C66" i="6"/>
  <c r="C66" i="12"/>
  <c r="C4" i="8"/>
  <c r="J21" i="8" s="1"/>
  <c r="G33" i="8" l="1"/>
  <c r="I33" i="8" s="1"/>
  <c r="J33" i="8" s="1"/>
  <c r="C34" i="8"/>
  <c r="F63" i="6"/>
  <c r="G34" i="8" l="1"/>
  <c r="I34" i="8" s="1"/>
  <c r="J34" i="8" s="1"/>
  <c r="C35" i="8"/>
  <c r="C36" i="8" s="1"/>
  <c r="C64" i="8"/>
  <c r="G36" i="8" l="1"/>
  <c r="C37" i="8"/>
  <c r="G35" i="8"/>
  <c r="I35" i="8" s="1"/>
  <c r="J35" i="8" s="1"/>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<sst xmlns="http://schemas.openxmlformats.org/spreadsheetml/2006/main" count="765" uniqueCount="555">
  <si>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</si>
  <si>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</si>
  <si>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</si>
  <si>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</si>
  <si>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</si>
  <si>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</si>
  <si>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</si>
  <si>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</si>
  <si>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</si>
  <si>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</si>
  <si>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</si>
  <si>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</si>
  <si>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</si>
  <si>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</si>
  <si>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</si>
  <si>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</si>
  <si>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</si>
  <si>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</si>
  <si>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</si>
  <si>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</si>
  <si>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</si>
  <si>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</si>
  <si>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</si>
  <si>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</si>
  <si>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</si>
  <si>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</si>
  <si>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</si>
  <si>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</si>
  <si>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</si>
  <si>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</si>
  <si>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</si>
  <si>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</si>
  <si>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</si>
  <si>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</si>
  <si>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</si>
  <si>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</si>
  <si>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</si>
  <si>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</si>
  <si>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</si>
  <si>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</si>
  <si>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</si>
  <si>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</si>
  <si>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</si>
  <si>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</si>
  <si>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</si>
  <si>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</si>
  <si>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</si>
  <si>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</si>
  <si>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</si>
  <si>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</si>
  <si>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</si>
  <si>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</si>
  <si>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</si>
  <si>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</si>
  <si>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</si>
  <si>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</si>
  <si>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</si>
  <si>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</si>
  <si>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</si>
  <si>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</si>
  <si>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</si>
  <si>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</si>
  <si>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</si>
  <si>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</si>
  <si>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</si>
  <si>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</si>
  <si>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</si>
  <si>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</si>
  <si>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</si>
  <si>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</si>
  <si>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</si>
  <si>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</si>
  <si>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</si>
  <si>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</si>
  <si>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</si>
  <si>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</si>
  <si>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</si>
  <si>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</si>
  <si>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</si>
  <si>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</si>
  <si>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</si>
  <si>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</si>
  <si>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</si>
  <si>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</si>
  <si>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</si>
  <si>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</si>
  <si>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</si>
  <si>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</si>
  <si>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</si>
  <si>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</si>
  <si>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</si>
  <si>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</si>
  <si>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</si>
  <si>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</si>
  <si>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</si>
  <si>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</si>
  <si>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</si>
  <si>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</si>
  <si>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</si>
  <si>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</si>
  <si>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</si>
  <si>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</si>
  <si>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</si>
  <si>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</si>
  <si>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</si>
  <si>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</si>
  <si>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</si>
  <si>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</si>
  <si>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</si>
  <si>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</si>
  <si>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</si>
  <si>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</si>
  <si>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</si>
  <si>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</si>
  <si>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</si>
  <si>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</si>
  <si>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</si>
  <si>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</si>
  <si>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</si>
  <si>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</si>
  <si>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</si>
  <si>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</si>
  <si>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</si>
  <si>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</si>
  <si>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</si>
  <si>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</si>
  <si>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</si>
  <si>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</si>
  <si>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</si>
  <si>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</si>
  <si>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</si>
  <si>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</si>
  <si>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</si>
  <si>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</si>
  <si>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</si>
  <si>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</si>
  <si>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</si>
  <si>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</si>
  <si>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</si>
  <si>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</si>
  <si>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</si>
  <si>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</si>
  <si>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</si>
  <si>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</si>
  <si>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</si>
  <si>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</si>
  <si>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</si>
  <si>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</si>
  <si>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</si>
  <si>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</si>
  <si>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</si>
  <si>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</si>
  <si>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</si>
  <si>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</si>
  <si>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</si>
  <si>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</si>
  <si>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</si>
  <si>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</si>
  <si>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</si>
  <si>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</si>
  <si>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</si>
  <si>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</si>
  <si>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</si>
  <si>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</si>
  <si>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</si>
  <si>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</si>
  <si>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</si>
  <si>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</si>
  <si>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</si>
  <si>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</si>
  <si>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</si>
  <si>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</si>
  <si>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</si>
  <si>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</si>
  <si>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</si>
  <si>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</si>
  <si>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</si>
  <si>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</si>
  <si>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</si>
  <si>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</si>
  <si>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</si>
  <si>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</si>
  <si>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</si>
  <si>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</si>
  <si>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</si>
  <si>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</si>
  <si>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</si>
  <si>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</si>
  <si>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</si>
  <si>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</si>
  <si>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</si>
  <si>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</si>
  <si>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</si>
  <si>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</si>
  <si>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</si>
  <si>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</si>
  <si>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</si>
  <si>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</si>
  <si>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</si>
  <si>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</si>
  <si>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</si>
  <si>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</si>
  <si>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</si>
  <si>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</si>
  <si>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</si>
  <si>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</si>
  <si>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</si>
  <si>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</si>
  <si>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</si>
  <si>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</si>
  <si>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</si>
  <si>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</si>
  <si>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</si>
  <si>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</si>
  <si>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</si>
  <si>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</si>
  <si>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</si>
  <si>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</si>
  <si>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</si>
  <si>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</si>
  <si>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</si>
  <si>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</si>
  <si>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</si>
  <si>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</si>
  <si>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</si>
  <si>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</si>
  <si>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</si>
  <si>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</si>
  <si>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</si>
  <si>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</si>
  <si>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</si>
  <si>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</si>
  <si>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</si>
  <si>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</si>
  <si>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</si>
  <si>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</si>
  <si>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</si>
  <si>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</si>
  <si>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</si>
  <si>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</si>
  <si>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</si>
  <si>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</si>
  <si>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</si>
  <si>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</si>
  <si>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</si>
  <si>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</si>
  <si>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</si>
  <si>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</si>
  <si>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</si>
  <si>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</si>
  <si>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</si>
  <si>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</si>
  <si>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</si>
  <si>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</si>
  <si>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</si>
  <si>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</si>
  <si>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</si>
  <si>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</si>
  <si>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</si>
  <si>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</si>
  <si>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</si>
  <si>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</si>
  <si>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</si>
  <si>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</si>
  <si>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</si>
  <si>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</si>
  <si>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</si>
  <si>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</si>
  <si>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</si>
  <si>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</si>
  <si>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</si>
  <si>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</si>
  <si>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</si>
  <si>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</si>
  <si>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</si>
  <si>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</si>
  <si>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</si>
  <si>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</si>
  <si>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</si>
  <si>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</si>
  <si>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</si>
  <si>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</si>
  <si>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</si>
  <si>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</si>
  <si>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</si>
  <si>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</si>
  <si>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</si>
  <si>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</si>
  <si>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</si>
  <si>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</si>
  <si>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</si>
  <si>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</si>
  <si>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</si>
  <si>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</si>
  <si>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</si>
  <si>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</si>
  <si>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</si>
  <si>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</si>
  <si>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</si>
  <si>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</si>
  <si>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</si>
  <si>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</si>
  <si>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</si>
  <si>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</si>
  <si>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</si>
  <si>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</si>
  <si>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</si>
  <si>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</si>
  <si>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</si>
  <si>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</si>
  <si>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</si>
  <si>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</si>
  <si>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</si>
  <si>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</si>
  <si>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</si>
  <si>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</si>
  <si>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</si>
  <si>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</si>
  <si>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</si>
  <si>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</si>
  <si>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</si>
  <si>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</si>
  <si>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</si>
  <si>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</si>
  <si>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</si>
  <si>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</si>
  <si>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</si>
  <si>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</si>
  <si>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</si>
  <si>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</si>
  <si>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</si>
  <si>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</si>
  <si>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</si>
  <si>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</si>
  <si>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</si>
  <si>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</si>
  <si>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</si>
  <si>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</si>
  <si>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</si>
  <si>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</si>
  <si>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</si>
  <si>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</si>
  <si>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</si>
  <si>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</si>
  <si>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</si>
  <si>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</si>
  <si>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</si>
  <si>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</si>
  <si>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</si>
  <si>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</si>
  <si>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</si>
  <si>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</si>
  <si>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</si>
  <si>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</si>
  <si>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</si>
  <si>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</si>
  <si>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</si>
  <si>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</si>
  <si>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</si>
  <si>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</si>
  <si>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</si>
  <si>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</si>
  <si>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</si>
  <si>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</si>
  <si>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</si>
  <si>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</si>
  <si>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</si>
  <si>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</si>
  <si>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</si>
  <si>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</si>
  <si>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</si>
  <si>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</si>
  <si>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</si>
  <si>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</si>
  <si>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</si>
  <si>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</si>
  <si>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</si>
  <si>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</si>
  <si>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</si>
  <si>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</si>
  <si>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</si>
  <si>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</si>
  <si>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</si>
  <si>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</si>
  <si>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</si>
  <si>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</si>
  <si>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</si>
  <si>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</si>
  <si>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</si>
  <si>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</si>
  <si>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</si>
  <si>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</si>
  <si>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</si>
  <si>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</si>
  <si>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</si>
  <si>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</si>
  <si>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</si>
  <si>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</si>
  <si>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</si>
  <si>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</si>
  <si>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</si>
  <si>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</si>
  <si>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</si>
  <si>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</si>
  <si>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</si>
  <si>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</si>
  <si>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</si>
  <si>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</si>
  <si>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</si>
  <si>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</si>
  <si>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</si>
  <si>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</si>
  <si>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</si>
  <si>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</si>
  <si>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</si>
  <si>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</si>
  <si>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</si>
  <si>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</si>
  <si>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</si>
  <si>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</si>
  <si>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</si>
  <si>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</si>
  <si>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</si>
  <si>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</si>
  <si>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</si>
  <si>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</si>
  <si>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</si>
  <si>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</si>
  <si>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</si>
  <si>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</si>
  <si>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</si>
  <si>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</si>
  <si>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</si>
  <si>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</si>
  <si>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</si>
  <si>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</si>
  <si>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</si>
  <si>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</si>
  <si>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</si>
  <si>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</si>
  <si>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</si>
  <si>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</si>
  <si>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</si>
  <si>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</si>
  <si>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</si>
  <si>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</si>
  <si>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</si>
  <si>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</si>
  <si>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</si>
  <si>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</si>
  <si>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</si>
  <si>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</si>
  <si>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</si>
  <si>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</si>
  <si>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</si>
  <si>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</si>
  <si>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</si>
  <si>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</si>
  <si>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</si>
  <si>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</si>
  <si>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</si>
  <si>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</si>
  <si>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</si>
  <si>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</si>
  <si>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</si>
  <si>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</si>
  <si>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</si>
  <si>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</si>
  <si>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</si>
  <si>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</si>
  <si>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</si>
  <si>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</si>
  <si>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</si>
  <si>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</si>
  <si>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</si>
  <si>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</si>
  <si>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</si>
  <si>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</si>
  <si>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</si>
  <si>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</si>
  <si>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</si>
  <si>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</si>
  <si>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</si>
  <si>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</si>
  <si>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</si>
  <si>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</si>
  <si>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</si>
  <si>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</si>
  <si>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</si>
  <si>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</si>
  <si>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</si>
  <si>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</si>
  <si>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</si>
  <si>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</si>
  <si>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</si>
  <si>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</si>
  <si>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</si>
  <si>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</si>
  <si>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</si>
  <si>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</si>
  <si>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</si>
  <si>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</si>
  <si>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</si>
  <si>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</si>
  <si>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</si>
  <si>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</si>
  <si>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</si>
  <si>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</si>
  <si>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</si>
  <si>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</si>
  <si>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</si>
  <si>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</si>
  <si>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</si>
  <si>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</si>
  <si>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</si>
  <si>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</si>
  <si>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</si>
  <si>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</si>
  <si>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</si>
  <si>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</si>
  <si>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</si>
  <si>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</si>
  <si>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</si>
  <si>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</si>
  <si>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</si>
  <si>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</si>
  <si>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</si>
  <si>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</si>
  <si>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</si>
  <si>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</si>
  <si>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</si>
  <si>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</si>
  <si>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</si>
  <si>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</si>
  <si>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</si>
  <si>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</si>
  <si>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</si>
  <si>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</si>
  <si>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</si>
  <si>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</si>
  <si>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</si>
  <si>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</si>
  <si>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</si>
  <si>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</si>
  <si>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</si>
  <si>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</si>
  <si>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</si>
  <si>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</si>
  <si>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</si>
  <si>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3690.HK</t>
  </si>
  <si>
    <t>TMT_01</t>
  </si>
  <si>
    <t>CNY</t>
  </si>
  <si>
    <t>美团</t>
  </si>
  <si>
    <t>N</t>
  </si>
  <si>
    <t>Prompt for fundamental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</si>
</sst>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7" t="s">
        <v>543</v>
      </c>
      <c r="F3" s="438">
        <v>45930</v>
      </c>
    </row>
    <row r="4" spans="1:9" ht="12.4">
      <c r="B4" s="430" t="s">
        <v>538</v>
      </c>
      <c r="C4" s="429" t="s">
        <v>552</v>
      </c>
      <c r="E4" s="439" t="s">
        <v>542</v>
      </c>
      <c r="F4" s="440" t="s">
        <v>326</v>
      </c>
    </row>
    <row r="5" spans="1:9">
      <c r="B5" s="1" t="s">
        <v>352</v>
      </c>
      <c r="C5" s="46" t="s">
        <v>549</v>
      </c>
      <c r="E5" s="442" t="s">
        <v>544</v>
      </c>
      <c r="F5" s="441" t="s">
        <v>553</v>
      </c>
    </row>
    <row r="6" spans="1:9">
      <c r="B6" s="2" t="s">
        <v>53</v>
      </c>
      <c r="C6" s="45" t="s">
        <v>550</v>
      </c>
      <c r="D6" s="45"/>
      <c r="E6" s="45"/>
    </row>
    <row r="7" spans="1:9">
      <c r="B7" s="1" t="s">
        <v>354</v>
      </c>
      <c r="C7" s="45" t="s">
        <v>310</v>
      </c>
      <c r="D7" s="45"/>
      <c r="E7" s="45"/>
    </row>
    <row r="8" spans="1:9">
      <c r="B8" s="4" t="s">
        <v>353</v>
      </c>
      <c r="C8" s="47">
        <v>105.8</v>
      </c>
      <c r="E8" s="32"/>
    </row>
    <row r="9" spans="1:9">
      <c r="B9" s="4" t="s">
        <v>349</v>
      </c>
      <c r="C9" s="48">
        <v>9264431217</v>
      </c>
    </row>
    <row r="10" spans="1:9">
      <c r="B10" s="4" t="s">
        <v>355</v>
      </c>
      <c r="C10" s="33">
        <f>Thesis!C8*Common_Shares/1000000</f>
        <v>980176.8227586</v>
      </c>
      <c r="D10" s="1" t="s">
        <v>533</v>
      </c>
      <c r="E10" s="310">
        <f>Scenarios!F34</f>
        <v>-4.6523136720470086E-2</v>
      </c>
    </row>
    <row r="11" spans="1:9">
      <c r="D11" s="5"/>
      <c r="E11" s="5"/>
    </row>
    <row r="12" spans="1:9" ht="24.5" customHeight="1">
      <c r="B12" s="456" t="s">
        <v>358</v>
      </c>
      <c r="C12" s="456"/>
      <c r="D12" s="456"/>
      <c r="E12" s="456"/>
      <c r="F12" s="456"/>
    </row>
    <row r="14" spans="1:9">
      <c r="B14" s="42" t="str">
        <f>Scenarios!B39&amp;" Valuation Conclusion"</f>
        <v>1-stage DCF Valuation Conclusion</v>
      </c>
      <c r="C14" s="43"/>
    </row>
    <row r="15" spans="1:9">
      <c r="B15" s="1" t="s">
        <v>321</v>
      </c>
      <c r="C15" s="426" t="s">
        <v>259</v>
      </c>
      <c r="D15" s="4" t="s">
        <v>356</v>
      </c>
      <c r="E15" s="259" t="str">
        <f>IF(E17=C7,C7,E17&amp;"/"&amp;C7)</f>
        <v>CNY/HKD</v>
      </c>
    </row>
    <row r="16" spans="1:9">
      <c r="B16" s="1" t="s">
        <v>322</v>
      </c>
      <c r="C16" s="426" t="s">
        <v>259</v>
      </c>
      <c r="D16" s="4" t="s">
        <v>357</v>
      </c>
      <c r="E16" s="425">
        <v>1.0934131500000002</v>
      </c>
    </row>
    <row r="17" spans="1:6">
      <c r="B17" s="1" t="s">
        <v>537</v>
      </c>
      <c r="C17" s="424">
        <v>0</v>
      </c>
      <c r="D17" s="4" t="s">
        <v>275</v>
      </c>
      <c r="E17" s="227" t="s">
        <v>551</v>
      </c>
    </row>
    <row r="18" spans="1:6">
      <c r="B18" s="1" t="str">
        <f>"Expected Equity Value ("&amp;C7&amp;") :"</f>
        <v>Expected Equity Value (HKD) :</v>
      </c>
      <c r="C18" s="258">
        <f>C125</f>
        <v>96.184698028030979</v>
      </c>
      <c r="D18" s="2" t="s">
        <v>350</v>
      </c>
      <c r="E18" s="427">
        <v>6</v>
      </c>
    </row>
    <row r="19" spans="1:6">
      <c r="B19" s="2" t="s">
        <v>276</v>
      </c>
      <c r="C19" s="31" t="str">
        <f>IF(Scenarios!C50="Y",Scenarios!B50,"")&amp;IF(Scenarios!C51="Y",Scenarios!B51,"")&amp;IF(Scenarios!C52="Y",Scenarios!B52,"")&amp;" "&amp;IF(Scenarios!C53="Y",Scenarios!B53,"")</f>
        <v xml:space="preserve">High Growth </v>
      </c>
      <c r="D19" s="1" t="s">
        <v>351</v>
      </c>
      <c r="E19" s="428">
        <f>EOMONTH(EDATE(BS!C1,E18+2),0)</f>
        <v>46081</v>
      </c>
    </row>
    <row r="20" spans="1:6">
      <c r="D20" s="5"/>
      <c r="E20" s="5"/>
    </row>
    <row r="21" spans="1:6">
      <c r="B21" s="42" t="s">
        <v>409</v>
      </c>
      <c r="C21" s="260" t="str">
        <f>C138&amp;" ("&amp;Market_currency&amp;")"</f>
        <v xml:space="preserve"> (HKD)</v>
      </c>
      <c r="D21" s="31" t="s">
        <v>318</v>
      </c>
      <c r="E21" s="451">
        <v>2</v>
      </c>
    </row>
    <row r="22" spans="1:6">
      <c r="B22" s="1" t="s">
        <v>314</v>
      </c>
      <c r="C22" s="261">
        <f>E140</f>
        <v>52.776240344598612</v>
      </c>
      <c r="D22" s="38" t="s">
        <v>411</v>
      </c>
      <c r="E22" s="79">
        <v>0.35</v>
      </c>
    </row>
    <row r="23" spans="1:6">
      <c r="B23" s="1" t="s">
        <v>315</v>
      </c>
      <c r="C23" s="262">
        <f>E141</f>
        <v>61.558206737939827</v>
      </c>
      <c r="D23" s="38" t="s">
        <v>412</v>
      </c>
      <c r="E23" s="452">
        <v>0.25</v>
      </c>
    </row>
    <row r="24" spans="1:6">
      <c r="B24" s="1" t="s">
        <v>317</v>
      </c>
      <c r="C24" s="262">
        <f>E144</f>
        <v>77.035100202753867</v>
      </c>
      <c r="D24" s="38" t="s">
        <v>413</v>
      </c>
      <c r="E24" s="452">
        <v>0.1174</v>
      </c>
    </row>
    <row r="25" spans="1:6">
      <c r="B25" s="1" t="s">
        <v>316</v>
      </c>
      <c r="C25" s="262">
        <f>E145</f>
        <v>83.620235080688303</v>
      </c>
      <c r="D25" s="38" t="s">
        <v>414</v>
      </c>
      <c r="E25" s="453">
        <v>7.2499999999999995E-2</v>
      </c>
    </row>
    <row r="26" spans="1:6">
      <c r="D26" s="5"/>
      <c r="E26" s="5"/>
    </row>
    <row r="27" spans="1:6" ht="13.9">
      <c r="A27" s="202" t="s">
        <v>282</v>
      </c>
      <c r="B27" s="34"/>
      <c r="C27" s="34"/>
      <c r="D27" s="34"/>
      <c r="E27" s="34"/>
      <c r="F27" s="34"/>
    </row>
    <row r="29" spans="1:6">
      <c r="B29" s="456" t="s">
        <v>359</v>
      </c>
      <c r="C29" s="456"/>
      <c r="D29" s="456"/>
      <c r="E29" s="456"/>
      <c r="F29" s="456"/>
    </row>
    <row r="30" spans="1:6" ht="24.5" customHeight="1">
      <c r="B30" s="460" t="s">
        <v>267</v>
      </c>
      <c r="C30" s="460"/>
      <c r="D30" s="460"/>
      <c r="E30" s="460"/>
      <c r="F30" s="460"/>
    </row>
    <row r="32" spans="1:6">
      <c r="B32" s="192" t="s">
        <v>195</v>
      </c>
      <c r="C32" s="105">
        <f>scaling_factor</f>
        <v>1000</v>
      </c>
    </row>
    <row r="33" spans="2:6" ht="24.5" customHeight="1">
      <c r="B33" s="457" t="s">
        <v>196</v>
      </c>
      <c r="C33" s="457"/>
      <c r="D33" s="457"/>
      <c r="E33" s="457"/>
      <c r="F33" s="457"/>
    </row>
    <row r="34" spans="2:6">
      <c r="B34" s="44" t="s">
        <v>197</v>
      </c>
      <c r="C34" s="292">
        <f>Normalized_FCF!C8</f>
        <v>36533617.639999986</v>
      </c>
      <c r="D34" s="1" t="str">
        <f>Reporting_currency</f>
        <v>CNY</v>
      </c>
    </row>
    <row r="35" spans="2:6">
      <c r="B35" s="44"/>
      <c r="C35" s="73"/>
    </row>
    <row r="36" spans="2:6" ht="24.5" customHeight="1">
      <c r="B36" s="457" t="s">
        <v>198</v>
      </c>
      <c r="C36" s="457"/>
      <c r="D36" s="457"/>
      <c r="E36" s="457"/>
      <c r="F36" s="457"/>
    </row>
    <row r="37" spans="2:6">
      <c r="B37" s="44" t="s">
        <v>199</v>
      </c>
      <c r="C37" s="292">
        <f>Normalized_FCF!C15</f>
        <v>0</v>
      </c>
      <c r="D37" s="1" t="str">
        <f>Reporting_currency</f>
        <v>CNY</v>
      </c>
    </row>
    <row r="38" spans="2:6">
      <c r="B38" s="49" t="s">
        <v>200</v>
      </c>
      <c r="C38" s="292">
        <f>Normalized_FCF!C16</f>
        <v>0</v>
      </c>
      <c r="D38" s="1" t="str">
        <f>Reporting_currency</f>
        <v>CNY</v>
      </c>
    </row>
    <row r="40" spans="2:6">
      <c r="B40" s="457" t="s">
        <v>201</v>
      </c>
      <c r="C40" s="457"/>
      <c r="D40" s="457"/>
      <c r="E40" s="457"/>
      <c r="F40" s="457"/>
    </row>
    <row r="41" spans="2:6">
      <c r="B41" s="44" t="s">
        <v>202</v>
      </c>
      <c r="C41" s="292">
        <f>Normalized_FCF!C9</f>
        <v>0</v>
      </c>
      <c r="D41" s="1" t="str">
        <f>Reporting_currency</f>
        <v>CNY</v>
      </c>
    </row>
    <row r="43" spans="2:6">
      <c r="B43" s="457" t="s">
        <v>205</v>
      </c>
      <c r="C43" s="457"/>
      <c r="D43" s="457"/>
      <c r="E43" s="457"/>
      <c r="F43" s="457"/>
    </row>
    <row r="44" spans="2:6">
      <c r="B44" s="44" t="s">
        <v>268</v>
      </c>
      <c r="C44" s="293">
        <f>Normalized_FCF!C46</f>
        <v>301057.95836000005</v>
      </c>
      <c r="D44" s="1" t="str">
        <f>Reporting_currency</f>
        <v>CNY</v>
      </c>
      <c r="E44" s="250"/>
      <c r="F44" s="250"/>
    </row>
    <row r="45" spans="2:6">
      <c r="B45" s="44" t="s">
        <v>269</v>
      </c>
      <c r="C45" s="293">
        <f>Normalized_FCF!C45</f>
        <v>-3058644.12</v>
      </c>
      <c r="D45" s="1" t="str">
        <f>Reporting_currency</f>
        <v>CNY</v>
      </c>
      <c r="E45" s="250"/>
      <c r="F45" s="250"/>
    </row>
    <row r="46" spans="2:6">
      <c r="B46" s="44" t="s">
        <v>203</v>
      </c>
      <c r="C46" s="292">
        <f>Normalized_FCF!C10</f>
        <v>-2757586.1616400001</v>
      </c>
      <c r="D46" s="1" t="str">
        <f>Reporting_currency</f>
        <v>CNY</v>
      </c>
    </row>
    <row r="48" spans="2:6">
      <c r="B48" s="1" t="s">
        <v>211</v>
      </c>
    </row>
    <row r="49" spans="2:6">
      <c r="B49" s="44" t="s">
        <v>223</v>
      </c>
      <c r="C49" s="292">
        <f>Normalized_FCF!C13</f>
        <v>0</v>
      </c>
      <c r="D49" s="1" t="str">
        <f>Reporting_currency</f>
        <v>CNY</v>
      </c>
    </row>
    <row r="51" spans="2:6">
      <c r="B51" s="457" t="s">
        <v>206</v>
      </c>
      <c r="C51" s="457"/>
      <c r="D51" s="457"/>
      <c r="E51" s="457"/>
      <c r="F51" s="457"/>
    </row>
    <row r="52" spans="2:6">
      <c r="B52" s="44" t="s">
        <v>204</v>
      </c>
      <c r="C52" s="292">
        <f>Normalized_FCF!C12</f>
        <v>-8444007.8695899956</v>
      </c>
      <c r="D52" s="1" t="str">
        <f>Reporting_currency</f>
        <v>CNY</v>
      </c>
    </row>
    <row r="54" spans="2:6">
      <c r="B54" s="457" t="s">
        <v>266</v>
      </c>
      <c r="C54" s="458"/>
      <c r="D54" s="458"/>
      <c r="E54" s="458"/>
      <c r="F54" s="458"/>
    </row>
    <row r="55" spans="2:6">
      <c r="B55" s="44" t="s">
        <v>207</v>
      </c>
      <c r="C55" s="292">
        <f>Normalized_FCF!C17</f>
        <v>0</v>
      </c>
      <c r="D55" s="1" t="str">
        <f>Reporting_currency</f>
        <v>CNY</v>
      </c>
    </row>
    <row r="57" spans="2:6" ht="24.5" customHeight="1">
      <c r="B57" s="456" t="s">
        <v>271</v>
      </c>
      <c r="C57" s="456"/>
      <c r="D57" s="456"/>
      <c r="E57" s="456"/>
      <c r="F57" s="456"/>
    </row>
    <row r="58" spans="2:6" ht="24.5" customHeight="1">
      <c r="B58" s="456" t="s">
        <v>284</v>
      </c>
      <c r="C58" s="456"/>
      <c r="D58" s="456"/>
      <c r="E58" s="456"/>
      <c r="F58" s="456"/>
    </row>
    <row r="60" spans="2:6">
      <c r="B60" s="44" t="s">
        <v>227</v>
      </c>
      <c r="C60" s="292">
        <f>Normalized_FCF!G19</f>
        <v>31053328.82592709</v>
      </c>
      <c r="D60" s="1" t="str">
        <f>Reporting_currency</f>
        <v>CNY</v>
      </c>
    </row>
    <row r="61" spans="2:6">
      <c r="B61" s="44" t="s">
        <v>213</v>
      </c>
      <c r="C61" s="292">
        <f>Normalized_FCF!C19</f>
        <v>25332023.608769987</v>
      </c>
      <c r="D61" s="1" t="str">
        <f>Reporting_currency</f>
        <v>CNY</v>
      </c>
    </row>
    <row r="62" spans="2:6">
      <c r="B62" s="206" t="s">
        <v>304</v>
      </c>
      <c r="C62" s="89">
        <f>Normalized_FCF!C124</f>
        <v>2.8258541812879789E-2</v>
      </c>
      <c r="F62" s="263"/>
    </row>
    <row r="63" spans="2:6">
      <c r="B63" s="206" t="s">
        <v>334</v>
      </c>
      <c r="C63" s="89">
        <f>Normalized_FCF!C92</f>
        <v>0</v>
      </c>
      <c r="E63" s="44" t="s">
        <v>324</v>
      </c>
      <c r="F63" s="264">
        <f>Normalized_FCF!C90</f>
        <v>0</v>
      </c>
    </row>
    <row r="65" spans="1:6">
      <c r="B65" s="192" t="s">
        <v>327</v>
      </c>
      <c r="C65" s="270" t="s">
        <v>329</v>
      </c>
      <c r="D65" s="270" t="s">
        <v>330</v>
      </c>
    </row>
    <row r="66" spans="1:6">
      <c r="B66" s="44" t="s">
        <v>328</v>
      </c>
      <c r="C66" s="89">
        <f>Normalized_FCF!C119</f>
        <v>0.18326900662864964</v>
      </c>
      <c r="D66" s="89">
        <f>Normalized_FCF!G119</f>
        <v>0.18031480234826702</v>
      </c>
    </row>
    <row r="67" spans="1:6">
      <c r="B67" s="232" t="str">
        <f>Normalized_FCF!B116</f>
        <v>Pre-tax Profit/Sales</v>
      </c>
      <c r="C67" s="269">
        <f>Normalized_FCF!C116</f>
        <v>0.10004998311438904</v>
      </c>
      <c r="D67" s="269">
        <f>Normalized_FCF!G116</f>
        <v>9.8437227669232741E-2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483</v>
      </c>
      <c r="B71" s="34"/>
      <c r="C71" s="34"/>
      <c r="D71" s="34"/>
      <c r="E71" s="34"/>
      <c r="F71" s="34"/>
    </row>
    <row r="72" spans="1:6">
      <c r="A72" s="191"/>
    </row>
    <row r="73" spans="1:6">
      <c r="A73" s="191"/>
      <c r="B73" s="456" t="s">
        <v>484</v>
      </c>
      <c r="C73" s="456"/>
      <c r="D73" s="456"/>
      <c r="E73" s="456"/>
      <c r="F73" s="456"/>
    </row>
    <row r="74" spans="1:6">
      <c r="A74" s="191"/>
      <c r="B74" s="1" t="s">
        <v>471</v>
      </c>
    </row>
    <row r="75" spans="1:6">
      <c r="A75" s="191"/>
    </row>
    <row r="76" spans="1:6">
      <c r="A76" s="191"/>
      <c r="B76" s="192" t="s">
        <v>195</v>
      </c>
    </row>
    <row r="77" spans="1:6">
      <c r="A77" s="191"/>
      <c r="B77" s="456" t="s">
        <v>272</v>
      </c>
      <c r="C77" s="456"/>
      <c r="D77" s="456"/>
      <c r="E77" s="456"/>
      <c r="F77" s="456"/>
    </row>
    <row r="78" spans="1:6">
      <c r="A78" s="191"/>
      <c r="B78" s="1" t="s">
        <v>215</v>
      </c>
      <c r="C78" s="292">
        <f>DCF!F4</f>
        <v>-50977402</v>
      </c>
      <c r="D78" s="1" t="str">
        <f>Reporting_currency</f>
        <v>CNY</v>
      </c>
    </row>
    <row r="79" spans="1:6">
      <c r="A79" s="191"/>
      <c r="B79" s="44" t="s">
        <v>234</v>
      </c>
      <c r="C79" s="203">
        <f>C78*scaling_factor*Exchange_Rate/Common_Shares</f>
        <v>-6.0164904238649823</v>
      </c>
      <c r="D79" s="1" t="str">
        <f>Market_currency</f>
        <v>HKD</v>
      </c>
    </row>
    <row r="80" spans="1:6">
      <c r="A80" s="191"/>
      <c r="B80" s="232" t="s">
        <v>311</v>
      </c>
      <c r="C80" s="345">
        <f>IF(BS!G31/BS!G27&gt;300%,"nm",BS!G31/BS!G27)</f>
        <v>0.27660377540313014</v>
      </c>
    </row>
    <row r="81" spans="1:6">
      <c r="A81" s="191"/>
      <c r="B81" s="232" t="s">
        <v>313</v>
      </c>
      <c r="C81" s="346">
        <f>IF(BS!C50&gt;30,"nm",BS!C50)</f>
        <v>1.3953559842424632</v>
      </c>
    </row>
    <row r="82" spans="1:6">
      <c r="A82" s="191"/>
    </row>
    <row r="83" spans="1:6">
      <c r="A83" s="191"/>
      <c r="B83" s="1" t="s">
        <v>472</v>
      </c>
    </row>
    <row r="84" spans="1:6">
      <c r="A84" s="191"/>
      <c r="B84" s="1" t="s">
        <v>224</v>
      </c>
      <c r="C84" s="292">
        <f>DCF!F5</f>
        <v>69400678.606666654</v>
      </c>
      <c r="D84" s="1" t="str">
        <f>Reporting_currency</f>
        <v>CNY</v>
      </c>
    </row>
    <row r="85" spans="1:6">
      <c r="A85" s="191"/>
      <c r="B85" s="232" t="s">
        <v>222</v>
      </c>
      <c r="C85" s="298">
        <f>BS!C66</f>
        <v>119577005</v>
      </c>
      <c r="D85" s="347" t="str">
        <f>Reporting_currency</f>
        <v>CNY</v>
      </c>
    </row>
    <row r="86" spans="1:6">
      <c r="A86" s="191"/>
      <c r="B86" s="44" t="s">
        <v>235</v>
      </c>
      <c r="C86" s="203">
        <f>C84*scaling_factor*Exchange_Rate/Common_Shares</f>
        <v>8.1908551998538748</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6.835738418536037</v>
      </c>
      <c r="D90" s="1" t="str">
        <f>Market_currency</f>
        <v>HKD</v>
      </c>
    </row>
    <row r="91" spans="1:6">
      <c r="A91" s="191"/>
    </row>
    <row r="92" spans="1:6">
      <c r="A92" s="191"/>
      <c r="B92" s="44" t="s">
        <v>475</v>
      </c>
      <c r="C92" s="219">
        <f>DCF!F8</f>
        <v>9.0101031945249304</v>
      </c>
      <c r="D92" s="44" t="str">
        <f>Market_currency</f>
        <v>HKD</v>
      </c>
    </row>
    <row r="94" spans="1:6" ht="13.9">
      <c r="A94" s="202" t="s">
        <v>476</v>
      </c>
      <c r="B94" s="34"/>
      <c r="C94" s="34"/>
      <c r="D94" s="34"/>
      <c r="E94" s="34"/>
      <c r="F94" s="34"/>
    </row>
    <row r="95" spans="1:6">
      <c r="A95" s="191"/>
    </row>
    <row r="96" spans="1:6" ht="11.75" customHeight="1">
      <c r="B96" s="456" t="s">
        <v>491</v>
      </c>
      <c r="C96" s="456"/>
      <c r="D96" s="456"/>
      <c r="E96" s="456"/>
      <c r="F96" s="456"/>
    </row>
    <row r="97" spans="2:6">
      <c r="B97" s="460" t="s">
        <v>490</v>
      </c>
      <c r="C97" s="460"/>
      <c r="D97" s="460"/>
      <c r="E97" s="460"/>
      <c r="F97" s="460"/>
    </row>
    <row r="98" spans="2:6">
      <c r="B98" s="460" t="s">
        <v>489</v>
      </c>
      <c r="C98" s="460"/>
      <c r="D98" s="460"/>
      <c r="E98" s="460"/>
      <c r="F98" s="460"/>
    </row>
    <row r="100" spans="2:6">
      <c r="B100" s="192" t="s">
        <v>195</v>
      </c>
    </row>
    <row r="101" spans="2:6">
      <c r="B101" s="49" t="s">
        <v>473</v>
      </c>
      <c r="C101" s="214">
        <f>E25+C103</f>
        <v>7.2499999999999995E-2</v>
      </c>
    </row>
    <row r="102" spans="2:6">
      <c r="B102" s="232" t="s">
        <v>320</v>
      </c>
      <c r="C102" s="269">
        <f>E25</f>
        <v>7.2499999999999995E-2</v>
      </c>
    </row>
    <row r="103" spans="2:6">
      <c r="B103" s="232" t="s">
        <v>319</v>
      </c>
      <c r="C103" s="269">
        <f>IF(C15="Y",1%,0)+IF(C16="Y",1%,0)</f>
        <v>0</v>
      </c>
    </row>
    <row r="104" spans="2:6">
      <c r="B104" s="44" t="s">
        <v>214</v>
      </c>
      <c r="C104" s="214">
        <f>Terminal_Growth</f>
        <v>0</v>
      </c>
    </row>
    <row r="106" spans="2:6">
      <c r="B106" s="256" t="s">
        <v>283</v>
      </c>
      <c r="C106" s="116"/>
    </row>
    <row r="107" spans="2:6">
      <c r="B107" s="456" t="s">
        <v>285</v>
      </c>
      <c r="C107" s="456"/>
      <c r="D107" s="456"/>
      <c r="E107" s="456"/>
      <c r="F107" s="456"/>
    </row>
    <row r="108" spans="2:6">
      <c r="B108" s="456" t="s">
        <v>286</v>
      </c>
      <c r="C108" s="456"/>
      <c r="D108" s="456"/>
      <c r="E108" s="456"/>
      <c r="F108" s="456"/>
    </row>
    <row r="110" spans="2:6">
      <c r="B110" s="192" t="s">
        <v>493</v>
      </c>
    </row>
    <row r="111" spans="2:6">
      <c r="B111" s="49" t="s">
        <v>474</v>
      </c>
      <c r="C111" s="219">
        <f>BS!D47</f>
        <v>3.4847807782490903</v>
      </c>
      <c r="D111" s="1" t="str">
        <f>Market_currency</f>
        <v>HKD</v>
      </c>
    </row>
    <row r="112" spans="2:6">
      <c r="B112" s="44" t="s">
        <v>325</v>
      </c>
      <c r="C112" s="219">
        <f>DCF!C11</f>
        <v>50.248085591803303</v>
      </c>
      <c r="D112" s="1" t="str">
        <f>Market_currency</f>
        <v>HKD</v>
      </c>
    </row>
    <row r="114" spans="2:6" ht="24.5" customHeight="1">
      <c r="B114" s="456" t="s">
        <v>497</v>
      </c>
      <c r="C114" s="456"/>
      <c r="D114" s="456"/>
      <c r="E114" s="456"/>
      <c r="F114" s="456"/>
    </row>
    <row r="116" spans="2:6">
      <c r="B116" s="192" t="s">
        <v>494</v>
      </c>
    </row>
    <row r="117" spans="2:6" ht="12.4">
      <c r="B117" s="350" t="s">
        <v>101</v>
      </c>
      <c r="C117" s="350" t="s">
        <v>110</v>
      </c>
      <c r="D117" s="350" t="s">
        <v>99</v>
      </c>
      <c r="E117" s="350" t="s">
        <v>219</v>
      </c>
      <c r="F117" s="350" t="s">
        <v>124</v>
      </c>
    </row>
    <row r="118" spans="2:6">
      <c r="B118" s="207" t="str">
        <f>DCF!B74</f>
        <v>Snowball Scenario</v>
      </c>
      <c r="C118" s="208">
        <f>DCF!C74</f>
        <v>0.3</v>
      </c>
      <c r="D118" s="209">
        <f>DCF!D74</f>
        <v>5</v>
      </c>
      <c r="E118" s="210" t="str">
        <f>ROUND(DCF!E74,2)&amp;" "&amp;Market_currency</f>
        <v>152.23 HKD</v>
      </c>
      <c r="F118" s="211">
        <f>DCF!F74</f>
        <v>0.05</v>
      </c>
    </row>
    <row r="119" spans="2:6">
      <c r="B119" s="198" t="str">
        <f>DCF!B75</f>
        <v>Optimistic</v>
      </c>
      <c r="C119" s="199">
        <f>DCF!C75</f>
        <v>0.25</v>
      </c>
      <c r="D119" s="200">
        <f>DCF!D75</f>
        <v>5</v>
      </c>
      <c r="E119" s="210" t="str">
        <f>ROUND(DCF!E75,2)&amp;" "&amp;Market_currency</f>
        <v>127.77 HKD</v>
      </c>
      <c r="F119" s="201">
        <f>DCF!F75</f>
        <v>0.17999999999999994</v>
      </c>
    </row>
    <row r="120" spans="2:6">
      <c r="B120" s="198" t="str">
        <f>DCF!B76</f>
        <v>Base</v>
      </c>
      <c r="C120" s="199">
        <f>DCF!C76</f>
        <v>0.18</v>
      </c>
      <c r="D120" s="200">
        <f>DCF!D76</f>
        <v>5</v>
      </c>
      <c r="E120" s="210" t="str">
        <f>ROUND(DCF!E76,2)&amp;" "&amp;Market_currency</f>
        <v>99.29 HKD</v>
      </c>
      <c r="F120" s="201">
        <f>DCF!F76</f>
        <v>0.495</v>
      </c>
    </row>
    <row r="121" spans="2:6">
      <c r="B121" s="198" t="str">
        <f>DCF!B77</f>
        <v>Pessimistic</v>
      </c>
      <c r="C121" s="199">
        <f>DCF!C77</f>
        <v>0.05</v>
      </c>
      <c r="D121" s="200">
        <f>DCF!D77</f>
        <v>5</v>
      </c>
      <c r="E121" s="210" t="str">
        <f>ROUND(DCF!E77,2)&amp;" "&amp;Market_currency</f>
        <v>60.94 HKD</v>
      </c>
      <c r="F121" s="201">
        <f>DCF!F77</f>
        <v>0.22499999999999998</v>
      </c>
    </row>
    <row r="122" spans="2:6">
      <c r="B122" s="198" t="str">
        <f>DCF!B78</f>
        <v>Devil's advocate</v>
      </c>
      <c r="C122" s="199">
        <f>DCF!C78</f>
        <v>0.02</v>
      </c>
      <c r="D122" s="200">
        <f>DCF!D78</f>
        <v>5</v>
      </c>
      <c r="E122" s="210" t="str">
        <f>ROUND(DCF!E78,2)&amp;" "&amp;Market_currency</f>
        <v>54.29 HKD</v>
      </c>
      <c r="F122" s="201">
        <f>DCF!F78</f>
        <v>0.05</v>
      </c>
    </row>
    <row r="124" spans="2:6">
      <c r="B124" s="457" t="s">
        <v>360</v>
      </c>
      <c r="C124" s="457"/>
      <c r="D124" s="457"/>
      <c r="E124" s="457"/>
      <c r="F124" s="457"/>
    </row>
    <row r="125" spans="2:6">
      <c r="B125" s="193" t="s">
        <v>218</v>
      </c>
      <c r="C125" s="197">
        <f>Scenarios!C36</f>
        <v>96.184698028030979</v>
      </c>
      <c r="D125" s="194" t="str">
        <f>Market_currency</f>
        <v>HKD</v>
      </c>
    </row>
    <row r="127" spans="2:6" ht="24.5" customHeight="1">
      <c r="B127" s="459" t="s">
        <v>361</v>
      </c>
      <c r="C127" s="459"/>
      <c r="D127" s="459"/>
      <c r="E127" s="459"/>
      <c r="F127" s="459"/>
    </row>
    <row r="129" spans="1:6" ht="13.9">
      <c r="A129" s="202" t="s">
        <v>480</v>
      </c>
      <c r="B129" s="34"/>
      <c r="C129" s="34"/>
      <c r="D129" s="34"/>
      <c r="E129" s="34"/>
      <c r="F129" s="34"/>
    </row>
    <row r="131" spans="1:6">
      <c r="B131" s="461" t="s">
        <v>287</v>
      </c>
      <c r="C131" s="461"/>
      <c r="D131" s="461"/>
      <c r="E131" s="461"/>
      <c r="F131" s="461"/>
    </row>
    <row r="132" spans="1:6">
      <c r="B132" s="456" t="s">
        <v>362</v>
      </c>
      <c r="C132" s="456"/>
      <c r="D132" s="456"/>
      <c r="E132" s="456"/>
      <c r="F132" s="456"/>
    </row>
    <row r="134" spans="1:6">
      <c r="B134" s="192" t="s">
        <v>195</v>
      </c>
    </row>
    <row r="135" spans="1:6">
      <c r="B135" s="1" t="s">
        <v>221</v>
      </c>
      <c r="C135" s="204">
        <f>E21</f>
        <v>2</v>
      </c>
    </row>
    <row r="136" spans="1:6">
      <c r="B136" s="194" t="s">
        <v>220</v>
      </c>
      <c r="C136" s="195">
        <f>Scenarios!C58</f>
        <v>0</v>
      </c>
      <c r="D136" s="194" t="str">
        <f>Market_currency</f>
        <v>HKD</v>
      </c>
    </row>
    <row r="138" spans="1:6">
      <c r="B138" s="192" t="s">
        <v>500</v>
      </c>
      <c r="C138" s="217"/>
      <c r="D138" s="218"/>
    </row>
    <row r="139" spans="1:6" ht="12.4">
      <c r="B139" s="348" t="s">
        <v>468</v>
      </c>
      <c r="C139" s="348" t="str">
        <f>"PV("&amp;Holding_Period&amp;" yrs of Dividends)"</f>
        <v>PV(2 yrs of Dividends)</v>
      </c>
      <c r="D139" s="348" t="s">
        <v>477</v>
      </c>
      <c r="E139" s="349" t="str">
        <f>"Buy below ("&amp;Market_currency&amp;")"</f>
        <v>Buy below (HKD)</v>
      </c>
      <c r="F139" s="349" t="s">
        <v>478</v>
      </c>
    </row>
    <row r="140" spans="1:6">
      <c r="B140" s="344" t="s">
        <v>314</v>
      </c>
      <c r="C140" s="341">
        <f>Scenarios!C62</f>
        <v>0</v>
      </c>
      <c r="D140" s="341">
        <f>Scenarios!D62</f>
        <v>52.776240344598612</v>
      </c>
      <c r="E140" s="342">
        <f>Scenarios!E62</f>
        <v>52.776240344598612</v>
      </c>
      <c r="F140" s="343">
        <f>E22</f>
        <v>0.35</v>
      </c>
    </row>
    <row r="141" spans="1:6">
      <c r="B141" s="344" t="s">
        <v>315</v>
      </c>
      <c r="C141" s="341">
        <f>Scenarios!C63</f>
        <v>0</v>
      </c>
      <c r="D141" s="341">
        <f>Scenarios!D63</f>
        <v>61.558206737939827</v>
      </c>
      <c r="E141" s="342">
        <f>Scenarios!E63</f>
        <v>61.558206737939827</v>
      </c>
      <c r="F141" s="343">
        <f>Scenarios!F63</f>
        <v>0.25</v>
      </c>
    </row>
    <row r="142" spans="1:6">
      <c r="B142" s="194"/>
      <c r="C142" s="194"/>
      <c r="D142" s="194"/>
      <c r="E142" s="194"/>
      <c r="F142" s="194"/>
    </row>
    <row r="143" spans="1:6" ht="12.4">
      <c r="B143" s="348" t="s">
        <v>469</v>
      </c>
      <c r="C143" s="348" t="str">
        <f>"PV("&amp;Holding_Period&amp;" yrs of Dividends)"</f>
        <v>PV(2 yrs of Dividends)</v>
      </c>
      <c r="D143" s="348" t="s">
        <v>477</v>
      </c>
      <c r="E143" s="349" t="str">
        <f>"Sell above ("&amp;Market_currency&amp;")"</f>
        <v>Sell above (HKD)</v>
      </c>
      <c r="F143" s="349" t="s">
        <v>478</v>
      </c>
    </row>
    <row r="144" spans="1:6">
      <c r="B144" s="344" t="s">
        <v>317</v>
      </c>
      <c r="C144" s="341">
        <f>Scenarios!C66</f>
        <v>0</v>
      </c>
      <c r="D144" s="341">
        <f>Scenarios!D66</f>
        <v>77.035100202753867</v>
      </c>
      <c r="E144" s="342">
        <f>Scenarios!E66</f>
        <v>77.035100202753867</v>
      </c>
      <c r="F144" s="343">
        <f>E24</f>
        <v>0.1174</v>
      </c>
    </row>
    <row r="145" spans="1:6">
      <c r="B145" s="344" t="s">
        <v>316</v>
      </c>
      <c r="C145" s="341">
        <f>Scenarios!C67</f>
        <v>0</v>
      </c>
      <c r="D145" s="341">
        <f>Scenarios!D67</f>
        <v>83.620235080688303</v>
      </c>
      <c r="E145" s="342">
        <f>Scenarios!E67</f>
        <v>83.620235080688303</v>
      </c>
      <c r="F145" s="343">
        <f>Scenarios!F67</f>
        <v>7.2499999999999995E-2</v>
      </c>
    </row>
    <row r="147" spans="1:6" ht="13.9">
      <c r="A147" s="202" t="s">
        <v>481</v>
      </c>
      <c r="B147" s="34"/>
      <c r="C147" s="34"/>
      <c r="D147" s="34"/>
      <c r="E147" s="34"/>
      <c r="F147" s="34"/>
    </row>
    <row r="149" spans="1:6">
      <c r="B149" s="455" t="s">
        <v>363</v>
      </c>
      <c r="C149" s="456"/>
      <c r="D149" s="456"/>
      <c r="E149" s="456"/>
      <c r="F149" s="456"/>
    </row>
    <row r="151" spans="1:6">
      <c r="B151" s="192" t="s">
        <v>291</v>
      </c>
    </row>
    <row r="152" spans="1:6">
      <c r="B152" s="458" t="s">
        <v>295</v>
      </c>
      <c r="C152" s="458"/>
      <c r="D152" s="458"/>
      <c r="E152" s="458"/>
      <c r="F152" s="458"/>
    </row>
    <row r="153" spans="1:6">
      <c r="B153" s="196" t="s">
        <v>292</v>
      </c>
    </row>
    <row r="154" spans="1:6">
      <c r="B154" s="196" t="s">
        <v>293</v>
      </c>
    </row>
    <row r="155" spans="1:6">
      <c r="B155" s="196" t="s">
        <v>294</v>
      </c>
    </row>
    <row r="157" spans="1:6">
      <c r="B157" s="1" t="s">
        <v>298</v>
      </c>
    </row>
    <row r="158" spans="1:6" ht="34.25" customHeight="1">
      <c r="B158" s="457" t="s">
        <v>444</v>
      </c>
      <c r="C158" s="457"/>
      <c r="D158" s="457"/>
      <c r="E158" s="457"/>
      <c r="F158" s="457"/>
    </row>
    <row r="160" spans="1:6">
      <c r="B160" s="1" t="s">
        <v>299</v>
      </c>
    </row>
    <row r="161" spans="2:6" ht="24.5" customHeight="1">
      <c r="B161" s="454" t="s">
        <v>296</v>
      </c>
      <c r="C161" s="454"/>
      <c r="D161" s="454"/>
      <c r="E161" s="454"/>
      <c r="F161" s="454"/>
    </row>
    <row r="162" spans="2:6" ht="24.5" customHeight="1">
      <c r="B162" s="454" t="s">
        <v>297</v>
      </c>
      <c r="C162" s="454"/>
      <c r="D162" s="454"/>
      <c r="E162" s="454"/>
      <c r="F162" s="454"/>
    </row>
    <row r="164" spans="2:6">
      <c r="B164" s="1" t="s">
        <v>303</v>
      </c>
    </row>
    <row r="165" spans="2:6">
      <c r="B165" s="196" t="s">
        <v>300</v>
      </c>
    </row>
    <row r="166" spans="2:6">
      <c r="B166" s="196" t="s">
        <v>301</v>
      </c>
    </row>
    <row r="167" spans="2:6">
      <c r="B167" s="196" t="s">
        <v>302</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70" zoomScaleNormal="70" workbookViewId="0">
      <pane xSplit="2" ySplit="1" topLeftCell="C35" activePane="bottomRight" state="frozen"/>
      <selection pane="topRight" activeCell="C1" sqref="C1"/>
      <selection pane="bottomLeft" activeCell="A2" sqref="A2"/>
      <selection pane="bottomRight" activeCell="F21" sqref="F2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v>-237258</v>
      </c>
      <c r="D22" s="294"/>
      <c r="E22" s="294"/>
      <c r="F22" s="294"/>
      <c r="G22" s="294"/>
      <c r="H22" s="294"/>
      <c r="I22" s="294"/>
      <c r="J22" s="294"/>
      <c r="K22" s="294"/>
      <c r="L22" s="294"/>
      <c r="M22" s="294"/>
    </row>
    <row r="23" spans="2:13">
      <c r="B23" s="26" t="s">
        <v>290</v>
      </c>
      <c r="C23" s="294">
        <v>23438</v>
      </c>
      <c r="D23" s="294"/>
      <c r="E23" s="294"/>
      <c r="F23" s="294"/>
      <c r="G23" s="294"/>
      <c r="H23" s="294"/>
      <c r="I23" s="294"/>
      <c r="J23" s="294"/>
      <c r="K23" s="294"/>
      <c r="L23" s="294"/>
      <c r="M23" s="294"/>
    </row>
    <row r="24" spans="2:13">
      <c r="B24" s="26" t="s">
        <v>289</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188</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307</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0" zoomScaleNormal="7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407</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312</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21.758182010999235</v>
      </c>
      <c r="D47" s="134">
        <f>D46*H1/Common_Shares*Exchange_Rate</f>
        <v>3.4847807782490903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1.3953559842424632</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0.37339741587150826</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69400678.606666654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-25088163.196666669</v>
      </c>
      <c r="F73" s="1" t="s">
        <v>279</v>
      </c>
    </row>
    <row r="74" spans="2:6" ht="15" customHeight="1">
      <c r="B74" s="230" t="s">
        <v>260</v>
      </c>
      <c r="C74" s="231">
        <f>-$C$66/C73</f>
        <v>4.7269084404820152</v>
      </c>
      <c r="D74" s="231">
        <f>-$C$66/D73</f>
        <v>4.7662718096431851</v>
      </c>
      <c r="F74" s="226" t="s">
        <v>257</v>
      </c>
    </row>
    <row r="75" spans="2:6" ht="15" customHeight="1">
      <c r="B75" s="77" t="s">
        <v>258</v>
      </c>
      <c r="C75" s="267"/>
      <c r="D75" s="268">
        <f>MAX(-D73*D76,G5)</f>
        <v>50176326.393333338</v>
      </c>
      <c r="F75" s="226" t="s">
        <v>280</v>
      </c>
    </row>
    <row r="76" spans="2:6" ht="15" customHeight="1">
      <c r="B76" s="232" t="s">
        <v>261</v>
      </c>
      <c r="C76" s="233"/>
      <c r="D76" s="254">
        <f>IF(D74&lt;=3,1,IF(D74&gt;18,6,2))</f>
        <v>2</v>
      </c>
      <c r="F76" s="226" t="s">
        <v>262</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55739361.69963631</v>
      </c>
      <c r="D86" s="203">
        <f>C86*scaling_factor/Common_Shares</f>
        <v>6.0164904238649823</v>
      </c>
      <c r="E86" s="217" t="str">
        <f>Market_currency</f>
        <v>HKD</v>
      </c>
    </row>
    <row r="87" spans="2:8" ht="15" customHeight="1">
      <c r="B87" s="215" t="s">
        <v>240</v>
      </c>
      <c r="C87" s="73">
        <f>DCF!F5*Exchange_Rate</f>
        <v>75883614.607453004</v>
      </c>
      <c r="D87" s="203">
        <f>C87*scaling_factor/Common_Shares</f>
        <v>8.190855199853873</v>
      </c>
      <c r="E87" s="217" t="str">
        <f>Market_currency</f>
        <v>HKD</v>
      </c>
    </row>
    <row r="88" spans="2:8" ht="15" customHeight="1">
      <c r="B88" s="216" t="s">
        <v>159</v>
      </c>
      <c r="C88" s="73">
        <f>DCF!F6*Exchange_Rate</f>
        <v>63329228.395931475</v>
      </c>
      <c r="D88" s="203">
        <f>C88*scaling_factor/Common_Shares</f>
        <v>6.835738418536037</v>
      </c>
      <c r="E88" s="217" t="str">
        <f>Market_currency</f>
        <v>HKD</v>
      </c>
    </row>
    <row r="89" spans="2:8" ht="15" customHeight="1">
      <c r="B89" s="77" t="s">
        <v>244</v>
      </c>
      <c r="C89" s="162">
        <f>SUM(C86:C88)</f>
        <v>194952204.70302078</v>
      </c>
      <c r="D89" s="219">
        <f>SUM(D86:D88)</f>
        <v>21.04308404225489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85" workbookViewId="0">
      <pane xSplit="2" ySplit="1" topLeftCell="C20" activePane="bottomRight" state="frozen"/>
      <selection activeCell="C17" sqref="C17"/>
      <selection pane="topRight" activeCell="C17" sqref="C17"/>
      <selection pane="bottomLeft" activeCell="C17" sqref="C17"/>
      <selection pane="bottomRight" activeCell="C32" sqref="C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1"/>
      <c r="F3" s="9"/>
      <c r="G3" s="16" t="s">
        <v>415</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-290328755.36000001</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47262820.639999986</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36533617.639999986</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420</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-2757586.1616400001</v>
      </c>
      <c r="E10" s="241"/>
      <c r="G10" s="273">
        <f>G48</f>
        <v>-794976.1740729101</v>
      </c>
      <c r="H10" s="273">
        <f t="shared" ref="H10:Q10" si="6">H48</f>
        <v>-1081498.0427651161</v>
      </c>
      <c r="I10" s="273">
        <f t="shared" si="6"/>
        <v>-1352756.816616538</v>
      </c>
      <c r="J10" s="273">
        <f t="shared" si="6"/>
        <v>-901809.58634010307</v>
      </c>
      <c r="K10" s="273">
        <f t="shared" si="6"/>
        <v>0</v>
      </c>
      <c r="L10" s="273">
        <f t="shared" si="6"/>
        <v>0</v>
      </c>
      <c r="M10" s="273">
        <f t="shared" si="6"/>
        <v>123386.58462787631</v>
      </c>
      <c r="N10" s="273">
        <f t="shared" si="6"/>
        <v>6334.2701917321028</v>
      </c>
      <c r="O10" s="273">
        <f t="shared" si="6"/>
        <v>-46883.323297578325</v>
      </c>
      <c r="P10" s="273">
        <f t="shared" si="6"/>
        <v>-50878.990857087221</v>
      </c>
      <c r="Q10" s="273" t="str">
        <f t="shared" si="6"/>
        <v/>
      </c>
    </row>
    <row r="11" spans="1:17" ht="15.75" customHeight="1">
      <c r="A11" s="10"/>
      <c r="B11" s="67" t="s">
        <v>137</v>
      </c>
      <c r="C11" s="274">
        <f>SUM(C8:C10)</f>
        <v>33776031.478359982</v>
      </c>
      <c r="E11" s="241"/>
      <c r="G11" s="274">
        <f t="shared" ref="G11:Q11" si="7">IF(G$4="","",SUM(G8:G10))</f>
        <v>33231578.82592709</v>
      </c>
      <c r="H11" s="274">
        <f t="shared" si="7"/>
        <v>6919593.9572348837</v>
      </c>
      <c r="I11" s="274">
        <f t="shared" si="7"/>
        <v>-9856564.8166165389</v>
      </c>
      <c r="J11" s="274">
        <f t="shared" si="7"/>
        <v>-24399068.586340103</v>
      </c>
      <c r="K11" s="274">
        <f t="shared" si="7"/>
        <v>-3318952</v>
      </c>
      <c r="L11" s="274">
        <f t="shared" si="7"/>
        <v>716703</v>
      </c>
      <c r="M11" s="274">
        <f t="shared" si="7"/>
        <v>-13547148.415372124</v>
      </c>
      <c r="N11" s="274">
        <f t="shared" si="7"/>
        <v>-4500891.7298082681</v>
      </c>
      <c r="O11" s="274">
        <f t="shared" si="7"/>
        <v>-6532058.3232975779</v>
      </c>
      <c r="P11" s="274">
        <f t="shared" si="7"/>
        <v>-8521838.9908570871</v>
      </c>
      <c r="Q11" s="274" t="str">
        <f t="shared" si="7"/>
        <v/>
      </c>
    </row>
    <row r="12" spans="1:17" ht="15.75" customHeight="1">
      <c r="A12" s="10"/>
      <c r="B12" s="2" t="s">
        <v>60</v>
      </c>
      <c r="C12" s="273">
        <f>-C11*C41</f>
        <v>-8444007.8695899956</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25332023.608769987</v>
      </c>
      <c r="D14" s="58"/>
      <c r="E14" s="249"/>
      <c r="F14" s="58"/>
      <c r="G14" s="274">
        <f t="shared" ref="G14:Q14" si="8">IF(G$4="","",SUM(G11:G13))</f>
        <v>31053328.82592709</v>
      </c>
      <c r="H14" s="274">
        <f t="shared" si="8"/>
        <v>6755056.9572348837</v>
      </c>
      <c r="I14" s="274">
        <f t="shared" si="8"/>
        <v>-9786370.8166165389</v>
      </c>
      <c r="J14" s="274">
        <f t="shared" si="8"/>
        <v>-24368789.586340103</v>
      </c>
      <c r="K14" s="274">
        <f t="shared" si="8"/>
        <v>-3049215</v>
      </c>
      <c r="L14" s="274">
        <f t="shared" si="8"/>
        <v>190480</v>
      </c>
      <c r="M14" s="274">
        <f t="shared" si="8"/>
        <v>-13549036.415372124</v>
      </c>
      <c r="N14" s="274">
        <f t="shared" si="8"/>
        <v>-4555109.7298082681</v>
      </c>
      <c r="O14" s="274">
        <f t="shared" si="8"/>
        <v>-6799961.3232975779</v>
      </c>
      <c r="P14" s="274">
        <f t="shared" si="8"/>
        <v>-8510190.9908570871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402</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25332023.608769987</v>
      </c>
      <c r="D19" s="26"/>
      <c r="E19" s="238"/>
      <c r="F19" s="26"/>
      <c r="G19" s="278">
        <f t="shared" ref="G19:Q19" si="9">IF(G$4="","",G14+G17)</f>
        <v>31053328.82592709</v>
      </c>
      <c r="H19" s="278">
        <f t="shared" si="9"/>
        <v>6755056.9572348837</v>
      </c>
      <c r="I19" s="278">
        <f t="shared" si="9"/>
        <v>-9786370.8166165389</v>
      </c>
      <c r="J19" s="278">
        <f t="shared" si="9"/>
        <v>-24368789.586340103</v>
      </c>
      <c r="K19" s="278">
        <f t="shared" si="9"/>
        <v>-3049215</v>
      </c>
      <c r="L19" s="278">
        <f t="shared" si="9"/>
        <v>190480</v>
      </c>
      <c r="M19" s="278">
        <f t="shared" si="9"/>
        <v>-13549036.415372124</v>
      </c>
      <c r="N19" s="278">
        <f t="shared" si="9"/>
        <v>-4555109.7298082681</v>
      </c>
      <c r="O19" s="278">
        <f t="shared" si="9"/>
        <v>-6799961.3232975779</v>
      </c>
      <c r="P19" s="278">
        <f t="shared" si="9"/>
        <v>-8510190.9908570871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-202554945.59999999</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-60766483.68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-27007326.080000002</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-290328755.36000001</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0.18</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0.08</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0.8600000000000001</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400</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400</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408</v>
      </c>
      <c r="F41" s="26"/>
      <c r="G41" s="6">
        <f t="shared" ref="G41:Q41" si="16">IF(G$4="","",-G12/SUM(G8+G9,G10))</f>
        <v>6.5513197895413669E-2</v>
      </c>
      <c r="H41" s="6">
        <f t="shared" si="16"/>
        <v>2.3778418360511734E-2</v>
      </c>
      <c r="I41" s="6">
        <f t="shared" si="16"/>
        <v>7.1215480551261147E-3</v>
      </c>
      <c r="J41" s="6">
        <f t="shared" si="16"/>
        <v>1.2409899948784026E-3</v>
      </c>
      <c r="K41" s="6">
        <f t="shared" si="16"/>
        <v>8.127173878983486E-2</v>
      </c>
      <c r="L41" s="6">
        <f t="shared" si="16"/>
        <v>0.73422742753972003</v>
      </c>
      <c r="M41" s="6">
        <f t="shared" si="16"/>
        <v>-1.3936512261559502E-4</v>
      </c>
      <c r="N41" s="6">
        <f t="shared" si="16"/>
        <v>-1.2046057371459947E-2</v>
      </c>
      <c r="O41" s="6">
        <f t="shared" si="16"/>
        <v>-4.1013565210292639E-2</v>
      </c>
      <c r="P41" s="6">
        <f t="shared" si="16"/>
        <v>1.3668411257824642E-3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273</v>
      </c>
      <c r="C46" s="273">
        <f>BS!D75*C51</f>
        <v>301057.95836000005</v>
      </c>
      <c r="E46" s="241"/>
      <c r="G46" s="281">
        <f t="shared" ref="G46:Q46" si="17">IFERROR(IF(G$4="","",($C$46/$C$47)*G47),0)</f>
        <v>542061.8259270899</v>
      </c>
      <c r="H46" s="281">
        <f t="shared" si="17"/>
        <v>343658.95723488391</v>
      </c>
      <c r="I46" s="281">
        <f t="shared" si="17"/>
        <v>276068.18338346196</v>
      </c>
      <c r="J46" s="281">
        <f t="shared" si="17"/>
        <v>229125.41365989688</v>
      </c>
      <c r="K46" s="281">
        <f t="shared" si="17"/>
        <v>0</v>
      </c>
      <c r="L46" s="281">
        <f t="shared" si="17"/>
        <v>0</v>
      </c>
      <c r="M46" s="281">
        <f t="shared" si="17"/>
        <v>123386.58462787631</v>
      </c>
      <c r="N46" s="281">
        <f t="shared" si="17"/>
        <v>25548.270191732103</v>
      </c>
      <c r="O46" s="281">
        <f t="shared" si="17"/>
        <v>9097.6767024216751</v>
      </c>
      <c r="P46" s="281">
        <f t="shared" si="17"/>
        <v>5682.009142912776</v>
      </c>
      <c r="Q46" s="281" t="str">
        <f t="shared" si="17"/>
        <v/>
      </c>
    </row>
    <row r="47" spans="1:17" ht="15.75" customHeight="1">
      <c r="A47" s="10"/>
      <c r="B47" s="251" t="s">
        <v>270</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-2757586.1616400001</v>
      </c>
      <c r="E48" s="241"/>
      <c r="G48" s="274">
        <f>IF(G$4="","",(G45+G46))</f>
        <v>-794976.1740729101</v>
      </c>
      <c r="H48" s="274">
        <f t="shared" ref="H48:Q48" si="18">IF(H$4="","",(H45+H46))</f>
        <v>-1081498.0427651161</v>
      </c>
      <c r="I48" s="274">
        <f t="shared" si="18"/>
        <v>-1352756.816616538</v>
      </c>
      <c r="J48" s="274">
        <f t="shared" si="18"/>
        <v>-901809.58634010307</v>
      </c>
      <c r="K48" s="274">
        <f t="shared" si="18"/>
        <v>0</v>
      </c>
      <c r="L48" s="274">
        <f t="shared" si="18"/>
        <v>0</v>
      </c>
      <c r="M48" s="274">
        <f t="shared" si="18"/>
        <v>123386.58462787631</v>
      </c>
      <c r="N48" s="274">
        <f t="shared" si="18"/>
        <v>6334.2701917321028</v>
      </c>
      <c r="O48" s="274">
        <f t="shared" si="18"/>
        <v>-46883.323297578325</v>
      </c>
      <c r="P48" s="274">
        <f t="shared" si="18"/>
        <v>-50878.990857087221</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11.944383264830426</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265</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0.8600000000000001</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0.13999999999999996</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0.10821839239258739</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8.1684092781983408E-3</v>
      </c>
      <c r="D76" s="26"/>
      <c r="E76" s="238"/>
      <c r="F76" s="26"/>
      <c r="G76" s="6">
        <f t="shared" ref="G76:Q76" si="28">IF(G$4="","",ABS(G10/G$4))</f>
        <v>2.3548460050226787E-3</v>
      </c>
      <c r="H76" s="6">
        <f t="shared" si="28"/>
        <v>3.9079232597863953E-3</v>
      </c>
      <c r="I76" s="6">
        <f t="shared" si="28"/>
        <v>6.1501540607149154E-3</v>
      </c>
      <c r="J76" s="6">
        <f t="shared" si="28"/>
        <v>5.0344424179549277E-3</v>
      </c>
      <c r="K76" s="6">
        <f t="shared" si="28"/>
        <v>0</v>
      </c>
      <c r="L76" s="6">
        <f t="shared" si="28"/>
        <v>0</v>
      </c>
      <c r="M76" s="6">
        <f t="shared" si="28"/>
        <v>1.8916408657720825E-3</v>
      </c>
      <c r="N76" s="6">
        <f t="shared" si="28"/>
        <v>1.8669749524874855E-4</v>
      </c>
      <c r="O76" s="6">
        <f t="shared" si="28"/>
        <v>3.6097201531511036E-3</v>
      </c>
      <c r="P76" s="6">
        <f t="shared" si="28"/>
        <v>1.2659743694097706E-2</v>
      </c>
      <c r="Q76" s="6" t="str">
        <f t="shared" si="28"/>
        <v/>
      </c>
    </row>
    <row r="77" spans="1:17" ht="15.75" customHeight="1">
      <c r="A77" s="10"/>
      <c r="B77" s="67" t="s">
        <v>137</v>
      </c>
      <c r="C77" s="75">
        <f>C11/C4</f>
        <v>0.10004998311438904</v>
      </c>
      <c r="D77" s="26"/>
      <c r="E77" s="238"/>
      <c r="F77" s="26"/>
      <c r="G77" s="62">
        <f t="shared" ref="G77:Q77" si="29">IF(G$4="","",G11/G$4)</f>
        <v>9.8437227669232741E-2</v>
      </c>
      <c r="H77" s="62">
        <f t="shared" si="29"/>
        <v>2.5003505419776809E-2</v>
      </c>
      <c r="I77" s="62">
        <f t="shared" si="29"/>
        <v>-4.4811743978664845E-2</v>
      </c>
      <c r="J77" s="62">
        <f t="shared" si="29"/>
        <v>-0.13621024627624292</v>
      </c>
      <c r="K77" s="62">
        <f t="shared" si="29"/>
        <v>-2.8912114351113131E-2</v>
      </c>
      <c r="L77" s="62">
        <f t="shared" si="29"/>
        <v>7.3486495967010927E-3</v>
      </c>
      <c r="M77" s="62">
        <f t="shared" si="29"/>
        <v>-0.20769145717489734</v>
      </c>
      <c r="N77" s="62">
        <f t="shared" si="29"/>
        <v>-0.13266014661607445</v>
      </c>
      <c r="O77" s="62">
        <f t="shared" si="29"/>
        <v>-0.50292728656425256</v>
      </c>
      <c r="P77" s="62">
        <f t="shared" si="29"/>
        <v>-2.1204095366131099</v>
      </c>
      <c r="Q77" s="62" t="str">
        <f t="shared" si="29"/>
        <v/>
      </c>
    </row>
    <row r="78" spans="1:17" ht="15.75" customHeight="1">
      <c r="A78" s="10"/>
      <c r="B78" s="2" t="s">
        <v>60</v>
      </c>
      <c r="C78" s="74">
        <f>ABS(C12/C$4)</f>
        <v>2.5012495778597259E-2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7.5037487335791769E-2</v>
      </c>
      <c r="D80" s="26"/>
      <c r="E80" s="238"/>
      <c r="F80" s="26"/>
      <c r="G80" s="62">
        <f t="shared" ref="G80:Q80" si="32">IF(G$4="","",ABS(G14/G$4))</f>
        <v>9.1984904344672061E-2</v>
      </c>
      <c r="H80" s="62">
        <f t="shared" si="32"/>
        <v>2.4408961607426033E-2</v>
      </c>
      <c r="I80" s="62">
        <f t="shared" si="32"/>
        <v>4.4492614990486776E-2</v>
      </c>
      <c r="J80" s="62">
        <f t="shared" si="32"/>
        <v>0.13604121072341419</v>
      </c>
      <c r="K80" s="62">
        <f t="shared" si="32"/>
        <v>2.6562376545707631E-2</v>
      </c>
      <c r="L80" s="62">
        <f t="shared" si="32"/>
        <v>1.9530695074244479E-3</v>
      </c>
      <c r="M80" s="62">
        <f t="shared" si="32"/>
        <v>0.20772040212029275</v>
      </c>
      <c r="N80" s="62">
        <f t="shared" si="32"/>
        <v>0.13425817835311799</v>
      </c>
      <c r="O80" s="62">
        <f t="shared" si="32"/>
        <v>0.52355412762779108</v>
      </c>
      <c r="P80" s="62">
        <f t="shared" si="32"/>
        <v>2.1175112736549657</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281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7.5037487335791769E-2</v>
      </c>
      <c r="D85" s="72"/>
      <c r="E85" s="238"/>
      <c r="F85" s="72"/>
      <c r="G85" s="62">
        <f t="shared" ref="G85:Q85" si="35">IF(G$4="","",ABS(G19/G$4))</f>
        <v>9.1984904344672061E-2</v>
      </c>
      <c r="H85" s="62">
        <f t="shared" si="35"/>
        <v>2.4408961607426033E-2</v>
      </c>
      <c r="I85" s="62">
        <f t="shared" si="35"/>
        <v>4.4492614990486776E-2</v>
      </c>
      <c r="J85" s="62">
        <f t="shared" si="35"/>
        <v>0.13604121072341419</v>
      </c>
      <c r="K85" s="62">
        <f t="shared" si="35"/>
        <v>2.6562376545707631E-2</v>
      </c>
      <c r="L85" s="62">
        <f t="shared" si="35"/>
        <v>1.9530695074244479E-3</v>
      </c>
      <c r="M85" s="62">
        <f t="shared" si="35"/>
        <v>0.20772040212029275</v>
      </c>
      <c r="N85" s="62">
        <f t="shared" si="35"/>
        <v>0.13425817835311799</v>
      </c>
      <c r="O85" s="62">
        <f t="shared" si="35"/>
        <v>0.52355412762779108</v>
      </c>
      <c r="P85" s="62">
        <f t="shared" si="35"/>
        <v>2.1175112736549657</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333</v>
      </c>
      <c r="C91" s="299">
        <v>0</v>
      </c>
      <c r="E91" s="241"/>
      <c r="G91" s="300"/>
      <c r="H91" s="300"/>
      <c r="I91" s="300"/>
      <c r="J91" s="300"/>
      <c r="K91" s="300"/>
      <c r="L91" s="300"/>
      <c r="M91" s="300"/>
      <c r="N91" s="300"/>
      <c r="O91" s="300"/>
      <c r="P91" s="300"/>
      <c r="Q91" s="300"/>
    </row>
    <row r="92" spans="1:17" ht="15.75" customHeight="1">
      <c r="A92" s="10"/>
      <c r="B92" s="2" t="s">
        <v>332</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1.6383592705144556E-2</v>
      </c>
      <c r="D96" s="26"/>
      <c r="E96" s="238"/>
      <c r="F96" s="26"/>
      <c r="G96" s="6">
        <f t="shared" ref="G96:Q96" si="40">IF(H5="","",G11/H11-1)</f>
        <v>3.8025330722160833</v>
      </c>
      <c r="H96" s="6">
        <f t="shared" si="40"/>
        <v>-1.7020289609996366</v>
      </c>
      <c r="I96" s="6">
        <f t="shared" si="40"/>
        <v>-0.59602700481219317</v>
      </c>
      <c r="J96" s="6">
        <f t="shared" si="40"/>
        <v>6.351437618362695</v>
      </c>
      <c r="K96" s="6">
        <f t="shared" si="40"/>
        <v>-5.6308610400682015</v>
      </c>
      <c r="L96" s="6">
        <f t="shared" si="40"/>
        <v>-1.0529043440010406</v>
      </c>
      <c r="M96" s="6">
        <f t="shared" si="40"/>
        <v>2.0098809810626603</v>
      </c>
      <c r="N96" s="6">
        <f t="shared" si="40"/>
        <v>-0.31095352995316128</v>
      </c>
      <c r="O96" s="6">
        <f t="shared" si="40"/>
        <v>-0.23349193404079871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306</v>
      </c>
      <c r="C113" s="151"/>
      <c r="E113" s="241"/>
      <c r="G113" s="257">
        <f>IF(G$4="","",Data!C$22/G19)</f>
        <v>-7.6403403103730448E-3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0.10004998311438904</v>
      </c>
      <c r="E116" s="241"/>
      <c r="G116" s="22">
        <f t="shared" ref="G116:Q116" si="44">IF(G4="","",G77)</f>
        <v>9.8437227669232741E-2</v>
      </c>
      <c r="H116" s="22">
        <f t="shared" si="44"/>
        <v>2.5003505419776809E-2</v>
      </c>
      <c r="I116" s="22">
        <f t="shared" si="44"/>
        <v>-4.4811743978664845E-2</v>
      </c>
      <c r="J116" s="22">
        <f t="shared" si="44"/>
        <v>-0.13621024627624292</v>
      </c>
      <c r="K116" s="22">
        <f t="shared" si="44"/>
        <v>-2.8912114351113131E-2</v>
      </c>
      <c r="L116" s="22">
        <f t="shared" si="44"/>
        <v>7.3486495967010927E-3</v>
      </c>
      <c r="M116" s="22">
        <f t="shared" si="44"/>
        <v>-0.20769145717489734</v>
      </c>
      <c r="N116" s="22">
        <f t="shared" si="44"/>
        <v>-0.13266014661607445</v>
      </c>
      <c r="O116" s="22">
        <f t="shared" si="44"/>
        <v>-0.50292728656425256</v>
      </c>
      <c r="P116" s="22">
        <f t="shared" si="44"/>
        <v>-2.1204095366131099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0.18326900662864964</v>
      </c>
      <c r="D119" s="100"/>
      <c r="E119" s="244"/>
      <c r="F119" s="100"/>
      <c r="G119" s="99">
        <f t="shared" ref="G119:Q119" si="47">IF(G$4="","",G11/G104)</f>
        <v>0.18031480234826702</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2.9897537238026821</v>
      </c>
      <c r="D123" s="26"/>
      <c r="E123" s="238"/>
      <c r="F123" s="26"/>
      <c r="G123" s="159">
        <f t="shared" ref="G123:Q123" si="48">IF(G$4="","",G14*$C$3/Common_Shares*Exchange_Rate)</f>
        <v>3.6649975907034409</v>
      </c>
      <c r="H123" s="159">
        <f t="shared" si="48"/>
        <v>0.79725003435573683</v>
      </c>
      <c r="I123" s="159">
        <f t="shared" si="48"/>
        <v>-1.1550138687445299</v>
      </c>
      <c r="J123" s="159">
        <f t="shared" si="48"/>
        <v>-2.8760702475068451</v>
      </c>
      <c r="K123" s="159">
        <f t="shared" si="48"/>
        <v>-0.35987657526771305</v>
      </c>
      <c r="L123" s="159">
        <f t="shared" si="48"/>
        <v>2.2480963151825625E-2</v>
      </c>
      <c r="M123" s="159">
        <f t="shared" si="48"/>
        <v>-1.5990938072066583</v>
      </c>
      <c r="N123" s="159">
        <f t="shared" si="48"/>
        <v>-0.53760633131216962</v>
      </c>
      <c r="O123" s="159">
        <f t="shared" si="48"/>
        <v>-0.80254976870481021</v>
      </c>
      <c r="P123" s="159">
        <f t="shared" si="48"/>
        <v>-1.0043956850086968</v>
      </c>
      <c r="Q123" s="159" t="str">
        <f t="shared" si="48"/>
        <v/>
      </c>
    </row>
    <row r="124" spans="1:17" ht="15.75" customHeight="1">
      <c r="A124" s="10"/>
      <c r="B124" s="26" t="s">
        <v>226</v>
      </c>
      <c r="C124" s="74">
        <f>C19*Exchange_Rate*$C$3/(Market_Price*Common_Shares)</f>
        <v>2.8258541812879789E-2</v>
      </c>
      <c r="D124" s="26"/>
      <c r="E124" s="238"/>
      <c r="F124" s="26"/>
      <c r="G124" s="74">
        <f t="shared" ref="G124" si="49">IF(G$4="","",G123/Market_Price)</f>
        <v>3.464080898585483E-2</v>
      </c>
      <c r="H124" s="74">
        <f t="shared" ref="H124" si="50">IF(H$4="","",H123/Market_Price)</f>
        <v>7.5354445591279476E-3</v>
      </c>
      <c r="I124" s="74">
        <f t="shared" ref="I124" si="51">IF(I$4="","",I123/Market_Price)</f>
        <v>-1.0916955281139226E-2</v>
      </c>
      <c r="J124" s="74">
        <f t="shared" ref="J124" si="52">IF(J$4="","",J123/Market_Price)</f>
        <v>-2.7184028804412525E-2</v>
      </c>
      <c r="K124" s="74">
        <f t="shared" ref="K124" si="53">IF(K$4="","",K123/Market_Price)</f>
        <v>-3.4014799174642068E-3</v>
      </c>
      <c r="L124" s="74">
        <f t="shared" ref="L124" si="54">IF(L$4="","",L123/Market_Price)</f>
        <v>2.1248547402481687E-4</v>
      </c>
      <c r="M124" s="74">
        <f t="shared" ref="M124" si="55">IF(M$4="","",M123/Market_Price)</f>
        <v>-1.5114308196660287E-2</v>
      </c>
      <c r="N124" s="74">
        <f t="shared" ref="N124" si="56">IF(N$4="","",N123/Market_Price)</f>
        <v>-5.0813452865044392E-3</v>
      </c>
      <c r="O124" s="74">
        <f t="shared" ref="O124" si="57">IF(O$4="","",O123/Market_Price)</f>
        <v>-7.5855365662080365E-3</v>
      </c>
      <c r="P124" s="74">
        <f t="shared" ref="P124" si="58">IF(P$4="","",P123/Market_Price)</f>
        <v>-9.4933429584942997E-3</v>
      </c>
      <c r="Q124" s="74" t="str">
        <f t="shared" ref="Q124" si="59">IF(Q$4="","",Q123/Market_Price)</f>
        <v/>
      </c>
    </row>
    <row r="125" spans="1:17" ht="15.75" customHeight="1">
      <c r="B125" s="2" t="s">
        <v>308</v>
      </c>
      <c r="C125" s="151"/>
      <c r="G125" s="22">
        <f>IF(G$4="","",(Data!C47*$C$3)/(Market_Price*Common_Shares))</f>
        <v>3.6531346353635079E-2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52" zoomScale="116" zoomScaleNormal="100" workbookViewId="0">
      <selection activeCell="D66" sqref="D6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396</v>
      </c>
      <c r="C4" s="282">
        <f>Normalized_FCF!C19</f>
        <v>25332023.608769987</v>
      </c>
      <c r="D4" t="str">
        <f>Reporting_currency</f>
        <v>CNY</v>
      </c>
      <c r="E4" s="135" t="s">
        <v>437</v>
      </c>
      <c r="F4" s="282">
        <f>-BS!G31</f>
        <v>-50977402</v>
      </c>
      <c r="G4" t="str">
        <f>Reporting_currency</f>
        <v>CNY</v>
      </c>
      <c r="H4" s="315" t="s">
        <v>397</v>
      </c>
      <c r="I4" s="312">
        <f>Normalized_FCF!C4</f>
        <v>337591576</v>
      </c>
      <c r="J4" s="312"/>
    </row>
    <row r="5" spans="2:15">
      <c r="B5" s="187" t="s">
        <v>105</v>
      </c>
      <c r="C5" s="188">
        <f>Equity_Cost</f>
        <v>7.2499999999999995E-2</v>
      </c>
      <c r="E5" s="135" t="s">
        <v>438</v>
      </c>
      <c r="F5" s="282">
        <f>BS!D66</f>
        <v>69400678.606666654</v>
      </c>
      <c r="G5" t="str">
        <f>Reporting_currency</f>
        <v>CNY</v>
      </c>
      <c r="H5" s="315" t="s">
        <v>399</v>
      </c>
      <c r="I5" s="312">
        <f>Normalized_FCF!C7</f>
        <v>-10729203</v>
      </c>
      <c r="J5" s="312"/>
    </row>
    <row r="6" spans="2:15" ht="13.25" customHeight="1">
      <c r="B6" s="136" t="s">
        <v>194</v>
      </c>
      <c r="C6" s="290">
        <f>(C4*(1+Terminal_Growth))/(Equity_Cost-Terminal_Growth)</f>
        <v>349407222.18993086</v>
      </c>
      <c r="D6" t="str">
        <f>Reporting_currency</f>
        <v>CNY</v>
      </c>
      <c r="E6" s="187" t="s">
        <v>439</v>
      </c>
      <c r="F6" s="291">
        <f>BS!H42</f>
        <v>57918846.499999993</v>
      </c>
      <c r="G6" t="str">
        <f>Reporting_currency</f>
        <v>CNY</v>
      </c>
      <c r="H6" s="315" t="s">
        <v>421</v>
      </c>
      <c r="I6" s="312">
        <f>I7+I8</f>
        <v>-2757586.1616400001</v>
      </c>
      <c r="J6" s="312"/>
      <c r="N6" s="135"/>
    </row>
    <row r="7" spans="2:15" ht="12.75" customHeight="1">
      <c r="B7" s="325" t="s">
        <v>436</v>
      </c>
      <c r="C7" s="282">
        <f>F7</f>
        <v>76342123.106666654</v>
      </c>
      <c r="E7" s="140" t="s">
        <v>430</v>
      </c>
      <c r="F7" s="290">
        <f>SUM(F4:F6)</f>
        <v>76342123.106666654</v>
      </c>
      <c r="G7" t="str">
        <f>Reporting_currency</f>
        <v>CNY</v>
      </c>
      <c r="H7" s="319" t="s">
        <v>422</v>
      </c>
      <c r="I7" s="320">
        <f>Normalized_FCF!C9</f>
        <v>0</v>
      </c>
      <c r="J7" s="320"/>
      <c r="N7" s="311"/>
      <c r="O7" s="311"/>
    </row>
    <row r="8" spans="2:15" ht="13.15">
      <c r="B8" s="136" t="s">
        <v>432</v>
      </c>
      <c r="C8" s="290">
        <f>C6+C7</f>
        <v>425749345.29659748</v>
      </c>
      <c r="D8" t="str">
        <f>Reporting_currency</f>
        <v>CNY</v>
      </c>
      <c r="E8" s="140" t="s">
        <v>470</v>
      </c>
      <c r="F8" s="108">
        <f>FV_adjustments*scaling_factor/Common_Shares*Exchange_Rate</f>
        <v>9.0101031945249304</v>
      </c>
      <c r="G8" s="301" t="str">
        <f>Market_currency</f>
        <v>HKD</v>
      </c>
      <c r="H8" s="321" t="str">
        <f>Normalized_FCF!B10</f>
        <v>Net Interest Income</v>
      </c>
      <c r="I8" s="320">
        <f>Normalized_FCF!C10</f>
        <v>-2757586.1616400001</v>
      </c>
      <c r="J8" s="320"/>
      <c r="N8" s="311"/>
      <c r="O8" s="311"/>
    </row>
    <row r="9" spans="2:15" ht="13.15" thickBot="1">
      <c r="B9" s="189" t="str">
        <f>"*"&amp;Thesis!E15</f>
        <v>*CNY/HKD</v>
      </c>
      <c r="C9" s="190">
        <f>Exchange_Rate</f>
        <v>1.0934131500000002</v>
      </c>
      <c r="D9" t="str">
        <f>Thesis!E15</f>
        <v>CNY/HKD</v>
      </c>
      <c r="F9" s="330"/>
      <c r="H9" s="315" t="str">
        <f>Normalized_FCF!B79</f>
        <v>NCI’s Share of Profits</v>
      </c>
      <c r="I9" s="144">
        <f>Normalized_FCF!C79</f>
        <v>0</v>
      </c>
      <c r="J9" s="313"/>
      <c r="N9" s="311"/>
      <c r="O9" s="311"/>
    </row>
    <row r="10" spans="2:15" ht="13.5" thickTop="1">
      <c r="B10" s="107" t="s">
        <v>433</v>
      </c>
      <c r="C10" s="290">
        <f>C8*Exchange_Rate</f>
        <v>465519932.75119042</v>
      </c>
      <c r="D10" t="str">
        <f>Market_currency</f>
        <v>HKD</v>
      </c>
      <c r="H10" s="315" t="s">
        <v>401</v>
      </c>
      <c r="I10" s="313">
        <f>Normalized_FCF!C41</f>
        <v>0.25</v>
      </c>
      <c r="N10" s="311"/>
      <c r="O10" s="311"/>
    </row>
    <row r="11" spans="2:15" ht="13.15">
      <c r="B11" s="136" t="s">
        <v>431</v>
      </c>
      <c r="C11" s="108">
        <f>(C10*scaling_factor)/Common_Shares</f>
        <v>50.248085591803303</v>
      </c>
      <c r="D11" t="str">
        <f>Market_currency</f>
        <v>HKD</v>
      </c>
      <c r="E11" s="314"/>
      <c r="I11" s="314"/>
      <c r="J11" s="314"/>
    </row>
    <row r="13" spans="2:15" ht="13.9">
      <c r="B13" s="34" t="s">
        <v>434</v>
      </c>
      <c r="C13" s="35"/>
      <c r="D13" s="35"/>
      <c r="E13" s="35"/>
      <c r="F13" s="35"/>
      <c r="G13" s="35"/>
      <c r="H13" s="35"/>
      <c r="I13" s="35"/>
      <c r="J13" s="35"/>
      <c r="K13" s="35"/>
      <c r="L13" s="35"/>
    </row>
    <row r="14" spans="2:15" ht="13.15">
      <c r="B14" s="106" t="s">
        <v>403</v>
      </c>
      <c r="C14" s="316" t="s">
        <v>410</v>
      </c>
      <c r="E14" s="106" t="s">
        <v>403</v>
      </c>
      <c r="F14" s="316" t="str">
        <f>IF(F17=C17,"I","II")</f>
        <v>I</v>
      </c>
      <c r="H14" s="106" t="s">
        <v>418</v>
      </c>
    </row>
    <row r="15" spans="2:15">
      <c r="B15" s="139" t="s">
        <v>427</v>
      </c>
      <c r="C15" s="148">
        <f>Scenarios!C45</f>
        <v>5</v>
      </c>
      <c r="E15" s="315" t="str">
        <f>IF(F14="II","Change year","Terminal Year")</f>
        <v>Terminal Year</v>
      </c>
      <c r="F15" s="317">
        <f>IF(F14="II",_xlfn.CEILING.MATH(C15/2),C15+1)</f>
        <v>6</v>
      </c>
      <c r="H15" s="97" t="s">
        <v>435</v>
      </c>
      <c r="I15" s="126">
        <f>Terminal_Growth</f>
        <v>0</v>
      </c>
      <c r="J15" s="126"/>
    </row>
    <row r="16" spans="2:15" ht="13.25" customHeight="1">
      <c r="B16" s="114" t="s">
        <v>428</v>
      </c>
      <c r="C16" s="147">
        <f>Scenarios!C46</f>
        <v>0.12953099283111186</v>
      </c>
      <c r="E16" s="315" t="s">
        <v>404</v>
      </c>
      <c r="F16" s="318">
        <f>Scenarios!C41</f>
        <v>0.12953099283111186</v>
      </c>
    </row>
    <row r="17" spans="1:21" ht="13.25" customHeight="1">
      <c r="B17" s="315" t="s">
        <v>398</v>
      </c>
      <c r="C17" s="313">
        <f>Normalized_FCF!C32</f>
        <v>0.8600000000000001</v>
      </c>
      <c r="E17" s="315" t="s">
        <v>405</v>
      </c>
      <c r="F17" s="318">
        <f>Scenarios!C40</f>
        <v>0.8600000000000001</v>
      </c>
      <c r="H17" s="106" t="s">
        <v>417</v>
      </c>
    </row>
    <row r="18" spans="1:21" ht="13.25" customHeight="1">
      <c r="B18" s="315" t="s">
        <v>429</v>
      </c>
      <c r="C18" s="313">
        <f>Normalized_FCF!C81-Normalized_FCF!C82</f>
        <v>0</v>
      </c>
      <c r="E18" s="315" t="s">
        <v>429</v>
      </c>
      <c r="F18" s="144">
        <f>IF(F14="II",C18/2,C18)</f>
        <v>0</v>
      </c>
      <c r="H18" s="140" t="s">
        <v>97</v>
      </c>
      <c r="I18" s="129">
        <f>(L52+FV_adjustments)*Exchange_Rate/Common_Shares*scaling_factor</f>
        <v>82.376697504281324</v>
      </c>
      <c r="J18" t="str">
        <f>Market_currency</f>
        <v>HKD</v>
      </c>
    </row>
    <row r="19" spans="1:21">
      <c r="L19" s="282"/>
    </row>
    <row r="20" spans="1:21" ht="13.15">
      <c r="A20" s="121" t="s">
        <v>403</v>
      </c>
      <c r="B20" s="121" t="s">
        <v>98</v>
      </c>
      <c r="C20" s="121" t="s">
        <v>397</v>
      </c>
      <c r="D20" s="121" t="s">
        <v>102</v>
      </c>
      <c r="E20" s="121" t="s">
        <v>398</v>
      </c>
      <c r="F20" s="121" t="s">
        <v>399</v>
      </c>
      <c r="G20" s="121" t="s">
        <v>548</v>
      </c>
      <c r="H20" s="121" t="str">
        <f>B18</f>
        <v>D&amp;A - maint. Capx</v>
      </c>
      <c r="I20" s="121" t="s">
        <v>424</v>
      </c>
      <c r="J20" s="121" t="s">
        <v>535</v>
      </c>
      <c r="K20" s="121" t="s">
        <v>536</v>
      </c>
      <c r="L20" s="122" t="s">
        <v>425</v>
      </c>
    </row>
    <row r="21" spans="1:21">
      <c r="A21" s="309" t="str">
        <f t="shared" ref="A21:A50" si="0">IF($C$15&lt;B21,"",IF(B21&gt;=$F$15,"II","I"))</f>
        <v>I</v>
      </c>
      <c r="B21" s="117">
        <v>1</v>
      </c>
      <c r="C21" s="284">
        <f>I4*(1+D21)</f>
        <v>381320148.01069975</v>
      </c>
      <c r="D21" s="306">
        <f t="shared" ref="D21:D50" si="1">IF(A21="",0,IF(A21="I",$C$16,$F$16))</f>
        <v>0.12953099283111186</v>
      </c>
      <c r="E21" s="306">
        <f>$C$17</f>
        <v>0.8600000000000001</v>
      </c>
      <c r="F21" s="284">
        <f>I5*(1+D21)</f>
        <v>-12118967.316876544</v>
      </c>
      <c r="G21" s="284">
        <f>C21*(1-E21)+F21+$I$6</f>
        <v>38508267.242981382</v>
      </c>
      <c r="H21" s="306">
        <f t="shared" ref="H21:H50" si="2">IF(A21="",0%,IF(A21="I",$C$18,$F$18))</f>
        <v>0</v>
      </c>
      <c r="I21" s="284">
        <f>(G21*(1-$I$10)+C21*(H21-$I$9))</f>
        <v>28881200.432236038</v>
      </c>
      <c r="J21" s="306">
        <f>I21/C4-1</f>
        <v>0.14010632858550309</v>
      </c>
      <c r="K21" s="119">
        <f t="shared" ref="K21:K50" si="3">IF($C$15&lt;B21,0,1/(1+Equity_Cost)^B21)</f>
        <v>0.93240093240093236</v>
      </c>
      <c r="L21" s="284">
        <f t="shared" ref="L21:L50" si="4">I21*K21</f>
        <v>26928858.211875092</v>
      </c>
    </row>
    <row r="22" spans="1:21">
      <c r="A22" s="309" t="str">
        <f t="shared" si="0"/>
        <v>I</v>
      </c>
      <c r="B22" s="117">
        <v>2</v>
      </c>
      <c r="C22" s="284">
        <f t="shared" ref="C22:C50" si="5">IF(A22="",0,C21*(1+D22))</f>
        <v>430712925.3690322</v>
      </c>
      <c r="D22" s="306">
        <f t="shared" si="1"/>
        <v>0.12953099283111186</v>
      </c>
      <c r="E22" s="306">
        <f t="shared" ref="E22:E50" si="6">IF($C$15&lt;B22,0,IF(B22&gt;=$F$15,$F$17,$C$17))</f>
        <v>0.8600000000000001</v>
      </c>
      <c r="F22" s="284">
        <f t="shared" ref="F22:F50" si="7">IF(A22="",0,F21*(1+D22))</f>
        <v>-13688749.185519358</v>
      </c>
      <c r="G22" s="284">
        <f t="shared" ref="G22:G50" si="8">IF(A22="", 0,C22*(1-E22)+F22+$I$6)</f>
        <v>43853474.204505101</v>
      </c>
      <c r="H22" s="306">
        <f t="shared" si="2"/>
        <v>0</v>
      </c>
      <c r="I22" s="284">
        <f>IF(A22="", 0,G22*(1-$I$10)+C22*(H22-$I$9))</f>
        <v>32890105.653378826</v>
      </c>
      <c r="J22" s="306">
        <f>IF(A22="", 0,I22/I21-1)</f>
        <v>0.13880673798683962</v>
      </c>
      <c r="K22" s="119">
        <f t="shared" si="3"/>
        <v>0.86937149874212816</v>
      </c>
      <c r="L22" s="284">
        <f t="shared" si="4"/>
        <v>28593720.44566489</v>
      </c>
    </row>
    <row r="23" spans="1:21">
      <c r="A23" s="309" t="str">
        <f t="shared" si="0"/>
        <v>I</v>
      </c>
      <c r="B23" s="117">
        <v>3</v>
      </c>
      <c r="C23" s="284">
        <f t="shared" si="5"/>
        <v>486503598.21727556</v>
      </c>
      <c r="D23" s="306">
        <f t="shared" si="1"/>
        <v>0.12953099283111186</v>
      </c>
      <c r="E23" s="306">
        <f t="shared" si="6"/>
        <v>0.8600000000000001</v>
      </c>
      <c r="F23" s="284">
        <f t="shared" si="7"/>
        <v>-15461866.458135756</v>
      </c>
      <c r="G23" s="284">
        <f t="shared" si="8"/>
        <v>49891051.130642772</v>
      </c>
      <c r="H23" s="306">
        <f t="shared" si="2"/>
        <v>0</v>
      </c>
      <c r="I23" s="284">
        <f t="shared" ref="I23:I50" si="9">IF(A23="", 0,G23*(1-$I$10)+C23*(H23-$I$9))</f>
        <v>37418288.347982079</v>
      </c>
      <c r="J23" s="306">
        <f t="shared" ref="J23:J50" si="10">IF(A23="", 0,I23/I22-1)</f>
        <v>0.13767613708282722</v>
      </c>
      <c r="K23" s="119">
        <f t="shared" si="3"/>
        <v>0.81060279602995633</v>
      </c>
      <c r="L23" s="284">
        <f t="shared" si="4"/>
        <v>30331369.15752941</v>
      </c>
      <c r="N23" s="282"/>
      <c r="O23" s="282"/>
      <c r="P23" s="282"/>
      <c r="Q23" s="282"/>
      <c r="R23" s="282"/>
      <c r="S23" s="282"/>
      <c r="T23" s="282"/>
      <c r="U23" s="282"/>
    </row>
    <row r="24" spans="1:21">
      <c r="A24" s="309" t="str">
        <f t="shared" si="0"/>
        <v>I</v>
      </c>
      <c r="B24" s="117">
        <v>4</v>
      </c>
      <c r="C24" s="284">
        <f t="shared" si="5"/>
        <v>549520892.31026769</v>
      </c>
      <c r="D24" s="306">
        <f t="shared" si="1"/>
        <v>0.12953099283111186</v>
      </c>
      <c r="E24" s="306">
        <f t="shared" si="6"/>
        <v>0.8600000000000001</v>
      </c>
      <c r="F24" s="284">
        <f t="shared" si="7"/>
        <v>-17464657.371480148</v>
      </c>
      <c r="G24" s="284">
        <f t="shared" si="8"/>
        <v>56710681.390317261</v>
      </c>
      <c r="H24" s="306">
        <f t="shared" si="2"/>
        <v>0</v>
      </c>
      <c r="I24" s="284">
        <f t="shared" si="9"/>
        <v>42533011.042737946</v>
      </c>
      <c r="J24" s="306">
        <f t="shared" si="10"/>
        <v>0.13669045059437357</v>
      </c>
      <c r="K24" s="119">
        <f t="shared" si="3"/>
        <v>0.75580680282513402</v>
      </c>
      <c r="L24" s="284">
        <f t="shared" si="4"/>
        <v>32146739.090737887</v>
      </c>
      <c r="N24" s="282"/>
      <c r="O24" s="282"/>
      <c r="P24" s="282"/>
      <c r="Q24" s="282"/>
      <c r="R24" s="282"/>
      <c r="S24" s="282"/>
      <c r="T24" s="282"/>
      <c r="U24" s="282"/>
    </row>
    <row r="25" spans="1:21">
      <c r="A25" s="309" t="str">
        <f t="shared" si="0"/>
        <v>I</v>
      </c>
      <c r="B25" s="117">
        <v>5</v>
      </c>
      <c r="C25" s="284">
        <f t="shared" si="5"/>
        <v>620700879.0726552</v>
      </c>
      <c r="D25" s="306">
        <f t="shared" si="1"/>
        <v>0.12953099283111186</v>
      </c>
      <c r="E25" s="306">
        <f t="shared" si="6"/>
        <v>0.8600000000000001</v>
      </c>
      <c r="F25" s="284">
        <f t="shared" si="7"/>
        <v>-19726871.780263171</v>
      </c>
      <c r="G25" s="284">
        <f t="shared" si="8"/>
        <v>64413665.128268495</v>
      </c>
      <c r="H25" s="306">
        <f t="shared" si="2"/>
        <v>0</v>
      </c>
      <c r="I25" s="284">
        <f t="shared" si="9"/>
        <v>48310248.846201375</v>
      </c>
      <c r="J25" s="306">
        <f t="shared" si="10"/>
        <v>0.13582950423280304</v>
      </c>
      <c r="K25" s="119">
        <f t="shared" si="3"/>
        <v>0.70471496766912267</v>
      </c>
      <c r="L25" s="284">
        <f t="shared" si="4"/>
        <v>34044955.453738071</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423</v>
      </c>
      <c r="B51" s="323">
        <f>C15+1</f>
        <v>6</v>
      </c>
      <c r="C51" s="284">
        <f>VLOOKUP(C15,B21:C50,2,FALSE)*(1+Terminal_Growth)</f>
        <v>620700879.0726552</v>
      </c>
      <c r="D51" s="308">
        <f>Terminal_Growth</f>
        <v>0</v>
      </c>
      <c r="E51" s="308">
        <f>F17</f>
        <v>0.8600000000000001</v>
      </c>
      <c r="F51" s="284">
        <f>VLOOKUP(C15,B21:F50,5,FALSE)*(1+Terminal_Growth)</f>
        <v>-19726871.780263171</v>
      </c>
      <c r="G51" s="284">
        <f>C51*(1-E51)+F51+$I$6</f>
        <v>64413665.128268495</v>
      </c>
      <c r="H51" s="306">
        <f>F18</f>
        <v>0</v>
      </c>
      <c r="I51" s="284">
        <f>(G51*(1-$I$10)+C51*(H51-$I$9))/Equity_Cost</f>
        <v>666348259.94760525</v>
      </c>
      <c r="J51" s="423">
        <f>(G51*(1-$I$10)+C51*(H51-$I$9))/VLOOKUP(C15,B21:I50,8,FALSE)-1</f>
        <v>0</v>
      </c>
      <c r="K51" s="119">
        <f>1/(1+Equity_Cost)^C15</f>
        <v>0.70471496766912267</v>
      </c>
      <c r="L51" s="284">
        <f>I51*K51</f>
        <v>469585592.46535277</v>
      </c>
    </row>
    <row r="52" spans="1:21" ht="13.15">
      <c r="G52" s="111"/>
      <c r="H52" s="111"/>
      <c r="I52" s="111"/>
      <c r="J52" s="462" t="s">
        <v>426</v>
      </c>
      <c r="K52" s="462"/>
      <c r="L52" s="324">
        <f>SUM(L21:L51)</f>
        <v>621631234.82489812</v>
      </c>
    </row>
    <row r="53" spans="1:21">
      <c r="C53" s="111"/>
    </row>
    <row r="54" spans="1:21" ht="13.15">
      <c r="B54" s="115" t="s">
        <v>108</v>
      </c>
      <c r="C54" s="128"/>
      <c r="D54" s="128"/>
      <c r="E54" s="113"/>
      <c r="F54" s="113"/>
      <c r="G54" s="113"/>
      <c r="H54" s="113"/>
      <c r="I54" s="113"/>
      <c r="J54" s="113"/>
      <c r="K54" s="113"/>
      <c r="L54" s="113"/>
    </row>
    <row r="55" spans="1:21" ht="13.15">
      <c r="A55" s="125">
        <f>L52</f>
        <v>621631234.82489812</v>
      </c>
      <c r="B55" s="123">
        <f>C78</f>
        <v>0.02</v>
      </c>
      <c r="C55" s="123">
        <f>C77</f>
        <v>0.05</v>
      </c>
      <c r="D55" s="123">
        <f>C76</f>
        <v>0.18</v>
      </c>
      <c r="E55" s="123">
        <f>C75</f>
        <v>0.25</v>
      </c>
      <c r="F55" s="123">
        <f>C74</f>
        <v>0.3</v>
      </c>
      <c r="G55" s="123"/>
      <c r="H55" s="123"/>
      <c r="I55" s="123"/>
      <c r="J55" s="123"/>
      <c r="K55" s="123"/>
      <c r="L55" s="123"/>
    </row>
    <row r="56" spans="1:21" ht="13.15">
      <c r="A56" s="131">
        <v>5</v>
      </c>
      <c r="B56" s="118">
        <f t="dataTable" ref="B56:F61" dt2D="1" dtr="1" r1="C16" r2="C15"/>
        <v>383677298.66915148</v>
      </c>
      <c r="C56" s="118">
        <v>440008672.97617435</v>
      </c>
      <c r="D56" s="118">
        <v>764918443.97788763</v>
      </c>
      <c r="E56" s="118">
        <v>1006288045.3543564</v>
      </c>
      <c r="F56" s="118">
        <v>1213467828.8796666</v>
      </c>
      <c r="G56" s="302"/>
      <c r="H56" s="302"/>
      <c r="I56" s="302"/>
      <c r="J56" s="302"/>
      <c r="K56" s="302"/>
      <c r="L56" s="302"/>
    </row>
    <row r="57" spans="1:21" ht="13.15">
      <c r="A57" s="131">
        <v>10</v>
      </c>
      <c r="B57" s="118">
        <v>410341552.08304125</v>
      </c>
      <c r="C57" s="118">
        <v>521496951.47155952</v>
      </c>
      <c r="D57" s="118">
        <v>1434812754.9550207</v>
      </c>
      <c r="E57" s="118">
        <v>2418988692.5064106</v>
      </c>
      <c r="F57" s="118">
        <v>3474331955.7591119</v>
      </c>
      <c r="G57" s="302"/>
      <c r="H57" s="302"/>
      <c r="I57" s="302"/>
      <c r="J57" s="302"/>
      <c r="K57" s="302"/>
      <c r="L57" s="302"/>
    </row>
    <row r="58" spans="1:21" ht="13.15">
      <c r="A58" s="131">
        <v>15</v>
      </c>
      <c r="B58" s="118">
        <v>431088001.55627847</v>
      </c>
      <c r="C58" s="284">
        <v>594788708.66215956</v>
      </c>
      <c r="D58" s="118">
        <v>2514827840.8256426</v>
      </c>
      <c r="E58" s="118">
        <v>5457170122.2058372</v>
      </c>
      <c r="F58" s="118">
        <v>9390012592.7838974</v>
      </c>
      <c r="G58" s="302"/>
      <c r="H58" s="302"/>
      <c r="I58" s="302"/>
      <c r="J58" s="302"/>
      <c r="K58" s="302"/>
      <c r="L58" s="302"/>
      <c r="M58" s="282"/>
      <c r="N58" s="282"/>
      <c r="O58" s="282"/>
      <c r="P58" s="282"/>
      <c r="Q58" s="282"/>
      <c r="R58" s="282"/>
      <c r="S58" s="282"/>
      <c r="T58" s="282"/>
      <c r="U58" s="282"/>
    </row>
    <row r="59" spans="1:21" ht="13.15">
      <c r="A59" s="132">
        <v>20</v>
      </c>
      <c r="B59" s="118">
        <v>447230031.07664663</v>
      </c>
      <c r="C59" s="284">
        <v>660708393.9380002</v>
      </c>
      <c r="D59" s="118">
        <v>4256046666.8322792</v>
      </c>
      <c r="E59" s="118">
        <v>11991142070.458891</v>
      </c>
      <c r="F59" s="118">
        <v>24868730213.719452</v>
      </c>
      <c r="G59" s="302"/>
      <c r="H59" s="302"/>
      <c r="I59" s="302"/>
      <c r="J59" s="302"/>
      <c r="K59" s="302"/>
      <c r="L59" s="302"/>
      <c r="M59" s="282"/>
      <c r="N59" s="282"/>
      <c r="O59" s="282"/>
      <c r="P59" s="282"/>
      <c r="Q59" s="282"/>
      <c r="R59" s="282"/>
      <c r="S59" s="282"/>
      <c r="T59" s="282"/>
      <c r="U59" s="282"/>
    </row>
    <row r="60" spans="1:21" ht="13.15">
      <c r="A60" s="132">
        <v>25</v>
      </c>
      <c r="B60" s="118">
        <v>459789535.16781962</v>
      </c>
      <c r="C60" s="284">
        <v>719997529.21641076</v>
      </c>
      <c r="D60" s="118">
        <v>7063269491.4985657</v>
      </c>
      <c r="E60" s="118">
        <v>26043228954.809792</v>
      </c>
      <c r="F60" s="118">
        <v>65369682494.530884</v>
      </c>
      <c r="G60" s="302"/>
      <c r="H60" s="302"/>
      <c r="I60" s="302"/>
      <c r="J60" s="302"/>
      <c r="K60" s="302"/>
      <c r="L60" s="302"/>
      <c r="M60" s="282"/>
      <c r="N60" s="282"/>
      <c r="O60" s="282"/>
      <c r="P60" s="282"/>
      <c r="Q60" s="282"/>
      <c r="R60" s="282"/>
      <c r="S60" s="282"/>
      <c r="T60" s="282"/>
      <c r="U60" s="282"/>
    </row>
    <row r="61" spans="1:21" ht="13.15">
      <c r="A61" s="132">
        <v>30</v>
      </c>
      <c r="B61" s="118">
        <v>469561611.40006495</v>
      </c>
      <c r="C61" s="284">
        <v>773323050.2250793</v>
      </c>
      <c r="D61" s="118">
        <v>11589122227.309338</v>
      </c>
      <c r="E61" s="118">
        <v>56263919733.584953</v>
      </c>
      <c r="F61" s="118">
        <v>171342746660.64493</v>
      </c>
      <c r="G61" s="302"/>
      <c r="H61" s="302"/>
      <c r="I61" s="302"/>
      <c r="J61" s="302"/>
      <c r="K61" s="302"/>
      <c r="L61" s="302"/>
      <c r="M61" s="282"/>
      <c r="N61" s="282"/>
      <c r="O61" s="282"/>
      <c r="P61" s="282"/>
      <c r="Q61" s="282"/>
      <c r="R61" s="282"/>
      <c r="S61" s="282"/>
      <c r="T61" s="282"/>
      <c r="U61" s="282"/>
    </row>
    <row r="62" spans="1:21">
      <c r="C62" s="282"/>
      <c r="D62" s="111"/>
      <c r="E62" s="111"/>
      <c r="F62" s="111"/>
      <c r="G62" s="111"/>
      <c r="H62" s="111"/>
      <c r="I62" s="111"/>
      <c r="J62" s="111"/>
      <c r="K62" s="111"/>
      <c r="L62" s="111"/>
      <c r="M62" s="282"/>
      <c r="N62" s="282"/>
      <c r="O62" s="282"/>
      <c r="P62" s="282"/>
      <c r="Q62" s="282"/>
      <c r="R62" s="282"/>
      <c r="S62" s="282"/>
      <c r="T62" s="282"/>
      <c r="U62" s="282"/>
    </row>
    <row r="63" spans="1:21" ht="13.15">
      <c r="B63" s="115" t="s">
        <v>109</v>
      </c>
      <c r="C63" s="282"/>
      <c r="D63" s="111"/>
      <c r="E63" s="111"/>
      <c r="F63" s="111"/>
      <c r="G63" s="111"/>
      <c r="H63" s="111"/>
      <c r="I63" s="111"/>
      <c r="J63" s="111"/>
      <c r="K63" s="111"/>
      <c r="L63" s="111"/>
      <c r="M63" s="282"/>
      <c r="N63" s="282"/>
      <c r="O63" s="282"/>
      <c r="P63" s="282"/>
      <c r="Q63" s="282"/>
      <c r="R63" s="282"/>
      <c r="S63" s="282"/>
      <c r="T63" s="282"/>
      <c r="U63" s="282"/>
    </row>
    <row r="64" spans="1:21" ht="13.15">
      <c r="B64" s="124">
        <f>B55</f>
        <v>0.02</v>
      </c>
      <c r="C64" s="124">
        <f>C55</f>
        <v>0.05</v>
      </c>
      <c r="D64" s="124">
        <f>D55</f>
        <v>0.18</v>
      </c>
      <c r="E64" s="124">
        <f>E55</f>
        <v>0.25</v>
      </c>
      <c r="F64" s="124">
        <f>F55</f>
        <v>0.3</v>
      </c>
      <c r="G64" s="124"/>
      <c r="H64" s="124"/>
      <c r="I64" s="124"/>
      <c r="J64" s="124"/>
      <c r="K64" s="124"/>
      <c r="L64" s="124"/>
    </row>
    <row r="65" spans="1:12" ht="13.15">
      <c r="A65" s="131">
        <v>0</v>
      </c>
      <c r="B65" s="119">
        <f>C11</f>
        <v>50.248085591803303</v>
      </c>
      <c r="C65" s="119">
        <f>C11</f>
        <v>50.248085591803303</v>
      </c>
      <c r="D65" s="119">
        <f>C11</f>
        <v>50.248085591803303</v>
      </c>
      <c r="E65" s="119">
        <f>C11</f>
        <v>50.248085591803303</v>
      </c>
      <c r="F65" s="119">
        <f>C11</f>
        <v>50.248085591803303</v>
      </c>
      <c r="G65" s="303"/>
      <c r="H65" s="303"/>
      <c r="I65" s="303"/>
      <c r="J65" s="303"/>
      <c r="K65" s="303"/>
      <c r="L65" s="303"/>
    </row>
    <row r="66" spans="1:12" ht="13.15">
      <c r="A66" s="131">
        <f t="shared" ref="A66:A71" si="11">A56</f>
        <v>5</v>
      </c>
      <c r="B66" s="119">
        <f t="shared" ref="B66:F71" si="12">(B56+FV_adjustments)/Common_Shares*scaling_factor*Exchange_Rate</f>
        <v>54.292732413199801</v>
      </c>
      <c r="C66" s="119">
        <f t="shared" si="12"/>
        <v>60.941113083547762</v>
      </c>
      <c r="D66" s="119">
        <f t="shared" si="12"/>
        <v>99.287840244182036</v>
      </c>
      <c r="E66" s="119">
        <f t="shared" si="12"/>
        <v>127.77493135356482</v>
      </c>
      <c r="F66" s="119">
        <f t="shared" si="12"/>
        <v>152.22684798121972</v>
      </c>
      <c r="G66" s="303"/>
      <c r="H66" s="303"/>
      <c r="I66" s="303"/>
      <c r="J66" s="303"/>
      <c r="K66" s="303"/>
      <c r="L66" s="303"/>
    </row>
    <row r="67" spans="1:12" ht="13.15">
      <c r="A67" s="131">
        <f t="shared" si="11"/>
        <v>10</v>
      </c>
      <c r="B67" s="119">
        <f t="shared" si="12"/>
        <v>57.439719490418383</v>
      </c>
      <c r="C67" s="119">
        <f t="shared" si="12"/>
        <v>70.558579411563599</v>
      </c>
      <c r="D67" s="119">
        <f t="shared" si="12"/>
        <v>178.35057292317481</v>
      </c>
      <c r="E67" s="119">
        <f t="shared" si="12"/>
        <v>294.50567050300594</v>
      </c>
      <c r="F67" s="119">
        <f t="shared" si="12"/>
        <v>419.06012773584609</v>
      </c>
      <c r="G67" s="303"/>
      <c r="H67" s="303"/>
      <c r="I67" s="303"/>
      <c r="J67" s="303"/>
      <c r="K67" s="303"/>
      <c r="L67" s="303"/>
    </row>
    <row r="68" spans="1:12" ht="13.15">
      <c r="A68" s="131">
        <f t="shared" si="11"/>
        <v>15</v>
      </c>
      <c r="B68" s="119">
        <f t="shared" si="12"/>
        <v>59.888271391610417</v>
      </c>
      <c r="C68" s="119">
        <f t="shared" si="12"/>
        <v>79.208670196603677</v>
      </c>
      <c r="D68" s="119">
        <f t="shared" si="12"/>
        <v>305.81686517891421</v>
      </c>
      <c r="E68" s="119">
        <f t="shared" si="12"/>
        <v>653.08003405631177</v>
      </c>
      <c r="F68" s="119">
        <f t="shared" si="12"/>
        <v>1117.2447057436291</v>
      </c>
      <c r="G68" s="303"/>
      <c r="H68" s="303"/>
      <c r="I68" s="303"/>
      <c r="J68" s="303"/>
      <c r="K68" s="303"/>
      <c r="L68" s="303"/>
    </row>
    <row r="69" spans="1:12" ht="13.15">
      <c r="A69" s="132">
        <f t="shared" si="11"/>
        <v>20</v>
      </c>
      <c r="B69" s="119">
        <f t="shared" si="12"/>
        <v>61.793397236019686</v>
      </c>
      <c r="C69" s="119">
        <f t="shared" si="12"/>
        <v>86.98868917847112</v>
      </c>
      <c r="D69" s="119">
        <f t="shared" si="12"/>
        <v>511.32020551238895</v>
      </c>
      <c r="E69" s="119">
        <f t="shared" si="12"/>
        <v>1424.237019586232</v>
      </c>
      <c r="F69" s="119">
        <f t="shared" si="12"/>
        <v>2944.0846914311883</v>
      </c>
      <c r="G69" s="303"/>
      <c r="H69" s="303"/>
      <c r="I69" s="303"/>
      <c r="J69" s="303"/>
      <c r="K69" s="303"/>
      <c r="L69" s="303"/>
    </row>
    <row r="70" spans="1:12" ht="13.15">
      <c r="A70" s="132">
        <f t="shared" si="11"/>
        <v>25</v>
      </c>
      <c r="B70" s="119">
        <f t="shared" si="12"/>
        <v>63.275703770453042</v>
      </c>
      <c r="C70" s="119">
        <f t="shared" si="12"/>
        <v>93.986152773061391</v>
      </c>
      <c r="D70" s="119">
        <f t="shared" si="12"/>
        <v>842.63621181376777</v>
      </c>
      <c r="E70" s="119">
        <f t="shared" si="12"/>
        <v>3082.7021994126953</v>
      </c>
      <c r="F70" s="119">
        <f t="shared" si="12"/>
        <v>7724.1162739530791</v>
      </c>
      <c r="G70" s="303"/>
      <c r="H70" s="303"/>
      <c r="I70" s="303"/>
      <c r="J70" s="303"/>
      <c r="K70" s="303"/>
      <c r="L70" s="303"/>
    </row>
    <row r="71" spans="1:12" ht="13.15">
      <c r="A71" s="132">
        <f t="shared" si="11"/>
        <v>30</v>
      </c>
      <c r="B71" s="119">
        <f t="shared" si="12"/>
        <v>64.429030553810549</v>
      </c>
      <c r="C71" s="119">
        <f t="shared" si="12"/>
        <v>100.27977453307705</v>
      </c>
      <c r="D71" s="119">
        <f t="shared" si="12"/>
        <v>1376.7895538147714</v>
      </c>
      <c r="E71" s="119">
        <f t="shared" si="12"/>
        <v>6649.4296029215193</v>
      </c>
      <c r="F71" s="119">
        <f t="shared" si="12"/>
        <v>20231.343020091583</v>
      </c>
      <c r="G71" s="303"/>
      <c r="H71" s="303"/>
      <c r="I71" s="303"/>
      <c r="J71" s="303"/>
      <c r="K71" s="303"/>
      <c r="L71" s="303"/>
    </row>
    <row r="73" spans="1:12" ht="13.15">
      <c r="B73" s="153" t="s">
        <v>101</v>
      </c>
      <c r="C73" s="153" t="s">
        <v>110</v>
      </c>
      <c r="D73" s="153" t="s">
        <v>99</v>
      </c>
      <c r="E73" s="154" t="s">
        <v>100</v>
      </c>
      <c r="F73" s="154" t="s">
        <v>463</v>
      </c>
      <c r="G73" s="331"/>
      <c r="H73" s="331"/>
      <c r="I73" s="331"/>
      <c r="J73" s="331"/>
      <c r="K73" s="331"/>
      <c r="L73" s="331"/>
    </row>
    <row r="74" spans="1:12">
      <c r="B74" s="120" t="str">
        <f>Scenarios!B29</f>
        <v>Snowball Scenario</v>
      </c>
      <c r="C74" s="130">
        <f>Scenarios!C29</f>
        <v>0.3</v>
      </c>
      <c r="D74" s="133">
        <f>Scenarios!D29</f>
        <v>5</v>
      </c>
      <c r="E74" s="127">
        <f>INDEX(B$65:F$71, MATCH(D74, A$65:A$71, 0), MATCH(C74, B$64:F$64, 0))</f>
        <v>152.22684798121972</v>
      </c>
      <c r="F74" s="130">
        <f>Scenarios!F29</f>
        <v>0.05</v>
      </c>
      <c r="G74" s="304"/>
      <c r="H74" s="304"/>
      <c r="I74" s="304"/>
      <c r="J74" s="304"/>
      <c r="K74" s="304"/>
      <c r="L74" s="304"/>
    </row>
    <row r="75" spans="1:12">
      <c r="B75" s="120" t="str">
        <f>Scenarios!B22</f>
        <v>Optimistic</v>
      </c>
      <c r="C75" s="130">
        <f>Scenarios!C22</f>
        <v>0.25</v>
      </c>
      <c r="D75" s="133">
        <f>Scenarios!D22</f>
        <v>5</v>
      </c>
      <c r="E75" s="127">
        <f>INDEX(B$65:F$71, MATCH(D75, A$65:A$71, 0), MATCH(C75, B$64:F$64, 0))</f>
        <v>127.77493135356482</v>
      </c>
      <c r="F75" s="130">
        <f>Scenarios!F22*(1-F$74-F$78)</f>
        <v>0.17999999999999994</v>
      </c>
      <c r="G75" s="304"/>
      <c r="H75" s="304"/>
      <c r="I75" s="304"/>
      <c r="J75" s="304"/>
      <c r="K75" s="304"/>
      <c r="L75" s="304"/>
    </row>
    <row r="76" spans="1:12">
      <c r="B76" s="120" t="str">
        <f>Scenarios!B23</f>
        <v>Base</v>
      </c>
      <c r="C76" s="130">
        <f>Scenarios!C23</f>
        <v>0.18</v>
      </c>
      <c r="D76" s="133">
        <f>Scenarios!D23</f>
        <v>5</v>
      </c>
      <c r="E76" s="127">
        <f>INDEX(B$65:F$71, MATCH(D76, A$65:A$71, 0), MATCH(C76, B$64:F$64, 0))</f>
        <v>99.287840244182036</v>
      </c>
      <c r="F76" s="130">
        <f>Scenarios!F23*(1-F$74-F$78)</f>
        <v>0.495</v>
      </c>
      <c r="G76" s="304"/>
      <c r="H76" s="304"/>
      <c r="I76" s="304"/>
      <c r="J76" s="304"/>
      <c r="K76" s="304"/>
      <c r="L76" s="304"/>
    </row>
    <row r="77" spans="1:12">
      <c r="B77" s="120" t="str">
        <f>Scenarios!B24</f>
        <v>Pessimistic</v>
      </c>
      <c r="C77" s="130">
        <f>Scenarios!C24</f>
        <v>0.05</v>
      </c>
      <c r="D77" s="133">
        <f>Scenarios!D24</f>
        <v>5</v>
      </c>
      <c r="E77" s="127">
        <f>INDEX(B$65:F$71, MATCH(D77, A$65:A$71, 0), MATCH(C77, B$64:F$64, 0))</f>
        <v>60.941113083547762</v>
      </c>
      <c r="F77" s="130">
        <f>Scenarios!F24*(1-F$74-F$78)</f>
        <v>0.22499999999999998</v>
      </c>
      <c r="G77" s="304"/>
      <c r="H77" s="304"/>
      <c r="I77" s="304"/>
      <c r="J77" s="304"/>
      <c r="K77" s="304"/>
      <c r="L77" s="304"/>
    </row>
    <row r="78" spans="1:12">
      <c r="B78" s="120" t="str">
        <f>Scenarios!B30</f>
        <v>Devil's advocate</v>
      </c>
      <c r="C78" s="130">
        <f>Scenarios!C30</f>
        <v>0.02</v>
      </c>
      <c r="D78" s="133">
        <f>Scenarios!D30</f>
        <v>5</v>
      </c>
      <c r="E78" s="127">
        <f>INDEX(B$65:F$71, MATCH(D78, A$65:A$71, 0), MATCH(C78, B$64:F$64, 0))</f>
        <v>54.292732413199801</v>
      </c>
      <c r="F78" s="130">
        <f>Scenarios!F30</f>
        <v>0.05</v>
      </c>
      <c r="G78" s="304"/>
      <c r="H78" s="304"/>
      <c r="I78" s="304"/>
      <c r="J78" s="304"/>
      <c r="K78" s="304"/>
      <c r="L78" s="304"/>
    </row>
    <row r="79" spans="1:12">
      <c r="B79" s="141"/>
      <c r="C79" s="141"/>
      <c r="D79" s="141"/>
      <c r="E79" s="141"/>
      <c r="F79" s="142"/>
      <c r="G79" s="142"/>
      <c r="H79" s="142"/>
      <c r="I79" s="142"/>
      <c r="J79" s="142"/>
      <c r="K79" s="142"/>
      <c r="L79" s="142"/>
    </row>
    <row r="89" spans="3:3">
      <c r="C89" s="112"/>
    </row>
    <row r="90" spans="3:3">
      <c r="C90" s="112"/>
    </row>
    <row r="91" spans="3:3">
      <c r="C91" s="112"/>
    </row>
    <row r="98" spans="3:21">
      <c r="C98" s="282"/>
      <c r="M98" s="282"/>
      <c r="N98" s="282"/>
      <c r="O98" s="282"/>
      <c r="P98" s="282"/>
      <c r="Q98" s="282"/>
      <c r="R98" s="282"/>
      <c r="S98" s="282"/>
      <c r="T98" s="282"/>
      <c r="U98" s="282"/>
    </row>
    <row r="99" spans="3:21">
      <c r="C99" s="282"/>
      <c r="M99" s="282"/>
      <c r="N99" s="282"/>
      <c r="O99" s="282"/>
      <c r="P99" s="282"/>
      <c r="Q99" s="282"/>
      <c r="R99" s="282"/>
      <c r="S99" s="282"/>
      <c r="T99" s="282"/>
      <c r="U99" s="282"/>
    </row>
    <row r="100" spans="3:21">
      <c r="C100" s="282"/>
      <c r="M100" s="282"/>
      <c r="N100" s="282"/>
      <c r="O100" s="282"/>
      <c r="P100" s="282"/>
      <c r="Q100" s="282"/>
      <c r="R100" s="282"/>
      <c r="S100" s="282"/>
      <c r="T100" s="282"/>
      <c r="U100" s="282"/>
    </row>
    <row r="101" spans="3:21">
      <c r="C101" s="282"/>
      <c r="M101" s="282"/>
      <c r="N101" s="282"/>
      <c r="O101" s="282"/>
      <c r="P101" s="282"/>
      <c r="Q101" s="282"/>
      <c r="R101" s="282"/>
      <c r="S101" s="282"/>
      <c r="T101" s="282"/>
      <c r="U101" s="282"/>
    </row>
    <row r="102" spans="3:21">
      <c r="C102" s="282"/>
      <c r="M102" s="282"/>
      <c r="N102" s="282"/>
      <c r="O102" s="282"/>
      <c r="P102" s="282"/>
      <c r="Q102" s="282"/>
      <c r="R102" s="282"/>
      <c r="S102" s="282"/>
      <c r="T102" s="282"/>
      <c r="U102" s="282"/>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7" zoomScaleNormal="100" workbookViewId="0">
      <selection activeCell="F17" sqref="F17"/>
    </sheetView>
  </sheetViews>
  <sheetFormatPr defaultColWidth="8.796875" defaultRowHeight="12.75"/>
  <cols>
    <col min="1" max="1" width="2.6640625" customWidth="1"/>
    <col min="2" max="2" width="22.6640625" customWidth="1"/>
    <col min="3" max="4" width="18.59765625" customWidth="1"/>
    <col min="5" max="7" width="20.6640625" customWidth="1"/>
  </cols>
  <sheetData>
    <row r="2" spans="2:7" ht="13.9">
      <c r="B2" s="34" t="s">
        <v>122</v>
      </c>
      <c r="C2" s="35"/>
      <c r="D2" s="35"/>
      <c r="E2" s="35"/>
      <c r="F2" s="35"/>
      <c r="G2" s="35"/>
    </row>
    <row r="3" spans="2:7" ht="13.15">
      <c r="B3" s="145" t="s">
        <v>125</v>
      </c>
      <c r="D3" s="97" t="s">
        <v>554</v>
      </c>
      <c r="E3" s="97"/>
    </row>
    <row r="4" spans="2:7" ht="12.75" customHeight="1">
      <c r="B4" s="139" t="s">
        <v>123</v>
      </c>
      <c r="C4" s="476">
        <v>2</v>
      </c>
      <c r="D4" s="463"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3"/>
      <c r="F4" s="463"/>
      <c r="G4" s="463"/>
    </row>
    <row r="5" spans="2:7">
      <c r="C5" s="472"/>
      <c r="D5" s="463"/>
      <c r="E5" s="463"/>
      <c r="F5" s="463"/>
      <c r="G5" s="463"/>
    </row>
    <row r="6" spans="2:7" ht="13.15">
      <c r="B6" s="145" t="s">
        <v>91</v>
      </c>
      <c r="C6" s="473" t="str">
        <f>DCF!C3&amp;" "&amp;Reporting_currency</f>
        <v>1000 CNY</v>
      </c>
      <c r="D6" s="463"/>
      <c r="E6" s="463"/>
      <c r="F6" s="463"/>
      <c r="G6" s="463"/>
    </row>
    <row r="7" spans="2:7" ht="12.75" customHeight="1">
      <c r="B7" s="97" t="s">
        <v>232</v>
      </c>
      <c r="C7" s="474">
        <f>Normalized_FCF!G8</f>
        <v>34026555</v>
      </c>
      <c r="D7" s="463"/>
      <c r="E7" s="463"/>
      <c r="F7" s="463"/>
      <c r="G7" s="463"/>
    </row>
    <row r="8" spans="2:7">
      <c r="B8" s="97" t="s">
        <v>63</v>
      </c>
      <c r="C8" s="474">
        <f>Normalized_FCF!G19</f>
        <v>31053328.82592709</v>
      </c>
      <c r="D8" s="463"/>
      <c r="E8" s="463"/>
      <c r="F8" s="463"/>
      <c r="G8" s="463"/>
    </row>
    <row r="9" spans="2:7">
      <c r="B9" s="97" t="s">
        <v>54</v>
      </c>
      <c r="C9" s="474">
        <f>Normalized_FCF!C19</f>
        <v>25332023.608769987</v>
      </c>
      <c r="D9" s="463"/>
      <c r="E9" s="463"/>
      <c r="F9" s="463"/>
      <c r="G9" s="463"/>
    </row>
    <row r="10" spans="2:7">
      <c r="C10" s="475"/>
      <c r="D10" s="463"/>
      <c r="E10" s="463"/>
      <c r="F10" s="463"/>
      <c r="G10" s="463"/>
    </row>
    <row r="11" spans="2:7" ht="13.15">
      <c r="B11" s="145" t="s">
        <v>323</v>
      </c>
      <c r="C11" s="475"/>
      <c r="D11" s="463"/>
      <c r="E11" s="463"/>
      <c r="F11" s="463"/>
      <c r="G11" s="463"/>
    </row>
    <row r="12" spans="2:7">
      <c r="B12" s="114" t="s">
        <v>121</v>
      </c>
      <c r="C12" s="255">
        <f ca="1">(Normalized_FCF!G4/OFFSET(Normalized_FCF!G4, 0, $C$4))^(1/$C$4) - 1</f>
        <v>0.23887911725357402</v>
      </c>
      <c r="D12" s="463"/>
      <c r="E12" s="463"/>
      <c r="F12" s="463"/>
      <c r="G12" s="463"/>
    </row>
    <row r="13" spans="2:7">
      <c r="B13" s="135" t="s">
        <v>127</v>
      </c>
      <c r="C13" s="255" t="e">
        <f ca="1">(Normalized_FCF!G8/OFFSET(Normalized_FCF!G8, 0, $C$4))^(1/$C$4) - 1</f>
        <v>#NUM!</v>
      </c>
      <c r="D13" s="463"/>
      <c r="E13" s="463"/>
      <c r="F13" s="463"/>
      <c r="G13" s="463"/>
    </row>
    <row r="14" spans="2:7">
      <c r="B14" s="97" t="s">
        <v>63</v>
      </c>
      <c r="C14" s="255" t="e">
        <f ca="1">(Normalized_FCF!G19/OFFSET(Normalized_FCF!G19, 0, $C$4))^(1/$C$4) - 1</f>
        <v>#NUM!</v>
      </c>
      <c r="D14" s="463"/>
      <c r="E14" s="463"/>
      <c r="F14" s="463"/>
      <c r="G14" s="463"/>
    </row>
    <row r="16" spans="2:7" ht="13.9">
      <c r="B16" s="34" t="s">
        <v>459</v>
      </c>
      <c r="C16" s="35"/>
      <c r="D16" s="35"/>
      <c r="E16" s="35"/>
      <c r="F16" s="35"/>
      <c r="G16" s="35"/>
    </row>
    <row r="17" spans="2:7" ht="13.15">
      <c r="B17" s="106" t="s">
        <v>126</v>
      </c>
      <c r="E17" s="145"/>
    </row>
    <row r="18" spans="2:7" ht="12.75" customHeight="1">
      <c r="B18" s="139" t="s">
        <v>111</v>
      </c>
      <c r="C18" s="137">
        <v>5</v>
      </c>
      <c r="E18" s="326"/>
      <c r="F18" s="327"/>
    </row>
    <row r="19" spans="2:7">
      <c r="E19" s="327"/>
      <c r="F19" s="327"/>
    </row>
    <row r="20" spans="2:7" ht="13.15">
      <c r="B20" s="106" t="s">
        <v>456</v>
      </c>
      <c r="E20" s="327"/>
      <c r="F20" s="327"/>
    </row>
    <row r="21" spans="2:7" ht="13.15">
      <c r="B21" s="153" t="s">
        <v>442</v>
      </c>
      <c r="C21" s="153" t="s">
        <v>382</v>
      </c>
      <c r="D21" s="153" t="s">
        <v>454</v>
      </c>
      <c r="E21" s="154" t="str">
        <f>"Value per share ("&amp;Market_currency&amp;")"</f>
        <v>Value per share (HKD)</v>
      </c>
      <c r="F21" s="154" t="s">
        <v>455</v>
      </c>
      <c r="G21" s="154" t="s">
        <v>463</v>
      </c>
    </row>
    <row r="22" spans="2:7">
      <c r="B22" s="309" t="s">
        <v>451</v>
      </c>
      <c r="C22" s="332">
        <v>0.25</v>
      </c>
      <c r="D22" s="333">
        <f>C18</f>
        <v>5</v>
      </c>
      <c r="E22" s="334">
        <f>DCF!E75</f>
        <v>127.77493135356482</v>
      </c>
      <c r="F22" s="336">
        <f>1-F23-F24</f>
        <v>0.19999999999999996</v>
      </c>
      <c r="G22" s="336">
        <f>F22*(1-F$29-F$30)</f>
        <v>0.17999999999999994</v>
      </c>
    </row>
    <row r="23" spans="2:7">
      <c r="B23" s="309" t="s">
        <v>443</v>
      </c>
      <c r="C23" s="332">
        <v>0.18</v>
      </c>
      <c r="D23" s="333">
        <f>C18</f>
        <v>5</v>
      </c>
      <c r="E23" s="334">
        <f>DCF!E76</f>
        <v>99.287840244182036</v>
      </c>
      <c r="F23" s="335">
        <v>0.55000000000000004</v>
      </c>
      <c r="G23" s="336">
        <f t="shared" ref="G23:G24" si="0">F23*(1-F$29-F$30)</f>
        <v>0.495</v>
      </c>
    </row>
    <row r="24" spans="2:7">
      <c r="B24" s="309" t="s">
        <v>452</v>
      </c>
      <c r="C24" s="332">
        <v>0.05</v>
      </c>
      <c r="D24" s="333">
        <f>C18</f>
        <v>5</v>
      </c>
      <c r="E24" s="334">
        <f>DCF!E77</f>
        <v>60.941113083547762</v>
      </c>
      <c r="F24" s="335">
        <v>0.25</v>
      </c>
      <c r="G24" s="336">
        <f t="shared" si="0"/>
        <v>0.22499999999999998</v>
      </c>
    </row>
    <row r="25" spans="2:7">
      <c r="B25" s="141" t="s">
        <v>457</v>
      </c>
      <c r="C25" s="450">
        <f>E23*F23+E24*F24+E22*F22</f>
        <v>95.398576675900017</v>
      </c>
      <c r="D25" s="141" t="str">
        <f>Market_currency</f>
        <v>HKD</v>
      </c>
      <c r="G25" s="149"/>
    </row>
    <row r="27" spans="2:7" ht="13.15">
      <c r="B27" s="106" t="s">
        <v>458</v>
      </c>
    </row>
    <row r="28" spans="2:7" ht="13.15">
      <c r="B28" s="153" t="s">
        <v>442</v>
      </c>
      <c r="C28" s="153" t="s">
        <v>382</v>
      </c>
      <c r="D28" s="153" t="s">
        <v>454</v>
      </c>
      <c r="E28" s="154" t="str">
        <f>"Value per share ("&amp;Market_currency&amp;")"</f>
        <v>Value per share (HKD)</v>
      </c>
      <c r="F28" s="154" t="s">
        <v>455</v>
      </c>
      <c r="G28" s="154" t="s">
        <v>463</v>
      </c>
    </row>
    <row r="29" spans="2:7">
      <c r="B29" s="309" t="s">
        <v>450</v>
      </c>
      <c r="C29" s="332">
        <v>0.3</v>
      </c>
      <c r="D29" s="333">
        <f>C18</f>
        <v>5</v>
      </c>
      <c r="E29" s="334">
        <f>DCF!E74</f>
        <v>152.22684798121972</v>
      </c>
      <c r="F29" s="335">
        <v>0.05</v>
      </c>
      <c r="G29" s="336">
        <f>F29</f>
        <v>0.05</v>
      </c>
    </row>
    <row r="30" spans="2:7">
      <c r="B30" s="322" t="s">
        <v>453</v>
      </c>
      <c r="C30" s="332">
        <v>0.02</v>
      </c>
      <c r="D30" s="333">
        <f>C18</f>
        <v>5</v>
      </c>
      <c r="E30" s="334">
        <f>DCF!E78</f>
        <v>54.292732413199801</v>
      </c>
      <c r="F30" s="335">
        <v>0.05</v>
      </c>
      <c r="G30" s="336">
        <f>F30</f>
        <v>0.05</v>
      </c>
    </row>
    <row r="31" spans="2:7">
      <c r="E31" s="337"/>
      <c r="F31" s="337"/>
    </row>
    <row r="32" spans="2:7" ht="13.15">
      <c r="B32" s="145" t="s">
        <v>462</v>
      </c>
    </row>
    <row r="33" spans="2:7">
      <c r="B33" s="97" t="s">
        <v>464</v>
      </c>
      <c r="C33" s="155">
        <f>Normalized_FCF!C88*(1-dividend_tax_rate)</f>
        <v>0</v>
      </c>
      <c r="D33" t="str">
        <f>Market_currency</f>
        <v>HKD</v>
      </c>
      <c r="E33" s="97" t="s">
        <v>461</v>
      </c>
      <c r="F33" s="222">
        <f>Holding_Period</f>
        <v>2</v>
      </c>
    </row>
    <row r="34" spans="2:7">
      <c r="B34" s="97" t="s">
        <v>233</v>
      </c>
      <c r="C34" s="146">
        <f>Market_Price</f>
        <v>105.8</v>
      </c>
      <c r="D34" t="str">
        <f>Market_currency</f>
        <v>HKD</v>
      </c>
      <c r="E34" s="97" t="s">
        <v>460</v>
      </c>
      <c r="F34" s="338">
        <f>RATE(Holding_Period,$C$33,-C34,$C$36)</f>
        <v>-4.6523136720470086E-2</v>
      </c>
    </row>
    <row r="35" spans="2:7">
      <c r="B35" s="97" t="s">
        <v>440</v>
      </c>
      <c r="C35" s="328">
        <f>DCF!C11</f>
        <v>50.248085591803303</v>
      </c>
      <c r="D35" s="97" t="str">
        <f>Market_currency</f>
        <v>HKD</v>
      </c>
      <c r="E35" s="97" t="s">
        <v>460</v>
      </c>
      <c r="F35" s="338">
        <f>RATE(Holding_Period,$C$33,-C35,$C$36)</f>
        <v>0.38354482047581101</v>
      </c>
    </row>
    <row r="36" spans="2:7">
      <c r="B36" s="97" t="s">
        <v>441</v>
      </c>
      <c r="C36" s="329">
        <f>E22*G22+E23*G23+E24*G24+E30*G30+E29*G29</f>
        <v>96.184698028030979</v>
      </c>
      <c r="D36" t="str">
        <f>Market_currency</f>
        <v>HKD</v>
      </c>
      <c r="E36" s="97" t="s">
        <v>466</v>
      </c>
      <c r="F36" s="339" t="s">
        <v>465</v>
      </c>
    </row>
    <row r="38" spans="2:7" ht="13.9">
      <c r="B38" s="34" t="s">
        <v>416</v>
      </c>
      <c r="C38" s="35"/>
      <c r="D38" s="35"/>
      <c r="E38" s="35"/>
      <c r="F38" s="35"/>
      <c r="G38" s="35"/>
    </row>
    <row r="39" spans="2:7" ht="13.15">
      <c r="B39" s="422" t="str">
        <f>IF(DCF!F14="II","2","1")&amp;"-stage DCF"</f>
        <v>1-stage DCF</v>
      </c>
      <c r="E39" s="225" t="s">
        <v>251</v>
      </c>
    </row>
    <row r="40" spans="2:7">
      <c r="B40" t="s">
        <v>405</v>
      </c>
      <c r="C40" s="138">
        <f>DCF!C17</f>
        <v>0.8600000000000001</v>
      </c>
      <c r="E40" s="97" t="s">
        <v>406</v>
      </c>
    </row>
    <row r="41" spans="2:7">
      <c r="B41" s="97" t="s">
        <v>404</v>
      </c>
      <c r="C41" s="138">
        <f>DCF!C16</f>
        <v>0.12953099283111186</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0.12953099283111186</v>
      </c>
      <c r="D46" s="138"/>
      <c r="E46" s="224" t="s">
        <v>252</v>
      </c>
    </row>
    <row r="47" spans="2:7">
      <c r="B47" s="97" t="s">
        <v>96</v>
      </c>
      <c r="C47" s="146">
        <f>DCF!I18</f>
        <v>82.376697504281324</v>
      </c>
      <c r="D47" s="146" t="str">
        <f>Market_currency</f>
        <v>HKD</v>
      </c>
      <c r="E47" s="224" t="s">
        <v>253</v>
      </c>
    </row>
    <row r="49" spans="2:7" ht="13.15">
      <c r="B49" s="106" t="s">
        <v>278</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274</v>
      </c>
      <c r="F53" s="255">
        <f>BS!D89/C36</f>
        <v>0.21877787708105431</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335</v>
      </c>
      <c r="C58" s="155">
        <f>C33</f>
        <v>0</v>
      </c>
      <c r="D58" t="str">
        <f>Market_currency</f>
        <v>HKD</v>
      </c>
    </row>
    <row r="60" spans="2:7" ht="13.15">
      <c r="B60" s="106" t="s">
        <v>479</v>
      </c>
      <c r="E60" s="421"/>
    </row>
    <row r="61" spans="2:7" ht="13.15">
      <c r="B61" s="153" t="s">
        <v>468</v>
      </c>
      <c r="C61" s="153" t="s">
        <v>103</v>
      </c>
      <c r="D61" s="153" t="s">
        <v>104</v>
      </c>
      <c r="E61" s="154" t="str">
        <f>"Buy below ("&amp;Market_currency&amp;")"</f>
        <v>Buy below (HKD)</v>
      </c>
      <c r="F61" s="154" t="s">
        <v>460</v>
      </c>
      <c r="G61" s="154" t="s">
        <v>467</v>
      </c>
    </row>
    <row r="62" spans="2:7" ht="13.15">
      <c r="B62" s="309" t="s">
        <v>314</v>
      </c>
      <c r="C62" s="119">
        <f>PV(F62, Holding_Period, -C58, 0)</f>
        <v>0</v>
      </c>
      <c r="D62" s="119">
        <f>C36/(1+F62)^Holding_Period</f>
        <v>52.776240344598612</v>
      </c>
      <c r="E62" s="340">
        <f>C62+D62</f>
        <v>52.776240344598612</v>
      </c>
      <c r="F62" s="308">
        <f>Thesis!E22</f>
        <v>0.35</v>
      </c>
      <c r="G62" s="449">
        <f>(1-E62/C36)</f>
        <v>0.4513031550068588</v>
      </c>
    </row>
    <row r="63" spans="2:7" ht="13.15">
      <c r="B63" s="309" t="s">
        <v>315</v>
      </c>
      <c r="C63" s="119">
        <f>PV(F63, Holding_Period, -C58, 0)</f>
        <v>0</v>
      </c>
      <c r="D63" s="119">
        <f>C36/(1+F63)^Holding_Period</f>
        <v>61.558206737939827</v>
      </c>
      <c r="E63" s="340">
        <f>C63+D63</f>
        <v>61.558206737939827</v>
      </c>
      <c r="F63" s="308">
        <f>Thesis!E23</f>
        <v>0.25</v>
      </c>
      <c r="G63" s="449">
        <f>(1-E63/C36)</f>
        <v>0.36</v>
      </c>
    </row>
    <row r="65" spans="2:7" ht="13.15">
      <c r="B65" s="153" t="s">
        <v>469</v>
      </c>
      <c r="C65" s="153" t="s">
        <v>103</v>
      </c>
      <c r="D65" s="153" t="s">
        <v>104</v>
      </c>
      <c r="E65" s="154" t="str">
        <f>"Sell above ("&amp;Market_currency&amp;")"</f>
        <v>Sell above (HKD)</v>
      </c>
      <c r="F65" s="154" t="s">
        <v>460</v>
      </c>
      <c r="G65" s="154" t="s">
        <v>467</v>
      </c>
    </row>
    <row r="66" spans="2:7" ht="13.15">
      <c r="B66" s="309" t="s">
        <v>317</v>
      </c>
      <c r="C66" s="119">
        <f>PV(F66, Holding_Period, -C58, 0)</f>
        <v>0</v>
      </c>
      <c r="D66" s="119">
        <f>C36/(1+F66)^Holding_Period</f>
        <v>77.035100202753867</v>
      </c>
      <c r="E66" s="340">
        <f>C66+D66</f>
        <v>77.035100202753867</v>
      </c>
      <c r="F66" s="308">
        <f>Thesis!E24</f>
        <v>0.1174</v>
      </c>
      <c r="G66" s="449">
        <f>(1-E66/C47)</f>
        <v>6.4843547548745106E-2</v>
      </c>
    </row>
    <row r="67" spans="2:7" ht="13.15">
      <c r="B67" s="309" t="s">
        <v>316</v>
      </c>
      <c r="C67" s="119">
        <f>PV(F67, Holding_Period, -C58, 0)</f>
        <v>0</v>
      </c>
      <c r="D67" s="119">
        <f>C36/(1+F67)^Holding_Period</f>
        <v>83.620235080688303</v>
      </c>
      <c r="E67" s="340">
        <f>C67+D67</f>
        <v>83.620235080688303</v>
      </c>
      <c r="F67" s="308">
        <f>Thesis!E25</f>
        <v>7.2499999999999995E-2</v>
      </c>
      <c r="G67" s="449">
        <f>(1-E67/C36)</f>
        <v>0.13062850125787195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336</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1" customWidth="1"/>
    <col min="2" max="2" width="32.6640625" style="351" customWidth="1"/>
    <col min="3" max="4" width="25.6640625" style="351" customWidth="1"/>
    <col min="5" max="6" width="15.6640625" style="351" customWidth="1"/>
    <col min="7" max="16384" width="9" style="351"/>
  </cols>
  <sheetData>
    <row r="2" spans="1:10" ht="13.9">
      <c r="A2" s="353" t="s">
        <v>337</v>
      </c>
      <c r="B2" s="353"/>
      <c r="C2" s="353"/>
      <c r="D2" s="353"/>
      <c r="E2" s="353"/>
      <c r="F2" s="353"/>
      <c r="G2" s="354"/>
      <c r="H2" s="354"/>
      <c r="I2" s="354"/>
      <c r="J2" s="354"/>
    </row>
    <row r="3" spans="1:10">
      <c r="E3" s="444" t="s">
        <v>547</v>
      </c>
      <c r="F3" s="445">
        <f>Thesis!F3</f>
        <v>45930</v>
      </c>
    </row>
    <row r="4" spans="1:10">
      <c r="B4" s="431" t="s">
        <v>539</v>
      </c>
      <c r="C4" s="432" t="str">
        <f>Thesis!C4</f>
        <v>美团</v>
      </c>
      <c r="D4" s="357"/>
      <c r="E4" s="443" t="s">
        <v>545</v>
      </c>
      <c r="F4" s="446" t="str">
        <f>Thesis!F4</f>
        <v>INT</v>
      </c>
    </row>
    <row r="5" spans="1:10">
      <c r="B5" s="351" t="s">
        <v>367</v>
      </c>
      <c r="C5" s="363" t="str">
        <f>Thesis!C5</f>
        <v>3690.HK</v>
      </c>
      <c r="E5" s="447" t="s">
        <v>546</v>
      </c>
      <c r="F5" s="448" t="str">
        <f>Thesis!F5</f>
        <v>N</v>
      </c>
    </row>
    <row r="6" spans="1:10">
      <c r="B6" s="358" t="s">
        <v>339</v>
      </c>
      <c r="C6" s="360" t="str">
        <f>Thesis!C6</f>
        <v>TMT_01</v>
      </c>
      <c r="E6" s="362"/>
    </row>
    <row r="7" spans="1:10">
      <c r="B7" s="351" t="s">
        <v>369</v>
      </c>
      <c r="C7" s="360" t="str">
        <f>Market_currency</f>
        <v>HKD</v>
      </c>
      <c r="D7" s="362"/>
      <c r="E7" s="362"/>
    </row>
    <row r="8" spans="1:10">
      <c r="B8" s="359" t="s">
        <v>368</v>
      </c>
      <c r="C8" s="364">
        <f>Market_Price</f>
        <v>105.8</v>
      </c>
    </row>
    <row r="9" spans="1:10">
      <c r="B9" s="359" t="s">
        <v>364</v>
      </c>
      <c r="C9" s="361">
        <f>Common_Shares</f>
        <v>9264431217</v>
      </c>
    </row>
    <row r="10" spans="1:10">
      <c r="B10" s="359" t="s">
        <v>370</v>
      </c>
      <c r="C10" s="365">
        <f>投资主题!C8*Common_Shares/1000000</f>
        <v>980176.8227586</v>
      </c>
      <c r="D10" s="351" t="s">
        <v>534</v>
      </c>
      <c r="E10" s="368">
        <f>Scenarios!F34</f>
        <v>-4.6523136720470086E-2</v>
      </c>
    </row>
    <row r="11" spans="1:10">
      <c r="D11" s="357"/>
      <c r="E11" s="357"/>
    </row>
    <row r="12" spans="1:10" ht="24.5" customHeight="1">
      <c r="B12" s="468" t="s">
        <v>503</v>
      </c>
      <c r="C12" s="468"/>
      <c r="D12" s="468"/>
      <c r="E12" s="468"/>
      <c r="F12" s="468"/>
    </row>
    <row r="14" spans="1:10">
      <c r="B14" s="355" t="s">
        <v>373</v>
      </c>
      <c r="C14" s="356"/>
      <c r="D14" s="357"/>
    </row>
    <row r="15" spans="1:10">
      <c r="B15" s="351" t="s">
        <v>340</v>
      </c>
      <c r="C15" s="366" t="str">
        <f>Thesis!C15</f>
        <v>N</v>
      </c>
      <c r="D15" s="359" t="s">
        <v>371</v>
      </c>
      <c r="E15" s="352" t="str">
        <f>IF(E17=C7,C7,E17&amp;"/"&amp;C7)</f>
        <v>CNY/HKD</v>
      </c>
    </row>
    <row r="16" spans="1:10">
      <c r="B16" s="351" t="s">
        <v>341</v>
      </c>
      <c r="C16" s="366" t="str">
        <f>Thesis!C16</f>
        <v>N</v>
      </c>
      <c r="D16" s="359" t="s">
        <v>372</v>
      </c>
      <c r="E16" s="434">
        <f>Exchange_Rate</f>
        <v>1.0934131500000002</v>
      </c>
    </row>
    <row r="17" spans="1:6">
      <c r="B17" s="351" t="s">
        <v>540</v>
      </c>
      <c r="C17" s="433">
        <f>Terminal_Growth</f>
        <v>0</v>
      </c>
      <c r="D17" s="359" t="s">
        <v>342</v>
      </c>
      <c r="E17" s="352" t="str">
        <f>Reporting_currency</f>
        <v>CNY</v>
      </c>
    </row>
    <row r="18" spans="1:6">
      <c r="B18" s="351" t="str">
        <f>"预期股权价值 ("&amp;C7&amp;") :"</f>
        <v>预期股权价值 (HKD) :</v>
      </c>
      <c r="C18" s="367">
        <f>C125</f>
        <v>96.184698028030979</v>
      </c>
      <c r="D18" s="358" t="s">
        <v>365</v>
      </c>
      <c r="E18" s="435">
        <f>Thesis!E18</f>
        <v>6</v>
      </c>
    </row>
    <row r="19" spans="1:6">
      <c r="B19" s="358" t="s">
        <v>338</v>
      </c>
      <c r="C19" s="360" t="str">
        <f>IF(Scenarios!C50="Y",Scenarios!B50,"")&amp;IF(Scenarios!C51="Y",Scenarios!B51,"")&amp;IF(Scenarios!C52="Y",Scenarios!B52,"")&amp;" "&amp;IF(Scenarios!C53="Y",Scenarios!B53,"")</f>
        <v xml:space="preserve">High Growth </v>
      </c>
      <c r="D19" s="351" t="s">
        <v>366</v>
      </c>
      <c r="E19" s="436">
        <f>EOMONTH(EDATE(BS!C1,E18+2),0)</f>
        <v>46081</v>
      </c>
    </row>
    <row r="20" spans="1:6">
      <c r="D20" s="357"/>
      <c r="E20" s="357"/>
    </row>
    <row r="21" spans="1:6">
      <c r="B21" s="355" t="s">
        <v>499</v>
      </c>
      <c r="C21" s="369" t="str">
        <f>C138&amp;" ("&amp;Market_currency&amp;")"</f>
        <v xml:space="preserve"> (HKD)</v>
      </c>
      <c r="D21" s="370" t="s">
        <v>347</v>
      </c>
      <c r="E21" s="371">
        <f>Holding_Period</f>
        <v>2</v>
      </c>
    </row>
    <row r="22" spans="1:6">
      <c r="B22" s="351" t="s">
        <v>343</v>
      </c>
      <c r="C22" s="372">
        <f>E140</f>
        <v>52.776240344598612</v>
      </c>
      <c r="D22" s="373" t="s">
        <v>446</v>
      </c>
      <c r="E22" s="374">
        <f>Thesis!E22</f>
        <v>0.35</v>
      </c>
    </row>
    <row r="23" spans="1:6">
      <c r="B23" s="351" t="s">
        <v>344</v>
      </c>
      <c r="C23" s="375">
        <f>E141</f>
        <v>61.558206737939827</v>
      </c>
      <c r="D23" s="373" t="s">
        <v>447</v>
      </c>
      <c r="E23" s="376">
        <f>Thesis!E23</f>
        <v>0.25</v>
      </c>
    </row>
    <row r="24" spans="1:6">
      <c r="B24" s="351" t="s">
        <v>346</v>
      </c>
      <c r="C24" s="375">
        <f>E144</f>
        <v>77.035100202753867</v>
      </c>
      <c r="D24" s="373" t="s">
        <v>449</v>
      </c>
      <c r="E24" s="376">
        <f>Thesis!E24</f>
        <v>0.1174</v>
      </c>
    </row>
    <row r="25" spans="1:6">
      <c r="B25" s="351" t="s">
        <v>345</v>
      </c>
      <c r="C25" s="375">
        <f>E145</f>
        <v>83.620235080688303</v>
      </c>
      <c r="D25" s="373" t="s">
        <v>448</v>
      </c>
      <c r="E25" s="376">
        <f>Thesis!E25</f>
        <v>7.2499999999999995E-2</v>
      </c>
    </row>
    <row r="27" spans="1:6" ht="13.9">
      <c r="A27" s="353" t="s">
        <v>348</v>
      </c>
      <c r="B27" s="353"/>
      <c r="C27" s="353"/>
      <c r="D27" s="353"/>
      <c r="E27" s="353"/>
      <c r="F27" s="353"/>
    </row>
    <row r="29" spans="1:6">
      <c r="B29" s="468" t="s">
        <v>504</v>
      </c>
      <c r="C29" s="468"/>
      <c r="D29" s="468"/>
      <c r="E29" s="468"/>
      <c r="F29" s="468"/>
    </row>
    <row r="30" spans="1:6" ht="24.5" customHeight="1">
      <c r="B30" s="471" t="s">
        <v>505</v>
      </c>
      <c r="C30" s="471"/>
      <c r="D30" s="471"/>
      <c r="E30" s="471"/>
      <c r="F30" s="471"/>
    </row>
    <row r="32" spans="1:6">
      <c r="B32" s="377" t="s">
        <v>374</v>
      </c>
      <c r="C32" s="378">
        <f>scaling_factor</f>
        <v>1000</v>
      </c>
    </row>
    <row r="33" spans="2:6">
      <c r="B33" s="464" t="s">
        <v>506</v>
      </c>
      <c r="C33" s="464"/>
      <c r="D33" s="464"/>
      <c r="E33" s="464"/>
      <c r="F33" s="464"/>
    </row>
    <row r="34" spans="2:6">
      <c r="B34" s="380" t="s">
        <v>197</v>
      </c>
      <c r="C34" s="381">
        <f>Normalized_FCF!C8</f>
        <v>36533617.639999986</v>
      </c>
      <c r="D34" s="351" t="str">
        <f>Reporting_currency</f>
        <v>CNY</v>
      </c>
    </row>
    <row r="35" spans="2:6">
      <c r="B35" s="380"/>
      <c r="C35" s="382"/>
    </row>
    <row r="36" spans="2:6" ht="24.5" customHeight="1">
      <c r="B36" s="464" t="s">
        <v>507</v>
      </c>
      <c r="C36" s="464"/>
      <c r="D36" s="464"/>
      <c r="E36" s="464"/>
      <c r="F36" s="464"/>
    </row>
    <row r="37" spans="2:6">
      <c r="B37" s="380" t="s">
        <v>199</v>
      </c>
      <c r="C37" s="381">
        <f>Normalized_FCF!C15</f>
        <v>0</v>
      </c>
      <c r="D37" s="351" t="str">
        <f>Reporting_currency</f>
        <v>CNY</v>
      </c>
    </row>
    <row r="38" spans="2:6">
      <c r="B38" s="383" t="s">
        <v>200</v>
      </c>
      <c r="C38" s="381">
        <f>Normalized_FCF!C16</f>
        <v>0</v>
      </c>
      <c r="D38" s="351" t="str">
        <f>Reporting_currency</f>
        <v>CNY</v>
      </c>
    </row>
    <row r="40" spans="2:6">
      <c r="B40" s="464" t="s">
        <v>508</v>
      </c>
      <c r="C40" s="464"/>
      <c r="D40" s="464"/>
      <c r="E40" s="464"/>
      <c r="F40" s="464"/>
    </row>
    <row r="41" spans="2:6">
      <c r="B41" s="380" t="s">
        <v>202</v>
      </c>
      <c r="C41" s="381">
        <f>Normalized_FCF!C9</f>
        <v>0</v>
      </c>
      <c r="D41" s="351" t="str">
        <f>Reporting_currency</f>
        <v>CNY</v>
      </c>
    </row>
    <row r="43" spans="2:6">
      <c r="B43" s="464" t="s">
        <v>509</v>
      </c>
      <c r="C43" s="464"/>
      <c r="D43" s="464"/>
      <c r="E43" s="464"/>
      <c r="F43" s="464"/>
    </row>
    <row r="44" spans="2:6">
      <c r="B44" s="380" t="s">
        <v>268</v>
      </c>
      <c r="C44" s="384">
        <f>Normalized_FCF!C46</f>
        <v>301057.95836000005</v>
      </c>
      <c r="D44" s="351" t="str">
        <f>Reporting_currency</f>
        <v>CNY</v>
      </c>
      <c r="E44" s="379"/>
      <c r="F44" s="379"/>
    </row>
    <row r="45" spans="2:6">
      <c r="B45" s="380" t="s">
        <v>269</v>
      </c>
      <c r="C45" s="384">
        <f>Normalized_FCF!C45</f>
        <v>-3058644.12</v>
      </c>
      <c r="D45" s="351" t="str">
        <f>Reporting_currency</f>
        <v>CNY</v>
      </c>
      <c r="E45" s="379"/>
      <c r="F45" s="379"/>
    </row>
    <row r="46" spans="2:6">
      <c r="B46" s="380" t="s">
        <v>203</v>
      </c>
      <c r="C46" s="381">
        <f>Normalized_FCF!C10</f>
        <v>-2757586.1616400001</v>
      </c>
      <c r="D46" s="351" t="str">
        <f>Reporting_currency</f>
        <v>CNY</v>
      </c>
    </row>
    <row r="48" spans="2:6">
      <c r="B48" s="351" t="s">
        <v>510</v>
      </c>
    </row>
    <row r="49" spans="2:6">
      <c r="B49" s="380" t="s">
        <v>223</v>
      </c>
      <c r="C49" s="381">
        <f>Normalized_FCF!C13</f>
        <v>0</v>
      </c>
      <c r="D49" s="351" t="str">
        <f>Reporting_currency</f>
        <v>CNY</v>
      </c>
    </row>
    <row r="51" spans="2:6">
      <c r="B51" s="464" t="s">
        <v>511</v>
      </c>
      <c r="C51" s="464"/>
      <c r="D51" s="464"/>
      <c r="E51" s="464"/>
      <c r="F51" s="464"/>
    </row>
    <row r="52" spans="2:6">
      <c r="B52" s="380" t="s">
        <v>502</v>
      </c>
      <c r="C52" s="381">
        <f>Normalized_FCF!C12</f>
        <v>-8444007.8695899956</v>
      </c>
      <c r="D52" s="351" t="str">
        <f>Reporting_currency</f>
        <v>CNY</v>
      </c>
    </row>
    <row r="54" spans="2:6">
      <c r="B54" s="464" t="s">
        <v>512</v>
      </c>
      <c r="C54" s="470"/>
      <c r="D54" s="470"/>
      <c r="E54" s="470"/>
      <c r="F54" s="470"/>
    </row>
    <row r="55" spans="2:6">
      <c r="B55" s="380" t="s">
        <v>207</v>
      </c>
      <c r="C55" s="381">
        <f>Normalized_FCF!C17</f>
        <v>0</v>
      </c>
      <c r="D55" s="351" t="str">
        <f>Reporting_currency</f>
        <v>CNY</v>
      </c>
    </row>
    <row r="57" spans="2:6">
      <c r="B57" s="468" t="s">
        <v>513</v>
      </c>
      <c r="C57" s="468"/>
      <c r="D57" s="468"/>
      <c r="E57" s="468"/>
      <c r="F57" s="468"/>
    </row>
    <row r="58" spans="2:6">
      <c r="B58" s="468" t="s">
        <v>514</v>
      </c>
      <c r="C58" s="468"/>
      <c r="D58" s="468"/>
      <c r="E58" s="468"/>
      <c r="F58" s="468"/>
    </row>
    <row r="60" spans="2:6">
      <c r="B60" s="380" t="s">
        <v>375</v>
      </c>
      <c r="C60" s="381">
        <f>Normalized_FCF!G19</f>
        <v>31053328.82592709</v>
      </c>
      <c r="D60" s="351" t="str">
        <f>Reporting_currency</f>
        <v>CNY</v>
      </c>
    </row>
    <row r="61" spans="2:6">
      <c r="B61" s="380" t="s">
        <v>213</v>
      </c>
      <c r="C61" s="381">
        <f>Normalized_FCF!C19</f>
        <v>25332023.608769987</v>
      </c>
      <c r="D61" s="351" t="str">
        <f>Reporting_currency</f>
        <v>CNY</v>
      </c>
    </row>
    <row r="62" spans="2:6">
      <c r="B62" s="385" t="s">
        <v>304</v>
      </c>
      <c r="C62" s="386">
        <f>Normalized_FCF!C124</f>
        <v>2.8258541812879789E-2</v>
      </c>
      <c r="F62" s="387"/>
    </row>
    <row r="63" spans="2:6">
      <c r="B63" s="385" t="s">
        <v>334</v>
      </c>
      <c r="C63" s="386">
        <f>Normalized_FCF!C92</f>
        <v>0</v>
      </c>
      <c r="E63" s="380" t="s">
        <v>376</v>
      </c>
      <c r="F63" s="388">
        <f>Normalized_FCF!C90</f>
        <v>0</v>
      </c>
    </row>
    <row r="65" spans="1:6">
      <c r="B65" s="377" t="s">
        <v>379</v>
      </c>
      <c r="C65" s="389" t="s">
        <v>329</v>
      </c>
      <c r="D65" s="389" t="s">
        <v>377</v>
      </c>
    </row>
    <row r="66" spans="1:6">
      <c r="B66" s="380" t="s">
        <v>328</v>
      </c>
      <c r="C66" s="386">
        <f>Normalized_FCF!C119</f>
        <v>0.18326900662864964</v>
      </c>
      <c r="D66" s="386">
        <f>Normalized_FCF!G119</f>
        <v>0.18031480234826702</v>
      </c>
    </row>
    <row r="67" spans="1:6">
      <c r="B67" s="390" t="str">
        <f>Normalized_FCF!B116</f>
        <v>Pre-tax Profit/Sales</v>
      </c>
      <c r="C67" s="391">
        <f>Normalized_FCF!C116</f>
        <v>0.10004998311438904</v>
      </c>
      <c r="D67" s="391">
        <f>Normalized_FCF!G116</f>
        <v>9.8437227669232741E-2</v>
      </c>
    </row>
    <row r="68" spans="1:6">
      <c r="B68" s="390" t="str">
        <f>Normalized_FCF!B117</f>
        <v>Sales/Total Assets</v>
      </c>
      <c r="C68" s="392">
        <f>Normalized_FCF!C117</f>
        <v>1.022390799101176</v>
      </c>
      <c r="D68" s="392">
        <f>Normalized_FCF!G117</f>
        <v>1.022390799101176</v>
      </c>
    </row>
    <row r="69" spans="1:6">
      <c r="B69" s="390" t="str">
        <f>Normalized_FCF!B118</f>
        <v>Total Assets/Equity</v>
      </c>
      <c r="C69" s="392">
        <f>Normalized_FCF!C118</f>
        <v>1.7916578376478161</v>
      </c>
      <c r="D69" s="392">
        <f>Normalized_FCF!G118</f>
        <v>1.7916578376478161</v>
      </c>
    </row>
    <row r="71" spans="1:6" ht="13.9">
      <c r="A71" s="353" t="s">
        <v>482</v>
      </c>
      <c r="B71" s="353"/>
      <c r="C71" s="353"/>
      <c r="D71" s="353"/>
      <c r="E71" s="353"/>
      <c r="F71" s="353"/>
    </row>
    <row r="72" spans="1:6">
      <c r="A72" s="393"/>
    </row>
    <row r="73" spans="1:6">
      <c r="A73" s="394"/>
      <c r="B73" s="468" t="s">
        <v>515</v>
      </c>
      <c r="C73" s="468"/>
      <c r="D73" s="468"/>
      <c r="E73" s="468"/>
      <c r="F73" s="468"/>
    </row>
    <row r="74" spans="1:6">
      <c r="B74" s="471" t="s">
        <v>485</v>
      </c>
      <c r="C74" s="471"/>
      <c r="D74" s="471"/>
      <c r="E74" s="471"/>
      <c r="F74" s="471"/>
    </row>
    <row r="76" spans="1:6">
      <c r="B76" s="377" t="s">
        <v>374</v>
      </c>
    </row>
    <row r="77" spans="1:6">
      <c r="B77" s="468" t="s">
        <v>516</v>
      </c>
      <c r="C77" s="468"/>
      <c r="D77" s="468"/>
      <c r="E77" s="468"/>
      <c r="F77" s="468"/>
    </row>
    <row r="78" spans="1:6">
      <c r="B78" s="351" t="s">
        <v>215</v>
      </c>
      <c r="C78" s="381">
        <f>DCF!F4</f>
        <v>-50977402</v>
      </c>
      <c r="D78" s="351" t="str">
        <f>Reporting_currency</f>
        <v>CNY</v>
      </c>
    </row>
    <row r="79" spans="1:6">
      <c r="B79" s="380" t="s">
        <v>234</v>
      </c>
      <c r="C79" s="395">
        <f>C78*scaling_factor*Exchange_Rate/Common_Shares</f>
        <v>-6.0164904238649823</v>
      </c>
      <c r="D79" s="351" t="str">
        <f>Market_currency</f>
        <v>HKD</v>
      </c>
    </row>
    <row r="80" spans="1:6">
      <c r="B80" s="390" t="s">
        <v>311</v>
      </c>
      <c r="C80" s="396">
        <f>IF(BS!G31/BS!G27&gt;300%,"nm",BS!G31/BS!G27)</f>
        <v>0.27660377540313014</v>
      </c>
    </row>
    <row r="81" spans="1:6">
      <c r="B81" s="390" t="s">
        <v>313</v>
      </c>
      <c r="C81" s="397">
        <f>IF(BS!C50&gt;30,"nm",BS!C50)</f>
        <v>1.3953559842424632</v>
      </c>
    </row>
    <row r="83" spans="1:6">
      <c r="B83" s="351" t="s">
        <v>517</v>
      </c>
    </row>
    <row r="84" spans="1:6">
      <c r="B84" s="351" t="s">
        <v>224</v>
      </c>
      <c r="C84" s="381">
        <f>DCF!F5</f>
        <v>69400678.606666654</v>
      </c>
      <c r="D84" s="351" t="str">
        <f>Reporting_currency</f>
        <v>CNY</v>
      </c>
    </row>
    <row r="85" spans="1:6">
      <c r="B85" s="390" t="s">
        <v>487</v>
      </c>
      <c r="C85" s="398">
        <f>BS!C66</f>
        <v>119577005</v>
      </c>
      <c r="D85" s="399" t="str">
        <f>Reporting_currency</f>
        <v>CNY</v>
      </c>
    </row>
    <row r="86" spans="1:6">
      <c r="B86" s="380" t="s">
        <v>235</v>
      </c>
      <c r="C86" s="395">
        <f>C84*scaling_factor*Exchange_Rate/Common_Shares</f>
        <v>8.1908551998538748</v>
      </c>
      <c r="D86" s="351" t="str">
        <f>Market_currency</f>
        <v>HKD</v>
      </c>
    </row>
    <row r="88" spans="1:6">
      <c r="B88" s="351" t="s">
        <v>518</v>
      </c>
    </row>
    <row r="89" spans="1:6">
      <c r="B89" s="351" t="s">
        <v>217</v>
      </c>
      <c r="C89" s="381">
        <f>DCF!F6</f>
        <v>57918846.499999993</v>
      </c>
      <c r="D89" s="351" t="str">
        <f>Reporting_currency</f>
        <v>CNY</v>
      </c>
    </row>
    <row r="90" spans="1:6">
      <c r="B90" s="380" t="s">
        <v>236</v>
      </c>
      <c r="C90" s="395">
        <f>C89*scaling_factor*Exchange_Rate/Common_Shares</f>
        <v>6.835738418536037</v>
      </c>
      <c r="D90" s="351" t="str">
        <f>Market_currency</f>
        <v>HKD</v>
      </c>
    </row>
    <row r="92" spans="1:6">
      <c r="B92" s="380" t="s">
        <v>486</v>
      </c>
      <c r="C92" s="395">
        <f>DCF!F8</f>
        <v>9.0101031945249304</v>
      </c>
      <c r="D92" s="351" t="str">
        <f>Market_currency</f>
        <v>HKD</v>
      </c>
    </row>
    <row r="94" spans="1:6" ht="13.9">
      <c r="A94" s="353" t="s">
        <v>488</v>
      </c>
      <c r="B94" s="353"/>
      <c r="C94" s="353"/>
      <c r="D94" s="353"/>
      <c r="E94" s="353"/>
      <c r="F94" s="353"/>
    </row>
    <row r="95" spans="1:6">
      <c r="A95" s="393"/>
    </row>
    <row r="96" spans="1:6">
      <c r="A96" s="393"/>
      <c r="B96" s="468" t="s">
        <v>519</v>
      </c>
      <c r="C96" s="468"/>
      <c r="D96" s="468"/>
      <c r="E96" s="468"/>
      <c r="F96" s="468"/>
    </row>
    <row r="97" spans="1:6">
      <c r="A97" s="393"/>
      <c r="B97" s="471" t="s">
        <v>520</v>
      </c>
      <c r="C97" s="471"/>
      <c r="D97" s="471"/>
      <c r="E97" s="471"/>
      <c r="F97" s="471"/>
    </row>
    <row r="98" spans="1:6">
      <c r="A98" s="393"/>
      <c r="B98" s="471" t="s">
        <v>521</v>
      </c>
      <c r="C98" s="471"/>
      <c r="D98" s="471"/>
      <c r="E98" s="471"/>
      <c r="F98" s="471"/>
    </row>
    <row r="99" spans="1:6">
      <c r="A99" s="393"/>
    </row>
    <row r="100" spans="1:6">
      <c r="A100" s="393"/>
      <c r="B100" s="377" t="s">
        <v>374</v>
      </c>
    </row>
    <row r="101" spans="1:6">
      <c r="A101" s="393"/>
      <c r="B101" s="380" t="s">
        <v>212</v>
      </c>
      <c r="C101" s="376">
        <f>E25+C103</f>
        <v>7.2499999999999995E-2</v>
      </c>
    </row>
    <row r="102" spans="1:6">
      <c r="A102" s="393"/>
      <c r="B102" s="390" t="s">
        <v>320</v>
      </c>
      <c r="C102" s="391">
        <f>E25</f>
        <v>7.2499999999999995E-2</v>
      </c>
    </row>
    <row r="103" spans="1:6">
      <c r="A103" s="393"/>
      <c r="B103" s="390" t="s">
        <v>319</v>
      </c>
      <c r="C103" s="391">
        <f>IF(C15="Y",1%,0)+IF(C16="Y",1%,0)</f>
        <v>0</v>
      </c>
    </row>
    <row r="104" spans="1:6">
      <c r="A104" s="393"/>
      <c r="B104" s="380" t="s">
        <v>540</v>
      </c>
      <c r="C104" s="376">
        <v>0</v>
      </c>
    </row>
    <row r="105" spans="1:6">
      <c r="A105" s="393"/>
      <c r="C105" s="400"/>
    </row>
    <row r="106" spans="1:6">
      <c r="A106" s="393"/>
      <c r="B106" s="401" t="s">
        <v>378</v>
      </c>
      <c r="C106" s="400"/>
    </row>
    <row r="107" spans="1:6">
      <c r="A107" s="393"/>
      <c r="B107" s="468" t="s">
        <v>522</v>
      </c>
      <c r="C107" s="468"/>
      <c r="D107" s="468"/>
      <c r="E107" s="468"/>
      <c r="F107" s="468"/>
    </row>
    <row r="108" spans="1:6">
      <c r="A108" s="393"/>
      <c r="B108" s="468" t="s">
        <v>541</v>
      </c>
      <c r="C108" s="468"/>
      <c r="D108" s="468"/>
      <c r="E108" s="468"/>
      <c r="F108" s="468"/>
    </row>
    <row r="109" spans="1:6">
      <c r="A109" s="393"/>
    </row>
    <row r="110" spans="1:6">
      <c r="A110" s="393"/>
      <c r="B110" s="377" t="s">
        <v>495</v>
      </c>
    </row>
    <row r="111" spans="1:6">
      <c r="A111" s="393"/>
      <c r="B111" s="383" t="s">
        <v>492</v>
      </c>
      <c r="C111" s="402">
        <f>BS!D47</f>
        <v>3.4847807782490903</v>
      </c>
      <c r="D111" s="351" t="str">
        <f>Market_currency</f>
        <v>HKD</v>
      </c>
    </row>
    <row r="112" spans="1:6">
      <c r="A112" s="393"/>
      <c r="B112" s="380" t="s">
        <v>380</v>
      </c>
      <c r="C112" s="402">
        <f>DCF!C11</f>
        <v>50.248085591803303</v>
      </c>
      <c r="D112" s="351" t="str">
        <f>Market_currency</f>
        <v>HKD</v>
      </c>
    </row>
    <row r="113" spans="1:6">
      <c r="A113" s="393"/>
    </row>
    <row r="114" spans="1:6">
      <c r="A114" s="393"/>
      <c r="B114" s="468" t="s">
        <v>523</v>
      </c>
      <c r="C114" s="468"/>
      <c r="D114" s="468"/>
      <c r="E114" s="468"/>
      <c r="F114" s="468"/>
    </row>
    <row r="115" spans="1:6">
      <c r="A115" s="393"/>
    </row>
    <row r="116" spans="1:6">
      <c r="A116" s="393"/>
      <c r="B116" s="377" t="s">
        <v>496</v>
      </c>
    </row>
    <row r="117" spans="1:6">
      <c r="A117" s="393"/>
      <c r="B117" s="350" t="s">
        <v>381</v>
      </c>
      <c r="C117" s="350" t="s">
        <v>382</v>
      </c>
      <c r="D117" s="350" t="s">
        <v>99</v>
      </c>
      <c r="E117" s="350" t="s">
        <v>383</v>
      </c>
      <c r="F117" s="350" t="s">
        <v>384</v>
      </c>
    </row>
    <row r="118" spans="1:6">
      <c r="A118" s="393"/>
      <c r="B118" s="403" t="str">
        <f>DCF!B74</f>
        <v>Snowball Scenario</v>
      </c>
      <c r="C118" s="404">
        <f>DCF!C74</f>
        <v>0.3</v>
      </c>
      <c r="D118" s="405">
        <f>DCF!D74</f>
        <v>5</v>
      </c>
      <c r="E118" s="406" t="str">
        <f>ROUND(DCF!E74,2)&amp;" "&amp;Market_currency</f>
        <v>152.23 HKD</v>
      </c>
      <c r="F118" s="407">
        <f>DCF!F74</f>
        <v>0.05</v>
      </c>
    </row>
    <row r="119" spans="1:6">
      <c r="A119" s="393"/>
      <c r="B119" s="408" t="str">
        <f>DCF!B75</f>
        <v>Optimistic</v>
      </c>
      <c r="C119" s="409">
        <f>DCF!C75</f>
        <v>0.25</v>
      </c>
      <c r="D119" s="410">
        <f>DCF!D75</f>
        <v>5</v>
      </c>
      <c r="E119" s="406" t="str">
        <f>ROUND(DCF!E75,2)&amp;" "&amp;Market_currency</f>
        <v>127.77 HKD</v>
      </c>
      <c r="F119" s="411">
        <f>DCF!F75</f>
        <v>0.17999999999999994</v>
      </c>
    </row>
    <row r="120" spans="1:6">
      <c r="B120" s="408" t="str">
        <f>DCF!B76</f>
        <v>Base</v>
      </c>
      <c r="C120" s="409">
        <f>DCF!C76</f>
        <v>0.18</v>
      </c>
      <c r="D120" s="410">
        <f>DCF!D76</f>
        <v>5</v>
      </c>
      <c r="E120" s="406" t="str">
        <f>ROUND(DCF!E76,2)&amp;" "&amp;Market_currency</f>
        <v>99.29 HKD</v>
      </c>
      <c r="F120" s="411">
        <f>DCF!F76</f>
        <v>0.495</v>
      </c>
    </row>
    <row r="121" spans="1:6">
      <c r="B121" s="408" t="str">
        <f>DCF!B77</f>
        <v>Pessimistic</v>
      </c>
      <c r="C121" s="409">
        <f>DCF!C77</f>
        <v>0.05</v>
      </c>
      <c r="D121" s="410">
        <f>DCF!D77</f>
        <v>5</v>
      </c>
      <c r="E121" s="406" t="str">
        <f>ROUND(DCF!E77,2)&amp;" "&amp;Market_currency</f>
        <v>60.94 HKD</v>
      </c>
      <c r="F121" s="411">
        <f>DCF!F77</f>
        <v>0.22499999999999998</v>
      </c>
    </row>
    <row r="122" spans="1:6">
      <c r="B122" s="408" t="str">
        <f>DCF!B78</f>
        <v>Devil's advocate</v>
      </c>
      <c r="C122" s="409">
        <f>DCF!C78</f>
        <v>0.02</v>
      </c>
      <c r="D122" s="410">
        <f>DCF!D78</f>
        <v>5</v>
      </c>
      <c r="E122" s="406" t="str">
        <f>ROUND(DCF!E78,2)&amp;" "&amp;Market_currency</f>
        <v>54.29 HKD</v>
      </c>
      <c r="F122" s="411">
        <f>DCF!F78</f>
        <v>0.05</v>
      </c>
    </row>
    <row r="124" spans="1:6">
      <c r="B124" s="464" t="s">
        <v>524</v>
      </c>
      <c r="C124" s="464"/>
      <c r="D124" s="464"/>
      <c r="E124" s="464"/>
      <c r="F124" s="464"/>
    </row>
    <row r="125" spans="1:6">
      <c r="B125" s="380" t="s">
        <v>218</v>
      </c>
      <c r="C125" s="412">
        <f>Scenarios!C36</f>
        <v>96.184698028030979</v>
      </c>
      <c r="D125" s="351" t="str">
        <f>Market_currency</f>
        <v>HKD</v>
      </c>
    </row>
    <row r="127" spans="1:6">
      <c r="B127" s="466" t="s">
        <v>525</v>
      </c>
      <c r="C127" s="466"/>
      <c r="D127" s="466"/>
      <c r="E127" s="466"/>
      <c r="F127" s="466"/>
    </row>
    <row r="129" spans="1:6" ht="13.9">
      <c r="A129" s="353" t="s">
        <v>498</v>
      </c>
      <c r="B129" s="353"/>
      <c r="C129" s="353"/>
      <c r="D129" s="353"/>
      <c r="E129" s="353"/>
      <c r="F129" s="353"/>
    </row>
    <row r="131" spans="1:6">
      <c r="B131" s="467" t="s">
        <v>526</v>
      </c>
      <c r="C131" s="467"/>
      <c r="D131" s="467"/>
      <c r="E131" s="467"/>
      <c r="F131" s="467"/>
    </row>
    <row r="132" spans="1:6" ht="24.5" customHeight="1">
      <c r="B132" s="468" t="s">
        <v>527</v>
      </c>
      <c r="C132" s="468"/>
      <c r="D132" s="468"/>
      <c r="E132" s="468"/>
      <c r="F132" s="468"/>
    </row>
    <row r="134" spans="1:6">
      <c r="B134" s="377" t="s">
        <v>374</v>
      </c>
    </row>
    <row r="135" spans="1:6">
      <c r="B135" s="351" t="s">
        <v>385</v>
      </c>
      <c r="C135" s="413">
        <f>E21</f>
        <v>2</v>
      </c>
    </row>
    <row r="136" spans="1:6">
      <c r="B136" s="351" t="s">
        <v>386</v>
      </c>
      <c r="C136" s="414">
        <f>Scenarios!C58</f>
        <v>0</v>
      </c>
      <c r="D136" s="351" t="str">
        <f>Market_currency</f>
        <v>HKD</v>
      </c>
    </row>
    <row r="138" spans="1:6">
      <c r="B138" s="377" t="s">
        <v>499</v>
      </c>
      <c r="C138" s="415"/>
      <c r="D138" s="415"/>
    </row>
    <row r="139" spans="1:6">
      <c r="B139" s="348" t="s">
        <v>468</v>
      </c>
      <c r="C139" s="348" t="str">
        <f>"PV("&amp;Holding_Period&amp;" yrs of Dividends)"</f>
        <v>PV(2 yrs of Dividends)</v>
      </c>
      <c r="D139" s="348" t="s">
        <v>477</v>
      </c>
      <c r="E139" s="349" t="str">
        <f>"Buy below ("&amp;Market_currency&amp;")"</f>
        <v>Buy below (HKD)</v>
      </c>
      <c r="F139" s="349" t="s">
        <v>501</v>
      </c>
    </row>
    <row r="140" spans="1:6">
      <c r="B140" s="416" t="s">
        <v>314</v>
      </c>
      <c r="C140" s="417">
        <f>Scenarios!C62</f>
        <v>0</v>
      </c>
      <c r="D140" s="417">
        <f>Scenarios!D62</f>
        <v>52.776240344598612</v>
      </c>
      <c r="E140" s="418">
        <f>Scenarios!E62</f>
        <v>52.776240344598612</v>
      </c>
      <c r="F140" s="419">
        <f>E22</f>
        <v>0.35</v>
      </c>
    </row>
    <row r="141" spans="1:6">
      <c r="B141" s="416" t="s">
        <v>315</v>
      </c>
      <c r="C141" s="417">
        <f>Scenarios!C63</f>
        <v>0</v>
      </c>
      <c r="D141" s="417">
        <f>Scenarios!D63</f>
        <v>61.558206737939827</v>
      </c>
      <c r="E141" s="418">
        <f>Scenarios!E63</f>
        <v>61.558206737939827</v>
      </c>
      <c r="F141" s="419">
        <f>Scenarios!F63</f>
        <v>0.25</v>
      </c>
    </row>
    <row r="143" spans="1:6">
      <c r="B143" s="348" t="s">
        <v>469</v>
      </c>
      <c r="C143" s="348" t="str">
        <f>"PV("&amp;Holding_Period&amp;" yrs of Dividends)"</f>
        <v>PV(2 yrs of Dividends)</v>
      </c>
      <c r="D143" s="348" t="s">
        <v>477</v>
      </c>
      <c r="E143" s="349" t="str">
        <f>"Sell above ("&amp;Market_currency&amp;")"</f>
        <v>Sell above (HKD)</v>
      </c>
      <c r="F143" s="349" t="s">
        <v>501</v>
      </c>
    </row>
    <row r="144" spans="1:6">
      <c r="B144" s="416" t="s">
        <v>317</v>
      </c>
      <c r="C144" s="417">
        <f>Scenarios!C66</f>
        <v>0</v>
      </c>
      <c r="D144" s="417">
        <f>Scenarios!D66</f>
        <v>77.035100202753867</v>
      </c>
      <c r="E144" s="418">
        <f>Scenarios!E66</f>
        <v>77.035100202753867</v>
      </c>
      <c r="F144" s="419">
        <f>E24</f>
        <v>0.1174</v>
      </c>
    </row>
    <row r="145" spans="1:6">
      <c r="B145" s="416" t="s">
        <v>316</v>
      </c>
      <c r="C145" s="417">
        <f>Scenarios!C67</f>
        <v>0</v>
      </c>
      <c r="D145" s="417">
        <f>Scenarios!D67</f>
        <v>83.620235080688303</v>
      </c>
      <c r="E145" s="418">
        <f>Scenarios!E67</f>
        <v>83.620235080688303</v>
      </c>
      <c r="F145" s="419">
        <f>Scenarios!F67</f>
        <v>7.2499999999999995E-2</v>
      </c>
    </row>
    <row r="147" spans="1:6" ht="13.9">
      <c r="A147" s="353" t="s">
        <v>481</v>
      </c>
      <c r="B147" s="353"/>
      <c r="C147" s="353"/>
      <c r="D147" s="353"/>
      <c r="E147" s="353"/>
      <c r="F147" s="353"/>
    </row>
    <row r="149" spans="1:6">
      <c r="B149" s="469" t="s">
        <v>528</v>
      </c>
      <c r="C149" s="468"/>
      <c r="D149" s="468"/>
      <c r="E149" s="468"/>
      <c r="F149" s="468"/>
    </row>
    <row r="151" spans="1:6">
      <c r="B151" s="377" t="s">
        <v>387</v>
      </c>
    </row>
    <row r="152" spans="1:6">
      <c r="B152" s="470" t="s">
        <v>529</v>
      </c>
      <c r="C152" s="470"/>
      <c r="D152" s="470"/>
      <c r="E152" s="470"/>
      <c r="F152" s="470"/>
    </row>
    <row r="153" spans="1:6">
      <c r="B153" s="420" t="s">
        <v>388</v>
      </c>
    </row>
    <row r="154" spans="1:6">
      <c r="B154" s="420" t="s">
        <v>389</v>
      </c>
    </row>
    <row r="155" spans="1:6">
      <c r="B155" s="420" t="s">
        <v>390</v>
      </c>
    </row>
    <row r="157" spans="1:6">
      <c r="B157" s="351" t="s">
        <v>530</v>
      </c>
    </row>
    <row r="158" spans="1:6" ht="24.5" customHeight="1">
      <c r="B158" s="464" t="s">
        <v>445</v>
      </c>
      <c r="C158" s="464"/>
      <c r="D158" s="464"/>
      <c r="E158" s="464"/>
      <c r="F158" s="464"/>
    </row>
    <row r="160" spans="1:6">
      <c r="B160" s="351" t="s">
        <v>531</v>
      </c>
    </row>
    <row r="161" spans="2:6">
      <c r="B161" s="465" t="s">
        <v>391</v>
      </c>
      <c r="C161" s="465"/>
      <c r="D161" s="465"/>
      <c r="E161" s="465"/>
      <c r="F161" s="465"/>
    </row>
    <row r="162" spans="2:6">
      <c r="B162" s="465" t="s">
        <v>392</v>
      </c>
      <c r="C162" s="465"/>
      <c r="D162" s="465"/>
      <c r="E162" s="465"/>
      <c r="F162" s="465"/>
    </row>
    <row r="164" spans="2:6">
      <c r="B164" s="351" t="s">
        <v>532</v>
      </c>
    </row>
    <row r="165" spans="2:6">
      <c r="B165" s="420" t="s">
        <v>393</v>
      </c>
    </row>
    <row r="166" spans="2:6">
      <c r="B166" s="420" t="s">
        <v>394</v>
      </c>
    </row>
    <row r="167" spans="2:6">
      <c r="B167" s="420" t="s">
        <v>395</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2025-10-03T03:37:06Z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