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D329C16-CA01-43B4-BBEA-1D0295216F0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E117" i="2"/>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B74"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40" i="8"/>
  <c r="E37" i="8"/>
  <c r="A38" i="8"/>
  <c r="E39" i="8"/>
  <c r="A36" i="8"/>
  <c r="E36" i="8"/>
  <c r="A39" i="8"/>
  <c r="A37" i="8"/>
  <c r="A40" i="8"/>
  <c r="E38"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6" i="8" l="1"/>
  <c r="D36" i="8"/>
  <c r="G39" i="8"/>
  <c r="D39" i="8"/>
  <c r="D38" i="8"/>
  <c r="G38" i="8"/>
  <c r="D40" i="8"/>
  <c r="G40" i="8"/>
  <c r="D37" i="8"/>
  <c r="G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J36" i="8" l="1"/>
  <c r="I36" i="8"/>
  <c r="L36" i="8"/>
  <c r="F37" i="8"/>
  <c r="H37" i="8" s="1"/>
  <c r="C38" i="8"/>
  <c r="F38" i="8" l="1"/>
  <c r="H38" i="8" s="1"/>
  <c r="C39" i="8"/>
  <c r="J37" i="8"/>
  <c r="I37" i="8"/>
  <c r="L37" i="8"/>
  <c r="F39" i="8" l="1"/>
  <c r="H39" i="8" s="1"/>
  <c r="C40" i="8"/>
  <c r="J38" i="8"/>
  <c r="I38" i="8"/>
  <c r="L38" i="8"/>
  <c r="C41" i="8" l="1"/>
  <c r="F40" i="8"/>
  <c r="H40" i="8" s="1"/>
  <c r="C51" i="8"/>
  <c r="F51" i="8" s="1"/>
  <c r="I39" i="8"/>
  <c r="J39" i="8"/>
  <c r="L39" i="8"/>
  <c r="I51" i="8" l="1"/>
  <c r="H51" i="8"/>
  <c r="L51" i="8" s="1"/>
  <c r="I40" i="8"/>
  <c r="J40" i="8"/>
  <c r="L4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<sst xmlns="http://schemas.openxmlformats.org/spreadsheetml/2006/main" count="768" uniqueCount="558">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</sst>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2" sqref="B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v>
      </c>
      <c r="E8" s="32"/>
    </row>
    <row r="9" spans="1:9">
      <c r="B9" s="4" t="s">
        <v>346</v>
      </c>
      <c r="C9" s="48">
        <v>9264431217</v>
      </c>
    </row>
    <row r="10" spans="1:9">
      <c r="B10" s="4" t="s">
        <v>352</v>
      </c>
      <c r="C10" s="33">
        <f>Thesis!C8*Common_Shares/1000000</f>
        <v>898649.828049</v>
      </c>
      <c r="D10" s="1" t="s">
        <v>527</v>
      </c>
      <c r="E10" s="303">
        <f>Scenarios!F34</f>
        <v>0.14315708491628415</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1.1197497097015381</v>
      </c>
    </row>
    <row r="17" spans="1:6">
      <c r="B17" s="1" t="s">
        <v>531</v>
      </c>
      <c r="C17" s="456">
        <v>0.02</v>
      </c>
      <c r="D17" s="4" t="s">
        <v>274</v>
      </c>
      <c r="E17" s="224" t="s">
        <v>557</v>
      </c>
    </row>
    <row r="18" spans="1:6">
      <c r="B18" s="1" t="str">
        <f>"Expected Equity Value ("&amp;C7&amp;") :"</f>
        <v>Expected Equity Value (HKD) :</v>
      </c>
      <c r="C18" s="252">
        <f>C125</f>
        <v>144.90703530547711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66.777435624643843</v>
      </c>
      <c r="D22" s="38" t="s">
        <v>406</v>
      </c>
      <c r="E22" s="79">
        <v>0.29465259038036606</v>
      </c>
    </row>
    <row r="23" spans="1:6">
      <c r="B23" s="1" t="s">
        <v>313</v>
      </c>
      <c r="C23" s="256">
        <f>E141</f>
        <v>83.700814616882113</v>
      </c>
      <c r="D23" s="38" t="s">
        <v>407</v>
      </c>
      <c r="E23" s="443">
        <v>0.20075184365903009</v>
      </c>
    </row>
    <row r="24" spans="1:6">
      <c r="B24" s="1" t="s">
        <v>315</v>
      </c>
      <c r="C24" s="256">
        <f>E144</f>
        <v>103.86362357616365</v>
      </c>
      <c r="D24" s="38" t="s">
        <v>408</v>
      </c>
      <c r="E24" s="443">
        <v>0.1174</v>
      </c>
    </row>
    <row r="25" spans="1:6">
      <c r="B25" s="1" t="s">
        <v>314</v>
      </c>
      <c r="C25" s="256">
        <f>E145</f>
        <v>117.46204798303134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1.2654232410871777E-2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-6.1614069718705116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7.9801131120716837</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7.0003878312158383</v>
      </c>
      <c r="D90" s="1" t="str">
        <f>Market_currency</f>
        <v>HKD</v>
      </c>
    </row>
    <row r="91" spans="1:6">
      <c r="A91" s="191"/>
    </row>
    <row r="92" spans="1:6">
      <c r="A92" s="191"/>
      <c r="B92" s="44" t="s">
        <v>469</v>
      </c>
      <c r="C92" s="216">
        <f>DCF!F8</f>
        <v>8.8190939714170096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3.5687171540034233</v>
      </c>
      <c r="D111" s="1" t="str">
        <f>Market_currency</f>
        <v>HKD</v>
      </c>
    </row>
    <row r="112" spans="2:6">
      <c r="B112" s="44" t="s">
        <v>323</v>
      </c>
      <c r="C112" s="216">
        <f>DCF!C11</f>
        <v>32.666898823448513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398.79 HKD</v>
      </c>
      <c r="E118" s="208">
        <f>DCF!F90</f>
        <v>0.05</v>
      </c>
      <c r="F118" s="208">
        <f>RATE(Holding_Period,Scenarios!C$58,-DCF!E90,C$18)</f>
        <v>-0.28641047386077861</v>
      </c>
    </row>
    <row r="119" spans="2:6">
      <c r="B119" s="205" t="str">
        <f>DCF!B91&amp;" ("&amp;DCF!D91&amp;"yrs)"</f>
        <v>Optimistic (15yrs)</v>
      </c>
      <c r="C119" s="198">
        <f>DCF!C91</f>
        <v>0.2</v>
      </c>
      <c r="D119" s="207" t="str">
        <f>ROUND(DCF!E91,2)&amp;" "&amp;Market_currency</f>
        <v>262.92 HKD</v>
      </c>
      <c r="E119" s="199">
        <f>DCF!F91</f>
        <v>0.18</v>
      </c>
      <c r="F119" s="208">
        <f>RATE(Holding_Period,Scenarios!C$58,-DCF!E91,C$18)</f>
        <v>-0.18011406136043306</v>
      </c>
    </row>
    <row r="120" spans="2:6">
      <c r="B120" s="205" t="str">
        <f>DCF!B92&amp;" ("&amp;DCF!D92&amp;"yrs)"</f>
        <v>Base (15yrs)</v>
      </c>
      <c r="C120" s="198">
        <f>DCF!C92</f>
        <v>0.1</v>
      </c>
      <c r="D120" s="207" t="str">
        <f>ROUND(DCF!E92,2)&amp;" "&amp;Market_currency</f>
        <v>113.85 HKD</v>
      </c>
      <c r="E120" s="199">
        <f>DCF!F92</f>
        <v>0.53999999999999992</v>
      </c>
      <c r="F120" s="208">
        <f>RATE(Holding_Period,Scenarios!C$58,-DCF!E92,C$18)</f>
        <v>8.3715984012562653E-2</v>
      </c>
    </row>
    <row r="121" spans="2:6">
      <c r="B121" s="205" t="str">
        <f>DCF!B93&amp;" ("&amp;DCF!D93&amp;"yrs)"</f>
        <v>Pessimistic (15yrs)</v>
      </c>
      <c r="C121" s="198">
        <f>DCF!C93</f>
        <v>0.05</v>
      </c>
      <c r="D121" s="207" t="str">
        <f>ROUND(DCF!E93,2)&amp;" "&amp;Market_currency</f>
        <v>75.6 HKD</v>
      </c>
      <c r="E121" s="199">
        <f>DCF!F93</f>
        <v>0.18</v>
      </c>
      <c r="F121" s="208">
        <f>RATE(Holding_Period,Scenarios!C$58,-DCF!E93,C$18)</f>
        <v>0.24221767019066467</v>
      </c>
    </row>
    <row r="122" spans="2:6">
      <c r="B122" s="205" t="str">
        <f>DCF!B94&amp;" ("&amp;DCF!D94&amp;"yrs)"</f>
        <v>Devil's advocate (15yrs)</v>
      </c>
      <c r="C122" s="198">
        <f>DCF!C94</f>
        <v>0</v>
      </c>
      <c r="D122" s="207" t="str">
        <f>ROUND(DCF!E94,2)&amp;" "&amp;Market_currency</f>
        <v>51.07 HKD</v>
      </c>
      <c r="E122" s="199">
        <f>DCF!F94</f>
        <v>0.05</v>
      </c>
      <c r="F122" s="208">
        <f>RATE(Holding_Period,Scenarios!C$58,-DCF!E94,C$18)</f>
        <v>0.41566968470386995</v>
      </c>
    </row>
    <row r="124" spans="2:6">
      <c r="B124" s="461" t="s">
        <v>357</v>
      </c>
      <c r="C124" s="461"/>
      <c r="D124" s="461"/>
      <c r="E124" s="461"/>
      <c r="F124" s="461"/>
    </row>
    <row r="125" spans="2:6">
      <c r="B125" s="193" t="s">
        <v>218</v>
      </c>
      <c r="C125" s="197">
        <f>Scenarios!C36</f>
        <v>144.90703530547711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66.777435624643843</v>
      </c>
      <c r="E140" s="334">
        <f>Scenarios!E62</f>
        <v>66.777435624643843</v>
      </c>
      <c r="F140" s="335">
        <f>E22</f>
        <v>0.29465259038036606</v>
      </c>
    </row>
    <row r="141" spans="1:6">
      <c r="B141" s="336" t="s">
        <v>313</v>
      </c>
      <c r="C141" s="333">
        <f>Scenarios!C63</f>
        <v>0</v>
      </c>
      <c r="D141" s="333">
        <f>Scenarios!D63</f>
        <v>83.700814616882113</v>
      </c>
      <c r="E141" s="334">
        <f>Scenarios!E63</f>
        <v>83.700814616882113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103.86362357616365</v>
      </c>
      <c r="E144" s="334">
        <f>Scenarios!E66</f>
        <v>103.86362357616365</v>
      </c>
      <c r="F144" s="335">
        <f>E24</f>
        <v>0.1174</v>
      </c>
    </row>
    <row r="145" spans="1:6">
      <c r="B145" s="336" t="s">
        <v>314</v>
      </c>
      <c r="C145" s="333">
        <f>Scenarios!C67</f>
        <v>0</v>
      </c>
      <c r="D145" s="333">
        <f>Scenarios!D67</f>
        <v>117.46204798303134</v>
      </c>
      <c r="E145" s="334">
        <f>Scenarios!E67</f>
        <v>117.46204798303134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22.282261732858817</v>
      </c>
      <c r="D47" s="134">
        <f>D46*H1/Common_Shares*Exchange_Rate</f>
        <v>3.5687171540034233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-57081931.090838604</v>
      </c>
      <c r="D86" s="201">
        <f>C86*scaling_factor/Common_Shares</f>
        <v>-6.1614069718705107</v>
      </c>
      <c r="E86" s="214" t="str">
        <f>Market_currency</f>
        <v>HKD</v>
      </c>
    </row>
    <row r="87" spans="2:8" ht="15" customHeight="1">
      <c r="B87" s="212" t="s">
        <v>240</v>
      </c>
      <c r="C87" s="73">
        <f>DCF!F5*Exchange_Rate</f>
        <v>73931209.030667916</v>
      </c>
      <c r="D87" s="201">
        <f>C87*scaling_factor/Common_Shares</f>
        <v>7.9801131120716837</v>
      </c>
      <c r="E87" s="214" t="str">
        <f>Market_currency</f>
        <v>HKD</v>
      </c>
    </row>
    <row r="88" spans="2:8" ht="15" customHeight="1">
      <c r="B88" s="213" t="s">
        <v>159</v>
      </c>
      <c r="C88" s="73">
        <f>DCF!F6*Exchange_Rate</f>
        <v>64854611.554622933</v>
      </c>
      <c r="D88" s="201">
        <f>C88*scaling_factor/Common_Shares</f>
        <v>7.0003878312158374</v>
      </c>
      <c r="E88" s="214" t="str">
        <f>Market_currency</f>
        <v>HKD</v>
      </c>
    </row>
    <row r="89" spans="2:8" ht="15" customHeight="1">
      <c r="B89" s="77" t="s">
        <v>244</v>
      </c>
      <c r="C89" s="162">
        <f>SUM(C86:C88)</f>
        <v>81703889.494452238</v>
      </c>
      <c r="D89" s="216">
        <f>SUM(D86:D88)</f>
        <v>8.8190939714170113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66" sqref="C6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1.2274605438545625</v>
      </c>
      <c r="D123" s="26"/>
      <c r="E123" s="234"/>
      <c r="F123" s="26"/>
      <c r="G123" s="159">
        <f t="shared" ref="G123:Q123" si="48">IF(G$4="","",G14*$C$3/Common_Shares*Exchange_Rate)</f>
        <v>3.7576827913066504</v>
      </c>
      <c r="H123" s="159">
        <f t="shared" si="48"/>
        <v>0.81924766285555828</v>
      </c>
      <c r="I123" s="159">
        <f t="shared" si="48"/>
        <v>-1.1805892038677521</v>
      </c>
      <c r="J123" s="159">
        <f t="shared" si="48"/>
        <v>-2.9434816440850295</v>
      </c>
      <c r="K123" s="159">
        <f t="shared" si="48"/>
        <v>-0.36854476341756576</v>
      </c>
      <c r="L123" s="159">
        <f t="shared" si="48"/>
        <v>2.3022452183849913E-2</v>
      </c>
      <c r="M123" s="159">
        <f t="shared" si="48"/>
        <v>-1.6366070995096649</v>
      </c>
      <c r="N123" s="159">
        <f t="shared" si="48"/>
        <v>-0.55034766024272286</v>
      </c>
      <c r="O123" s="159">
        <f t="shared" si="48"/>
        <v>-0.82180644869162467</v>
      </c>
      <c r="P123" s="159">
        <f t="shared" si="48"/>
        <v>-1.0285419145009391</v>
      </c>
      <c r="Q123" s="159" t="str">
        <f t="shared" si="48"/>
        <v/>
      </c>
    </row>
    <row r="124" spans="1:17" ht="15.75" customHeight="1">
      <c r="A124" s="10"/>
      <c r="B124" s="26" t="s">
        <v>226</v>
      </c>
      <c r="C124" s="74">
        <f>C19*Exchange_Rate*$C$3/(Market_Price*Common_Shares)</f>
        <v>1.2654232410871777E-2</v>
      </c>
      <c r="D124" s="26"/>
      <c r="E124" s="234"/>
      <c r="F124" s="26"/>
      <c r="G124" s="74">
        <f t="shared" ref="G124" si="49">IF(G$4="","",G123/Market_Price)</f>
        <v>3.8738997848522166E-2</v>
      </c>
      <c r="H124" s="74">
        <f t="shared" ref="H124" si="50">IF(H$4="","",H123/Market_Price)</f>
        <v>8.4458521943871993E-3</v>
      </c>
      <c r="I124" s="74">
        <f t="shared" ref="I124" si="51">IF(I$4="","",I123/Market_Price)</f>
        <v>-1.2171022720286105E-2</v>
      </c>
      <c r="J124" s="74">
        <f t="shared" ref="J124" si="52">IF(J$4="","",J123/Market_Price)</f>
        <v>-3.034517158850546E-2</v>
      </c>
      <c r="K124" s="74">
        <f t="shared" ref="K124" si="53">IF(K$4="","",K123/Market_Price)</f>
        <v>-3.7994305506965542E-3</v>
      </c>
      <c r="L124" s="74">
        <f t="shared" ref="L124" si="54">IF(L$4="","",L123/Market_Price)</f>
        <v>2.3734486787474137E-4</v>
      </c>
      <c r="M124" s="74">
        <f t="shared" ref="M124" si="55">IF(M$4="","",M123/Market_Price)</f>
        <v>-1.6872238139274895E-2</v>
      </c>
      <c r="N124" s="74">
        <f t="shared" ref="N124" si="56">IF(N$4="","",N123/Market_Price)</f>
        <v>-5.6736872189971426E-3</v>
      </c>
      <c r="O124" s="74">
        <f t="shared" ref="O124" si="57">IF(O$4="","",O123/Market_Price)</f>
        <v>-8.4722314298105641E-3</v>
      </c>
      <c r="P124" s="74">
        <f t="shared" ref="P124" si="58">IF(P$4="","",P123/Market_Price)</f>
        <v>-1.0603524891762259E-2</v>
      </c>
      <c r="Q124" s="74" t="str">
        <f t="shared" ref="Q124" si="59">IF(Q$4="","",Q123/Market_Price)</f>
        <v/>
      </c>
    </row>
    <row r="125" spans="1:17" ht="15.75" customHeight="1">
      <c r="B125" s="2" t="s">
        <v>306</v>
      </c>
      <c r="C125" s="151"/>
      <c r="G125" s="22">
        <f>IF(G$4="","",(Data!C47*$C$3)/(Market_Price*Common_Shares))</f>
        <v>3.9845530352727747E-2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7" zoomScaleNormal="100" workbookViewId="0">
      <selection activeCell="E28" sqref="C28: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8.8190939714170096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0</v>
      </c>
      <c r="J9" s="306"/>
      <c r="N9" s="304"/>
      <c r="O9" s="304"/>
    </row>
    <row r="10" spans="2:15" ht="13.5" thickTop="1">
      <c r="B10" s="107" t="s">
        <v>427</v>
      </c>
      <c r="C10" s="283">
        <f>C8*Exchange_Rate</f>
        <v>302640237.22253698</v>
      </c>
      <c r="D10" t="str">
        <f>Market_currency</f>
        <v>HKD</v>
      </c>
      <c r="H10" s="308" t="s">
        <v>397</v>
      </c>
      <c r="I10" s="306">
        <f>Normalized_FCF!C41</f>
        <v>0.25</v>
      </c>
      <c r="N10" s="304"/>
      <c r="O10" s="304"/>
    </row>
    <row r="11" spans="2:15" ht="13.15">
      <c r="B11" s="136" t="s">
        <v>425</v>
      </c>
      <c r="C11" s="108">
        <f>(C10*scaling_factor)/Common_Shares</f>
        <v>32.666898823448513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231.87563989686973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32.666898823448513</v>
      </c>
      <c r="C73" s="119">
        <f>C11</f>
        <v>32.666898823448513</v>
      </c>
      <c r="D73" s="119">
        <f>C11</f>
        <v>32.666898823448513</v>
      </c>
      <c r="E73" s="119">
        <f>C11</f>
        <v>32.666898823448513</v>
      </c>
      <c r="F73" s="119">
        <f>C11</f>
        <v>32.666898823448513</v>
      </c>
      <c r="G73" s="296"/>
      <c r="H73" s="296"/>
      <c r="I73" s="296"/>
      <c r="J73" s="296"/>
      <c r="K73" s="296"/>
      <c r="L73" s="296"/>
    </row>
    <row r="74" spans="1:21" ht="13.15">
      <c r="A74" s="131">
        <v>1</v>
      </c>
      <c r="B74" s="119">
        <f t="shared" ref="B74:F87" si="11">(B56+FV_adjustments)/Common_Shares*scaling_factor*Exchange_Rate</f>
        <v>64.75189236806348</v>
      </c>
      <c r="C74" s="119">
        <f t="shared" si="11"/>
        <v>66.150212327979631</v>
      </c>
      <c r="D74" s="119">
        <f t="shared" si="11"/>
        <v>67.54853228789581</v>
      </c>
      <c r="E74" s="119">
        <f t="shared" si="11"/>
        <v>70.345172207728126</v>
      </c>
      <c r="F74" s="119">
        <f t="shared" si="11"/>
        <v>71.743492167644277</v>
      </c>
      <c r="G74" s="296"/>
      <c r="H74" s="296"/>
      <c r="I74" s="296"/>
      <c r="J74" s="296"/>
      <c r="K74" s="296"/>
      <c r="L74" s="296"/>
    </row>
    <row r="75" spans="1:21" ht="13.15">
      <c r="A75" s="131">
        <v>2</v>
      </c>
      <c r="B75" s="119">
        <f t="shared" si="11"/>
        <v>64.679271997928154</v>
      </c>
      <c r="C75" s="119">
        <f t="shared" si="11"/>
        <v>67.47786607328365</v>
      </c>
      <c r="D75" s="119">
        <f t="shared" si="11"/>
        <v>70.344854764477859</v>
      </c>
      <c r="E75" s="119">
        <f t="shared" si="11"/>
        <v>76.284015994382216</v>
      </c>
      <c r="F75" s="119">
        <f t="shared" si="11"/>
        <v>79.356188533092379</v>
      </c>
      <c r="G75" s="296"/>
      <c r="H75" s="296"/>
      <c r="I75" s="296"/>
      <c r="J75" s="296"/>
      <c r="K75" s="296"/>
      <c r="L75" s="296"/>
    </row>
    <row r="76" spans="1:21" ht="13.15">
      <c r="A76" s="131">
        <v>3</v>
      </c>
      <c r="B76" s="119">
        <f t="shared" si="11"/>
        <v>64.611560697102647</v>
      </c>
      <c r="C76" s="119">
        <f t="shared" si="11"/>
        <v>70.208368701394164</v>
      </c>
      <c r="D76" s="119">
        <f t="shared" si="11"/>
        <v>76.142675950385367</v>
      </c>
      <c r="E76" s="119">
        <f t="shared" si="11"/>
        <v>89.062050904614352</v>
      </c>
      <c r="F76" s="119">
        <f t="shared" si="11"/>
        <v>96.066249970925867</v>
      </c>
      <c r="G76" s="296"/>
      <c r="H76" s="296"/>
      <c r="I76" s="296"/>
      <c r="J76" s="296"/>
      <c r="K76" s="296"/>
      <c r="L76" s="296"/>
    </row>
    <row r="77" spans="1:21" ht="13.15">
      <c r="A77" s="131">
        <v>4</v>
      </c>
      <c r="B77" s="119">
        <f t="shared" si="11"/>
        <v>64.548426617078874</v>
      </c>
      <c r="C77" s="119">
        <f t="shared" si="11"/>
        <v>71.450602632645058</v>
      </c>
      <c r="D77" s="119">
        <f t="shared" si="11"/>
        <v>78.950530687494819</v>
      </c>
      <c r="E77" s="119">
        <f t="shared" si="11"/>
        <v>95.877292115764789</v>
      </c>
      <c r="F77" s="119">
        <f t="shared" si="11"/>
        <v>105.37317985190793</v>
      </c>
      <c r="G77" s="296"/>
      <c r="H77" s="296"/>
      <c r="I77" s="296"/>
      <c r="J77" s="296"/>
      <c r="K77" s="296"/>
      <c r="L77" s="296"/>
    </row>
    <row r="78" spans="1:21" ht="13.15">
      <c r="A78" s="131">
        <v>5</v>
      </c>
      <c r="B78" s="119">
        <f t="shared" si="11"/>
        <v>61.925661047889221</v>
      </c>
      <c r="C78" s="119">
        <f t="shared" si="11"/>
        <v>71.338364521847566</v>
      </c>
      <c r="D78" s="119">
        <f t="shared" si="11"/>
        <v>82.007706545706597</v>
      </c>
      <c r="E78" s="119">
        <f t="shared" si="11"/>
        <v>107.60025054562942</v>
      </c>
      <c r="F78" s="119">
        <f t="shared" si="11"/>
        <v>122.78360029349804</v>
      </c>
      <c r="G78" s="296"/>
      <c r="H78" s="296"/>
      <c r="I78" s="296"/>
      <c r="J78" s="296"/>
      <c r="K78" s="296"/>
      <c r="L78" s="296"/>
    </row>
    <row r="79" spans="1:21" ht="13.15">
      <c r="A79" s="131">
        <v>6</v>
      </c>
      <c r="B79" s="119">
        <f t="shared" si="11"/>
        <v>61.870774078117243</v>
      </c>
      <c r="C79" s="119">
        <f t="shared" si="11"/>
        <v>72.500674458010735</v>
      </c>
      <c r="D79" s="119">
        <f t="shared" si="11"/>
        <v>84.827141103320528</v>
      </c>
      <c r="E79" s="119">
        <f t="shared" si="11"/>
        <v>115.42121948078503</v>
      </c>
      <c r="F79" s="119">
        <f t="shared" si="11"/>
        <v>134.16182157691293</v>
      </c>
      <c r="G79" s="296"/>
      <c r="H79" s="296"/>
      <c r="I79" s="296"/>
      <c r="J79" s="296"/>
      <c r="K79" s="296"/>
      <c r="L79" s="296"/>
    </row>
    <row r="80" spans="1:21" ht="13.15">
      <c r="A80" s="131">
        <f t="shared" ref="A80" si="12">A62</f>
        <v>7</v>
      </c>
      <c r="B80" s="119">
        <f t="shared" si="11"/>
        <v>59.429015323915664</v>
      </c>
      <c r="C80" s="119">
        <f t="shared" si="11"/>
        <v>72.366406868359391</v>
      </c>
      <c r="D80" s="119">
        <f t="shared" si="11"/>
        <v>88.034999279886875</v>
      </c>
      <c r="E80" s="119">
        <f t="shared" si="11"/>
        <v>129.46758186313465</v>
      </c>
      <c r="F80" s="119">
        <f t="shared" si="11"/>
        <v>156.33679577718684</v>
      </c>
      <c r="G80" s="296"/>
      <c r="H80" s="296"/>
      <c r="I80" s="296"/>
      <c r="J80" s="296"/>
      <c r="K80" s="296"/>
      <c r="L80" s="296"/>
    </row>
    <row r="81" spans="1:12" ht="13.15">
      <c r="A81" s="131">
        <v>8</v>
      </c>
      <c r="B81" s="119">
        <f t="shared" si="11"/>
        <v>59.38129815674359</v>
      </c>
      <c r="C81" s="119">
        <f t="shared" si="11"/>
        <v>73.453935033318828</v>
      </c>
      <c r="D81" s="119">
        <f t="shared" si="11"/>
        <v>90.866061414123564</v>
      </c>
      <c r="E81" s="119">
        <f t="shared" si="11"/>
        <v>138.44269414303346</v>
      </c>
      <c r="F81" s="119">
        <f t="shared" si="11"/>
        <v>170.2472819665052</v>
      </c>
      <c r="G81" s="296"/>
      <c r="H81" s="296"/>
      <c r="I81" s="296"/>
      <c r="J81" s="296"/>
      <c r="K81" s="296"/>
      <c r="L81" s="296"/>
    </row>
    <row r="82" spans="1:12" ht="13.15">
      <c r="A82" s="131">
        <f t="shared" ref="A82" si="13">A64</f>
        <v>9</v>
      </c>
      <c r="B82" s="119">
        <f t="shared" si="11"/>
        <v>57.107825653637185</v>
      </c>
      <c r="C82" s="119">
        <f t="shared" si="11"/>
        <v>73.299668970059628</v>
      </c>
      <c r="D82" s="119">
        <f t="shared" si="11"/>
        <v>94.228763701223286</v>
      </c>
      <c r="E82" s="119">
        <f t="shared" si="11"/>
        <v>155.22587519152444</v>
      </c>
      <c r="F82" s="119">
        <f t="shared" si="11"/>
        <v>198.39444191890277</v>
      </c>
      <c r="G82" s="296"/>
      <c r="H82" s="296"/>
      <c r="I82" s="296"/>
      <c r="J82" s="296"/>
      <c r="K82" s="296"/>
      <c r="L82" s="296"/>
    </row>
    <row r="83" spans="1:12" ht="13.15">
      <c r="A83" s="131">
        <f t="shared" ref="A83:A87" si="14">A65</f>
        <v>10</v>
      </c>
      <c r="B83" s="119">
        <f t="shared" si="11"/>
        <v>57.06634170849707</v>
      </c>
      <c r="C83" s="119">
        <f t="shared" si="11"/>
        <v>74.317226742545188</v>
      </c>
      <c r="D83" s="119">
        <f t="shared" si="11"/>
        <v>97.071501365151107</v>
      </c>
      <c r="E83" s="119">
        <f t="shared" si="11"/>
        <v>165.52544818620842</v>
      </c>
      <c r="F83" s="119">
        <f t="shared" si="11"/>
        <v>215.40075786261451</v>
      </c>
      <c r="G83" s="296"/>
      <c r="H83" s="296"/>
      <c r="I83" s="296"/>
      <c r="J83" s="296"/>
      <c r="K83" s="296"/>
      <c r="L83" s="296"/>
    </row>
    <row r="84" spans="1:12" ht="13.15">
      <c r="A84" s="131">
        <f t="shared" si="14"/>
        <v>15</v>
      </c>
      <c r="B84" s="119">
        <f t="shared" si="11"/>
        <v>51.074447199938952</v>
      </c>
      <c r="C84" s="119">
        <f t="shared" si="11"/>
        <v>75.595572987318761</v>
      </c>
      <c r="D84" s="119">
        <f t="shared" si="11"/>
        <v>113.8526213710909</v>
      </c>
      <c r="E84" s="119">
        <f t="shared" si="11"/>
        <v>262.92334973989216</v>
      </c>
      <c r="F84" s="119">
        <f t="shared" si="11"/>
        <v>398.78982628386268</v>
      </c>
      <c r="G84" s="296"/>
      <c r="H84" s="296"/>
      <c r="I84" s="296"/>
      <c r="J84" s="296"/>
      <c r="K84" s="296"/>
      <c r="L84" s="296"/>
    </row>
    <row r="85" spans="1:12" ht="13.15">
      <c r="A85" s="132">
        <f t="shared" si="14"/>
        <v>20</v>
      </c>
      <c r="B85" s="119">
        <f t="shared" si="11"/>
        <v>47.699903439306745</v>
      </c>
      <c r="C85" s="119">
        <f t="shared" si="11"/>
        <v>77.493513816935589</v>
      </c>
      <c r="D85" s="119">
        <f t="shared" si="11"/>
        <v>130.75156393328839</v>
      </c>
      <c r="E85" s="119">
        <f t="shared" si="11"/>
        <v>389.81103057619623</v>
      </c>
      <c r="F85" s="119">
        <f t="shared" si="11"/>
        <v>674.58777145388308</v>
      </c>
      <c r="G85" s="296"/>
      <c r="H85" s="296"/>
      <c r="I85" s="296"/>
      <c r="J85" s="296"/>
      <c r="K85" s="296"/>
      <c r="L85" s="296"/>
    </row>
    <row r="86" spans="1:12" ht="13.15">
      <c r="A86" s="132">
        <f t="shared" si="14"/>
        <v>25</v>
      </c>
      <c r="B86" s="119">
        <f t="shared" si="11"/>
        <v>43.512484847712514</v>
      </c>
      <c r="C86" s="119">
        <f t="shared" si="11"/>
        <v>78.071264083743387</v>
      </c>
      <c r="D86" s="119">
        <f t="shared" si="11"/>
        <v>150.31400640581296</v>
      </c>
      <c r="E86" s="119">
        <f t="shared" si="11"/>
        <v>606.76418287501656</v>
      </c>
      <c r="F86" s="119">
        <f t="shared" si="11"/>
        <v>1225.9539370004386</v>
      </c>
      <c r="G86" s="296"/>
      <c r="H86" s="296"/>
      <c r="I86" s="296"/>
      <c r="J86" s="296"/>
      <c r="K86" s="296"/>
      <c r="L86" s="296"/>
    </row>
    <row r="87" spans="1:12" ht="13.15">
      <c r="A87" s="132">
        <f t="shared" si="14"/>
        <v>30</v>
      </c>
      <c r="B87" s="119">
        <f t="shared" si="11"/>
        <v>41.15917053210832</v>
      </c>
      <c r="C87" s="119">
        <f t="shared" si="11"/>
        <v>79.218018836437935</v>
      </c>
      <c r="D87" s="119">
        <f t="shared" si="11"/>
        <v>169.29164000921855</v>
      </c>
      <c r="E87" s="119">
        <f t="shared" si="11"/>
        <v>879.64597475509129</v>
      </c>
      <c r="F87" s="119">
        <f t="shared" si="11"/>
        <v>2028.3309910844137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398.78982628386268</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262.92334973989216</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113.8526213710909</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75.595572987318761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51.074447199938952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262.92334973989216</v>
      </c>
      <c r="F22" s="328">
        <f>1-F23-F24</f>
        <v>0.2</v>
      </c>
      <c r="G22" s="328">
        <f>F22*(1-F$29-F$30)</f>
        <v>0.18</v>
      </c>
    </row>
    <row r="23" spans="2:7">
      <c r="B23" s="302" t="s">
        <v>437</v>
      </c>
      <c r="C23" s="324">
        <v>0.1</v>
      </c>
      <c r="D23" s="325">
        <f>C18</f>
        <v>15</v>
      </c>
      <c r="E23" s="326">
        <f>DCF!E92</f>
        <v>113.8526213710909</v>
      </c>
      <c r="F23" s="327">
        <v>0.6</v>
      </c>
      <c r="G23" s="328">
        <f t="shared" ref="G23:G24" si="0">F23*(1-F$29-F$30)</f>
        <v>0.53999999999999992</v>
      </c>
    </row>
    <row r="24" spans="2:7">
      <c r="B24" s="302" t="s">
        <v>446</v>
      </c>
      <c r="C24" s="324">
        <v>0.05</v>
      </c>
      <c r="D24" s="325">
        <f>C18</f>
        <v>15</v>
      </c>
      <c r="E24" s="326">
        <f>DCF!E93</f>
        <v>75.595572987318761</v>
      </c>
      <c r="F24" s="327">
        <v>0.2</v>
      </c>
      <c r="G24" s="328">
        <f t="shared" si="0"/>
        <v>0.18</v>
      </c>
    </row>
    <row r="25" spans="2:7">
      <c r="B25" s="141" t="s">
        <v>451</v>
      </c>
      <c r="C25" s="441">
        <f>E23*F23+E24*F24+E22*F22</f>
        <v>136.01535736809672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398.78982628386268</v>
      </c>
      <c r="F29" s="327">
        <v>0.05</v>
      </c>
      <c r="G29" s="328">
        <f>F29</f>
        <v>0.05</v>
      </c>
    </row>
    <row r="30" spans="2:7">
      <c r="B30" s="315" t="s">
        <v>447</v>
      </c>
      <c r="C30" s="324">
        <v>0</v>
      </c>
      <c r="D30" s="325">
        <f>C18</f>
        <v>15</v>
      </c>
      <c r="E30" s="326">
        <f>DCF!E94</f>
        <v>51.074447199938952</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v>
      </c>
      <c r="D34" t="str">
        <f>Market_currency</f>
        <v>HKD</v>
      </c>
      <c r="E34" s="97" t="s">
        <v>454</v>
      </c>
      <c r="F34" s="330">
        <f>RATE(Holding_Period,$C$33,-C34,$C$36)</f>
        <v>0.14315708491628415</v>
      </c>
    </row>
    <row r="35" spans="2:7">
      <c r="B35" s="97" t="s">
        <v>434</v>
      </c>
      <c r="C35" s="320">
        <f>DCF!C11</f>
        <v>32.666898823448513</v>
      </c>
      <c r="D35" s="97" t="str">
        <f>Market_currency</f>
        <v>HKD</v>
      </c>
      <c r="E35" s="97" t="s">
        <v>454</v>
      </c>
      <c r="F35" s="330">
        <f>RATE(Holding_Period,$C$33,-C35,$C$36)</f>
        <v>0.64308685510835206</v>
      </c>
    </row>
    <row r="36" spans="2:7">
      <c r="B36" s="97" t="s">
        <v>435</v>
      </c>
      <c r="C36" s="321">
        <f>E22*G22+E23*G23+E24*G24+E30*G30+E29*G29</f>
        <v>144.90703530547711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231.87563989686973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6.0860357489376314E-2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66.777435624643843</v>
      </c>
      <c r="E62" s="332">
        <f>C62+D62</f>
        <v>66.777435624643843</v>
      </c>
      <c r="F62" s="301">
        <f>Thesis!E22</f>
        <v>0.29465259038036606</v>
      </c>
      <c r="G62" s="440">
        <f>(1-E62/C36)</f>
        <v>0.53917050691244228</v>
      </c>
    </row>
    <row r="63" spans="2:7" ht="13.15">
      <c r="B63" s="302" t="s">
        <v>313</v>
      </c>
      <c r="C63" s="119">
        <f>PV(F63, Holding_Period, -C58, 0)</f>
        <v>0</v>
      </c>
      <c r="D63" s="119">
        <f>C36/(1+F63)^Holding_Period</f>
        <v>83.700814616882113</v>
      </c>
      <c r="E63" s="332">
        <f>C63+D63</f>
        <v>83.700814616882113</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103.86362357616365</v>
      </c>
      <c r="E66" s="332">
        <f>C66+D66</f>
        <v>103.86362357616365</v>
      </c>
      <c r="F66" s="301">
        <f>Thesis!E24</f>
        <v>0.1174</v>
      </c>
      <c r="G66" s="440">
        <f>(1-E66/C36)</f>
        <v>0.28323960698519746</v>
      </c>
    </row>
    <row r="67" spans="2:7" ht="13.15">
      <c r="B67" s="302" t="s">
        <v>314</v>
      </c>
      <c r="C67" s="119">
        <f>PV(F67, Holding_Period, -C58, 0)</f>
        <v>0</v>
      </c>
      <c r="D67" s="119">
        <f>C36/(1+F67)^Holding_Period</f>
        <v>117.46204798303134</v>
      </c>
      <c r="E67" s="332">
        <f>C67+D67</f>
        <v>117.46204798303134</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v>
      </c>
    </row>
    <row r="9" spans="1:10">
      <c r="B9" s="351" t="s">
        <v>361</v>
      </c>
      <c r="C9" s="353">
        <f>Common_Shares</f>
        <v>9264431217</v>
      </c>
    </row>
    <row r="10" spans="1:10">
      <c r="B10" s="351" t="s">
        <v>367</v>
      </c>
      <c r="C10" s="357">
        <f>投资主题!C8*Common_Shares/1000000</f>
        <v>898649.828049</v>
      </c>
      <c r="D10" s="343" t="s">
        <v>528</v>
      </c>
      <c r="E10" s="360">
        <f>Scenarios!F34</f>
        <v>0.14315708491628415</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1.1197497097015381</v>
      </c>
    </row>
    <row r="17" spans="1:6">
      <c r="B17" s="343" t="s">
        <v>534</v>
      </c>
      <c r="C17" s="424">
        <f>Terminal_Growth</f>
        <v>0.02</v>
      </c>
      <c r="D17" s="351" t="s">
        <v>339</v>
      </c>
      <c r="E17" s="344" t="str">
        <f>Reporting_currency</f>
        <v>CNY</v>
      </c>
    </row>
    <row r="18" spans="1:6">
      <c r="B18" s="343" t="str">
        <f>"预期股权价值 ("&amp;C7&amp;") :"</f>
        <v>预期股权价值 (HKD) :</v>
      </c>
      <c r="C18" s="359">
        <f>C125</f>
        <v>144.90703530547711</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66.777435624643843</v>
      </c>
      <c r="D22" s="365" t="s">
        <v>440</v>
      </c>
      <c r="E22" s="366">
        <f>Thesis!E22</f>
        <v>0.29465259038036606</v>
      </c>
    </row>
    <row r="23" spans="1:6">
      <c r="B23" s="343" t="s">
        <v>341</v>
      </c>
      <c r="C23" s="367">
        <f>E141</f>
        <v>83.700814616882113</v>
      </c>
      <c r="D23" s="365" t="s">
        <v>441</v>
      </c>
      <c r="E23" s="368">
        <f>Thesis!E23</f>
        <v>0.20075184365903009</v>
      </c>
    </row>
    <row r="24" spans="1:6">
      <c r="B24" s="343" t="s">
        <v>343</v>
      </c>
      <c r="C24" s="367">
        <f>E144</f>
        <v>103.86362357616365</v>
      </c>
      <c r="D24" s="365" t="s">
        <v>443</v>
      </c>
      <c r="E24" s="368">
        <f>Thesis!E24</f>
        <v>0.1174</v>
      </c>
    </row>
    <row r="25" spans="1:6">
      <c r="B25" s="343" t="s">
        <v>342</v>
      </c>
      <c r="C25" s="367">
        <f>E145</f>
        <v>117.46204798303134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1.2654232410871777E-2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-6.1614069718705116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7.9801131120716837</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7.0003878312158383</v>
      </c>
      <c r="D90" s="343" t="str">
        <f>Market_currency</f>
        <v>HKD</v>
      </c>
    </row>
    <row r="92" spans="1:6">
      <c r="B92" s="372" t="s">
        <v>480</v>
      </c>
      <c r="C92" s="387">
        <f>DCF!F8</f>
        <v>8.8190939714170096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3.5687171540034233</v>
      </c>
      <c r="D111" s="343" t="str">
        <f>Market_currency</f>
        <v>HKD</v>
      </c>
    </row>
    <row r="112" spans="1:6">
      <c r="A112" s="385"/>
      <c r="B112" s="372" t="s">
        <v>377</v>
      </c>
      <c r="C112" s="394">
        <f>DCF!C11</f>
        <v>32.666898823448513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398.79 HKD</v>
      </c>
      <c r="F118" s="399">
        <f>DCF!F90</f>
        <v>0.05</v>
      </c>
    </row>
    <row r="119" spans="1:6">
      <c r="A119" s="385"/>
      <c r="B119" s="400" t="str">
        <f>DCF!B91</f>
        <v>Optimistic</v>
      </c>
      <c r="C119" s="401">
        <f>DCF!C91</f>
        <v>0.2</v>
      </c>
      <c r="D119" s="402">
        <f>DCF!D91</f>
        <v>15</v>
      </c>
      <c r="E119" s="398" t="str">
        <f>ROUND(DCF!E91,2)&amp;" "&amp;Market_currency</f>
        <v>262.92 HKD</v>
      </c>
      <c r="F119" s="403">
        <f>DCF!F91</f>
        <v>0.18</v>
      </c>
    </row>
    <row r="120" spans="1:6">
      <c r="B120" s="400" t="str">
        <f>DCF!B92</f>
        <v>Base</v>
      </c>
      <c r="C120" s="401">
        <f>DCF!C92</f>
        <v>0.1</v>
      </c>
      <c r="D120" s="402">
        <f>DCF!D92</f>
        <v>15</v>
      </c>
      <c r="E120" s="398" t="str">
        <f>ROUND(DCF!E92,2)&amp;" "&amp;Market_currency</f>
        <v>113.85 HKD</v>
      </c>
      <c r="F120" s="403">
        <f>DCF!F92</f>
        <v>0.53999999999999992</v>
      </c>
    </row>
    <row r="121" spans="1:6">
      <c r="B121" s="400" t="str">
        <f>DCF!B93</f>
        <v>Pessimistic</v>
      </c>
      <c r="C121" s="401">
        <f>DCF!C93</f>
        <v>0.05</v>
      </c>
      <c r="D121" s="402">
        <f>DCF!D93</f>
        <v>15</v>
      </c>
      <c r="E121" s="398" t="str">
        <f>ROUND(DCF!E93,2)&amp;" "&amp;Market_currency</f>
        <v>75.6 HKD</v>
      </c>
      <c r="F121" s="403">
        <f>DCF!F93</f>
        <v>0.18</v>
      </c>
    </row>
    <row r="122" spans="1:6">
      <c r="B122" s="400" t="str">
        <f>DCF!B94</f>
        <v>Devil's advocate</v>
      </c>
      <c r="C122" s="401">
        <f>DCF!C94</f>
        <v>0</v>
      </c>
      <c r="D122" s="402">
        <f>DCF!D94</f>
        <v>15</v>
      </c>
      <c r="E122" s="398" t="str">
        <f>ROUND(DCF!E94,2)&amp;" "&amp;Market_currency</f>
        <v>51.07 HKD</v>
      </c>
      <c r="F122" s="403">
        <f>DCF!F94</f>
        <v>0.05</v>
      </c>
    </row>
    <row r="124" spans="1:6">
      <c r="B124" s="470" t="s">
        <v>518</v>
      </c>
      <c r="C124" s="470"/>
      <c r="D124" s="470"/>
      <c r="E124" s="470"/>
      <c r="F124" s="470"/>
    </row>
    <row r="125" spans="1:6">
      <c r="B125" s="372" t="s">
        <v>218</v>
      </c>
      <c r="C125" s="404">
        <f>Scenarios!C36</f>
        <v>144.90703530547711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66.777435624643843</v>
      </c>
      <c r="E140" s="410">
        <f>Scenarios!E62</f>
        <v>66.777435624643843</v>
      </c>
      <c r="F140" s="411">
        <f>E22</f>
        <v>0.29465259038036606</v>
      </c>
    </row>
    <row r="141" spans="1:6">
      <c r="B141" s="408" t="s">
        <v>313</v>
      </c>
      <c r="C141" s="409">
        <f>Scenarios!C63</f>
        <v>0</v>
      </c>
      <c r="D141" s="409">
        <f>Scenarios!D63</f>
        <v>83.700814616882113</v>
      </c>
      <c r="E141" s="410">
        <f>Scenarios!E63</f>
        <v>83.700814616882113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103.86362357616365</v>
      </c>
      <c r="E144" s="410">
        <f>Scenarios!E66</f>
        <v>103.86362357616365</v>
      </c>
      <c r="F144" s="411">
        <f>E24</f>
        <v>0.1174</v>
      </c>
    </row>
    <row r="145" spans="1:6">
      <c r="B145" s="408" t="s">
        <v>314</v>
      </c>
      <c r="C145" s="409">
        <f>Scenarios!C67</f>
        <v>0</v>
      </c>
      <c r="D145" s="409">
        <f>Scenarios!D67</f>
        <v>117.46204798303134</v>
      </c>
      <c r="E145" s="410">
        <f>Scenarios!E67</f>
        <v>117.46204798303134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