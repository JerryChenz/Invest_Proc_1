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EAA1A1-5846-48FB-911B-4133B3CFD10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<sst xmlns="http://schemas.openxmlformats.org/spreadsheetml/2006/main" count="766" uniqueCount="556">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</sst>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101.8</v>
      </c>
      <c r="E8" s="32"/>
    </row>
    <row r="9" spans="1:9">
      <c r="B9" s="4" t="s">
        <v>346</v>
      </c>
      <c r="C9" s="48">
        <v>9264431217</v>
      </c>
    </row>
    <row r="10" spans="1:9">
      <c r="B10" s="4" t="s">
        <v>352</v>
      </c>
      <c r="C10" s="33">
        <f>Thesis!C8*Common_Shares/1000000</f>
        <v>943119.09789059998</v>
      </c>
      <c r="D10" s="1" t="s">
        <v>530</v>
      </c>
      <c r="E10" s="307">
        <f>Scenarios!F34</f>
        <v>0.14660983515935919</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1.1024826515674591</v>
      </c>
    </row>
    <row r="17" spans="1:6">
      <c r="B17" s="1" t="s">
        <v>534</v>
      </c>
      <c r="C17" s="420">
        <v>0</v>
      </c>
      <c r="D17" s="4" t="s">
        <v>274</v>
      </c>
      <c r="E17" s="224" t="s">
        <v>555</v>
      </c>
    </row>
    <row r="18" spans="1:6">
      <c r="B18" s="1" t="str">
        <f>"Expected Equity Value ("&amp;C7&amp;") :"</f>
        <v>Expected Equity Value (HKD) :</v>
      </c>
      <c r="C18" s="255">
        <f>C125</f>
        <v>153.45984880371074</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70.718824333507271</v>
      </c>
      <c r="D22" s="38" t="s">
        <v>408</v>
      </c>
      <c r="E22" s="79">
        <v>0.29465259038036606</v>
      </c>
    </row>
    <row r="23" spans="1:6">
      <c r="B23" s="1" t="s">
        <v>313</v>
      </c>
      <c r="C23" s="259">
        <f>E141</f>
        <v>88.641067901060396</v>
      </c>
      <c r="D23" s="38" t="s">
        <v>409</v>
      </c>
      <c r="E23" s="448">
        <v>0.20075184365903009</v>
      </c>
    </row>
    <row r="24" spans="1:6">
      <c r="B24" s="1" t="s">
        <v>315</v>
      </c>
      <c r="C24" s="259">
        <f>E144</f>
        <v>109.99394154053989</v>
      </c>
      <c r="D24" s="38" t="s">
        <v>410</v>
      </c>
      <c r="E24" s="448">
        <v>0.1174</v>
      </c>
    </row>
    <row r="25" spans="1:6">
      <c r="B25" s="1" t="s">
        <v>314</v>
      </c>
      <c r="C25" s="259">
        <f>E145</f>
        <v>124.39498251862229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2.369888023979656E-2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-6.0663952282199016</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8.1248824550845775</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6.8924386148905912</v>
      </c>
      <c r="D90" s="1" t="str">
        <f>Market_currency</f>
        <v>HKD</v>
      </c>
    </row>
    <row r="91" spans="1:6">
      <c r="A91" s="191"/>
    </row>
    <row r="92" spans="1:6">
      <c r="A92" s="191"/>
      <c r="B92" s="44" t="s">
        <v>472</v>
      </c>
      <c r="C92" s="216">
        <f>DCF!F8</f>
        <v>8.9509258417552697</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3.5136858858294961</v>
      </c>
      <c r="D111" s="1" t="str">
        <f>Market_currency</f>
        <v>HKD</v>
      </c>
    </row>
    <row r="112" spans="2:6">
      <c r="B112" s="44" t="s">
        <v>323</v>
      </c>
      <c r="C112" s="216">
        <f>DCF!C11</f>
        <v>42.227422509497188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300.87 HKD</v>
      </c>
      <c r="E118" s="208">
        <f>DCF!F90</f>
        <v>0.05</v>
      </c>
      <c r="F118" s="208">
        <f>RATE(Holding_Period,Scenarios!C$58,-DCF!E90,C$18)</f>
        <v>-0.20101303951618565</v>
      </c>
    </row>
    <row r="119" spans="2:6">
      <c r="B119" s="205" t="str">
        <f>DCF!B91&amp;" ("&amp;DCF!D91&amp;"yrs)"</f>
        <v>Optimistic (10yrs)</v>
      </c>
      <c r="C119" s="198">
        <f>DCF!C91</f>
        <v>0.25</v>
      </c>
      <c r="D119" s="207" t="str">
        <f>ROUND(DCF!E91,2)&amp;" "&amp;Market_currency</f>
        <v>225.09 HKD</v>
      </c>
      <c r="E119" s="199">
        <f>DCF!F91</f>
        <v>0.18</v>
      </c>
      <c r="F119" s="208">
        <f>RATE(Holding_Period,Scenarios!C$58,-DCF!E91,C$18)</f>
        <v>-0.1198702878013457</v>
      </c>
    </row>
    <row r="120" spans="2:6">
      <c r="B120" s="205" t="str">
        <f>DCF!B92&amp;" ("&amp;DCF!D92&amp;"yrs)"</f>
        <v>Base (10yrs)</v>
      </c>
      <c r="C120" s="198">
        <f>DCF!C92</f>
        <v>0.18</v>
      </c>
      <c r="D120" s="207" t="str">
        <f>ROUND(DCF!E92,2)&amp;" "&amp;Market_currency</f>
        <v>149.06 HKD</v>
      </c>
      <c r="E120" s="199">
        <f>DCF!F92</f>
        <v>0.53999999999999992</v>
      </c>
      <c r="F120" s="208">
        <f>RATE(Holding_Period,Scenarios!C$58,-DCF!E92,C$18)</f>
        <v>9.7443353057204331E-3</v>
      </c>
    </row>
    <row r="121" spans="2:6">
      <c r="B121" s="205" t="str">
        <f>DCF!B93&amp;" ("&amp;DCF!D93&amp;"yrs)"</f>
        <v>Pessimistic (10yrs)</v>
      </c>
      <c r="C121" s="198">
        <f>DCF!C93</f>
        <v>0.08</v>
      </c>
      <c r="D121" s="207" t="str">
        <f>ROUND(DCF!E93,2)&amp;" "&amp;Market_currency</f>
        <v>82.36 HKD</v>
      </c>
      <c r="E121" s="199">
        <f>DCF!F93</f>
        <v>0.18</v>
      </c>
      <c r="F121" s="208">
        <f>RATE(Holding_Period,Scenarios!C$58,-DCF!E93,C$18)</f>
        <v>0.23051009235607686</v>
      </c>
    </row>
    <row r="122" spans="2:6">
      <c r="B122" s="205" t="str">
        <f>DCF!B94&amp;" ("&amp;DCF!D94&amp;"yrs)"</f>
        <v>Devil's advocate (10yrs)</v>
      </c>
      <c r="C122" s="198">
        <f>DCF!C94</f>
        <v>0</v>
      </c>
      <c r="D122" s="207" t="str">
        <f>ROUND(DCF!E94,2)&amp;" "&amp;Market_currency</f>
        <v>51.65 HKD</v>
      </c>
      <c r="E122" s="199">
        <f>DCF!F94</f>
        <v>0.05</v>
      </c>
      <c r="F122" s="208">
        <f>RATE(Holding_Period,Scenarios!C$58,-DCF!E94,C$18)</f>
        <v>0.43760522930534734</v>
      </c>
    </row>
    <row r="124" spans="2:6">
      <c r="B124" s="459" t="s">
        <v>357</v>
      </c>
      <c r="C124" s="459"/>
      <c r="D124" s="459"/>
      <c r="E124" s="459"/>
      <c r="F124" s="459"/>
    </row>
    <row r="125" spans="2:6">
      <c r="B125" s="193" t="s">
        <v>218</v>
      </c>
      <c r="C125" s="197">
        <f>Scenarios!C36</f>
        <v>153.45984880371074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70.718824333507271</v>
      </c>
      <c r="E140" s="338">
        <f>Scenarios!E62</f>
        <v>70.718824333507271</v>
      </c>
      <c r="F140" s="339">
        <f>E22</f>
        <v>0.29465259038036606</v>
      </c>
    </row>
    <row r="141" spans="1:6">
      <c r="B141" s="340" t="s">
        <v>313</v>
      </c>
      <c r="C141" s="337">
        <f>Scenarios!C63</f>
        <v>0</v>
      </c>
      <c r="D141" s="337">
        <f>Scenarios!D63</f>
        <v>88.641067901060396</v>
      </c>
      <c r="E141" s="338">
        <f>Scenarios!E63</f>
        <v>88.641067901060396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109.99394154053989</v>
      </c>
      <c r="E144" s="338">
        <f>Scenarios!E66</f>
        <v>109.99394154053989</v>
      </c>
      <c r="F144" s="339">
        <f>E24</f>
        <v>0.1174</v>
      </c>
    </row>
    <row r="145" spans="1:6">
      <c r="B145" s="340" t="s">
        <v>314</v>
      </c>
      <c r="C145" s="337">
        <f>Scenarios!C67</f>
        <v>0</v>
      </c>
      <c r="D145" s="337">
        <f>Scenarios!D67</f>
        <v>124.39498251862229</v>
      </c>
      <c r="E145" s="338">
        <f>Scenarios!E67</f>
        <v>124.39498251862229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21.93865895683971</v>
      </c>
      <c r="D47" s="134">
        <f>D46*H1/Common_Shares*Exchange_Rate</f>
        <v>3.5136858858294961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56201701.326980293</v>
      </c>
      <c r="D86" s="201">
        <f>C86*scaling_factor/Common_Shares</f>
        <v>6.0663952282199016</v>
      </c>
      <c r="E86" s="214" t="str">
        <f>Market_currency</f>
        <v>HKD</v>
      </c>
    </row>
    <row r="87" spans="2:8" ht="15" customHeight="1">
      <c r="B87" s="212" t="s">
        <v>240</v>
      </c>
      <c r="C87" s="73">
        <f>DCF!F5*Exchange_Rate</f>
        <v>75272414.651341155</v>
      </c>
      <c r="D87" s="201">
        <f>C87*scaling_factor/Common_Shares</f>
        <v>8.1248824550845775</v>
      </c>
      <c r="E87" s="214" t="str">
        <f>Market_currency</f>
        <v>HKD</v>
      </c>
    </row>
    <row r="88" spans="2:8" ht="15" customHeight="1">
      <c r="B88" s="213" t="s">
        <v>159</v>
      </c>
      <c r="C88" s="73">
        <f>DCF!F6*Exchange_Rate</f>
        <v>63854523.465048641</v>
      </c>
      <c r="D88" s="201">
        <f>C88*scaling_factor/Common_Shares</f>
        <v>6.8924386148905912</v>
      </c>
      <c r="E88" s="214" t="str">
        <f>Market_currency</f>
        <v>HKD</v>
      </c>
    </row>
    <row r="89" spans="2:8" ht="15" customHeight="1">
      <c r="B89" s="77" t="s">
        <v>244</v>
      </c>
      <c r="C89" s="162">
        <f>SUM(C86:C88)</f>
        <v>195328639.4433701</v>
      </c>
      <c r="D89" s="216">
        <f>SUM(D86:D88)</f>
        <v>21.083716298195071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2.4125460084112893</v>
      </c>
      <c r="D123" s="26"/>
      <c r="E123" s="235"/>
      <c r="F123" s="26"/>
      <c r="G123" s="159">
        <f t="shared" ref="G123:Q123" si="48">IF(G$4="","",G14*$C$3/Common_Shares*Exchange_Rate)</f>
        <v>3.6968442201006675</v>
      </c>
      <c r="H123" s="159">
        <f t="shared" si="48"/>
        <v>0.80478013541589499</v>
      </c>
      <c r="I123" s="159">
        <f t="shared" si="48"/>
        <v>-1.1638575428457185</v>
      </c>
      <c r="J123" s="159">
        <f t="shared" si="48"/>
        <v>-2.8993148001202749</v>
      </c>
      <c r="K123" s="159">
        <f t="shared" si="48"/>
        <v>-0.36286163280381661</v>
      </c>
      <c r="L123" s="159">
        <f t="shared" si="48"/>
        <v>2.2667435328919405E-2</v>
      </c>
      <c r="M123" s="159">
        <f t="shared" si="48"/>
        <v>-1.6120284625658559</v>
      </c>
      <c r="N123" s="159">
        <f t="shared" si="48"/>
        <v>-0.54199741402349311</v>
      </c>
      <c r="O123" s="159">
        <f t="shared" si="48"/>
        <v>-0.80918237407318971</v>
      </c>
      <c r="P123" s="159">
        <f t="shared" si="48"/>
        <v>-1.0127116516128589</v>
      </c>
      <c r="Q123" s="159" t="str">
        <f t="shared" si="48"/>
        <v/>
      </c>
    </row>
    <row r="124" spans="1:17" ht="15.75" customHeight="1">
      <c r="A124" s="10"/>
      <c r="B124" s="26" t="s">
        <v>226</v>
      </c>
      <c r="C124" s="74">
        <f>C19*Exchange_Rate*$C$3/(Market_Price*Common_Shares)</f>
        <v>2.369888023979656E-2</v>
      </c>
      <c r="D124" s="26"/>
      <c r="E124" s="235"/>
      <c r="F124" s="26"/>
      <c r="G124" s="74">
        <f t="shared" ref="G124" si="49">IF(G$4="","",G123/Market_Price)</f>
        <v>3.6314776228886715E-2</v>
      </c>
      <c r="H124" s="74">
        <f t="shared" ref="H124" si="50">IF(H$4="","",H123/Market_Price)</f>
        <v>7.9055023125333499E-3</v>
      </c>
      <c r="I124" s="74">
        <f t="shared" ref="I124" si="51">IF(I$4="","",I123/Market_Price)</f>
        <v>-1.1432785293179946E-2</v>
      </c>
      <c r="J124" s="74">
        <f t="shared" ref="J124" si="52">IF(J$4="","",J123/Market_Price)</f>
        <v>-2.8480499018863212E-2</v>
      </c>
      <c r="K124" s="74">
        <f t="shared" ref="K124" si="53">IF(K$4="","",K123/Market_Price)</f>
        <v>-3.5644561179156839E-3</v>
      </c>
      <c r="L124" s="74">
        <f t="shared" ref="L124" si="54">IF(L$4="","",L123/Market_Price)</f>
        <v>2.2266635883024956E-4</v>
      </c>
      <c r="M124" s="74">
        <f t="shared" ref="M124" si="55">IF(M$4="","",M123/Market_Price)</f>
        <v>-1.5835250123436697E-2</v>
      </c>
      <c r="N124" s="74">
        <f t="shared" ref="N124" si="56">IF(N$4="","",N123/Market_Price)</f>
        <v>-5.3241396269498344E-3</v>
      </c>
      <c r="O124" s="74">
        <f t="shared" ref="O124" si="57">IF(O$4="","",O123/Market_Price)</f>
        <v>-7.9487463072022563E-3</v>
      </c>
      <c r="P124" s="74">
        <f t="shared" ref="P124" si="58">IF(P$4="","",P123/Market_Price)</f>
        <v>-9.9480515875526414E-3</v>
      </c>
      <c r="Q124" s="74" t="str">
        <f t="shared" ref="Q124" si="59">IF(Q$4="","",Q123/Market_Price)</f>
        <v/>
      </c>
    </row>
    <row r="125" spans="1:17" ht="15.75" customHeight="1">
      <c r="B125" s="2" t="s">
        <v>306</v>
      </c>
      <c r="C125" s="151"/>
      <c r="G125" s="22">
        <f>IF(G$4="","",(Data!C47*$C$3)/(Market_Price*Common_Shares))</f>
        <v>3.7966762713306401E-2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8.9509258417552697</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1.1024826515674591</v>
      </c>
      <c r="D9" t="str">
        <f>Thesis!E15</f>
        <v>CNY/HKD</v>
      </c>
      <c r="F9" s="326"/>
      <c r="H9" s="312" t="str">
        <f>Normalized_FCF!B79</f>
        <v>NCI’s Share of Profits</v>
      </c>
      <c r="I9" s="144">
        <f>Normalized_FCF!C79</f>
        <v>0</v>
      </c>
      <c r="J9" s="310"/>
      <c r="N9" s="308"/>
      <c r="O9" s="308"/>
    </row>
    <row r="10" spans="2:15" ht="13.5" thickTop="1">
      <c r="B10" s="107" t="s">
        <v>430</v>
      </c>
      <c r="C10" s="287">
        <f>C8*Exchange_Rate</f>
        <v>391213051.31043422</v>
      </c>
      <c r="D10" t="str">
        <f>Market_currency</f>
        <v>HKD</v>
      </c>
      <c r="H10" s="312" t="s">
        <v>398</v>
      </c>
      <c r="I10" s="310">
        <f>Normalized_FCF!C41</f>
        <v>0.25</v>
      </c>
      <c r="N10" s="308"/>
      <c r="O10" s="308"/>
    </row>
    <row r="11" spans="2:15" ht="13.15">
      <c r="B11" s="136" t="s">
        <v>428</v>
      </c>
      <c r="C11" s="108">
        <f>(C10*scaling_factor)/Common_Shares</f>
        <v>42.227422509497188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153.53883363661359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42.227422509497188</v>
      </c>
      <c r="C73" s="119">
        <f>C11</f>
        <v>42.227422509497188</v>
      </c>
      <c r="D73" s="119">
        <f>C11</f>
        <v>42.227422509497188</v>
      </c>
      <c r="E73" s="119">
        <f>C11</f>
        <v>42.227422509497188</v>
      </c>
      <c r="F73" s="119">
        <f>C11</f>
        <v>42.227422509497188</v>
      </c>
      <c r="G73" s="300"/>
      <c r="H73" s="300"/>
      <c r="I73" s="300"/>
      <c r="J73" s="300"/>
      <c r="K73" s="300"/>
      <c r="L73" s="300"/>
    </row>
    <row r="74" spans="1:21" ht="13.15">
      <c r="A74" s="131">
        <v>1</v>
      </c>
      <c r="B74" s="119">
        <f t="shared" ref="B74:F87" si="11">(B56+FV_adjustments)/Common_Shares*scaling_factor*Exchange_Rate</f>
        <v>53.852391810057725</v>
      </c>
      <c r="C74" s="119">
        <f t="shared" si="11"/>
        <v>56.427745676396064</v>
      </c>
      <c r="D74" s="119">
        <f t="shared" si="11"/>
        <v>59.64693800931903</v>
      </c>
      <c r="E74" s="119">
        <f t="shared" si="11"/>
        <v>61.900372642365078</v>
      </c>
      <c r="F74" s="119">
        <f t="shared" si="11"/>
        <v>63.509968808826521</v>
      </c>
      <c r="G74" s="300"/>
      <c r="H74" s="300"/>
      <c r="I74" s="300"/>
      <c r="J74" s="300"/>
      <c r="K74" s="300"/>
      <c r="L74" s="300"/>
    </row>
    <row r="75" spans="1:21" ht="13.15">
      <c r="A75" s="131">
        <v>2</v>
      </c>
      <c r="B75" s="119">
        <f t="shared" si="11"/>
        <v>53.852391810057725</v>
      </c>
      <c r="C75" s="119">
        <f t="shared" si="11"/>
        <v>59.001221928928459</v>
      </c>
      <c r="D75" s="119">
        <f t="shared" si="11"/>
        <v>65.803735626137041</v>
      </c>
      <c r="E75" s="119">
        <f t="shared" si="11"/>
        <v>70.807776601881883</v>
      </c>
      <c r="F75" s="119">
        <f t="shared" si="11"/>
        <v>74.504250267430109</v>
      </c>
      <c r="G75" s="300"/>
      <c r="H75" s="300"/>
      <c r="I75" s="300"/>
      <c r="J75" s="300"/>
      <c r="K75" s="300"/>
      <c r="L75" s="300"/>
    </row>
    <row r="76" spans="1:21" ht="13.15">
      <c r="A76" s="131">
        <v>3</v>
      </c>
      <c r="B76" s="119">
        <f t="shared" si="11"/>
        <v>53.852391810057725</v>
      </c>
      <c r="C76" s="119">
        <f t="shared" si="11"/>
        <v>62.945522749592797</v>
      </c>
      <c r="D76" s="119">
        <f t="shared" si="11"/>
        <v>75.804749698985219</v>
      </c>
      <c r="E76" s="119">
        <f t="shared" si="11"/>
        <v>85.849599854407558</v>
      </c>
      <c r="F76" s="119">
        <f t="shared" si="11"/>
        <v>93.575630656369157</v>
      </c>
      <c r="G76" s="300"/>
      <c r="H76" s="300"/>
      <c r="I76" s="300"/>
      <c r="J76" s="300"/>
      <c r="K76" s="300"/>
      <c r="L76" s="300"/>
    </row>
    <row r="77" spans="1:21" ht="13.15">
      <c r="A77" s="131">
        <v>4</v>
      </c>
      <c r="B77" s="119">
        <f t="shared" si="11"/>
        <v>53.852391810057725</v>
      </c>
      <c r="C77" s="119">
        <f t="shared" si="11"/>
        <v>65.490683086588007</v>
      </c>
      <c r="D77" s="119">
        <f t="shared" si="11"/>
        <v>82.878672340472008</v>
      </c>
      <c r="E77" s="119">
        <f t="shared" si="11"/>
        <v>97.142704419263097</v>
      </c>
      <c r="F77" s="119">
        <f t="shared" si="11"/>
        <v>108.48628997721316</v>
      </c>
      <c r="G77" s="300"/>
      <c r="H77" s="300"/>
      <c r="I77" s="300"/>
      <c r="J77" s="300"/>
      <c r="K77" s="300"/>
      <c r="L77" s="300"/>
    </row>
    <row r="78" spans="1:21" ht="13.15">
      <c r="A78" s="131">
        <v>5</v>
      </c>
      <c r="B78" s="119">
        <f t="shared" si="11"/>
        <v>53.066554724472049</v>
      </c>
      <c r="C78" s="119">
        <f t="shared" si="11"/>
        <v>68.586396485946423</v>
      </c>
      <c r="D78" s="119">
        <f t="shared" si="11"/>
        <v>93.552597964171952</v>
      </c>
      <c r="E78" s="119">
        <f t="shared" si="11"/>
        <v>115.39697650247535</v>
      </c>
      <c r="F78" s="119">
        <f t="shared" si="11"/>
        <v>133.54007596622887</v>
      </c>
      <c r="G78" s="300"/>
      <c r="H78" s="300"/>
      <c r="I78" s="300"/>
      <c r="J78" s="300"/>
      <c r="K78" s="300"/>
      <c r="L78" s="300"/>
    </row>
    <row r="79" spans="1:21" ht="13.15">
      <c r="A79" s="131">
        <v>6</v>
      </c>
      <c r="B79" s="119">
        <f t="shared" si="11"/>
        <v>53.066554724472049</v>
      </c>
      <c r="C79" s="119">
        <f t="shared" si="11"/>
        <v>71.103552466942617</v>
      </c>
      <c r="D79" s="119">
        <f t="shared" si="11"/>
        <v>101.68026183297418</v>
      </c>
      <c r="E79" s="119">
        <f t="shared" si="11"/>
        <v>129.71475206226708</v>
      </c>
      <c r="F79" s="119">
        <f t="shared" si="11"/>
        <v>153.7622034621817</v>
      </c>
      <c r="G79" s="300"/>
      <c r="H79" s="300"/>
      <c r="I79" s="300"/>
      <c r="J79" s="300"/>
      <c r="K79" s="300"/>
      <c r="L79" s="300"/>
    </row>
    <row r="80" spans="1:21" ht="13.15">
      <c r="A80" s="131">
        <f t="shared" ref="A80" si="12">A62</f>
        <v>7</v>
      </c>
      <c r="B80" s="119">
        <f t="shared" si="11"/>
        <v>52.333839493156731</v>
      </c>
      <c r="C80" s="119">
        <f t="shared" si="11"/>
        <v>74.238516701128702</v>
      </c>
      <c r="D80" s="119">
        <f t="shared" si="11"/>
        <v>114.23872906081769</v>
      </c>
      <c r="E80" s="119">
        <f t="shared" si="11"/>
        <v>153.35973599315594</v>
      </c>
      <c r="F80" s="119">
        <f t="shared" si="11"/>
        <v>188.41997109952419</v>
      </c>
      <c r="G80" s="300"/>
      <c r="H80" s="300"/>
      <c r="I80" s="300"/>
      <c r="J80" s="300"/>
      <c r="K80" s="300"/>
      <c r="L80" s="300"/>
    </row>
    <row r="81" spans="1:12" ht="13.15">
      <c r="A81" s="131">
        <v>8</v>
      </c>
      <c r="B81" s="119">
        <f t="shared" si="11"/>
        <v>52.333839493156724</v>
      </c>
      <c r="C81" s="119">
        <f t="shared" si="11"/>
        <v>76.727976457579743</v>
      </c>
      <c r="D81" s="119">
        <f t="shared" si="11"/>
        <v>123.57710089666644</v>
      </c>
      <c r="E81" s="119">
        <f t="shared" si="11"/>
        <v>171.5122905722157</v>
      </c>
      <c r="F81" s="119">
        <f t="shared" si="11"/>
        <v>215.84561551022531</v>
      </c>
      <c r="G81" s="300"/>
      <c r="H81" s="300"/>
      <c r="I81" s="300"/>
      <c r="J81" s="300"/>
      <c r="K81" s="300"/>
      <c r="L81" s="300"/>
    </row>
    <row r="82" spans="1:12" ht="13.15">
      <c r="A82" s="131">
        <f t="shared" ref="A82" si="13">A64</f>
        <v>9</v>
      </c>
      <c r="B82" s="119">
        <f t="shared" si="11"/>
        <v>51.650655128293963</v>
      </c>
      <c r="C82" s="119">
        <f t="shared" si="11"/>
        <v>79.902272328063958</v>
      </c>
      <c r="D82" s="119">
        <f t="shared" si="11"/>
        <v>138.33035618916907</v>
      </c>
      <c r="E82" s="119">
        <f t="shared" si="11"/>
        <v>202.07481584158089</v>
      </c>
      <c r="F82" s="119">
        <f t="shared" si="11"/>
        <v>263.67259176381941</v>
      </c>
      <c r="G82" s="300"/>
      <c r="H82" s="300"/>
      <c r="I82" s="300"/>
      <c r="J82" s="300"/>
      <c r="K82" s="300"/>
      <c r="L82" s="300"/>
    </row>
    <row r="83" spans="1:12" ht="13.15">
      <c r="A83" s="131">
        <f t="shared" ref="A83:A87" si="14">A65</f>
        <v>10</v>
      </c>
      <c r="B83" s="119">
        <f t="shared" si="11"/>
        <v>51.650655128293963</v>
      </c>
      <c r="C83" s="119">
        <f t="shared" si="11"/>
        <v>82.364340601058501</v>
      </c>
      <c r="D83" s="119">
        <f t="shared" si="11"/>
        <v>149.05978471281998</v>
      </c>
      <c r="E83" s="119">
        <f t="shared" si="11"/>
        <v>225.08923147965771</v>
      </c>
      <c r="F83" s="119">
        <f t="shared" si="11"/>
        <v>300.86778655688715</v>
      </c>
      <c r="G83" s="300"/>
      <c r="H83" s="300"/>
      <c r="I83" s="300"/>
      <c r="J83" s="300"/>
      <c r="K83" s="300"/>
      <c r="L83" s="300"/>
    </row>
    <row r="84" spans="1:12" ht="13.15">
      <c r="A84" s="131">
        <f t="shared" si="14"/>
        <v>15</v>
      </c>
      <c r="B84" s="119">
        <f t="shared" si="11"/>
        <v>49.865921217934549</v>
      </c>
      <c r="C84" s="119">
        <f t="shared" si="11"/>
        <v>96.967230790756588</v>
      </c>
      <c r="D84" s="119">
        <f t="shared" si="11"/>
        <v>236.86699525283336</v>
      </c>
      <c r="E84" s="119">
        <f t="shared" si="11"/>
        <v>446.78652354104918</v>
      </c>
      <c r="F84" s="119">
        <f t="shared" si="11"/>
        <v>700.37128588445944</v>
      </c>
      <c r="G84" s="300"/>
      <c r="H84" s="300"/>
      <c r="I84" s="300"/>
      <c r="J84" s="300"/>
      <c r="K84" s="300"/>
      <c r="L84" s="300"/>
    </row>
    <row r="85" spans="1:12" ht="13.15">
      <c r="A85" s="132">
        <f t="shared" si="14"/>
        <v>20</v>
      </c>
      <c r="B85" s="119">
        <f t="shared" si="11"/>
        <v>48.86811557979118</v>
      </c>
      <c r="C85" s="119">
        <f t="shared" si="11"/>
        <v>110.73871341726334</v>
      </c>
      <c r="D85" s="119">
        <f t="shared" si="11"/>
        <v>353.45681625082693</v>
      </c>
      <c r="E85" s="119">
        <f t="shared" si="11"/>
        <v>820.03071994895663</v>
      </c>
      <c r="F85" s="119">
        <f t="shared" si="11"/>
        <v>1493.0422208209213</v>
      </c>
      <c r="G85" s="300"/>
      <c r="H85" s="300"/>
      <c r="I85" s="300"/>
      <c r="J85" s="300"/>
      <c r="K85" s="300"/>
      <c r="L85" s="300"/>
    </row>
    <row r="86" spans="1:12" ht="13.15">
      <c r="A86" s="132">
        <f t="shared" si="14"/>
        <v>25</v>
      </c>
      <c r="B86" s="119">
        <f t="shared" si="11"/>
        <v>47.610386879854239</v>
      </c>
      <c r="C86" s="119">
        <f t="shared" si="11"/>
        <v>125.67765003848901</v>
      </c>
      <c r="D86" s="119">
        <f t="shared" si="11"/>
        <v>539.66891001314207</v>
      </c>
      <c r="E86" s="119">
        <f t="shared" si="11"/>
        <v>1577.0252379896076</v>
      </c>
      <c r="F86" s="119">
        <f t="shared" si="11"/>
        <v>3387.0184003792306</v>
      </c>
      <c r="G86" s="300"/>
      <c r="H86" s="300"/>
      <c r="I86" s="300"/>
      <c r="J86" s="300"/>
      <c r="K86" s="300"/>
      <c r="L86" s="300"/>
    </row>
    <row r="87" spans="1:12" ht="13.15">
      <c r="A87" s="132">
        <f t="shared" si="14"/>
        <v>30</v>
      </c>
      <c r="B87" s="119">
        <f t="shared" si="11"/>
        <v>46.907218311829979</v>
      </c>
      <c r="C87" s="119">
        <f t="shared" si="11"/>
        <v>139.46908134531947</v>
      </c>
      <c r="D87" s="119">
        <f t="shared" si="11"/>
        <v>781.89946377543481</v>
      </c>
      <c r="E87" s="119">
        <f t="shared" si="11"/>
        <v>2829.6163536479216</v>
      </c>
      <c r="F87" s="119">
        <f t="shared" si="11"/>
        <v>7089.2313678656255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300.86778655688715</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225.08923147965771</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149.05978471281998</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82.364340601058501</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51.650655128293963</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225.08923147965771</v>
      </c>
      <c r="F22" s="332">
        <f>1-F23-F24</f>
        <v>0.2</v>
      </c>
      <c r="G22" s="332">
        <f>F22*(1-F$29-F$30)</f>
        <v>0.18</v>
      </c>
    </row>
    <row r="23" spans="2:7">
      <c r="B23" s="306" t="s">
        <v>440</v>
      </c>
      <c r="C23" s="328">
        <v>0.18</v>
      </c>
      <c r="D23" s="329">
        <f>C18</f>
        <v>10</v>
      </c>
      <c r="E23" s="330">
        <f>DCF!E92</f>
        <v>149.05978471281998</v>
      </c>
      <c r="F23" s="331">
        <v>0.6</v>
      </c>
      <c r="G23" s="332">
        <f t="shared" ref="G23:G24" si="0">F23*(1-F$29-F$30)</f>
        <v>0.53999999999999992</v>
      </c>
    </row>
    <row r="24" spans="2:7">
      <c r="B24" s="306" t="s">
        <v>449</v>
      </c>
      <c r="C24" s="328">
        <v>0.08</v>
      </c>
      <c r="D24" s="329">
        <f>C18</f>
        <v>10</v>
      </c>
      <c r="E24" s="330">
        <f>DCF!E93</f>
        <v>82.364340601058501</v>
      </c>
      <c r="F24" s="331">
        <v>0.2</v>
      </c>
      <c r="G24" s="332">
        <f t="shared" si="0"/>
        <v>0.18</v>
      </c>
    </row>
    <row r="25" spans="2:7">
      <c r="B25" s="141" t="s">
        <v>454</v>
      </c>
      <c r="C25" s="446">
        <f>E23*F23+E24*F24+E22*F22</f>
        <v>150.92658524383523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300.86778655688715</v>
      </c>
      <c r="F29" s="331">
        <v>0.05</v>
      </c>
      <c r="G29" s="332">
        <f>F29</f>
        <v>0.05</v>
      </c>
    </row>
    <row r="30" spans="2:7">
      <c r="B30" s="319" t="s">
        <v>450</v>
      </c>
      <c r="C30" s="328">
        <v>0</v>
      </c>
      <c r="D30" s="329">
        <f>C18</f>
        <v>10</v>
      </c>
      <c r="E30" s="330">
        <f>DCF!E94</f>
        <v>51.650655128293963</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101.8</v>
      </c>
      <c r="D34" t="str">
        <f>Market_currency</f>
        <v>HKD</v>
      </c>
      <c r="E34" s="97" t="s">
        <v>457</v>
      </c>
      <c r="F34" s="334">
        <f>RATE(Holding_Period,$C$33,-C34,$C$36)</f>
        <v>0.14660983515935919</v>
      </c>
    </row>
    <row r="35" spans="2:7">
      <c r="B35" s="97" t="s">
        <v>437</v>
      </c>
      <c r="C35" s="324">
        <f>DCF!C11</f>
        <v>42.227422509497188</v>
      </c>
      <c r="D35" s="97" t="str">
        <f>Market_currency</f>
        <v>HKD</v>
      </c>
      <c r="E35" s="97" t="s">
        <v>457</v>
      </c>
      <c r="F35" s="334">
        <f>RATE(Holding_Period,$C$33,-C35,$C$36)</f>
        <v>0.53744668396371309</v>
      </c>
    </row>
    <row r="36" spans="2:7">
      <c r="B36" s="97" t="s">
        <v>438</v>
      </c>
      <c r="C36" s="325">
        <f>E22*G22+E23*G23+E24*G24+E30*G30+E29*G29</f>
        <v>153.45984880371074</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153.53883363661359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70.718824333507271</v>
      </c>
      <c r="E62" s="336">
        <f>C62+D62</f>
        <v>70.718824333507271</v>
      </c>
      <c r="F62" s="305">
        <f>Thesis!E22</f>
        <v>0.29465259038036606</v>
      </c>
      <c r="G62" s="445">
        <f>(1-E62/C36)</f>
        <v>0.53917050691244228</v>
      </c>
    </row>
    <row r="63" spans="2:7" ht="13.15">
      <c r="B63" s="306" t="s">
        <v>313</v>
      </c>
      <c r="C63" s="119">
        <f>PV(F63, Holding_Period, -C58, 0)</f>
        <v>0</v>
      </c>
      <c r="D63" s="119">
        <f>C36/(1+F63)^Holding_Period</f>
        <v>88.641067901060396</v>
      </c>
      <c r="E63" s="336">
        <f>C63+D63</f>
        <v>88.641067901060396</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109.99394154053989</v>
      </c>
      <c r="E66" s="336">
        <f>C66+D66</f>
        <v>109.99394154053989</v>
      </c>
      <c r="F66" s="305">
        <f>Thesis!E24</f>
        <v>0.1174</v>
      </c>
      <c r="G66" s="445">
        <f>(1-E66/C36)</f>
        <v>0.28323960698519746</v>
      </c>
    </row>
    <row r="67" spans="2:7" ht="13.15">
      <c r="B67" s="306" t="s">
        <v>314</v>
      </c>
      <c r="C67" s="119">
        <f>PV(F67, Holding_Period, -C58, 0)</f>
        <v>0</v>
      </c>
      <c r="D67" s="119">
        <f>C36/(1+F67)^Holding_Period</f>
        <v>124.39498251862229</v>
      </c>
      <c r="E67" s="336">
        <f>C67+D67</f>
        <v>124.39498251862229</v>
      </c>
      <c r="F67" s="305">
        <f>Thesis!E25</f>
        <v>7.2499999999999995E-2</v>
      </c>
      <c r="G67" s="445">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101.8</v>
      </c>
    </row>
    <row r="9" spans="1:10">
      <c r="B9" s="355" t="s">
        <v>361</v>
      </c>
      <c r="C9" s="357">
        <f>Common_Shares</f>
        <v>9264431217</v>
      </c>
    </row>
    <row r="10" spans="1:10">
      <c r="B10" s="355" t="s">
        <v>367</v>
      </c>
      <c r="C10" s="361">
        <f>投资主题!C8*Common_Shares/1000000</f>
        <v>943119.09789059998</v>
      </c>
      <c r="D10" s="347" t="s">
        <v>531</v>
      </c>
      <c r="E10" s="364">
        <f>Scenarios!F34</f>
        <v>0.14660983515935919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1.1024826515674591</v>
      </c>
    </row>
    <row r="17" spans="1:6">
      <c r="B17" s="347" t="s">
        <v>537</v>
      </c>
      <c r="C17" s="429">
        <f>Terminal_Growth</f>
        <v>0</v>
      </c>
      <c r="D17" s="355" t="s">
        <v>339</v>
      </c>
      <c r="E17" s="348" t="str">
        <f>Reporting_currency</f>
        <v>CNY</v>
      </c>
    </row>
    <row r="18" spans="1:6">
      <c r="B18" s="347" t="str">
        <f>"预期股权价值 ("&amp;C7&amp;") :"</f>
        <v>预期股权价值 (HKD) :</v>
      </c>
      <c r="C18" s="363">
        <f>C125</f>
        <v>153.45984880371074</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70.718824333507271</v>
      </c>
      <c r="D22" s="369" t="s">
        <v>443</v>
      </c>
      <c r="E22" s="370">
        <f>Thesis!E22</f>
        <v>0.29465259038036606</v>
      </c>
    </row>
    <row r="23" spans="1:6">
      <c r="B23" s="347" t="s">
        <v>341</v>
      </c>
      <c r="C23" s="371">
        <f>E141</f>
        <v>88.641067901060396</v>
      </c>
      <c r="D23" s="369" t="s">
        <v>444</v>
      </c>
      <c r="E23" s="372">
        <f>Thesis!E23</f>
        <v>0.20075184365903009</v>
      </c>
    </row>
    <row r="24" spans="1:6">
      <c r="B24" s="347" t="s">
        <v>343</v>
      </c>
      <c r="C24" s="371">
        <f>E144</f>
        <v>109.99394154053989</v>
      </c>
      <c r="D24" s="369" t="s">
        <v>446</v>
      </c>
      <c r="E24" s="372">
        <f>Thesis!E24</f>
        <v>0.1174</v>
      </c>
    </row>
    <row r="25" spans="1:6">
      <c r="B25" s="347" t="s">
        <v>342</v>
      </c>
      <c r="C25" s="371">
        <f>E145</f>
        <v>124.39498251862229</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2.369888023979656E-2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-6.0663952282199016</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8.1248824550845775</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6.8924386148905912</v>
      </c>
      <c r="D90" s="347" t="str">
        <f>Market_currency</f>
        <v>HKD</v>
      </c>
    </row>
    <row r="92" spans="1:6">
      <c r="B92" s="376" t="s">
        <v>483</v>
      </c>
      <c r="C92" s="391">
        <f>DCF!F8</f>
        <v>8.9509258417552697</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3.5136858858294961</v>
      </c>
      <c r="D111" s="347" t="str">
        <f>Market_currency</f>
        <v>HKD</v>
      </c>
    </row>
    <row r="112" spans="1:6">
      <c r="A112" s="389"/>
      <c r="B112" s="376" t="s">
        <v>377</v>
      </c>
      <c r="C112" s="398">
        <f>DCF!C11</f>
        <v>42.227422509497188</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300.87 HKD</v>
      </c>
      <c r="F118" s="403">
        <f>DCF!F90</f>
        <v>0.05</v>
      </c>
    </row>
    <row r="119" spans="1:6">
      <c r="A119" s="389"/>
      <c r="B119" s="404" t="str">
        <f>DCF!B91</f>
        <v>Optimistic</v>
      </c>
      <c r="C119" s="405">
        <f>DCF!C91</f>
        <v>0.25</v>
      </c>
      <c r="D119" s="406">
        <f>DCF!D91</f>
        <v>10</v>
      </c>
      <c r="E119" s="402" t="str">
        <f>ROUND(DCF!E91,2)&amp;" "&amp;Market_currency</f>
        <v>225.09 HKD</v>
      </c>
      <c r="F119" s="407">
        <f>DCF!F91</f>
        <v>0.18</v>
      </c>
    </row>
    <row r="120" spans="1:6">
      <c r="B120" s="404" t="str">
        <f>DCF!B92</f>
        <v>Base</v>
      </c>
      <c r="C120" s="405">
        <f>DCF!C92</f>
        <v>0.18</v>
      </c>
      <c r="D120" s="406">
        <f>DCF!D92</f>
        <v>10</v>
      </c>
      <c r="E120" s="402" t="str">
        <f>ROUND(DCF!E92,2)&amp;" "&amp;Market_currency</f>
        <v>149.06 HKD</v>
      </c>
      <c r="F120" s="407">
        <f>DCF!F92</f>
        <v>0.53999999999999992</v>
      </c>
    </row>
    <row r="121" spans="1:6">
      <c r="B121" s="404" t="str">
        <f>DCF!B93</f>
        <v>Pessimistic</v>
      </c>
      <c r="C121" s="405">
        <f>DCF!C93</f>
        <v>0.08</v>
      </c>
      <c r="D121" s="406">
        <f>DCF!D93</f>
        <v>10</v>
      </c>
      <c r="E121" s="402" t="str">
        <f>ROUND(DCF!E93,2)&amp;" "&amp;Market_currency</f>
        <v>82.36 HKD</v>
      </c>
      <c r="F121" s="407">
        <f>DCF!F93</f>
        <v>0.18</v>
      </c>
    </row>
    <row r="122" spans="1:6">
      <c r="B122" s="404" t="str">
        <f>DCF!B94</f>
        <v>Devil's advocate</v>
      </c>
      <c r="C122" s="405">
        <f>DCF!C94</f>
        <v>0</v>
      </c>
      <c r="D122" s="406">
        <f>DCF!D94</f>
        <v>10</v>
      </c>
      <c r="E122" s="402" t="str">
        <f>ROUND(DCF!E94,2)&amp;" "&amp;Market_currency</f>
        <v>51.65 HKD</v>
      </c>
      <c r="F122" s="407">
        <f>DCF!F94</f>
        <v>0.05</v>
      </c>
    </row>
    <row r="124" spans="1:6">
      <c r="B124" s="466" t="s">
        <v>521</v>
      </c>
      <c r="C124" s="466"/>
      <c r="D124" s="466"/>
      <c r="E124" s="466"/>
      <c r="F124" s="466"/>
    </row>
    <row r="125" spans="1:6">
      <c r="B125" s="376" t="s">
        <v>218</v>
      </c>
      <c r="C125" s="408">
        <f>Scenarios!C36</f>
        <v>153.45984880371074</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70.718824333507271</v>
      </c>
      <c r="E140" s="414">
        <f>Scenarios!E62</f>
        <v>70.718824333507271</v>
      </c>
      <c r="F140" s="415">
        <f>E22</f>
        <v>0.29465259038036606</v>
      </c>
    </row>
    <row r="141" spans="1:6">
      <c r="B141" s="412" t="s">
        <v>313</v>
      </c>
      <c r="C141" s="413">
        <f>Scenarios!C63</f>
        <v>0</v>
      </c>
      <c r="D141" s="413">
        <f>Scenarios!D63</f>
        <v>88.641067901060396</v>
      </c>
      <c r="E141" s="414">
        <f>Scenarios!E63</f>
        <v>88.641067901060396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109.99394154053989</v>
      </c>
      <c r="E144" s="414">
        <f>Scenarios!E66</f>
        <v>109.99394154053989</v>
      </c>
      <c r="F144" s="415">
        <f>E24</f>
        <v>0.1174</v>
      </c>
    </row>
    <row r="145" spans="1:6">
      <c r="B145" s="412" t="s">
        <v>314</v>
      </c>
      <c r="C145" s="413">
        <f>Scenarios!C67</f>
        <v>0</v>
      </c>
      <c r="D145" s="413">
        <f>Scenarios!D67</f>
        <v>124.39498251862229</v>
      </c>
      <c r="E145" s="414">
        <f>Scenarios!E67</f>
        <v>124.39498251862229</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