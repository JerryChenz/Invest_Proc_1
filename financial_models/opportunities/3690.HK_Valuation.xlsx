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9E9BDC-CB37-4F60-8A1A-30B42D750D75}"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<sst xmlns="http://schemas.openxmlformats.org/spreadsheetml/2006/main" count="768" uniqueCount="559">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</sst>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25" sqref="D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84.85</v>
      </c>
      <c r="E8" s="32"/>
    </row>
    <row r="9" spans="1:9">
      <c r="B9" s="4" t="s">
        <v>346</v>
      </c>
      <c r="C9" s="48">
        <v>9264431217</v>
      </c>
    </row>
    <row r="10" spans="1:9">
      <c r="B10" s="4" t="s">
        <v>352</v>
      </c>
      <c r="C10" s="33">
        <f>Thesis!C8*Common_Shares/1000000</f>
        <v>786086.98876244994</v>
      </c>
      <c r="D10" s="1" t="s">
        <v>527</v>
      </c>
      <c r="E10" s="303">
        <f>Scenarios!F34</f>
        <v>0.15220350461898119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558</v>
      </c>
      <c r="D15" s="4" t="s">
        <v>353</v>
      </c>
      <c r="E15" s="253" t="str">
        <f>IF(E17=C7,C7,E17&amp;"/"&amp;C7)</f>
        <v>CNY/HKD</v>
      </c>
    </row>
    <row r="16" spans="1:9">
      <c r="B16" s="1" t="s">
        <v>320</v>
      </c>
      <c r="C16" s="417" t="s">
        <v>545</v>
      </c>
      <c r="D16" s="4" t="s">
        <v>354</v>
      </c>
      <c r="E16" s="416">
        <v>1.1324833301067352</v>
      </c>
    </row>
    <row r="17" spans="1:6">
      <c r="B17" s="1" t="s">
        <v>531</v>
      </c>
      <c r="C17" s="456">
        <v>0.02</v>
      </c>
      <c r="D17" s="4" t="s">
        <v>274</v>
      </c>
      <c r="E17" s="224" t="s">
        <v>556</v>
      </c>
    </row>
    <row r="18" spans="1:6">
      <c r="B18" s="1" t="str">
        <f>"Expected Equity Value ("&amp;C7&amp;") :"</f>
        <v>Expected Equity Value (HKD) :</v>
      </c>
      <c r="C18" s="252">
        <f>C125</f>
        <v>129.78945902899005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59.810810612437827</v>
      </c>
      <c r="D22" s="38" t="s">
        <v>406</v>
      </c>
      <c r="E22" s="79">
        <v>0.29465259038036606</v>
      </c>
    </row>
    <row r="23" spans="1:6">
      <c r="B23" s="1" t="s">
        <v>313</v>
      </c>
      <c r="C23" s="256">
        <f>E141</f>
        <v>74.968640594362512</v>
      </c>
      <c r="D23" s="38" t="s">
        <v>407</v>
      </c>
      <c r="E23" s="443">
        <v>0.20075184365903009</v>
      </c>
    </row>
    <row r="24" spans="1:6">
      <c r="B24" s="1" t="s">
        <v>315</v>
      </c>
      <c r="C24" s="256">
        <f>E144</f>
        <v>93.027943662797526</v>
      </c>
      <c r="D24" s="38" t="s">
        <v>408</v>
      </c>
      <c r="E24" s="443">
        <v>0.1174</v>
      </c>
    </row>
    <row r="25" spans="1:6">
      <c r="B25" s="1" t="s">
        <v>314</v>
      </c>
      <c r="C25" s="256">
        <f>E145</f>
        <v>105.20769838411479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1.4630748794299549E-2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v>
      </c>
      <c r="D66" s="89">
        <f>Normalized_FCF!G119</f>
        <v>0.18051269149145724</v>
      </c>
    </row>
    <row r="67" spans="1:6">
      <c r="B67" s="229" t="str">
        <f>Normalized_FCF!B116</f>
        <v>Pre-tax Profit/Sales</v>
      </c>
      <c r="C67" s="263">
        <f>Normalized_FCF!E116</f>
        <v>0.10918374574607279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-6.2314735384094266</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8.0708617233722766</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7.0799951582457537</v>
      </c>
      <c r="D90" s="1" t="str">
        <f>Market_currency</f>
        <v>HKD</v>
      </c>
    </row>
    <row r="91" spans="1:6">
      <c r="A91" s="191"/>
    </row>
    <row r="92" spans="1:6">
      <c r="A92" s="191"/>
      <c r="B92" s="44" t="s">
        <v>469</v>
      </c>
      <c r="C92" s="216">
        <f>DCF!F8</f>
        <v>8.9193833432086027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3.6093000531806934</v>
      </c>
      <c r="D111" s="1" t="str">
        <f>Market_currency</f>
        <v>HKD</v>
      </c>
    </row>
    <row r="112" spans="2:6">
      <c r="B112" s="44" t="s">
        <v>323</v>
      </c>
      <c r="C112" s="216">
        <f>DCF!C11</f>
        <v>29.179341997612493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(20yrs)</v>
      </c>
      <c r="C118" s="206">
        <f>DCF!C90</f>
        <v>0.25</v>
      </c>
      <c r="D118" s="207" t="str">
        <f>ROUND(DCF!E90,2)&amp;" "&amp;Market_currency</f>
        <v>438.67 HKD</v>
      </c>
      <c r="E118" s="208">
        <f>DCF!F90</f>
        <v>0.05</v>
      </c>
      <c r="F118" s="208">
        <f>RATE(Holding_Period,Scenarios!C$58,-DCF!E90,C$18)</f>
        <v>-0.33365119507028212</v>
      </c>
    </row>
    <row r="119" spans="2:6">
      <c r="B119" s="205" t="str">
        <f>DCF!B91&amp;" ("&amp;DCF!D91&amp;"yrs)"</f>
        <v>Optimistic (20yrs)</v>
      </c>
      <c r="C119" s="198">
        <f>DCF!C91</f>
        <v>0.2</v>
      </c>
      <c r="D119" s="207" t="str">
        <f>ROUND(DCF!E91,2)&amp;" "&amp;Market_currency</f>
        <v>257.89 HKD</v>
      </c>
      <c r="E119" s="199">
        <f>DCF!F91</f>
        <v>0.18</v>
      </c>
      <c r="F119" s="208">
        <f>RATE(Holding_Period,Scenarios!C$58,-DCF!E91,C$18)</f>
        <v>-0.2045664777060639</v>
      </c>
    </row>
    <row r="120" spans="2:6">
      <c r="B120" s="205" t="str">
        <f>DCF!B92&amp;" ("&amp;DCF!D92&amp;"yrs)"</f>
        <v>Base (20yrs)</v>
      </c>
      <c r="C120" s="198">
        <f>DCF!C92</f>
        <v>0.1</v>
      </c>
      <c r="D120" s="207" t="str">
        <f>ROUND(DCF!E92,2)&amp;" "&amp;Market_currency</f>
        <v>91.48 HKD</v>
      </c>
      <c r="E120" s="199">
        <f>DCF!F92</f>
        <v>0.53999999999999992</v>
      </c>
      <c r="F120" s="208">
        <f>RATE(Holding_Period,Scenarios!C$58,-DCF!E92,C$18)</f>
        <v>0.12365028999849122</v>
      </c>
    </row>
    <row r="121" spans="2:6">
      <c r="B121" s="205" t="str">
        <f>DCF!B93&amp;" ("&amp;DCF!D93&amp;"yrs)"</f>
        <v>Pessimistic (20yrs)</v>
      </c>
      <c r="C121" s="198">
        <f>DCF!C93</f>
        <v>0.05</v>
      </c>
      <c r="D121" s="207" t="str">
        <f>ROUND(DCF!E93,2)&amp;" "&amp;Market_currency</f>
        <v>56.63 HKD</v>
      </c>
      <c r="E121" s="199">
        <f>DCF!F93</f>
        <v>0.18</v>
      </c>
      <c r="F121" s="208">
        <f>RATE(Holding_Period,Scenarios!C$58,-DCF!E93,C$18)</f>
        <v>0.31844077642713858</v>
      </c>
    </row>
    <row r="122" spans="2:6">
      <c r="B122" s="205" t="str">
        <f>DCF!B94&amp;" ("&amp;DCF!D94&amp;"yrs)"</f>
        <v>Devil's advocate (20yrs)</v>
      </c>
      <c r="C122" s="198">
        <f>DCF!C94</f>
        <v>0</v>
      </c>
      <c r="D122" s="207" t="str">
        <f>ROUND(DCF!E94,2)&amp;" "&amp;Market_currency</f>
        <v>36.83 HKD</v>
      </c>
      <c r="E122" s="199">
        <f>DCF!F94</f>
        <v>0.05</v>
      </c>
      <c r="F122" s="208">
        <f>RATE(Holding_Period,Scenarios!C$58,-DCF!E94,C$18)</f>
        <v>0.52174652376041453</v>
      </c>
    </row>
    <row r="124" spans="2:6">
      <c r="B124" s="461" t="s">
        <v>357</v>
      </c>
      <c r="C124" s="461"/>
      <c r="D124" s="461"/>
      <c r="E124" s="461"/>
      <c r="F124" s="461"/>
    </row>
    <row r="125" spans="2:6">
      <c r="B125" s="193" t="s">
        <v>218</v>
      </c>
      <c r="C125" s="197">
        <f>Scenarios!C36</f>
        <v>129.78945902899005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59.810810612437827</v>
      </c>
      <c r="E140" s="334">
        <f>Scenarios!E62</f>
        <v>59.810810612437827</v>
      </c>
      <c r="F140" s="335">
        <f>E22</f>
        <v>0.29465259038036606</v>
      </c>
    </row>
    <row r="141" spans="1:6">
      <c r="B141" s="336" t="s">
        <v>313</v>
      </c>
      <c r="C141" s="333">
        <f>Scenarios!C63</f>
        <v>0</v>
      </c>
      <c r="D141" s="333">
        <f>Scenarios!D63</f>
        <v>74.968640594362512</v>
      </c>
      <c r="E141" s="334">
        <f>Scenarios!E63</f>
        <v>74.968640594362512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93.027943662797526</v>
      </c>
      <c r="E144" s="334">
        <f>Scenarios!E66</f>
        <v>93.027943662797526</v>
      </c>
      <c r="F144" s="335">
        <f>E24</f>
        <v>0.1174</v>
      </c>
    </row>
    <row r="145" spans="1:6">
      <c r="B145" s="336" t="s">
        <v>314</v>
      </c>
      <c r="C145" s="333">
        <f>Scenarios!C67</f>
        <v>0</v>
      </c>
      <c r="D145" s="333">
        <f>Scenarios!D67</f>
        <v>105.20769838411479</v>
      </c>
      <c r="E145" s="334">
        <f>Scenarios!E67</f>
        <v>105.20769838411479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2" activePane="bottomRight" state="frozen"/>
      <selection pane="topRight" activeCell="C1" sqref="C1"/>
      <selection pane="bottomLeft" activeCell="A2" sqref="A2"/>
      <selection pane="bottomRight" activeCell="C68" sqref="C68:H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22.535652164860892</v>
      </c>
      <c r="D47" s="134">
        <f>D46*H1/Common_Shares*Exchange_Rate</f>
        <v>3.6093000531806934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-57731057.97714974</v>
      </c>
      <c r="D86" s="201">
        <f>C86*scaling_factor/Common_Shares</f>
        <v>-6.2314735384094266</v>
      </c>
      <c r="E86" s="214" t="str">
        <f>Market_currency</f>
        <v>HKD</v>
      </c>
    </row>
    <row r="87" spans="2:8" ht="15" customHeight="1">
      <c r="B87" s="212" t="s">
        <v>240</v>
      </c>
      <c r="C87" s="73">
        <f>DCF!F5*Exchange_Rate</f>
        <v>74771943.298100531</v>
      </c>
      <c r="D87" s="201">
        <f>C87*scaling_factor/Common_Shares</f>
        <v>8.0708617233722748</v>
      </c>
      <c r="E87" s="214" t="str">
        <f>Market_currency</f>
        <v>HKD</v>
      </c>
    </row>
    <row r="88" spans="2:8" ht="15" customHeight="1">
      <c r="B88" s="213" t="s">
        <v>159</v>
      </c>
      <c r="C88" s="73">
        <f>DCF!F6*Exchange_Rate</f>
        <v>65592128.160260819</v>
      </c>
      <c r="D88" s="201">
        <f>C88*scaling_factor/Common_Shares</f>
        <v>7.0799951582457537</v>
      </c>
      <c r="E88" s="214" t="str">
        <f>Market_currency</f>
        <v>HKD</v>
      </c>
    </row>
    <row r="89" spans="2:8" ht="15" customHeight="1">
      <c r="B89" s="77" t="s">
        <v>244</v>
      </c>
      <c r="C89" s="162">
        <f>SUM(C86:C88)</f>
        <v>82633013.481211603</v>
      </c>
      <c r="D89" s="216">
        <f>SUM(D86:D88)</f>
        <v>8.9193833432086009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10yrs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0.10918374574607279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1.2414190351963168</v>
      </c>
      <c r="D123" s="26"/>
      <c r="E123" s="234"/>
      <c r="F123" s="26"/>
      <c r="G123" s="159">
        <f t="shared" ref="G123:Q123" si="48">IF(G$4="","",G14*$C$3/Common_Shares*Exchange_Rate)</f>
        <v>3.8004145784668308</v>
      </c>
      <c r="H123" s="159">
        <f t="shared" si="48"/>
        <v>0.8285640204900051</v>
      </c>
      <c r="I123" s="159">
        <f t="shared" si="48"/>
        <v>-1.1940146815850297</v>
      </c>
      <c r="J123" s="159">
        <f t="shared" si="48"/>
        <v>-2.976954461805549</v>
      </c>
      <c r="K123" s="159">
        <f t="shared" si="48"/>
        <v>-0.37273579743081259</v>
      </c>
      <c r="L123" s="159">
        <f t="shared" si="48"/>
        <v>2.3284259947108085E-2</v>
      </c>
      <c r="M123" s="159">
        <f t="shared" si="48"/>
        <v>-1.6552183421624194</v>
      </c>
      <c r="N123" s="159">
        <f t="shared" si="48"/>
        <v>-0.55660612866267634</v>
      </c>
      <c r="O123" s="159">
        <f t="shared" si="48"/>
        <v>-0.83115190444259912</v>
      </c>
      <c r="P123" s="159">
        <f t="shared" si="48"/>
        <v>-1.04023833397452</v>
      </c>
      <c r="Q123" s="159" t="str">
        <f t="shared" si="48"/>
        <v/>
      </c>
    </row>
    <row r="124" spans="1:17" ht="15.75" customHeight="1">
      <c r="A124" s="10"/>
      <c r="B124" s="26" t="s">
        <v>226</v>
      </c>
      <c r="C124" s="74">
        <f>C19*Exchange_Rate*$C$3/(Market_Price*Common_Shares)</f>
        <v>1.4630748794299549E-2</v>
      </c>
      <c r="D124" s="26"/>
      <c r="E124" s="234"/>
      <c r="F124" s="26"/>
      <c r="G124" s="74">
        <f t="shared" ref="G124" si="49">IF(G$4="","",G123/Market_Price)</f>
        <v>4.4789800571206025E-2</v>
      </c>
      <c r="H124" s="74">
        <f t="shared" ref="H124" si="50">IF(H$4="","",H123/Market_Price)</f>
        <v>9.7650444371243979E-3</v>
      </c>
      <c r="I124" s="74">
        <f t="shared" ref="I124" si="51">IF(I$4="","",I123/Market_Price)</f>
        <v>-1.4072064603241364E-2</v>
      </c>
      <c r="J124" s="74">
        <f t="shared" ref="J124" si="52">IF(J$4="","",J123/Market_Price)</f>
        <v>-3.5084908212204467E-2</v>
      </c>
      <c r="K124" s="74">
        <f t="shared" ref="K124" si="53">IF(K$4="","",K123/Market_Price)</f>
        <v>-4.3928791683065715E-3</v>
      </c>
      <c r="L124" s="74">
        <f t="shared" ref="L124" si="54">IF(L$4="","",L123/Market_Price)</f>
        <v>2.7441673479208117E-4</v>
      </c>
      <c r="M124" s="74">
        <f t="shared" ref="M124" si="55">IF(M$4="","",M123/Market_Price)</f>
        <v>-1.950758211151938E-2</v>
      </c>
      <c r="N124" s="74">
        <f t="shared" ref="N124" si="56">IF(N$4="","",N123/Market_Price)</f>
        <v>-6.5598836613161623E-3</v>
      </c>
      <c r="O124" s="74">
        <f t="shared" ref="O124" si="57">IF(O$4="","",O123/Market_Price)</f>
        <v>-9.7955439533600371E-3</v>
      </c>
      <c r="P124" s="74">
        <f t="shared" ref="P124" si="58">IF(P$4="","",P123/Market_Price)</f>
        <v>-1.2259732869469889E-2</v>
      </c>
      <c r="Q124" s="74" t="str">
        <f t="shared" ref="Q124" si="59">IF(Q$4="","",Q123/Market_Price)</f>
        <v/>
      </c>
    </row>
    <row r="125" spans="1:17" ht="15.75" customHeight="1">
      <c r="B125" s="2" t="s">
        <v>306</v>
      </c>
      <c r="C125" s="151"/>
      <c r="G125" s="22">
        <f>IF(G$4="","",(Data!C47*$C$3)/(Market_Price*Common_Shares))</f>
        <v>4.5551166107420056E-2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J28" sqref="J28:J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8.249999999999999E-2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165739299.13414136</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238705506.48080802</v>
      </c>
      <c r="D8" t="str">
        <f>Reporting_currency</f>
        <v>CNY</v>
      </c>
      <c r="E8" s="140" t="s">
        <v>464</v>
      </c>
      <c r="F8" s="108">
        <f>FV_adjustments*scaling_factor/Common_Shares*Exchange_Rate</f>
        <v>8.9193833432086027</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1.1324833301067352</v>
      </c>
      <c r="D9" t="str">
        <f>Thesis!E15</f>
        <v>CNY/HKD</v>
      </c>
      <c r="F9" s="322"/>
      <c r="H9" s="308" t="str">
        <f>Normalized_FCF!B79</f>
        <v>NCI’s Share of Profits</v>
      </c>
      <c r="I9" s="144">
        <f>Normalized_FCF!C79</f>
        <v>0</v>
      </c>
      <c r="J9" s="306"/>
      <c r="N9" s="304"/>
      <c r="O9" s="304"/>
    </row>
    <row r="10" spans="2:15" ht="13.5" thickTop="1">
      <c r="B10" s="107" t="s">
        <v>427</v>
      </c>
      <c r="C10" s="283">
        <f>C8*Exchange_Rate</f>
        <v>270330006.89420033</v>
      </c>
      <c r="D10" t="str">
        <f>Market_currency</f>
        <v>HKD</v>
      </c>
      <c r="H10" s="308" t="s">
        <v>397</v>
      </c>
      <c r="I10" s="306">
        <f>Normalized_FCF!C41</f>
        <v>0.25</v>
      </c>
      <c r="N10" s="304"/>
      <c r="O10" s="304"/>
    </row>
    <row r="11" spans="2:15" ht="13.15">
      <c r="B11" s="136" t="s">
        <v>425</v>
      </c>
      <c r="C11" s="108">
        <f>(C10*scaling_factor)/Common_Shares</f>
        <v>29.179341997612493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20</v>
      </c>
      <c r="E15" s="308" t="str">
        <f>IF(F14="II","Change year","Terminal Year")</f>
        <v>Change year</v>
      </c>
      <c r="F15" s="310">
        <f>IF(F14="II",_xlfn.CEILING.MATH(C15/2),C15+1)</f>
        <v>10</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0.10918374574607279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220.03155996229572</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0.92378752886836024</v>
      </c>
      <c r="L21" s="277">
        <f t="shared" ref="L21:L51" si="4">H21*K21</f>
        <v>11117209.475272691</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0.85338339849271161</v>
      </c>
      <c r="L22" s="277">
        <f t="shared" si="4"/>
        <v>12169878.270852786</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0.78834494087086515</v>
      </c>
      <c r="L23" s="277">
        <f t="shared" si="4"/>
        <v>13322222.40273492</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0.72826322482297023</v>
      </c>
      <c r="L24" s="277">
        <f t="shared" si="4"/>
        <v>14583679.951261787</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0.6727604848249148</v>
      </c>
      <c r="L25" s="277">
        <f t="shared" si="4"/>
        <v>15964582.671820063</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0.62148774579668808</v>
      </c>
      <c r="L26" s="277">
        <f t="shared" si="4"/>
        <v>17476240.615341134</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0.57412262891149013</v>
      </c>
      <c r="L27" s="277">
        <f t="shared" si="4"/>
        <v>19131034.761366505</v>
      </c>
    </row>
    <row r="28" spans="1:21">
      <c r="A28" s="302" t="str">
        <f t="shared" si="0"/>
        <v>I</v>
      </c>
      <c r="B28" s="117">
        <v>8</v>
      </c>
      <c r="C28" s="277">
        <f t="shared" si="5"/>
        <v>1312618146.1129112</v>
      </c>
      <c r="D28" s="299">
        <f t="shared" si="1"/>
        <v>0.185</v>
      </c>
      <c r="E28" s="299">
        <f t="shared" si="6"/>
        <v>4.0109983114389222E-2</v>
      </c>
      <c r="F28" s="277">
        <f t="shared" si="7"/>
        <v>52649091.676229753</v>
      </c>
      <c r="G28" s="299">
        <f t="shared" si="2"/>
        <v>0</v>
      </c>
      <c r="H28" s="277">
        <f t="shared" si="8"/>
        <v>39486818.757172316</v>
      </c>
      <c r="I28" s="299">
        <f t="shared" si="9"/>
        <v>0.18500000000000005</v>
      </c>
      <c r="J28" s="299">
        <f t="shared" si="10"/>
        <v>3.0082487335791917E-2</v>
      </c>
      <c r="K28" s="119">
        <f t="shared" si="3"/>
        <v>0.53036732462955216</v>
      </c>
      <c r="L28" s="277">
        <f t="shared" si="4"/>
        <v>20942518.4223735</v>
      </c>
    </row>
    <row r="29" spans="1:21">
      <c r="A29" s="302" t="str">
        <f t="shared" si="0"/>
        <v>I</v>
      </c>
      <c r="B29" s="117">
        <v>9</v>
      </c>
      <c r="C29" s="277">
        <f t="shared" si="5"/>
        <v>1555452503.1437998</v>
      </c>
      <c r="D29" s="299">
        <f t="shared" si="1"/>
        <v>0.185</v>
      </c>
      <c r="E29" s="299">
        <f t="shared" si="6"/>
        <v>4.0109983114389222E-2</v>
      </c>
      <c r="F29" s="277">
        <f t="shared" si="7"/>
        <v>62389173.636332259</v>
      </c>
      <c r="G29" s="299">
        <f t="shared" si="2"/>
        <v>0</v>
      </c>
      <c r="H29" s="277">
        <f t="shared" si="8"/>
        <v>46791880.22724919</v>
      </c>
      <c r="I29" s="299">
        <f t="shared" si="9"/>
        <v>0.18499999999999983</v>
      </c>
      <c r="J29" s="299">
        <f t="shared" si="10"/>
        <v>3.0082487335791913E-2</v>
      </c>
      <c r="K29" s="119">
        <f t="shared" si="3"/>
        <v>0.48994672021205737</v>
      </c>
      <c r="L29" s="277">
        <f t="shared" si="4"/>
        <v>22925528.249896158</v>
      </c>
    </row>
    <row r="30" spans="1:21">
      <c r="A30" s="302" t="str">
        <f t="shared" si="0"/>
        <v>II</v>
      </c>
      <c r="B30" s="117">
        <v>10</v>
      </c>
      <c r="C30" s="277">
        <f t="shared" si="5"/>
        <v>1699331859.6846013</v>
      </c>
      <c r="D30" s="299">
        <f t="shared" si="1"/>
        <v>9.2499999999999999E-2</v>
      </c>
      <c r="E30" s="299">
        <f t="shared" si="6"/>
        <v>0.10918374574607279</v>
      </c>
      <c r="F30" s="277">
        <f t="shared" si="7"/>
        <v>185539417.70600453</v>
      </c>
      <c r="G30" s="299">
        <f t="shared" si="2"/>
        <v>0</v>
      </c>
      <c r="H30" s="277">
        <f t="shared" si="8"/>
        <v>139154563.27950341</v>
      </c>
      <c r="I30" s="299">
        <f t="shared" si="9"/>
        <v>1.9739040748883379</v>
      </c>
      <c r="J30" s="299">
        <f t="shared" si="10"/>
        <v>8.1887809309554582E-2</v>
      </c>
      <c r="K30" s="119">
        <f t="shared" si="3"/>
        <v>0.45260666994185439</v>
      </c>
      <c r="L30" s="277">
        <f t="shared" si="4"/>
        <v>62982283.493149087</v>
      </c>
    </row>
    <row r="31" spans="1:21">
      <c r="A31" s="302" t="str">
        <f t="shared" si="0"/>
        <v>II</v>
      </c>
      <c r="B31" s="117">
        <v>11</v>
      </c>
      <c r="C31" s="277">
        <f t="shared" si="5"/>
        <v>1856520056.7054269</v>
      </c>
      <c r="D31" s="299">
        <f t="shared" si="1"/>
        <v>9.2499999999999999E-2</v>
      </c>
      <c r="E31" s="299">
        <f t="shared" si="6"/>
        <v>0.10918374574607279</v>
      </c>
      <c r="F31" s="277">
        <f t="shared" si="7"/>
        <v>202701813.84380996</v>
      </c>
      <c r="G31" s="299">
        <f t="shared" si="2"/>
        <v>0</v>
      </c>
      <c r="H31" s="277">
        <f t="shared" si="8"/>
        <v>152026360.38285747</v>
      </c>
      <c r="I31" s="299">
        <f t="shared" si="9"/>
        <v>9.2500000000000027E-2</v>
      </c>
      <c r="J31" s="299">
        <f t="shared" si="10"/>
        <v>8.1887809309554582E-2</v>
      </c>
      <c r="K31" s="119">
        <f t="shared" si="3"/>
        <v>0.41811239717492327</v>
      </c>
      <c r="L31" s="277">
        <f t="shared" si="4"/>
        <v>63564105.973455325</v>
      </c>
    </row>
    <row r="32" spans="1:21">
      <c r="A32" s="302" t="str">
        <f t="shared" si="0"/>
        <v>II</v>
      </c>
      <c r="B32" s="117">
        <v>12</v>
      </c>
      <c r="C32" s="277">
        <f t="shared" si="5"/>
        <v>2028248161.9506791</v>
      </c>
      <c r="D32" s="299">
        <f t="shared" si="1"/>
        <v>9.2499999999999999E-2</v>
      </c>
      <c r="E32" s="299">
        <f t="shared" si="6"/>
        <v>0.10918374574607279</v>
      </c>
      <c r="F32" s="277">
        <f t="shared" si="7"/>
        <v>221451731.62436241</v>
      </c>
      <c r="G32" s="299">
        <f t="shared" si="2"/>
        <v>0</v>
      </c>
      <c r="H32" s="277">
        <f t="shared" si="8"/>
        <v>166088798.71827179</v>
      </c>
      <c r="I32" s="299">
        <f t="shared" si="9"/>
        <v>9.2500000000000027E-2</v>
      </c>
      <c r="J32" s="299">
        <f t="shared" si="10"/>
        <v>8.1887809309554582E-2</v>
      </c>
      <c r="K32" s="119">
        <f t="shared" si="3"/>
        <v>0.38624701817544876</v>
      </c>
      <c r="L32" s="277">
        <f t="shared" si="4"/>
        <v>64151303.257274777</v>
      </c>
    </row>
    <row r="33" spans="1:21">
      <c r="A33" s="302" t="str">
        <f t="shared" si="0"/>
        <v>II</v>
      </c>
      <c r="B33" s="117">
        <v>13</v>
      </c>
      <c r="C33" s="277">
        <f t="shared" si="5"/>
        <v>2215861116.9311171</v>
      </c>
      <c r="D33" s="299">
        <f t="shared" si="1"/>
        <v>9.2499999999999999E-2</v>
      </c>
      <c r="E33" s="299">
        <f t="shared" si="6"/>
        <v>0.10918374574607279</v>
      </c>
      <c r="F33" s="277">
        <f t="shared" si="7"/>
        <v>241936016.79961595</v>
      </c>
      <c r="G33" s="299">
        <f t="shared" si="2"/>
        <v>0</v>
      </c>
      <c r="H33" s="277">
        <f t="shared" si="8"/>
        <v>181452012.59971195</v>
      </c>
      <c r="I33" s="299">
        <f t="shared" si="9"/>
        <v>9.2500000000000027E-2</v>
      </c>
      <c r="J33" s="299">
        <f t="shared" si="10"/>
        <v>8.1887809309554582E-2</v>
      </c>
      <c r="K33" s="119">
        <f t="shared" si="3"/>
        <v>0.35681017845307039</v>
      </c>
      <c r="L33" s="277">
        <f t="shared" si="4"/>
        <v>64743924.996371999</v>
      </c>
      <c r="N33" s="275"/>
      <c r="O33" s="275"/>
      <c r="P33" s="275"/>
      <c r="Q33" s="275"/>
      <c r="R33" s="275"/>
      <c r="S33" s="275"/>
      <c r="T33" s="275"/>
      <c r="U33" s="275"/>
    </row>
    <row r="34" spans="1:21">
      <c r="A34" s="302" t="str">
        <f t="shared" si="0"/>
        <v>II</v>
      </c>
      <c r="B34" s="117">
        <v>14</v>
      </c>
      <c r="C34" s="277">
        <f t="shared" si="5"/>
        <v>2420828270.2472453</v>
      </c>
      <c r="D34" s="299">
        <f t="shared" si="1"/>
        <v>9.2499999999999999E-2</v>
      </c>
      <c r="E34" s="299">
        <f t="shared" si="6"/>
        <v>0.10918374574607279</v>
      </c>
      <c r="F34" s="277">
        <f t="shared" si="7"/>
        <v>264315098.35358042</v>
      </c>
      <c r="G34" s="299">
        <f t="shared" si="2"/>
        <v>0</v>
      </c>
      <c r="H34" s="277">
        <f t="shared" si="8"/>
        <v>198236323.7651853</v>
      </c>
      <c r="I34" s="299">
        <f t="shared" si="9"/>
        <v>9.2500000000000027E-2</v>
      </c>
      <c r="J34" s="299">
        <f t="shared" si="10"/>
        <v>8.1887809309554582E-2</v>
      </c>
      <c r="K34" s="119">
        <f t="shared" si="3"/>
        <v>0.32961679302824065</v>
      </c>
      <c r="L34" s="277">
        <f t="shared" si="4"/>
        <v>65342021.301188387</v>
      </c>
      <c r="N34" s="275"/>
      <c r="O34" s="275"/>
      <c r="P34" s="275"/>
      <c r="Q34" s="275"/>
      <c r="R34" s="275"/>
      <c r="S34" s="275"/>
      <c r="T34" s="275"/>
      <c r="U34" s="275"/>
    </row>
    <row r="35" spans="1:21">
      <c r="A35" s="302" t="str">
        <f t="shared" si="0"/>
        <v>II</v>
      </c>
      <c r="B35" s="117">
        <v>15</v>
      </c>
      <c r="C35" s="277">
        <f t="shared" si="5"/>
        <v>2644754885.2451158</v>
      </c>
      <c r="D35" s="299">
        <f t="shared" si="1"/>
        <v>9.2499999999999999E-2</v>
      </c>
      <c r="E35" s="299">
        <f t="shared" si="6"/>
        <v>0.10918374574607279</v>
      </c>
      <c r="F35" s="277">
        <f t="shared" si="7"/>
        <v>288764244.95128661</v>
      </c>
      <c r="G35" s="299">
        <f t="shared" si="2"/>
        <v>0</v>
      </c>
      <c r="H35" s="277">
        <f t="shared" si="8"/>
        <v>216573183.71346498</v>
      </c>
      <c r="I35" s="299">
        <f t="shared" si="9"/>
        <v>9.2500000000000249E-2</v>
      </c>
      <c r="J35" s="299">
        <f t="shared" si="10"/>
        <v>8.1887809309554596E-2</v>
      </c>
      <c r="K35" s="119">
        <f t="shared" si="3"/>
        <v>0.30449588270507216</v>
      </c>
      <c r="L35" s="277">
        <f t="shared" si="4"/>
        <v>65945642.745079279</v>
      </c>
      <c r="N35" s="275"/>
      <c r="O35" s="275"/>
      <c r="P35" s="275"/>
      <c r="Q35" s="275"/>
      <c r="R35" s="275"/>
      <c r="S35" s="275"/>
      <c r="T35" s="275"/>
      <c r="U35" s="275"/>
    </row>
    <row r="36" spans="1:21">
      <c r="A36" s="302" t="str">
        <f t="shared" si="0"/>
        <v>II</v>
      </c>
      <c r="B36" s="117">
        <v>16</v>
      </c>
      <c r="C36" s="277">
        <f t="shared" si="5"/>
        <v>2889394712.1302891</v>
      </c>
      <c r="D36" s="299">
        <f t="shared" si="1"/>
        <v>9.2499999999999999E-2</v>
      </c>
      <c r="E36" s="299">
        <f t="shared" si="6"/>
        <v>0.10918374574607279</v>
      </c>
      <c r="F36" s="277">
        <f t="shared" si="7"/>
        <v>315474937.60928065</v>
      </c>
      <c r="G36" s="299">
        <f t="shared" si="2"/>
        <v>0</v>
      </c>
      <c r="H36" s="277">
        <f t="shared" si="8"/>
        <v>236606203.2069605</v>
      </c>
      <c r="I36" s="299">
        <f t="shared" si="9"/>
        <v>9.2500000000000027E-2</v>
      </c>
      <c r="J36" s="299">
        <f t="shared" si="10"/>
        <v>8.1887809309554596E-2</v>
      </c>
      <c r="K36" s="119">
        <f t="shared" si="3"/>
        <v>0.28128949903470873</v>
      </c>
      <c r="L36" s="277">
        <f t="shared" si="4"/>
        <v>66554840.368590415</v>
      </c>
    </row>
    <row r="37" spans="1:21">
      <c r="A37" s="302" t="str">
        <f t="shared" si="0"/>
        <v>II</v>
      </c>
      <c r="B37" s="117">
        <v>17</v>
      </c>
      <c r="C37" s="277">
        <f t="shared" si="5"/>
        <v>3156663723.0023408</v>
      </c>
      <c r="D37" s="299">
        <f t="shared" si="1"/>
        <v>9.2499999999999999E-2</v>
      </c>
      <c r="E37" s="299">
        <f t="shared" si="6"/>
        <v>0.10918374574607279</v>
      </c>
      <c r="F37" s="277">
        <f t="shared" si="7"/>
        <v>344656369.33813912</v>
      </c>
      <c r="G37" s="299">
        <f t="shared" si="2"/>
        <v>0</v>
      </c>
      <c r="H37" s="277">
        <f t="shared" si="8"/>
        <v>258492277.00360435</v>
      </c>
      <c r="I37" s="299">
        <f t="shared" si="9"/>
        <v>9.2500000000000027E-2</v>
      </c>
      <c r="J37" s="299">
        <f t="shared" si="10"/>
        <v>8.1887809309554596E-2</v>
      </c>
      <c r="K37" s="119">
        <f t="shared" si="3"/>
        <v>0.25985173120989258</v>
      </c>
      <c r="L37" s="277">
        <f t="shared" si="4"/>
        <v>67169665.683773696</v>
      </c>
    </row>
    <row r="38" spans="1:21">
      <c r="A38" s="302" t="str">
        <f t="shared" si="0"/>
        <v>II</v>
      </c>
      <c r="B38" s="117">
        <v>18</v>
      </c>
      <c r="C38" s="277">
        <f t="shared" si="5"/>
        <v>3448655117.3800573</v>
      </c>
      <c r="D38" s="299">
        <f t="shared" si="1"/>
        <v>9.2499999999999999E-2</v>
      </c>
      <c r="E38" s="299">
        <f t="shared" si="6"/>
        <v>0.10918374574607279</v>
      </c>
      <c r="F38" s="277">
        <f t="shared" si="7"/>
        <v>376537083.501917</v>
      </c>
      <c r="G38" s="299">
        <f t="shared" si="2"/>
        <v>0</v>
      </c>
      <c r="H38" s="277">
        <f t="shared" si="8"/>
        <v>282402812.62643778</v>
      </c>
      <c r="I38" s="299">
        <f t="shared" si="9"/>
        <v>9.2500000000000027E-2</v>
      </c>
      <c r="J38" s="299">
        <f t="shared" si="10"/>
        <v>8.188780930955461E-2</v>
      </c>
      <c r="K38" s="119">
        <f t="shared" si="3"/>
        <v>0.24004778864655205</v>
      </c>
      <c r="L38" s="277">
        <f t="shared" si="4"/>
        <v>67790170.678542972</v>
      </c>
    </row>
    <row r="39" spans="1:21">
      <c r="A39" s="302" t="str">
        <f t="shared" si="0"/>
        <v>II</v>
      </c>
      <c r="B39" s="117">
        <v>19</v>
      </c>
      <c r="C39" s="277">
        <f t="shared" si="5"/>
        <v>3767655715.7377129</v>
      </c>
      <c r="D39" s="299">
        <f t="shared" si="1"/>
        <v>9.2499999999999999E-2</v>
      </c>
      <c r="E39" s="299">
        <f t="shared" si="6"/>
        <v>0.10918374574607279</v>
      </c>
      <c r="F39" s="277">
        <f t="shared" si="7"/>
        <v>411366763.72584432</v>
      </c>
      <c r="G39" s="299">
        <f t="shared" si="2"/>
        <v>0</v>
      </c>
      <c r="H39" s="277">
        <f t="shared" si="8"/>
        <v>308525072.79438323</v>
      </c>
      <c r="I39" s="299">
        <f t="shared" si="9"/>
        <v>9.2499999999999805E-2</v>
      </c>
      <c r="J39" s="299">
        <f t="shared" si="10"/>
        <v>8.1887809309554582E-2</v>
      </c>
      <c r="K39" s="119">
        <f t="shared" si="3"/>
        <v>0.2217531534841127</v>
      </c>
      <c r="L39" s="277">
        <f t="shared" si="4"/>
        <v>68416407.821069911</v>
      </c>
    </row>
    <row r="40" spans="1:21">
      <c r="A40" s="302" t="str">
        <f t="shared" si="0"/>
        <v>II</v>
      </c>
      <c r="B40" s="117">
        <v>20</v>
      </c>
      <c r="C40" s="277">
        <f t="shared" si="5"/>
        <v>4116163869.4434514</v>
      </c>
      <c r="D40" s="299">
        <f t="shared" si="1"/>
        <v>9.2499999999999999E-2</v>
      </c>
      <c r="E40" s="299">
        <f t="shared" si="6"/>
        <v>0.10918374574607279</v>
      </c>
      <c r="F40" s="277">
        <f t="shared" si="7"/>
        <v>449418189.37048495</v>
      </c>
      <c r="G40" s="299">
        <f t="shared" si="2"/>
        <v>0</v>
      </c>
      <c r="H40" s="277">
        <f t="shared" si="8"/>
        <v>337063642.02786374</v>
      </c>
      <c r="I40" s="299">
        <f t="shared" si="9"/>
        <v>9.2500000000000249E-2</v>
      </c>
      <c r="J40" s="299">
        <f t="shared" si="10"/>
        <v>8.1887809309554596E-2</v>
      </c>
      <c r="K40" s="119">
        <f t="shared" si="3"/>
        <v>0.20485279767585476</v>
      </c>
      <c r="L40" s="277">
        <f t="shared" si="4"/>
        <v>69048430.064220712</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4198487146.8323207</v>
      </c>
      <c r="D51" s="301">
        <f>Terminal_Growth</f>
        <v>0.02</v>
      </c>
      <c r="E51" s="301">
        <f>F17</f>
        <v>0.10918374574607279</v>
      </c>
      <c r="F51" s="277">
        <f>C51*E51</f>
        <v>458406553.15789467</v>
      </c>
      <c r="G51" s="299">
        <f>F18</f>
        <v>0</v>
      </c>
      <c r="H51" s="277">
        <f>(F51*(1-$I$10)+C51*(G51-$I$9))/Equity_Cost</f>
        <v>4167332301.4354067</v>
      </c>
      <c r="I51" s="415">
        <f>(F51*(1-$I$10)+C51*(G51-$I$9))/VLOOKUP(C15,B21:H50,COLUMN(H20)-1,FALSE)-1</f>
        <v>2.0000000000000018E-2</v>
      </c>
      <c r="J51" s="454"/>
      <c r="K51" s="119">
        <f>1/(1+Equity_Cost)^C15</f>
        <v>0.20485279767585476</v>
      </c>
      <c r="L51" s="277">
        <f t="shared" si="4"/>
        <v>853689680.79400158</v>
      </c>
    </row>
    <row r="52" spans="1:21" ht="13.15">
      <c r="G52" s="111"/>
      <c r="H52" s="111"/>
      <c r="I52" s="111"/>
      <c r="J52" s="468" t="s">
        <v>420</v>
      </c>
      <c r="K52" s="468"/>
      <c r="L52" s="317">
        <f>SUM(L21:L51)</f>
        <v>1727031371.9976377</v>
      </c>
    </row>
    <row r="53" spans="1:21">
      <c r="C53" s="111"/>
    </row>
    <row r="54" spans="1:21" ht="13.15">
      <c r="B54" s="115" t="s">
        <v>108</v>
      </c>
      <c r="C54" s="128"/>
      <c r="D54" s="128"/>
      <c r="E54" s="113"/>
      <c r="F54" s="113"/>
      <c r="G54" s="113"/>
      <c r="H54" s="113"/>
      <c r="I54" s="113"/>
      <c r="J54" s="113"/>
      <c r="K54" s="113"/>
      <c r="L54" s="113"/>
    </row>
    <row r="55" spans="1:21" ht="13.15">
      <c r="A55" s="125">
        <f>L52</f>
        <v>1727031371.9976377</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325121296.91426343</v>
      </c>
      <c r="C56" s="118">
        <v>333249329.33711988</v>
      </c>
      <c r="D56" s="118">
        <v>341377361.75997651</v>
      </c>
      <c r="E56" s="118">
        <v>357633426.6056897</v>
      </c>
      <c r="F56" s="118">
        <v>365761459.02854633</v>
      </c>
      <c r="G56" s="295"/>
      <c r="H56" s="295"/>
      <c r="I56" s="295"/>
      <c r="J56" s="295"/>
      <c r="K56" s="295"/>
      <c r="L56" s="295"/>
    </row>
    <row r="57" spans="1:21" ht="13.15">
      <c r="A57" s="131">
        <v>2</v>
      </c>
      <c r="B57" s="118">
        <v>324649467.46976262</v>
      </c>
      <c r="C57" s="118">
        <v>340844442.96902364</v>
      </c>
      <c r="D57" s="118">
        <v>357433503.28840756</v>
      </c>
      <c r="E57" s="118">
        <v>391793878.38754362</v>
      </c>
      <c r="F57" s="118">
        <v>409565193.16729587</v>
      </c>
      <c r="G57" s="295"/>
      <c r="H57" s="295"/>
      <c r="I57" s="295"/>
      <c r="J57" s="295"/>
      <c r="K57" s="295"/>
      <c r="L57" s="295"/>
    </row>
    <row r="58" spans="1:21" ht="13.15">
      <c r="A58" s="131">
        <v>3</v>
      </c>
      <c r="B58" s="118">
        <v>324213597.31317997</v>
      </c>
      <c r="C58" s="118">
        <v>356524806.88199443</v>
      </c>
      <c r="D58" s="118">
        <v>390769855.9384222</v>
      </c>
      <c r="E58" s="118">
        <v>465279902.89940476</v>
      </c>
      <c r="F58" s="118">
        <v>505654115.99660337</v>
      </c>
      <c r="G58" s="295"/>
      <c r="H58" s="295"/>
      <c r="I58" s="295"/>
      <c r="J58" s="295"/>
      <c r="K58" s="295"/>
      <c r="L58" s="295"/>
    </row>
    <row r="59" spans="1:21" ht="13.15">
      <c r="A59" s="131">
        <v>4</v>
      </c>
      <c r="B59" s="118">
        <v>323810945.898323</v>
      </c>
      <c r="C59" s="118">
        <v>363500568.48621547</v>
      </c>
      <c r="D59" s="118">
        <v>406595717.47938764</v>
      </c>
      <c r="E59" s="118">
        <v>503760493.31445599</v>
      </c>
      <c r="F59" s="118">
        <v>558221680.92691195</v>
      </c>
      <c r="G59" s="295"/>
      <c r="H59" s="295"/>
      <c r="I59" s="295"/>
      <c r="J59" s="295"/>
      <c r="K59" s="295"/>
      <c r="L59" s="295"/>
    </row>
    <row r="60" spans="1:21" ht="13.15">
      <c r="A60" s="131">
        <v>5</v>
      </c>
      <c r="B60" s="118">
        <v>308514124.90347624</v>
      </c>
      <c r="C60" s="118">
        <v>362437848.43944651</v>
      </c>
      <c r="D60" s="118">
        <v>423488630.91730756</v>
      </c>
      <c r="E60" s="118">
        <v>569699127.15840673</v>
      </c>
      <c r="F60" s="118">
        <v>656324798.19469059</v>
      </c>
      <c r="G60" s="295"/>
      <c r="H60" s="295"/>
      <c r="I60" s="295"/>
      <c r="J60" s="295"/>
      <c r="K60" s="295"/>
      <c r="L60" s="295"/>
    </row>
    <row r="61" spans="1:21" ht="13.15">
      <c r="A61" s="131">
        <v>6</v>
      </c>
      <c r="B61" s="118">
        <v>308170508.87065774</v>
      </c>
      <c r="C61" s="118">
        <v>368844763.76912934</v>
      </c>
      <c r="D61" s="118">
        <v>439087515.18662679</v>
      </c>
      <c r="E61" s="118">
        <v>613046207.230618</v>
      </c>
      <c r="F61" s="118">
        <v>719409577.0847559</v>
      </c>
      <c r="G61" s="295"/>
      <c r="H61" s="295"/>
      <c r="I61" s="295"/>
      <c r="J61" s="295"/>
      <c r="K61" s="295"/>
      <c r="L61" s="295"/>
    </row>
    <row r="62" spans="1:21" ht="13.15">
      <c r="A62" s="131">
        <v>7</v>
      </c>
      <c r="B62" s="118">
        <v>294065684.23126817</v>
      </c>
      <c r="C62" s="118">
        <v>367621594.44134903</v>
      </c>
      <c r="D62" s="118">
        <v>456505700.1810149</v>
      </c>
      <c r="E62" s="118">
        <v>690847262.67747784</v>
      </c>
      <c r="F62" s="118">
        <v>842454008.53862143</v>
      </c>
      <c r="G62" s="295"/>
      <c r="H62" s="295"/>
      <c r="I62" s="295"/>
      <c r="J62" s="295"/>
      <c r="K62" s="295"/>
      <c r="L62" s="295"/>
    </row>
    <row r="63" spans="1:21" ht="13.15">
      <c r="A63" s="131">
        <v>8</v>
      </c>
      <c r="B63" s="118">
        <v>293772448.01340491</v>
      </c>
      <c r="C63" s="118">
        <v>373506050.70156354</v>
      </c>
      <c r="D63" s="118">
        <v>471880862.5263803</v>
      </c>
      <c r="E63" s="118">
        <v>739676278.3064003</v>
      </c>
      <c r="F63" s="118">
        <v>918160184.63569725</v>
      </c>
      <c r="G63" s="295"/>
      <c r="H63" s="295"/>
      <c r="I63" s="295"/>
      <c r="J63" s="295"/>
      <c r="K63" s="295"/>
      <c r="L63" s="295"/>
    </row>
    <row r="64" spans="1:21" ht="13.15">
      <c r="A64" s="131">
        <v>9</v>
      </c>
      <c r="B64" s="118">
        <v>280764935.17145026</v>
      </c>
      <c r="C64" s="118">
        <v>372142935.11484182</v>
      </c>
      <c r="D64" s="118">
        <v>489829194.01355875</v>
      </c>
      <c r="E64" s="118">
        <v>831222399.20490384</v>
      </c>
      <c r="F64" s="118">
        <v>1071958174.3018329</v>
      </c>
      <c r="G64" s="295"/>
      <c r="H64" s="295"/>
      <c r="I64" s="295"/>
      <c r="J64" s="295"/>
      <c r="K64" s="295"/>
      <c r="L64" s="295"/>
    </row>
    <row r="65" spans="1:21" ht="13.15">
      <c r="A65" s="131">
        <v>10</v>
      </c>
      <c r="B65" s="118">
        <v>280514692.25128901</v>
      </c>
      <c r="C65" s="118">
        <v>377547536.8141892</v>
      </c>
      <c r="D65" s="118">
        <v>504983843.09389687</v>
      </c>
      <c r="E65" s="118">
        <v>886226629.32415557</v>
      </c>
      <c r="F65" s="118">
        <v>1162810915.6458163</v>
      </c>
      <c r="G65" s="295"/>
      <c r="H65" s="295"/>
      <c r="I65" s="295"/>
      <c r="J65" s="295"/>
      <c r="K65" s="295"/>
      <c r="L65" s="295"/>
    </row>
    <row r="66" spans="1:21" ht="13.15">
      <c r="A66" s="131">
        <v>15</v>
      </c>
      <c r="B66" s="118">
        <v>246846080.5647696</v>
      </c>
      <c r="C66" s="277">
        <v>382319046.17335439</v>
      </c>
      <c r="D66" s="118">
        <v>591720797.91102254</v>
      </c>
      <c r="E66" s="118">
        <v>1398357295.8305826</v>
      </c>
      <c r="F66" s="118">
        <v>2127798316.6343429</v>
      </c>
      <c r="G66" s="295"/>
      <c r="H66" s="295"/>
      <c r="I66" s="295"/>
      <c r="J66" s="295"/>
      <c r="K66" s="295"/>
      <c r="L66" s="295"/>
      <c r="M66" s="275"/>
      <c r="N66" s="275"/>
      <c r="O66" s="275"/>
      <c r="P66" s="275"/>
      <c r="Q66" s="275"/>
      <c r="R66" s="275"/>
      <c r="S66" s="275"/>
      <c r="T66" s="275"/>
      <c r="U66" s="275"/>
    </row>
    <row r="67" spans="1:21" ht="13.15">
      <c r="A67" s="132">
        <v>20</v>
      </c>
      <c r="B67" s="118">
        <v>228333986.11338997</v>
      </c>
      <c r="C67" s="277">
        <v>390314789.68452591</v>
      </c>
      <c r="D67" s="118">
        <v>675432210.82301211</v>
      </c>
      <c r="E67" s="118">
        <v>2036704615.061543</v>
      </c>
      <c r="F67" s="118">
        <v>3515604403.0330386</v>
      </c>
      <c r="G67" s="295"/>
      <c r="H67" s="295"/>
      <c r="I67" s="295"/>
      <c r="J67" s="295"/>
      <c r="K67" s="295"/>
      <c r="L67" s="295"/>
      <c r="M67" s="275"/>
      <c r="N67" s="275"/>
      <c r="O67" s="275"/>
      <c r="P67" s="275"/>
      <c r="Q67" s="275"/>
      <c r="R67" s="275"/>
      <c r="S67" s="275"/>
      <c r="T67" s="275"/>
      <c r="U67" s="275"/>
    </row>
    <row r="68" spans="1:21" ht="13.15">
      <c r="A68" s="132">
        <v>25</v>
      </c>
      <c r="B68" s="118">
        <v>205901598.92651832</v>
      </c>
      <c r="C68" s="277">
        <v>390820551.59649181</v>
      </c>
      <c r="D68" s="118">
        <v>768452733.47411966</v>
      </c>
      <c r="E68" s="118">
        <v>3090537756.1502247</v>
      </c>
      <c r="F68" s="118">
        <v>6191939362.3591433</v>
      </c>
      <c r="G68" s="295"/>
      <c r="H68" s="295"/>
      <c r="I68" s="295"/>
      <c r="J68" s="295"/>
      <c r="K68" s="295"/>
      <c r="L68" s="295"/>
      <c r="M68" s="275"/>
      <c r="N68" s="275"/>
      <c r="O68" s="275"/>
      <c r="P68" s="275"/>
      <c r="Q68" s="275"/>
      <c r="R68" s="275"/>
      <c r="S68" s="275"/>
      <c r="T68" s="275"/>
      <c r="U68" s="275"/>
    </row>
    <row r="69" spans="1:21" ht="13.15">
      <c r="A69" s="132">
        <v>30</v>
      </c>
      <c r="B69" s="118">
        <v>193594407.82566449</v>
      </c>
      <c r="C69" s="277">
        <v>394432575.03761065</v>
      </c>
      <c r="D69" s="118">
        <v>854885052.81203067</v>
      </c>
      <c r="E69" s="118">
        <v>4355896034.4480495</v>
      </c>
      <c r="F69" s="118">
        <v>9907282973.1571465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29.179341997612493</v>
      </c>
      <c r="C73" s="119">
        <f>C11</f>
        <v>29.179341997612493</v>
      </c>
      <c r="D73" s="119">
        <f>C11</f>
        <v>29.179341997612493</v>
      </c>
      <c r="E73" s="119">
        <f>C11</f>
        <v>29.179341997612493</v>
      </c>
      <c r="F73" s="119">
        <f>C11</f>
        <v>29.179341997612493</v>
      </c>
      <c r="G73" s="296"/>
      <c r="H73" s="296"/>
      <c r="I73" s="296"/>
      <c r="J73" s="296"/>
      <c r="K73" s="296"/>
      <c r="L73" s="296"/>
    </row>
    <row r="74" spans="1:21" ht="13.15">
      <c r="A74" s="131">
        <v>1</v>
      </c>
      <c r="B74" s="119">
        <f t="shared" ref="B74:F87" si="11">(B56+FV_adjustments)/Common_Shares*scaling_factor*Exchange_Rate</f>
        <v>48.66218464356885</v>
      </c>
      <c r="C74" s="119">
        <f t="shared" si="11"/>
        <v>49.655754676077841</v>
      </c>
      <c r="D74" s="119">
        <f t="shared" si="11"/>
        <v>50.64932470858686</v>
      </c>
      <c r="E74" s="119">
        <f t="shared" si="11"/>
        <v>52.636464773604871</v>
      </c>
      <c r="F74" s="119">
        <f t="shared" si="11"/>
        <v>53.630034806113876</v>
      </c>
      <c r="G74" s="296"/>
      <c r="H74" s="296"/>
      <c r="I74" s="296"/>
      <c r="J74" s="296"/>
      <c r="K74" s="296"/>
      <c r="L74" s="296"/>
    </row>
    <row r="75" spans="1:21" ht="13.15">
      <c r="A75" s="131">
        <v>2</v>
      </c>
      <c r="B75" s="119">
        <f t="shared" si="11"/>
        <v>48.604508250055325</v>
      </c>
      <c r="C75" s="119">
        <f t="shared" si="11"/>
        <v>50.584180758254824</v>
      </c>
      <c r="D75" s="119">
        <f t="shared" si="11"/>
        <v>52.612026163309373</v>
      </c>
      <c r="E75" s="119">
        <f t="shared" si="11"/>
        <v>56.812235663983579</v>
      </c>
      <c r="F75" s="119">
        <f t="shared" si="11"/>
        <v>58.984599759603263</v>
      </c>
      <c r="G75" s="296"/>
      <c r="H75" s="296"/>
      <c r="I75" s="296"/>
      <c r="J75" s="296"/>
      <c r="K75" s="296"/>
      <c r="L75" s="296"/>
    </row>
    <row r="76" spans="1:21" ht="13.15">
      <c r="A76" s="131">
        <v>3</v>
      </c>
      <c r="B76" s="119">
        <f t="shared" si="11"/>
        <v>48.551227517017445</v>
      </c>
      <c r="C76" s="119">
        <f t="shared" si="11"/>
        <v>52.500947187354285</v>
      </c>
      <c r="D76" s="119">
        <f t="shared" si="11"/>
        <v>56.687059241802686</v>
      </c>
      <c r="E76" s="119">
        <f t="shared" si="11"/>
        <v>65.795161415840639</v>
      </c>
      <c r="F76" s="119">
        <f t="shared" si="11"/>
        <v>70.730501991833435</v>
      </c>
      <c r="G76" s="296"/>
      <c r="H76" s="296"/>
      <c r="I76" s="296"/>
      <c r="J76" s="296"/>
      <c r="K76" s="296"/>
      <c r="L76" s="296"/>
    </row>
    <row r="77" spans="1:21" ht="13.15">
      <c r="A77" s="131">
        <v>4</v>
      </c>
      <c r="B77" s="119">
        <f t="shared" si="11"/>
        <v>48.50200744030807</v>
      </c>
      <c r="C77" s="119">
        <f t="shared" si="11"/>
        <v>53.353663727262607</v>
      </c>
      <c r="D77" s="119">
        <f t="shared" si="11"/>
        <v>58.621611289297334</v>
      </c>
      <c r="E77" s="119">
        <f t="shared" si="11"/>
        <v>70.499025706801632</v>
      </c>
      <c r="F77" s="119">
        <f t="shared" si="11"/>
        <v>77.156356919509761</v>
      </c>
      <c r="G77" s="296"/>
      <c r="H77" s="296"/>
      <c r="I77" s="296"/>
      <c r="J77" s="296"/>
      <c r="K77" s="296"/>
      <c r="L77" s="296"/>
    </row>
    <row r="78" spans="1:21" ht="13.15">
      <c r="A78" s="131">
        <v>5</v>
      </c>
      <c r="B78" s="119">
        <f t="shared" si="11"/>
        <v>46.632125266807478</v>
      </c>
      <c r="C78" s="119">
        <f t="shared" si="11"/>
        <v>53.223756913844028</v>
      </c>
      <c r="D78" s="119">
        <f t="shared" si="11"/>
        <v>60.686599675230347</v>
      </c>
      <c r="E78" s="119">
        <f t="shared" si="11"/>
        <v>78.559359027778768</v>
      </c>
      <c r="F78" s="119">
        <f t="shared" si="11"/>
        <v>89.148474118609855</v>
      </c>
      <c r="G78" s="296"/>
      <c r="H78" s="296"/>
      <c r="I78" s="296"/>
      <c r="J78" s="296"/>
      <c r="K78" s="296"/>
      <c r="L78" s="296"/>
    </row>
    <row r="79" spans="1:21" ht="13.15">
      <c r="A79" s="131">
        <v>6</v>
      </c>
      <c r="B79" s="119">
        <f t="shared" si="11"/>
        <v>46.59012167047117</v>
      </c>
      <c r="C79" s="119">
        <f t="shared" si="11"/>
        <v>54.00693773070379</v>
      </c>
      <c r="D79" s="119">
        <f t="shared" si="11"/>
        <v>62.593406039214415</v>
      </c>
      <c r="E79" s="119">
        <f t="shared" si="11"/>
        <v>83.858102624741576</v>
      </c>
      <c r="F79" s="119">
        <f t="shared" si="11"/>
        <v>96.859952438549584</v>
      </c>
      <c r="G79" s="296"/>
      <c r="H79" s="296"/>
      <c r="I79" s="296"/>
      <c r="J79" s="296"/>
      <c r="K79" s="296"/>
      <c r="L79" s="296"/>
    </row>
    <row r="80" spans="1:21" ht="13.15">
      <c r="A80" s="131">
        <f t="shared" ref="A80" si="12">A62</f>
        <v>7</v>
      </c>
      <c r="B80" s="119">
        <f t="shared" si="11"/>
        <v>44.865949036011258</v>
      </c>
      <c r="C80" s="119">
        <f t="shared" si="11"/>
        <v>53.857417610022523</v>
      </c>
      <c r="D80" s="119">
        <f t="shared" si="11"/>
        <v>64.722603578148423</v>
      </c>
      <c r="E80" s="119">
        <f t="shared" si="11"/>
        <v>93.368497412562107</v>
      </c>
      <c r="F80" s="119">
        <f t="shared" si="11"/>
        <v>111.90089388655426</v>
      </c>
      <c r="G80" s="296"/>
      <c r="H80" s="296"/>
      <c r="I80" s="296"/>
      <c r="J80" s="296"/>
      <c r="K80" s="296"/>
      <c r="L80" s="296"/>
    </row>
    <row r="81" spans="1:12" ht="13.15">
      <c r="A81" s="131">
        <v>8</v>
      </c>
      <c r="B81" s="119">
        <f t="shared" si="11"/>
        <v>44.830103864220874</v>
      </c>
      <c r="C81" s="119">
        <f t="shared" si="11"/>
        <v>54.576733072066951</v>
      </c>
      <c r="D81" s="119">
        <f t="shared" si="11"/>
        <v>66.602062192063158</v>
      </c>
      <c r="E81" s="119">
        <f t="shared" si="11"/>
        <v>99.337352373005373</v>
      </c>
      <c r="F81" s="119">
        <f t="shared" si="11"/>
        <v>121.1552107904069</v>
      </c>
      <c r="G81" s="296"/>
      <c r="H81" s="296"/>
      <c r="I81" s="296"/>
      <c r="J81" s="296"/>
      <c r="K81" s="296"/>
      <c r="L81" s="296"/>
    </row>
    <row r="82" spans="1:12" ht="13.15">
      <c r="A82" s="131">
        <f t="shared" ref="A82" si="13">A64</f>
        <v>9</v>
      </c>
      <c r="B82" s="119">
        <f t="shared" si="11"/>
        <v>43.240066536010985</v>
      </c>
      <c r="C82" s="119">
        <f t="shared" si="11"/>
        <v>54.410105931899039</v>
      </c>
      <c r="D82" s="119">
        <f t="shared" si="11"/>
        <v>68.796064795823796</v>
      </c>
      <c r="E82" s="119">
        <f t="shared" si="11"/>
        <v>110.52794286098386</v>
      </c>
      <c r="F82" s="119">
        <f t="shared" si="11"/>
        <v>139.95546473165501</v>
      </c>
      <c r="G82" s="296"/>
      <c r="H82" s="296"/>
      <c r="I82" s="296"/>
      <c r="J82" s="296"/>
      <c r="K82" s="296"/>
      <c r="L82" s="296"/>
    </row>
    <row r="83" spans="1:12" ht="13.15">
      <c r="A83" s="131">
        <f t="shared" ref="A83:A87" si="14">A65</f>
        <v>10</v>
      </c>
      <c r="B83" s="119">
        <f t="shared" si="11"/>
        <v>43.209476861488952</v>
      </c>
      <c r="C83" s="119">
        <f t="shared" si="11"/>
        <v>55.070764010847945</v>
      </c>
      <c r="D83" s="119">
        <f t="shared" si="11"/>
        <v>70.648567885879416</v>
      </c>
      <c r="E83" s="119">
        <f t="shared" si="11"/>
        <v>117.251655546238</v>
      </c>
      <c r="F83" s="119">
        <f t="shared" si="11"/>
        <v>151.06129655841207</v>
      </c>
      <c r="G83" s="296"/>
      <c r="H83" s="296"/>
      <c r="I83" s="296"/>
      <c r="J83" s="296"/>
      <c r="K83" s="296"/>
      <c r="L83" s="296"/>
    </row>
    <row r="84" spans="1:12" ht="13.15">
      <c r="A84" s="131">
        <f t="shared" si="14"/>
        <v>15</v>
      </c>
      <c r="B84" s="119">
        <f t="shared" si="11"/>
        <v>39.093828464979289</v>
      </c>
      <c r="C84" s="119">
        <f t="shared" si="11"/>
        <v>55.654032932828521</v>
      </c>
      <c r="D84" s="119">
        <f t="shared" si="11"/>
        <v>81.251286297169443</v>
      </c>
      <c r="E84" s="119">
        <f t="shared" si="11"/>
        <v>179.8544672105669</v>
      </c>
      <c r="F84" s="119">
        <f t="shared" si="11"/>
        <v>269.02127918284026</v>
      </c>
      <c r="G84" s="296"/>
      <c r="H84" s="296"/>
      <c r="I84" s="296"/>
      <c r="J84" s="296"/>
      <c r="K84" s="296"/>
      <c r="L84" s="296"/>
    </row>
    <row r="85" spans="1:12" ht="13.15">
      <c r="A85" s="132">
        <f t="shared" si="14"/>
        <v>20</v>
      </c>
      <c r="B85" s="119">
        <f t="shared" si="11"/>
        <v>36.830911521618624</v>
      </c>
      <c r="C85" s="119">
        <f t="shared" si="11"/>
        <v>56.631431979366319</v>
      </c>
      <c r="D85" s="119">
        <f t="shared" si="11"/>
        <v>91.484162708249173</v>
      </c>
      <c r="E85" s="119">
        <f t="shared" si="11"/>
        <v>257.88599239700784</v>
      </c>
      <c r="F85" s="119">
        <f t="shared" si="11"/>
        <v>438.66658405414427</v>
      </c>
      <c r="G85" s="296"/>
      <c r="H85" s="296"/>
      <c r="I85" s="296"/>
      <c r="J85" s="296"/>
      <c r="K85" s="296"/>
      <c r="L85" s="296"/>
    </row>
    <row r="86" spans="1:12" ht="13.15">
      <c r="A86" s="132">
        <f t="shared" si="14"/>
        <v>25</v>
      </c>
      <c r="B86" s="119">
        <f t="shared" si="11"/>
        <v>34.088778308193085</v>
      </c>
      <c r="C86" s="119">
        <f t="shared" si="11"/>
        <v>56.693256274985607</v>
      </c>
      <c r="D86" s="119">
        <f t="shared" si="11"/>
        <v>102.85498394840164</v>
      </c>
      <c r="E86" s="119">
        <f t="shared" si="11"/>
        <v>386.7064711768603</v>
      </c>
      <c r="F86" s="119">
        <f t="shared" si="11"/>
        <v>765.82155517175204</v>
      </c>
      <c r="G86" s="296"/>
      <c r="H86" s="296"/>
      <c r="I86" s="296"/>
      <c r="J86" s="296"/>
      <c r="K86" s="296"/>
      <c r="L86" s="296"/>
    </row>
    <row r="87" spans="1:12" ht="13.15">
      <c r="A87" s="132">
        <f t="shared" si="14"/>
        <v>30</v>
      </c>
      <c r="B87" s="119">
        <f t="shared" si="11"/>
        <v>32.584348253536341</v>
      </c>
      <c r="C87" s="119">
        <f t="shared" si="11"/>
        <v>57.134789731191297</v>
      </c>
      <c r="D87" s="119">
        <f t="shared" si="11"/>
        <v>113.42046374310648</v>
      </c>
      <c r="E87" s="119">
        <f t="shared" si="11"/>
        <v>541.38376579105432</v>
      </c>
      <c r="F87" s="119">
        <f t="shared" si="11"/>
        <v>1219.9848606455441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20</v>
      </c>
      <c r="E90" s="127">
        <f>INDEX(B$73:F$87, MATCH(D90, A$73:A$87, 0), MATCH(C90, B$72:F$72, 0))</f>
        <v>438.66658405414427</v>
      </c>
      <c r="F90" s="130">
        <f>Scenarios!F29</f>
        <v>0.05</v>
      </c>
      <c r="G90" s="297"/>
      <c r="H90" s="297"/>
      <c r="I90" s="297"/>
      <c r="J90" s="297"/>
      <c r="K90" s="297"/>
      <c r="L90" s="297"/>
    </row>
    <row r="91" spans="1:12">
      <c r="B91" s="120" t="str">
        <f>Scenarios!B22</f>
        <v>Optimistic</v>
      </c>
      <c r="C91" s="130">
        <f>Scenarios!C22</f>
        <v>0.2</v>
      </c>
      <c r="D91" s="133">
        <f>Scenarios!D22</f>
        <v>20</v>
      </c>
      <c r="E91" s="127">
        <f>INDEX(B$73:F$87, MATCH(D91, A$73:A$87, 0), MATCH(C91, B$72:F$72, 0))</f>
        <v>257.88599239700784</v>
      </c>
      <c r="F91" s="130">
        <f>Scenarios!F22*(1-F$90-F$94)</f>
        <v>0.18</v>
      </c>
      <c r="G91" s="297"/>
      <c r="H91" s="297"/>
      <c r="I91" s="297"/>
      <c r="J91" s="297"/>
      <c r="K91" s="297"/>
      <c r="L91" s="297"/>
    </row>
    <row r="92" spans="1:12">
      <c r="B92" s="120" t="str">
        <f>Scenarios!B23</f>
        <v>Base</v>
      </c>
      <c r="C92" s="130">
        <f>Scenarios!C23</f>
        <v>0.1</v>
      </c>
      <c r="D92" s="133">
        <f>Scenarios!D23</f>
        <v>20</v>
      </c>
      <c r="E92" s="127">
        <f>INDEX(B$73:F$87, MATCH(D92, A$73:A$87, 0), MATCH(C92, B$72:F$72, 0))</f>
        <v>91.484162708249173</v>
      </c>
      <c r="F92" s="130">
        <f>Scenarios!F23*(1-F$90-F$94)</f>
        <v>0.53999999999999992</v>
      </c>
      <c r="G92" s="297"/>
      <c r="H92" s="297"/>
      <c r="I92" s="297"/>
      <c r="J92" s="297"/>
      <c r="K92" s="297"/>
      <c r="L92" s="297"/>
    </row>
    <row r="93" spans="1:12">
      <c r="B93" s="120" t="str">
        <f>Scenarios!B24</f>
        <v>Pessimistic</v>
      </c>
      <c r="C93" s="130">
        <f>Scenarios!C24</f>
        <v>0.05</v>
      </c>
      <c r="D93" s="133">
        <f>Scenarios!D24</f>
        <v>20</v>
      </c>
      <c r="E93" s="127">
        <f>INDEX(B$73:F$87, MATCH(D93, A$73:A$87, 0), MATCH(C93, B$72:F$72, 0))</f>
        <v>56.631431979366319</v>
      </c>
      <c r="F93" s="130">
        <f>Scenarios!F24*(1-F$90-F$94)</f>
        <v>0.18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36.830911521618624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20</v>
      </c>
      <c r="E22" s="326">
        <f>DCF!E91</f>
        <v>257.88599239700784</v>
      </c>
      <c r="F22" s="328">
        <f>1-F23-F24</f>
        <v>0.2</v>
      </c>
      <c r="G22" s="328">
        <f>F22*(1-F$29-F$30)</f>
        <v>0.18</v>
      </c>
    </row>
    <row r="23" spans="2:7">
      <c r="B23" s="302" t="s">
        <v>437</v>
      </c>
      <c r="C23" s="324">
        <v>0.1</v>
      </c>
      <c r="D23" s="325">
        <f>C18</f>
        <v>20</v>
      </c>
      <c r="E23" s="326">
        <f>DCF!E92</f>
        <v>91.484162708249173</v>
      </c>
      <c r="F23" s="327">
        <v>0.6</v>
      </c>
      <c r="G23" s="328">
        <f t="shared" ref="G23:G24" si="0">F23*(1-F$29-F$30)</f>
        <v>0.53999999999999992</v>
      </c>
    </row>
    <row r="24" spans="2:7">
      <c r="B24" s="302" t="s">
        <v>446</v>
      </c>
      <c r="C24" s="324">
        <v>0.05</v>
      </c>
      <c r="D24" s="325">
        <f>C18</f>
        <v>20</v>
      </c>
      <c r="E24" s="326">
        <f>DCF!E93</f>
        <v>56.631431979366319</v>
      </c>
      <c r="F24" s="327">
        <v>0.2</v>
      </c>
      <c r="G24" s="328">
        <f t="shared" si="0"/>
        <v>0.18</v>
      </c>
    </row>
    <row r="25" spans="2:7">
      <c r="B25" s="141" t="s">
        <v>451</v>
      </c>
      <c r="C25" s="441">
        <f>E23*F23+E24*F24+E22*F22</f>
        <v>117.79398250022435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20</v>
      </c>
      <c r="E29" s="326">
        <f>DCF!E90</f>
        <v>438.66658405414427</v>
      </c>
      <c r="F29" s="327">
        <v>0.05</v>
      </c>
      <c r="G29" s="328">
        <f>F29</f>
        <v>0.05</v>
      </c>
    </row>
    <row r="30" spans="2:7">
      <c r="B30" s="315" t="s">
        <v>447</v>
      </c>
      <c r="C30" s="324">
        <v>0</v>
      </c>
      <c r="D30" s="325">
        <f>C18</f>
        <v>20</v>
      </c>
      <c r="E30" s="326">
        <f>DCF!E94</f>
        <v>36.830911521618624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84.85</v>
      </c>
      <c r="D34" t="str">
        <f>Market_currency</f>
        <v>HKD</v>
      </c>
      <c r="E34" s="97" t="s">
        <v>454</v>
      </c>
      <c r="F34" s="330">
        <f>RATE(Holding_Period,$C$33,-C34,$C$36)</f>
        <v>0.15220350461898119</v>
      </c>
    </row>
    <row r="35" spans="2:7">
      <c r="B35" s="97" t="s">
        <v>434</v>
      </c>
      <c r="C35" s="320">
        <f>DCF!C11</f>
        <v>29.179341997612493</v>
      </c>
      <c r="D35" s="97" t="str">
        <f>Market_currency</f>
        <v>HKD</v>
      </c>
      <c r="E35" s="97" t="s">
        <v>454</v>
      </c>
      <c r="F35" s="330">
        <f>RATE(Holding_Period,$C$33,-C35,$C$36)</f>
        <v>0.64457863015810468</v>
      </c>
    </row>
    <row r="36" spans="2:7">
      <c r="B36" s="97" t="s">
        <v>435</v>
      </c>
      <c r="C36" s="321">
        <f>E22*G22+E23*G23+E24*G24+E30*G30+E29*G29</f>
        <v>129.78945902899005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0.10918374574607279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0.185</v>
      </c>
      <c r="D46" s="138"/>
      <c r="E46" s="221" t="s">
        <v>252</v>
      </c>
    </row>
    <row r="47" spans="2:7">
      <c r="B47" s="97" t="s">
        <v>96</v>
      </c>
      <c r="C47" s="146">
        <f>DCF!I18</f>
        <v>220.03155996229572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6.872193943898286E-2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59.810810612437827</v>
      </c>
      <c r="E62" s="332">
        <f>C62+D62</f>
        <v>59.810810612437827</v>
      </c>
      <c r="F62" s="301">
        <f>Thesis!E22</f>
        <v>0.29465259038036606</v>
      </c>
      <c r="G62" s="440">
        <f>(1-E62/C36)</f>
        <v>0.53917050691244228</v>
      </c>
    </row>
    <row r="63" spans="2:7" ht="13.15">
      <c r="B63" s="302" t="s">
        <v>313</v>
      </c>
      <c r="C63" s="119">
        <f>PV(F63, Holding_Period, -C58, 0)</f>
        <v>0</v>
      </c>
      <c r="D63" s="119">
        <f>C36/(1+F63)^Holding_Period</f>
        <v>74.968640594362512</v>
      </c>
      <c r="E63" s="332">
        <f>C63+D63</f>
        <v>74.968640594362512</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93.027943662797526</v>
      </c>
      <c r="E66" s="332">
        <f>C66+D66</f>
        <v>93.027943662797526</v>
      </c>
      <c r="F66" s="301">
        <f>Thesis!E24</f>
        <v>0.1174</v>
      </c>
      <c r="G66" s="440">
        <f>(1-E66/C36)</f>
        <v>0.28323960698519746</v>
      </c>
    </row>
    <row r="67" spans="2:7" ht="13.15">
      <c r="B67" s="302" t="s">
        <v>314</v>
      </c>
      <c r="C67" s="119">
        <f>PV(F67, Holding_Period, -C58, 0)</f>
        <v>0</v>
      </c>
      <c r="D67" s="119">
        <f>C36/(1+F67)^Holding_Period</f>
        <v>105.20769838411479</v>
      </c>
      <c r="E67" s="332">
        <f>C67+D67</f>
        <v>105.20769838411479</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84.85</v>
      </c>
    </row>
    <row r="9" spans="1:10">
      <c r="B9" s="351" t="s">
        <v>361</v>
      </c>
      <c r="C9" s="353">
        <f>Common_Shares</f>
        <v>9264431217</v>
      </c>
    </row>
    <row r="10" spans="1:10">
      <c r="B10" s="351" t="s">
        <v>367</v>
      </c>
      <c r="C10" s="357">
        <f>投资主题!C8*Common_Shares/1000000</f>
        <v>786086.98876244994</v>
      </c>
      <c r="D10" s="343" t="s">
        <v>528</v>
      </c>
      <c r="E10" s="360">
        <f>Scenarios!F34</f>
        <v>0.15220350461898119</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Y</v>
      </c>
      <c r="D15" s="351" t="s">
        <v>368</v>
      </c>
      <c r="E15" s="344" t="str">
        <f>IF(E17=C7,C7,E17&amp;"/"&amp;C7)</f>
        <v>CNY/HKD</v>
      </c>
    </row>
    <row r="16" spans="1:10">
      <c r="B16" s="343" t="s">
        <v>338</v>
      </c>
      <c r="C16" s="358" t="str">
        <f>Thesis!C16</f>
        <v>N</v>
      </c>
      <c r="D16" s="351" t="s">
        <v>369</v>
      </c>
      <c r="E16" s="425">
        <f>Exchange_Rate</f>
        <v>1.1324833301067352</v>
      </c>
    </row>
    <row r="17" spans="1:6">
      <c r="B17" s="343" t="s">
        <v>534</v>
      </c>
      <c r="C17" s="424">
        <f>Terminal_Growth</f>
        <v>0.02</v>
      </c>
      <c r="D17" s="351" t="s">
        <v>339</v>
      </c>
      <c r="E17" s="344" t="str">
        <f>Reporting_currency</f>
        <v>CNY</v>
      </c>
    </row>
    <row r="18" spans="1:6">
      <c r="B18" s="343" t="str">
        <f>"预期股权价值 ("&amp;C7&amp;") :"</f>
        <v>预期股权价值 (HKD) :</v>
      </c>
      <c r="C18" s="359">
        <f>C125</f>
        <v>129.78945902899005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59.810810612437827</v>
      </c>
      <c r="D22" s="365" t="s">
        <v>440</v>
      </c>
      <c r="E22" s="366">
        <f>Thesis!E22</f>
        <v>0.29465259038036606</v>
      </c>
    </row>
    <row r="23" spans="1:6">
      <c r="B23" s="343" t="s">
        <v>341</v>
      </c>
      <c r="C23" s="367">
        <f>E141</f>
        <v>74.968640594362512</v>
      </c>
      <c r="D23" s="365" t="s">
        <v>441</v>
      </c>
      <c r="E23" s="368">
        <f>Thesis!E23</f>
        <v>0.20075184365903009</v>
      </c>
    </row>
    <row r="24" spans="1:6">
      <c r="B24" s="343" t="s">
        <v>343</v>
      </c>
      <c r="C24" s="367">
        <f>E144</f>
        <v>93.027943662797526</v>
      </c>
      <c r="D24" s="365" t="s">
        <v>443</v>
      </c>
      <c r="E24" s="368">
        <f>Thesis!E24</f>
        <v>0.1174</v>
      </c>
    </row>
    <row r="25" spans="1:6">
      <c r="B25" s="343" t="s">
        <v>342</v>
      </c>
      <c r="C25" s="367">
        <f>E145</f>
        <v>105.20769838411479</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1.4630748794299549E-2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v>
      </c>
      <c r="D66" s="378">
        <f>Normalized_FCF!G119</f>
        <v>0.18051269149145724</v>
      </c>
    </row>
    <row r="67" spans="1:6">
      <c r="B67" s="382" t="str">
        <f>Normalized_FCF!B116</f>
        <v>Pre-tax Profit/Sales</v>
      </c>
      <c r="C67" s="383">
        <f>Normalized_FCF!E116</f>
        <v>0.10918374574607279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-6.2314735384094266</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8.0708617233722766</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7.0799951582457537</v>
      </c>
      <c r="D90" s="343" t="str">
        <f>Market_currency</f>
        <v>HKD</v>
      </c>
    </row>
    <row r="92" spans="1:6">
      <c r="B92" s="372" t="s">
        <v>480</v>
      </c>
      <c r="C92" s="387">
        <f>DCF!F8</f>
        <v>8.9193833432086027</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3.6093000531806934</v>
      </c>
      <c r="D111" s="343" t="str">
        <f>Market_currency</f>
        <v>HKD</v>
      </c>
    </row>
    <row r="112" spans="1:6">
      <c r="A112" s="385"/>
      <c r="B112" s="372" t="s">
        <v>377</v>
      </c>
      <c r="C112" s="394">
        <f>DCF!C11</f>
        <v>29.179341997612493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20</v>
      </c>
      <c r="E118" s="398" t="str">
        <f>ROUND(DCF!E90,2)&amp;" "&amp;Market_currency</f>
        <v>438.67 HKD</v>
      </c>
      <c r="F118" s="399">
        <f>DCF!F90</f>
        <v>0.05</v>
      </c>
    </row>
    <row r="119" spans="1:6">
      <c r="A119" s="385"/>
      <c r="B119" s="400" t="str">
        <f>DCF!B91</f>
        <v>Optimistic</v>
      </c>
      <c r="C119" s="401">
        <f>DCF!C91</f>
        <v>0.2</v>
      </c>
      <c r="D119" s="402">
        <f>DCF!D91</f>
        <v>20</v>
      </c>
      <c r="E119" s="398" t="str">
        <f>ROUND(DCF!E91,2)&amp;" "&amp;Market_currency</f>
        <v>257.89 HKD</v>
      </c>
      <c r="F119" s="403">
        <f>DCF!F91</f>
        <v>0.18</v>
      </c>
    </row>
    <row r="120" spans="1:6">
      <c r="B120" s="400" t="str">
        <f>DCF!B92</f>
        <v>Base</v>
      </c>
      <c r="C120" s="401">
        <f>DCF!C92</f>
        <v>0.1</v>
      </c>
      <c r="D120" s="402">
        <f>DCF!D92</f>
        <v>20</v>
      </c>
      <c r="E120" s="398" t="str">
        <f>ROUND(DCF!E92,2)&amp;" "&amp;Market_currency</f>
        <v>91.48 HKD</v>
      </c>
      <c r="F120" s="403">
        <f>DCF!F92</f>
        <v>0.53999999999999992</v>
      </c>
    </row>
    <row r="121" spans="1:6">
      <c r="B121" s="400" t="str">
        <f>DCF!B93</f>
        <v>Pessimistic</v>
      </c>
      <c r="C121" s="401">
        <f>DCF!C93</f>
        <v>0.05</v>
      </c>
      <c r="D121" s="402">
        <f>DCF!D93</f>
        <v>20</v>
      </c>
      <c r="E121" s="398" t="str">
        <f>ROUND(DCF!E93,2)&amp;" "&amp;Market_currency</f>
        <v>56.63 HKD</v>
      </c>
      <c r="F121" s="403">
        <f>DCF!F93</f>
        <v>0.18</v>
      </c>
    </row>
    <row r="122" spans="1:6">
      <c r="B122" s="400" t="str">
        <f>DCF!B94</f>
        <v>Devil's advocate</v>
      </c>
      <c r="C122" s="401">
        <f>DCF!C94</f>
        <v>0</v>
      </c>
      <c r="D122" s="402">
        <f>DCF!D94</f>
        <v>20</v>
      </c>
      <c r="E122" s="398" t="str">
        <f>ROUND(DCF!E94,2)&amp;" "&amp;Market_currency</f>
        <v>36.83 HKD</v>
      </c>
      <c r="F122" s="403">
        <f>DCF!F94</f>
        <v>0.05</v>
      </c>
    </row>
    <row r="124" spans="1:6">
      <c r="B124" s="470" t="s">
        <v>518</v>
      </c>
      <c r="C124" s="470"/>
      <c r="D124" s="470"/>
      <c r="E124" s="470"/>
      <c r="F124" s="470"/>
    </row>
    <row r="125" spans="1:6">
      <c r="B125" s="372" t="s">
        <v>218</v>
      </c>
      <c r="C125" s="404">
        <f>Scenarios!C36</f>
        <v>129.78945902899005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59.810810612437827</v>
      </c>
      <c r="E140" s="410">
        <f>Scenarios!E62</f>
        <v>59.810810612437827</v>
      </c>
      <c r="F140" s="411">
        <f>E22</f>
        <v>0.29465259038036606</v>
      </c>
    </row>
    <row r="141" spans="1:6">
      <c r="B141" s="408" t="s">
        <v>313</v>
      </c>
      <c r="C141" s="409">
        <f>Scenarios!C63</f>
        <v>0</v>
      </c>
      <c r="D141" s="409">
        <f>Scenarios!D63</f>
        <v>74.968640594362512</v>
      </c>
      <c r="E141" s="410">
        <f>Scenarios!E63</f>
        <v>74.968640594362512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93.027943662797526</v>
      </c>
      <c r="E144" s="410">
        <f>Scenarios!E66</f>
        <v>93.027943662797526</v>
      </c>
      <c r="F144" s="411">
        <f>E24</f>
        <v>0.1174</v>
      </c>
    </row>
    <row r="145" spans="1:6">
      <c r="B145" s="408" t="s">
        <v>314</v>
      </c>
      <c r="C145" s="409">
        <f>Scenarios!C67</f>
        <v>0</v>
      </c>
      <c r="D145" s="409">
        <f>Scenarios!D67</f>
        <v>105.20769838411479</v>
      </c>
      <c r="E145" s="410">
        <f>Scenarios!E67</f>
        <v>105.20769838411479</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