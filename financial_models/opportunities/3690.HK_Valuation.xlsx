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1DCF3A7-025E-4872-BFCE-F50FDCF899C6}"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<sst xmlns="http://schemas.openxmlformats.org/spreadsheetml/2006/main" count="768" uniqueCount="558">
  <si>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</si>
  <si>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</si>
  <si>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</si>
  <si>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</si>
  <si>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</si>
  <si>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</si>
  <si>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</si>
  <si>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</si>
  <si>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</si>
  <si>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</si>
  <si>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</si>
  <si>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</si>
  <si>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</si>
  <si>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</si>
  <si>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</si>
  <si>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</si>
  <si>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</si>
  <si>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</si>
  <si>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</si>
  <si>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</si>
  <si>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</si>
  <si>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</si>
  <si>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</si>
  <si>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</si>
  <si>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</si>
  <si>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</si>
  <si>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</si>
  <si>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</si>
  <si>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</si>
  <si>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</si>
  <si>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</si>
  <si>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</si>
  <si>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</si>
  <si>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</si>
  <si>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</si>
  <si>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</si>
  <si>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</si>
  <si>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</si>
  <si>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</si>
  <si>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</si>
  <si>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</si>
  <si>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</si>
  <si>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</si>
  <si>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</si>
  <si>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</si>
  <si>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</si>
  <si>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</si>
  <si>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</si>
  <si>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</si>
  <si>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</si>
  <si>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</si>
  <si>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</si>
  <si>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</si>
  <si>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</si>
  <si>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</si>
  <si>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</si>
  <si>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</si>
  <si>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</si>
  <si>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</si>
  <si>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</si>
  <si>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</si>
  <si>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</si>
  <si>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</si>
  <si>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</si>
  <si>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</si>
  <si>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</si>
  <si>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</si>
  <si>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</si>
  <si>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</si>
  <si>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</si>
  <si>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</si>
  <si>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</si>
  <si>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</si>
  <si>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</si>
  <si>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</si>
  <si>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</si>
  <si>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</si>
  <si>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</si>
  <si>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</si>
  <si>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</si>
  <si>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</si>
  <si>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</si>
  <si>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</si>
  <si>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</si>
  <si>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</si>
  <si>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</si>
  <si>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</si>
  <si>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</si>
  <si>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</si>
  <si>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</si>
  <si>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</si>
  <si>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</si>
  <si>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</si>
  <si>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</si>
  <si>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</si>
  <si>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</si>
  <si>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</si>
  <si>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</si>
  <si>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</si>
  <si>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</si>
  <si>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</si>
  <si>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</si>
  <si>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</si>
  <si>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</si>
  <si>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</si>
  <si>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</si>
  <si>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</si>
  <si>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</si>
  <si>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</si>
  <si>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</si>
  <si>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</si>
  <si>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</si>
  <si>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</si>
  <si>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</si>
  <si>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</si>
  <si>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</si>
  <si>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</si>
  <si>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</si>
  <si>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</si>
  <si>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</si>
  <si>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</si>
  <si>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</si>
  <si>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</si>
  <si>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</si>
  <si>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</si>
  <si>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</si>
  <si>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</si>
  <si>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</si>
  <si>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</si>
  <si>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</si>
  <si>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</si>
  <si>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</si>
  <si>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</si>
  <si>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</si>
  <si>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</si>
  <si>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</si>
  <si>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</si>
  <si>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</si>
  <si>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</si>
  <si>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</si>
  <si>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</si>
  <si>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</si>
  <si>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</si>
  <si>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</si>
  <si>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</si>
  <si>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</si>
  <si>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</si>
  <si>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</si>
  <si>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</si>
  <si>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</si>
  <si>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</si>
  <si>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</si>
  <si>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</si>
  <si>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</si>
  <si>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</si>
  <si>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</si>
  <si>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</si>
  <si>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</si>
  <si>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</si>
  <si>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</si>
  <si>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</si>
  <si>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</si>
  <si>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</si>
  <si>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</si>
  <si>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</si>
  <si>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</si>
  <si>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</si>
  <si>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</si>
  <si>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</si>
  <si>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</si>
  <si>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</si>
  <si>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</si>
  <si>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</si>
  <si>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</si>
  <si>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</si>
  <si>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</si>
  <si>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</si>
  <si>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</si>
  <si>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</si>
  <si>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</si>
  <si>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</si>
  <si>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</si>
  <si>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</si>
  <si>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</si>
  <si>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</si>
  <si>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</si>
  <si>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</si>
  <si>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</si>
  <si>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</si>
  <si>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</si>
  <si>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</si>
  <si>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</si>
  <si>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</si>
  <si>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</si>
  <si>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</si>
  <si>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</si>
  <si>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</si>
  <si>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</si>
  <si>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</si>
  <si>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</si>
  <si>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</si>
  <si>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</si>
  <si>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</si>
  <si>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</si>
  <si>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</si>
  <si>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</si>
  <si>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</si>
  <si>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</si>
  <si>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</si>
  <si>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</si>
  <si>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</si>
  <si>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</si>
  <si>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</si>
  <si>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</si>
  <si>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</si>
  <si>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</si>
  <si>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</si>
  <si>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</si>
  <si>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</si>
  <si>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</si>
  <si>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</si>
  <si>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</si>
  <si>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</si>
  <si>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</si>
  <si>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</si>
  <si>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</si>
  <si>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</si>
  <si>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</si>
  <si>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</si>
  <si>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</si>
  <si>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</si>
  <si>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</si>
  <si>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</si>
  <si>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</si>
  <si>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</si>
  <si>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</si>
  <si>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</si>
  <si>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</si>
  <si>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</si>
  <si>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</si>
  <si>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</si>
  <si>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</si>
  <si>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</si>
  <si>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</si>
  <si>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</si>
  <si>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</si>
  <si>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</si>
  <si>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</si>
  <si>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</si>
  <si>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</si>
  <si>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</si>
  <si>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</si>
  <si>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</si>
  <si>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</si>
  <si>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</si>
  <si>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</si>
  <si>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</si>
  <si>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</si>
  <si>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</si>
  <si>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</si>
  <si>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</si>
  <si>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</si>
  <si>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</si>
  <si>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</si>
  <si>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</si>
  <si>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</si>
  <si>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</si>
  <si>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</si>
  <si>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</si>
  <si>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</si>
  <si>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</si>
  <si>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</si>
  <si>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</si>
  <si>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</si>
  <si>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</si>
  <si>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</si>
  <si>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</si>
  <si>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</si>
  <si>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</si>
  <si>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</si>
  <si>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</si>
  <si>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</si>
  <si>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</si>
  <si>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</si>
  <si>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</si>
  <si>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</si>
  <si>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</si>
  <si>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</si>
  <si>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</si>
  <si>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</si>
  <si>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</si>
  <si>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</si>
  <si>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</si>
  <si>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</si>
  <si>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</si>
  <si>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</si>
  <si>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</si>
  <si>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</si>
  <si>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</si>
  <si>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</si>
  <si>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</si>
  <si>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</si>
  <si>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</si>
  <si>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</si>
  <si>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</si>
  <si>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</si>
  <si>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</si>
  <si>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</si>
  <si>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</si>
  <si>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</si>
  <si>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</si>
  <si>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</si>
  <si>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</si>
  <si>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</si>
  <si>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</si>
  <si>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</si>
  <si>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</si>
  <si>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</si>
  <si>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</si>
  <si>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</si>
  <si>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</si>
  <si>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</si>
  <si>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</si>
  <si>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</si>
  <si>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</si>
  <si>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</si>
  <si>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</si>
  <si>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</si>
  <si>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</si>
  <si>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</si>
  <si>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</si>
  <si>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</si>
  <si>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</si>
  <si>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</si>
  <si>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</si>
  <si>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</si>
  <si>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</si>
  <si>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</si>
  <si>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</si>
  <si>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</si>
  <si>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</si>
  <si>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</si>
  <si>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</si>
  <si>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</si>
  <si>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</si>
  <si>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</si>
  <si>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</si>
  <si>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</si>
  <si>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</si>
  <si>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</si>
  <si>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</si>
  <si>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</si>
  <si>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</si>
  <si>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</si>
  <si>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</si>
  <si>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</si>
  <si>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</si>
  <si>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</si>
  <si>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</si>
  <si>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</si>
  <si>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</si>
  <si>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</si>
  <si>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</si>
  <si>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</si>
  <si>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</si>
  <si>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</si>
  <si>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</si>
  <si>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</si>
  <si>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</si>
  <si>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</si>
  <si>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</si>
  <si>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</si>
  <si>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</si>
  <si>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</si>
  <si>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</si>
  <si>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</si>
  <si>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</si>
  <si>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</si>
  <si>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</si>
  <si>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</si>
  <si>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</si>
  <si>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</si>
  <si>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</si>
  <si>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</si>
  <si>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</si>
  <si>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</si>
  <si>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</si>
  <si>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</si>
  <si>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</si>
  <si>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</si>
  <si>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</si>
  <si>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</si>
  <si>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</si>
  <si>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</si>
  <si>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</si>
  <si>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</si>
  <si>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</si>
  <si>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</si>
  <si>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</si>
  <si>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</si>
  <si>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</si>
  <si>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</si>
  <si>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</si>
  <si>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</si>
  <si>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</si>
  <si>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</si>
  <si>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</si>
  <si>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</si>
  <si>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</si>
  <si>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</si>
  <si>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</si>
  <si>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</si>
  <si>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</si>
  <si>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</si>
  <si>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</si>
  <si>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</si>
  <si>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</si>
  <si>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</si>
  <si>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</si>
  <si>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</si>
  <si>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</si>
  <si>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</si>
  <si>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</si>
  <si>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</si>
  <si>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</si>
  <si>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</si>
  <si>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</si>
  <si>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</si>
  <si>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</si>
  <si>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</si>
  <si>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</si>
  <si>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</si>
  <si>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</si>
  <si>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</si>
  <si>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</si>
  <si>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</si>
  <si>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</si>
  <si>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</si>
  <si>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</si>
  <si>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</si>
  <si>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</si>
  <si>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</si>
  <si>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</si>
  <si>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</si>
  <si>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</si>
  <si>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</si>
  <si>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</si>
  <si>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</si>
  <si>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</si>
  <si>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</si>
  <si>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</si>
  <si>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</si>
  <si>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</si>
  <si>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</si>
  <si>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</si>
  <si>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</si>
  <si>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</si>
  <si>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</si>
  <si>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</si>
  <si>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</si>
  <si>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</si>
  <si>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</si>
  <si>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</si>
  <si>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</si>
  <si>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</si>
  <si>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</si>
  <si>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</si>
  <si>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</si>
  <si>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</si>
  <si>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</si>
  <si>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</si>
  <si>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</si>
  <si>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</si>
  <si>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</si>
  <si>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</si>
  <si>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</si>
  <si>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</si>
  <si>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</si>
  <si>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</si>
  <si>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</si>
  <si>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</si>
  <si>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</si>
  <si>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</si>
  <si>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</si>
  <si>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</si>
  <si>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</si>
  <si>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</si>
  <si>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</si>
  <si>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</si>
  <si>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</si>
  <si>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</si>
  <si>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</si>
  <si>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</si>
  <si>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</si>
  <si>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</si>
  <si>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</si>
  <si>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</si>
  <si>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</si>
  <si>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</si>
  <si>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</si>
  <si>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</si>
  <si>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</si>
  <si>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</si>
  <si>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</si>
  <si>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</si>
  <si>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</si>
  <si>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</si>
  <si>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</si>
  <si>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</si>
  <si>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</si>
  <si>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</si>
  <si>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</si>
  <si>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</si>
  <si>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</si>
  <si>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</si>
  <si>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</si>
  <si>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</si>
  <si>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</si>
  <si>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</si>
  <si>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</si>
  <si>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</si>
  <si>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</si>
  <si>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</si>
  <si>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</si>
  <si>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</si>
  <si>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</si>
  <si>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</si>
  <si>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</si>
  <si>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</si>
  <si>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</si>
  <si>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</si>
  <si>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</si>
  <si>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</si>
  <si>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</si>
  <si>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</si>
  <si>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</si>
  <si>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</si>
  <si>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</si>
  <si>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</si>
  <si>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</si>
  <si>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</si>
  <si>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</si>
  <si>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</si>
  <si>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</si>
  <si>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</si>
  <si>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</si>
  <si>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</si>
  <si>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</si>
  <si>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</si>
  <si>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</si>
  <si>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</si>
  <si>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</si>
  <si>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</si>
  <si>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</si>
  <si>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美团</t>
  </si>
  <si>
    <t>3690.HK</t>
  </si>
  <si>
    <t>TMT_02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</si>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</sst>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45930</v>
      </c>
    </row>
    <row r="4" spans="1:9" ht="12.4">
      <c r="B4" s="421" t="s">
        <v>531</v>
      </c>
      <c r="C4" s="420" t="s">
        <v>554</v>
      </c>
      <c r="E4" s="430" t="s">
        <v>535</v>
      </c>
      <c r="F4" s="431" t="s">
        <v>323</v>
      </c>
    </row>
    <row r="5" spans="1:9">
      <c r="B5" s="1" t="s">
        <v>348</v>
      </c>
      <c r="C5" s="46" t="s">
        <v>555</v>
      </c>
      <c r="E5" s="433" t="s">
        <v>537</v>
      </c>
      <c r="F5" s="432" t="s">
        <v>544</v>
      </c>
    </row>
    <row r="6" spans="1:9">
      <c r="B6" s="2" t="s">
        <v>52</v>
      </c>
      <c r="C6" s="45" t="s">
        <v>556</v>
      </c>
      <c r="D6" s="45"/>
      <c r="E6" s="45"/>
    </row>
    <row r="7" spans="1:9">
      <c r="B7" s="1" t="s">
        <v>350</v>
      </c>
      <c r="C7" s="45" t="s">
        <v>307</v>
      </c>
      <c r="D7" s="45"/>
      <c r="E7" s="45"/>
    </row>
    <row r="8" spans="1:9">
      <c r="B8" s="4" t="s">
        <v>349</v>
      </c>
      <c r="C8" s="47">
        <v>83.15</v>
      </c>
      <c r="E8" s="32"/>
    </row>
    <row r="9" spans="1:9">
      <c r="B9" s="4" t="s">
        <v>345</v>
      </c>
      <c r="C9" s="48">
        <v>9264431217</v>
      </c>
    </row>
    <row r="10" spans="1:9">
      <c r="B10" s="4" t="s">
        <v>351</v>
      </c>
      <c r="C10" s="33">
        <f>Thesis!C8*Common_Shares/1000000</f>
        <v>770337.45569355006</v>
      </c>
      <c r="D10" s="1" t="s">
        <v>526</v>
      </c>
      <c r="E10" s="303">
        <f>Scenarios!F34</f>
        <v>5.1438828121771016E-2</v>
      </c>
    </row>
    <row r="11" spans="1:9">
      <c r="D11" s="5"/>
      <c r="E11" s="5"/>
    </row>
    <row r="12" spans="1:9" ht="24.5" customHeight="1">
      <c r="B12" s="462" t="s">
        <v>354</v>
      </c>
      <c r="C12" s="462"/>
      <c r="D12" s="462"/>
      <c r="E12" s="462"/>
      <c r="F12" s="462"/>
    </row>
    <row r="14" spans="1:9">
      <c r="B14" s="42" t="str">
        <f>Scenarios!B39&amp;" Valuation Conclusion"</f>
        <v>2-stage DCF Valuation Conclusion</v>
      </c>
      <c r="C14" s="43"/>
    </row>
    <row r="15" spans="1:9">
      <c r="B15" s="1" t="s">
        <v>318</v>
      </c>
      <c r="C15" s="417" t="s">
        <v>544</v>
      </c>
      <c r="D15" s="4" t="s">
        <v>352</v>
      </c>
      <c r="E15" s="253" t="str">
        <f>IF(E17=C7,C7,E17&amp;"/"&amp;C7)</f>
        <v>CNY/HKD</v>
      </c>
    </row>
    <row r="16" spans="1:9">
      <c r="B16" s="1" t="s">
        <v>319</v>
      </c>
      <c r="C16" s="417" t="s">
        <v>544</v>
      </c>
      <c r="D16" s="4" t="s">
        <v>353</v>
      </c>
      <c r="E16" s="416">
        <v>1.1445970000000001</v>
      </c>
    </row>
    <row r="17" spans="1:6">
      <c r="B17" s="1" t="s">
        <v>530</v>
      </c>
      <c r="C17" s="456">
        <v>0.02</v>
      </c>
      <c r="D17" s="4" t="s">
        <v>273</v>
      </c>
      <c r="E17" s="224" t="s">
        <v>557</v>
      </c>
    </row>
    <row r="18" spans="1:6">
      <c r="B18" s="1" t="str">
        <f>"Expected Equity Value ("&amp;C7&amp;") :"</f>
        <v>Expected Equity Value (HKD) :</v>
      </c>
      <c r="C18" s="252">
        <f>C125</f>
        <v>96.652765768204546</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43.993065893584216</v>
      </c>
      <c r="D22" s="38" t="s">
        <v>405</v>
      </c>
      <c r="E22" s="79">
        <v>0.3</v>
      </c>
    </row>
    <row r="23" spans="1:6">
      <c r="B23" s="1" t="s">
        <v>312</v>
      </c>
      <c r="C23" s="256">
        <f>E141</f>
        <v>55.93331352326652</v>
      </c>
      <c r="D23" s="38" t="s">
        <v>406</v>
      </c>
      <c r="E23" s="443">
        <v>0.2</v>
      </c>
    </row>
    <row r="24" spans="1:6">
      <c r="B24" s="1" t="s">
        <v>314</v>
      </c>
      <c r="C24" s="256">
        <f>E144</f>
        <v>69.276874377985948</v>
      </c>
      <c r="D24" s="38" t="s">
        <v>407</v>
      </c>
      <c r="E24" s="443">
        <v>0.1174</v>
      </c>
    </row>
    <row r="25" spans="1:6">
      <c r="B25" s="1" t="s">
        <v>313</v>
      </c>
      <c r="C25" s="256">
        <f>E145</f>
        <v>78.347002175735057</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16278123.080000043</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0</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321313.45291999989</v>
      </c>
      <c r="D44" s="1" t="str">
        <f>Reporting_currency</f>
        <v>CNY</v>
      </c>
      <c r="E44" s="244"/>
      <c r="F44" s="244"/>
    </row>
    <row r="45" spans="2:6">
      <c r="B45" s="44" t="s">
        <v>267</v>
      </c>
      <c r="C45" s="286">
        <f>Normalized_FCF!C45</f>
        <v>-3058644.12</v>
      </c>
      <c r="D45" s="1" t="str">
        <f>Reporting_currency</f>
        <v>CNY</v>
      </c>
      <c r="E45" s="244"/>
      <c r="F45" s="244"/>
    </row>
    <row r="46" spans="2:6">
      <c r="B46" s="44" t="s">
        <v>202</v>
      </c>
      <c r="C46" s="285">
        <f>Normalized_FCF!C10</f>
        <v>-2737330.66708</v>
      </c>
      <c r="D46" s="1" t="str">
        <f>Reporting_currency</f>
        <v>CNY</v>
      </c>
    </row>
    <row r="48" spans="2:6">
      <c r="B48" s="1" t="s">
        <v>210</v>
      </c>
    </row>
    <row r="49" spans="2:6">
      <c r="B49" s="44" t="s">
        <v>222</v>
      </c>
      <c r="C49" s="285">
        <f>Normalized_FCF!C13</f>
        <v>0</v>
      </c>
      <c r="D49" s="1" t="str">
        <f>Reporting_currency</f>
        <v>CNY</v>
      </c>
    </row>
    <row r="51" spans="2:6">
      <c r="B51" s="463" t="s">
        <v>205</v>
      </c>
      <c r="C51" s="463"/>
      <c r="D51" s="463"/>
      <c r="E51" s="463"/>
      <c r="F51" s="463"/>
    </row>
    <row r="52" spans="2:6">
      <c r="B52" s="44" t="s">
        <v>203</v>
      </c>
      <c r="C52" s="285">
        <f>Normalized_FCF!C12</f>
        <v>-3385198.1032300107</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31089799.312959094</v>
      </c>
      <c r="D60" s="1" t="str">
        <f>Reporting_currency</f>
        <v>CNY</v>
      </c>
    </row>
    <row r="61" spans="2:6">
      <c r="B61" s="44" t="s">
        <v>212</v>
      </c>
      <c r="C61" s="285">
        <f>Normalized_FCF!C19</f>
        <v>10155594.309690032</v>
      </c>
      <c r="D61" s="1" t="str">
        <f>Reporting_currency</f>
        <v>CNY</v>
      </c>
    </row>
    <row r="62" spans="2:6">
      <c r="B62" s="204" t="s">
        <v>301</v>
      </c>
      <c r="C62" s="89">
        <f>Normalized_FCF!C124</f>
        <v>1.5089572361015356E-2</v>
      </c>
      <c r="F62" s="257"/>
    </row>
    <row r="63" spans="2:6">
      <c r="B63" s="204" t="s">
        <v>331</v>
      </c>
      <c r="C63" s="89">
        <f>Normalized_FCF!C92</f>
        <v>0</v>
      </c>
      <c r="E63" s="44" t="s">
        <v>321</v>
      </c>
      <c r="F63" s="258">
        <f>Normalized_FCF!C90</f>
        <v>0</v>
      </c>
    </row>
    <row r="65" spans="1:6">
      <c r="B65" s="192" t="s">
        <v>324</v>
      </c>
      <c r="C65" s="264" t="s">
        <v>326</v>
      </c>
      <c r="D65" s="264" t="s">
        <v>327</v>
      </c>
    </row>
    <row r="66" spans="1:6">
      <c r="B66" s="44" t="s">
        <v>325</v>
      </c>
      <c r="C66" s="89">
        <f>Normalized_FCF!E119</f>
        <v>0.15</v>
      </c>
      <c r="D66" s="89">
        <f>Normalized_FCF!G119</f>
        <v>0.18051269149145724</v>
      </c>
    </row>
    <row r="67" spans="1:6">
      <c r="B67" s="229" t="str">
        <f>Normalized_FCF!B116</f>
        <v>Pre-tax Profit/Sales</v>
      </c>
      <c r="C67" s="263">
        <f>Normalized_FCF!E116</f>
        <v>8.1887809309554582E-2</v>
      </c>
      <c r="D67" s="263">
        <f>Normalized_FCF!G116</f>
        <v>9.8545259058712684E-2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-50977402</v>
      </c>
      <c r="D78" s="1" t="str">
        <f>Reporting_currency</f>
        <v>CNY</v>
      </c>
    </row>
    <row r="79" spans="1:6">
      <c r="A79" s="191"/>
      <c r="B79" s="44" t="s">
        <v>233</v>
      </c>
      <c r="C79" s="201">
        <f>C78*scaling_factor*Exchange_Rate/Common_Shares</f>
        <v>-6.2981288360073107</v>
      </c>
      <c r="D79" s="1" t="str">
        <f>Market_currency</f>
        <v>HKD</v>
      </c>
    </row>
    <row r="80" spans="1:6">
      <c r="A80" s="191"/>
      <c r="B80" s="229" t="s">
        <v>308</v>
      </c>
      <c r="C80" s="337">
        <f>IF(BS!G31/BS!G27&gt;300%,"nm",BS!G31/BS!G27)</f>
        <v>0.27660377540313014</v>
      </c>
    </row>
    <row r="81" spans="1:6">
      <c r="A81" s="191"/>
      <c r="B81" s="229" t="s">
        <v>310</v>
      </c>
      <c r="C81" s="338">
        <f>IF(BS!C50&gt;30,"nm",BS!C50)</f>
        <v>3.1316510969641755</v>
      </c>
    </row>
    <row r="82" spans="1:6">
      <c r="A82" s="191"/>
    </row>
    <row r="83" spans="1:6">
      <c r="A83" s="191"/>
      <c r="B83" s="1" t="s">
        <v>465</v>
      </c>
    </row>
    <row r="84" spans="1:6">
      <c r="A84" s="191"/>
      <c r="B84" s="1" t="s">
        <v>223</v>
      </c>
      <c r="C84" s="285">
        <f>DCF!F5</f>
        <v>66024762.846666686</v>
      </c>
      <c r="D84" s="1" t="str">
        <f>Reporting_currency</f>
        <v>CNY</v>
      </c>
    </row>
    <row r="85" spans="1:6">
      <c r="A85" s="191"/>
      <c r="B85" s="229" t="s">
        <v>221</v>
      </c>
      <c r="C85" s="291">
        <f>BS!C66</f>
        <v>119577005</v>
      </c>
      <c r="D85" s="339" t="str">
        <f>Reporting_currency</f>
        <v>CNY</v>
      </c>
    </row>
    <row r="86" spans="1:6">
      <c r="A86" s="191"/>
      <c r="B86" s="44" t="s">
        <v>234</v>
      </c>
      <c r="C86" s="201">
        <f>C84*scaling_factor*Exchange_Rate/Common_Shares</f>
        <v>8.1571921373147962</v>
      </c>
      <c r="D86" s="1" t="str">
        <f>Market_currency</f>
        <v>HKD</v>
      </c>
    </row>
    <row r="87" spans="1:6">
      <c r="A87" s="191"/>
    </row>
    <row r="88" spans="1:6">
      <c r="A88" s="191"/>
      <c r="B88" s="1" t="s">
        <v>215</v>
      </c>
    </row>
    <row r="89" spans="1:6">
      <c r="A89" s="191"/>
      <c r="B89" s="1" t="s">
        <v>216</v>
      </c>
      <c r="C89" s="285">
        <f>DCF!F6</f>
        <v>57918846.499999993</v>
      </c>
      <c r="D89" s="1" t="str">
        <f>Reporting_currency</f>
        <v>CNY</v>
      </c>
    </row>
    <row r="90" spans="1:6">
      <c r="A90" s="191"/>
      <c r="B90" s="44" t="s">
        <v>235</v>
      </c>
      <c r="C90" s="201">
        <f>C89*scaling_factor*Exchange_Rate/Common_Shares</f>
        <v>7.1557267137688001</v>
      </c>
      <c r="D90" s="1" t="str">
        <f>Market_currency</f>
        <v>HKD</v>
      </c>
    </row>
    <row r="91" spans="1:6">
      <c r="A91" s="191"/>
    </row>
    <row r="92" spans="1:6">
      <c r="A92" s="191"/>
      <c r="B92" s="44" t="s">
        <v>468</v>
      </c>
      <c r="C92" s="216">
        <f>DCF!F8</f>
        <v>9.0147900150762847</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3.6479071286471849</v>
      </c>
      <c r="D111" s="1" t="str">
        <f>Market_currency</f>
        <v>HKD</v>
      </c>
    </row>
    <row r="112" spans="2:6">
      <c r="B112" s="44" t="s">
        <v>322</v>
      </c>
      <c r="C112" s="216">
        <f>DCF!C11</f>
        <v>33.391778598977155</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543</v>
      </c>
    </row>
    <row r="118" spans="2:6">
      <c r="B118" s="205" t="str">
        <f>DCF!B90&amp;" ("&amp;DCF!D90&amp;"yrs)"</f>
        <v>Snowball Scenario (15yrs)</v>
      </c>
      <c r="C118" s="206">
        <f>DCF!C90</f>
        <v>0.25</v>
      </c>
      <c r="D118" s="207" t="str">
        <f>ROUND(DCF!E90,2)&amp;" "&amp;Market_currency</f>
        <v>254.98 HKD</v>
      </c>
      <c r="E118" s="208">
        <f>DCF!F90</f>
        <v>0.05</v>
      </c>
      <c r="F118" s="208">
        <f>RATE(Holding_Period,Scenarios!C$58,-DCF!E90,C$18)</f>
        <v>-0.27628214511277993</v>
      </c>
    </row>
    <row r="119" spans="2:6">
      <c r="B119" s="205" t="str">
        <f>DCF!B91&amp;" ("&amp;DCF!D91&amp;"yrs)"</f>
        <v>Optimistic (15yrs)</v>
      </c>
      <c r="C119" s="198">
        <f>DCF!C91</f>
        <v>0.2</v>
      </c>
      <c r="D119" s="207" t="str">
        <f>ROUND(DCF!E91,2)&amp;" "&amp;Market_currency</f>
        <v>170.51 HKD</v>
      </c>
      <c r="E119" s="199">
        <f>DCF!F91</f>
        <v>0.18</v>
      </c>
      <c r="F119" s="208">
        <f>RATE(Holding_Period,Scenarios!C$58,-DCF!E91,C$18)</f>
        <v>-0.17239232062213011</v>
      </c>
    </row>
    <row r="120" spans="2:6">
      <c r="B120" s="205" t="str">
        <f>DCF!B92&amp;" ("&amp;DCF!D92&amp;"yrs)"</f>
        <v>Base (15yrs)</v>
      </c>
      <c r="C120" s="198">
        <f>DCF!C92</f>
        <v>0.1</v>
      </c>
      <c r="D120" s="207" t="str">
        <f>ROUND(DCF!E92,2)&amp;" "&amp;Market_currency</f>
        <v>77.33 HKD</v>
      </c>
      <c r="E120" s="199">
        <f>DCF!F92</f>
        <v>0.53999999999999992</v>
      </c>
      <c r="F120" s="208">
        <f>RATE(Holding_Period,Scenarios!C$58,-DCF!E92,C$18)</f>
        <v>7.72002880380738E-2</v>
      </c>
    </row>
    <row r="121" spans="2:6">
      <c r="B121" s="205" t="str">
        <f>DCF!B93&amp;" ("&amp;DCF!D93&amp;"yrs)"</f>
        <v>Pessimistic (15yrs)</v>
      </c>
      <c r="C121" s="198">
        <f>DCF!C93</f>
        <v>0.05</v>
      </c>
      <c r="D121" s="207" t="str">
        <f>ROUND(DCF!E93,2)&amp;" "&amp;Market_currency</f>
        <v>53.2 HKD</v>
      </c>
      <c r="E121" s="199">
        <f>DCF!F93</f>
        <v>0.18</v>
      </c>
      <c r="F121" s="208">
        <f>RATE(Holding_Period,Scenarios!C$58,-DCF!E93,C$18)</f>
        <v>0.22020794486684625</v>
      </c>
    </row>
    <row r="122" spans="2:6">
      <c r="B122" s="205" t="str">
        <f>DCF!B94&amp;" ("&amp;DCF!D94&amp;"yrs)"</f>
        <v>Devil's advocate (15yrs)</v>
      </c>
      <c r="C122" s="198">
        <f>DCF!C94</f>
        <v>0</v>
      </c>
      <c r="D122" s="207" t="str">
        <f>ROUND(DCF!E94,2)&amp;" "&amp;Market_currency</f>
        <v>37.61 HKD</v>
      </c>
      <c r="E122" s="199">
        <f>DCF!F94</f>
        <v>0.05</v>
      </c>
      <c r="F122" s="208">
        <f>RATE(Holding_Period,Scenarios!C$58,-DCF!E94,C$18)</f>
        <v>0.3697127243931958</v>
      </c>
    </row>
    <row r="124" spans="2:6">
      <c r="B124" s="463" t="s">
        <v>356</v>
      </c>
      <c r="C124" s="463"/>
      <c r="D124" s="463"/>
      <c r="E124" s="463"/>
      <c r="F124" s="463"/>
    </row>
    <row r="125" spans="2:6">
      <c r="B125" s="193" t="s">
        <v>217</v>
      </c>
      <c r="C125" s="197">
        <f>Scenarios!C36</f>
        <v>96.652765768204546</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v>
      </c>
      <c r="D140" s="333">
        <f>Scenarios!D62</f>
        <v>43.993065893584216</v>
      </c>
      <c r="E140" s="334">
        <f>Scenarios!E62</f>
        <v>43.993065893584216</v>
      </c>
      <c r="F140" s="335">
        <f>E22</f>
        <v>0.3</v>
      </c>
    </row>
    <row r="141" spans="1:6">
      <c r="B141" s="336" t="s">
        <v>312</v>
      </c>
      <c r="C141" s="333">
        <f>Scenarios!C63</f>
        <v>0</v>
      </c>
      <c r="D141" s="333">
        <f>Scenarios!D63</f>
        <v>55.93331352326652</v>
      </c>
      <c r="E141" s="334">
        <f>Scenarios!E63</f>
        <v>55.93331352326652</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v>
      </c>
      <c r="D144" s="333">
        <f>Scenarios!D66</f>
        <v>69.276874377985948</v>
      </c>
      <c r="E144" s="334">
        <f>Scenarios!E66</f>
        <v>69.276874377985948</v>
      </c>
      <c r="F144" s="335">
        <f>E24</f>
        <v>0.1174</v>
      </c>
    </row>
    <row r="145" spans="1:6">
      <c r="B145" s="336" t="s">
        <v>313</v>
      </c>
      <c r="C145" s="333">
        <f>Scenarios!C67</f>
        <v>0</v>
      </c>
      <c r="D145" s="333">
        <f>Scenarios!D67</f>
        <v>78.347002175735057</v>
      </c>
      <c r="E145" s="334">
        <f>Scenarios!E67</f>
        <v>78.347002175735057</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39</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50</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57</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45</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1337038</v>
      </c>
      <c r="D12" s="287">
        <v>1425157</v>
      </c>
      <c r="E12" s="287">
        <v>1628825</v>
      </c>
      <c r="F12" s="287">
        <v>1130935</v>
      </c>
      <c r="G12" s="287">
        <v>0</v>
      </c>
      <c r="H12" s="287">
        <v>0</v>
      </c>
      <c r="I12" s="287">
        <v>0</v>
      </c>
      <c r="J12" s="287">
        <v>19214</v>
      </c>
      <c r="K12" s="287">
        <v>55981</v>
      </c>
      <c r="L12" s="287">
        <v>56561</v>
      </c>
      <c r="M12" s="287"/>
    </row>
    <row r="13" spans="2:13">
      <c r="B13" s="38" t="s">
        <v>63</v>
      </c>
      <c r="C13" s="287">
        <v>1291807</v>
      </c>
      <c r="D13" s="287">
        <v>818986</v>
      </c>
      <c r="E13" s="287">
        <v>657908</v>
      </c>
      <c r="F13" s="287">
        <v>546037</v>
      </c>
      <c r="G13" s="287">
        <v>0</v>
      </c>
      <c r="H13" s="287">
        <v>0</v>
      </c>
      <c r="I13" s="287">
        <v>294047</v>
      </c>
      <c r="J13" s="287">
        <v>60885</v>
      </c>
      <c r="K13" s="287">
        <v>21681</v>
      </c>
      <c r="L13" s="287">
        <v>13541</v>
      </c>
      <c r="M13" s="287"/>
    </row>
    <row r="14" spans="2:13">
      <c r="B14" s="38" t="s">
        <v>46</v>
      </c>
      <c r="C14" s="287">
        <v>2177107</v>
      </c>
      <c r="D14" s="287">
        <v>164537</v>
      </c>
      <c r="E14" s="287">
        <v>-70194</v>
      </c>
      <c r="F14" s="287">
        <v>-30279</v>
      </c>
      <c r="G14" s="287">
        <v>-269737</v>
      </c>
      <c r="H14" s="287">
        <v>526223</v>
      </c>
      <c r="I14" s="287">
        <v>1888</v>
      </c>
      <c r="J14" s="287">
        <v>54218</v>
      </c>
      <c r="K14" s="287">
        <v>267903</v>
      </c>
      <c r="L14" s="287">
        <v>-11648</v>
      </c>
      <c r="M14" s="287"/>
    </row>
    <row r="15" spans="2:13">
      <c r="B15" s="41" t="s">
        <v>38</v>
      </c>
      <c r="C15" s="289">
        <v>35807179</v>
      </c>
      <c r="D15" s="289"/>
      <c r="E15" s="289"/>
      <c r="F15" s="289"/>
      <c r="G15" s="289"/>
      <c r="H15" s="289"/>
      <c r="I15" s="289"/>
      <c r="J15" s="289"/>
      <c r="K15" s="289"/>
      <c r="L15" s="289"/>
      <c r="M15" s="289"/>
    </row>
    <row r="16" spans="2:13">
      <c r="B16" s="27" t="s">
        <v>40</v>
      </c>
      <c r="C16" s="287">
        <v>1143</v>
      </c>
      <c r="D16" s="287"/>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-237258</v>
      </c>
      <c r="D22" s="287"/>
      <c r="E22" s="287"/>
      <c r="F22" s="287"/>
      <c r="G22" s="287"/>
      <c r="H22" s="287"/>
      <c r="I22" s="287"/>
      <c r="J22" s="287"/>
      <c r="K22" s="287"/>
      <c r="L22" s="287"/>
      <c r="M22" s="287"/>
    </row>
    <row r="23" spans="2:13">
      <c r="B23" s="26" t="s">
        <v>287</v>
      </c>
      <c r="C23" s="287">
        <v>23438</v>
      </c>
      <c r="D23" s="287"/>
      <c r="E23" s="287"/>
      <c r="F23" s="287"/>
      <c r="G23" s="287"/>
      <c r="H23" s="287"/>
      <c r="I23" s="287"/>
      <c r="J23" s="287"/>
      <c r="K23" s="287"/>
      <c r="L23" s="287"/>
      <c r="M23" s="287"/>
    </row>
    <row r="24" spans="2:13">
      <c r="B24" s="26" t="s">
        <v>286</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25</v>
      </c>
      <c r="C27" s="94" t="s">
        <v>545</v>
      </c>
    </row>
    <row r="28" spans="2:13">
      <c r="B28" s="25" t="s">
        <v>21</v>
      </c>
      <c r="C28" s="270">
        <f>BS!C4</f>
        <v>3141262</v>
      </c>
      <c r="D28" s="287"/>
      <c r="E28" s="287"/>
      <c r="F28" s="287"/>
      <c r="G28" s="287"/>
      <c r="H28" s="287"/>
      <c r="I28" s="287"/>
      <c r="J28" s="287"/>
      <c r="K28" s="287"/>
      <c r="L28" s="287"/>
      <c r="M28" s="287"/>
    </row>
    <row r="29" spans="2:13">
      <c r="B29" s="25" t="s">
        <v>29</v>
      </c>
      <c r="C29" s="270">
        <f>BS!C6</f>
        <v>2483059</v>
      </c>
      <c r="D29" s="287">
        <v>1734.124</v>
      </c>
      <c r="E29" s="287">
        <v>1304.595</v>
      </c>
      <c r="F29" s="287">
        <v>1162.7650000000001</v>
      </c>
      <c r="G29" s="287">
        <v>681.69299999999998</v>
      </c>
      <c r="H29" s="287"/>
      <c r="I29" s="287"/>
      <c r="J29" s="287"/>
      <c r="K29" s="287"/>
      <c r="L29" s="287"/>
      <c r="M29" s="287"/>
    </row>
    <row r="30" spans="2:13">
      <c r="B30" s="28" t="s">
        <v>37</v>
      </c>
      <c r="C30" s="271">
        <f>BS!C33+BS!C42</f>
        <v>145900611</v>
      </c>
      <c r="D30" s="289"/>
      <c r="E30" s="289"/>
      <c r="F30" s="289"/>
      <c r="G30" s="289"/>
      <c r="H30" s="289"/>
      <c r="I30" s="289"/>
      <c r="J30" s="289"/>
      <c r="K30" s="289"/>
      <c r="L30" s="289"/>
      <c r="M30" s="289"/>
    </row>
    <row r="31" spans="2:13">
      <c r="B31" s="28" t="s">
        <v>27</v>
      </c>
      <c r="C31" s="271">
        <f>BS!G27</f>
        <v>184297564</v>
      </c>
      <c r="D31" s="289"/>
      <c r="E31" s="289"/>
      <c r="F31" s="289"/>
      <c r="G31" s="289"/>
      <c r="H31" s="289"/>
      <c r="I31" s="289"/>
      <c r="J31" s="289"/>
      <c r="K31" s="289"/>
      <c r="L31" s="289"/>
      <c r="M31" s="289"/>
    </row>
    <row r="32" spans="2:13">
      <c r="B32" s="25" t="s">
        <v>142</v>
      </c>
      <c r="C32" s="270">
        <f>BS!G28</f>
        <v>-58350</v>
      </c>
      <c r="D32" s="287">
        <v>-58.881999999999998</v>
      </c>
      <c r="E32" s="287">
        <v>-56.84</v>
      </c>
      <c r="F32" s="287">
        <v>-55.893000000000001</v>
      </c>
      <c r="G32" s="287">
        <v>-56.68</v>
      </c>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39</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54</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50</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57</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60</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45</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126</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138</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64</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46</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38</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40</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64</v>
      </c>
    </row>
    <row r="51" spans="2:13">
      <c r="B51" s="38" t="s">
        <v>36</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63</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33</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54</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138</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81</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82</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37</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27</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3141262</v>
      </c>
      <c r="D4" s="231">
        <v>0.6</v>
      </c>
      <c r="E4" s="24"/>
      <c r="F4" s="4" t="s">
        <v>73</v>
      </c>
      <c r="G4" s="18">
        <v>101656333</v>
      </c>
      <c r="H4" s="231">
        <v>0.9</v>
      </c>
    </row>
    <row r="5" spans="2:8" ht="15" customHeight="1">
      <c r="B5" s="1" t="s">
        <v>30</v>
      </c>
      <c r="C5" s="18">
        <v>0</v>
      </c>
      <c r="D5" s="231">
        <v>0.6</v>
      </c>
      <c r="E5" s="24"/>
      <c r="F5" s="1" t="s">
        <v>26</v>
      </c>
      <c r="G5" s="18">
        <v>17920672</v>
      </c>
      <c r="H5" s="231">
        <v>0.7</v>
      </c>
    </row>
    <row r="6" spans="2:8" ht="15" customHeight="1">
      <c r="B6" s="4" t="s">
        <v>8</v>
      </c>
      <c r="C6" s="18">
        <v>2483059</v>
      </c>
      <c r="D6" s="231">
        <v>0.5</v>
      </c>
      <c r="E6" s="24"/>
      <c r="F6" s="4" t="s">
        <v>146</v>
      </c>
      <c r="G6" s="18">
        <v>0</v>
      </c>
      <c r="H6" s="231">
        <v>0.6</v>
      </c>
    </row>
    <row r="7" spans="2:8" ht="15" customHeight="1">
      <c r="B7" s="1" t="s">
        <v>65</v>
      </c>
      <c r="C7" s="18">
        <v>0</v>
      </c>
      <c r="D7" s="231">
        <v>0.6</v>
      </c>
      <c r="E7" s="24"/>
      <c r="F7" s="4" t="s">
        <v>147</v>
      </c>
      <c r="G7" s="18">
        <v>69361319</v>
      </c>
      <c r="H7" s="231">
        <v>0.6</v>
      </c>
    </row>
    <row r="8" spans="2:8" ht="15" customHeight="1">
      <c r="B8" s="1" t="s">
        <v>143</v>
      </c>
      <c r="C8" s="18">
        <v>0</v>
      </c>
      <c r="D8" s="231">
        <v>0.6</v>
      </c>
      <c r="E8" s="24"/>
      <c r="F8" s="1" t="s">
        <v>148</v>
      </c>
      <c r="G8" s="18">
        <v>0</v>
      </c>
      <c r="H8" s="231">
        <v>0.6</v>
      </c>
    </row>
    <row r="9" spans="2:8" ht="15" customHeight="1">
      <c r="B9" s="4" t="s">
        <v>22</v>
      </c>
      <c r="C9" s="18">
        <v>22830718</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28455039</v>
      </c>
      <c r="D12" s="19">
        <f>C4*D4+C5*D5+C9*D9+C6*D6+C8*D8+C7*D7+C10*D10+C11*D11</f>
        <v>5409358.5</v>
      </c>
      <c r="F12" s="77" t="s">
        <v>66</v>
      </c>
      <c r="G12" s="78">
        <f>SUM(G4:G10)</f>
        <v>188938324</v>
      </c>
      <c r="H12" s="19">
        <f>G4*H4+G5*H5+G6*H6+G7*H7+G8*H8+G9*H9+G10*H10</f>
        <v>145651961.5</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2896164</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1090276+20133691+2696395</f>
        <v>23920362</v>
      </c>
      <c r="H17" s="231">
        <v>0.6</v>
      </c>
    </row>
    <row r="18" spans="2:8" ht="15" customHeight="1">
      <c r="B18" s="4" t="s">
        <v>143</v>
      </c>
      <c r="C18" s="18">
        <v>0</v>
      </c>
      <c r="D18" s="231">
        <v>0.6</v>
      </c>
      <c r="F18" s="4" t="s">
        <v>150</v>
      </c>
      <c r="G18" s="18">
        <v>0</v>
      </c>
      <c r="H18" s="231">
        <v>0.1</v>
      </c>
    </row>
    <row r="19" spans="2:8" ht="15" customHeight="1">
      <c r="B19" s="4" t="s">
        <v>23</v>
      </c>
      <c r="C19" s="18">
        <v>34026066</v>
      </c>
      <c r="D19" s="231">
        <v>0.1</v>
      </c>
      <c r="F19" s="4" t="s">
        <v>151</v>
      </c>
      <c r="G19" s="18">
        <v>19498379</v>
      </c>
      <c r="H19" s="231">
        <v>0.1</v>
      </c>
    </row>
    <row r="20" spans="2:8" ht="15" customHeight="1">
      <c r="B20" s="4" t="s">
        <v>553</v>
      </c>
      <c r="C20" s="18">
        <v>0</v>
      </c>
      <c r="D20" s="231">
        <v>0.05</v>
      </c>
      <c r="F20" s="4" t="s">
        <v>148</v>
      </c>
      <c r="G20" s="18">
        <v>0</v>
      </c>
      <c r="H20" s="231">
        <v>0.2</v>
      </c>
    </row>
    <row r="21" spans="2:8" ht="15" customHeight="1">
      <c r="B21" s="4" t="s">
        <v>16</v>
      </c>
      <c r="C21" s="18">
        <v>30321508</v>
      </c>
      <c r="D21" s="231">
        <v>0.05</v>
      </c>
      <c r="F21" s="1" t="s">
        <v>149</v>
      </c>
      <c r="G21" s="18">
        <v>0</v>
      </c>
      <c r="H21" s="231">
        <v>0.1</v>
      </c>
    </row>
    <row r="22" spans="2:8" ht="15" customHeight="1">
      <c r="B22" s="4" t="s">
        <v>17</v>
      </c>
      <c r="C22" s="18">
        <v>2142333</v>
      </c>
      <c r="D22" s="231">
        <v>0.9</v>
      </c>
      <c r="H22" s="232"/>
    </row>
    <row r="23" spans="2:8" ht="15" customHeight="1">
      <c r="B23" s="4" t="s">
        <v>18</v>
      </c>
      <c r="C23" s="18">
        <v>0</v>
      </c>
      <c r="D23" s="231">
        <v>0</v>
      </c>
      <c r="H23" s="232"/>
    </row>
    <row r="24" spans="2:8" ht="15" customHeight="1">
      <c r="B24" s="77" t="s">
        <v>69</v>
      </c>
      <c r="C24" s="78">
        <f>SUM(C15:C23)</f>
        <v>69386071</v>
      </c>
      <c r="D24" s="19">
        <f>C15*D15+C16*D16+C18*D18+C17*D17+C19*D19+C20*D20+C21*D21+C22*D22+C23*D23</f>
        <v>8005247.3000000007</v>
      </c>
      <c r="F24" s="77" t="s">
        <v>67</v>
      </c>
      <c r="G24" s="78">
        <f>SUM(G15:G21)</f>
        <v>43418741</v>
      </c>
      <c r="H24" s="19">
        <f>G15*H15+G16*H16+G17*H17+G18*H18+G19*H19+G20*H20+G21*H21</f>
        <v>16302055.1</v>
      </c>
    </row>
    <row r="26" spans="2:8" ht="15" customHeight="1">
      <c r="B26" s="16" t="s">
        <v>168</v>
      </c>
      <c r="C26" s="164" t="s">
        <v>112</v>
      </c>
      <c r="F26" s="166" t="s">
        <v>164</v>
      </c>
      <c r="G26" s="167" t="s">
        <v>112</v>
      </c>
      <c r="H26" s="168" t="s">
        <v>32</v>
      </c>
    </row>
    <row r="27" spans="2:8" ht="15" customHeight="1">
      <c r="B27" s="4" t="s">
        <v>3</v>
      </c>
      <c r="C27" s="18">
        <v>1342</v>
      </c>
      <c r="F27" s="169" t="s">
        <v>27</v>
      </c>
      <c r="G27" s="82">
        <f>G32-G30</f>
        <v>184297564</v>
      </c>
      <c r="H27" s="170">
        <f>H32-G30</f>
        <v>29468011.400000006</v>
      </c>
    </row>
    <row r="28" spans="2:8" ht="15" customHeight="1">
      <c r="B28" s="4" t="s">
        <v>4</v>
      </c>
      <c r="C28" s="18">
        <v>2838077</v>
      </c>
      <c r="F28" s="171" t="s">
        <v>208</v>
      </c>
      <c r="G28" s="287">
        <v>-58350</v>
      </c>
      <c r="H28" s="170"/>
    </row>
    <row r="29" spans="2:8" ht="15" customHeight="1">
      <c r="B29" s="4" t="s">
        <v>5</v>
      </c>
      <c r="C29" s="18">
        <v>0</v>
      </c>
      <c r="F29" s="172" t="s">
        <v>71</v>
      </c>
      <c r="G29" s="14">
        <f>G27-G28</f>
        <v>184355914</v>
      </c>
      <c r="H29" s="170">
        <f>H27-G28</f>
        <v>29526361.400000006</v>
      </c>
    </row>
    <row r="30" spans="2:8" ht="15" customHeight="1">
      <c r="B30" s="2" t="s">
        <v>6</v>
      </c>
      <c r="C30" s="18">
        <v>16319467</v>
      </c>
      <c r="F30" s="169" t="s">
        <v>20</v>
      </c>
      <c r="G30" s="82">
        <f>C33+C42</f>
        <v>145900611</v>
      </c>
      <c r="H30" s="170"/>
    </row>
    <row r="31" spans="2:8" ht="15" customHeight="1">
      <c r="B31" s="77" t="s">
        <v>171</v>
      </c>
      <c r="C31" s="78">
        <f>SUM(C27:C30)</f>
        <v>19158886</v>
      </c>
      <c r="F31" s="172" t="s">
        <v>72</v>
      </c>
      <c r="G31" s="173">
        <f>C31+C40</f>
        <v>50977402</v>
      </c>
      <c r="H31" s="170"/>
    </row>
    <row r="32" spans="2:8" ht="15" customHeight="1">
      <c r="B32" s="4" t="s">
        <v>7</v>
      </c>
      <c r="C32" s="20">
        <f>C33-C31</f>
        <v>93319501</v>
      </c>
      <c r="F32" s="174" t="s">
        <v>70</v>
      </c>
      <c r="G32" s="175">
        <f>G35+G40</f>
        <v>330198175</v>
      </c>
      <c r="H32" s="170">
        <f>H35+H40</f>
        <v>175368622.40000001</v>
      </c>
    </row>
    <row r="33" spans="2:8" ht="15" customHeight="1">
      <c r="B33" s="80" t="s">
        <v>2</v>
      </c>
      <c r="C33" s="81">
        <v>112478387</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97841110</v>
      </c>
      <c r="H35" s="182">
        <f>D12+D24</f>
        <v>13414605.800000001</v>
      </c>
    </row>
    <row r="36" spans="2:8" ht="15" customHeight="1">
      <c r="B36" s="4" t="s">
        <v>11</v>
      </c>
      <c r="C36" s="18">
        <v>1657023</v>
      </c>
      <c r="F36" s="172" t="s">
        <v>165</v>
      </c>
      <c r="G36" s="173">
        <f>C4+C15</f>
        <v>6037426</v>
      </c>
      <c r="H36" s="177"/>
    </row>
    <row r="37" spans="2:8" ht="15" customHeight="1">
      <c r="B37" s="4" t="s">
        <v>12</v>
      </c>
      <c r="C37" s="18">
        <v>3325762</v>
      </c>
      <c r="F37" s="172" t="s">
        <v>166</v>
      </c>
      <c r="G37" s="173">
        <f>C6</f>
        <v>2483059</v>
      </c>
      <c r="H37" s="177"/>
    </row>
    <row r="38" spans="2:8" ht="15" customHeight="1">
      <c r="B38" s="4" t="s">
        <v>13</v>
      </c>
      <c r="C38" s="18">
        <v>0</v>
      </c>
      <c r="F38" s="172" t="s">
        <v>167</v>
      </c>
      <c r="G38" s="173">
        <f>C7+C17</f>
        <v>0</v>
      </c>
      <c r="H38" s="177"/>
    </row>
    <row r="39" spans="2:8" ht="15" customHeight="1">
      <c r="B39" s="2" t="s">
        <v>14</v>
      </c>
      <c r="C39" s="18">
        <v>26835731</v>
      </c>
      <c r="F39" s="172" t="s">
        <v>75</v>
      </c>
      <c r="G39" s="173">
        <f>C7+C17+C19+C20</f>
        <v>34026066</v>
      </c>
      <c r="H39" s="170">
        <f>C7*D7+C17*D17+C19*D19+C20*D20</f>
        <v>3402606.6</v>
      </c>
    </row>
    <row r="40" spans="2:8" ht="15" customHeight="1">
      <c r="B40" s="77" t="s">
        <v>172</v>
      </c>
      <c r="C40" s="78">
        <f>SUM(C36:C39)</f>
        <v>31818516</v>
      </c>
      <c r="F40" s="181" t="s">
        <v>114</v>
      </c>
      <c r="G40" s="175">
        <f>G12+G24</f>
        <v>232357065</v>
      </c>
      <c r="H40" s="182">
        <f>H12+H24</f>
        <v>161954016.59999999</v>
      </c>
    </row>
    <row r="41" spans="2:8" ht="15" customHeight="1">
      <c r="B41" s="4" t="s">
        <v>15</v>
      </c>
      <c r="C41" s="20">
        <f>C42-C40</f>
        <v>1603708</v>
      </c>
      <c r="F41" s="172" t="s">
        <v>159</v>
      </c>
      <c r="G41" s="173">
        <f>C70</f>
        <v>119577005</v>
      </c>
      <c r="H41" s="182">
        <f>H40-H42</f>
        <v>104035170.09999999</v>
      </c>
    </row>
    <row r="42" spans="2:8" ht="15" customHeight="1">
      <c r="B42" s="80" t="s">
        <v>19</v>
      </c>
      <c r="C42" s="81">
        <v>33422224</v>
      </c>
      <c r="F42" s="183" t="s">
        <v>160</v>
      </c>
      <c r="G42" s="184">
        <f>C82</f>
        <v>112780060</v>
      </c>
      <c r="H42" s="185">
        <f>D82</f>
        <v>57918846.499999993</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184355914</v>
      </c>
      <c r="D46" s="73">
        <f>H29</f>
        <v>29526361.400000006</v>
      </c>
      <c r="F46" s="223"/>
    </row>
    <row r="47" spans="2:8" ht="15" customHeight="1">
      <c r="B47" s="1" t="str">
        <f>"Equity per share ("&amp;Market_currency&amp;")"</f>
        <v>Equity per share (HKD)</v>
      </c>
      <c r="C47" s="134">
        <f>C46*H1/Common_Shares*Exchange_Rate</f>
        <v>22.776706001060703</v>
      </c>
      <c r="D47" s="134">
        <f>D46*H1/Common_Shares*Exchange_Rate</f>
        <v>3.6479071286471849</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3.1316510969641755</v>
      </c>
      <c r="D50" s="92">
        <f>G31/Normalized_FCF!G8</f>
        <v>1.4981652418236286</v>
      </c>
      <c r="F50" s="223"/>
    </row>
    <row r="51" spans="2:8" ht="15" customHeight="1">
      <c r="B51" s="1" t="s">
        <v>145</v>
      </c>
      <c r="C51" s="163"/>
      <c r="D51" s="89">
        <f>G29/G32</f>
        <v>0.55831899737180557</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0.16637304176128054</v>
      </c>
      <c r="D54" s="89">
        <f>Normalized_FCF!G8/G35</f>
        <v>0.34777359946141251</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0.10304740781804746</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-3.1650734025272443E-4</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119577005</v>
      </c>
      <c r="D66" s="73">
        <f>C66-D75</f>
        <v>66024762.846666686</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119577005</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-25297085.083333332</v>
      </c>
      <c r="D73" s="285">
        <f>(Normalized_FCF!C26+Normalized_FCF!C35-Normalized_FCF!C89)/12</f>
        <v>-26776121.076666657</v>
      </c>
      <c r="F73" s="1" t="s">
        <v>277</v>
      </c>
    </row>
    <row r="74" spans="2:6" ht="15" customHeight="1">
      <c r="B74" s="227" t="s">
        <v>258</v>
      </c>
      <c r="C74" s="228">
        <f>-$C$66/C73</f>
        <v>4.7269084404820152</v>
      </c>
      <c r="D74" s="228">
        <f>-$C$66/D73</f>
        <v>4.4658075998992333</v>
      </c>
      <c r="F74" s="223" t="s">
        <v>256</v>
      </c>
    </row>
    <row r="75" spans="2:6" ht="15" customHeight="1">
      <c r="B75" s="77" t="s">
        <v>257</v>
      </c>
      <c r="C75" s="261"/>
      <c r="D75" s="262">
        <f>MAX(-D73*D76,G5)</f>
        <v>53552242.153333314</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93281681</v>
      </c>
      <c r="D79" s="73">
        <f>G7*H7+G17*H17</f>
        <v>55969008.599999994</v>
      </c>
      <c r="F79" s="223"/>
    </row>
    <row r="80" spans="2:6" ht="15" customHeight="1">
      <c r="B80" s="102" t="s">
        <v>151</v>
      </c>
      <c r="C80" s="19">
        <f>G19</f>
        <v>19498379</v>
      </c>
      <c r="D80" s="73">
        <f>G19*H19</f>
        <v>1949837.9000000001</v>
      </c>
      <c r="F80" s="223"/>
    </row>
    <row r="81" spans="2:8" ht="15" customHeight="1">
      <c r="B81" s="102" t="s">
        <v>149</v>
      </c>
      <c r="C81" s="19">
        <f>G9+G21</f>
        <v>0</v>
      </c>
      <c r="D81" s="73">
        <f>G9*H9+G21*H21</f>
        <v>0</v>
      </c>
      <c r="F81" s="223"/>
    </row>
    <row r="82" spans="2:8" ht="15" customHeight="1">
      <c r="B82" s="77" t="s">
        <v>158</v>
      </c>
      <c r="C82" s="78">
        <f>SUM(C79:C81)</f>
        <v>112780060</v>
      </c>
      <c r="D82" s="78">
        <f>SUM(D79:D81)</f>
        <v>57918846.499999993</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-58348581.396994002</v>
      </c>
      <c r="D86" s="201">
        <f>C86*scaling_factor/Common_Shares</f>
        <v>-6.2981288360073107</v>
      </c>
      <c r="E86" s="214" t="str">
        <f>Market_currency</f>
        <v>HKD</v>
      </c>
    </row>
    <row r="87" spans="2:8" ht="15" customHeight="1">
      <c r="B87" s="212" t="s">
        <v>239</v>
      </c>
      <c r="C87" s="73">
        <f>DCF!F5*Exchange_Rate</f>
        <v>75571745.480006158</v>
      </c>
      <c r="D87" s="201">
        <f>C87*scaling_factor/Common_Shares</f>
        <v>8.157192137314798</v>
      </c>
      <c r="E87" s="214" t="str">
        <f>Market_currency</f>
        <v>HKD</v>
      </c>
    </row>
    <row r="88" spans="2:8" ht="15" customHeight="1">
      <c r="B88" s="213" t="s">
        <v>158</v>
      </c>
      <c r="C88" s="73">
        <f>DCF!F6*Exchange_Rate</f>
        <v>66293737.947360493</v>
      </c>
      <c r="D88" s="201">
        <f>C88*scaling_factor/Common_Shares</f>
        <v>7.1557267137688001</v>
      </c>
      <c r="E88" s="214" t="str">
        <f>Market_currency</f>
        <v>HKD</v>
      </c>
    </row>
    <row r="89" spans="2:8" ht="15" customHeight="1">
      <c r="B89" s="77" t="s">
        <v>243</v>
      </c>
      <c r="C89" s="162">
        <f>SUM(C86:C88)</f>
        <v>83516902.030372649</v>
      </c>
      <c r="D89" s="216">
        <f>SUM(D86:D88)</f>
        <v>9.0147900150762865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42</v>
      </c>
      <c r="C5" s="266">
        <f>C26</f>
        <v>-310584249.9199999</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44</v>
      </c>
      <c r="C6" s="267">
        <f>C4+C5</f>
        <v>27007326.080000043</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41</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126</v>
      </c>
      <c r="C8" s="268">
        <f>C6+C7</f>
        <v>16278123.080000043</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-2737330.66708</v>
      </c>
      <c r="E10" s="237"/>
      <c r="G10" s="266">
        <f>G48</f>
        <v>-758505.68704090687</v>
      </c>
      <c r="H10" s="266">
        <f t="shared" ref="H10:Q10" si="6">H48</f>
        <v>-1058376.3084097579</v>
      </c>
      <c r="I10" s="266">
        <f t="shared" si="6"/>
        <v>-1334182.6602741035</v>
      </c>
      <c r="J10" s="266">
        <f t="shared" si="6"/>
        <v>-886393.78868031804</v>
      </c>
      <c r="K10" s="266">
        <f t="shared" si="6"/>
        <v>0</v>
      </c>
      <c r="L10" s="266">
        <f t="shared" si="6"/>
        <v>0</v>
      </c>
      <c r="M10" s="266">
        <f t="shared" si="6"/>
        <v>131688.16319208866</v>
      </c>
      <c r="N10" s="266">
        <f t="shared" si="6"/>
        <v>8053.1845519604612</v>
      </c>
      <c r="O10" s="266">
        <f t="shared" si="6"/>
        <v>-46271.222086375055</v>
      </c>
      <c r="P10" s="266">
        <f t="shared" si="6"/>
        <v>-50496.699334514306</v>
      </c>
      <c r="Q10" s="266" t="str">
        <f t="shared" si="6"/>
        <v/>
      </c>
    </row>
    <row r="11" spans="1:17" ht="15.75" customHeight="1">
      <c r="A11" s="10"/>
      <c r="B11" s="67" t="s">
        <v>136</v>
      </c>
      <c r="C11" s="267">
        <f>SUM(C8:C10)</f>
        <v>13540792.412920043</v>
      </c>
      <c r="E11" s="237"/>
      <c r="G11" s="267">
        <f t="shared" ref="G11:Q11" si="7">IF(G$4="","",SUM(G8:G10))</f>
        <v>33268049.312959094</v>
      </c>
      <c r="H11" s="267">
        <f t="shared" si="7"/>
        <v>6942715.6915902421</v>
      </c>
      <c r="I11" s="267">
        <f t="shared" si="7"/>
        <v>-9837990.6602741033</v>
      </c>
      <c r="J11" s="267">
        <f t="shared" si="7"/>
        <v>-24383652.788680319</v>
      </c>
      <c r="K11" s="267">
        <f t="shared" si="7"/>
        <v>-3318952</v>
      </c>
      <c r="L11" s="267">
        <f t="shared" si="7"/>
        <v>716703</v>
      </c>
      <c r="M11" s="267">
        <f t="shared" si="7"/>
        <v>-13538846.836807912</v>
      </c>
      <c r="N11" s="267">
        <f t="shared" si="7"/>
        <v>-4499172.8154480392</v>
      </c>
      <c r="O11" s="267">
        <f t="shared" si="7"/>
        <v>-6531446.2220863746</v>
      </c>
      <c r="P11" s="267">
        <f t="shared" si="7"/>
        <v>-8521456.6993345134</v>
      </c>
      <c r="Q11" s="267" t="str">
        <f t="shared" si="7"/>
        <v/>
      </c>
    </row>
    <row r="12" spans="1:17" ht="15.75" customHeight="1">
      <c r="A12" s="10"/>
      <c r="B12" s="2" t="s">
        <v>59</v>
      </c>
      <c r="C12" s="266">
        <f>-C11*C41</f>
        <v>-3385198.1032300107</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207</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128</v>
      </c>
      <c r="C14" s="269">
        <f>SUM(C11:C13)</f>
        <v>10155594.309690032</v>
      </c>
      <c r="D14" s="58"/>
      <c r="E14" s="243"/>
      <c r="F14" s="58"/>
      <c r="G14" s="267">
        <f t="shared" ref="G14:Q14" si="8">IF(G$4="","",SUM(G11:G13))</f>
        <v>31089799.312959094</v>
      </c>
      <c r="H14" s="267">
        <f t="shared" si="8"/>
        <v>6778178.6915902421</v>
      </c>
      <c r="I14" s="267">
        <f t="shared" si="8"/>
        <v>-9767796.6602741033</v>
      </c>
      <c r="J14" s="267">
        <f t="shared" si="8"/>
        <v>-24353373.788680319</v>
      </c>
      <c r="K14" s="267">
        <f t="shared" si="8"/>
        <v>-3049215</v>
      </c>
      <c r="L14" s="267">
        <f t="shared" si="8"/>
        <v>190480</v>
      </c>
      <c r="M14" s="267">
        <f t="shared" si="8"/>
        <v>-13540734.836807912</v>
      </c>
      <c r="N14" s="267">
        <f t="shared" si="8"/>
        <v>-4553390.8154480392</v>
      </c>
      <c r="O14" s="267">
        <f t="shared" si="8"/>
        <v>-6799349.2220863746</v>
      </c>
      <c r="P14" s="267">
        <f t="shared" si="8"/>
        <v>-8509808.6993345134</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10155594.309690032</v>
      </c>
      <c r="D19" s="26"/>
      <c r="E19" s="234"/>
      <c r="F19" s="26"/>
      <c r="G19" s="271">
        <f t="shared" ref="G19:Q19" si="9">IF(G$4="","",G14+G17)</f>
        <v>31089799.312959094</v>
      </c>
      <c r="H19" s="271">
        <f t="shared" si="9"/>
        <v>6778178.6915902421</v>
      </c>
      <c r="I19" s="271">
        <f t="shared" si="9"/>
        <v>-9767796.6602741033</v>
      </c>
      <c r="J19" s="271">
        <f t="shared" si="9"/>
        <v>-24353373.788680319</v>
      </c>
      <c r="K19" s="271">
        <f t="shared" si="9"/>
        <v>-3049215</v>
      </c>
      <c r="L19" s="271">
        <f t="shared" si="9"/>
        <v>190480</v>
      </c>
      <c r="M19" s="271">
        <f t="shared" si="9"/>
        <v>-13540734.836807912</v>
      </c>
      <c r="N19" s="271">
        <f t="shared" si="9"/>
        <v>-4553390.8154480392</v>
      </c>
      <c r="O19" s="271">
        <f t="shared" si="9"/>
        <v>-6799349.2220863746</v>
      </c>
      <c r="P19" s="271">
        <f t="shared" si="9"/>
        <v>-8509808.6993345134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-216058608.63999996</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58</v>
      </c>
      <c r="C24" s="266">
        <f>-C4*C30</f>
        <v>-70894230.959999979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45</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42</v>
      </c>
      <c r="C26" s="267">
        <f>SUM(C23:C25)</f>
        <v>-310584249.9199999</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174</v>
      </c>
      <c r="E28" s="237"/>
    </row>
    <row r="29" spans="1:17" ht="15.75" customHeight="1">
      <c r="A29" s="10"/>
      <c r="B29" s="25" t="s">
        <v>39</v>
      </c>
      <c r="C29" s="60">
        <v>0.64</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0.21</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42</v>
      </c>
      <c r="C32" s="68">
        <f>ABS(C26/$C$4)</f>
        <v>0.91999999999999982</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6.5441378288204566E-2</v>
      </c>
      <c r="H41" s="6">
        <f t="shared" si="16"/>
        <v>2.3699227695483018E-2</v>
      </c>
      <c r="I41" s="6">
        <f t="shared" si="16"/>
        <v>7.1349935595531738E-3</v>
      </c>
      <c r="J41" s="6">
        <f t="shared" si="16"/>
        <v>1.241774571776075E-3</v>
      </c>
      <c r="K41" s="6">
        <f t="shared" si="16"/>
        <v>8.127173878983486E-2</v>
      </c>
      <c r="L41" s="6">
        <f t="shared" si="16"/>
        <v>0.73422742753972003</v>
      </c>
      <c r="M41" s="6">
        <f t="shared" si="16"/>
        <v>-1.3945057675570385E-4</v>
      </c>
      <c r="N41" s="6">
        <f t="shared" si="16"/>
        <v>-1.205065958209939E-2</v>
      </c>
      <c r="O41" s="6">
        <f t="shared" si="16"/>
        <v>-4.1017408838807265E-2</v>
      </c>
      <c r="P41" s="6">
        <f t="shared" si="16"/>
        <v>1.3669024453189624E-3</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271</v>
      </c>
      <c r="C46" s="266">
        <f>BS!D75*C51</f>
        <v>321313.45291999989</v>
      </c>
      <c r="E46" s="237"/>
      <c r="G46" s="274">
        <f t="shared" ref="G46:Q46" si="17">IFERROR(IF(G$4="","",($C$46/$C$47)*G47),0)</f>
        <v>578532.31295909313</v>
      </c>
      <c r="H46" s="274">
        <f t="shared" si="17"/>
        <v>366780.69159024209</v>
      </c>
      <c r="I46" s="274">
        <f t="shared" si="17"/>
        <v>294642.33972589643</v>
      </c>
      <c r="J46" s="274">
        <f t="shared" si="17"/>
        <v>244541.21131968193</v>
      </c>
      <c r="K46" s="274">
        <f t="shared" si="17"/>
        <v>0</v>
      </c>
      <c r="L46" s="274">
        <f t="shared" si="17"/>
        <v>0</v>
      </c>
      <c r="M46" s="274">
        <f t="shared" si="17"/>
        <v>131688.16319208866</v>
      </c>
      <c r="N46" s="274">
        <f t="shared" si="17"/>
        <v>27267.184551960461</v>
      </c>
      <c r="O46" s="274">
        <f t="shared" si="17"/>
        <v>9709.7779136249446</v>
      </c>
      <c r="P46" s="274">
        <f t="shared" si="17"/>
        <v>6064.3006654856963</v>
      </c>
      <c r="Q46" s="274" t="str">
        <f t="shared" si="17"/>
        <v/>
      </c>
    </row>
    <row r="47" spans="1:17" ht="15.75" customHeight="1">
      <c r="A47" s="10"/>
      <c r="B47" s="245" t="s">
        <v>268</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64</v>
      </c>
      <c r="C48" s="267">
        <f>C45+C46</f>
        <v>-2737330.66708</v>
      </c>
      <c r="E48" s="237"/>
      <c r="G48" s="267">
        <f>IF(G$4="","",(G45+G46))</f>
        <v>-758505.68704090687</v>
      </c>
      <c r="H48" s="267">
        <f t="shared" ref="H48:Q48" si="18">IF(H$4="","",(H45+H46))</f>
        <v>-1058376.3084097579</v>
      </c>
      <c r="I48" s="267">
        <f t="shared" si="18"/>
        <v>-1334182.6602741035</v>
      </c>
      <c r="J48" s="267">
        <f t="shared" si="18"/>
        <v>-886393.78868031804</v>
      </c>
      <c r="K48" s="267">
        <f t="shared" si="18"/>
        <v>0</v>
      </c>
      <c r="L48" s="267">
        <f t="shared" si="18"/>
        <v>0</v>
      </c>
      <c r="M48" s="267">
        <f t="shared" si="18"/>
        <v>131688.16319208866</v>
      </c>
      <c r="N48" s="267">
        <f t="shared" si="18"/>
        <v>8053.1845519604612</v>
      </c>
      <c r="O48" s="267">
        <f t="shared" si="18"/>
        <v>-46271.222086375055</v>
      </c>
      <c r="P48" s="267">
        <f t="shared" si="18"/>
        <v>-50496.699334514306</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83</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86</v>
      </c>
      <c r="C53" s="40">
        <f>-C8/C45</f>
        <v>5.3220062358873061</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163</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0.91999999999999982</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44</v>
      </c>
      <c r="C72" s="75">
        <f t="shared" si="22"/>
        <v>8.000000000000014E-2</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41</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126</v>
      </c>
      <c r="C74" s="75">
        <f t="shared" si="22"/>
        <v>4.8218392392587565E-2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8.1084092781983415E-3</v>
      </c>
      <c r="D76" s="26"/>
      <c r="E76" s="234"/>
      <c r="F76" s="26"/>
      <c r="G76" s="6">
        <f t="shared" ref="G76:Q76" si="28">IF(G$4="","",ABS(G10/G$4))</f>
        <v>2.2468146155427376E-3</v>
      </c>
      <c r="H76" s="6">
        <f t="shared" si="28"/>
        <v>3.8243743674898508E-3</v>
      </c>
      <c r="I76" s="6">
        <f t="shared" si="28"/>
        <v>6.0657087844830093E-3</v>
      </c>
      <c r="J76" s="6">
        <f t="shared" si="28"/>
        <v>4.948382182157254E-3</v>
      </c>
      <c r="K76" s="6">
        <f t="shared" si="28"/>
        <v>0</v>
      </c>
      <c r="L76" s="6">
        <f t="shared" si="28"/>
        <v>0</v>
      </c>
      <c r="M76" s="6">
        <f t="shared" si="28"/>
        <v>2.018912443227949E-3</v>
      </c>
      <c r="N76" s="6">
        <f t="shared" si="28"/>
        <v>2.3736110698110269E-4</v>
      </c>
      <c r="O76" s="6">
        <f t="shared" si="28"/>
        <v>3.5625922210328021E-3</v>
      </c>
      <c r="P76" s="6">
        <f t="shared" si="28"/>
        <v>1.2564621668077307E-2</v>
      </c>
      <c r="Q76" s="6" t="str">
        <f t="shared" si="28"/>
        <v/>
      </c>
    </row>
    <row r="77" spans="1:17" ht="15.75" customHeight="1">
      <c r="A77" s="10"/>
      <c r="B77" s="67" t="s">
        <v>136</v>
      </c>
      <c r="C77" s="75">
        <f>C11/C4</f>
        <v>4.0109983114389222E-2</v>
      </c>
      <c r="D77" s="26"/>
      <c r="E77" s="234"/>
      <c r="F77" s="26"/>
      <c r="G77" s="62">
        <f t="shared" ref="G77:Q77" si="29">IF(G$4="","",G11/G$4)</f>
        <v>9.8545259058712684E-2</v>
      </c>
      <c r="H77" s="62">
        <f t="shared" si="29"/>
        <v>2.5087054312073354E-2</v>
      </c>
      <c r="I77" s="62">
        <f t="shared" si="29"/>
        <v>-4.472729870243293E-2</v>
      </c>
      <c r="J77" s="62">
        <f t="shared" si="29"/>
        <v>-0.13612418604044524</v>
      </c>
      <c r="K77" s="62">
        <f t="shared" si="29"/>
        <v>-2.8912114351113131E-2</v>
      </c>
      <c r="L77" s="62">
        <f t="shared" si="29"/>
        <v>7.3486495967010927E-3</v>
      </c>
      <c r="M77" s="62">
        <f t="shared" si="29"/>
        <v>-0.2075641855974415</v>
      </c>
      <c r="N77" s="62">
        <f t="shared" si="29"/>
        <v>-0.13260948300434208</v>
      </c>
      <c r="O77" s="62">
        <f t="shared" si="29"/>
        <v>-0.50288015863213431</v>
      </c>
      <c r="P77" s="62">
        <f t="shared" si="29"/>
        <v>-2.1203144145870891</v>
      </c>
      <c r="Q77" s="62" t="str">
        <f t="shared" si="29"/>
        <v/>
      </c>
    </row>
    <row r="78" spans="1:17" ht="15.75" customHeight="1">
      <c r="A78" s="10"/>
      <c r="B78" s="2" t="s">
        <v>59</v>
      </c>
      <c r="C78" s="74">
        <f>ABS(C12/C$4)</f>
        <v>1.0027495778597306E-2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128</v>
      </c>
      <c r="C80" s="75">
        <f>ABS(C14/C$4)</f>
        <v>3.0082487335791917E-2</v>
      </c>
      <c r="D80" s="26"/>
      <c r="E80" s="234"/>
      <c r="F80" s="26"/>
      <c r="G80" s="62">
        <f t="shared" ref="G80:Q80" si="32">IF(G$4="","",ABS(G14/G$4))</f>
        <v>9.2092935734152004E-2</v>
      </c>
      <c r="H80" s="62">
        <f t="shared" si="32"/>
        <v>2.4492510499722578E-2</v>
      </c>
      <c r="I80" s="62">
        <f t="shared" si="32"/>
        <v>4.4408169714254861E-2</v>
      </c>
      <c r="J80" s="62">
        <f t="shared" si="32"/>
        <v>0.1359551504876165</v>
      </c>
      <c r="K80" s="62">
        <f t="shared" si="32"/>
        <v>2.6562376545707631E-2</v>
      </c>
      <c r="L80" s="62">
        <f t="shared" si="32"/>
        <v>1.9530695074244479E-3</v>
      </c>
      <c r="M80" s="62">
        <f t="shared" si="32"/>
        <v>0.20759313054283687</v>
      </c>
      <c r="N80" s="62">
        <f t="shared" si="32"/>
        <v>0.13420751474138562</v>
      </c>
      <c r="O80" s="62">
        <f t="shared" si="32"/>
        <v>0.52350699969567283</v>
      </c>
      <c r="P80" s="62">
        <f t="shared" si="32"/>
        <v>2.1174161516289449</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546</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3.0082487335791917E-2</v>
      </c>
      <c r="D85" s="72"/>
      <c r="E85" s="234"/>
      <c r="F85" s="72"/>
      <c r="G85" s="62">
        <f t="shared" ref="G85:Q85" si="35">IF(G$4="","",ABS(G19/G$4))</f>
        <v>9.2092935734152004E-2</v>
      </c>
      <c r="H85" s="62">
        <f t="shared" si="35"/>
        <v>2.4492510499722578E-2</v>
      </c>
      <c r="I85" s="62">
        <f t="shared" si="35"/>
        <v>4.4408169714254861E-2</v>
      </c>
      <c r="J85" s="62">
        <f t="shared" si="35"/>
        <v>0.1359551504876165</v>
      </c>
      <c r="K85" s="62">
        <f t="shared" si="35"/>
        <v>2.6562376545707631E-2</v>
      </c>
      <c r="L85" s="62">
        <f t="shared" si="35"/>
        <v>1.9530695074244479E-3</v>
      </c>
      <c r="M85" s="62">
        <f t="shared" si="35"/>
        <v>0.20759313054283687</v>
      </c>
      <c r="N85" s="62">
        <f t="shared" si="35"/>
        <v>0.13420751474138562</v>
      </c>
      <c r="O85" s="62">
        <f t="shared" si="35"/>
        <v>0.52350699969567283</v>
      </c>
      <c r="P85" s="62">
        <f t="shared" si="35"/>
        <v>2.1174161516289449</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136</v>
      </c>
      <c r="C96" s="74">
        <f>C11/G11-1</f>
        <v>-0.59297906872930417</v>
      </c>
      <c r="D96" s="26"/>
      <c r="E96" s="234"/>
      <c r="F96" s="26"/>
      <c r="G96" s="6">
        <f t="shared" ref="G96:Q96" si="40">IF(H5="","",G11/H11-1)</f>
        <v>3.791791971729003</v>
      </c>
      <c r="H96" s="6">
        <f t="shared" si="40"/>
        <v>-1.7057046434923944</v>
      </c>
      <c r="I96" s="6">
        <f t="shared" si="40"/>
        <v>-0.59653335185115419</v>
      </c>
      <c r="J96" s="6">
        <f t="shared" si="40"/>
        <v>6.3467928396314015</v>
      </c>
      <c r="K96" s="6">
        <f t="shared" si="40"/>
        <v>-5.6308610400682015</v>
      </c>
      <c r="L96" s="6">
        <f t="shared" si="40"/>
        <v>-1.0529367832163894</v>
      </c>
      <c r="M96" s="6">
        <f t="shared" si="40"/>
        <v>2.0091857752878246</v>
      </c>
      <c r="N96" s="6">
        <f t="shared" si="40"/>
        <v>-0.31115213040660317</v>
      </c>
      <c r="O96" s="6">
        <f t="shared" si="40"/>
        <v>-0.23352937736614321</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178</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27</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552</v>
      </c>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303</v>
      </c>
      <c r="C113" s="151"/>
      <c r="E113" s="459">
        <f>(Normalized_FCF!E117/Normalized_FCF!C117)^(1/DCF!C15)-1</f>
        <v>0</v>
      </c>
      <c r="G113" s="251">
        <f>IF(G$4="","",Data!C$22/G19)</f>
        <v>-7.6313776622258305E-3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35</v>
      </c>
      <c r="C115" s="451" t="s">
        <v>326</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4.0109983114389222E-2</v>
      </c>
      <c r="E116" s="22">
        <f>E119/E117/E118</f>
        <v>8.1887809309554582E-2</v>
      </c>
      <c r="G116" s="22">
        <f t="shared" ref="G116:Q116" si="44">IF(G4="","",G77)</f>
        <v>9.8545259058712684E-2</v>
      </c>
      <c r="H116" s="22">
        <f t="shared" si="44"/>
        <v>2.5087054312073354E-2</v>
      </c>
      <c r="I116" s="22">
        <f t="shared" si="44"/>
        <v>-4.472729870243293E-2</v>
      </c>
      <c r="J116" s="22">
        <f t="shared" si="44"/>
        <v>-0.13612418604044524</v>
      </c>
      <c r="K116" s="22">
        <f t="shared" si="44"/>
        <v>-2.8912114351113131E-2</v>
      </c>
      <c r="L116" s="22">
        <f t="shared" si="44"/>
        <v>7.3486495967010927E-3</v>
      </c>
      <c r="M116" s="22">
        <f t="shared" si="44"/>
        <v>-0.2075641855974415</v>
      </c>
      <c r="N116" s="22">
        <f t="shared" si="44"/>
        <v>-0.13260948300434208</v>
      </c>
      <c r="O116" s="22">
        <f t="shared" si="44"/>
        <v>-0.50288015863213431</v>
      </c>
      <c r="P116" s="22">
        <f t="shared" si="44"/>
        <v>-2.1203144145870891</v>
      </c>
      <c r="Q116" s="22" t="str">
        <f t="shared" si="44"/>
        <v/>
      </c>
    </row>
    <row r="117" spans="1:17" ht="15.75" customHeight="1">
      <c r="B117" s="7" t="s">
        <v>79</v>
      </c>
      <c r="C117" s="452">
        <f>G117</f>
        <v>1.022390799101176</v>
      </c>
      <c r="E117" s="452">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87</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190</v>
      </c>
      <c r="C119" s="62">
        <f>C11/C104</f>
        <v>7.347244379703273E-2</v>
      </c>
      <c r="D119" s="100"/>
      <c r="E119" s="453">
        <v>0.15</v>
      </c>
      <c r="F119" s="100"/>
      <c r="G119" s="99">
        <f t="shared" ref="G119:Q119" si="47">IF(G$4="","",G11/G104)</f>
        <v>0.18051269149145724</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1.254697941818427</v>
      </c>
      <c r="D123" s="26"/>
      <c r="E123" s="234"/>
      <c r="F123" s="26"/>
      <c r="G123" s="159">
        <f t="shared" ref="G123:Q123" si="48">IF(G$4="","",G14*$C$3/Common_Shares*Exchange_Rate)</f>
        <v>3.8410659209080125</v>
      </c>
      <c r="H123" s="159">
        <f t="shared" si="48"/>
        <v>0.8374268008619743</v>
      </c>
      <c r="I123" s="159">
        <f t="shared" si="48"/>
        <v>-1.2067865249454697</v>
      </c>
      <c r="J123" s="159">
        <f t="shared" si="48"/>
        <v>-3.0087976180612759</v>
      </c>
      <c r="K123" s="159">
        <f t="shared" si="48"/>
        <v>-0.37672278627863448</v>
      </c>
      <c r="L123" s="159">
        <f t="shared" si="48"/>
        <v>2.3533321307403477E-2</v>
      </c>
      <c r="M123" s="159">
        <f t="shared" si="48"/>
        <v>-1.6729234757084848</v>
      </c>
      <c r="N123" s="159">
        <f t="shared" si="48"/>
        <v>-0.56255989656719141</v>
      </c>
      <c r="O123" s="159">
        <f t="shared" si="48"/>
        <v>-0.84004236625683804</v>
      </c>
      <c r="P123" s="159">
        <f t="shared" si="48"/>
        <v>-1.0513653002203716</v>
      </c>
      <c r="Q123" s="159" t="str">
        <f t="shared" si="48"/>
        <v/>
      </c>
    </row>
    <row r="124" spans="1:17" ht="15.75" customHeight="1">
      <c r="A124" s="10"/>
      <c r="B124" s="26" t="s">
        <v>225</v>
      </c>
      <c r="C124" s="74">
        <f>C19*Exchange_Rate*$C$3/(Market_Price*Common_Shares)</f>
        <v>1.5089572361015356E-2</v>
      </c>
      <c r="D124" s="26"/>
      <c r="E124" s="234"/>
      <c r="F124" s="26"/>
      <c r="G124" s="74">
        <f t="shared" ref="G124" si="49">IF(G$4="","",G123/Market_Price)</f>
        <v>4.6194418772194976E-2</v>
      </c>
      <c r="H124" s="74">
        <f t="shared" ref="H124" si="50">IF(H$4="","",H123/Market_Price)</f>
        <v>1.0071278422874013E-2</v>
      </c>
      <c r="I124" s="74">
        <f t="shared" ref="I124" si="51">IF(I$4="","",I123/Market_Price)</f>
        <v>-1.4513367708303904E-2</v>
      </c>
      <c r="J124" s="74">
        <f t="shared" ref="J124" si="52">IF(J$4="","",J123/Market_Price)</f>
        <v>-3.6185178810117569E-2</v>
      </c>
      <c r="K124" s="74">
        <f t="shared" ref="K124" si="53">IF(K$4="","",K123/Market_Price)</f>
        <v>-4.5306408452030602E-3</v>
      </c>
      <c r="L124" s="74">
        <f t="shared" ref="L124" si="54">IF(L$4="","",L123/Market_Price)</f>
        <v>2.8302250520028234E-4</v>
      </c>
      <c r="M124" s="74">
        <f t="shared" ref="M124" si="55">IF(M$4="","",M123/Market_Price)</f>
        <v>-2.0119344265886768E-2</v>
      </c>
      <c r="N124" s="74">
        <f t="shared" ref="N124" si="56">IF(N$4="","",N123/Market_Price)</f>
        <v>-6.7656030855946046E-3</v>
      </c>
      <c r="O124" s="74">
        <f t="shared" ref="O124" si="57">IF(O$4="","",O123/Market_Price)</f>
        <v>-1.0102734410785784E-2</v>
      </c>
      <c r="P124" s="74">
        <f t="shared" ref="P124" si="58">IF(P$4="","",P123/Market_Price)</f>
        <v>-1.2644200844502363E-2</v>
      </c>
      <c r="Q124" s="74" t="str">
        <f t="shared" ref="Q124" si="59">IF(Q$4="","",Q123/Market_Price)</f>
        <v/>
      </c>
    </row>
    <row r="125" spans="1:17" ht="15.75" customHeight="1">
      <c r="B125" s="2" t="s">
        <v>305</v>
      </c>
      <c r="C125" s="151"/>
      <c r="G125" s="22">
        <f>IF(G$4="","",(Data!C47*$C$3)/(Market_Price*Common_Shares))</f>
        <v>4.6482458739802661E-2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10155594.309690032</v>
      </c>
      <c r="D4" t="str">
        <f>Reporting_currency</f>
        <v>CNY</v>
      </c>
      <c r="E4" s="135" t="s">
        <v>430</v>
      </c>
      <c r="F4" s="275">
        <f>-BS!G31</f>
        <v>-50977402</v>
      </c>
      <c r="G4" t="str">
        <f>Reporting_currency</f>
        <v>CNY</v>
      </c>
      <c r="H4" s="308" t="s">
        <v>393</v>
      </c>
      <c r="I4" s="305">
        <f>Normalized_FCF!C4</f>
        <v>337591575.99999994</v>
      </c>
      <c r="J4" s="305"/>
    </row>
    <row r="5" spans="2:15">
      <c r="B5" s="187" t="s">
        <v>104</v>
      </c>
      <c r="C5" s="188">
        <f>Equity_Cost</f>
        <v>7.2499999999999995E-2</v>
      </c>
      <c r="E5" s="135" t="s">
        <v>431</v>
      </c>
      <c r="F5" s="275">
        <f>BS!D66</f>
        <v>66024762.846666686</v>
      </c>
      <c r="G5" t="str">
        <f>Reporting_currency</f>
        <v>CNY</v>
      </c>
      <c r="H5" s="308" t="s">
        <v>394</v>
      </c>
      <c r="I5" s="305">
        <f>Normalized_FCF!C7</f>
        <v>-10729203</v>
      </c>
      <c r="J5" s="305"/>
    </row>
    <row r="6" spans="2:15" ht="13.25" customHeight="1">
      <c r="B6" s="136" t="s">
        <v>193</v>
      </c>
      <c r="C6" s="283">
        <f>(C4*(1+Terminal_Growth))/(Equity_Cost-Terminal_Growth)</f>
        <v>197308689.44540638</v>
      </c>
      <c r="D6" t="str">
        <f>Reporting_currency</f>
        <v>CNY</v>
      </c>
      <c r="E6" s="187" t="s">
        <v>432</v>
      </c>
      <c r="F6" s="284">
        <f>BS!H42</f>
        <v>57918846.499999993</v>
      </c>
      <c r="G6" t="str">
        <f>Reporting_currency</f>
        <v>CNY</v>
      </c>
      <c r="H6" s="308" t="s">
        <v>415</v>
      </c>
      <c r="I6" s="305">
        <f>I7+I8</f>
        <v>-2737330.66708</v>
      </c>
      <c r="J6" s="305"/>
      <c r="N6" s="135"/>
    </row>
    <row r="7" spans="2:15" ht="12.75" customHeight="1">
      <c r="B7" s="318" t="s">
        <v>429</v>
      </c>
      <c r="C7" s="275">
        <f>F7</f>
        <v>72966207.346666679</v>
      </c>
      <c r="E7" s="140" t="s">
        <v>423</v>
      </c>
      <c r="F7" s="283">
        <f>SUM(F4:F6)</f>
        <v>72966207.346666679</v>
      </c>
      <c r="G7" t="str">
        <f>Reporting_currency</f>
        <v>CNY</v>
      </c>
      <c r="H7" s="312" t="s">
        <v>416</v>
      </c>
      <c r="I7" s="313">
        <f>Normalized_FCF!C9</f>
        <v>0</v>
      </c>
      <c r="J7" s="313"/>
      <c r="N7" s="304"/>
      <c r="O7" s="304"/>
    </row>
    <row r="8" spans="2:15" ht="13.15">
      <c r="B8" s="136" t="s">
        <v>425</v>
      </c>
      <c r="C8" s="283">
        <f>C6+C7</f>
        <v>270274896.79207307</v>
      </c>
      <c r="D8" t="str">
        <f>Reporting_currency</f>
        <v>CNY</v>
      </c>
      <c r="E8" s="140" t="s">
        <v>463</v>
      </c>
      <c r="F8" s="108">
        <f>FV_adjustments*scaling_factor/Common_Shares*Exchange_Rate</f>
        <v>9.0147900150762847</v>
      </c>
      <c r="G8" s="294" t="str">
        <f>Market_currency</f>
        <v>HKD</v>
      </c>
      <c r="H8" s="314" t="str">
        <f>Normalized_FCF!B10</f>
        <v>Net Interest Income</v>
      </c>
      <c r="I8" s="313">
        <f>Normalized_FCF!C10</f>
        <v>-2737330.66708</v>
      </c>
      <c r="J8" s="313"/>
      <c r="N8" s="304"/>
      <c r="O8" s="304"/>
    </row>
    <row r="9" spans="2:15" ht="13.15" thickBot="1">
      <c r="B9" s="189" t="str">
        <f>"*"&amp;Thesis!E15</f>
        <v>*CNY/HKD</v>
      </c>
      <c r="C9" s="190">
        <f>Exchange_Rate</f>
        <v>1.1445970000000001</v>
      </c>
      <c r="D9" t="str">
        <f>Thesis!E15</f>
        <v>CNY/HKD</v>
      </c>
      <c r="F9" s="322"/>
      <c r="H9" s="308" t="str">
        <f>Normalized_FCF!B79</f>
        <v>NCI’s Share of Profits</v>
      </c>
      <c r="I9" s="144">
        <f>Normalized_FCF!C79</f>
        <v>0</v>
      </c>
      <c r="J9" s="306"/>
      <c r="N9" s="304"/>
      <c r="O9" s="304"/>
    </row>
    <row r="10" spans="2:15" ht="13.5" thickTop="1">
      <c r="B10" s="107" t="s">
        <v>426</v>
      </c>
      <c r="C10" s="283">
        <f>C8*Exchange_Rate</f>
        <v>309355836.04351646</v>
      </c>
      <c r="D10" t="str">
        <f>Market_currency</f>
        <v>HKD</v>
      </c>
      <c r="H10" s="308" t="s">
        <v>396</v>
      </c>
      <c r="I10" s="306">
        <f>Normalized_FCF!C41</f>
        <v>0.25</v>
      </c>
      <c r="N10" s="304"/>
      <c r="O10" s="304"/>
    </row>
    <row r="11" spans="2:15" ht="13.15">
      <c r="B11" s="136" t="s">
        <v>424</v>
      </c>
      <c r="C11" s="108">
        <f>(C10*scaling_factor)/Common_Shares</f>
        <v>33.391778598977155</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15</v>
      </c>
      <c r="E15" s="308" t="str">
        <f>IF(F14="II","Change year","Terminal Year")</f>
        <v>Change year</v>
      </c>
      <c r="F15" s="310">
        <f>IF(F14="II",_xlfn.CEILING.MATH(C15/2),C15+1)</f>
        <v>8</v>
      </c>
      <c r="H15" s="97" t="s">
        <v>428</v>
      </c>
      <c r="I15" s="126">
        <f>Terminal_Growth</f>
        <v>0.02</v>
      </c>
      <c r="J15" s="126"/>
    </row>
    <row r="16" spans="2:15" ht="13.25" customHeight="1">
      <c r="B16" s="114" t="s">
        <v>421</v>
      </c>
      <c r="C16" s="147">
        <f>Scenarios!C46</f>
        <v>0.185</v>
      </c>
      <c r="E16" s="308" t="s">
        <v>399</v>
      </c>
      <c r="F16" s="311">
        <f>Scenarios!C41</f>
        <v>9.2499999999999999E-2</v>
      </c>
    </row>
    <row r="17" spans="1:21" ht="13.25" customHeight="1">
      <c r="B17" s="308" t="s">
        <v>547</v>
      </c>
      <c r="C17" s="306">
        <f>Normalized_FCF!C77</f>
        <v>4.0109983114389222E-2</v>
      </c>
      <c r="E17" s="308" t="s">
        <v>548</v>
      </c>
      <c r="F17" s="311">
        <f>Scenarios!C40</f>
        <v>8.1887809309554582E-2</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151.15907792930057</v>
      </c>
      <c r="J18" t="str">
        <f>Market_currency</f>
        <v>HKD</v>
      </c>
    </row>
    <row r="19" spans="1:21">
      <c r="L19" s="275"/>
    </row>
    <row r="20" spans="1:21" ht="13.15">
      <c r="A20" s="121" t="s">
        <v>398</v>
      </c>
      <c r="B20" s="121" t="s">
        <v>97</v>
      </c>
      <c r="C20" s="121" t="s">
        <v>393</v>
      </c>
      <c r="D20" s="121" t="s">
        <v>101</v>
      </c>
      <c r="E20" s="121" t="s">
        <v>547</v>
      </c>
      <c r="F20" s="121" t="s">
        <v>549</v>
      </c>
      <c r="G20" s="121" t="str">
        <f>B18</f>
        <v>D&amp;A - maint. Capx</v>
      </c>
      <c r="H20" s="121" t="s">
        <v>551</v>
      </c>
      <c r="I20" s="121" t="s">
        <v>528</v>
      </c>
      <c r="J20" s="121" t="s">
        <v>550</v>
      </c>
      <c r="K20" s="121" t="s">
        <v>529</v>
      </c>
      <c r="L20" s="122" t="s">
        <v>418</v>
      </c>
    </row>
    <row r="21" spans="1:21">
      <c r="A21" s="302" t="str">
        <f t="shared" ref="A21:A50" si="0">IF($C$15&lt;B21,"",IF(B21&gt;=$F$15,"II","I"))</f>
        <v>I</v>
      </c>
      <c r="B21" s="117">
        <v>1</v>
      </c>
      <c r="C21" s="277">
        <f>I4*(1+D21)</f>
        <v>400046017.55999994</v>
      </c>
      <c r="D21" s="299">
        <f t="shared" ref="D21:D50" si="1">IF(A21="",0,IF(A21="I",$C$16,$F$16))</f>
        <v>0.185</v>
      </c>
      <c r="E21" s="299">
        <f>$C$17</f>
        <v>4.0109983114389222E-2</v>
      </c>
      <c r="F21" s="277">
        <f>C21*E21</f>
        <v>16045839.009310251</v>
      </c>
      <c r="G21" s="299">
        <f t="shared" ref="G21:G50" si="2">IF(A21="",0%,IF(A21="I",$C$18,$F$18))</f>
        <v>0</v>
      </c>
      <c r="H21" s="277">
        <f>(F21*(1-$I$10)+C21*(G21-$I$9))</f>
        <v>12034379.256982688</v>
      </c>
      <c r="I21" s="299">
        <f>H21/C4-1</f>
        <v>0.18500000000000005</v>
      </c>
      <c r="J21" s="299">
        <f>H21/C21</f>
        <v>3.0082487335791913E-2</v>
      </c>
      <c r="K21" s="119">
        <f t="shared" ref="K21:K50" si="3">IF($C$15&lt;B21,0,1/(1+Equity_Cost)^B21)</f>
        <v>0.93240093240093236</v>
      </c>
      <c r="L21" s="277">
        <f t="shared" ref="L21:L51" si="4">H21*K21</f>
        <v>11220866.440077098</v>
      </c>
    </row>
    <row r="22" spans="1:21">
      <c r="A22" s="302" t="str">
        <f t="shared" si="0"/>
        <v>I</v>
      </c>
      <c r="B22" s="117">
        <v>2</v>
      </c>
      <c r="C22" s="277">
        <f t="shared" ref="C22:C50" si="5">IF(A22="",0,C21*(1+D22))</f>
        <v>474054530.80859995</v>
      </c>
      <c r="D22" s="299">
        <f t="shared" si="1"/>
        <v>0.185</v>
      </c>
      <c r="E22" s="299">
        <f t="shared" ref="E22:E50" si="6">IF($C$15&lt;B22,0,IF(B22&gt;=$F$15,$F$17,$C$17))</f>
        <v>4.0109983114389222E-2</v>
      </c>
      <c r="F22" s="277">
        <f t="shared" ref="F22:F50" si="7">IF(A22="", 0,C22*E22)</f>
        <v>19014319.226032648</v>
      </c>
      <c r="G22" s="299">
        <f t="shared" si="2"/>
        <v>0</v>
      </c>
      <c r="H22" s="277">
        <f t="shared" ref="H22:H50" si="8">IF(A22="", 0,F22*(1-$I$10)+C22*(G22-$I$9))</f>
        <v>14260739.419524487</v>
      </c>
      <c r="I22" s="299">
        <f t="shared" ref="I22:I50" si="9">IF(A22="", 0,H22/H21-1)</f>
        <v>0.18500000000000028</v>
      </c>
      <c r="J22" s="299">
        <f>IF(A22="", 0,H22/C22)</f>
        <v>3.0082487335791917E-2</v>
      </c>
      <c r="K22" s="119">
        <f t="shared" si="3"/>
        <v>0.86937149874212816</v>
      </c>
      <c r="L22" s="277">
        <f t="shared" si="4"/>
        <v>12397880.40232295</v>
      </c>
    </row>
    <row r="23" spans="1:21">
      <c r="A23" s="302" t="str">
        <f t="shared" si="0"/>
        <v>I</v>
      </c>
      <c r="B23" s="117">
        <v>3</v>
      </c>
      <c r="C23" s="277">
        <f t="shared" si="5"/>
        <v>561754619.00819099</v>
      </c>
      <c r="D23" s="299">
        <f t="shared" si="1"/>
        <v>0.185</v>
      </c>
      <c r="E23" s="299">
        <f t="shared" si="6"/>
        <v>4.0109983114389222E-2</v>
      </c>
      <c r="F23" s="277">
        <f t="shared" si="7"/>
        <v>22531968.28284869</v>
      </c>
      <c r="G23" s="299">
        <f t="shared" si="2"/>
        <v>0</v>
      </c>
      <c r="H23" s="277">
        <f t="shared" si="8"/>
        <v>16898976.212136518</v>
      </c>
      <c r="I23" s="299">
        <f t="shared" si="9"/>
        <v>0.18500000000000005</v>
      </c>
      <c r="J23" s="299">
        <f t="shared" ref="J23:J50" si="10">IF(A23="", 0,H23/C23)</f>
        <v>3.0082487335791917E-2</v>
      </c>
      <c r="K23" s="119">
        <f t="shared" si="3"/>
        <v>0.81060279602995633</v>
      </c>
      <c r="L23" s="277">
        <f t="shared" si="4"/>
        <v>13698357.367601583</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4.0109983114389222E-2</v>
      </c>
      <c r="F24" s="277">
        <f t="shared" si="7"/>
        <v>26700382.415175702</v>
      </c>
      <c r="G24" s="299">
        <f t="shared" si="2"/>
        <v>0</v>
      </c>
      <c r="H24" s="277">
        <f t="shared" si="8"/>
        <v>20025286.811381776</v>
      </c>
      <c r="I24" s="299">
        <f t="shared" si="9"/>
        <v>0.18500000000000005</v>
      </c>
      <c r="J24" s="299">
        <f t="shared" si="10"/>
        <v>3.0082487335791917E-2</v>
      </c>
      <c r="K24" s="119">
        <f t="shared" si="3"/>
        <v>0.75580680282513402</v>
      </c>
      <c r="L24" s="277">
        <f t="shared" si="4"/>
        <v>15135248.000566782</v>
      </c>
      <c r="N24" s="275"/>
      <c r="O24" s="275"/>
      <c r="P24" s="275"/>
      <c r="Q24" s="275"/>
      <c r="R24" s="275"/>
      <c r="S24" s="275"/>
      <c r="T24" s="275"/>
      <c r="U24" s="275"/>
    </row>
    <row r="25" spans="1:21">
      <c r="A25" s="302" t="str">
        <f t="shared" si="0"/>
        <v>I</v>
      </c>
      <c r="B25" s="117">
        <v>5</v>
      </c>
      <c r="C25" s="277">
        <f t="shared" si="5"/>
        <v>788829879.87677705</v>
      </c>
      <c r="D25" s="299">
        <f t="shared" si="1"/>
        <v>0.185</v>
      </c>
      <c r="E25" s="299">
        <f t="shared" si="6"/>
        <v>4.0109983114389222E-2</v>
      </c>
      <c r="F25" s="277">
        <f t="shared" si="7"/>
        <v>31639953.161983207</v>
      </c>
      <c r="G25" s="299">
        <f t="shared" si="2"/>
        <v>0</v>
      </c>
      <c r="H25" s="277">
        <f t="shared" si="8"/>
        <v>23729964.871487405</v>
      </c>
      <c r="I25" s="299">
        <f t="shared" si="9"/>
        <v>0.18500000000000005</v>
      </c>
      <c r="J25" s="299">
        <f t="shared" si="10"/>
        <v>3.0082487335791917E-2</v>
      </c>
      <c r="K25" s="119">
        <f t="shared" si="3"/>
        <v>0.70471496766912267</v>
      </c>
      <c r="L25" s="277">
        <f t="shared" si="4"/>
        <v>16722861.427199664</v>
      </c>
      <c r="N25" s="275"/>
      <c r="O25" s="275"/>
      <c r="P25" s="275"/>
      <c r="Q25" s="275"/>
      <c r="R25" s="275"/>
      <c r="S25" s="275"/>
      <c r="T25" s="275"/>
      <c r="U25" s="275"/>
    </row>
    <row r="26" spans="1:21">
      <c r="A26" s="302" t="str">
        <f t="shared" si="0"/>
        <v>I</v>
      </c>
      <c r="B26" s="117">
        <v>6</v>
      </c>
      <c r="C26" s="277">
        <f t="shared" si="5"/>
        <v>934763407.65398085</v>
      </c>
      <c r="D26" s="299">
        <f t="shared" si="1"/>
        <v>0.185</v>
      </c>
      <c r="E26" s="299">
        <f t="shared" si="6"/>
        <v>4.0109983114389222E-2</v>
      </c>
      <c r="F26" s="277">
        <f t="shared" si="7"/>
        <v>37493344.496950097</v>
      </c>
      <c r="G26" s="299">
        <f t="shared" si="2"/>
        <v>0</v>
      </c>
      <c r="H26" s="277">
        <f t="shared" si="8"/>
        <v>28120008.372712575</v>
      </c>
      <c r="I26" s="299">
        <f t="shared" si="9"/>
        <v>0.18500000000000005</v>
      </c>
      <c r="J26" s="299">
        <f t="shared" si="10"/>
        <v>3.0082487335791917E-2</v>
      </c>
      <c r="K26" s="119">
        <f t="shared" si="3"/>
        <v>0.65707689293158289</v>
      </c>
      <c r="L26" s="277">
        <f t="shared" si="4"/>
        <v>18477007.730752073</v>
      </c>
    </row>
    <row r="27" spans="1:21">
      <c r="A27" s="302" t="str">
        <f t="shared" si="0"/>
        <v>I</v>
      </c>
      <c r="B27" s="117">
        <v>7</v>
      </c>
      <c r="C27" s="277">
        <f t="shared" si="5"/>
        <v>1107694638.0699673</v>
      </c>
      <c r="D27" s="299">
        <f t="shared" si="1"/>
        <v>0.185</v>
      </c>
      <c r="E27" s="299">
        <f t="shared" si="6"/>
        <v>4.0109983114389222E-2</v>
      </c>
      <c r="F27" s="277">
        <f t="shared" si="7"/>
        <v>44429613.228885867</v>
      </c>
      <c r="G27" s="299">
        <f t="shared" si="2"/>
        <v>0</v>
      </c>
      <c r="H27" s="277">
        <f t="shared" si="8"/>
        <v>33322209.921664402</v>
      </c>
      <c r="I27" s="299">
        <f t="shared" si="9"/>
        <v>0.18500000000000005</v>
      </c>
      <c r="J27" s="299">
        <f t="shared" si="10"/>
        <v>3.0082487335791917E-2</v>
      </c>
      <c r="K27" s="119">
        <f t="shared" si="3"/>
        <v>0.61265910762851561</v>
      </c>
      <c r="L27" s="277">
        <f t="shared" si="4"/>
        <v>20415155.39481698</v>
      </c>
    </row>
    <row r="28" spans="1:21">
      <c r="A28" s="302" t="str">
        <f t="shared" si="0"/>
        <v>II</v>
      </c>
      <c r="B28" s="117">
        <v>8</v>
      </c>
      <c r="C28" s="277">
        <f t="shared" si="5"/>
        <v>1210156392.0914392</v>
      </c>
      <c r="D28" s="299">
        <f t="shared" si="1"/>
        <v>9.2499999999999999E-2</v>
      </c>
      <c r="E28" s="299">
        <f t="shared" si="6"/>
        <v>8.1887809309554582E-2</v>
      </c>
      <c r="F28" s="277">
        <f t="shared" si="7"/>
        <v>99097055.870322347</v>
      </c>
      <c r="G28" s="299">
        <f t="shared" si="2"/>
        <v>0</v>
      </c>
      <c r="H28" s="277">
        <f t="shared" si="8"/>
        <v>74322791.90274176</v>
      </c>
      <c r="I28" s="299">
        <f t="shared" si="9"/>
        <v>1.2304280561662528</v>
      </c>
      <c r="J28" s="299">
        <f t="shared" si="10"/>
        <v>6.1415856982165937E-2</v>
      </c>
      <c r="K28" s="119">
        <f t="shared" si="3"/>
        <v>0.5712439231967511</v>
      </c>
      <c r="L28" s="277">
        <f t="shared" si="4"/>
        <v>42456443.22945793</v>
      </c>
    </row>
    <row r="29" spans="1:21">
      <c r="A29" s="302" t="str">
        <f t="shared" si="0"/>
        <v>II</v>
      </c>
      <c r="B29" s="117">
        <v>9</v>
      </c>
      <c r="C29" s="277">
        <f t="shared" si="5"/>
        <v>1322095858.3598974</v>
      </c>
      <c r="D29" s="299">
        <f t="shared" si="1"/>
        <v>9.2499999999999999E-2</v>
      </c>
      <c r="E29" s="299">
        <f t="shared" si="6"/>
        <v>8.1887809309554582E-2</v>
      </c>
      <c r="F29" s="277">
        <f t="shared" si="7"/>
        <v>108263533.53832716</v>
      </c>
      <c r="G29" s="299">
        <f t="shared" si="2"/>
        <v>0</v>
      </c>
      <c r="H29" s="277">
        <f t="shared" si="8"/>
        <v>81197650.153745368</v>
      </c>
      <c r="I29" s="299">
        <f t="shared" si="9"/>
        <v>9.2500000000000027E-2</v>
      </c>
      <c r="J29" s="299">
        <f t="shared" si="10"/>
        <v>6.1415856982165937E-2</v>
      </c>
      <c r="K29" s="119">
        <f t="shared" si="3"/>
        <v>0.53262836661701729</v>
      </c>
      <c r="L29" s="277">
        <f t="shared" si="4"/>
        <v>43248171.774529397</v>
      </c>
    </row>
    <row r="30" spans="1:21">
      <c r="A30" s="302" t="str">
        <f t="shared" si="0"/>
        <v>II</v>
      </c>
      <c r="B30" s="117">
        <v>10</v>
      </c>
      <c r="C30" s="277">
        <f t="shared" si="5"/>
        <v>1444389725.258188</v>
      </c>
      <c r="D30" s="299">
        <f t="shared" si="1"/>
        <v>9.2499999999999999E-2</v>
      </c>
      <c r="E30" s="299">
        <f t="shared" si="6"/>
        <v>8.1887809309554582E-2</v>
      </c>
      <c r="F30" s="277">
        <f t="shared" si="7"/>
        <v>118277910.39062244</v>
      </c>
      <c r="G30" s="299">
        <f t="shared" si="2"/>
        <v>0</v>
      </c>
      <c r="H30" s="277">
        <f t="shared" si="8"/>
        <v>88708432.792966828</v>
      </c>
      <c r="I30" s="299">
        <f t="shared" si="9"/>
        <v>9.2500000000000249E-2</v>
      </c>
      <c r="J30" s="299">
        <f t="shared" si="10"/>
        <v>6.1415856982165937E-2</v>
      </c>
      <c r="K30" s="119">
        <f t="shared" si="3"/>
        <v>0.49662318565689262</v>
      </c>
      <c r="L30" s="277">
        <f t="shared" si="4"/>
        <v>44054664.488273546</v>
      </c>
    </row>
    <row r="31" spans="1:21">
      <c r="A31" s="302" t="str">
        <f t="shared" si="0"/>
        <v>II</v>
      </c>
      <c r="B31" s="117">
        <v>11</v>
      </c>
      <c r="C31" s="277">
        <f t="shared" si="5"/>
        <v>1577995774.8445704</v>
      </c>
      <c r="D31" s="299">
        <f t="shared" si="1"/>
        <v>9.2499999999999999E-2</v>
      </c>
      <c r="E31" s="299">
        <f t="shared" si="6"/>
        <v>8.1887809309554582E-2</v>
      </c>
      <c r="F31" s="277">
        <f t="shared" si="7"/>
        <v>129218617.10175501</v>
      </c>
      <c r="G31" s="299">
        <f t="shared" si="2"/>
        <v>0</v>
      </c>
      <c r="H31" s="277">
        <f t="shared" si="8"/>
        <v>96913962.826316252</v>
      </c>
      <c r="I31" s="299">
        <f t="shared" si="9"/>
        <v>9.2500000000000027E-2</v>
      </c>
      <c r="J31" s="299">
        <f t="shared" si="10"/>
        <v>6.1415856982165937E-2</v>
      </c>
      <c r="K31" s="119">
        <f t="shared" si="3"/>
        <v>0.46305192135840806</v>
      </c>
      <c r="L31" s="277">
        <f t="shared" si="4"/>
        <v>44876196.693183072</v>
      </c>
    </row>
    <row r="32" spans="1:21">
      <c r="A32" s="302" t="str">
        <f t="shared" si="0"/>
        <v>II</v>
      </c>
      <c r="B32" s="117">
        <v>12</v>
      </c>
      <c r="C32" s="277">
        <f t="shared" si="5"/>
        <v>1723960384.0176933</v>
      </c>
      <c r="D32" s="299">
        <f t="shared" si="1"/>
        <v>9.2499999999999999E-2</v>
      </c>
      <c r="E32" s="299">
        <f t="shared" si="6"/>
        <v>8.1887809309554582E-2</v>
      </c>
      <c r="F32" s="277">
        <f t="shared" si="7"/>
        <v>141171339.18366736</v>
      </c>
      <c r="G32" s="299">
        <f t="shared" si="2"/>
        <v>0</v>
      </c>
      <c r="H32" s="277">
        <f t="shared" si="8"/>
        <v>105878504.38775052</v>
      </c>
      <c r="I32" s="299">
        <f t="shared" si="9"/>
        <v>9.2500000000000249E-2</v>
      </c>
      <c r="J32" s="299">
        <f t="shared" si="10"/>
        <v>6.1415856982165937E-2</v>
      </c>
      <c r="K32" s="119">
        <f t="shared" si="3"/>
        <v>0.43175004322462285</v>
      </c>
      <c r="L32" s="277">
        <f t="shared" si="4"/>
        <v>45713048.845969707</v>
      </c>
    </row>
    <row r="33" spans="1:21">
      <c r="A33" s="302" t="str">
        <f t="shared" si="0"/>
        <v>II</v>
      </c>
      <c r="B33" s="117">
        <v>13</v>
      </c>
      <c r="C33" s="277">
        <f t="shared" si="5"/>
        <v>1883426719.53933</v>
      </c>
      <c r="D33" s="299">
        <f t="shared" si="1"/>
        <v>9.2499999999999999E-2</v>
      </c>
      <c r="E33" s="299">
        <f t="shared" si="6"/>
        <v>8.1887809309554582E-2</v>
      </c>
      <c r="F33" s="277">
        <f t="shared" si="7"/>
        <v>154229688.05815661</v>
      </c>
      <c r="G33" s="299">
        <f t="shared" si="2"/>
        <v>0</v>
      </c>
      <c r="H33" s="277">
        <f t="shared" si="8"/>
        <v>115672266.04361746</v>
      </c>
      <c r="I33" s="299">
        <f t="shared" si="9"/>
        <v>9.2500000000000027E-2</v>
      </c>
      <c r="J33" s="299">
        <f t="shared" si="10"/>
        <v>6.1415856982165944E-2</v>
      </c>
      <c r="K33" s="119">
        <f t="shared" si="3"/>
        <v>0.40256414286678116</v>
      </c>
      <c r="L33" s="277">
        <f t="shared" si="4"/>
        <v>46565506.633307137</v>
      </c>
      <c r="N33" s="275"/>
      <c r="O33" s="275"/>
      <c r="P33" s="275"/>
      <c r="Q33" s="275"/>
      <c r="R33" s="275"/>
      <c r="S33" s="275"/>
      <c r="T33" s="275"/>
      <c r="U33" s="275"/>
    </row>
    <row r="34" spans="1:21">
      <c r="A34" s="302" t="str">
        <f t="shared" si="0"/>
        <v>II</v>
      </c>
      <c r="B34" s="117">
        <v>14</v>
      </c>
      <c r="C34" s="277">
        <f t="shared" si="5"/>
        <v>2057643691.0967181</v>
      </c>
      <c r="D34" s="299">
        <f t="shared" si="1"/>
        <v>9.2499999999999999E-2</v>
      </c>
      <c r="E34" s="299">
        <f t="shared" si="6"/>
        <v>8.1887809309554582E-2</v>
      </c>
      <c r="F34" s="277">
        <f t="shared" si="7"/>
        <v>168495934.20353609</v>
      </c>
      <c r="G34" s="299">
        <f t="shared" si="2"/>
        <v>0</v>
      </c>
      <c r="H34" s="277">
        <f t="shared" si="8"/>
        <v>126371950.65265207</v>
      </c>
      <c r="I34" s="299">
        <f t="shared" si="9"/>
        <v>9.2500000000000027E-2</v>
      </c>
      <c r="J34" s="299">
        <f t="shared" si="10"/>
        <v>6.1415856982165944E-2</v>
      </c>
      <c r="K34" s="119">
        <f t="shared" si="3"/>
        <v>0.37535118216016894</v>
      </c>
      <c r="L34" s="277">
        <f t="shared" si="4"/>
        <v>47433861.069359489</v>
      </c>
      <c r="N34" s="275"/>
      <c r="O34" s="275"/>
      <c r="P34" s="275"/>
      <c r="Q34" s="275"/>
      <c r="R34" s="275"/>
      <c r="S34" s="275"/>
      <c r="T34" s="275"/>
      <c r="U34" s="275"/>
    </row>
    <row r="35" spans="1:21">
      <c r="A35" s="302" t="str">
        <f t="shared" si="0"/>
        <v>II</v>
      </c>
      <c r="B35" s="117">
        <v>15</v>
      </c>
      <c r="C35" s="277">
        <f t="shared" si="5"/>
        <v>2247975732.5231647</v>
      </c>
      <c r="D35" s="299">
        <f t="shared" si="1"/>
        <v>9.2499999999999999E-2</v>
      </c>
      <c r="E35" s="299">
        <f t="shared" si="6"/>
        <v>8.1887809309554582E-2</v>
      </c>
      <c r="F35" s="277">
        <f t="shared" si="7"/>
        <v>184081808.11736318</v>
      </c>
      <c r="G35" s="299">
        <f t="shared" si="2"/>
        <v>0</v>
      </c>
      <c r="H35" s="277">
        <f t="shared" si="8"/>
        <v>138061356.08802238</v>
      </c>
      <c r="I35" s="299">
        <f t="shared" si="9"/>
        <v>9.2500000000000027E-2</v>
      </c>
      <c r="J35" s="299">
        <f t="shared" si="10"/>
        <v>6.141585698216593E-2</v>
      </c>
      <c r="K35" s="119">
        <f t="shared" si="3"/>
        <v>0.34997779222393377</v>
      </c>
      <c r="L35" s="277">
        <f t="shared" si="4"/>
        <v>48318408.595128432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2292935247.1736279</v>
      </c>
      <c r="D51" s="301">
        <f>Terminal_Growth</f>
        <v>0.02</v>
      </c>
      <c r="E51" s="301">
        <f>F17</f>
        <v>8.1887809309554582E-2</v>
      </c>
      <c r="F51" s="277">
        <f>C51*E51</f>
        <v>187763444.27971044</v>
      </c>
      <c r="G51" s="299">
        <f>F18</f>
        <v>0</v>
      </c>
      <c r="H51" s="277">
        <f>(F51*(1-$I$10)+C51*(G51-$I$9))/Equity_Cost</f>
        <v>1942380458.0659704</v>
      </c>
      <c r="I51" s="415">
        <f>(F51*(1-$I$10)+C51*(G51-$I$9))/VLOOKUP(C15,B21:H50,COLUMN(H20)-1,FALSE)-1</f>
        <v>2.0000000000000018E-2</v>
      </c>
      <c r="J51" s="454"/>
      <c r="K51" s="119">
        <f>1/(1+Equity_Cost)^C15</f>
        <v>0.34997779222393377</v>
      </c>
      <c r="L51" s="277">
        <f t="shared" si="4"/>
        <v>679790024.37284148</v>
      </c>
    </row>
    <row r="52" spans="1:21" ht="13.15">
      <c r="G52" s="111"/>
      <c r="H52" s="111"/>
      <c r="I52" s="111"/>
      <c r="J52" s="468" t="s">
        <v>419</v>
      </c>
      <c r="K52" s="468"/>
      <c r="L52" s="317">
        <f>SUM(L21:L51)</f>
        <v>1150523702.4653873</v>
      </c>
    </row>
    <row r="53" spans="1:21">
      <c r="C53" s="111"/>
    </row>
    <row r="54" spans="1:21" ht="13.15">
      <c r="B54" s="115" t="s">
        <v>107</v>
      </c>
      <c r="C54" s="128"/>
      <c r="D54" s="128"/>
      <c r="E54" s="113"/>
      <c r="F54" s="113"/>
      <c r="G54" s="113"/>
      <c r="H54" s="113"/>
      <c r="I54" s="113"/>
      <c r="J54" s="113"/>
      <c r="K54" s="113"/>
      <c r="L54" s="113"/>
    </row>
    <row r="55" spans="1:21" ht="13.15">
      <c r="A55" s="125">
        <f>L52</f>
        <v>1150523702.4653873</v>
      </c>
      <c r="B55" s="123">
        <f>C94</f>
        <v>0</v>
      </c>
      <c r="C55" s="123">
        <f>C93</f>
        <v>0.05</v>
      </c>
      <c r="D55" s="123">
        <f>C92</f>
        <v>0.1</v>
      </c>
      <c r="E55" s="123">
        <f>C91</f>
        <v>0.2</v>
      </c>
      <c r="F55" s="123">
        <f>C90</f>
        <v>0.25</v>
      </c>
      <c r="G55" s="123"/>
      <c r="H55" s="123"/>
      <c r="I55" s="123"/>
      <c r="J55" s="123"/>
      <c r="K55" s="123"/>
      <c r="L55" s="123"/>
    </row>
    <row r="56" spans="1:21" ht="13.15">
      <c r="A56" s="131">
        <v>1</v>
      </c>
      <c r="B56" s="118">
        <f t="dataTable" ref="B56:F69" dt2D="1" dtr="1" r1="C16" r2="C15"/>
        <v>281449093.24269783</v>
      </c>
      <c r="C56" s="118">
        <v>288485320.57376528</v>
      </c>
      <c r="D56" s="118">
        <v>295521547.90483284</v>
      </c>
      <c r="E56" s="118">
        <v>309594002.56696767</v>
      </c>
      <c r="F56" s="118">
        <v>316630229.89803517</v>
      </c>
      <c r="G56" s="295"/>
      <c r="H56" s="295"/>
      <c r="I56" s="295"/>
      <c r="J56" s="295"/>
      <c r="K56" s="295"/>
      <c r="L56" s="295"/>
    </row>
    <row r="57" spans="1:21" ht="13.15">
      <c r="A57" s="131">
        <v>2</v>
      </c>
      <c r="B57" s="118">
        <v>281088591.38148218</v>
      </c>
      <c r="C57" s="118">
        <v>295076056.00158155</v>
      </c>
      <c r="D57" s="118">
        <v>309403045.00390351</v>
      </c>
      <c r="E57" s="118">
        <v>339075596.15521502</v>
      </c>
      <c r="F57" s="118">
        <v>354421158.30420458</v>
      </c>
      <c r="G57" s="295"/>
      <c r="H57" s="295"/>
      <c r="I57" s="295"/>
      <c r="J57" s="295"/>
      <c r="K57" s="295"/>
      <c r="L57" s="295"/>
    </row>
    <row r="58" spans="1:21" ht="13.15">
      <c r="A58" s="131">
        <v>3</v>
      </c>
      <c r="B58" s="118">
        <v>280752459.10995239</v>
      </c>
      <c r="C58" s="118">
        <v>308725501.22823876</v>
      </c>
      <c r="D58" s="118">
        <v>338373956.25954658</v>
      </c>
      <c r="E58" s="118">
        <v>402887048.77156019</v>
      </c>
      <c r="F58" s="118">
        <v>437846658.10743332</v>
      </c>
      <c r="G58" s="295"/>
      <c r="H58" s="295"/>
      <c r="I58" s="295"/>
      <c r="J58" s="295"/>
      <c r="K58" s="295"/>
      <c r="L58" s="295"/>
    </row>
    <row r="59" spans="1:21" ht="13.15">
      <c r="A59" s="131">
        <v>4</v>
      </c>
      <c r="B59" s="118">
        <v>280439049.06656796</v>
      </c>
      <c r="C59" s="118">
        <v>314892195.82710493</v>
      </c>
      <c r="D59" s="118">
        <v>352312701.77770966</v>
      </c>
      <c r="E59" s="118">
        <v>436719252.27967972</v>
      </c>
      <c r="F59" s="118">
        <v>484048096.32711315</v>
      </c>
      <c r="G59" s="295"/>
      <c r="H59" s="295"/>
      <c r="I59" s="295"/>
      <c r="J59" s="295"/>
      <c r="K59" s="295"/>
      <c r="L59" s="295"/>
    </row>
    <row r="60" spans="1:21" ht="13.15">
      <c r="A60" s="131">
        <v>5</v>
      </c>
      <c r="B60" s="118">
        <v>270950716.43473935</v>
      </c>
      <c r="C60" s="118">
        <v>318228605.72833085</v>
      </c>
      <c r="D60" s="118">
        <v>371762354.96143556</v>
      </c>
      <c r="E60" s="118">
        <v>499999828.35174233</v>
      </c>
      <c r="F60" s="118">
        <v>575994977.4321717</v>
      </c>
      <c r="G60" s="295"/>
      <c r="H60" s="295"/>
      <c r="I60" s="295"/>
      <c r="J60" s="295"/>
      <c r="K60" s="295"/>
      <c r="L60" s="295"/>
    </row>
    <row r="61" spans="1:21" ht="13.15">
      <c r="A61" s="131">
        <v>6</v>
      </c>
      <c r="B61" s="118">
        <v>270678246.67560136</v>
      </c>
      <c r="C61" s="118">
        <v>323998541.82911694</v>
      </c>
      <c r="D61" s="118">
        <v>385758584.99581128</v>
      </c>
      <c r="E61" s="118">
        <v>538824662.93161774</v>
      </c>
      <c r="F61" s="118">
        <v>632478715.29182243</v>
      </c>
      <c r="G61" s="295"/>
      <c r="H61" s="295"/>
      <c r="I61" s="295"/>
      <c r="J61" s="295"/>
      <c r="K61" s="295"/>
      <c r="L61" s="295"/>
    </row>
    <row r="62" spans="1:21" ht="13.15">
      <c r="A62" s="131">
        <v>7</v>
      </c>
      <c r="B62" s="118">
        <v>261849735.18442094</v>
      </c>
      <c r="C62" s="118">
        <v>327143909.50652432</v>
      </c>
      <c r="D62" s="118">
        <v>406065824.92871946</v>
      </c>
      <c r="E62" s="118">
        <v>614243644.46579909</v>
      </c>
      <c r="F62" s="118">
        <v>748991036.83159995</v>
      </c>
      <c r="G62" s="295"/>
      <c r="H62" s="295"/>
      <c r="I62" s="295"/>
      <c r="J62" s="295"/>
      <c r="K62" s="295"/>
      <c r="L62" s="295"/>
    </row>
    <row r="63" spans="1:21" ht="13.15">
      <c r="A63" s="131">
        <v>8</v>
      </c>
      <c r="B63" s="118">
        <v>261612857.74155724</v>
      </c>
      <c r="C63" s="118">
        <v>332542614.12427449</v>
      </c>
      <c r="D63" s="118">
        <v>420119776.55011177</v>
      </c>
      <c r="E63" s="118">
        <v>658797874.57359946</v>
      </c>
      <c r="F63" s="118">
        <v>818045437.85322762</v>
      </c>
      <c r="G63" s="295"/>
      <c r="H63" s="295"/>
      <c r="I63" s="295"/>
      <c r="J63" s="295"/>
      <c r="K63" s="295"/>
      <c r="L63" s="295"/>
    </row>
    <row r="64" spans="1:21" ht="13.15">
      <c r="A64" s="131">
        <v>9</v>
      </c>
      <c r="B64" s="118">
        <v>253397158.08974105</v>
      </c>
      <c r="C64" s="118">
        <v>335508735.52975541</v>
      </c>
      <c r="D64" s="118">
        <v>441308072.67671973</v>
      </c>
      <c r="E64" s="118">
        <v>748479405.74354053</v>
      </c>
      <c r="F64" s="118">
        <v>965269268.25514877</v>
      </c>
      <c r="G64" s="295"/>
      <c r="H64" s="295"/>
      <c r="I64" s="295"/>
      <c r="J64" s="295"/>
      <c r="K64" s="295"/>
      <c r="L64" s="295"/>
    </row>
    <row r="65" spans="1:21" ht="13.15">
      <c r="A65" s="131">
        <v>10</v>
      </c>
      <c r="B65" s="118">
        <v>253191223.59222049</v>
      </c>
      <c r="C65" s="118">
        <v>340560093.29882097</v>
      </c>
      <c r="D65" s="118">
        <v>455419983.93363142</v>
      </c>
      <c r="E65" s="118">
        <v>799608520.44497907</v>
      </c>
      <c r="F65" s="118">
        <v>1049691979.6611197</v>
      </c>
      <c r="G65" s="295"/>
      <c r="H65" s="295"/>
      <c r="I65" s="295"/>
      <c r="J65" s="295"/>
      <c r="K65" s="295"/>
      <c r="L65" s="295"/>
    </row>
    <row r="66" spans="1:21" ht="13.15">
      <c r="A66" s="131">
        <v>15</v>
      </c>
      <c r="B66" s="118">
        <v>231466964.94902861</v>
      </c>
      <c r="C66" s="277">
        <v>357638624.66209</v>
      </c>
      <c r="D66" s="118">
        <v>552913774.7866087</v>
      </c>
      <c r="E66" s="118">
        <v>1307122202.3846078</v>
      </c>
      <c r="F66" s="118">
        <v>1990857430.50455</v>
      </c>
      <c r="G66" s="295"/>
      <c r="H66" s="295"/>
      <c r="I66" s="295"/>
      <c r="J66" s="295"/>
      <c r="K66" s="295"/>
      <c r="L66" s="295"/>
      <c r="M66" s="275"/>
      <c r="N66" s="275"/>
      <c r="O66" s="275"/>
      <c r="P66" s="275"/>
      <c r="Q66" s="275"/>
      <c r="R66" s="275"/>
      <c r="S66" s="275"/>
      <c r="T66" s="275"/>
      <c r="U66" s="275"/>
    </row>
    <row r="67" spans="1:21" ht="13.15">
      <c r="A67" s="132">
        <v>20</v>
      </c>
      <c r="B67" s="118">
        <v>219199254.84457648</v>
      </c>
      <c r="C67" s="277">
        <v>373845406.9819231</v>
      </c>
      <c r="D67" s="118">
        <v>646879526.96745467</v>
      </c>
      <c r="E67" s="118">
        <v>1958159587.068953</v>
      </c>
      <c r="F67" s="118">
        <v>3389924879.7811742</v>
      </c>
      <c r="G67" s="295"/>
      <c r="H67" s="295"/>
      <c r="I67" s="295"/>
      <c r="J67" s="295"/>
      <c r="K67" s="295"/>
      <c r="L67" s="295"/>
      <c r="M67" s="275"/>
      <c r="N67" s="275"/>
      <c r="O67" s="275"/>
      <c r="P67" s="275"/>
      <c r="Q67" s="275"/>
      <c r="R67" s="275"/>
      <c r="S67" s="275"/>
      <c r="T67" s="275"/>
      <c r="U67" s="275"/>
    </row>
    <row r="68" spans="1:21" ht="13.15">
      <c r="A68" s="132">
        <v>25</v>
      </c>
      <c r="B68" s="118">
        <v>204064381.59867322</v>
      </c>
      <c r="C68" s="277">
        <v>386366503.16232318</v>
      </c>
      <c r="D68" s="118">
        <v>760095164.12431884</v>
      </c>
      <c r="E68" s="118">
        <v>3077262986.0418406</v>
      </c>
      <c r="F68" s="118">
        <v>6193224168.4030266</v>
      </c>
      <c r="G68" s="295"/>
      <c r="H68" s="295"/>
      <c r="I68" s="295"/>
      <c r="J68" s="295"/>
      <c r="K68" s="295"/>
      <c r="L68" s="295"/>
      <c r="M68" s="275"/>
      <c r="N68" s="275"/>
      <c r="O68" s="275"/>
      <c r="P68" s="275"/>
      <c r="Q68" s="275"/>
      <c r="R68" s="275"/>
      <c r="S68" s="275"/>
      <c r="T68" s="275"/>
      <c r="U68" s="275"/>
    </row>
    <row r="69" spans="1:21" ht="13.15">
      <c r="A69" s="132">
        <v>30</v>
      </c>
      <c r="B69" s="118">
        <v>195542141.49229324</v>
      </c>
      <c r="C69" s="277">
        <v>398161775.36536586</v>
      </c>
      <c r="D69" s="118">
        <v>865739719.04005134</v>
      </c>
      <c r="E69" s="118">
        <v>4468975568.1147928</v>
      </c>
      <c r="F69" s="118">
        <v>10240797646.328701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0.1</v>
      </c>
      <c r="E72" s="124">
        <f>E55</f>
        <v>0.2</v>
      </c>
      <c r="F72" s="124">
        <f>F55</f>
        <v>0.25</v>
      </c>
      <c r="G72" s="124"/>
      <c r="H72" s="124"/>
      <c r="I72" s="124"/>
      <c r="J72" s="124"/>
      <c r="K72" s="124"/>
      <c r="L72" s="124"/>
    </row>
    <row r="73" spans="1:21" ht="13.15">
      <c r="A73" s="131">
        <v>0</v>
      </c>
      <c r="B73" s="119">
        <f>C11</f>
        <v>33.391778598977155</v>
      </c>
      <c r="C73" s="119">
        <f>C11</f>
        <v>33.391778598977155</v>
      </c>
      <c r="D73" s="119">
        <f>C11</f>
        <v>33.391778598977155</v>
      </c>
      <c r="E73" s="119">
        <f>C11</f>
        <v>33.391778598977155</v>
      </c>
      <c r="F73" s="119">
        <f>C11</f>
        <v>33.391778598977155</v>
      </c>
      <c r="G73" s="296"/>
      <c r="H73" s="296"/>
      <c r="I73" s="296"/>
      <c r="J73" s="296"/>
      <c r="K73" s="296"/>
      <c r="L73" s="296"/>
    </row>
    <row r="74" spans="1:21" ht="13.15">
      <c r="A74" s="131">
        <v>1</v>
      </c>
      <c r="B74" s="119">
        <f t="shared" ref="B74:F87" si="11">(B56+FV_adjustments)/Common_Shares*scaling_factor*Exchange_Rate</f>
        <v>43.787112269159493</v>
      </c>
      <c r="C74" s="119">
        <f t="shared" si="11"/>
        <v>44.656420325511569</v>
      </c>
      <c r="D74" s="119">
        <f t="shared" si="11"/>
        <v>45.525728381863665</v>
      </c>
      <c r="E74" s="119">
        <f t="shared" si="11"/>
        <v>47.264344494567816</v>
      </c>
      <c r="F74" s="119">
        <f t="shared" si="11"/>
        <v>48.133652550919912</v>
      </c>
      <c r="G74" s="296"/>
      <c r="H74" s="296"/>
      <c r="I74" s="296"/>
      <c r="J74" s="296"/>
      <c r="K74" s="296"/>
      <c r="L74" s="296"/>
    </row>
    <row r="75" spans="1:21" ht="13.15">
      <c r="A75" s="131">
        <v>2</v>
      </c>
      <c r="B75" s="119">
        <f t="shared" si="11"/>
        <v>43.742573177748824</v>
      </c>
      <c r="C75" s="119">
        <f t="shared" si="11"/>
        <v>45.47068898613152</v>
      </c>
      <c r="D75" s="119">
        <f t="shared" si="11"/>
        <v>47.240752171554021</v>
      </c>
      <c r="E75" s="119">
        <f t="shared" si="11"/>
        <v>50.906720673518421</v>
      </c>
      <c r="F75" s="119">
        <f t="shared" si="11"/>
        <v>52.802625990060321</v>
      </c>
      <c r="G75" s="296"/>
      <c r="H75" s="296"/>
      <c r="I75" s="296"/>
      <c r="J75" s="296"/>
      <c r="K75" s="296"/>
      <c r="L75" s="296"/>
    </row>
    <row r="76" spans="1:21" ht="13.15">
      <c r="A76" s="131">
        <v>3</v>
      </c>
      <c r="B76" s="119">
        <f t="shared" si="11"/>
        <v>43.701044887389209</v>
      </c>
      <c r="C76" s="119">
        <f t="shared" si="11"/>
        <v>47.15704335502447</v>
      </c>
      <c r="D76" s="119">
        <f t="shared" si="11"/>
        <v>50.820034842424029</v>
      </c>
      <c r="E76" s="119">
        <f t="shared" si="11"/>
        <v>58.79046394059425</v>
      </c>
      <c r="F76" s="119">
        <f t="shared" si="11"/>
        <v>63.109635083404015</v>
      </c>
      <c r="G76" s="296"/>
      <c r="H76" s="296"/>
      <c r="I76" s="296"/>
      <c r="J76" s="296"/>
      <c r="K76" s="296"/>
      <c r="L76" s="296"/>
    </row>
    <row r="77" spans="1:21" ht="13.15">
      <c r="A77" s="131">
        <v>4</v>
      </c>
      <c r="B77" s="119">
        <f t="shared" si="11"/>
        <v>43.662323870736891</v>
      </c>
      <c r="C77" s="119">
        <f t="shared" si="11"/>
        <v>47.918922845783328</v>
      </c>
      <c r="D77" s="119">
        <f t="shared" si="11"/>
        <v>52.542131529220875</v>
      </c>
      <c r="E77" s="119">
        <f t="shared" si="11"/>
        <v>62.970346950327766</v>
      </c>
      <c r="F77" s="119">
        <f t="shared" si="11"/>
        <v>68.8177056970531</v>
      </c>
      <c r="G77" s="296"/>
      <c r="H77" s="296"/>
      <c r="I77" s="296"/>
      <c r="J77" s="296"/>
      <c r="K77" s="296"/>
      <c r="L77" s="296"/>
    </row>
    <row r="78" spans="1:21" ht="13.15">
      <c r="A78" s="131">
        <v>5</v>
      </c>
      <c r="B78" s="119">
        <f t="shared" si="11"/>
        <v>42.490064418320138</v>
      </c>
      <c r="C78" s="119">
        <f t="shared" si="11"/>
        <v>48.331127834332001</v>
      </c>
      <c r="D78" s="119">
        <f t="shared" si="11"/>
        <v>54.945086892987071</v>
      </c>
      <c r="E78" s="119">
        <f t="shared" si="11"/>
        <v>70.788501765644</v>
      </c>
      <c r="F78" s="119">
        <f t="shared" si="11"/>
        <v>80.177509856329493</v>
      </c>
      <c r="G78" s="296"/>
      <c r="H78" s="296"/>
      <c r="I78" s="296"/>
      <c r="J78" s="296"/>
      <c r="K78" s="296"/>
      <c r="L78" s="296"/>
    </row>
    <row r="79" spans="1:21" ht="13.15">
      <c r="A79" s="131">
        <v>6</v>
      </c>
      <c r="B79" s="119">
        <f t="shared" si="11"/>
        <v>42.456401470040291</v>
      </c>
      <c r="C79" s="119">
        <f t="shared" si="11"/>
        <v>49.043988818073004</v>
      </c>
      <c r="D79" s="119">
        <f t="shared" si="11"/>
        <v>56.674285646091306</v>
      </c>
      <c r="E79" s="119">
        <f t="shared" si="11"/>
        <v>75.585211692539204</v>
      </c>
      <c r="F79" s="119">
        <f t="shared" si="11"/>
        <v>87.155932534271074</v>
      </c>
      <c r="G79" s="296"/>
      <c r="H79" s="296"/>
      <c r="I79" s="296"/>
      <c r="J79" s="296"/>
      <c r="K79" s="296"/>
      <c r="L79" s="296"/>
    </row>
    <row r="80" spans="1:21" ht="13.15">
      <c r="A80" s="131">
        <f t="shared" ref="A80" si="12">A62</f>
        <v>7</v>
      </c>
      <c r="B80" s="119">
        <f t="shared" si="11"/>
        <v>41.365661247507475</v>
      </c>
      <c r="C80" s="119">
        <f t="shared" si="11"/>
        <v>49.43259102398622</v>
      </c>
      <c r="D80" s="119">
        <f t="shared" si="11"/>
        <v>59.183193679520869</v>
      </c>
      <c r="E80" s="119">
        <f t="shared" si="11"/>
        <v>84.903035742943558</v>
      </c>
      <c r="F80" s="119">
        <f t="shared" si="11"/>
        <v>101.55073460833181</v>
      </c>
      <c r="G80" s="296"/>
      <c r="H80" s="296"/>
      <c r="I80" s="296"/>
      <c r="J80" s="296"/>
      <c r="K80" s="296"/>
      <c r="L80" s="296"/>
    </row>
    <row r="81" spans="1:12" ht="13.15">
      <c r="A81" s="131">
        <v>8</v>
      </c>
      <c r="B81" s="119">
        <f t="shared" si="11"/>
        <v>41.336395639709338</v>
      </c>
      <c r="C81" s="119">
        <f t="shared" si="11"/>
        <v>50.099587298730427</v>
      </c>
      <c r="D81" s="119">
        <f t="shared" si="11"/>
        <v>60.919523788429572</v>
      </c>
      <c r="E81" s="119">
        <f t="shared" si="11"/>
        <v>90.407597968536024</v>
      </c>
      <c r="F81" s="119">
        <f t="shared" si="11"/>
        <v>110.08223086480102</v>
      </c>
      <c r="G81" s="296"/>
      <c r="H81" s="296"/>
      <c r="I81" s="296"/>
      <c r="J81" s="296"/>
      <c r="K81" s="296"/>
      <c r="L81" s="296"/>
    </row>
    <row r="82" spans="1:12" ht="13.15">
      <c r="A82" s="131">
        <f t="shared" ref="A82" si="13">A64</f>
        <v>9</v>
      </c>
      <c r="B82" s="119">
        <f t="shared" si="11"/>
        <v>40.3213667670124</v>
      </c>
      <c r="C82" s="119">
        <f t="shared" si="11"/>
        <v>50.466044081972498</v>
      </c>
      <c r="D82" s="119">
        <f t="shared" si="11"/>
        <v>63.537284081919054</v>
      </c>
      <c r="E82" s="119">
        <f t="shared" si="11"/>
        <v>101.48752388391897</v>
      </c>
      <c r="F82" s="119">
        <f t="shared" si="11"/>
        <v>128.27136203319185</v>
      </c>
      <c r="G82" s="296"/>
      <c r="H82" s="296"/>
      <c r="I82" s="296"/>
      <c r="J82" s="296"/>
      <c r="K82" s="296"/>
      <c r="L82" s="296"/>
    </row>
    <row r="83" spans="1:12" ht="13.15">
      <c r="A83" s="131">
        <f t="shared" ref="A83:A87" si="14">A65</f>
        <v>10</v>
      </c>
      <c r="B83" s="119">
        <f t="shared" si="11"/>
        <v>40.295924081699347</v>
      </c>
      <c r="C83" s="119">
        <f t="shared" si="11"/>
        <v>51.090126533768327</v>
      </c>
      <c r="D83" s="119">
        <f t="shared" si="11"/>
        <v>65.280774956921505</v>
      </c>
      <c r="E83" s="119">
        <f t="shared" si="11"/>
        <v>107.80439643973607</v>
      </c>
      <c r="F83" s="119">
        <f t="shared" si="11"/>
        <v>138.70157409303494</v>
      </c>
      <c r="G83" s="296"/>
      <c r="H83" s="296"/>
      <c r="I83" s="296"/>
      <c r="J83" s="296"/>
      <c r="K83" s="296"/>
      <c r="L83" s="296"/>
    </row>
    <row r="84" spans="1:12" ht="13.15">
      <c r="A84" s="131">
        <f t="shared" si="14"/>
        <v>15</v>
      </c>
      <c r="B84" s="119">
        <f t="shared" si="11"/>
        <v>37.611946977460725</v>
      </c>
      <c r="C84" s="119">
        <f t="shared" si="11"/>
        <v>53.200135805242375</v>
      </c>
      <c r="D84" s="119">
        <f t="shared" si="11"/>
        <v>77.325885759209982</v>
      </c>
      <c r="E84" s="119">
        <f t="shared" si="11"/>
        <v>170.50642576034008</v>
      </c>
      <c r="F84" s="119">
        <f t="shared" si="11"/>
        <v>254.98018055106567</v>
      </c>
      <c r="G84" s="296"/>
      <c r="H84" s="296"/>
      <c r="I84" s="296"/>
      <c r="J84" s="296"/>
      <c r="K84" s="296"/>
      <c r="L84" s="296"/>
    </row>
    <row r="85" spans="1:12" ht="13.15">
      <c r="A85" s="132">
        <f t="shared" si="14"/>
        <v>20</v>
      </c>
      <c r="B85" s="119">
        <f t="shared" si="11"/>
        <v>36.096302481481352</v>
      </c>
      <c r="C85" s="119">
        <f t="shared" si="11"/>
        <v>55.202442691486482</v>
      </c>
      <c r="D85" s="119">
        <f t="shared" si="11"/>
        <v>88.93511632390809</v>
      </c>
      <c r="E85" s="119">
        <f t="shared" si="11"/>
        <v>250.94044485372694</v>
      </c>
      <c r="F85" s="119">
        <f t="shared" si="11"/>
        <v>427.83141855272578</v>
      </c>
      <c r="G85" s="296"/>
      <c r="H85" s="296"/>
      <c r="I85" s="296"/>
      <c r="J85" s="296"/>
      <c r="K85" s="296"/>
      <c r="L85" s="296"/>
    </row>
    <row r="86" spans="1:12" ht="13.15">
      <c r="A86" s="132">
        <f t="shared" si="14"/>
        <v>25</v>
      </c>
      <c r="B86" s="119">
        <f t="shared" si="11"/>
        <v>34.226427245012083</v>
      </c>
      <c r="C86" s="119">
        <f t="shared" si="11"/>
        <v>56.749392395047266</v>
      </c>
      <c r="D86" s="119">
        <f t="shared" si="11"/>
        <v>102.92262139653982</v>
      </c>
      <c r="E86" s="119">
        <f t="shared" si="11"/>
        <v>389.20283389318683</v>
      </c>
      <c r="F86" s="119">
        <f t="shared" si="11"/>
        <v>774.17194186201618</v>
      </c>
      <c r="G86" s="296"/>
      <c r="H86" s="296"/>
      <c r="I86" s="296"/>
      <c r="J86" s="296"/>
      <c r="K86" s="296"/>
      <c r="L86" s="296"/>
    </row>
    <row r="87" spans="1:12" ht="13.15">
      <c r="A87" s="132">
        <f t="shared" si="14"/>
        <v>30</v>
      </c>
      <c r="B87" s="119">
        <f t="shared" si="11"/>
        <v>33.17352607595349</v>
      </c>
      <c r="C87" s="119">
        <f t="shared" si="11"/>
        <v>58.20666838550553</v>
      </c>
      <c r="D87" s="119">
        <f t="shared" si="11"/>
        <v>115.97473844404908</v>
      </c>
      <c r="E87" s="119">
        <f t="shared" si="11"/>
        <v>561.14539668969519</v>
      </c>
      <c r="F87" s="119">
        <f t="shared" si="11"/>
        <v>1274.2393881626747</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0.25</v>
      </c>
      <c r="D90" s="133">
        <f>Scenarios!D29</f>
        <v>15</v>
      </c>
      <c r="E90" s="127">
        <f>INDEX(B$73:F$87, MATCH(D90, A$73:A$87, 0), MATCH(C90, B$72:F$72, 0))</f>
        <v>254.98018055106567</v>
      </c>
      <c r="F90" s="130">
        <f>Scenarios!F29</f>
        <v>0.05</v>
      </c>
      <c r="G90" s="297"/>
      <c r="H90" s="297"/>
      <c r="I90" s="297"/>
      <c r="J90" s="297"/>
      <c r="K90" s="297"/>
      <c r="L90" s="297"/>
    </row>
    <row r="91" spans="1:12">
      <c r="B91" s="120" t="str">
        <f>Scenarios!B22</f>
        <v>Optimistic</v>
      </c>
      <c r="C91" s="130">
        <f>Scenarios!C22</f>
        <v>0.2</v>
      </c>
      <c r="D91" s="133">
        <f>Scenarios!D22</f>
        <v>15</v>
      </c>
      <c r="E91" s="127">
        <f>INDEX(B$73:F$87, MATCH(D91, A$73:A$87, 0), MATCH(C91, B$72:F$72, 0))</f>
        <v>170.50642576034008</v>
      </c>
      <c r="F91" s="130">
        <f>Scenarios!F22*(1-F$90-F$94)</f>
        <v>0.18</v>
      </c>
      <c r="G91" s="297"/>
      <c r="H91" s="297"/>
      <c r="I91" s="297"/>
      <c r="J91" s="297"/>
      <c r="K91" s="297"/>
      <c r="L91" s="297"/>
    </row>
    <row r="92" spans="1:12">
      <c r="B92" s="120" t="str">
        <f>Scenarios!B23</f>
        <v>Base</v>
      </c>
      <c r="C92" s="130">
        <f>Scenarios!C23</f>
        <v>0.1</v>
      </c>
      <c r="D92" s="133">
        <f>Scenarios!D23</f>
        <v>15</v>
      </c>
      <c r="E92" s="127">
        <f>INDEX(B$73:F$87, MATCH(D92, A$73:A$87, 0), MATCH(C92, B$72:F$72, 0))</f>
        <v>77.325885759209982</v>
      </c>
      <c r="F92" s="130">
        <f>Scenarios!F23*(1-F$90-F$94)</f>
        <v>0.53999999999999992</v>
      </c>
      <c r="G92" s="297"/>
      <c r="H92" s="297"/>
      <c r="I92" s="297"/>
      <c r="J92" s="297"/>
      <c r="K92" s="297"/>
      <c r="L92" s="297"/>
    </row>
    <row r="93" spans="1:12">
      <c r="B93" s="120" t="str">
        <f>Scenarios!B24</f>
        <v>Pessimistic</v>
      </c>
      <c r="C93" s="130">
        <f>Scenarios!C24</f>
        <v>0.05</v>
      </c>
      <c r="D93" s="133">
        <f>Scenarios!D24</f>
        <v>15</v>
      </c>
      <c r="E93" s="127">
        <f>INDEX(B$73:F$87, MATCH(D93, A$73:A$87, 0), MATCH(C93, B$72:F$72, 0))</f>
        <v>53.200135805242375</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37.611946977460725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CNY</v>
      </c>
      <c r="D6" s="469"/>
      <c r="E6" s="469"/>
      <c r="F6" s="469"/>
      <c r="G6" s="469"/>
    </row>
    <row r="7" spans="2:7" ht="12.75" customHeight="1">
      <c r="B7" s="97" t="s">
        <v>231</v>
      </c>
      <c r="C7" s="447">
        <f>Normalized_FCF!G8</f>
        <v>34026555</v>
      </c>
      <c r="D7" s="469"/>
      <c r="E7" s="469"/>
      <c r="F7" s="469"/>
      <c r="G7" s="469"/>
    </row>
    <row r="8" spans="2:7">
      <c r="B8" s="97" t="s">
        <v>62</v>
      </c>
      <c r="C8" s="447">
        <f>Normalized_FCF!G19</f>
        <v>31089799.312959094</v>
      </c>
      <c r="D8" s="469"/>
      <c r="E8" s="469"/>
      <c r="F8" s="469"/>
      <c r="G8" s="469"/>
    </row>
    <row r="9" spans="2:7">
      <c r="B9" s="97" t="s">
        <v>53</v>
      </c>
      <c r="C9" s="447">
        <f>Normalized_FCF!C19</f>
        <v>10155594.309690032</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0.23887911725357402</v>
      </c>
      <c r="D12" s="469"/>
      <c r="E12" s="469"/>
      <c r="F12" s="469"/>
      <c r="G12" s="469"/>
    </row>
    <row r="13" spans="2:7">
      <c r="B13" s="135" t="s">
        <v>126</v>
      </c>
      <c r="C13" s="249" t="e">
        <f ca="1">(Normalized_FCF!G8/OFFSET(Normalized_FCF!G8, 0, $C$4))^(1/$C$4) - 1</f>
        <v>#NUM!</v>
      </c>
      <c r="D13" s="469"/>
      <c r="E13" s="469"/>
      <c r="F13" s="469"/>
      <c r="G13" s="469"/>
    </row>
    <row r="14" spans="2:7">
      <c r="B14" s="97" t="s">
        <v>62</v>
      </c>
      <c r="C14" s="249" t="e">
        <f ca="1">(Normalized_FCF!G19/OFFSET(Normalized_FCF!G19, 0, $C$4))^(1/$C$4) - 1</f>
        <v>#NUM!</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0.2</v>
      </c>
      <c r="D22" s="325">
        <f>C18</f>
        <v>15</v>
      </c>
      <c r="E22" s="326">
        <f>DCF!E91</f>
        <v>170.50642576034008</v>
      </c>
      <c r="F22" s="328">
        <f>1-F23-F24</f>
        <v>0.2</v>
      </c>
      <c r="G22" s="328">
        <f>F22*(1-F$29-F$30)</f>
        <v>0.18</v>
      </c>
    </row>
    <row r="23" spans="2:7">
      <c r="B23" s="302" t="s">
        <v>436</v>
      </c>
      <c r="C23" s="324">
        <v>0.1</v>
      </c>
      <c r="D23" s="325">
        <f>C18</f>
        <v>15</v>
      </c>
      <c r="E23" s="326">
        <f>DCF!E92</f>
        <v>77.325885759209982</v>
      </c>
      <c r="F23" s="327">
        <v>0.6</v>
      </c>
      <c r="G23" s="328">
        <f t="shared" ref="G23:G24" si="0">F23*(1-F$29-F$30)</f>
        <v>0.53999999999999992</v>
      </c>
    </row>
    <row r="24" spans="2:7">
      <c r="B24" s="302" t="s">
        <v>445</v>
      </c>
      <c r="C24" s="324">
        <v>0.05</v>
      </c>
      <c r="D24" s="325">
        <f>C18</f>
        <v>15</v>
      </c>
      <c r="E24" s="326">
        <f>DCF!E93</f>
        <v>53.200135805242375</v>
      </c>
      <c r="F24" s="327">
        <v>0.2</v>
      </c>
      <c r="G24" s="328">
        <f t="shared" si="0"/>
        <v>0.18</v>
      </c>
    </row>
    <row r="25" spans="2:7">
      <c r="B25" s="141" t="s">
        <v>450</v>
      </c>
      <c r="C25" s="441">
        <f>E23*F23+E24*F24+E22*F22</f>
        <v>91.136843768642478</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0.25</v>
      </c>
      <c r="D29" s="325">
        <f>C18</f>
        <v>15</v>
      </c>
      <c r="E29" s="326">
        <f>DCF!E90</f>
        <v>254.98018055106567</v>
      </c>
      <c r="F29" s="327">
        <v>0.05</v>
      </c>
      <c r="G29" s="328">
        <f>F29</f>
        <v>0.05</v>
      </c>
    </row>
    <row r="30" spans="2:7">
      <c r="B30" s="315" t="s">
        <v>446</v>
      </c>
      <c r="C30" s="324">
        <v>0</v>
      </c>
      <c r="D30" s="325">
        <f>C18</f>
        <v>15</v>
      </c>
      <c r="E30" s="326">
        <f>DCF!E94</f>
        <v>37.611946977460725</v>
      </c>
      <c r="F30" s="327">
        <v>0.05</v>
      </c>
      <c r="G30" s="328">
        <f>F30</f>
        <v>0.05</v>
      </c>
    </row>
    <row r="31" spans="2:7">
      <c r="E31" s="329"/>
      <c r="F31" s="329"/>
    </row>
    <row r="32" spans="2:7" ht="13.15">
      <c r="B32" s="145" t="s">
        <v>455</v>
      </c>
    </row>
    <row r="33" spans="2:7">
      <c r="B33" s="97" t="s">
        <v>457</v>
      </c>
      <c r="C33" s="155">
        <f>Normalized_FCF!C88*(1-dividend_tax_rate)</f>
        <v>0</v>
      </c>
      <c r="D33" t="str">
        <f>Market_currency</f>
        <v>HKD</v>
      </c>
      <c r="E33" s="97" t="s">
        <v>454</v>
      </c>
      <c r="F33" s="219">
        <f>Holding_Period</f>
        <v>3</v>
      </c>
    </row>
    <row r="34" spans="2:7">
      <c r="B34" s="97" t="s">
        <v>232</v>
      </c>
      <c r="C34" s="146">
        <f>Market_Price</f>
        <v>83.15</v>
      </c>
      <c r="D34" t="str">
        <f>Market_currency</f>
        <v>HKD</v>
      </c>
      <c r="E34" s="97" t="s">
        <v>453</v>
      </c>
      <c r="F34" s="330">
        <f>RATE(Holding_Period,$C$33,-C34,$C$36)</f>
        <v>5.1438828121771016E-2</v>
      </c>
    </row>
    <row r="35" spans="2:7">
      <c r="B35" s="97" t="s">
        <v>433</v>
      </c>
      <c r="C35" s="320">
        <f>DCF!C11</f>
        <v>33.391778598977155</v>
      </c>
      <c r="D35" s="97" t="str">
        <f>Market_currency</f>
        <v>HKD</v>
      </c>
      <c r="E35" s="97" t="s">
        <v>453</v>
      </c>
      <c r="F35" s="330">
        <f>RATE(Holding_Period,$C$33,-C35,$C$36)</f>
        <v>0.42514234582660093</v>
      </c>
    </row>
    <row r="36" spans="2:7">
      <c r="B36" s="97" t="s">
        <v>434</v>
      </c>
      <c r="C36" s="321">
        <f>E22*G22+E23*G23+E24*G24+E30*G30+E29*G29</f>
        <v>96.652765768204546</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548</v>
      </c>
      <c r="C40" s="126">
        <f>Normalized_FCF!E116</f>
        <v>8.1887809309554582E-2</v>
      </c>
      <c r="E40" s="97" t="s">
        <v>400</v>
      </c>
    </row>
    <row r="41" spans="2:7">
      <c r="B41" s="97" t="s">
        <v>399</v>
      </c>
      <c r="C41" s="455">
        <f>DCF!C16*(1/2)</f>
        <v>9.2499999999999999E-2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0.185</v>
      </c>
      <c r="D46" s="138"/>
      <c r="E46" s="221" t="s">
        <v>251</v>
      </c>
    </row>
    <row r="47" spans="2:7">
      <c r="B47" s="97" t="s">
        <v>95</v>
      </c>
      <c r="C47" s="146">
        <f>DCF!I18</f>
        <v>151.15907792930057</v>
      </c>
      <c r="D47" s="146" t="str">
        <f>Market_currency</f>
        <v>HKD</v>
      </c>
      <c r="E47" s="221" t="s">
        <v>252</v>
      </c>
    </row>
    <row r="49" spans="2:7" ht="13.15">
      <c r="B49" s="106" t="s">
        <v>276</v>
      </c>
      <c r="C49" s="218" t="str">
        <f>IF(Scenarios!C50="Y",Scenarios!B50,"")&amp;IF(Scenarios!C51="Y",Scenarios!B51,"")&amp;IF(Scenarios!C52="Y",Scenarios!B52,"")&amp;" "&amp;IF(Scenarios!C53="Y",Scenarios!B53,"")</f>
        <v xml:space="preserve">High Growth </v>
      </c>
      <c r="E49" s="222" t="s">
        <v>253</v>
      </c>
    </row>
    <row r="50" spans="2:7">
      <c r="B50" s="97" t="s">
        <v>249</v>
      </c>
      <c r="C50" s="218" t="str">
        <f>IF(C36&lt;C35,"Y","N")</f>
        <v>N</v>
      </c>
      <c r="E50" s="126"/>
    </row>
    <row r="51" spans="2:7">
      <c r="B51" s="97" t="s">
        <v>245</v>
      </c>
      <c r="C51" s="218" t="str">
        <f>IF(C50="Y","N",IF(C46&gt;8%,"N","Y"))</f>
        <v>N</v>
      </c>
      <c r="E51" s="221" t="s">
        <v>246</v>
      </c>
    </row>
    <row r="52" spans="2:7">
      <c r="B52" s="97" t="s">
        <v>244</v>
      </c>
      <c r="C52" s="218" t="str">
        <f>IF(C46&gt;8%,"Y","N")</f>
        <v>Y</v>
      </c>
      <c r="E52" s="221"/>
    </row>
    <row r="53" spans="2:7">
      <c r="B53" s="97" t="s">
        <v>236</v>
      </c>
      <c r="C53" s="217" t="str">
        <f>IF(F53&gt;50%,"Y","N")</f>
        <v>N</v>
      </c>
      <c r="E53" s="126" t="s">
        <v>272</v>
      </c>
      <c r="F53" s="249">
        <f>BS!D89/C36</f>
        <v>9.3269860861465839E-2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v>
      </c>
      <c r="D62" s="119">
        <f>C36/(1+F62)^Holding_Period</f>
        <v>43.993065893584216</v>
      </c>
      <c r="E62" s="332">
        <f>C62+D62</f>
        <v>43.993065893584216</v>
      </c>
      <c r="F62" s="301">
        <f>Thesis!E22</f>
        <v>0.3</v>
      </c>
      <c r="G62" s="440">
        <f>(1-E62/C36)</f>
        <v>0.54483386436049175</v>
      </c>
    </row>
    <row r="63" spans="2:7" ht="13.15">
      <c r="B63" s="302" t="s">
        <v>312</v>
      </c>
      <c r="C63" s="119">
        <f>PV(F63, Holding_Period, -C58, 0)</f>
        <v>0</v>
      </c>
      <c r="D63" s="119">
        <f>C36/(1+F63)^Holding_Period</f>
        <v>55.93331352326652</v>
      </c>
      <c r="E63" s="332">
        <f>C63+D63</f>
        <v>55.93331352326652</v>
      </c>
      <c r="F63" s="301">
        <f>Thesis!E23</f>
        <v>0.2</v>
      </c>
      <c r="G63" s="440">
        <f>(1-E63/C36)</f>
        <v>0.42129629629629628</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v>
      </c>
      <c r="D66" s="119">
        <f>C36/(1+F66)^Holding_Period</f>
        <v>69.276874377985948</v>
      </c>
      <c r="E66" s="332">
        <f>C66+D66</f>
        <v>69.276874377985948</v>
      </c>
      <c r="F66" s="301">
        <f>Thesis!E24</f>
        <v>0.1174</v>
      </c>
      <c r="G66" s="440">
        <f>(1-E66/C36)</f>
        <v>0.28323960698519746</v>
      </c>
    </row>
    <row r="67" spans="2:7" ht="13.15">
      <c r="B67" s="302" t="s">
        <v>313</v>
      </c>
      <c r="C67" s="119">
        <f>PV(F67, Holding_Period, -C58, 0)</f>
        <v>0</v>
      </c>
      <c r="D67" s="119">
        <f>C36/(1+F67)^Holding_Period</f>
        <v>78.347002175735057</v>
      </c>
      <c r="E67" s="332">
        <f>C67+D67</f>
        <v>78.347002175735057</v>
      </c>
      <c r="F67" s="301">
        <f>Thesis!E25</f>
        <v>7.2499999999999995E-2</v>
      </c>
      <c r="G67" s="440">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45930</v>
      </c>
    </row>
    <row r="4" spans="1:10">
      <c r="B4" s="422" t="s">
        <v>532</v>
      </c>
      <c r="C4" s="423" t="str">
        <f>Thesis!C4</f>
        <v>美团</v>
      </c>
      <c r="D4" s="349"/>
      <c r="E4" s="434" t="s">
        <v>538</v>
      </c>
      <c r="F4" s="437" t="str">
        <f>Thesis!F4</f>
        <v>INT</v>
      </c>
    </row>
    <row r="5" spans="1:10">
      <c r="B5" s="343" t="s">
        <v>363</v>
      </c>
      <c r="C5" s="355" t="str">
        <f>Thesis!C5</f>
        <v>3690.HK</v>
      </c>
      <c r="E5" s="438" t="s">
        <v>539</v>
      </c>
      <c r="F5" s="439" t="str">
        <f>Thesis!F5</f>
        <v>N</v>
      </c>
    </row>
    <row r="6" spans="1:10">
      <c r="B6" s="350" t="s">
        <v>335</v>
      </c>
      <c r="C6" s="352" t="str">
        <f>Thesis!C6</f>
        <v>TMT_02</v>
      </c>
      <c r="E6" s="354"/>
    </row>
    <row r="7" spans="1:10">
      <c r="B7" s="343" t="s">
        <v>365</v>
      </c>
      <c r="C7" s="352" t="str">
        <f>Market_currency</f>
        <v>HKD</v>
      </c>
      <c r="D7" s="354"/>
      <c r="E7" s="354"/>
    </row>
    <row r="8" spans="1:10">
      <c r="B8" s="351" t="s">
        <v>364</v>
      </c>
      <c r="C8" s="356">
        <f>Market_Price</f>
        <v>83.15</v>
      </c>
    </row>
    <row r="9" spans="1:10">
      <c r="B9" s="351" t="s">
        <v>360</v>
      </c>
      <c r="C9" s="353">
        <f>Common_Shares</f>
        <v>9264431217</v>
      </c>
    </row>
    <row r="10" spans="1:10">
      <c r="B10" s="351" t="s">
        <v>366</v>
      </c>
      <c r="C10" s="357">
        <f>投资主题!C8*Common_Shares/1000000</f>
        <v>770337.45569355006</v>
      </c>
      <c r="D10" s="343" t="s">
        <v>527</v>
      </c>
      <c r="E10" s="360">
        <f>Scenarios!F34</f>
        <v>5.1438828121771016E-2</v>
      </c>
    </row>
    <row r="11" spans="1:10">
      <c r="D11" s="349"/>
      <c r="E11" s="349"/>
    </row>
    <row r="12" spans="1:10" ht="24.5" customHeight="1">
      <c r="B12" s="474" t="s">
        <v>496</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1.1445970000000001</v>
      </c>
    </row>
    <row r="17" spans="1:6">
      <c r="B17" s="343" t="s">
        <v>533</v>
      </c>
      <c r="C17" s="424">
        <f>Terminal_Growth</f>
        <v>0.02</v>
      </c>
      <c r="D17" s="351" t="s">
        <v>338</v>
      </c>
      <c r="E17" s="344" t="str">
        <f>Reporting_currency</f>
        <v>CNY</v>
      </c>
    </row>
    <row r="18" spans="1:6">
      <c r="B18" s="343" t="str">
        <f>"预期股权价值 ("&amp;C7&amp;") :"</f>
        <v>预期股权价值 (HKD) :</v>
      </c>
      <c r="C18" s="359">
        <f>C125</f>
        <v>96.652765768204546</v>
      </c>
      <c r="D18" s="350" t="s">
        <v>361</v>
      </c>
      <c r="E18" s="426">
        <f>Thesis!E18</f>
        <v>6</v>
      </c>
    </row>
    <row r="19" spans="1:6">
      <c r="B19" s="350" t="s">
        <v>334</v>
      </c>
      <c r="C19" s="352" t="str">
        <f>IF(Scenarios!C50="Y",Scenarios!B50,"")&amp;IF(Scenarios!C51="Y",Scenarios!B51,"")&amp;IF(Scenarios!C52="Y",Scenarios!B52,"")&amp;" "&amp;IF(Scenarios!C53="Y",Scenarios!B53,"")</f>
        <v xml:space="preserve">High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43.993065893584216</v>
      </c>
      <c r="D22" s="365" t="s">
        <v>439</v>
      </c>
      <c r="E22" s="366">
        <f>Thesis!E22</f>
        <v>0.3</v>
      </c>
    </row>
    <row r="23" spans="1:6">
      <c r="B23" s="343" t="s">
        <v>340</v>
      </c>
      <c r="C23" s="367">
        <f>E141</f>
        <v>55.93331352326652</v>
      </c>
      <c r="D23" s="365" t="s">
        <v>440</v>
      </c>
      <c r="E23" s="368">
        <f>Thesis!E23</f>
        <v>0.2</v>
      </c>
    </row>
    <row r="24" spans="1:6">
      <c r="B24" s="343" t="s">
        <v>342</v>
      </c>
      <c r="C24" s="367">
        <f>E144</f>
        <v>69.276874377985948</v>
      </c>
      <c r="D24" s="365" t="s">
        <v>442</v>
      </c>
      <c r="E24" s="368">
        <f>Thesis!E24</f>
        <v>0.1174</v>
      </c>
    </row>
    <row r="25" spans="1:6">
      <c r="B25" s="343" t="s">
        <v>341</v>
      </c>
      <c r="C25" s="367">
        <f>E145</f>
        <v>78.347002175735057</v>
      </c>
      <c r="D25" s="365" t="s">
        <v>441</v>
      </c>
      <c r="E25" s="368">
        <f>Thesis!E25</f>
        <v>7.2499999999999995E-2</v>
      </c>
    </row>
    <row r="27" spans="1:6" ht="13.9">
      <c r="A27" s="345" t="s">
        <v>344</v>
      </c>
      <c r="B27" s="345"/>
      <c r="C27" s="345"/>
      <c r="D27" s="345"/>
      <c r="E27" s="345"/>
      <c r="F27" s="345"/>
    </row>
    <row r="29" spans="1:6">
      <c r="B29" s="474" t="s">
        <v>497</v>
      </c>
      <c r="C29" s="474"/>
      <c r="D29" s="474"/>
      <c r="E29" s="474"/>
      <c r="F29" s="474"/>
    </row>
    <row r="30" spans="1:6" ht="24.5" customHeight="1">
      <c r="B30" s="477" t="s">
        <v>498</v>
      </c>
      <c r="C30" s="477"/>
      <c r="D30" s="477"/>
      <c r="E30" s="477"/>
      <c r="F30" s="477"/>
    </row>
    <row r="32" spans="1:6">
      <c r="B32" s="369" t="s">
        <v>370</v>
      </c>
      <c r="C32" s="370">
        <f>scaling_factor</f>
        <v>1000</v>
      </c>
    </row>
    <row r="33" spans="2:6">
      <c r="B33" s="470" t="s">
        <v>499</v>
      </c>
      <c r="C33" s="470"/>
      <c r="D33" s="470"/>
      <c r="E33" s="470"/>
      <c r="F33" s="470"/>
    </row>
    <row r="34" spans="2:6">
      <c r="B34" s="372" t="s">
        <v>196</v>
      </c>
      <c r="C34" s="373">
        <f>Normalized_FCF!C8</f>
        <v>16278123.080000043</v>
      </c>
      <c r="D34" s="343" t="str">
        <f>Reporting_currency</f>
        <v>CNY</v>
      </c>
    </row>
    <row r="35" spans="2:6">
      <c r="B35" s="372"/>
      <c r="C35" s="374"/>
    </row>
    <row r="36" spans="2:6" ht="24.5" customHeight="1">
      <c r="B36" s="470" t="s">
        <v>500</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501</v>
      </c>
      <c r="C40" s="470"/>
      <c r="D40" s="470"/>
      <c r="E40" s="470"/>
      <c r="F40" s="470"/>
    </row>
    <row r="41" spans="2:6">
      <c r="B41" s="372" t="s">
        <v>201</v>
      </c>
      <c r="C41" s="373">
        <f>Normalized_FCF!C9</f>
        <v>0</v>
      </c>
      <c r="D41" s="343" t="str">
        <f>Reporting_currency</f>
        <v>CNY</v>
      </c>
    </row>
    <row r="43" spans="2:6">
      <c r="B43" s="470" t="s">
        <v>502</v>
      </c>
      <c r="C43" s="470"/>
      <c r="D43" s="470"/>
      <c r="E43" s="470"/>
      <c r="F43" s="470"/>
    </row>
    <row r="44" spans="2:6">
      <c r="B44" s="372" t="s">
        <v>266</v>
      </c>
      <c r="C44" s="376">
        <f>Normalized_FCF!C46</f>
        <v>321313.45291999989</v>
      </c>
      <c r="D44" s="343" t="str">
        <f>Reporting_currency</f>
        <v>CNY</v>
      </c>
      <c r="E44" s="371"/>
      <c r="F44" s="371"/>
    </row>
    <row r="45" spans="2:6">
      <c r="B45" s="372" t="s">
        <v>267</v>
      </c>
      <c r="C45" s="376">
        <f>Normalized_FCF!C45</f>
        <v>-3058644.12</v>
      </c>
      <c r="D45" s="343" t="str">
        <f>Reporting_currency</f>
        <v>CNY</v>
      </c>
      <c r="E45" s="371"/>
      <c r="F45" s="371"/>
    </row>
    <row r="46" spans="2:6">
      <c r="B46" s="372" t="s">
        <v>202</v>
      </c>
      <c r="C46" s="373">
        <f>Normalized_FCF!C10</f>
        <v>-2737330.66708</v>
      </c>
      <c r="D46" s="343" t="str">
        <f>Reporting_currency</f>
        <v>CNY</v>
      </c>
    </row>
    <row r="48" spans="2:6">
      <c r="B48" s="343" t="s">
        <v>503</v>
      </c>
    </row>
    <row r="49" spans="2:6">
      <c r="B49" s="372" t="s">
        <v>222</v>
      </c>
      <c r="C49" s="373">
        <f>Normalized_FCF!C13</f>
        <v>0</v>
      </c>
      <c r="D49" s="343" t="str">
        <f>Reporting_currency</f>
        <v>CNY</v>
      </c>
    </row>
    <row r="51" spans="2:6">
      <c r="B51" s="470" t="s">
        <v>504</v>
      </c>
      <c r="C51" s="470"/>
      <c r="D51" s="470"/>
      <c r="E51" s="470"/>
      <c r="F51" s="470"/>
    </row>
    <row r="52" spans="2:6">
      <c r="B52" s="372" t="s">
        <v>495</v>
      </c>
      <c r="C52" s="373">
        <f>Normalized_FCF!C12</f>
        <v>-3385198.1032300107</v>
      </c>
      <c r="D52" s="343" t="str">
        <f>Reporting_currency</f>
        <v>CNY</v>
      </c>
    </row>
    <row r="54" spans="2:6">
      <c r="B54" s="470" t="s">
        <v>505</v>
      </c>
      <c r="C54" s="476"/>
      <c r="D54" s="476"/>
      <c r="E54" s="476"/>
      <c r="F54" s="476"/>
    </row>
    <row r="55" spans="2:6">
      <c r="B55" s="372" t="s">
        <v>206</v>
      </c>
      <c r="C55" s="373">
        <f>Normalized_FCF!C17</f>
        <v>0</v>
      </c>
      <c r="D55" s="343" t="str">
        <f>Reporting_currency</f>
        <v>CNY</v>
      </c>
    </row>
    <row r="57" spans="2:6">
      <c r="B57" s="474" t="s">
        <v>506</v>
      </c>
      <c r="C57" s="474"/>
      <c r="D57" s="474"/>
      <c r="E57" s="474"/>
      <c r="F57" s="474"/>
    </row>
    <row r="58" spans="2:6">
      <c r="B58" s="474" t="s">
        <v>507</v>
      </c>
      <c r="C58" s="474"/>
      <c r="D58" s="474"/>
      <c r="E58" s="474"/>
      <c r="F58" s="474"/>
    </row>
    <row r="60" spans="2:6">
      <c r="B60" s="372" t="s">
        <v>371</v>
      </c>
      <c r="C60" s="373">
        <f>Normalized_FCF!G19</f>
        <v>31089799.312959094</v>
      </c>
      <c r="D60" s="343" t="str">
        <f>Reporting_currency</f>
        <v>CNY</v>
      </c>
    </row>
    <row r="61" spans="2:6">
      <c r="B61" s="372" t="s">
        <v>212</v>
      </c>
      <c r="C61" s="373">
        <f>Normalized_FCF!C19</f>
        <v>10155594.309690032</v>
      </c>
      <c r="D61" s="343" t="str">
        <f>Reporting_currency</f>
        <v>CNY</v>
      </c>
    </row>
    <row r="62" spans="2:6">
      <c r="B62" s="377" t="s">
        <v>301</v>
      </c>
      <c r="C62" s="378">
        <f>Normalized_FCF!C124</f>
        <v>1.5089572361015356E-2</v>
      </c>
      <c r="F62" s="379"/>
    </row>
    <row r="63" spans="2:6">
      <c r="B63" s="377" t="s">
        <v>331</v>
      </c>
      <c r="C63" s="378">
        <f>Normalized_FCF!C92</f>
        <v>0</v>
      </c>
      <c r="E63" s="372" t="s">
        <v>372</v>
      </c>
      <c r="F63" s="380">
        <f>Normalized_FCF!C90</f>
        <v>0</v>
      </c>
    </row>
    <row r="65" spans="1:6">
      <c r="B65" s="369" t="s">
        <v>375</v>
      </c>
      <c r="C65" s="381" t="s">
        <v>326</v>
      </c>
      <c r="D65" s="381" t="s">
        <v>373</v>
      </c>
    </row>
    <row r="66" spans="1:6">
      <c r="B66" s="372" t="s">
        <v>325</v>
      </c>
      <c r="C66" s="378">
        <f>Normalized_FCF!E119</f>
        <v>0.15</v>
      </c>
      <c r="D66" s="378">
        <f>Normalized_FCF!G119</f>
        <v>0.18051269149145724</v>
      </c>
    </row>
    <row r="67" spans="1:6">
      <c r="B67" s="382" t="str">
        <f>Normalized_FCF!B116</f>
        <v>Pre-tax Profit/Sales</v>
      </c>
      <c r="C67" s="383">
        <f>Normalized_FCF!E116</f>
        <v>8.1887809309554582E-2</v>
      </c>
      <c r="D67" s="383">
        <f>Normalized_FCF!G116</f>
        <v>9.8545259058712684E-2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475</v>
      </c>
      <c r="B71" s="345"/>
      <c r="C71" s="345"/>
      <c r="D71" s="345"/>
      <c r="E71" s="345"/>
      <c r="F71" s="345"/>
    </row>
    <row r="72" spans="1:6">
      <c r="A72" s="385"/>
    </row>
    <row r="73" spans="1:6">
      <c r="A73" s="386"/>
      <c r="B73" s="474" t="s">
        <v>508</v>
      </c>
      <c r="C73" s="474"/>
      <c r="D73" s="474"/>
      <c r="E73" s="474"/>
      <c r="F73" s="474"/>
    </row>
    <row r="74" spans="1:6">
      <c r="B74" s="477" t="s">
        <v>478</v>
      </c>
      <c r="C74" s="477"/>
      <c r="D74" s="477"/>
      <c r="E74" s="477"/>
      <c r="F74" s="477"/>
    </row>
    <row r="76" spans="1:6">
      <c r="B76" s="369" t="s">
        <v>370</v>
      </c>
    </row>
    <row r="77" spans="1:6">
      <c r="B77" s="474" t="s">
        <v>509</v>
      </c>
      <c r="C77" s="474"/>
      <c r="D77" s="474"/>
      <c r="E77" s="474"/>
      <c r="F77" s="474"/>
    </row>
    <row r="78" spans="1:6">
      <c r="B78" s="343" t="s">
        <v>214</v>
      </c>
      <c r="C78" s="373">
        <f>DCF!F4</f>
        <v>-50977402</v>
      </c>
      <c r="D78" s="343" t="str">
        <f>Reporting_currency</f>
        <v>CNY</v>
      </c>
    </row>
    <row r="79" spans="1:6">
      <c r="B79" s="372" t="s">
        <v>233</v>
      </c>
      <c r="C79" s="387">
        <f>C78*scaling_factor*Exchange_Rate/Common_Shares</f>
        <v>-6.2981288360073107</v>
      </c>
      <c r="D79" s="343" t="str">
        <f>Market_currency</f>
        <v>HKD</v>
      </c>
    </row>
    <row r="80" spans="1:6">
      <c r="B80" s="382" t="s">
        <v>308</v>
      </c>
      <c r="C80" s="388">
        <f>IF(BS!G31/BS!G27&gt;300%,"nm",BS!G31/BS!G27)</f>
        <v>0.27660377540313014</v>
      </c>
    </row>
    <row r="81" spans="1:6">
      <c r="B81" s="382" t="s">
        <v>310</v>
      </c>
      <c r="C81" s="389">
        <f>IF(BS!C50&gt;30,"nm",BS!C50)</f>
        <v>3.1316510969641755</v>
      </c>
    </row>
    <row r="83" spans="1:6">
      <c r="B83" s="343" t="s">
        <v>510</v>
      </c>
    </row>
    <row r="84" spans="1:6">
      <c r="B84" s="343" t="s">
        <v>223</v>
      </c>
      <c r="C84" s="373">
        <f>DCF!F5</f>
        <v>66024762.846666686</v>
      </c>
      <c r="D84" s="343" t="str">
        <f>Reporting_currency</f>
        <v>CNY</v>
      </c>
    </row>
    <row r="85" spans="1:6">
      <c r="B85" s="382" t="s">
        <v>480</v>
      </c>
      <c r="C85" s="390">
        <f>BS!C66</f>
        <v>119577005</v>
      </c>
      <c r="D85" s="391" t="str">
        <f>Reporting_currency</f>
        <v>CNY</v>
      </c>
    </row>
    <row r="86" spans="1:6">
      <c r="B86" s="372" t="s">
        <v>234</v>
      </c>
      <c r="C86" s="387">
        <f>C84*scaling_factor*Exchange_Rate/Common_Shares</f>
        <v>8.1571921373147962</v>
      </c>
      <c r="D86" s="343" t="str">
        <f>Market_currency</f>
        <v>HKD</v>
      </c>
    </row>
    <row r="88" spans="1:6">
      <c r="B88" s="343" t="s">
        <v>511</v>
      </c>
    </row>
    <row r="89" spans="1:6">
      <c r="B89" s="343" t="s">
        <v>216</v>
      </c>
      <c r="C89" s="373">
        <f>DCF!F6</f>
        <v>57918846.499999993</v>
      </c>
      <c r="D89" s="343" t="str">
        <f>Reporting_currency</f>
        <v>CNY</v>
      </c>
    </row>
    <row r="90" spans="1:6">
      <c r="B90" s="372" t="s">
        <v>235</v>
      </c>
      <c r="C90" s="387">
        <f>C89*scaling_factor*Exchange_Rate/Common_Shares</f>
        <v>7.1557267137688001</v>
      </c>
      <c r="D90" s="343" t="str">
        <f>Market_currency</f>
        <v>HKD</v>
      </c>
    </row>
    <row r="92" spans="1:6">
      <c r="B92" s="372" t="s">
        <v>479</v>
      </c>
      <c r="C92" s="387">
        <f>DCF!F8</f>
        <v>9.0147900150762847</v>
      </c>
      <c r="D92" s="343" t="str">
        <f>Market_currency</f>
        <v>HKD</v>
      </c>
    </row>
    <row r="94" spans="1:6" ht="13.9">
      <c r="A94" s="345" t="s">
        <v>481</v>
      </c>
      <c r="B94" s="345"/>
      <c r="C94" s="345"/>
      <c r="D94" s="345"/>
      <c r="E94" s="345"/>
      <c r="F94" s="345"/>
    </row>
    <row r="95" spans="1:6">
      <c r="A95" s="385"/>
    </row>
    <row r="96" spans="1:6">
      <c r="A96" s="385"/>
      <c r="B96" s="474" t="s">
        <v>512</v>
      </c>
      <c r="C96" s="474"/>
      <c r="D96" s="474"/>
      <c r="E96" s="474"/>
      <c r="F96" s="474"/>
    </row>
    <row r="97" spans="1:6">
      <c r="A97" s="385"/>
      <c r="B97" s="477" t="s">
        <v>513</v>
      </c>
      <c r="C97" s="477"/>
      <c r="D97" s="477"/>
      <c r="E97" s="477"/>
      <c r="F97" s="477"/>
    </row>
    <row r="98" spans="1:6">
      <c r="A98" s="385"/>
      <c r="B98" s="477" t="s">
        <v>514</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4" t="s">
        <v>515</v>
      </c>
      <c r="C107" s="474"/>
      <c r="D107" s="474"/>
      <c r="E107" s="474"/>
      <c r="F107" s="474"/>
    </row>
    <row r="108" spans="1:6">
      <c r="A108" s="385"/>
      <c r="B108" s="474" t="s">
        <v>534</v>
      </c>
      <c r="C108" s="474"/>
      <c r="D108" s="474"/>
      <c r="E108" s="474"/>
      <c r="F108" s="474"/>
    </row>
    <row r="109" spans="1:6">
      <c r="A109" s="385"/>
    </row>
    <row r="110" spans="1:6">
      <c r="A110" s="385"/>
      <c r="B110" s="369" t="s">
        <v>488</v>
      </c>
    </row>
    <row r="111" spans="1:6">
      <c r="A111" s="385"/>
      <c r="B111" s="375" t="s">
        <v>485</v>
      </c>
      <c r="C111" s="394">
        <f>BS!D47</f>
        <v>3.6479071286471849</v>
      </c>
      <c r="D111" s="343" t="str">
        <f>Market_currency</f>
        <v>HKD</v>
      </c>
    </row>
    <row r="112" spans="1:6">
      <c r="A112" s="385"/>
      <c r="B112" s="372" t="s">
        <v>376</v>
      </c>
      <c r="C112" s="394">
        <f>DCF!C11</f>
        <v>33.391778598977155</v>
      </c>
      <c r="D112" s="343" t="str">
        <f>Market_currency</f>
        <v>HKD</v>
      </c>
    </row>
    <row r="113" spans="1:6">
      <c r="A113" s="385"/>
    </row>
    <row r="114" spans="1:6">
      <c r="A114" s="385"/>
      <c r="B114" s="474" t="s">
        <v>516</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0.25</v>
      </c>
      <c r="D118" s="397">
        <f>DCF!D90</f>
        <v>15</v>
      </c>
      <c r="E118" s="398" t="str">
        <f>ROUND(DCF!E90,2)&amp;" "&amp;Market_currency</f>
        <v>254.98 HKD</v>
      </c>
      <c r="F118" s="399">
        <f>DCF!F90</f>
        <v>0.05</v>
      </c>
    </row>
    <row r="119" spans="1:6">
      <c r="A119" s="385"/>
      <c r="B119" s="400" t="str">
        <f>DCF!B91</f>
        <v>Optimistic</v>
      </c>
      <c r="C119" s="401">
        <f>DCF!C91</f>
        <v>0.2</v>
      </c>
      <c r="D119" s="402">
        <f>DCF!D91</f>
        <v>15</v>
      </c>
      <c r="E119" s="398" t="str">
        <f>ROUND(DCF!E91,2)&amp;" "&amp;Market_currency</f>
        <v>170.51 HKD</v>
      </c>
      <c r="F119" s="403">
        <f>DCF!F91</f>
        <v>0.18</v>
      </c>
    </row>
    <row r="120" spans="1:6">
      <c r="B120" s="400" t="str">
        <f>DCF!B92</f>
        <v>Base</v>
      </c>
      <c r="C120" s="401">
        <f>DCF!C92</f>
        <v>0.1</v>
      </c>
      <c r="D120" s="402">
        <f>DCF!D92</f>
        <v>15</v>
      </c>
      <c r="E120" s="398" t="str">
        <f>ROUND(DCF!E92,2)&amp;" "&amp;Market_currency</f>
        <v>77.33 HKD</v>
      </c>
      <c r="F120" s="403">
        <f>DCF!F92</f>
        <v>0.53999999999999992</v>
      </c>
    </row>
    <row r="121" spans="1:6">
      <c r="B121" s="400" t="str">
        <f>DCF!B93</f>
        <v>Pessimistic</v>
      </c>
      <c r="C121" s="401">
        <f>DCF!C93</f>
        <v>0.05</v>
      </c>
      <c r="D121" s="402">
        <f>DCF!D93</f>
        <v>15</v>
      </c>
      <c r="E121" s="398" t="str">
        <f>ROUND(DCF!E93,2)&amp;" "&amp;Market_currency</f>
        <v>53.2 HKD</v>
      </c>
      <c r="F121" s="403">
        <f>DCF!F93</f>
        <v>0.18</v>
      </c>
    </row>
    <row r="122" spans="1:6">
      <c r="B122" s="400" t="str">
        <f>DCF!B94</f>
        <v>Devil's advocate</v>
      </c>
      <c r="C122" s="401">
        <f>DCF!C94</f>
        <v>0</v>
      </c>
      <c r="D122" s="402">
        <f>DCF!D94</f>
        <v>15</v>
      </c>
      <c r="E122" s="398" t="str">
        <f>ROUND(DCF!E94,2)&amp;" "&amp;Market_currency</f>
        <v>37.61 HKD</v>
      </c>
      <c r="F122" s="403">
        <f>DCF!F94</f>
        <v>0.05</v>
      </c>
    </row>
    <row r="124" spans="1:6">
      <c r="B124" s="470" t="s">
        <v>517</v>
      </c>
      <c r="C124" s="470"/>
      <c r="D124" s="470"/>
      <c r="E124" s="470"/>
      <c r="F124" s="470"/>
    </row>
    <row r="125" spans="1:6">
      <c r="B125" s="372" t="s">
        <v>217</v>
      </c>
      <c r="C125" s="404">
        <f>Scenarios!C36</f>
        <v>96.652765768204546</v>
      </c>
      <c r="D125" s="343" t="str">
        <f>Market_currency</f>
        <v>HKD</v>
      </c>
    </row>
    <row r="127" spans="1:6">
      <c r="B127" s="472" t="s">
        <v>518</v>
      </c>
      <c r="C127" s="472"/>
      <c r="D127" s="472"/>
      <c r="E127" s="472"/>
      <c r="F127" s="472"/>
    </row>
    <row r="129" spans="1:6" ht="13.9">
      <c r="A129" s="345" t="s">
        <v>491</v>
      </c>
      <c r="B129" s="345"/>
      <c r="C129" s="345"/>
      <c r="D129" s="345"/>
      <c r="E129" s="345"/>
      <c r="F129" s="345"/>
    </row>
    <row r="131" spans="1:6">
      <c r="B131" s="473" t="s">
        <v>519</v>
      </c>
      <c r="C131" s="473"/>
      <c r="D131" s="473"/>
      <c r="E131" s="473"/>
      <c r="F131" s="473"/>
    </row>
    <row r="132" spans="1:6" ht="24.5" customHeight="1">
      <c r="B132" s="474" t="s">
        <v>520</v>
      </c>
      <c r="C132" s="474"/>
      <c r="D132" s="474"/>
      <c r="E132" s="474"/>
      <c r="F132" s="474"/>
    </row>
    <row r="134" spans="1:6">
      <c r="B134" s="369" t="s">
        <v>370</v>
      </c>
    </row>
    <row r="135" spans="1:6">
      <c r="B135" s="343" t="s">
        <v>381</v>
      </c>
      <c r="C135" s="405">
        <f>E21</f>
        <v>3</v>
      </c>
    </row>
    <row r="136" spans="1:6">
      <c r="B136" s="343" t="s">
        <v>382</v>
      </c>
      <c r="C136" s="406">
        <f>Scenarios!C58</f>
        <v>0</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v>
      </c>
      <c r="D140" s="409">
        <f>Scenarios!D62</f>
        <v>43.993065893584216</v>
      </c>
      <c r="E140" s="410">
        <f>Scenarios!E62</f>
        <v>43.993065893584216</v>
      </c>
      <c r="F140" s="411">
        <f>E22</f>
        <v>0.3</v>
      </c>
    </row>
    <row r="141" spans="1:6">
      <c r="B141" s="408" t="s">
        <v>312</v>
      </c>
      <c r="C141" s="409">
        <f>Scenarios!C63</f>
        <v>0</v>
      </c>
      <c r="D141" s="409">
        <f>Scenarios!D63</f>
        <v>55.93331352326652</v>
      </c>
      <c r="E141" s="410">
        <f>Scenarios!E63</f>
        <v>55.93331352326652</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v>
      </c>
      <c r="D144" s="409">
        <f>Scenarios!D66</f>
        <v>69.276874377985948</v>
      </c>
      <c r="E144" s="410">
        <f>Scenarios!E66</f>
        <v>69.276874377985948</v>
      </c>
      <c r="F144" s="411">
        <f>E24</f>
        <v>0.1174</v>
      </c>
    </row>
    <row r="145" spans="1:6">
      <c r="B145" s="408" t="s">
        <v>313</v>
      </c>
      <c r="C145" s="409">
        <f>Scenarios!C67</f>
        <v>0</v>
      </c>
      <c r="D145" s="409">
        <f>Scenarios!D67</f>
        <v>78.347002175735057</v>
      </c>
      <c r="E145" s="410">
        <f>Scenarios!E67</f>
        <v>78.347002175735057</v>
      </c>
      <c r="F145" s="411">
        <f>Scenarios!F67</f>
        <v>7.2499999999999995E-2</v>
      </c>
    </row>
    <row r="147" spans="1:6" ht="13.9">
      <c r="A147" s="345" t="s">
        <v>474</v>
      </c>
      <c r="B147" s="345"/>
      <c r="C147" s="345"/>
      <c r="D147" s="345"/>
      <c r="E147" s="345"/>
      <c r="F147" s="345"/>
    </row>
    <row r="149" spans="1:6">
      <c r="B149" s="475" t="s">
        <v>521</v>
      </c>
      <c r="C149" s="474"/>
      <c r="D149" s="474"/>
      <c r="E149" s="474"/>
      <c r="F149" s="474"/>
    </row>
    <row r="151" spans="1:6">
      <c r="B151" s="369" t="s">
        <v>383</v>
      </c>
    </row>
    <row r="152" spans="1:6">
      <c r="B152" s="476" t="s">
        <v>522</v>
      </c>
      <c r="C152" s="476"/>
      <c r="D152" s="476"/>
      <c r="E152" s="476"/>
      <c r="F152" s="476"/>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1" t="s">
        <v>387</v>
      </c>
      <c r="C161" s="471"/>
      <c r="D161" s="471"/>
      <c r="E161" s="471"/>
      <c r="F161" s="471"/>
    </row>
    <row r="162" spans="2:6">
      <c r="B162" s="471" t="s">
        <v>388</v>
      </c>
      <c r="C162" s="471"/>
      <c r="D162" s="471"/>
      <c r="E162" s="471"/>
      <c r="F162" s="471"/>
    </row>
    <row r="164" spans="2:6">
      <c r="B164" s="343" t="s">
        <v>525</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2026-04-29T09:56:01Z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