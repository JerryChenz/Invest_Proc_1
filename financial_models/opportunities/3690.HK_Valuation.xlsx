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AFF4799-6C2B-4715-8AF3-C4D41D605D5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1" i="9" l="1"/>
  <c r="E117" i="2"/>
  <c r="C117" i="2"/>
  <c r="E83" i="2"/>
  <c r="E84" i="2"/>
  <c r="C88" i="2"/>
  <c r="C79" i="2"/>
  <c r="C64" i="2"/>
  <c r="C65" i="2"/>
  <c r="C66" i="2"/>
  <c r="C35"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D73" i="3"/>
  <c r="C73" i="3"/>
  <c r="C74" i="3" s="1"/>
  <c r="F1" i="3"/>
  <c r="H1" i="2"/>
  <c r="E1" i="4"/>
  <c r="F1" i="4" s="1"/>
  <c r="G1" i="4" s="1"/>
  <c r="H1" i="4" s="1"/>
  <c r="I1" i="4" s="1"/>
  <c r="J1" i="4" s="1"/>
  <c r="K1" i="4" s="1"/>
  <c r="L1" i="4" s="1"/>
  <c r="M1" i="4" s="1"/>
  <c r="F42" i="8" l="1"/>
  <c r="F44" i="8"/>
  <c r="F50" i="8"/>
  <c r="F45" i="8"/>
  <c r="F49" i="8"/>
  <c r="F48" i="8"/>
  <c r="F43" i="8"/>
  <c r="F47" i="8"/>
  <c r="F41" i="8"/>
  <c r="F46" i="8"/>
  <c r="H42" i="8"/>
  <c r="H50" i="8"/>
  <c r="H45" i="8"/>
  <c r="H49" i="8"/>
  <c r="H44" i="8"/>
  <c r="H48" i="8"/>
  <c r="H43" i="8"/>
  <c r="H47" i="8"/>
  <c r="H41" i="8"/>
  <c r="H46" i="8"/>
  <c r="C49" i="6"/>
  <c r="I42" i="8"/>
  <c r="I46" i="8"/>
  <c r="I45" i="8"/>
  <c r="I49" i="8"/>
  <c r="I44" i="8"/>
  <c r="I50" i="8"/>
  <c r="I48" i="8"/>
  <c r="I43" i="8"/>
  <c r="I47" i="8"/>
  <c r="I41" i="8"/>
  <c r="D46" i="8"/>
  <c r="G46" i="8"/>
  <c r="G42" i="8"/>
  <c r="D42" i="8"/>
  <c r="D44" i="8"/>
  <c r="G44" i="8"/>
  <c r="D50" i="8"/>
  <c r="G50" i="8"/>
  <c r="G45" i="8"/>
  <c r="D45" i="8"/>
  <c r="D49" i="8"/>
  <c r="G49" i="8"/>
  <c r="D48" i="8"/>
  <c r="G48" i="8"/>
  <c r="D43" i="8"/>
  <c r="G43" i="8"/>
  <c r="D47" i="8"/>
  <c r="G47" i="8"/>
  <c r="G41" i="8"/>
  <c r="D41"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E79" i="8" l="1"/>
  <c r="D77" i="8"/>
  <c r="B74" i="8"/>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5" i="8"/>
  <c r="C50" i="8"/>
  <c r="C67" i="6"/>
  <c r="C80" i="2"/>
  <c r="C9" i="9"/>
  <c r="E115" i="2" l="1"/>
  <c r="E40" i="8"/>
  <c r="E37" i="8"/>
  <c r="A38" i="8"/>
  <c r="E39" i="8"/>
  <c r="A36" i="8"/>
  <c r="E36" i="8"/>
  <c r="A39" i="8"/>
  <c r="A37" i="8"/>
  <c r="A40" i="8"/>
  <c r="E38"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36" i="8" l="1"/>
  <c r="D36" i="8"/>
  <c r="G39" i="8"/>
  <c r="D39" i="8"/>
  <c r="D38" i="8"/>
  <c r="G38" i="8"/>
  <c r="D40" i="8"/>
  <c r="G40" i="8"/>
  <c r="D37" i="8"/>
  <c r="G37"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C37" i="8" l="1"/>
  <c r="F36" i="8"/>
  <c r="H36" i="8" s="1"/>
  <c r="I35" i="8"/>
  <c r="J35" i="8"/>
  <c r="L35" i="8"/>
  <c r="J36" i="8" l="1"/>
  <c r="I36" i="8"/>
  <c r="L36" i="8"/>
  <c r="F37" i="8"/>
  <c r="H37" i="8" s="1"/>
  <c r="C38" i="8"/>
  <c r="F38" i="8" l="1"/>
  <c r="H38" i="8" s="1"/>
  <c r="C39" i="8"/>
  <c r="J37" i="8"/>
  <c r="I37" i="8"/>
  <c r="L37" i="8"/>
  <c r="F39" i="8" l="1"/>
  <c r="H39" i="8" s="1"/>
  <c r="C40" i="8"/>
  <c r="J38" i="8"/>
  <c r="I38" i="8"/>
  <c r="L38" i="8"/>
  <c r="C41" i="8" l="1"/>
  <c r="F40" i="8"/>
  <c r="H40" i="8" s="1"/>
  <c r="C51" i="8"/>
  <c r="F51" i="8" s="1"/>
  <c r="I39" i="8"/>
  <c r="J39" i="8"/>
  <c r="L39" i="8"/>
  <c r="I51" i="8" l="1"/>
  <c r="H51" i="8"/>
  <c r="L51" i="8" s="1"/>
  <c r="I40" i="8"/>
  <c r="J40" i="8"/>
  <c r="L40" i="8"/>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<sst xmlns="http://schemas.openxmlformats.org/spreadsheetml/2006/main" count="768" uniqueCount="558">
  <si>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</si>
  <si>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</si>
  <si>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</si>
  <si>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</si>
  <si>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</si>
  <si>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</si>
  <si>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</si>
  <si>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</si>
  <si>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</si>
  <si>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</si>
  <si>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</si>
  <si>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</si>
  <si>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</si>
  <si>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</si>
  <si>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</si>
  <si>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</si>
  <si>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</si>
  <si>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</si>
  <si>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</si>
  <si>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</si>
  <si>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</si>
  <si>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</si>
  <si>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</si>
  <si>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</si>
  <si>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</si>
  <si>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</si>
  <si>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</si>
  <si>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</si>
  <si>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</si>
  <si>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</si>
  <si>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</si>
  <si>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</si>
  <si>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</si>
  <si>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</si>
  <si>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</si>
  <si>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</si>
  <si>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</si>
  <si>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</si>
  <si>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</si>
  <si>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</si>
  <si>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</si>
  <si>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</si>
  <si>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</si>
  <si>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</si>
  <si>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</si>
  <si>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</si>
  <si>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</si>
  <si>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</si>
  <si>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</si>
  <si>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</si>
  <si>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</si>
  <si>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</si>
  <si>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</si>
  <si>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</si>
  <si>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</si>
  <si>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</si>
  <si>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</si>
  <si>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</si>
  <si>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</si>
  <si>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</si>
  <si>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</si>
  <si>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</si>
  <si>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</si>
  <si>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</si>
  <si>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</si>
  <si>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</si>
  <si>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</si>
  <si>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</si>
  <si>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</si>
  <si>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</si>
  <si>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</si>
  <si>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</si>
  <si>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</si>
  <si>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</si>
  <si>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</si>
  <si>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</si>
  <si>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</si>
  <si>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</si>
  <si>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</si>
  <si>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</si>
  <si>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</si>
  <si>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</si>
  <si>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</si>
  <si>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</si>
  <si>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</si>
  <si>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</si>
  <si>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</si>
  <si>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</si>
  <si>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</si>
  <si>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</si>
  <si>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</si>
  <si>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</si>
  <si>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</si>
  <si>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</si>
  <si>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</si>
  <si>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</si>
  <si>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</si>
  <si>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</si>
  <si>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</si>
  <si>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</si>
  <si>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</si>
  <si>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</si>
  <si>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</si>
  <si>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</si>
  <si>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</si>
  <si>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</si>
  <si>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</si>
  <si>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</si>
  <si>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</si>
  <si>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</si>
  <si>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</si>
  <si>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</si>
  <si>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</si>
  <si>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</si>
  <si>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</si>
  <si>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</si>
  <si>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</si>
  <si>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</si>
  <si>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</si>
  <si>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</si>
  <si>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</si>
  <si>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</si>
  <si>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</si>
  <si>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</si>
  <si>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</si>
  <si>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</si>
  <si>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</si>
  <si>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</si>
  <si>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</si>
  <si>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</si>
  <si>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</si>
  <si>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</si>
  <si>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</si>
  <si>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</si>
  <si>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</si>
  <si>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</si>
  <si>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</si>
  <si>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</si>
  <si>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</si>
  <si>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</si>
  <si>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</si>
  <si>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</si>
  <si>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</si>
  <si>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</si>
  <si>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</si>
  <si>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</si>
  <si>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</si>
  <si>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</si>
  <si>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</si>
  <si>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</si>
  <si>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</si>
  <si>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</si>
  <si>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</si>
  <si>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</si>
  <si>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</si>
  <si>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</si>
  <si>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</si>
  <si>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</si>
  <si>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</si>
  <si>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</si>
  <si>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</si>
  <si>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</si>
  <si>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</si>
  <si>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</si>
  <si>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</si>
  <si>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</si>
  <si>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</si>
  <si>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</si>
  <si>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</si>
  <si>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</si>
  <si>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</si>
  <si>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</si>
  <si>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</si>
  <si>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</si>
  <si>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</si>
  <si>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</si>
  <si>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</si>
  <si>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</si>
  <si>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</si>
  <si>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</si>
  <si>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</si>
  <si>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</si>
  <si>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</si>
  <si>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</si>
  <si>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</si>
  <si>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</si>
  <si>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</si>
  <si>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</si>
  <si>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</si>
  <si>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</si>
  <si>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</si>
  <si>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</si>
  <si>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</si>
  <si>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</si>
  <si>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</si>
  <si>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</si>
  <si>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</si>
  <si>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</si>
  <si>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</si>
  <si>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</si>
  <si>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</si>
  <si>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</si>
  <si>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</si>
  <si>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</si>
  <si>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</si>
  <si>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</si>
  <si>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</si>
  <si>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</si>
  <si>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</si>
  <si>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</si>
  <si>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</si>
  <si>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</si>
  <si>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</si>
  <si>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</si>
  <si>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</si>
  <si>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</si>
  <si>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</si>
  <si>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</si>
  <si>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</si>
  <si>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</si>
  <si>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</si>
  <si>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</si>
  <si>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</si>
  <si>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</si>
  <si>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</si>
  <si>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</si>
  <si>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</si>
  <si>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</si>
  <si>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</si>
  <si>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</si>
  <si>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</si>
  <si>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</si>
  <si>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</si>
  <si>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</si>
  <si>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</si>
  <si>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</si>
  <si>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</si>
  <si>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</si>
  <si>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</si>
  <si>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</si>
  <si>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</si>
  <si>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</si>
  <si>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</si>
  <si>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</si>
  <si>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</si>
  <si>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</si>
  <si>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</si>
  <si>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</si>
  <si>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</si>
  <si>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</si>
  <si>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</si>
  <si>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</si>
  <si>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</si>
  <si>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</si>
  <si>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</si>
  <si>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</si>
  <si>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</si>
  <si>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</si>
  <si>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</si>
  <si>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</si>
  <si>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</si>
  <si>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</si>
  <si>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</si>
  <si>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</si>
  <si>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</si>
  <si>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</si>
  <si>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</si>
  <si>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</si>
  <si>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</si>
  <si>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</si>
  <si>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</si>
  <si>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</si>
  <si>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</si>
  <si>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</si>
  <si>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</si>
  <si>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</si>
  <si>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</si>
  <si>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</si>
  <si>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</si>
  <si>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</si>
  <si>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</si>
  <si>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</si>
  <si>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</si>
  <si>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</si>
  <si>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</si>
  <si>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</si>
  <si>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</si>
  <si>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</si>
  <si>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</si>
  <si>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</si>
  <si>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</si>
  <si>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</si>
  <si>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</si>
  <si>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</si>
  <si>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</si>
  <si>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</si>
  <si>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</si>
  <si>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</si>
  <si>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</si>
  <si>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</si>
  <si>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</si>
  <si>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</si>
  <si>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</si>
  <si>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</si>
  <si>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</si>
  <si>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</si>
  <si>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</si>
  <si>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</si>
  <si>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</si>
  <si>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</si>
  <si>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</si>
  <si>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</si>
  <si>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</si>
  <si>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</si>
  <si>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</si>
  <si>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</si>
  <si>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</si>
  <si>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</si>
  <si>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</si>
  <si>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</si>
  <si>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</si>
  <si>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</si>
  <si>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</si>
  <si>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</si>
  <si>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</si>
  <si>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</si>
  <si>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</si>
  <si>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</si>
  <si>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</si>
  <si>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</si>
  <si>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</si>
  <si>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</si>
  <si>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</si>
  <si>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</si>
  <si>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</si>
  <si>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</si>
  <si>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</si>
  <si>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</si>
  <si>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</si>
  <si>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</si>
  <si>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</si>
  <si>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</si>
  <si>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</si>
  <si>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</si>
  <si>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</si>
  <si>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</si>
  <si>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</si>
  <si>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</si>
  <si>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</si>
  <si>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</si>
  <si>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</si>
  <si>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</si>
  <si>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</si>
  <si>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</si>
  <si>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</si>
  <si>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</si>
  <si>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</si>
  <si>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</si>
  <si>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</si>
  <si>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</si>
  <si>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</si>
  <si>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</si>
  <si>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</si>
  <si>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</si>
  <si>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</si>
  <si>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</si>
  <si>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</si>
  <si>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</si>
  <si>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</si>
  <si>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</si>
  <si>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</si>
  <si>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</si>
  <si>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</si>
  <si>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</si>
  <si>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</si>
  <si>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</si>
  <si>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</si>
  <si>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</si>
  <si>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</si>
  <si>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</si>
  <si>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</si>
  <si>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</si>
  <si>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</si>
  <si>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</si>
  <si>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</si>
  <si>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</si>
  <si>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</si>
  <si>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</si>
  <si>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</si>
  <si>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</si>
  <si>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</si>
  <si>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</si>
  <si>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</si>
  <si>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</si>
  <si>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</si>
  <si>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</si>
  <si>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</si>
  <si>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</si>
  <si>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</si>
  <si>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</si>
  <si>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</si>
  <si>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</si>
  <si>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</si>
  <si>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</si>
  <si>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</si>
  <si>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</si>
  <si>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</si>
  <si>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</si>
  <si>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</si>
  <si>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</si>
  <si>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</si>
  <si>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</si>
  <si>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</si>
  <si>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</si>
  <si>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</si>
  <si>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</si>
  <si>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</si>
  <si>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</si>
  <si>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</si>
  <si>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</si>
  <si>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</si>
  <si>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</si>
  <si>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</si>
  <si>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</si>
  <si>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</si>
  <si>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</si>
  <si>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</si>
  <si>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</si>
  <si>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</si>
  <si>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</si>
  <si>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</si>
  <si>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</si>
  <si>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</si>
  <si>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</si>
  <si>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</si>
  <si>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</si>
  <si>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</si>
  <si>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</si>
  <si>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</si>
  <si>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</si>
  <si>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</si>
  <si>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</si>
  <si>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</si>
  <si>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</si>
  <si>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</si>
  <si>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</si>
  <si>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</si>
  <si>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</si>
  <si>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</si>
  <si>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</si>
  <si>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</si>
  <si>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</si>
  <si>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</si>
  <si>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</si>
  <si>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</si>
  <si>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</si>
  <si>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</si>
  <si>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</si>
  <si>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</si>
  <si>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</si>
  <si>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</si>
  <si>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</si>
  <si>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</si>
  <si>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</si>
  <si>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</si>
  <si>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</si>
  <si>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</si>
  <si>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</si>
  <si>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</si>
  <si>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</si>
  <si>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</si>
  <si>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</si>
  <si>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</si>
  <si>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</si>
  <si>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</si>
  <si>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</si>
  <si>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</si>
  <si>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</si>
  <si>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</si>
  <si>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</si>
  <si>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</si>
  <si>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</si>
  <si>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</si>
  <si>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</si>
  <si>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</si>
  <si>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</si>
  <si>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</si>
  <si>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</si>
  <si>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</si>
  <si>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</si>
  <si>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</si>
  <si>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</si>
  <si>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</si>
  <si>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</si>
  <si>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</si>
  <si>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</si>
  <si>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</si>
  <si>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</si>
  <si>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</si>
  <si>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</si>
  <si>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</si>
  <si>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</si>
  <si>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</si>
  <si>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</si>
  <si>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</si>
  <si>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</si>
  <si>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</si>
  <si>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</si>
  <si>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</si>
  <si>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</si>
  <si>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</si>
  <si>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</si>
  <si>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</si>
  <si>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</si>
  <si>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</si>
  <si>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</si>
  <si>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</si>
  <si>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</si>
  <si>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</si>
  <si>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</si>
  <si>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</si>
  <si>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</si>
  <si>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</si>
  <si>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</si>
  <si>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</si>
  <si>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</si>
  <si>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</si>
  <si>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</si>
  <si>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</si>
  <si>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</si>
  <si>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</si>
  <si>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</si>
  <si>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</si>
  <si>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</si>
  <si>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</si>
  <si>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</si>
  <si>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</si>
  <si>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</si>
  <si>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</si>
  <si>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</si>
  <si>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</si>
  <si>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</si>
  <si>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</si>
  <si>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</si>
  <si>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</si>
  <si>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</si>
  <si>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</si>
  <si>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</si>
  <si>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</si>
  <si>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</si>
  <si>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</si>
  <si>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</si>
  <si>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</si>
  <si>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</si>
  <si>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美团</t>
  </si>
  <si>
    <t>3690.HK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</si>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</sst>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22" sqref="B2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97.35</v>
      </c>
      <c r="E8" s="32"/>
    </row>
    <row r="9" spans="1:9">
      <c r="B9" s="4" t="s">
        <v>346</v>
      </c>
      <c r="C9" s="48">
        <v>9264431217</v>
      </c>
    </row>
    <row r="10" spans="1:9">
      <c r="B10" s="4" t="s">
        <v>352</v>
      </c>
      <c r="C10" s="33">
        <f>Thesis!C8*Common_Shares/1000000</f>
        <v>901892.37897494994</v>
      </c>
      <c r="D10" s="1" t="s">
        <v>527</v>
      </c>
      <c r="E10" s="303">
        <f>Scenarios!F34</f>
        <v>0.14203089720498038</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1.1204719901561737</v>
      </c>
    </row>
    <row r="17" spans="1:6">
      <c r="B17" s="1" t="s">
        <v>531</v>
      </c>
      <c r="C17" s="456">
        <v>0.02</v>
      </c>
      <c r="D17" s="4" t="s">
        <v>274</v>
      </c>
      <c r="E17" s="224" t="s">
        <v>557</v>
      </c>
    </row>
    <row r="18" spans="1:6">
      <c r="B18" s="1" t="str">
        <f>"Expected Equity Value ("&amp;C7&amp;") :"</f>
        <v>Expected Equity Value (HKD) :</v>
      </c>
      <c r="C18" s="252">
        <f>C125</f>
        <v>145.00050576448555</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66.820509568887374</v>
      </c>
      <c r="D22" s="38" t="s">
        <v>406</v>
      </c>
      <c r="E22" s="79">
        <v>0.29465259038036606</v>
      </c>
    </row>
    <row r="23" spans="1:6">
      <c r="B23" s="1" t="s">
        <v>313</v>
      </c>
      <c r="C23" s="256">
        <f>E141</f>
        <v>83.754804773710106</v>
      </c>
      <c r="D23" s="38" t="s">
        <v>407</v>
      </c>
      <c r="E23" s="443">
        <v>0.20075184365903009</v>
      </c>
    </row>
    <row r="24" spans="1:6">
      <c r="B24" s="1" t="s">
        <v>315</v>
      </c>
      <c r="C24" s="256">
        <f>E144</f>
        <v>103.93061949909782</v>
      </c>
      <c r="D24" s="38" t="s">
        <v>408</v>
      </c>
      <c r="E24" s="443">
        <v>0.1174</v>
      </c>
    </row>
    <row r="25" spans="1:6">
      <c r="B25" s="1" t="s">
        <v>314</v>
      </c>
      <c r="C25" s="256">
        <f>E145</f>
        <v>117.53781539844979</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16278123.080000043</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321313.45291999989</v>
      </c>
      <c r="D44" s="1" t="str">
        <f>Reporting_currency</f>
        <v>CNY</v>
      </c>
      <c r="E44" s="244"/>
      <c r="F44" s="244"/>
    </row>
    <row r="45" spans="2:6">
      <c r="B45" s="44" t="s">
        <v>268</v>
      </c>
      <c r="C45" s="286">
        <f>Normalized_FCF!C45</f>
        <v>-3058644.12</v>
      </c>
      <c r="D45" s="1" t="str">
        <f>Reporting_currency</f>
        <v>CNY</v>
      </c>
      <c r="E45" s="244"/>
      <c r="F45" s="244"/>
    </row>
    <row r="46" spans="2:6">
      <c r="B46" s="44" t="s">
        <v>203</v>
      </c>
      <c r="C46" s="285">
        <f>Normalized_FCF!C10</f>
        <v>-2737330.66708</v>
      </c>
      <c r="D46" s="1" t="str">
        <f>Reporting_currency</f>
        <v>CNY</v>
      </c>
    </row>
    <row r="48" spans="2:6">
      <c r="B48" s="1" t="s">
        <v>211</v>
      </c>
    </row>
    <row r="49" spans="2:6">
      <c r="B49" s="44" t="s">
        <v>223</v>
      </c>
      <c r="C49" s="285">
        <f>Normalized_FCF!C13</f>
        <v>0</v>
      </c>
      <c r="D49" s="1" t="str">
        <f>Reporting_currency</f>
        <v>CNY</v>
      </c>
    </row>
    <row r="51" spans="2:6">
      <c r="B51" s="463" t="s">
        <v>206</v>
      </c>
      <c r="C51" s="463"/>
      <c r="D51" s="463"/>
      <c r="E51" s="463"/>
      <c r="F51" s="463"/>
    </row>
    <row r="52" spans="2:6">
      <c r="B52" s="44" t="s">
        <v>204</v>
      </c>
      <c r="C52" s="285">
        <f>Normalized_FCF!C12</f>
        <v>-3385198.1032300107</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31089799.312959094</v>
      </c>
      <c r="D60" s="1" t="str">
        <f>Reporting_currency</f>
        <v>CNY</v>
      </c>
    </row>
    <row r="61" spans="2:6">
      <c r="B61" s="44" t="s">
        <v>213</v>
      </c>
      <c r="C61" s="285">
        <f>Normalized_FCF!C19</f>
        <v>10155594.309690032</v>
      </c>
      <c r="D61" s="1" t="str">
        <f>Reporting_currency</f>
        <v>CNY</v>
      </c>
    </row>
    <row r="62" spans="2:6">
      <c r="B62" s="204" t="s">
        <v>302</v>
      </c>
      <c r="C62" s="89">
        <f>Normalized_FCF!C124</f>
        <v>1.2616870075263333E-2</v>
      </c>
      <c r="F62" s="257"/>
    </row>
    <row r="63" spans="2:6">
      <c r="B63" s="204" t="s">
        <v>332</v>
      </c>
      <c r="C63" s="89">
        <f>Normalized_FCF!C92</f>
        <v>0</v>
      </c>
      <c r="E63" s="44" t="s">
        <v>322</v>
      </c>
      <c r="F63" s="258">
        <f>Normalized_FCF!C90</f>
        <v>0</v>
      </c>
    </row>
    <row r="65" spans="1:6">
      <c r="B65" s="192" t="s">
        <v>325</v>
      </c>
      <c r="C65" s="264" t="s">
        <v>327</v>
      </c>
      <c r="D65" s="264" t="s">
        <v>328</v>
      </c>
    </row>
    <row r="66" spans="1:6">
      <c r="B66" s="44" t="s">
        <v>326</v>
      </c>
      <c r="C66" s="89">
        <f>Normalized_FCF!E119</f>
        <v>0.25</v>
      </c>
      <c r="D66" s="89">
        <f>Normalized_FCF!G119</f>
        <v>0.18051269149145724</v>
      </c>
    </row>
    <row r="67" spans="1:6">
      <c r="B67" s="229" t="str">
        <f>Normalized_FCF!B116</f>
        <v>Pre-tax Profit/Sales</v>
      </c>
      <c r="C67" s="263">
        <f>Normalized_FCF!E116</f>
        <v>0.13647968218259099</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-50977402</v>
      </c>
      <c r="D78" s="1" t="str">
        <f>Reporting_currency</f>
        <v>CNY</v>
      </c>
    </row>
    <row r="79" spans="1:6">
      <c r="A79" s="191"/>
      <c r="B79" s="44" t="s">
        <v>234</v>
      </c>
      <c r="C79" s="201">
        <f>C78*scaling_factor*Exchange_Rate/Common_Shares</f>
        <v>-6.1653813098768362</v>
      </c>
      <c r="D79" s="1" t="str">
        <f>Market_currency</f>
        <v>HKD</v>
      </c>
    </row>
    <row r="80" spans="1:6">
      <c r="A80" s="191"/>
      <c r="B80" s="229" t="s">
        <v>309</v>
      </c>
      <c r="C80" s="337">
        <f>IF(BS!G31/BS!G27&gt;300%,"nm",BS!G31/BS!G27)</f>
        <v>0.27660377540313014</v>
      </c>
    </row>
    <row r="81" spans="1:6">
      <c r="A81" s="191"/>
      <c r="B81" s="229" t="s">
        <v>311</v>
      </c>
      <c r="C81" s="338">
        <f>IF(BS!C50&gt;30,"nm",BS!C50)</f>
        <v>3.1316510969641755</v>
      </c>
    </row>
    <row r="82" spans="1:6">
      <c r="A82" s="191"/>
    </row>
    <row r="83" spans="1:6">
      <c r="A83" s="191"/>
      <c r="B83" s="1" t="s">
        <v>466</v>
      </c>
    </row>
    <row r="84" spans="1:6">
      <c r="A84" s="191"/>
      <c r="B84" s="1" t="s">
        <v>224</v>
      </c>
      <c r="C84" s="285">
        <f>DCF!F5</f>
        <v>66024762.846666686</v>
      </c>
      <c r="D84" s="1" t="str">
        <f>Reporting_currency</f>
        <v>CNY</v>
      </c>
    </row>
    <row r="85" spans="1:6">
      <c r="A85" s="191"/>
      <c r="B85" s="229" t="s">
        <v>222</v>
      </c>
      <c r="C85" s="291">
        <f>BS!C66</f>
        <v>119577005</v>
      </c>
      <c r="D85" s="339" t="str">
        <f>Reporting_currency</f>
        <v>CNY</v>
      </c>
    </row>
    <row r="86" spans="1:6">
      <c r="A86" s="191"/>
      <c r="B86" s="44" t="s">
        <v>235</v>
      </c>
      <c r="C86" s="201">
        <f>C84*scaling_factor*Exchange_Rate/Common_Shares</f>
        <v>7.9852605835795494</v>
      </c>
      <c r="D86" s="1" t="str">
        <f>Market_currency</f>
        <v>HKD</v>
      </c>
    </row>
    <row r="87" spans="1:6">
      <c r="A87" s="191"/>
    </row>
    <row r="88" spans="1:6">
      <c r="A88" s="191"/>
      <c r="B88" s="1" t="s">
        <v>216</v>
      </c>
    </row>
    <row r="89" spans="1:6">
      <c r="A89" s="191"/>
      <c r="B89" s="1" t="s">
        <v>217</v>
      </c>
      <c r="C89" s="285">
        <f>DCF!F6</f>
        <v>57918846.499999993</v>
      </c>
      <c r="D89" s="1" t="str">
        <f>Reporting_currency</f>
        <v>CNY</v>
      </c>
    </row>
    <row r="90" spans="1:6">
      <c r="A90" s="191"/>
      <c r="B90" s="44" t="s">
        <v>236</v>
      </c>
      <c r="C90" s="201">
        <f>C89*scaling_factor*Exchange_Rate/Common_Shares</f>
        <v>7.0049033432642442</v>
      </c>
      <c r="D90" s="1" t="str">
        <f>Market_currency</f>
        <v>HKD</v>
      </c>
    </row>
    <row r="91" spans="1:6">
      <c r="A91" s="191"/>
    </row>
    <row r="92" spans="1:6">
      <c r="A92" s="191"/>
      <c r="B92" s="44" t="s">
        <v>469</v>
      </c>
      <c r="C92" s="216">
        <f>DCF!F8</f>
        <v>8.8247826169669565</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3.5710191100799706</v>
      </c>
      <c r="D111" s="1" t="str">
        <f>Market_currency</f>
        <v>HKD</v>
      </c>
    </row>
    <row r="112" spans="2:6">
      <c r="B112" s="44" t="s">
        <v>323</v>
      </c>
      <c r="C112" s="216">
        <f>DCF!C11</f>
        <v>32.687970195317874</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0.25</v>
      </c>
      <c r="D118" s="207" t="str">
        <f>ROUND(DCF!E90,2)&amp;" "&amp;Market_currency</f>
        <v>399.05 HKD</v>
      </c>
      <c r="E118" s="208">
        <f>DCF!F90</f>
        <v>0.05</v>
      </c>
      <c r="F118" s="208">
        <f>RATE(Holding_Period,Scenarios!C$58,-DCF!E90,C$18)</f>
        <v>-0.2864104738607785</v>
      </c>
    </row>
    <row r="119" spans="2:6">
      <c r="B119" s="205" t="str">
        <f>DCF!B91&amp;" ("&amp;DCF!D91&amp;"yrs)"</f>
        <v>Optimistic (15yrs)</v>
      </c>
      <c r="C119" s="198">
        <f>DCF!C91</f>
        <v>0.2</v>
      </c>
      <c r="D119" s="207" t="str">
        <f>ROUND(DCF!E91,2)&amp;" "&amp;Market_currency</f>
        <v>263.09 HKD</v>
      </c>
      <c r="E119" s="199">
        <f>DCF!F91</f>
        <v>0.18</v>
      </c>
      <c r="F119" s="208">
        <f>RATE(Holding_Period,Scenarios!C$58,-DCF!E91,C$18)</f>
        <v>-0.18011406136043306</v>
      </c>
    </row>
    <row r="120" spans="2:6">
      <c r="B120" s="205" t="str">
        <f>DCF!B92&amp;" ("&amp;DCF!D92&amp;"yrs)"</f>
        <v>Base (15yrs)</v>
      </c>
      <c r="C120" s="198">
        <f>DCF!C92</f>
        <v>0.1</v>
      </c>
      <c r="D120" s="207" t="str">
        <f>ROUND(DCF!E92,2)&amp;" "&amp;Market_currency</f>
        <v>113.93 HKD</v>
      </c>
      <c r="E120" s="199">
        <f>DCF!F92</f>
        <v>0.53999999999999992</v>
      </c>
      <c r="F120" s="208">
        <f>RATE(Holding_Period,Scenarios!C$58,-DCF!E92,C$18)</f>
        <v>8.3715984012562764E-2</v>
      </c>
    </row>
    <row r="121" spans="2:6">
      <c r="B121" s="205" t="str">
        <f>DCF!B93&amp;" ("&amp;DCF!D93&amp;"yrs)"</f>
        <v>Pessimistic (15yrs)</v>
      </c>
      <c r="C121" s="198">
        <f>DCF!C93</f>
        <v>0.05</v>
      </c>
      <c r="D121" s="207" t="str">
        <f>ROUND(DCF!E93,2)&amp;" "&amp;Market_currency</f>
        <v>75.64 HKD</v>
      </c>
      <c r="E121" s="199">
        <f>DCF!F93</f>
        <v>0.18</v>
      </c>
      <c r="F121" s="208">
        <f>RATE(Holding_Period,Scenarios!C$58,-DCF!E93,C$18)</f>
        <v>0.2422176701906647</v>
      </c>
    </row>
    <row r="122" spans="2:6">
      <c r="B122" s="205" t="str">
        <f>DCF!B94&amp;" ("&amp;DCF!D94&amp;"yrs)"</f>
        <v>Devil's advocate (15yrs)</v>
      </c>
      <c r="C122" s="198">
        <f>DCF!C94</f>
        <v>0</v>
      </c>
      <c r="D122" s="207" t="str">
        <f>ROUND(DCF!E94,2)&amp;" "&amp;Market_currency</f>
        <v>51.11 HKD</v>
      </c>
      <c r="E122" s="199">
        <f>DCF!F94</f>
        <v>0.05</v>
      </c>
      <c r="F122" s="208">
        <f>RATE(Holding_Period,Scenarios!C$58,-DCF!E94,C$18)</f>
        <v>0.41566968470386995</v>
      </c>
    </row>
    <row r="124" spans="2:6">
      <c r="B124" s="463" t="s">
        <v>357</v>
      </c>
      <c r="C124" s="463"/>
      <c r="D124" s="463"/>
      <c r="E124" s="463"/>
      <c r="F124" s="463"/>
    </row>
    <row r="125" spans="2:6">
      <c r="B125" s="193" t="s">
        <v>218</v>
      </c>
      <c r="C125" s="197">
        <f>Scenarios!C36</f>
        <v>145.00050576448555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v>
      </c>
      <c r="D140" s="333">
        <f>Scenarios!D62</f>
        <v>66.820509568887374</v>
      </c>
      <c r="E140" s="334">
        <f>Scenarios!E62</f>
        <v>66.820509568887374</v>
      </c>
      <c r="F140" s="335">
        <f>E22</f>
        <v>0.29465259038036606</v>
      </c>
    </row>
    <row r="141" spans="1:6">
      <c r="B141" s="336" t="s">
        <v>313</v>
      </c>
      <c r="C141" s="333">
        <f>Scenarios!C63</f>
        <v>0</v>
      </c>
      <c r="D141" s="333">
        <f>Scenarios!D63</f>
        <v>83.754804773710106</v>
      </c>
      <c r="E141" s="334">
        <f>Scenarios!E63</f>
        <v>83.754804773710106</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v>
      </c>
      <c r="D144" s="333">
        <f>Scenarios!D66</f>
        <v>103.93061949909782</v>
      </c>
      <c r="E144" s="334">
        <f>Scenarios!E66</f>
        <v>103.93061949909782</v>
      </c>
      <c r="F144" s="335">
        <f>E24</f>
        <v>0.1174</v>
      </c>
    </row>
    <row r="145" spans="1:6">
      <c r="B145" s="336" t="s">
        <v>314</v>
      </c>
      <c r="C145" s="333">
        <f>Scenarios!C67</f>
        <v>0</v>
      </c>
      <c r="D145" s="333">
        <f>Scenarios!D67</f>
        <v>117.53781539844979</v>
      </c>
      <c r="E145" s="334">
        <f>Scenarios!E67</f>
        <v>117.53781539844979</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40</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51</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58</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46</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1337038</v>
      </c>
      <c r="D12" s="287">
        <v>1425157</v>
      </c>
      <c r="E12" s="287">
        <v>1628825</v>
      </c>
      <c r="F12" s="287">
        <v>1130935</v>
      </c>
      <c r="G12" s="287">
        <v>0</v>
      </c>
      <c r="H12" s="287">
        <v>0</v>
      </c>
      <c r="I12" s="287">
        <v>0</v>
      </c>
      <c r="J12" s="287">
        <v>19214</v>
      </c>
      <c r="K12" s="287">
        <v>55981</v>
      </c>
      <c r="L12" s="287">
        <v>56561</v>
      </c>
      <c r="M12" s="287"/>
    </row>
    <row r="13" spans="2:13">
      <c r="B13" s="38" t="s">
        <v>64</v>
      </c>
      <c r="C13" s="287">
        <v>1291807</v>
      </c>
      <c r="D13" s="287">
        <v>818986</v>
      </c>
      <c r="E13" s="287">
        <v>657908</v>
      </c>
      <c r="F13" s="287">
        <v>546037</v>
      </c>
      <c r="G13" s="287">
        <v>0</v>
      </c>
      <c r="H13" s="287">
        <v>0</v>
      </c>
      <c r="I13" s="287">
        <v>294047</v>
      </c>
      <c r="J13" s="287">
        <v>60885</v>
      </c>
      <c r="K13" s="287">
        <v>21681</v>
      </c>
      <c r="L13" s="287">
        <v>13541</v>
      </c>
      <c r="M13" s="287"/>
    </row>
    <row r="14" spans="2:13">
      <c r="B14" s="38" t="s">
        <v>47</v>
      </c>
      <c r="C14" s="287">
        <v>2177107</v>
      </c>
      <c r="D14" s="287">
        <v>164537</v>
      </c>
      <c r="E14" s="287">
        <v>-70194</v>
      </c>
      <c r="F14" s="287">
        <v>-30279</v>
      </c>
      <c r="G14" s="287">
        <v>-269737</v>
      </c>
      <c r="H14" s="287">
        <v>526223</v>
      </c>
      <c r="I14" s="287">
        <v>1888</v>
      </c>
      <c r="J14" s="287">
        <v>54218</v>
      </c>
      <c r="K14" s="287">
        <v>267903</v>
      </c>
      <c r="L14" s="287">
        <v>-11648</v>
      </c>
      <c r="M14" s="287"/>
    </row>
    <row r="15" spans="2:13">
      <c r="B15" s="41" t="s">
        <v>39</v>
      </c>
      <c r="C15" s="289">
        <v>35807179</v>
      </c>
      <c r="D15" s="289"/>
      <c r="E15" s="289"/>
      <c r="F15" s="289"/>
      <c r="G15" s="289"/>
      <c r="H15" s="289"/>
      <c r="I15" s="289"/>
      <c r="J15" s="289"/>
      <c r="K15" s="289"/>
      <c r="L15" s="289"/>
      <c r="M15" s="289"/>
    </row>
    <row r="16" spans="2:13">
      <c r="B16" s="27" t="s">
        <v>41</v>
      </c>
      <c r="C16" s="287">
        <v>1143</v>
      </c>
      <c r="D16" s="287"/>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-237258</v>
      </c>
      <c r="D22" s="287"/>
      <c r="E22" s="287"/>
      <c r="F22" s="287"/>
      <c r="G22" s="287"/>
      <c r="H22" s="287"/>
      <c r="I22" s="287"/>
      <c r="J22" s="287"/>
      <c r="K22" s="287"/>
      <c r="L22" s="287"/>
      <c r="M22" s="287"/>
    </row>
    <row r="23" spans="2:13">
      <c r="B23" s="26" t="s">
        <v>288</v>
      </c>
      <c r="C23" s="287">
        <v>23438</v>
      </c>
      <c r="D23" s="287"/>
      <c r="E23" s="287"/>
      <c r="F23" s="287"/>
      <c r="G23" s="287"/>
      <c r="H23" s="287"/>
      <c r="I23" s="287"/>
      <c r="J23" s="287"/>
      <c r="K23" s="287"/>
      <c r="L23" s="287"/>
      <c r="M23" s="287"/>
    </row>
    <row r="24" spans="2:13">
      <c r="B24" s="26" t="s">
        <v>287</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546</v>
      </c>
    </row>
    <row r="28" spans="2:13">
      <c r="B28" s="25" t="s">
        <v>22</v>
      </c>
      <c r="C28" s="270">
        <f>BS!C4</f>
        <v>3141262</v>
      </c>
      <c r="D28" s="287"/>
      <c r="E28" s="287"/>
      <c r="F28" s="287"/>
      <c r="G28" s="287"/>
      <c r="H28" s="287"/>
      <c r="I28" s="287"/>
      <c r="J28" s="287"/>
      <c r="K28" s="287"/>
      <c r="L28" s="287"/>
      <c r="M28" s="287"/>
    </row>
    <row r="29" spans="2:13">
      <c r="B29" s="25" t="s">
        <v>30</v>
      </c>
      <c r="C29" s="270">
        <f>BS!C6</f>
        <v>2483059</v>
      </c>
      <c r="D29" s="287">
        <v>1734.124</v>
      </c>
      <c r="E29" s="287">
        <v>1304.595</v>
      </c>
      <c r="F29" s="287">
        <v>1162.7650000000001</v>
      </c>
      <c r="G29" s="287">
        <v>681.69299999999998</v>
      </c>
      <c r="H29" s="287"/>
      <c r="I29" s="287"/>
      <c r="J29" s="287"/>
      <c r="K29" s="287"/>
      <c r="L29" s="287"/>
      <c r="M29" s="287"/>
    </row>
    <row r="30" spans="2:13">
      <c r="B30" s="28" t="s">
        <v>38</v>
      </c>
      <c r="C30" s="271">
        <f>BS!C33+BS!C42</f>
        <v>145900611</v>
      </c>
      <c r="D30" s="289"/>
      <c r="E30" s="289"/>
      <c r="F30" s="289"/>
      <c r="G30" s="289"/>
      <c r="H30" s="289"/>
      <c r="I30" s="289"/>
      <c r="J30" s="289"/>
      <c r="K30" s="289"/>
      <c r="L30" s="289"/>
      <c r="M30" s="289"/>
    </row>
    <row r="31" spans="2:13">
      <c r="B31" s="28" t="s">
        <v>28</v>
      </c>
      <c r="C31" s="271">
        <f>BS!G27</f>
        <v>184297564</v>
      </c>
      <c r="D31" s="289"/>
      <c r="E31" s="289"/>
      <c r="F31" s="289"/>
      <c r="G31" s="289"/>
      <c r="H31" s="289"/>
      <c r="I31" s="289"/>
      <c r="J31" s="289"/>
      <c r="K31" s="289"/>
      <c r="L31" s="289"/>
      <c r="M31" s="289"/>
    </row>
    <row r="32" spans="2:13">
      <c r="B32" s="25" t="s">
        <v>143</v>
      </c>
      <c r="C32" s="270">
        <f>BS!G28</f>
        <v>-58350</v>
      </c>
      <c r="D32" s="287">
        <v>-58.881999999999998</v>
      </c>
      <c r="E32" s="287">
        <v>-56.84</v>
      </c>
      <c r="F32" s="287">
        <v>-55.893000000000001</v>
      </c>
      <c r="G32" s="287">
        <v>-56.68</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40</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55</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51</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58</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61</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46</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127</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139</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65</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47</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39</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41</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64</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82</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83</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38</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28</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87">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22.296634625296544</v>
      </c>
      <c r="D47" s="134">
        <f>D46*H1/Common_Shares*Exchange_Rate</f>
        <v>3.5710191100799706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3.1316510969641755</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0.16637304176128054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66024762.846666686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-25297085.083333332</v>
      </c>
      <c r="D73" s="285">
        <f>(Normalized_FCF!C26+Normalized_FCF!C35-Normalized_FCF!C89)/12</f>
        <v>-26776121.076666657</v>
      </c>
      <c r="F73" s="1" t="s">
        <v>278</v>
      </c>
    </row>
    <row r="74" spans="2:6" ht="15" customHeight="1">
      <c r="B74" s="227" t="s">
        <v>259</v>
      </c>
      <c r="C74" s="228">
        <f>-$C$66/C73</f>
        <v>4.7269084404820152</v>
      </c>
      <c r="D74" s="228">
        <f>-$C$66/D73</f>
        <v>4.4658075998992333</v>
      </c>
      <c r="F74" s="223" t="s">
        <v>257</v>
      </c>
    </row>
    <row r="75" spans="2:6" ht="15" customHeight="1">
      <c r="B75" s="77" t="s">
        <v>258</v>
      </c>
      <c r="C75" s="261"/>
      <c r="D75" s="262">
        <f>MAX(-D73*D76,G5)</f>
        <v>53552242.153333314</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-57118751.07193131</v>
      </c>
      <c r="D86" s="201">
        <f>C86*scaling_factor/Common_Shares</f>
        <v>-6.1653813098768362</v>
      </c>
      <c r="E86" s="214" t="str">
        <f>Market_currency</f>
        <v>HKD</v>
      </c>
    </row>
    <row r="87" spans="2:8" ht="15" customHeight="1">
      <c r="B87" s="212" t="s">
        <v>240</v>
      </c>
      <c r="C87" s="73">
        <f>DCF!F5*Exchange_Rate</f>
        <v>73978897.426394016</v>
      </c>
      <c r="D87" s="201">
        <f>C87*scaling_factor/Common_Shares</f>
        <v>7.9852605835795494</v>
      </c>
      <c r="E87" s="214" t="str">
        <f>Market_currency</f>
        <v>HKD</v>
      </c>
    </row>
    <row r="88" spans="2:8" ht="15" customHeight="1">
      <c r="B88" s="213" t="s">
        <v>159</v>
      </c>
      <c r="C88" s="73">
        <f>DCF!F6*Exchange_Rate</f>
        <v>64896445.20540493</v>
      </c>
      <c r="D88" s="201">
        <f>C88*scaling_factor/Common_Shares</f>
        <v>7.0049033432642442</v>
      </c>
      <c r="E88" s="214" t="str">
        <f>Market_currency</f>
        <v>HKD</v>
      </c>
    </row>
    <row r="89" spans="2:8" ht="15" customHeight="1">
      <c r="B89" s="77" t="s">
        <v>244</v>
      </c>
      <c r="C89" s="162">
        <f>SUM(C86:C88)</f>
        <v>81756591.559867635</v>
      </c>
      <c r="D89" s="216">
        <f>SUM(D86:D88)</f>
        <v>8.8247826169669565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66" sqref="C6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43</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45</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42</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127</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137</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60</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208</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59</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46</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43</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175</v>
      </c>
      <c r="E28" s="237"/>
    </row>
    <row r="29" spans="1:17" ht="15.75" customHeight="1">
      <c r="A29" s="10"/>
      <c r="B29" s="25" t="s">
        <v>40</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272</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269</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65</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164</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137</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60</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179</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28</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304</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4.0109983114389222E-2</v>
      </c>
      <c r="E116" s="22">
        <f>E119/E117/E118</f>
        <v>0.13647968218259099</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80</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62">
        <f>C11/C104</f>
        <v>7.347244379703273E-2</v>
      </c>
      <c r="D119" s="100"/>
      <c r="E119" s="453">
        <v>0.25</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1.2282523018268856</v>
      </c>
      <c r="D123" s="26"/>
      <c r="E123" s="234"/>
      <c r="F123" s="26"/>
      <c r="G123" s="159">
        <f t="shared" ref="G123:Q123" si="48">IF(G$4="","",G14*$C$3/Common_Shares*Exchange_Rate)</f>
        <v>3.760106637288807</v>
      </c>
      <c r="H123" s="159">
        <f t="shared" si="48"/>
        <v>0.81977610824764879</v>
      </c>
      <c r="I123" s="159">
        <f t="shared" si="48"/>
        <v>-1.1813507280722415</v>
      </c>
      <c r="J123" s="159">
        <f t="shared" si="48"/>
        <v>-2.9453802998664793</v>
      </c>
      <c r="K123" s="159">
        <f t="shared" si="48"/>
        <v>-0.36878248857790158</v>
      </c>
      <c r="L123" s="159">
        <f t="shared" si="48"/>
        <v>2.3037302526820409E-2</v>
      </c>
      <c r="M123" s="159">
        <f t="shared" si="48"/>
        <v>-1.6376627723173041</v>
      </c>
      <c r="N123" s="159">
        <f t="shared" si="48"/>
        <v>-0.55070265507308869</v>
      </c>
      <c r="O123" s="159">
        <f t="shared" si="48"/>
        <v>-0.82233654459630823</v>
      </c>
      <c r="P123" s="159">
        <f t="shared" si="48"/>
        <v>-1.0292053625154205</v>
      </c>
      <c r="Q123" s="159" t="str">
        <f t="shared" si="48"/>
        <v/>
      </c>
    </row>
    <row r="124" spans="1:17" ht="15.75" customHeight="1">
      <c r="A124" s="10"/>
      <c r="B124" s="26" t="s">
        <v>226</v>
      </c>
      <c r="C124" s="74">
        <f>C19*Exchange_Rate*$C$3/(Market_Price*Common_Shares)</f>
        <v>1.2616870075263333E-2</v>
      </c>
      <c r="D124" s="26"/>
      <c r="E124" s="234"/>
      <c r="F124" s="26"/>
      <c r="G124" s="74">
        <f t="shared" ref="G124" si="49">IF(G$4="","",G123/Market_Price)</f>
        <v>3.8624618770301052E-2</v>
      </c>
      <c r="H124" s="74">
        <f t="shared" ref="H124" si="50">IF(H$4="","",H123/Market_Price)</f>
        <v>8.4209153389588984E-3</v>
      </c>
      <c r="I124" s="74">
        <f t="shared" ref="I124" si="51">IF(I$4="","",I123/Market_Price)</f>
        <v>-1.2135087088569507E-2</v>
      </c>
      <c r="J124" s="74">
        <f t="shared" ref="J124" si="52">IF(J$4="","",J123/Market_Price)</f>
        <v>-3.0255575756204207E-2</v>
      </c>
      <c r="K124" s="74">
        <f t="shared" ref="K124" si="53">IF(K$4="","",K123/Market_Price)</f>
        <v>-3.7882125174925692E-3</v>
      </c>
      <c r="L124" s="74">
        <f t="shared" ref="L124" si="54">IF(L$4="","",L123/Market_Price)</f>
        <v>2.366440937526493E-4</v>
      </c>
      <c r="M124" s="74">
        <f t="shared" ref="M124" si="55">IF(M$4="","",M123/Market_Price)</f>
        <v>-1.6822421903618944E-2</v>
      </c>
      <c r="N124" s="74">
        <f t="shared" ref="N124" si="56">IF(N$4="","",N123/Market_Price)</f>
        <v>-5.6569353371657806E-3</v>
      </c>
      <c r="O124" s="74">
        <f t="shared" ref="O124" si="57">IF(O$4="","",O123/Market_Price)</f>
        <v>-8.447216688200393E-3</v>
      </c>
      <c r="P124" s="74">
        <f t="shared" ref="P124" si="58">IF(P$4="","",P123/Market_Price)</f>
        <v>-1.0572217385880026E-2</v>
      </c>
      <c r="Q124" s="74" t="str">
        <f t="shared" ref="Q124" si="59">IF(Q$4="","",Q123/Market_Price)</f>
        <v/>
      </c>
    </row>
    <row r="125" spans="1:17" ht="15.75" customHeight="1">
      <c r="B125" s="2" t="s">
        <v>306</v>
      </c>
      <c r="C125" s="151"/>
      <c r="G125" s="22">
        <f>IF(G$4="","",(Data!C47*$C$3)/(Market_Price*Common_Shares))</f>
        <v>3.9702274722286511E-2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7" zoomScaleNormal="100" workbookViewId="0">
      <selection activeCell="E28" sqref="C28:E3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10155594.309690032</v>
      </c>
      <c r="D4" t="str">
        <f>Reporting_currency</f>
        <v>CNY</v>
      </c>
      <c r="E4" s="135" t="s">
        <v>431</v>
      </c>
      <c r="F4" s="275">
        <f>-BS!G31</f>
        <v>-50977402</v>
      </c>
      <c r="G4" t="str">
        <f>Reporting_currency</f>
        <v>CNY</v>
      </c>
      <c r="H4" s="308" t="s">
        <v>394</v>
      </c>
      <c r="I4" s="305">
        <f>Normalized_FCF!C4</f>
        <v>337591575.99999994</v>
      </c>
      <c r="J4" s="305"/>
    </row>
    <row r="5" spans="2:15">
      <c r="B5" s="187" t="s">
        <v>105</v>
      </c>
      <c r="C5" s="188">
        <f>Equity_Cost</f>
        <v>7.2499999999999995E-2</v>
      </c>
      <c r="E5" s="135" t="s">
        <v>432</v>
      </c>
      <c r="F5" s="275">
        <f>BS!D66</f>
        <v>66024762.846666686</v>
      </c>
      <c r="G5" t="str">
        <f>Reporting_currency</f>
        <v>CNY</v>
      </c>
      <c r="H5" s="308" t="s">
        <v>395</v>
      </c>
      <c r="I5" s="305">
        <f>Normalized_FCF!C7</f>
        <v>-10729203</v>
      </c>
      <c r="J5" s="305"/>
    </row>
    <row r="6" spans="2:15" ht="13.25" customHeight="1">
      <c r="B6" s="136" t="s">
        <v>194</v>
      </c>
      <c r="C6" s="283">
        <f>(C4*(1+Terminal_Growth))/(Equity_Cost-Terminal_Growth)</f>
        <v>197308689.44540638</v>
      </c>
      <c r="D6" t="str">
        <f>Reporting_currency</f>
        <v>CNY</v>
      </c>
      <c r="E6" s="187" t="s">
        <v>433</v>
      </c>
      <c r="F6" s="284">
        <f>BS!H42</f>
        <v>57918846.499999993</v>
      </c>
      <c r="G6" t="str">
        <f>Reporting_currency</f>
        <v>CNY</v>
      </c>
      <c r="H6" s="308" t="s">
        <v>416</v>
      </c>
      <c r="I6" s="305">
        <f>I7+I8</f>
        <v>-2737330.66708</v>
      </c>
      <c r="J6" s="305"/>
      <c r="N6" s="135"/>
    </row>
    <row r="7" spans="2:15" ht="12.75" customHeight="1">
      <c r="B7" s="318" t="s">
        <v>430</v>
      </c>
      <c r="C7" s="275">
        <f>F7</f>
        <v>72966207.346666679</v>
      </c>
      <c r="E7" s="140" t="s">
        <v>424</v>
      </c>
      <c r="F7" s="283">
        <f>SUM(F4:F6)</f>
        <v>72966207.346666679</v>
      </c>
      <c r="G7" t="str">
        <f>Reporting_currency</f>
        <v>CNY</v>
      </c>
      <c r="H7" s="312" t="s">
        <v>417</v>
      </c>
      <c r="I7" s="313">
        <f>Normalized_FCF!C9</f>
        <v>0</v>
      </c>
      <c r="J7" s="313"/>
      <c r="N7" s="304"/>
      <c r="O7" s="304"/>
    </row>
    <row r="8" spans="2:15" ht="13.15">
      <c r="B8" s="136" t="s">
        <v>426</v>
      </c>
      <c r="C8" s="283">
        <f>C6+C7</f>
        <v>270274896.79207307</v>
      </c>
      <c r="D8" t="str">
        <f>Reporting_currency</f>
        <v>CNY</v>
      </c>
      <c r="E8" s="140" t="s">
        <v>464</v>
      </c>
      <c r="F8" s="108">
        <f>FV_adjustments*scaling_factor/Common_Shares*Exchange_Rate</f>
        <v>8.8247826169669565</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1.1204719901561737</v>
      </c>
      <c r="D9" t="str">
        <f>Thesis!E15</f>
        <v>CNY/HKD</v>
      </c>
      <c r="F9" s="322"/>
      <c r="H9" s="308" t="str">
        <f>Normalized_FCF!B79</f>
        <v>NCI’s Share of Profits</v>
      </c>
      <c r="I9" s="144">
        <f>Normalized_FCF!C79</f>
        <v>0</v>
      </c>
      <c r="J9" s="306"/>
      <c r="N9" s="304"/>
      <c r="O9" s="304"/>
    </row>
    <row r="10" spans="2:15" ht="13.5" thickTop="1">
      <c r="B10" s="107" t="s">
        <v>427</v>
      </c>
      <c r="C10" s="283">
        <f>C8*Exchange_Rate</f>
        <v>302835451.49786854</v>
      </c>
      <c r="D10" t="str">
        <f>Market_currency</f>
        <v>HKD</v>
      </c>
      <c r="H10" s="308" t="s">
        <v>397</v>
      </c>
      <c r="I10" s="306">
        <f>Normalized_FCF!C41</f>
        <v>0.25</v>
      </c>
      <c r="N10" s="304"/>
      <c r="O10" s="304"/>
    </row>
    <row r="11" spans="2:15" ht="13.15">
      <c r="B11" s="136" t="s">
        <v>425</v>
      </c>
      <c r="C11" s="108">
        <f>(C10*scaling_factor)/Common_Shares</f>
        <v>32.687970195317874</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0.185</v>
      </c>
      <c r="E16" s="308" t="s">
        <v>400</v>
      </c>
      <c r="F16" s="311">
        <f>Scenarios!C41</f>
        <v>9.2499999999999999E-2</v>
      </c>
    </row>
    <row r="17" spans="1:21" ht="13.25" customHeight="1">
      <c r="B17" s="308" t="s">
        <v>548</v>
      </c>
      <c r="C17" s="306">
        <f>Normalized_FCF!C77</f>
        <v>4.0109983114389222E-2</v>
      </c>
      <c r="E17" s="308" t="s">
        <v>549</v>
      </c>
      <c r="F17" s="311">
        <f>Scenarios!C40</f>
        <v>0.13647968218259099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232.02520835949366</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0.93240093240093236</v>
      </c>
      <c r="L21" s="277">
        <f t="shared" ref="L21:L51" si="4">H21*K21</f>
        <v>11220866.440077098</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0.86937149874212816</v>
      </c>
      <c r="L22" s="277">
        <f t="shared" si="4"/>
        <v>12397880.40232295</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0.81060279602995633</v>
      </c>
      <c r="L23" s="277">
        <f t="shared" si="4"/>
        <v>13698357.367601583</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0.75580680282513402</v>
      </c>
      <c r="L24" s="277">
        <f t="shared" si="4"/>
        <v>15135248.000566782</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0.70471496766912267</v>
      </c>
      <c r="L25" s="277">
        <f t="shared" si="4"/>
        <v>16722861.427199664</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0.65707689293158289</v>
      </c>
      <c r="L26" s="277">
        <f t="shared" si="4"/>
        <v>18477007.730752073</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0.61265910762851561</v>
      </c>
      <c r="L27" s="277">
        <f t="shared" si="4"/>
        <v>20415155.39481698</v>
      </c>
    </row>
    <row r="28" spans="1:21">
      <c r="A28" s="302" t="str">
        <f t="shared" si="0"/>
        <v>II</v>
      </c>
      <c r="B28" s="117">
        <v>8</v>
      </c>
      <c r="C28" s="277">
        <f t="shared" si="5"/>
        <v>1210156392.0914392</v>
      </c>
      <c r="D28" s="299">
        <f t="shared" si="1"/>
        <v>9.2499999999999999E-2</v>
      </c>
      <c r="E28" s="299">
        <f t="shared" si="6"/>
        <v>0.13647968218259099</v>
      </c>
      <c r="F28" s="277">
        <f t="shared" si="7"/>
        <v>165161759.78387061</v>
      </c>
      <c r="G28" s="299">
        <f t="shared" si="2"/>
        <v>0</v>
      </c>
      <c r="H28" s="277">
        <f t="shared" si="8"/>
        <v>123871319.83790296</v>
      </c>
      <c r="I28" s="299">
        <f t="shared" si="9"/>
        <v>2.7173800936104224</v>
      </c>
      <c r="J28" s="299">
        <f t="shared" si="10"/>
        <v>0.10235976163694326</v>
      </c>
      <c r="K28" s="119">
        <f t="shared" si="3"/>
        <v>0.5712439231967511</v>
      </c>
      <c r="L28" s="277">
        <f t="shared" si="4"/>
        <v>70760738.715763226</v>
      </c>
    </row>
    <row r="29" spans="1:21">
      <c r="A29" s="302" t="str">
        <f t="shared" si="0"/>
        <v>II</v>
      </c>
      <c r="B29" s="117">
        <v>9</v>
      </c>
      <c r="C29" s="277">
        <f t="shared" si="5"/>
        <v>1322095858.3598974</v>
      </c>
      <c r="D29" s="299">
        <f t="shared" si="1"/>
        <v>9.2499999999999999E-2</v>
      </c>
      <c r="E29" s="299">
        <f t="shared" si="6"/>
        <v>0.13647968218259099</v>
      </c>
      <c r="F29" s="277">
        <f t="shared" si="7"/>
        <v>180439222.56387863</v>
      </c>
      <c r="G29" s="299">
        <f t="shared" si="2"/>
        <v>0</v>
      </c>
      <c r="H29" s="277">
        <f t="shared" si="8"/>
        <v>135329416.92290896</v>
      </c>
      <c r="I29" s="299">
        <f t="shared" si="9"/>
        <v>9.2499999999999805E-2</v>
      </c>
      <c r="J29" s="299">
        <f t="shared" si="10"/>
        <v>0.10235976163694324</v>
      </c>
      <c r="K29" s="119">
        <f t="shared" si="3"/>
        <v>0.53262836661701729</v>
      </c>
      <c r="L29" s="277">
        <f t="shared" si="4"/>
        <v>72080286.290882334</v>
      </c>
    </row>
    <row r="30" spans="1:21">
      <c r="A30" s="302" t="str">
        <f t="shared" si="0"/>
        <v>II</v>
      </c>
      <c r="B30" s="117">
        <v>10</v>
      </c>
      <c r="C30" s="277">
        <f t="shared" si="5"/>
        <v>1444389725.258188</v>
      </c>
      <c r="D30" s="299">
        <f t="shared" si="1"/>
        <v>9.2499999999999999E-2</v>
      </c>
      <c r="E30" s="299">
        <f t="shared" si="6"/>
        <v>0.13647968218259099</v>
      </c>
      <c r="F30" s="277">
        <f t="shared" si="7"/>
        <v>197129850.65103742</v>
      </c>
      <c r="G30" s="299">
        <f t="shared" si="2"/>
        <v>0</v>
      </c>
      <c r="H30" s="277">
        <f t="shared" si="8"/>
        <v>147847387.98827806</v>
      </c>
      <c r="I30" s="299">
        <f t="shared" si="9"/>
        <v>9.2500000000000249E-2</v>
      </c>
      <c r="J30" s="299">
        <f t="shared" si="10"/>
        <v>0.10235976163694324</v>
      </c>
      <c r="K30" s="119">
        <f t="shared" si="3"/>
        <v>0.49662318565689262</v>
      </c>
      <c r="L30" s="277">
        <f t="shared" si="4"/>
        <v>73424440.813789248</v>
      </c>
    </row>
    <row r="31" spans="1:21">
      <c r="A31" s="302" t="str">
        <f t="shared" si="0"/>
        <v>II</v>
      </c>
      <c r="B31" s="117">
        <v>11</v>
      </c>
      <c r="C31" s="277">
        <f t="shared" si="5"/>
        <v>1577995774.8445704</v>
      </c>
      <c r="D31" s="299">
        <f t="shared" si="1"/>
        <v>9.2499999999999999E-2</v>
      </c>
      <c r="E31" s="299">
        <f t="shared" si="6"/>
        <v>0.13647968218259099</v>
      </c>
      <c r="F31" s="277">
        <f t="shared" si="7"/>
        <v>215364361.83625838</v>
      </c>
      <c r="G31" s="299">
        <f t="shared" si="2"/>
        <v>0</v>
      </c>
      <c r="H31" s="277">
        <f t="shared" si="8"/>
        <v>161523271.37719378</v>
      </c>
      <c r="I31" s="299">
        <f t="shared" si="9"/>
        <v>9.2500000000000027E-2</v>
      </c>
      <c r="J31" s="299">
        <f t="shared" si="10"/>
        <v>0.10235976163694324</v>
      </c>
      <c r="K31" s="119">
        <f t="shared" si="3"/>
        <v>0.46305192135840806</v>
      </c>
      <c r="L31" s="277">
        <f t="shared" si="4"/>
        <v>74793661.155305132</v>
      </c>
    </row>
    <row r="32" spans="1:21">
      <c r="A32" s="302" t="str">
        <f t="shared" si="0"/>
        <v>II</v>
      </c>
      <c r="B32" s="117">
        <v>12</v>
      </c>
      <c r="C32" s="277">
        <f t="shared" si="5"/>
        <v>1723960384.0176933</v>
      </c>
      <c r="D32" s="299">
        <f t="shared" si="1"/>
        <v>9.2499999999999999E-2</v>
      </c>
      <c r="E32" s="299">
        <f t="shared" si="6"/>
        <v>0.13647968218259099</v>
      </c>
      <c r="F32" s="277">
        <f t="shared" si="7"/>
        <v>235285565.30611229</v>
      </c>
      <c r="G32" s="299">
        <f t="shared" si="2"/>
        <v>0</v>
      </c>
      <c r="H32" s="277">
        <f t="shared" si="8"/>
        <v>176464173.97958422</v>
      </c>
      <c r="I32" s="299">
        <f t="shared" si="9"/>
        <v>9.2500000000000027E-2</v>
      </c>
      <c r="J32" s="299">
        <f t="shared" si="10"/>
        <v>0.10235976163694324</v>
      </c>
      <c r="K32" s="119">
        <f t="shared" si="3"/>
        <v>0.43175004322462285</v>
      </c>
      <c r="L32" s="277">
        <f t="shared" si="4"/>
        <v>76188414.743282855</v>
      </c>
    </row>
    <row r="33" spans="1:21">
      <c r="A33" s="302" t="str">
        <f t="shared" si="0"/>
        <v>II</v>
      </c>
      <c r="B33" s="117">
        <v>13</v>
      </c>
      <c r="C33" s="277">
        <f t="shared" si="5"/>
        <v>1883426719.53933</v>
      </c>
      <c r="D33" s="299">
        <f t="shared" si="1"/>
        <v>9.2499999999999999E-2</v>
      </c>
      <c r="E33" s="299">
        <f t="shared" si="6"/>
        <v>0.13647968218259099</v>
      </c>
      <c r="F33" s="277">
        <f t="shared" si="7"/>
        <v>257049480.0969277</v>
      </c>
      <c r="G33" s="299">
        <f t="shared" si="2"/>
        <v>0</v>
      </c>
      <c r="H33" s="277">
        <f t="shared" si="8"/>
        <v>192787110.07269579</v>
      </c>
      <c r="I33" s="299">
        <f t="shared" si="9"/>
        <v>9.2500000000000249E-2</v>
      </c>
      <c r="J33" s="299">
        <f t="shared" si="10"/>
        <v>0.10235976163694326</v>
      </c>
      <c r="K33" s="119">
        <f t="shared" si="3"/>
        <v>0.40256414286678116</v>
      </c>
      <c r="L33" s="277">
        <f t="shared" si="4"/>
        <v>77609177.722178578</v>
      </c>
      <c r="N33" s="275"/>
      <c r="O33" s="275"/>
      <c r="P33" s="275"/>
      <c r="Q33" s="275"/>
      <c r="R33" s="275"/>
      <c r="S33" s="275"/>
      <c r="T33" s="275"/>
      <c r="U33" s="275"/>
    </row>
    <row r="34" spans="1:21">
      <c r="A34" s="302" t="str">
        <f t="shared" si="0"/>
        <v>II</v>
      </c>
      <c r="B34" s="117">
        <v>14</v>
      </c>
      <c r="C34" s="277">
        <f t="shared" si="5"/>
        <v>2057643691.0967181</v>
      </c>
      <c r="D34" s="299">
        <f t="shared" si="1"/>
        <v>9.2499999999999999E-2</v>
      </c>
      <c r="E34" s="299">
        <f t="shared" si="6"/>
        <v>0.13647968218259099</v>
      </c>
      <c r="F34" s="277">
        <f t="shared" si="7"/>
        <v>280826557.00589353</v>
      </c>
      <c r="G34" s="299">
        <f t="shared" si="2"/>
        <v>0</v>
      </c>
      <c r="H34" s="277">
        <f t="shared" si="8"/>
        <v>210619917.75442016</v>
      </c>
      <c r="I34" s="299">
        <f t="shared" si="9"/>
        <v>9.2500000000000027E-2</v>
      </c>
      <c r="J34" s="299">
        <f t="shared" si="10"/>
        <v>0.10235976163694326</v>
      </c>
      <c r="K34" s="119">
        <f t="shared" si="3"/>
        <v>0.37535118216016894</v>
      </c>
      <c r="L34" s="277">
        <f t="shared" si="4"/>
        <v>79056435.115599155</v>
      </c>
      <c r="N34" s="275"/>
      <c r="O34" s="275"/>
      <c r="P34" s="275"/>
      <c r="Q34" s="275"/>
      <c r="R34" s="275"/>
      <c r="S34" s="275"/>
      <c r="T34" s="275"/>
      <c r="U34" s="275"/>
    </row>
    <row r="35" spans="1:21">
      <c r="A35" s="302" t="str">
        <f t="shared" si="0"/>
        <v>II</v>
      </c>
      <c r="B35" s="117">
        <v>15</v>
      </c>
      <c r="C35" s="277">
        <f t="shared" si="5"/>
        <v>2247975732.5231647</v>
      </c>
      <c r="D35" s="299">
        <f t="shared" si="1"/>
        <v>9.2499999999999999E-2</v>
      </c>
      <c r="E35" s="299">
        <f t="shared" si="6"/>
        <v>0.13647968218259099</v>
      </c>
      <c r="F35" s="277">
        <f t="shared" si="7"/>
        <v>306803013.52893871</v>
      </c>
      <c r="G35" s="299">
        <f t="shared" si="2"/>
        <v>0</v>
      </c>
      <c r="H35" s="277">
        <f t="shared" si="8"/>
        <v>230102260.14670402</v>
      </c>
      <c r="I35" s="299">
        <f t="shared" si="9"/>
        <v>9.2500000000000027E-2</v>
      </c>
      <c r="J35" s="299">
        <f t="shared" si="10"/>
        <v>0.10235976163694324</v>
      </c>
      <c r="K35" s="119">
        <f t="shared" si="3"/>
        <v>0.34997779222393377</v>
      </c>
      <c r="L35" s="277">
        <f t="shared" si="4"/>
        <v>80530680.99188073</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2292935247.1736279</v>
      </c>
      <c r="D51" s="301">
        <f>Terminal_Growth</f>
        <v>0.02</v>
      </c>
      <c r="E51" s="301">
        <f>F17</f>
        <v>0.13647968218259099</v>
      </c>
      <c r="F51" s="277">
        <f>C51*E51</f>
        <v>312939073.79951745</v>
      </c>
      <c r="G51" s="299">
        <f>F18</f>
        <v>0</v>
      </c>
      <c r="H51" s="277">
        <f>(F51*(1-$I$10)+C51*(G51-$I$9))/Equity_Cost</f>
        <v>3237300763.4432845</v>
      </c>
      <c r="I51" s="415">
        <f>(F51*(1-$I$10)+C51*(G51-$I$9))/VLOOKUP(C15,B21:H50,COLUMN(H20)-1,FALSE)-1</f>
        <v>2.0000000000000018E-2</v>
      </c>
      <c r="J51" s="454"/>
      <c r="K51" s="119">
        <f>1/(1+Equity_Cost)^C15</f>
        <v>0.34997779222393377</v>
      </c>
      <c r="L51" s="277">
        <f t="shared" si="4"/>
        <v>1132983373.954736</v>
      </c>
    </row>
    <row r="52" spans="1:21" ht="13.15">
      <c r="G52" s="111"/>
      <c r="H52" s="111"/>
      <c r="I52" s="111"/>
      <c r="J52" s="468" t="s">
        <v>420</v>
      </c>
      <c r="K52" s="468"/>
      <c r="L52" s="317">
        <f>SUM(L21:L51)</f>
        <v>1845494586.2667546</v>
      </c>
    </row>
    <row r="53" spans="1:21">
      <c r="C53" s="111"/>
    </row>
    <row r="54" spans="1:21" ht="13.15">
      <c r="B54" s="115" t="s">
        <v>108</v>
      </c>
      <c r="C54" s="128"/>
      <c r="D54" s="128"/>
      <c r="E54" s="113"/>
      <c r="F54" s="113"/>
      <c r="G54" s="113"/>
      <c r="H54" s="113"/>
      <c r="I54" s="113"/>
      <c r="J54" s="113"/>
      <c r="K54" s="113"/>
      <c r="L54" s="113"/>
    </row>
    <row r="55" spans="1:21" ht="13.15">
      <c r="A55" s="125">
        <f>L52</f>
        <v>1845494586.2667546</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462769098.33553612</v>
      </c>
      <c r="C56" s="118">
        <v>474338325.79392451</v>
      </c>
      <c r="D56" s="118">
        <v>485907553.25231302</v>
      </c>
      <c r="E56" s="118">
        <v>509046008.16908973</v>
      </c>
      <c r="F56" s="118">
        <v>520615235.627478</v>
      </c>
      <c r="G56" s="295"/>
      <c r="H56" s="295"/>
      <c r="I56" s="295"/>
      <c r="J56" s="295"/>
      <c r="K56" s="295"/>
      <c r="L56" s="295"/>
    </row>
    <row r="57" spans="1:21" ht="13.15">
      <c r="A57" s="131">
        <v>2</v>
      </c>
      <c r="B57" s="118">
        <v>462168261.90017664</v>
      </c>
      <c r="C57" s="118">
        <v>485322884.84028488</v>
      </c>
      <c r="D57" s="118">
        <v>509043381.75076431</v>
      </c>
      <c r="E57" s="118">
        <v>558181997.48283541</v>
      </c>
      <c r="F57" s="118">
        <v>583600116.30442715</v>
      </c>
      <c r="G57" s="295"/>
      <c r="H57" s="295"/>
      <c r="I57" s="295"/>
      <c r="J57" s="295"/>
      <c r="K57" s="295"/>
      <c r="L57" s="295"/>
    </row>
    <row r="58" spans="1:21" ht="13.15">
      <c r="A58" s="131">
        <v>3</v>
      </c>
      <c r="B58" s="118">
        <v>461608041.44762695</v>
      </c>
      <c r="C58" s="118">
        <v>507914142.1246562</v>
      </c>
      <c r="D58" s="118">
        <v>557012597.65672112</v>
      </c>
      <c r="E58" s="118">
        <v>663903146.13651454</v>
      </c>
      <c r="F58" s="118">
        <v>721853525.50952172</v>
      </c>
      <c r="G58" s="295"/>
      <c r="H58" s="295"/>
      <c r="I58" s="295"/>
      <c r="J58" s="295"/>
      <c r="K58" s="295"/>
      <c r="L58" s="295"/>
    </row>
    <row r="59" spans="1:21" ht="13.15">
      <c r="A59" s="131">
        <v>4</v>
      </c>
      <c r="B59" s="118">
        <v>461085691.37531954</v>
      </c>
      <c r="C59" s="118">
        <v>518191966.45609993</v>
      </c>
      <c r="D59" s="118">
        <v>580243840.18699312</v>
      </c>
      <c r="E59" s="118">
        <v>720290151.98338032</v>
      </c>
      <c r="F59" s="118">
        <v>798855922.54232156</v>
      </c>
      <c r="G59" s="295"/>
      <c r="H59" s="295"/>
      <c r="I59" s="295"/>
      <c r="J59" s="295"/>
      <c r="K59" s="295"/>
      <c r="L59" s="295"/>
    </row>
    <row r="60" spans="1:21" ht="13.15">
      <c r="A60" s="131">
        <v>5</v>
      </c>
      <c r="B60" s="118">
        <v>439385814.15851712</v>
      </c>
      <c r="C60" s="118">
        <v>517263346.20427001</v>
      </c>
      <c r="D60" s="118">
        <v>605537881.53505957</v>
      </c>
      <c r="E60" s="118">
        <v>817281953.89434457</v>
      </c>
      <c r="F60" s="118">
        <v>942903865.79488564</v>
      </c>
      <c r="G60" s="295"/>
      <c r="H60" s="295"/>
      <c r="I60" s="295"/>
      <c r="J60" s="295"/>
      <c r="K60" s="295"/>
      <c r="L60" s="295"/>
    </row>
    <row r="61" spans="1:21" ht="13.15">
      <c r="A61" s="131">
        <v>6</v>
      </c>
      <c r="B61" s="118">
        <v>438931697.89328718</v>
      </c>
      <c r="C61" s="118">
        <v>526879906.37224686</v>
      </c>
      <c r="D61" s="118">
        <v>628864931.59235251</v>
      </c>
      <c r="E61" s="118">
        <v>881990011.52747023</v>
      </c>
      <c r="F61" s="118">
        <v>1037043428.8943036</v>
      </c>
      <c r="G61" s="295"/>
      <c r="H61" s="295"/>
      <c r="I61" s="295"/>
      <c r="J61" s="295"/>
      <c r="K61" s="295"/>
      <c r="L61" s="295"/>
    </row>
    <row r="62" spans="1:21" ht="13.15">
      <c r="A62" s="131">
        <v>7</v>
      </c>
      <c r="B62" s="118">
        <v>418729409.97946596</v>
      </c>
      <c r="C62" s="118">
        <v>525769021.64665151</v>
      </c>
      <c r="D62" s="118">
        <v>655405667.59183884</v>
      </c>
      <c r="E62" s="118">
        <v>998204873.66395605</v>
      </c>
      <c r="F62" s="118">
        <v>1220511682.0559368</v>
      </c>
      <c r="G62" s="295"/>
      <c r="H62" s="295"/>
      <c r="I62" s="295"/>
      <c r="J62" s="295"/>
      <c r="K62" s="295"/>
      <c r="L62" s="295"/>
    </row>
    <row r="63" spans="1:21" ht="13.15">
      <c r="A63" s="131">
        <v>8</v>
      </c>
      <c r="B63" s="118">
        <v>418334614.24135983</v>
      </c>
      <c r="C63" s="118">
        <v>534766862.67623508</v>
      </c>
      <c r="D63" s="118">
        <v>678828920.29415917</v>
      </c>
      <c r="E63" s="118">
        <v>1072461923.8436232</v>
      </c>
      <c r="F63" s="118">
        <v>1335602350.4253163</v>
      </c>
      <c r="G63" s="295"/>
      <c r="H63" s="295"/>
      <c r="I63" s="295"/>
      <c r="J63" s="295"/>
      <c r="K63" s="295"/>
      <c r="L63" s="295"/>
    </row>
    <row r="64" spans="1:21" ht="13.15">
      <c r="A64" s="131">
        <v>9</v>
      </c>
      <c r="B64" s="118">
        <v>399524669.97766882</v>
      </c>
      <c r="C64" s="118">
        <v>533490517.32887781</v>
      </c>
      <c r="D64" s="118">
        <v>706650784.20907617</v>
      </c>
      <c r="E64" s="118">
        <v>1211320300.0316789</v>
      </c>
      <c r="F64" s="118">
        <v>1568482453.0711031</v>
      </c>
      <c r="G64" s="295"/>
      <c r="H64" s="295"/>
      <c r="I64" s="295"/>
      <c r="J64" s="295"/>
      <c r="K64" s="295"/>
      <c r="L64" s="295"/>
    </row>
    <row r="65" spans="1:21" ht="13.15">
      <c r="A65" s="131">
        <v>10</v>
      </c>
      <c r="B65" s="118">
        <v>399181445.81513453</v>
      </c>
      <c r="C65" s="118">
        <v>541909446.94398701</v>
      </c>
      <c r="D65" s="118">
        <v>730170636.30392885</v>
      </c>
      <c r="E65" s="118">
        <v>1296535491.2007432</v>
      </c>
      <c r="F65" s="118">
        <v>1709186972.0810547</v>
      </c>
      <c r="G65" s="295"/>
      <c r="H65" s="295"/>
      <c r="I65" s="295"/>
      <c r="J65" s="295"/>
      <c r="K65" s="295"/>
      <c r="L65" s="295"/>
    </row>
    <row r="66" spans="1:21" ht="13.15">
      <c r="A66" s="131">
        <v>15</v>
      </c>
      <c r="B66" s="118">
        <v>349606532.731341</v>
      </c>
      <c r="C66" s="277">
        <v>552486052.37072277</v>
      </c>
      <c r="D66" s="118">
        <v>869011960.12145495</v>
      </c>
      <c r="E66" s="118">
        <v>2102372859.861238</v>
      </c>
      <c r="F66" s="118">
        <v>3226486236.0310459</v>
      </c>
      <c r="G66" s="295"/>
      <c r="H66" s="295"/>
      <c r="I66" s="295"/>
      <c r="J66" s="295"/>
      <c r="K66" s="295"/>
      <c r="L66" s="295"/>
      <c r="M66" s="275"/>
      <c r="N66" s="275"/>
      <c r="O66" s="275"/>
      <c r="P66" s="275"/>
      <c r="Q66" s="275"/>
      <c r="R66" s="275"/>
      <c r="S66" s="275"/>
      <c r="T66" s="275"/>
      <c r="U66" s="275"/>
    </row>
    <row r="67" spans="1:21" ht="13.15">
      <c r="A67" s="132">
        <v>20</v>
      </c>
      <c r="B67" s="118">
        <v>321686696.46054924</v>
      </c>
      <c r="C67" s="277">
        <v>568188974.29834509</v>
      </c>
      <c r="D67" s="118">
        <v>1008828108.0079697</v>
      </c>
      <c r="E67" s="118">
        <v>3152198710.4130735</v>
      </c>
      <c r="F67" s="118">
        <v>5508345361.0480461</v>
      </c>
      <c r="G67" s="295"/>
      <c r="H67" s="295"/>
      <c r="I67" s="295"/>
      <c r="J67" s="295"/>
      <c r="K67" s="295"/>
      <c r="L67" s="295"/>
      <c r="M67" s="275"/>
      <c r="N67" s="275"/>
      <c r="O67" s="275"/>
      <c r="P67" s="275"/>
      <c r="Q67" s="275"/>
      <c r="R67" s="275"/>
      <c r="S67" s="275"/>
      <c r="T67" s="275"/>
      <c r="U67" s="275"/>
    </row>
    <row r="68" spans="1:21" ht="13.15">
      <c r="A68" s="132">
        <v>25</v>
      </c>
      <c r="B68" s="118">
        <v>287041408.15861964</v>
      </c>
      <c r="C68" s="277">
        <v>572969085.03297615</v>
      </c>
      <c r="D68" s="118">
        <v>1170681155.3032713</v>
      </c>
      <c r="E68" s="118">
        <v>4947195877.5206089</v>
      </c>
      <c r="F68" s="118">
        <v>10070162945.665798</v>
      </c>
      <c r="G68" s="295"/>
      <c r="H68" s="295"/>
      <c r="I68" s="295"/>
      <c r="J68" s="295"/>
      <c r="K68" s="295"/>
      <c r="L68" s="295"/>
      <c r="M68" s="275"/>
      <c r="N68" s="275"/>
      <c r="O68" s="275"/>
      <c r="P68" s="275"/>
      <c r="Q68" s="275"/>
      <c r="R68" s="275"/>
      <c r="S68" s="275"/>
      <c r="T68" s="275"/>
      <c r="U68" s="275"/>
    </row>
    <row r="69" spans="1:21" ht="13.15">
      <c r="A69" s="132">
        <v>30</v>
      </c>
      <c r="B69" s="118">
        <v>267570879.68247682</v>
      </c>
      <c r="C69" s="277">
        <v>582456946.86232936</v>
      </c>
      <c r="D69" s="118">
        <v>1327695691.3704805</v>
      </c>
      <c r="E69" s="118">
        <v>7204927734.3285999</v>
      </c>
      <c r="F69" s="118">
        <v>16708759913.591286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32.687970195317874</v>
      </c>
      <c r="C73" s="119">
        <f>C11</f>
        <v>32.687970195317874</v>
      </c>
      <c r="D73" s="119">
        <f>C11</f>
        <v>32.687970195317874</v>
      </c>
      <c r="E73" s="119">
        <f>C11</f>
        <v>32.687970195317874</v>
      </c>
      <c r="F73" s="119">
        <f>C11</f>
        <v>32.687970195317874</v>
      </c>
      <c r="G73" s="296"/>
      <c r="H73" s="296"/>
      <c r="I73" s="296"/>
      <c r="J73" s="296"/>
      <c r="K73" s="296"/>
      <c r="L73" s="296"/>
    </row>
    <row r="74" spans="1:21" ht="13.15">
      <c r="A74" s="131">
        <v>1</v>
      </c>
      <c r="B74" s="119">
        <f t="shared" ref="B74:F87" si="11">(B56+FV_adjustments)/Common_Shares*scaling_factor*Exchange_Rate</f>
        <v>64.79365976112723</v>
      </c>
      <c r="C74" s="119">
        <f t="shared" si="11"/>
        <v>66.192881689731237</v>
      </c>
      <c r="D74" s="119">
        <f t="shared" si="11"/>
        <v>67.592103618335258</v>
      </c>
      <c r="E74" s="119">
        <f t="shared" si="11"/>
        <v>70.390547475543258</v>
      </c>
      <c r="F74" s="119">
        <f t="shared" si="11"/>
        <v>71.78976940414725</v>
      </c>
      <c r="G74" s="296"/>
      <c r="H74" s="296"/>
      <c r="I74" s="296"/>
      <c r="J74" s="296"/>
      <c r="K74" s="296"/>
      <c r="L74" s="296"/>
    </row>
    <row r="75" spans="1:21" ht="13.15">
      <c r="A75" s="131">
        <v>2</v>
      </c>
      <c r="B75" s="119">
        <f t="shared" si="11"/>
        <v>64.720992548136294</v>
      </c>
      <c r="C75" s="119">
        <f t="shared" si="11"/>
        <v>67.521391821370898</v>
      </c>
      <c r="D75" s="119">
        <f t="shared" si="11"/>
        <v>70.39022982753022</v>
      </c>
      <c r="E75" s="119">
        <f t="shared" si="11"/>
        <v>76.333222038622708</v>
      </c>
      <c r="F75" s="119">
        <f t="shared" si="11"/>
        <v>79.407376243555916</v>
      </c>
      <c r="G75" s="296"/>
      <c r="H75" s="296"/>
      <c r="I75" s="296"/>
      <c r="J75" s="296"/>
      <c r="K75" s="296"/>
      <c r="L75" s="296"/>
    </row>
    <row r="76" spans="1:21" ht="13.15">
      <c r="A76" s="131">
        <v>3</v>
      </c>
      <c r="B76" s="119">
        <f t="shared" si="11"/>
        <v>64.653237570988566</v>
      </c>
      <c r="C76" s="119">
        <f t="shared" si="11"/>
        <v>70.253655725829631</v>
      </c>
      <c r="D76" s="119">
        <f t="shared" si="11"/>
        <v>76.19179082500969</v>
      </c>
      <c r="E76" s="119">
        <f t="shared" si="11"/>
        <v>89.119499259421531</v>
      </c>
      <c r="F76" s="119">
        <f t="shared" si="11"/>
        <v>96.128216296170663</v>
      </c>
      <c r="G76" s="296"/>
      <c r="H76" s="296"/>
      <c r="I76" s="296"/>
      <c r="J76" s="296"/>
      <c r="K76" s="296"/>
      <c r="L76" s="296"/>
    </row>
    <row r="77" spans="1:21" ht="13.15">
      <c r="A77" s="131">
        <v>4</v>
      </c>
      <c r="B77" s="119">
        <f t="shared" si="11"/>
        <v>64.590062767121211</v>
      </c>
      <c r="C77" s="119">
        <f t="shared" si="11"/>
        <v>71.496690944440431</v>
      </c>
      <c r="D77" s="119">
        <f t="shared" si="11"/>
        <v>79.001456733471542</v>
      </c>
      <c r="E77" s="119">
        <f t="shared" si="11"/>
        <v>95.939136556123756</v>
      </c>
      <c r="F77" s="119">
        <f t="shared" si="11"/>
        <v>105.44114949511518</v>
      </c>
      <c r="G77" s="296"/>
      <c r="H77" s="296"/>
      <c r="I77" s="296"/>
      <c r="J77" s="296"/>
      <c r="K77" s="296"/>
      <c r="L77" s="296"/>
    </row>
    <row r="78" spans="1:21" ht="13.15">
      <c r="A78" s="131">
        <v>5</v>
      </c>
      <c r="B78" s="119">
        <f t="shared" si="11"/>
        <v>61.965605416016984</v>
      </c>
      <c r="C78" s="119">
        <f t="shared" si="11"/>
        <v>71.384380435862425</v>
      </c>
      <c r="D78" s="119">
        <f t="shared" si="11"/>
        <v>82.060604584486398</v>
      </c>
      <c r="E78" s="119">
        <f t="shared" si="11"/>
        <v>107.6696567327529</v>
      </c>
      <c r="F78" s="119">
        <f t="shared" si="11"/>
        <v>122.86280030924569</v>
      </c>
      <c r="G78" s="296"/>
      <c r="H78" s="296"/>
      <c r="I78" s="296"/>
      <c r="J78" s="296"/>
      <c r="K78" s="296"/>
      <c r="L78" s="296"/>
    </row>
    <row r="79" spans="1:21" ht="13.15">
      <c r="A79" s="131">
        <v>6</v>
      </c>
      <c r="B79" s="119">
        <f t="shared" si="11"/>
        <v>61.910683042096089</v>
      </c>
      <c r="C79" s="119">
        <f t="shared" si="11"/>
        <v>72.547440105418559</v>
      </c>
      <c r="D79" s="119">
        <f t="shared" si="11"/>
        <v>84.881857782870171</v>
      </c>
      <c r="E79" s="119">
        <f t="shared" si="11"/>
        <v>115.49567048546838</v>
      </c>
      <c r="F79" s="119">
        <f t="shared" si="11"/>
        <v>134.24836097106837</v>
      </c>
      <c r="G79" s="296"/>
      <c r="H79" s="296"/>
      <c r="I79" s="296"/>
      <c r="J79" s="296"/>
      <c r="K79" s="296"/>
      <c r="L79" s="296"/>
    </row>
    <row r="80" spans="1:21" ht="13.15">
      <c r="A80" s="131">
        <f t="shared" ref="A80" si="12">A62</f>
        <v>7</v>
      </c>
      <c r="B80" s="119">
        <f t="shared" si="11"/>
        <v>59.467349262147401</v>
      </c>
      <c r="C80" s="119">
        <f t="shared" si="11"/>
        <v>72.413085908148688</v>
      </c>
      <c r="D80" s="119">
        <f t="shared" si="11"/>
        <v>88.091785147972232</v>
      </c>
      <c r="E80" s="119">
        <f t="shared" si="11"/>
        <v>129.55109329705465</v>
      </c>
      <c r="F80" s="119">
        <f t="shared" si="11"/>
        <v>156.43763885930767</v>
      </c>
      <c r="G80" s="296"/>
      <c r="H80" s="296"/>
      <c r="I80" s="296"/>
      <c r="J80" s="296"/>
      <c r="K80" s="296"/>
      <c r="L80" s="296"/>
    </row>
    <row r="81" spans="1:12" ht="13.15">
      <c r="A81" s="131">
        <v>8</v>
      </c>
      <c r="B81" s="119">
        <f t="shared" si="11"/>
        <v>59.419601315617314</v>
      </c>
      <c r="C81" s="119">
        <f t="shared" si="11"/>
        <v>73.501315569460942</v>
      </c>
      <c r="D81" s="119">
        <f t="shared" si="11"/>
        <v>90.924673423200687</v>
      </c>
      <c r="E81" s="119">
        <f t="shared" si="11"/>
        <v>138.5319948601493</v>
      </c>
      <c r="F81" s="119">
        <f t="shared" si="11"/>
        <v>170.35709783263482</v>
      </c>
      <c r="G81" s="296"/>
      <c r="H81" s="296"/>
      <c r="I81" s="296"/>
      <c r="J81" s="296"/>
      <c r="K81" s="296"/>
      <c r="L81" s="296"/>
    </row>
    <row r="82" spans="1:12" ht="13.15">
      <c r="A82" s="131">
        <f t="shared" ref="A82" si="13">A64</f>
        <v>9</v>
      </c>
      <c r="B82" s="119">
        <f t="shared" si="11"/>
        <v>57.144662337691656</v>
      </c>
      <c r="C82" s="119">
        <f t="shared" si="11"/>
        <v>73.346949998819568</v>
      </c>
      <c r="D82" s="119">
        <f t="shared" si="11"/>
        <v>94.28954477908043</v>
      </c>
      <c r="E82" s="119">
        <f t="shared" si="11"/>
        <v>155.32600168830595</v>
      </c>
      <c r="F82" s="119">
        <f t="shared" si="11"/>
        <v>198.52241375623822</v>
      </c>
      <c r="G82" s="296"/>
      <c r="H82" s="296"/>
      <c r="I82" s="296"/>
      <c r="J82" s="296"/>
      <c r="K82" s="296"/>
      <c r="L82" s="296"/>
    </row>
    <row r="83" spans="1:12" ht="13.15">
      <c r="A83" s="131">
        <f t="shared" ref="A83:A87" si="14">A65</f>
        <v>10</v>
      </c>
      <c r="B83" s="119">
        <f t="shared" si="11"/>
        <v>57.103151633854935</v>
      </c>
      <c r="C83" s="119">
        <f t="shared" si="11"/>
        <v>74.365164134137075</v>
      </c>
      <c r="D83" s="119">
        <f t="shared" si="11"/>
        <v>97.134116115153475</v>
      </c>
      <c r="E83" s="119">
        <f t="shared" si="11"/>
        <v>165.63221829289733</v>
      </c>
      <c r="F83" s="119">
        <f t="shared" si="11"/>
        <v>215.53969940997098</v>
      </c>
      <c r="G83" s="296"/>
      <c r="H83" s="296"/>
      <c r="I83" s="296"/>
      <c r="J83" s="296"/>
      <c r="K83" s="296"/>
      <c r="L83" s="296"/>
    </row>
    <row r="84" spans="1:12" ht="13.15">
      <c r="A84" s="131">
        <f t="shared" si="14"/>
        <v>15</v>
      </c>
      <c r="B84" s="119">
        <f t="shared" si="11"/>
        <v>51.107392129171103</v>
      </c>
      <c r="C84" s="119">
        <f t="shared" si="11"/>
        <v>75.644334960063787</v>
      </c>
      <c r="D84" s="119">
        <f t="shared" si="11"/>
        <v>113.92606057130939</v>
      </c>
      <c r="E84" s="119">
        <f t="shared" si="11"/>
        <v>263.09294513691628</v>
      </c>
      <c r="F84" s="119">
        <f t="shared" si="11"/>
        <v>399.04706064127026</v>
      </c>
      <c r="G84" s="296"/>
      <c r="H84" s="296"/>
      <c r="I84" s="296"/>
      <c r="J84" s="296"/>
      <c r="K84" s="296"/>
      <c r="L84" s="296"/>
    </row>
    <row r="85" spans="1:12" ht="13.15">
      <c r="A85" s="132">
        <f t="shared" si="14"/>
        <v>20</v>
      </c>
      <c r="B85" s="119">
        <f t="shared" si="11"/>
        <v>47.730671661565445</v>
      </c>
      <c r="C85" s="119">
        <f t="shared" si="11"/>
        <v>77.543500032521138</v>
      </c>
      <c r="D85" s="119">
        <f t="shared" si="11"/>
        <v>130.83590358367977</v>
      </c>
      <c r="E85" s="119">
        <f t="shared" si="11"/>
        <v>390.06247327445925</v>
      </c>
      <c r="F85" s="119">
        <f t="shared" si="11"/>
        <v>675.02290580402928</v>
      </c>
      <c r="G85" s="296"/>
      <c r="H85" s="296"/>
      <c r="I85" s="296"/>
      <c r="J85" s="296"/>
      <c r="K85" s="296"/>
      <c r="L85" s="296"/>
    </row>
    <row r="86" spans="1:12" ht="13.15">
      <c r="A86" s="132">
        <f t="shared" si="14"/>
        <v>25</v>
      </c>
      <c r="B86" s="119">
        <f t="shared" si="11"/>
        <v>43.540552028320676</v>
      </c>
      <c r="C86" s="119">
        <f t="shared" si="11"/>
        <v>78.121622969865726</v>
      </c>
      <c r="D86" s="119">
        <f t="shared" si="11"/>
        <v>150.41096456346574</v>
      </c>
      <c r="E86" s="119">
        <f t="shared" si="11"/>
        <v>607.15556847312519</v>
      </c>
      <c r="F86" s="119">
        <f t="shared" si="11"/>
        <v>1226.7447231549756</v>
      </c>
      <c r="G86" s="296"/>
      <c r="H86" s="296"/>
      <c r="I86" s="296"/>
      <c r="J86" s="296"/>
      <c r="K86" s="296"/>
      <c r="L86" s="296"/>
    </row>
    <row r="87" spans="1:12" ht="13.15">
      <c r="A87" s="132">
        <f t="shared" si="14"/>
        <v>30</v>
      </c>
      <c r="B87" s="119">
        <f t="shared" si="11"/>
        <v>41.185719736941138</v>
      </c>
      <c r="C87" s="119">
        <f t="shared" si="11"/>
        <v>79.269117422277958</v>
      </c>
      <c r="D87" s="119">
        <f t="shared" si="11"/>
        <v>169.40083945053343</v>
      </c>
      <c r="E87" s="119">
        <f t="shared" si="11"/>
        <v>880.21337931796802</v>
      </c>
      <c r="F87" s="119">
        <f t="shared" si="11"/>
        <v>2029.6393404572236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0.25</v>
      </c>
      <c r="D90" s="133">
        <f>Scenarios!D29</f>
        <v>15</v>
      </c>
      <c r="E90" s="127">
        <f>INDEX(B$73:F$87, MATCH(D90, A$73:A$87, 0), MATCH(C90, B$72:F$72, 0))</f>
        <v>399.04706064127026</v>
      </c>
      <c r="F90" s="130">
        <f>Scenarios!F29</f>
        <v>0.05</v>
      </c>
      <c r="G90" s="297"/>
      <c r="H90" s="297"/>
      <c r="I90" s="297"/>
      <c r="J90" s="297"/>
      <c r="K90" s="297"/>
      <c r="L90" s="297"/>
    </row>
    <row r="91" spans="1:12">
      <c r="B91" s="120" t="str">
        <f>Scenarios!B22</f>
        <v>Optimistic</v>
      </c>
      <c r="C91" s="130">
        <f>Scenarios!C22</f>
        <v>0.2</v>
      </c>
      <c r="D91" s="133">
        <f>Scenarios!D22</f>
        <v>15</v>
      </c>
      <c r="E91" s="127">
        <f>INDEX(B$73:F$87, MATCH(D91, A$73:A$87, 0), MATCH(C91, B$72:F$72, 0))</f>
        <v>263.09294513691628</v>
      </c>
      <c r="F91" s="130">
        <f>Scenarios!F22*(1-F$90-F$94)</f>
        <v>0.18</v>
      </c>
      <c r="G91" s="297"/>
      <c r="H91" s="297"/>
      <c r="I91" s="297"/>
      <c r="J91" s="297"/>
      <c r="K91" s="297"/>
      <c r="L91" s="297"/>
    </row>
    <row r="92" spans="1:12">
      <c r="B92" s="120" t="str">
        <f>Scenarios!B23</f>
        <v>Base</v>
      </c>
      <c r="C92" s="130">
        <f>Scenarios!C23</f>
        <v>0.1</v>
      </c>
      <c r="D92" s="133">
        <f>Scenarios!D23</f>
        <v>15</v>
      </c>
      <c r="E92" s="127">
        <f>INDEX(B$73:F$87, MATCH(D92, A$73:A$87, 0), MATCH(C92, B$72:F$72, 0))</f>
        <v>113.92606057130939</v>
      </c>
      <c r="F92" s="130">
        <f>Scenarios!F23*(1-F$90-F$94)</f>
        <v>0.53999999999999992</v>
      </c>
      <c r="G92" s="297"/>
      <c r="H92" s="297"/>
      <c r="I92" s="297"/>
      <c r="J92" s="297"/>
      <c r="K92" s="297"/>
      <c r="L92" s="297"/>
    </row>
    <row r="93" spans="1:12">
      <c r="B93" s="120" t="str">
        <f>Scenarios!B24</f>
        <v>Pessimistic</v>
      </c>
      <c r="C93" s="130">
        <f>Scenarios!C24</f>
        <v>0.05</v>
      </c>
      <c r="D93" s="133">
        <f>Scenarios!D24</f>
        <v>15</v>
      </c>
      <c r="E93" s="127">
        <f>INDEX(B$73:F$87, MATCH(D93, A$73:A$87, 0), MATCH(C93, B$72:F$72, 0))</f>
        <v>75.644334960063787</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51.107392129171103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3" zoomScaleNormal="100" workbookViewId="0">
      <selection activeCell="C19" sqref="C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34026555</v>
      </c>
      <c r="D7" s="469"/>
      <c r="E7" s="469"/>
      <c r="F7" s="469"/>
      <c r="G7" s="469"/>
    </row>
    <row r="8" spans="2:7">
      <c r="B8" s="97" t="s">
        <v>63</v>
      </c>
      <c r="C8" s="447">
        <f>Normalized_FCF!G19</f>
        <v>31089799.312959094</v>
      </c>
      <c r="D8" s="469"/>
      <c r="E8" s="469"/>
      <c r="F8" s="469"/>
      <c r="G8" s="469"/>
    </row>
    <row r="9" spans="2:7">
      <c r="B9" s="97" t="s">
        <v>54</v>
      </c>
      <c r="C9" s="447">
        <f>Normalized_FCF!C19</f>
        <v>10155594.309690032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0.23887911725357402</v>
      </c>
      <c r="D12" s="469"/>
      <c r="E12" s="469"/>
      <c r="F12" s="469"/>
      <c r="G12" s="469"/>
    </row>
    <row r="13" spans="2:7">
      <c r="B13" s="135" t="s">
        <v>127</v>
      </c>
      <c r="C13" s="249" t="e">
        <f ca="1">(Normalized_FCF!G8/OFFSET(Normalized_FCF!G8, 0, $C$4))^(1/$C$4) - 1</f>
        <v>#NUM!</v>
      </c>
      <c r="D13" s="469"/>
      <c r="E13" s="469"/>
      <c r="F13" s="469"/>
      <c r="G13" s="469"/>
    </row>
    <row r="14" spans="2:7">
      <c r="B14" s="97" t="s">
        <v>63</v>
      </c>
      <c r="C14" s="249" t="e">
        <f ca="1">(Normalized_FCF!G19/OFFSET(Normalized_FCF!G19, 0, $C$4))^(1/$C$4) - 1</f>
        <v>#NUM!</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0.2</v>
      </c>
      <c r="D22" s="325">
        <f>C18</f>
        <v>15</v>
      </c>
      <c r="E22" s="326">
        <f>DCF!E91</f>
        <v>263.09294513691628</v>
      </c>
      <c r="F22" s="328">
        <f>1-F23-F24</f>
        <v>0.2</v>
      </c>
      <c r="G22" s="328">
        <f>F22*(1-F$29-F$30)</f>
        <v>0.18</v>
      </c>
    </row>
    <row r="23" spans="2:7">
      <c r="B23" s="302" t="s">
        <v>437</v>
      </c>
      <c r="C23" s="324">
        <v>0.1</v>
      </c>
      <c r="D23" s="325">
        <f>C18</f>
        <v>15</v>
      </c>
      <c r="E23" s="326">
        <f>DCF!E92</f>
        <v>113.92606057130939</v>
      </c>
      <c r="F23" s="327">
        <v>0.6</v>
      </c>
      <c r="G23" s="328">
        <f t="shared" ref="G23:G24" si="0">F23*(1-F$29-F$30)</f>
        <v>0.53999999999999992</v>
      </c>
    </row>
    <row r="24" spans="2:7">
      <c r="B24" s="302" t="s">
        <v>446</v>
      </c>
      <c r="C24" s="324">
        <v>0.05</v>
      </c>
      <c r="D24" s="325">
        <f>C18</f>
        <v>15</v>
      </c>
      <c r="E24" s="326">
        <f>DCF!E93</f>
        <v>75.644334960063787</v>
      </c>
      <c r="F24" s="327">
        <v>0.2</v>
      </c>
      <c r="G24" s="328">
        <f t="shared" si="0"/>
        <v>0.18</v>
      </c>
    </row>
    <row r="25" spans="2:7">
      <c r="B25" s="141" t="s">
        <v>451</v>
      </c>
      <c r="C25" s="441">
        <f>E23*F23+E24*F24+E22*F22</f>
        <v>136.10309236218166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0.25</v>
      </c>
      <c r="D29" s="325">
        <f>C18</f>
        <v>15</v>
      </c>
      <c r="E29" s="326">
        <f>DCF!E90</f>
        <v>399.04706064127026</v>
      </c>
      <c r="F29" s="327">
        <v>0.05</v>
      </c>
      <c r="G29" s="328">
        <f>F29</f>
        <v>0.05</v>
      </c>
    </row>
    <row r="30" spans="2:7">
      <c r="B30" s="315" t="s">
        <v>447</v>
      </c>
      <c r="C30" s="324">
        <v>0</v>
      </c>
      <c r="D30" s="325">
        <f>C18</f>
        <v>15</v>
      </c>
      <c r="E30" s="326">
        <f>DCF!E94</f>
        <v>51.107392129171103</v>
      </c>
      <c r="F30" s="327">
        <v>0.05</v>
      </c>
      <c r="G30" s="328">
        <f>F30</f>
        <v>0.05</v>
      </c>
    </row>
    <row r="31" spans="2:7">
      <c r="E31" s="329"/>
      <c r="F31" s="329"/>
    </row>
    <row r="32" spans="2:7" ht="13.15">
      <c r="B32" s="145" t="s">
        <v>456</v>
      </c>
    </row>
    <row r="33" spans="2:7">
      <c r="B33" s="97" t="s">
        <v>458</v>
      </c>
      <c r="C33" s="155">
        <f>Normalized_FCF!C88*(1-dividend_tax_rate)</f>
        <v>0</v>
      </c>
      <c r="D33" t="str">
        <f>Market_currency</f>
        <v>HKD</v>
      </c>
      <c r="E33" s="97" t="s">
        <v>455</v>
      </c>
      <c r="F33" s="219">
        <f>Holding_Period</f>
        <v>3</v>
      </c>
    </row>
    <row r="34" spans="2:7">
      <c r="B34" s="97" t="s">
        <v>233</v>
      </c>
      <c r="C34" s="146">
        <f>Market_Price</f>
        <v>97.35</v>
      </c>
      <c r="D34" t="str">
        <f>Market_currency</f>
        <v>HKD</v>
      </c>
      <c r="E34" s="97" t="s">
        <v>454</v>
      </c>
      <c r="F34" s="330">
        <f>RATE(Holding_Period,$C$33,-C34,$C$36)</f>
        <v>0.14203089720498038</v>
      </c>
    </row>
    <row r="35" spans="2:7">
      <c r="B35" s="97" t="s">
        <v>434</v>
      </c>
      <c r="C35" s="320">
        <f>DCF!C11</f>
        <v>32.687970195317874</v>
      </c>
      <c r="D35" s="97" t="str">
        <f>Market_currency</f>
        <v>HKD</v>
      </c>
      <c r="E35" s="97" t="s">
        <v>454</v>
      </c>
      <c r="F35" s="330">
        <f>RATE(Holding_Period,$C$33,-C35,$C$36)</f>
        <v>0.64308685510835195</v>
      </c>
    </row>
    <row r="36" spans="2:7">
      <c r="B36" s="97" t="s">
        <v>435</v>
      </c>
      <c r="C36" s="321">
        <f>E22*G22+E23*G23+E24*G24+E30*G30+E29*G29</f>
        <v>145.00050576448555</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549</v>
      </c>
      <c r="C40" s="126">
        <f>Normalized_FCF!E116</f>
        <v>0.13647968218259099</v>
      </c>
      <c r="E40" s="97" t="s">
        <v>401</v>
      </c>
    </row>
    <row r="41" spans="2:7">
      <c r="B41" s="97" t="s">
        <v>400</v>
      </c>
      <c r="C41" s="455">
        <f>DCF!C16*(1/2)</f>
        <v>9.2499999999999999E-2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0.185</v>
      </c>
      <c r="D46" s="138"/>
      <c r="E46" s="221" t="s">
        <v>252</v>
      </c>
    </row>
    <row r="47" spans="2:7">
      <c r="B47" s="97" t="s">
        <v>96</v>
      </c>
      <c r="C47" s="146">
        <f>DCF!I18</f>
        <v>232.02520835949366</v>
      </c>
      <c r="D47" s="146" t="str">
        <f>Market_currency</f>
        <v>HKD</v>
      </c>
      <c r="E47" s="221" t="s">
        <v>253</v>
      </c>
    </row>
    <row r="49" spans="2:7" ht="13.15">
      <c r="B49" s="106" t="s">
        <v>277</v>
      </c>
      <c r="C49" s="218" t="str">
        <f>IF(Scenarios!C50="Y",Scenarios!B50,"")&amp;IF(Scenarios!C51="Y",Scenarios!B51,"")&amp;IF(Scenarios!C52="Y",Scenarios!B52,"")&amp;" "&amp;IF(Scenarios!C53="Y",Scenarios!B53,"")</f>
        <v xml:space="preserve">High Growth </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49">
        <f>BS!D89/C36</f>
        <v>6.0860357489376279E-2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v>
      </c>
      <c r="D62" s="119">
        <f>C36/(1+F62)^Holding_Period</f>
        <v>66.820509568887374</v>
      </c>
      <c r="E62" s="332">
        <f>C62+D62</f>
        <v>66.820509568887374</v>
      </c>
      <c r="F62" s="301">
        <f>Thesis!E22</f>
        <v>0.29465259038036606</v>
      </c>
      <c r="G62" s="440">
        <f>(1-E62/C36)</f>
        <v>0.53917050691244217</v>
      </c>
    </row>
    <row r="63" spans="2:7" ht="13.15">
      <c r="B63" s="302" t="s">
        <v>313</v>
      </c>
      <c r="C63" s="119">
        <f>PV(F63, Holding_Period, -C58, 0)</f>
        <v>0</v>
      </c>
      <c r="D63" s="119">
        <f>C36/(1+F63)^Holding_Period</f>
        <v>83.754804773710106</v>
      </c>
      <c r="E63" s="332">
        <f>C63+D63</f>
        <v>83.754804773710106</v>
      </c>
      <c r="F63" s="301">
        <f>Thesis!E23</f>
        <v>0.20075184365903009</v>
      </c>
      <c r="G63" s="440">
        <f>(1-E63/C36)</f>
        <v>0.42238267148014408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v>
      </c>
      <c r="D66" s="119">
        <f>C36/(1+F66)^Holding_Period</f>
        <v>103.93061949909782</v>
      </c>
      <c r="E66" s="332">
        <f>C66+D66</f>
        <v>103.93061949909782</v>
      </c>
      <c r="F66" s="301">
        <f>Thesis!E24</f>
        <v>0.1174</v>
      </c>
      <c r="G66" s="440">
        <f>(1-E66/C36)</f>
        <v>0.28323960698519735</v>
      </c>
    </row>
    <row r="67" spans="2:7" ht="13.15">
      <c r="B67" s="302" t="s">
        <v>314</v>
      </c>
      <c r="C67" s="119">
        <f>PV(F67, Holding_Period, -C58, 0)</f>
        <v>0</v>
      </c>
      <c r="D67" s="119">
        <f>C36/(1+F67)^Holding_Period</f>
        <v>117.53781539844979</v>
      </c>
      <c r="E67" s="332">
        <f>C67+D67</f>
        <v>117.53781539844979</v>
      </c>
      <c r="F67" s="301">
        <f>Thesis!E25</f>
        <v>7.2499999999999995E-2</v>
      </c>
      <c r="G67" s="440">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美团</v>
      </c>
      <c r="D4" s="349"/>
      <c r="E4" s="434" t="s">
        <v>539</v>
      </c>
      <c r="F4" s="437" t="str">
        <f>Thesis!F4</f>
        <v>INT</v>
      </c>
    </row>
    <row r="5" spans="1:10">
      <c r="B5" s="343" t="s">
        <v>364</v>
      </c>
      <c r="C5" s="355" t="str">
        <f>Thesis!C5</f>
        <v>3690.HK</v>
      </c>
      <c r="E5" s="438" t="s">
        <v>540</v>
      </c>
      <c r="F5" s="439" t="str">
        <f>Thesis!F5</f>
        <v>N</v>
      </c>
    </row>
    <row r="6" spans="1:10">
      <c r="B6" s="350" t="s">
        <v>336</v>
      </c>
      <c r="C6" s="352" t="str">
        <f>Thesis!C6</f>
        <v>TMT_01</v>
      </c>
      <c r="E6" s="354"/>
    </row>
    <row r="7" spans="1:10">
      <c r="B7" s="343" t="s">
        <v>366</v>
      </c>
      <c r="C7" s="352" t="str">
        <f>Market_currency</f>
        <v>HKD</v>
      </c>
      <c r="D7" s="354"/>
      <c r="E7" s="354"/>
    </row>
    <row r="8" spans="1:10">
      <c r="B8" s="351" t="s">
        <v>365</v>
      </c>
      <c r="C8" s="356">
        <f>Market_Price</f>
        <v>97.35</v>
      </c>
    </row>
    <row r="9" spans="1:10">
      <c r="B9" s="351" t="s">
        <v>361</v>
      </c>
      <c r="C9" s="353">
        <f>Common_Shares</f>
        <v>9264431217</v>
      </c>
    </row>
    <row r="10" spans="1:10">
      <c r="B10" s="351" t="s">
        <v>367</v>
      </c>
      <c r="C10" s="357">
        <f>投资主题!C8*Common_Shares/1000000</f>
        <v>901892.37897494994</v>
      </c>
      <c r="D10" s="343" t="s">
        <v>528</v>
      </c>
      <c r="E10" s="360">
        <f>Scenarios!F34</f>
        <v>0.14203089720498038</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1.1204719901561737</v>
      </c>
    </row>
    <row r="17" spans="1:6">
      <c r="B17" s="343" t="s">
        <v>534</v>
      </c>
      <c r="C17" s="424">
        <f>Terminal_Growth</f>
        <v>0.02</v>
      </c>
      <c r="D17" s="351" t="s">
        <v>339</v>
      </c>
      <c r="E17" s="344" t="str">
        <f>Reporting_currency</f>
        <v>CNY</v>
      </c>
    </row>
    <row r="18" spans="1:6">
      <c r="B18" s="343" t="str">
        <f>"预期股权价值 ("&amp;C7&amp;") :"</f>
        <v>预期股权价值 (HKD) :</v>
      </c>
      <c r="C18" s="359">
        <f>C125</f>
        <v>145.00050576448555</v>
      </c>
      <c r="D18" s="350" t="s">
        <v>362</v>
      </c>
      <c r="E18" s="426">
        <f>Thesis!E18</f>
        <v>6</v>
      </c>
    </row>
    <row r="19" spans="1:6">
      <c r="B19" s="350" t="s">
        <v>335</v>
      </c>
      <c r="C19" s="352" t="str">
        <f>IF(Scenarios!C50="Y",Scenarios!B50,"")&amp;IF(Scenarios!C51="Y",Scenarios!B51,"")&amp;IF(Scenarios!C52="Y",Scenarios!B52,"")&amp;" "&amp;IF(Scenarios!C53="Y",Scenarios!B53,"")</f>
        <v xml:space="preserve">High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66.820509568887374</v>
      </c>
      <c r="D22" s="365" t="s">
        <v>440</v>
      </c>
      <c r="E22" s="366">
        <f>Thesis!E22</f>
        <v>0.29465259038036606</v>
      </c>
    </row>
    <row r="23" spans="1:6">
      <c r="B23" s="343" t="s">
        <v>341</v>
      </c>
      <c r="C23" s="367">
        <f>E141</f>
        <v>83.754804773710106</v>
      </c>
      <c r="D23" s="365" t="s">
        <v>441</v>
      </c>
      <c r="E23" s="368">
        <f>Thesis!E23</f>
        <v>0.20075184365903009</v>
      </c>
    </row>
    <row r="24" spans="1:6">
      <c r="B24" s="343" t="s">
        <v>343</v>
      </c>
      <c r="C24" s="367">
        <f>E144</f>
        <v>103.93061949909782</v>
      </c>
      <c r="D24" s="365" t="s">
        <v>443</v>
      </c>
      <c r="E24" s="368">
        <f>Thesis!E24</f>
        <v>0.1174</v>
      </c>
    </row>
    <row r="25" spans="1:6">
      <c r="B25" s="343" t="s">
        <v>342</v>
      </c>
      <c r="C25" s="367">
        <f>E145</f>
        <v>117.53781539844979</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16278123.080000043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321313.45291999989</v>
      </c>
      <c r="D44" s="343" t="str">
        <f>Reporting_currency</f>
        <v>CNY</v>
      </c>
      <c r="E44" s="371"/>
      <c r="F44" s="371"/>
    </row>
    <row r="45" spans="2:6">
      <c r="B45" s="372" t="s">
        <v>268</v>
      </c>
      <c r="C45" s="376">
        <f>Normalized_FCF!C45</f>
        <v>-3058644.12</v>
      </c>
      <c r="D45" s="343" t="str">
        <f>Reporting_currency</f>
        <v>CNY</v>
      </c>
      <c r="E45" s="371"/>
      <c r="F45" s="371"/>
    </row>
    <row r="46" spans="2:6">
      <c r="B46" s="372" t="s">
        <v>203</v>
      </c>
      <c r="C46" s="373">
        <f>Normalized_FCF!C10</f>
        <v>-2737330.66708</v>
      </c>
      <c r="D46" s="343" t="str">
        <f>Reporting_currency</f>
        <v>CNY</v>
      </c>
    </row>
    <row r="48" spans="2:6">
      <c r="B48" s="343" t="s">
        <v>504</v>
      </c>
    </row>
    <row r="49" spans="2:6">
      <c r="B49" s="372" t="s">
        <v>223</v>
      </c>
      <c r="C49" s="373">
        <f>Normalized_FCF!C13</f>
        <v>0</v>
      </c>
      <c r="D49" s="343" t="str">
        <f>Reporting_currency</f>
        <v>CNY</v>
      </c>
    </row>
    <row r="51" spans="2:6">
      <c r="B51" s="470" t="s">
        <v>505</v>
      </c>
      <c r="C51" s="470"/>
      <c r="D51" s="470"/>
      <c r="E51" s="470"/>
      <c r="F51" s="470"/>
    </row>
    <row r="52" spans="2:6">
      <c r="B52" s="372" t="s">
        <v>496</v>
      </c>
      <c r="C52" s="373">
        <f>Normalized_FCF!C12</f>
        <v>-3385198.1032300107</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31089799.312959094</v>
      </c>
      <c r="D60" s="343" t="str">
        <f>Reporting_currency</f>
        <v>CNY</v>
      </c>
    </row>
    <row r="61" spans="2:6">
      <c r="B61" s="372" t="s">
        <v>213</v>
      </c>
      <c r="C61" s="373">
        <f>Normalized_FCF!C19</f>
        <v>10155594.309690032</v>
      </c>
      <c r="D61" s="343" t="str">
        <f>Reporting_currency</f>
        <v>CNY</v>
      </c>
    </row>
    <row r="62" spans="2:6">
      <c r="B62" s="377" t="s">
        <v>302</v>
      </c>
      <c r="C62" s="378">
        <f>Normalized_FCF!C124</f>
        <v>1.2616870075263333E-2</v>
      </c>
      <c r="F62" s="379"/>
    </row>
    <row r="63" spans="2:6">
      <c r="B63" s="377" t="s">
        <v>332</v>
      </c>
      <c r="C63" s="378">
        <f>Normalized_FCF!C92</f>
        <v>0</v>
      </c>
      <c r="E63" s="372" t="s">
        <v>373</v>
      </c>
      <c r="F63" s="380">
        <f>Normalized_FCF!C90</f>
        <v>0</v>
      </c>
    </row>
    <row r="65" spans="1:6">
      <c r="B65" s="369" t="s">
        <v>376</v>
      </c>
      <c r="C65" s="381" t="s">
        <v>327</v>
      </c>
      <c r="D65" s="381" t="s">
        <v>374</v>
      </c>
    </row>
    <row r="66" spans="1:6">
      <c r="B66" s="372" t="s">
        <v>326</v>
      </c>
      <c r="C66" s="378">
        <f>Normalized_FCF!E119</f>
        <v>0.25</v>
      </c>
      <c r="D66" s="378">
        <f>Normalized_FCF!G119</f>
        <v>0.18051269149145724</v>
      </c>
    </row>
    <row r="67" spans="1:6">
      <c r="B67" s="382" t="str">
        <f>Normalized_FCF!B116</f>
        <v>Pre-tax Profit/Sales</v>
      </c>
      <c r="C67" s="383">
        <f>Normalized_FCF!E116</f>
        <v>0.13647968218259099</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-50977402</v>
      </c>
      <c r="D78" s="343" t="str">
        <f>Reporting_currency</f>
        <v>CNY</v>
      </c>
    </row>
    <row r="79" spans="1:6">
      <c r="B79" s="372" t="s">
        <v>234</v>
      </c>
      <c r="C79" s="387">
        <f>C78*scaling_factor*Exchange_Rate/Common_Shares</f>
        <v>-6.1653813098768362</v>
      </c>
      <c r="D79" s="343" t="str">
        <f>Market_currency</f>
        <v>HKD</v>
      </c>
    </row>
    <row r="80" spans="1:6">
      <c r="B80" s="382" t="s">
        <v>309</v>
      </c>
      <c r="C80" s="388">
        <f>IF(BS!G31/BS!G27&gt;300%,"nm",BS!G31/BS!G27)</f>
        <v>0.27660377540313014</v>
      </c>
    </row>
    <row r="81" spans="1:6">
      <c r="B81" s="382" t="s">
        <v>311</v>
      </c>
      <c r="C81" s="389">
        <f>IF(BS!C50&gt;30,"nm",BS!C50)</f>
        <v>3.1316510969641755</v>
      </c>
    </row>
    <row r="83" spans="1:6">
      <c r="B83" s="343" t="s">
        <v>511</v>
      </c>
    </row>
    <row r="84" spans="1:6">
      <c r="B84" s="343" t="s">
        <v>224</v>
      </c>
      <c r="C84" s="373">
        <f>DCF!F5</f>
        <v>66024762.846666686</v>
      </c>
      <c r="D84" s="343" t="str">
        <f>Reporting_currency</f>
        <v>CNY</v>
      </c>
    </row>
    <row r="85" spans="1:6">
      <c r="B85" s="382" t="s">
        <v>481</v>
      </c>
      <c r="C85" s="390">
        <f>BS!C66</f>
        <v>119577005</v>
      </c>
      <c r="D85" s="391" t="str">
        <f>Reporting_currency</f>
        <v>CNY</v>
      </c>
    </row>
    <row r="86" spans="1:6">
      <c r="B86" s="372" t="s">
        <v>235</v>
      </c>
      <c r="C86" s="387">
        <f>C84*scaling_factor*Exchange_Rate/Common_Shares</f>
        <v>7.9852605835795494</v>
      </c>
      <c r="D86" s="343" t="str">
        <f>Market_currency</f>
        <v>HKD</v>
      </c>
    </row>
    <row r="88" spans="1:6">
      <c r="B88" s="343" t="s">
        <v>512</v>
      </c>
    </row>
    <row r="89" spans="1:6">
      <c r="B89" s="343" t="s">
        <v>217</v>
      </c>
      <c r="C89" s="373">
        <f>DCF!F6</f>
        <v>57918846.499999993</v>
      </c>
      <c r="D89" s="343" t="str">
        <f>Reporting_currency</f>
        <v>CNY</v>
      </c>
    </row>
    <row r="90" spans="1:6">
      <c r="B90" s="372" t="s">
        <v>236</v>
      </c>
      <c r="C90" s="387">
        <f>C89*scaling_factor*Exchange_Rate/Common_Shares</f>
        <v>7.0049033432642442</v>
      </c>
      <c r="D90" s="343" t="str">
        <f>Market_currency</f>
        <v>HKD</v>
      </c>
    </row>
    <row r="92" spans="1:6">
      <c r="B92" s="372" t="s">
        <v>480</v>
      </c>
      <c r="C92" s="387">
        <f>DCF!F8</f>
        <v>8.8247826169669565</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3.5710191100799706</v>
      </c>
      <c r="D111" s="343" t="str">
        <f>Market_currency</f>
        <v>HKD</v>
      </c>
    </row>
    <row r="112" spans="1:6">
      <c r="A112" s="385"/>
      <c r="B112" s="372" t="s">
        <v>377</v>
      </c>
      <c r="C112" s="394">
        <f>DCF!C11</f>
        <v>32.687970195317874</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0.25</v>
      </c>
      <c r="D118" s="397">
        <f>DCF!D90</f>
        <v>15</v>
      </c>
      <c r="E118" s="398" t="str">
        <f>ROUND(DCF!E90,2)&amp;" "&amp;Market_currency</f>
        <v>399.05 HKD</v>
      </c>
      <c r="F118" s="399">
        <f>DCF!F90</f>
        <v>0.05</v>
      </c>
    </row>
    <row r="119" spans="1:6">
      <c r="A119" s="385"/>
      <c r="B119" s="400" t="str">
        <f>DCF!B91</f>
        <v>Optimistic</v>
      </c>
      <c r="C119" s="401">
        <f>DCF!C91</f>
        <v>0.2</v>
      </c>
      <c r="D119" s="402">
        <f>DCF!D91</f>
        <v>15</v>
      </c>
      <c r="E119" s="398" t="str">
        <f>ROUND(DCF!E91,2)&amp;" "&amp;Market_currency</f>
        <v>263.09 HKD</v>
      </c>
      <c r="F119" s="403">
        <f>DCF!F91</f>
        <v>0.18</v>
      </c>
    </row>
    <row r="120" spans="1:6">
      <c r="B120" s="400" t="str">
        <f>DCF!B92</f>
        <v>Base</v>
      </c>
      <c r="C120" s="401">
        <f>DCF!C92</f>
        <v>0.1</v>
      </c>
      <c r="D120" s="402">
        <f>DCF!D92</f>
        <v>15</v>
      </c>
      <c r="E120" s="398" t="str">
        <f>ROUND(DCF!E92,2)&amp;" "&amp;Market_currency</f>
        <v>113.93 HKD</v>
      </c>
      <c r="F120" s="403">
        <f>DCF!F92</f>
        <v>0.53999999999999992</v>
      </c>
    </row>
    <row r="121" spans="1:6">
      <c r="B121" s="400" t="str">
        <f>DCF!B93</f>
        <v>Pessimistic</v>
      </c>
      <c r="C121" s="401">
        <f>DCF!C93</f>
        <v>0.05</v>
      </c>
      <c r="D121" s="402">
        <f>DCF!D93</f>
        <v>15</v>
      </c>
      <c r="E121" s="398" t="str">
        <f>ROUND(DCF!E93,2)&amp;" "&amp;Market_currency</f>
        <v>75.64 HKD</v>
      </c>
      <c r="F121" s="403">
        <f>DCF!F93</f>
        <v>0.18</v>
      </c>
    </row>
    <row r="122" spans="1:6">
      <c r="B122" s="400" t="str">
        <f>DCF!B94</f>
        <v>Devil's advocate</v>
      </c>
      <c r="C122" s="401">
        <f>DCF!C94</f>
        <v>0</v>
      </c>
      <c r="D122" s="402">
        <f>DCF!D94</f>
        <v>15</v>
      </c>
      <c r="E122" s="398" t="str">
        <f>ROUND(DCF!E94,2)&amp;" "&amp;Market_currency</f>
        <v>51.11 HKD</v>
      </c>
      <c r="F122" s="403">
        <f>DCF!F94</f>
        <v>0.05</v>
      </c>
    </row>
    <row r="124" spans="1:6">
      <c r="B124" s="470" t="s">
        <v>518</v>
      </c>
      <c r="C124" s="470"/>
      <c r="D124" s="470"/>
      <c r="E124" s="470"/>
      <c r="F124" s="470"/>
    </row>
    <row r="125" spans="1:6">
      <c r="B125" s="372" t="s">
        <v>218</v>
      </c>
      <c r="C125" s="404">
        <f>Scenarios!C36</f>
        <v>145.00050576448555</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v>
      </c>
      <c r="D140" s="409">
        <f>Scenarios!D62</f>
        <v>66.820509568887374</v>
      </c>
      <c r="E140" s="410">
        <f>Scenarios!E62</f>
        <v>66.820509568887374</v>
      </c>
      <c r="F140" s="411">
        <f>E22</f>
        <v>0.29465259038036606</v>
      </c>
    </row>
    <row r="141" spans="1:6">
      <c r="B141" s="408" t="s">
        <v>313</v>
      </c>
      <c r="C141" s="409">
        <f>Scenarios!C63</f>
        <v>0</v>
      </c>
      <c r="D141" s="409">
        <f>Scenarios!D63</f>
        <v>83.754804773710106</v>
      </c>
      <c r="E141" s="410">
        <f>Scenarios!E63</f>
        <v>83.754804773710106</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v>
      </c>
      <c r="D144" s="409">
        <f>Scenarios!D66</f>
        <v>103.93061949909782</v>
      </c>
      <c r="E144" s="410">
        <f>Scenarios!E66</f>
        <v>103.93061949909782</v>
      </c>
      <c r="F144" s="411">
        <f>E24</f>
        <v>0.1174</v>
      </c>
    </row>
    <row r="145" spans="1:6">
      <c r="B145" s="408" t="s">
        <v>314</v>
      </c>
      <c r="C145" s="409">
        <f>Scenarios!C67</f>
        <v>0</v>
      </c>
      <c r="D145" s="409">
        <f>Scenarios!D67</f>
        <v>117.53781539844979</v>
      </c>
      <c r="E145" s="410">
        <f>Scenarios!E67</f>
        <v>117.53781539844979</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2026-01-21T03:12:18Z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