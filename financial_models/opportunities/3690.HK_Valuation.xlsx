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19F0877-B2FE-45C3-B3EA-FA2B0E8E678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<sst xmlns="http://schemas.openxmlformats.org/spreadsheetml/2006/main" count="768" uniqueCount="558">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</sst>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0" sqref="B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79</v>
      </c>
      <c r="E8" s="32"/>
    </row>
    <row r="9" spans="1:9">
      <c r="B9" s="4" t="s">
        <v>346</v>
      </c>
      <c r="C9" s="48">
        <v>9264431217</v>
      </c>
    </row>
    <row r="10" spans="1:9">
      <c r="B10" s="4" t="s">
        <v>352</v>
      </c>
      <c r="C10" s="33">
        <f>Thesis!C8*Common_Shares/1000000</f>
        <v>731890.06614300003</v>
      </c>
      <c r="D10" s="1" t="s">
        <v>527</v>
      </c>
      <c r="E10" s="303">
        <f>Scenarios!F34</f>
        <v>6.682195798376131E-2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1.1359030000000001</v>
      </c>
    </row>
    <row r="17" spans="1:6">
      <c r="B17" s="1" t="s">
        <v>531</v>
      </c>
      <c r="C17" s="456">
        <v>0.02</v>
      </c>
      <c r="D17" s="4" t="s">
        <v>274</v>
      </c>
      <c r="E17" s="224" t="s">
        <v>556</v>
      </c>
    </row>
    <row r="18" spans="1:6">
      <c r="B18" s="1" t="str">
        <f>"Expected Equity Value ("&amp;C7&amp;") :"</f>
        <v>Expected Equity Value (HKD) :</v>
      </c>
      <c r="C18" s="252">
        <f>C125</f>
        <v>95.918621658453446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43.658908356146299</v>
      </c>
      <c r="D22" s="38" t="s">
        <v>406</v>
      </c>
      <c r="E22" s="79">
        <v>0.3</v>
      </c>
    </row>
    <row r="23" spans="1:6">
      <c r="B23" s="1" t="s">
        <v>313</v>
      </c>
      <c r="C23" s="256">
        <f>E141</f>
        <v>55.508461607901303</v>
      </c>
      <c r="D23" s="38" t="s">
        <v>407</v>
      </c>
      <c r="E23" s="443">
        <v>0.2</v>
      </c>
    </row>
    <row r="24" spans="1:6">
      <c r="B24" s="1" t="s">
        <v>315</v>
      </c>
      <c r="C24" s="256">
        <f>E144</f>
        <v>68.750668957351252</v>
      </c>
      <c r="D24" s="38" t="s">
        <v>408</v>
      </c>
      <c r="E24" s="443">
        <v>0.1174</v>
      </c>
    </row>
    <row r="25" spans="1:6">
      <c r="B25" s="1" t="s">
        <v>314</v>
      </c>
      <c r="C25" s="256">
        <f>E145</f>
        <v>77.751902907681895</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16278123.080000043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-3385198.1032300107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1.5761615817457927E-2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-6.2502902237269646</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8.0952326629829443</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7.1013740568515571</v>
      </c>
      <c r="D90" s="1" t="str">
        <f>Market_currency</f>
        <v>HKD</v>
      </c>
    </row>
    <row r="91" spans="1:6">
      <c r="A91" s="191"/>
    </row>
    <row r="92" spans="1:6">
      <c r="A92" s="191"/>
      <c r="B92" s="44" t="s">
        <v>469</v>
      </c>
      <c r="C92" s="216">
        <f>DCF!F8</f>
        <v>8.9463164961075368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3.6201987696558029</v>
      </c>
      <c r="D111" s="1" t="str">
        <f>Market_currency</f>
        <v>HKD</v>
      </c>
    </row>
    <row r="112" spans="2:6">
      <c r="B112" s="44" t="s">
        <v>323</v>
      </c>
      <c r="C112" s="216">
        <f>DCF!C11</f>
        <v>33.138145116502969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253.04 HKD</v>
      </c>
      <c r="E118" s="208">
        <f>DCF!F90</f>
        <v>0.05</v>
      </c>
      <c r="F118" s="208">
        <f>RATE(Holding_Period,Scenarios!C$58,-DCF!E90,C$18)</f>
        <v>-0.27628214511277999</v>
      </c>
    </row>
    <row r="119" spans="2:6">
      <c r="B119" s="205" t="str">
        <f>DCF!B91&amp;" ("&amp;DCF!D91&amp;"yrs)"</f>
        <v>Optimistic (15yrs)</v>
      </c>
      <c r="C119" s="198">
        <f>DCF!C91</f>
        <v>0.2</v>
      </c>
      <c r="D119" s="207" t="str">
        <f>ROUND(DCF!E91,2)&amp;" "&amp;Market_currency</f>
        <v>169.21 HKD</v>
      </c>
      <c r="E119" s="199">
        <f>DCF!F91</f>
        <v>0.18</v>
      </c>
      <c r="F119" s="208">
        <f>RATE(Holding_Period,Scenarios!C$58,-DCF!E91,C$18)</f>
        <v>-0.17239232062213014</v>
      </c>
    </row>
    <row r="120" spans="2:6">
      <c r="B120" s="205" t="str">
        <f>DCF!B92&amp;" ("&amp;DCF!D92&amp;"yrs)"</f>
        <v>Base (15yrs)</v>
      </c>
      <c r="C120" s="198">
        <f>DCF!C92</f>
        <v>0.1</v>
      </c>
      <c r="D120" s="207" t="str">
        <f>ROUND(DCF!E92,2)&amp;" "&amp;Market_currency</f>
        <v>76.74 HKD</v>
      </c>
      <c r="E120" s="199">
        <f>DCF!F92</f>
        <v>0.53999999999999992</v>
      </c>
      <c r="F120" s="208">
        <f>RATE(Holding_Period,Scenarios!C$58,-DCF!E92,C$18)</f>
        <v>7.7200288038073661E-2</v>
      </c>
    </row>
    <row r="121" spans="2:6">
      <c r="B121" s="205" t="str">
        <f>DCF!B93&amp;" ("&amp;DCF!D93&amp;"yrs)"</f>
        <v>Pessimistic (15yrs)</v>
      </c>
      <c r="C121" s="198">
        <f>DCF!C93</f>
        <v>0.05</v>
      </c>
      <c r="D121" s="207" t="str">
        <f>ROUND(DCF!E93,2)&amp;" "&amp;Market_currency</f>
        <v>52.8 HKD</v>
      </c>
      <c r="E121" s="199">
        <f>DCF!F93</f>
        <v>0.18</v>
      </c>
      <c r="F121" s="208">
        <f>RATE(Holding_Period,Scenarios!C$58,-DCF!E93,C$18)</f>
        <v>0.22020794486684614</v>
      </c>
    </row>
    <row r="122" spans="2:6">
      <c r="B122" s="205" t="str">
        <f>DCF!B94&amp;" ("&amp;DCF!D94&amp;"yrs)"</f>
        <v>Devil's advocate (15yrs)</v>
      </c>
      <c r="C122" s="198">
        <f>DCF!C94</f>
        <v>0</v>
      </c>
      <c r="D122" s="207" t="str">
        <f>ROUND(DCF!E94,2)&amp;" "&amp;Market_currency</f>
        <v>37.33 HKD</v>
      </c>
      <c r="E122" s="199">
        <f>DCF!F94</f>
        <v>0.05</v>
      </c>
      <c r="F122" s="208">
        <f>RATE(Holding_Period,Scenarios!C$58,-DCF!E94,C$18)</f>
        <v>0.3697127243931958</v>
      </c>
    </row>
    <row r="124" spans="2:6">
      <c r="B124" s="461" t="s">
        <v>357</v>
      </c>
      <c r="C124" s="461"/>
      <c r="D124" s="461"/>
      <c r="E124" s="461"/>
      <c r="F124" s="461"/>
    </row>
    <row r="125" spans="2:6">
      <c r="B125" s="193" t="s">
        <v>218</v>
      </c>
      <c r="C125" s="197">
        <f>Scenarios!C36</f>
        <v>95.918621658453446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43.658908356146299</v>
      </c>
      <c r="E140" s="334">
        <f>Scenarios!E62</f>
        <v>43.658908356146299</v>
      </c>
      <c r="F140" s="335">
        <f>E22</f>
        <v>0.3</v>
      </c>
    </row>
    <row r="141" spans="1:6">
      <c r="B141" s="336" t="s">
        <v>313</v>
      </c>
      <c r="C141" s="333">
        <f>Scenarios!C63</f>
        <v>0</v>
      </c>
      <c r="D141" s="333">
        <f>Scenarios!D63</f>
        <v>55.508461607901303</v>
      </c>
      <c r="E141" s="334">
        <f>Scenarios!E63</f>
        <v>55.508461607901303</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68.750668957351252</v>
      </c>
      <c r="E144" s="334">
        <f>Scenarios!E66</f>
        <v>68.750668957351252</v>
      </c>
      <c r="F144" s="335">
        <f>E24</f>
        <v>0.1174</v>
      </c>
    </row>
    <row r="145" spans="1:6">
      <c r="B145" s="336" t="s">
        <v>314</v>
      </c>
      <c r="C145" s="333">
        <f>Scenarios!C67</f>
        <v>0</v>
      </c>
      <c r="D145" s="333">
        <f>Scenarios!D67</f>
        <v>77.751902907681895</v>
      </c>
      <c r="E145" s="334">
        <f>Scenarios!E67</f>
        <v>77.751902907681895</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0" activePane="bottomRight" state="frozen"/>
      <selection pane="topRight" activeCell="C1" sqref="C1"/>
      <selection pane="bottomLeft" activeCell="A2" sqref="A2"/>
      <selection pane="bottomRight" activeCell="C71" sqref="C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22.603701282392716</v>
      </c>
      <c r="D47" s="134">
        <f>D46*H1/Common_Shares*Exchange_Rate</f>
        <v>3.6201987696558029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-57905383.864006005</v>
      </c>
      <c r="D86" s="201">
        <f>C86*scaling_factor/Common_Shares</f>
        <v>-6.2502902237269646</v>
      </c>
      <c r="E86" s="214" t="str">
        <f>Market_currency</f>
        <v>HKD</v>
      </c>
    </row>
    <row r="87" spans="2:8" ht="15" customHeight="1">
      <c r="B87" s="212" t="s">
        <v>240</v>
      </c>
      <c r="C87" s="73">
        <f>DCF!F5*Exchange_Rate</f>
        <v>74997726.191817239</v>
      </c>
      <c r="D87" s="201">
        <f>C87*scaling_factor/Common_Shares</f>
        <v>8.0952326629829461</v>
      </c>
      <c r="E87" s="214" t="str">
        <f>Market_currency</f>
        <v>HKD</v>
      </c>
    </row>
    <row r="88" spans="2:8" ht="15" customHeight="1">
      <c r="B88" s="213" t="s">
        <v>159</v>
      </c>
      <c r="C88" s="73">
        <f>DCF!F6*Exchange_Rate</f>
        <v>65790191.4958895</v>
      </c>
      <c r="D88" s="201">
        <f>C88*scaling_factor/Common_Shares</f>
        <v>7.101374056851558</v>
      </c>
      <c r="E88" s="214" t="str">
        <f>Market_currency</f>
        <v>HKD</v>
      </c>
    </row>
    <row r="89" spans="2:8" ht="15" customHeight="1">
      <c r="B89" s="77" t="s">
        <v>244</v>
      </c>
      <c r="C89" s="162">
        <f>SUM(C86:C88)</f>
        <v>82882533.823700726</v>
      </c>
      <c r="D89" s="216">
        <f>SUM(D86:D88)</f>
        <v>8.9463164961075385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41" activePane="bottomRight" state="frozen"/>
      <selection activeCell="C17" sqref="C17"/>
      <selection pane="topRight" activeCell="C17" sqref="C17"/>
      <selection pane="bottomLeft" activeCell="C17" sqref="C17"/>
      <selection pane="bottomRight" activeCell="C18" sqref="C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1.2451676495791764</v>
      </c>
      <c r="D123" s="26"/>
      <c r="E123" s="234"/>
      <c r="F123" s="26"/>
      <c r="G123" s="159">
        <f t="shared" ref="G123:Q123" si="48">IF(G$4="","",G14*$C$3/Common_Shares*Exchange_Rate)</f>
        <v>3.8118903882826656</v>
      </c>
      <c r="H123" s="159">
        <f t="shared" si="48"/>
        <v>0.83106596940191102</v>
      </c>
      <c r="I123" s="159">
        <f t="shared" si="48"/>
        <v>-1.1976201528093591</v>
      </c>
      <c r="J123" s="159">
        <f t="shared" si="48"/>
        <v>-2.9859437345621713</v>
      </c>
      <c r="K123" s="159">
        <f t="shared" si="48"/>
        <v>-0.3738613180903495</v>
      </c>
      <c r="L123" s="159">
        <f t="shared" si="48"/>
        <v>2.3354569576054744E-2</v>
      </c>
      <c r="M123" s="159">
        <f t="shared" si="48"/>
        <v>-1.6602164734205096</v>
      </c>
      <c r="N123" s="159">
        <f t="shared" si="48"/>
        <v>-0.55828686794597793</v>
      </c>
      <c r="O123" s="159">
        <f t="shared" si="48"/>
        <v>-0.83366166778197137</v>
      </c>
      <c r="P123" s="159">
        <f t="shared" si="48"/>
        <v>-1.0433794589853205</v>
      </c>
      <c r="Q123" s="159" t="str">
        <f t="shared" si="48"/>
        <v/>
      </c>
    </row>
    <row r="124" spans="1:17" ht="15.75" customHeight="1">
      <c r="A124" s="10"/>
      <c r="B124" s="26" t="s">
        <v>226</v>
      </c>
      <c r="C124" s="74">
        <f>C19*Exchange_Rate*$C$3/(Market_Price*Common_Shares)</f>
        <v>1.5761615817457927E-2</v>
      </c>
      <c r="D124" s="26"/>
      <c r="E124" s="234"/>
      <c r="F124" s="26"/>
      <c r="G124" s="74">
        <f t="shared" ref="G124" si="49">IF(G$4="","",G123/Market_Price)</f>
        <v>4.8251777066869186E-2</v>
      </c>
      <c r="H124" s="74">
        <f t="shared" ref="H124" si="50">IF(H$4="","",H123/Market_Price)</f>
        <v>1.0519822397492544E-2</v>
      </c>
      <c r="I124" s="74">
        <f t="shared" ref="I124" si="51">IF(I$4="","",I123/Market_Price)</f>
        <v>-1.5159748769738723E-2</v>
      </c>
      <c r="J124" s="74">
        <f t="shared" ref="J124" si="52">IF(J$4="","",J123/Market_Price)</f>
        <v>-3.7796756133698373E-2</v>
      </c>
      <c r="K124" s="74">
        <f t="shared" ref="K124" si="53">IF(K$4="","",K123/Market_Price)</f>
        <v>-4.732421747979108E-3</v>
      </c>
      <c r="L124" s="74">
        <f t="shared" ref="L124" si="54">IF(L$4="","",L123/Market_Price)</f>
        <v>2.9562746298803476E-4</v>
      </c>
      <c r="M124" s="74">
        <f t="shared" ref="M124" si="55">IF(M$4="","",M123/Market_Price)</f>
        <v>-2.101539839772797E-2</v>
      </c>
      <c r="N124" s="74">
        <f t="shared" ref="N124" si="56">IF(N$4="","",N123/Market_Price)</f>
        <v>-7.0669223790630117E-3</v>
      </c>
      <c r="O124" s="74">
        <f t="shared" ref="O124" si="57">IF(O$4="","",O123/Market_Price)</f>
        <v>-1.0552679339012296E-2</v>
      </c>
      <c r="P124" s="74">
        <f t="shared" ref="P124" si="58">IF(P$4="","",P123/Market_Price)</f>
        <v>-1.3207334923864816E-2</v>
      </c>
      <c r="Q124" s="74" t="str">
        <f t="shared" ref="Q124" si="59">IF(Q$4="","",Q123/Market_Price)</f>
        <v/>
      </c>
    </row>
    <row r="125" spans="1:17" ht="15.75" customHeight="1">
      <c r="B125" s="2" t="s">
        <v>306</v>
      </c>
      <c r="C125" s="151"/>
      <c r="G125" s="22">
        <f>IF(G$4="","",(Data!C47*$C$3)/(Market_Price*Common_Shares))</f>
        <v>4.8924258787526473E-2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6" zoomScaleNormal="100" workbookViewId="0">
      <selection activeCell="F27" sqref="F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8.9463164961075368</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0</v>
      </c>
      <c r="J9" s="306"/>
      <c r="N9" s="304"/>
      <c r="O9" s="304"/>
    </row>
    <row r="10" spans="2:15" ht="13.5" thickTop="1">
      <c r="B10" s="107" t="s">
        <v>427</v>
      </c>
      <c r="C10" s="283">
        <f>C8*Exchange_Rate</f>
        <v>307006066.09080619</v>
      </c>
      <c r="D10" t="str">
        <f>Market_currency</f>
        <v>HKD</v>
      </c>
      <c r="H10" s="308" t="s">
        <v>397</v>
      </c>
      <c r="I10" s="306">
        <f>Normalized_FCF!C41</f>
        <v>0.25</v>
      </c>
      <c r="N10" s="304"/>
      <c r="O10" s="304"/>
    </row>
    <row r="11" spans="2:15" ht="13.15">
      <c r="B11" s="136" t="s">
        <v>425</v>
      </c>
      <c r="C11" s="108">
        <f>(C10*scaling_factor)/Common_Shares</f>
        <v>33.138145116502969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8.1887809309554582E-2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150.01092095919026</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420</v>
      </c>
      <c r="K52" s="468"/>
      <c r="L52" s="317">
        <f>SUM(L21:L51)</f>
        <v>1150523702.4653873</v>
      </c>
    </row>
    <row r="53" spans="1:21">
      <c r="C53" s="111"/>
    </row>
    <row r="54" spans="1:21" ht="13.15">
      <c r="B54" s="115" t="s">
        <v>108</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33.138145116502969</v>
      </c>
      <c r="C73" s="119">
        <f>C11</f>
        <v>33.138145116502969</v>
      </c>
      <c r="D73" s="119">
        <f>C11</f>
        <v>33.138145116502969</v>
      </c>
      <c r="E73" s="119">
        <f>C11</f>
        <v>33.138145116502969</v>
      </c>
      <c r="F73" s="119">
        <f>C11</f>
        <v>33.138145116502969</v>
      </c>
      <c r="G73" s="296"/>
      <c r="H73" s="296"/>
      <c r="I73" s="296"/>
      <c r="J73" s="296"/>
      <c r="K73" s="296"/>
      <c r="L73" s="296"/>
    </row>
    <row r="74" spans="1:21" ht="13.15">
      <c r="A74" s="131">
        <v>1</v>
      </c>
      <c r="B74" s="119">
        <f t="shared" ref="B74:F87" si="11">(B56+FV_adjustments)/Common_Shares*scaling_factor*Exchange_Rate</f>
        <v>43.454519090889704</v>
      </c>
      <c r="C74" s="119">
        <f t="shared" si="11"/>
        <v>44.317224155759249</v>
      </c>
      <c r="D74" s="119">
        <f t="shared" si="11"/>
        <v>45.179929220628814</v>
      </c>
      <c r="E74" s="119">
        <f t="shared" si="11"/>
        <v>46.905339350367917</v>
      </c>
      <c r="F74" s="119">
        <f t="shared" si="11"/>
        <v>47.768044415237483</v>
      </c>
      <c r="G74" s="296"/>
      <c r="H74" s="296"/>
      <c r="I74" s="296"/>
      <c r="J74" s="296"/>
      <c r="K74" s="296"/>
      <c r="L74" s="296"/>
    </row>
    <row r="75" spans="1:21" ht="13.15">
      <c r="A75" s="131">
        <v>2</v>
      </c>
      <c r="B75" s="119">
        <f t="shared" si="11"/>
        <v>43.410318304455124</v>
      </c>
      <c r="C75" s="119">
        <f t="shared" si="11"/>
        <v>45.125307886892728</v>
      </c>
      <c r="D75" s="119">
        <f t="shared" si="11"/>
        <v>46.881926227243937</v>
      </c>
      <c r="E75" s="119">
        <f t="shared" si="11"/>
        <v>50.520049181687178</v>
      </c>
      <c r="F75" s="119">
        <f t="shared" si="11"/>
        <v>52.401553795779201</v>
      </c>
      <c r="G75" s="296"/>
      <c r="H75" s="296"/>
      <c r="I75" s="296"/>
      <c r="J75" s="296"/>
      <c r="K75" s="296"/>
      <c r="L75" s="296"/>
    </row>
    <row r="76" spans="1:21" ht="13.15">
      <c r="A76" s="131">
        <v>3</v>
      </c>
      <c r="B76" s="119">
        <f t="shared" si="11"/>
        <v>43.369105449970661</v>
      </c>
      <c r="C76" s="119">
        <f t="shared" si="11"/>
        <v>46.798853236643431</v>
      </c>
      <c r="D76" s="119">
        <f t="shared" si="11"/>
        <v>50.434021788991224</v>
      </c>
      <c r="E76" s="119">
        <f t="shared" si="11"/>
        <v>58.343910006327846</v>
      </c>
      <c r="F76" s="119">
        <f t="shared" si="11"/>
        <v>62.630274079124682</v>
      </c>
      <c r="G76" s="296"/>
      <c r="H76" s="296"/>
      <c r="I76" s="296"/>
      <c r="J76" s="296"/>
      <c r="K76" s="296"/>
      <c r="L76" s="296"/>
    </row>
    <row r="77" spans="1:21" ht="13.15">
      <c r="A77" s="131">
        <v>4</v>
      </c>
      <c r="B77" s="119">
        <f t="shared" si="11"/>
        <v>43.33067854602244</v>
      </c>
      <c r="C77" s="119">
        <f t="shared" si="11"/>
        <v>47.554945729626951</v>
      </c>
      <c r="D77" s="119">
        <f t="shared" si="11"/>
        <v>52.14303796920364</v>
      </c>
      <c r="E77" s="119">
        <f t="shared" si="11"/>
        <v>62.49204393504278</v>
      </c>
      <c r="F77" s="119">
        <f t="shared" si="11"/>
        <v>68.294987977777069</v>
      </c>
      <c r="G77" s="296"/>
      <c r="H77" s="296"/>
      <c r="I77" s="296"/>
      <c r="J77" s="296"/>
      <c r="K77" s="296"/>
      <c r="L77" s="296"/>
    </row>
    <row r="78" spans="1:21" ht="13.15">
      <c r="A78" s="131">
        <v>5</v>
      </c>
      <c r="B78" s="119">
        <f t="shared" si="11"/>
        <v>42.167323208922532</v>
      </c>
      <c r="C78" s="119">
        <f t="shared" si="11"/>
        <v>47.964019738301978</v>
      </c>
      <c r="D78" s="119">
        <f t="shared" si="11"/>
        <v>54.527741237312952</v>
      </c>
      <c r="E78" s="119">
        <f t="shared" si="11"/>
        <v>70.250814497242544</v>
      </c>
      <c r="F78" s="119">
        <f t="shared" si="11"/>
        <v>79.568506625768052</v>
      </c>
      <c r="G78" s="296"/>
      <c r="H78" s="296"/>
      <c r="I78" s="296"/>
      <c r="J78" s="296"/>
      <c r="K78" s="296"/>
      <c r="L78" s="296"/>
    </row>
    <row r="79" spans="1:21" ht="13.15">
      <c r="A79" s="131">
        <v>6</v>
      </c>
      <c r="B79" s="119">
        <f t="shared" si="11"/>
        <v>42.133915953845047</v>
      </c>
      <c r="C79" s="119">
        <f t="shared" si="11"/>
        <v>48.671466053480465</v>
      </c>
      <c r="D79" s="119">
        <f t="shared" si="11"/>
        <v>56.243805538763475</v>
      </c>
      <c r="E79" s="119">
        <f t="shared" si="11"/>
        <v>75.011090119221308</v>
      </c>
      <c r="F79" s="119">
        <f t="shared" si="11"/>
        <v>86.493923392666687</v>
      </c>
      <c r="G79" s="296"/>
      <c r="H79" s="296"/>
      <c r="I79" s="296"/>
      <c r="J79" s="296"/>
      <c r="K79" s="296"/>
      <c r="L79" s="296"/>
    </row>
    <row r="80" spans="1:21" ht="13.15">
      <c r="A80" s="131">
        <f t="shared" ref="A80" si="12">A62</f>
        <v>7</v>
      </c>
      <c r="B80" s="119">
        <f t="shared" si="11"/>
        <v>41.051460652113782</v>
      </c>
      <c r="C80" s="119">
        <f t="shared" si="11"/>
        <v>49.057116558857849</v>
      </c>
      <c r="D80" s="119">
        <f t="shared" si="11"/>
        <v>58.733656693271776</v>
      </c>
      <c r="E80" s="119">
        <f t="shared" si="11"/>
        <v>84.258138899120667</v>
      </c>
      <c r="F80" s="119">
        <f t="shared" si="11"/>
        <v>100.77938706270236</v>
      </c>
      <c r="G80" s="296"/>
      <c r="H80" s="296"/>
      <c r="I80" s="296"/>
      <c r="J80" s="296"/>
      <c r="K80" s="296"/>
      <c r="L80" s="296"/>
    </row>
    <row r="81" spans="1:12" ht="13.15">
      <c r="A81" s="131">
        <v>8</v>
      </c>
      <c r="B81" s="119">
        <f t="shared" si="11"/>
        <v>41.022417336698204</v>
      </c>
      <c r="C81" s="119">
        <f t="shared" si="11"/>
        <v>49.719046538991272</v>
      </c>
      <c r="D81" s="119">
        <f t="shared" si="11"/>
        <v>60.456798182983633</v>
      </c>
      <c r="E81" s="119">
        <f t="shared" si="11"/>
        <v>89.720890195635647</v>
      </c>
      <c r="F81" s="119">
        <f t="shared" si="11"/>
        <v>109.24608074808869</v>
      </c>
      <c r="G81" s="296"/>
      <c r="H81" s="296"/>
      <c r="I81" s="296"/>
      <c r="J81" s="296"/>
      <c r="K81" s="296"/>
      <c r="L81" s="296"/>
    </row>
    <row r="82" spans="1:12" ht="13.15">
      <c r="A82" s="131">
        <f t="shared" ref="A82" si="13">A64</f>
        <v>9</v>
      </c>
      <c r="B82" s="119">
        <f t="shared" si="11"/>
        <v>40.015098305123715</v>
      </c>
      <c r="C82" s="119">
        <f t="shared" si="11"/>
        <v>50.082719831385901</v>
      </c>
      <c r="D82" s="119">
        <f t="shared" si="11"/>
        <v>63.054674789907807</v>
      </c>
      <c r="E82" s="119">
        <f t="shared" si="11"/>
        <v>100.71665646713666</v>
      </c>
      <c r="F82" s="119">
        <f t="shared" si="11"/>
        <v>127.29705297811257</v>
      </c>
      <c r="G82" s="296"/>
      <c r="H82" s="296"/>
      <c r="I82" s="296"/>
      <c r="J82" s="296"/>
      <c r="K82" s="296"/>
      <c r="L82" s="296"/>
    </row>
    <row r="83" spans="1:12" ht="13.15">
      <c r="A83" s="131">
        <f t="shared" ref="A83:A87" si="14">A65</f>
        <v>10</v>
      </c>
      <c r="B83" s="119">
        <f t="shared" si="11"/>
        <v>39.989848874472443</v>
      </c>
      <c r="C83" s="119">
        <f t="shared" si="11"/>
        <v>50.70206194851729</v>
      </c>
      <c r="D83" s="119">
        <f t="shared" si="11"/>
        <v>64.784922654778939</v>
      </c>
      <c r="E83" s="119">
        <f t="shared" si="11"/>
        <v>106.98554803925357</v>
      </c>
      <c r="F83" s="119">
        <f t="shared" si="11"/>
        <v>137.64804041684599</v>
      </c>
      <c r="G83" s="296"/>
      <c r="H83" s="296"/>
      <c r="I83" s="296"/>
      <c r="J83" s="296"/>
      <c r="K83" s="296"/>
      <c r="L83" s="296"/>
    </row>
    <row r="84" spans="1:12" ht="13.15">
      <c r="A84" s="131">
        <f t="shared" si="14"/>
        <v>15</v>
      </c>
      <c r="B84" s="119">
        <f t="shared" si="11"/>
        <v>37.326258418935723</v>
      </c>
      <c r="C84" s="119">
        <f t="shared" si="11"/>
        <v>52.796044251017811</v>
      </c>
      <c r="D84" s="119">
        <f t="shared" si="11"/>
        <v>76.738542571353847</v>
      </c>
      <c r="E84" s="119">
        <f t="shared" si="11"/>
        <v>169.21131240117489</v>
      </c>
      <c r="F84" s="119">
        <f t="shared" si="11"/>
        <v>253.04343103161824</v>
      </c>
      <c r="G84" s="296"/>
      <c r="H84" s="296"/>
      <c r="I84" s="296"/>
      <c r="J84" s="296"/>
      <c r="K84" s="296"/>
      <c r="L84" s="296"/>
    </row>
    <row r="85" spans="1:12" ht="13.15">
      <c r="A85" s="132">
        <f t="shared" si="14"/>
        <v>20</v>
      </c>
      <c r="B85" s="119">
        <f t="shared" si="11"/>
        <v>35.822126283418633</v>
      </c>
      <c r="C85" s="119">
        <f t="shared" si="11"/>
        <v>54.783142241843699</v>
      </c>
      <c r="D85" s="119">
        <f t="shared" si="11"/>
        <v>88.259593059981967</v>
      </c>
      <c r="E85" s="119">
        <f t="shared" si="11"/>
        <v>249.03437990024699</v>
      </c>
      <c r="F85" s="119">
        <f t="shared" si="11"/>
        <v>424.58174521538751</v>
      </c>
      <c r="G85" s="296"/>
      <c r="H85" s="296"/>
      <c r="I85" s="296"/>
      <c r="J85" s="296"/>
      <c r="K85" s="296"/>
      <c r="L85" s="296"/>
    </row>
    <row r="86" spans="1:12" ht="13.15">
      <c r="A86" s="132">
        <f t="shared" si="14"/>
        <v>25</v>
      </c>
      <c r="B86" s="119">
        <f t="shared" si="11"/>
        <v>33.966454033070995</v>
      </c>
      <c r="C86" s="119">
        <f t="shared" si="11"/>
        <v>56.318341800399075</v>
      </c>
      <c r="D86" s="119">
        <f t="shared" si="11"/>
        <v>102.14085342893068</v>
      </c>
      <c r="E86" s="119">
        <f t="shared" si="11"/>
        <v>386.24657117550777</v>
      </c>
      <c r="F86" s="119">
        <f t="shared" si="11"/>
        <v>768.29157448157719</v>
      </c>
      <c r="G86" s="296"/>
      <c r="H86" s="296"/>
      <c r="I86" s="296"/>
      <c r="J86" s="296"/>
      <c r="K86" s="296"/>
      <c r="L86" s="296"/>
    </row>
    <row r="87" spans="1:12" ht="13.15">
      <c r="A87" s="132">
        <f t="shared" si="14"/>
        <v>30</v>
      </c>
      <c r="B87" s="119">
        <f t="shared" si="11"/>
        <v>32.921550371225678</v>
      </c>
      <c r="C87" s="119">
        <f t="shared" si="11"/>
        <v>57.764548779265446</v>
      </c>
      <c r="D87" s="119">
        <f t="shared" si="11"/>
        <v>115.09383068696728</v>
      </c>
      <c r="E87" s="119">
        <f t="shared" si="11"/>
        <v>556.88311216612908</v>
      </c>
      <c r="F87" s="119">
        <f t="shared" si="11"/>
        <v>1264.5606652229096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253.04343103161824</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169.21131240117489</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76.738542571353847</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52.796044251017811</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37.326258418935723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E26" sqref="E2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169.21131240117489</v>
      </c>
      <c r="F22" s="328">
        <f>1-F23-F24</f>
        <v>0.2</v>
      </c>
      <c r="G22" s="328">
        <f>F22*(1-F$29-F$30)</f>
        <v>0.18</v>
      </c>
    </row>
    <row r="23" spans="2:7">
      <c r="B23" s="302" t="s">
        <v>437</v>
      </c>
      <c r="C23" s="324">
        <v>0.1</v>
      </c>
      <c r="D23" s="325">
        <f>C18</f>
        <v>15</v>
      </c>
      <c r="E23" s="326">
        <f>DCF!E92</f>
        <v>76.738542571353847</v>
      </c>
      <c r="F23" s="327">
        <v>0.6</v>
      </c>
      <c r="G23" s="328">
        <f t="shared" ref="G23:G24" si="0">F23*(1-F$29-F$30)</f>
        <v>0.53999999999999992</v>
      </c>
    </row>
    <row r="24" spans="2:7">
      <c r="B24" s="302" t="s">
        <v>446</v>
      </c>
      <c r="C24" s="324">
        <v>0.05</v>
      </c>
      <c r="D24" s="325">
        <f>C18</f>
        <v>15</v>
      </c>
      <c r="E24" s="326">
        <f>DCF!E93</f>
        <v>52.796044251017811</v>
      </c>
      <c r="F24" s="327">
        <v>0.2</v>
      </c>
      <c r="G24" s="328">
        <f t="shared" si="0"/>
        <v>0.18</v>
      </c>
    </row>
    <row r="25" spans="2:7">
      <c r="B25" s="141" t="s">
        <v>451</v>
      </c>
      <c r="C25" s="441">
        <f>E23*F23+E24*F24+E22*F22</f>
        <v>90.444596873250845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253.04343103161824</v>
      </c>
      <c r="F29" s="327">
        <v>0.05</v>
      </c>
      <c r="G29" s="328">
        <f>F29</f>
        <v>0.05</v>
      </c>
    </row>
    <row r="30" spans="2:7">
      <c r="B30" s="315" t="s">
        <v>447</v>
      </c>
      <c r="C30" s="324">
        <v>0</v>
      </c>
      <c r="D30" s="325">
        <f>C18</f>
        <v>15</v>
      </c>
      <c r="E30" s="326">
        <f>DCF!E94</f>
        <v>37.326258418935723</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79</v>
      </c>
      <c r="D34" t="str">
        <f>Market_currency</f>
        <v>HKD</v>
      </c>
      <c r="E34" s="97" t="s">
        <v>454</v>
      </c>
      <c r="F34" s="330">
        <f>RATE(Holding_Period,$C$33,-C34,$C$36)</f>
        <v>6.682195798376131E-2</v>
      </c>
    </row>
    <row r="35" spans="2:7">
      <c r="B35" s="97" t="s">
        <v>434</v>
      </c>
      <c r="C35" s="320">
        <f>DCF!C11</f>
        <v>33.138145116502969</v>
      </c>
      <c r="D35" s="97" t="str">
        <f>Market_currency</f>
        <v>HKD</v>
      </c>
      <c r="E35" s="97" t="s">
        <v>454</v>
      </c>
      <c r="F35" s="330">
        <f>RATE(Holding_Period,$C$33,-C35,$C$36)</f>
        <v>0.42514234582660076</v>
      </c>
    </row>
    <row r="36" spans="2:7">
      <c r="B36" s="97" t="s">
        <v>435</v>
      </c>
      <c r="C36" s="321">
        <f>E22*G22+E23*G23+E24*G24+E30*G30+E29*G29</f>
        <v>95.918621658453446</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8.1887809309554582E-2</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150.01092095919026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9.3269860861465853E-2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43.658908356146299</v>
      </c>
      <c r="E62" s="332">
        <f>C62+D62</f>
        <v>43.658908356146299</v>
      </c>
      <c r="F62" s="301">
        <f>Thesis!E22</f>
        <v>0.3</v>
      </c>
      <c r="G62" s="440">
        <f>(1-E62/C36)</f>
        <v>0.54483386436049175</v>
      </c>
    </row>
    <row r="63" spans="2:7" ht="13.15">
      <c r="B63" s="302" t="s">
        <v>313</v>
      </c>
      <c r="C63" s="119">
        <f>PV(F63, Holding_Period, -C58, 0)</f>
        <v>0</v>
      </c>
      <c r="D63" s="119">
        <f>C36/(1+F63)^Holding_Period</f>
        <v>55.508461607901303</v>
      </c>
      <c r="E63" s="332">
        <f>C63+D63</f>
        <v>55.508461607901303</v>
      </c>
      <c r="F63" s="301">
        <f>Thesis!E23</f>
        <v>0.2</v>
      </c>
      <c r="G63" s="440">
        <f>(1-E63/C36)</f>
        <v>0.42129629629629628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68.750668957351252</v>
      </c>
      <c r="E66" s="332">
        <f>C66+D66</f>
        <v>68.750668957351252</v>
      </c>
      <c r="F66" s="301">
        <f>Thesis!E24</f>
        <v>0.1174</v>
      </c>
      <c r="G66" s="440">
        <f>(1-E66/C36)</f>
        <v>0.28323960698519735</v>
      </c>
    </row>
    <row r="67" spans="2:7" ht="13.15">
      <c r="B67" s="302" t="s">
        <v>314</v>
      </c>
      <c r="C67" s="119">
        <f>PV(F67, Holding_Period, -C58, 0)</f>
        <v>0</v>
      </c>
      <c r="D67" s="119">
        <f>C36/(1+F67)^Holding_Period</f>
        <v>77.751902907681895</v>
      </c>
      <c r="E67" s="332">
        <f>C67+D67</f>
        <v>77.751902907681895</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79</v>
      </c>
    </row>
    <row r="9" spans="1:10">
      <c r="B9" s="351" t="s">
        <v>361</v>
      </c>
      <c r="C9" s="353">
        <f>Common_Shares</f>
        <v>9264431217</v>
      </c>
    </row>
    <row r="10" spans="1:10">
      <c r="B10" s="351" t="s">
        <v>367</v>
      </c>
      <c r="C10" s="357">
        <f>投资主题!C8*Common_Shares/1000000</f>
        <v>731890.06614300003</v>
      </c>
      <c r="D10" s="343" t="s">
        <v>528</v>
      </c>
      <c r="E10" s="360">
        <f>Scenarios!F34</f>
        <v>6.682195798376131E-2</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534</v>
      </c>
      <c r="C17" s="424">
        <f>Terminal_Growth</f>
        <v>0.02</v>
      </c>
      <c r="D17" s="351" t="s">
        <v>339</v>
      </c>
      <c r="E17" s="344" t="str">
        <f>Reporting_currency</f>
        <v>CNY</v>
      </c>
    </row>
    <row r="18" spans="1:6">
      <c r="B18" s="343" t="str">
        <f>"预期股权价值 ("&amp;C7&amp;") :"</f>
        <v>预期股权价值 (HKD) :</v>
      </c>
      <c r="C18" s="359">
        <f>C125</f>
        <v>95.918621658453446</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43.658908356146299</v>
      </c>
      <c r="D22" s="365" t="s">
        <v>440</v>
      </c>
      <c r="E22" s="366">
        <f>Thesis!E22</f>
        <v>0.3</v>
      </c>
    </row>
    <row r="23" spans="1:6">
      <c r="B23" s="343" t="s">
        <v>341</v>
      </c>
      <c r="C23" s="367">
        <f>E141</f>
        <v>55.508461607901303</v>
      </c>
      <c r="D23" s="365" t="s">
        <v>441</v>
      </c>
      <c r="E23" s="368">
        <f>Thesis!E23</f>
        <v>0.2</v>
      </c>
    </row>
    <row r="24" spans="1:6">
      <c r="B24" s="343" t="s">
        <v>343</v>
      </c>
      <c r="C24" s="367">
        <f>E144</f>
        <v>68.750668957351252</v>
      </c>
      <c r="D24" s="365" t="s">
        <v>443</v>
      </c>
      <c r="E24" s="368">
        <f>Thesis!E24</f>
        <v>0.1174</v>
      </c>
    </row>
    <row r="25" spans="1:6">
      <c r="B25" s="343" t="s">
        <v>342</v>
      </c>
      <c r="C25" s="367">
        <f>E145</f>
        <v>77.751902907681895</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1.5761615817457927E-2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-6.2502902237269646</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8.0952326629829443</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7.1013740568515571</v>
      </c>
      <c r="D90" s="343" t="str">
        <f>Market_currency</f>
        <v>HKD</v>
      </c>
    </row>
    <row r="92" spans="1:6">
      <c r="B92" s="372" t="s">
        <v>480</v>
      </c>
      <c r="C92" s="387">
        <f>DCF!F8</f>
        <v>8.9463164961075368</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3.6201987696558029</v>
      </c>
      <c r="D111" s="343" t="str">
        <f>Market_currency</f>
        <v>HKD</v>
      </c>
    </row>
    <row r="112" spans="1:6">
      <c r="A112" s="385"/>
      <c r="B112" s="372" t="s">
        <v>377</v>
      </c>
      <c r="C112" s="394">
        <f>DCF!C11</f>
        <v>33.138145116502969</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253.04 HKD</v>
      </c>
      <c r="F118" s="399">
        <f>DCF!F90</f>
        <v>0.05</v>
      </c>
    </row>
    <row r="119" spans="1:6">
      <c r="A119" s="385"/>
      <c r="B119" s="400" t="str">
        <f>DCF!B91</f>
        <v>Optimistic</v>
      </c>
      <c r="C119" s="401">
        <f>DCF!C91</f>
        <v>0.2</v>
      </c>
      <c r="D119" s="402">
        <f>DCF!D91</f>
        <v>15</v>
      </c>
      <c r="E119" s="398" t="str">
        <f>ROUND(DCF!E91,2)&amp;" "&amp;Market_currency</f>
        <v>169.21 HKD</v>
      </c>
      <c r="F119" s="403">
        <f>DCF!F91</f>
        <v>0.18</v>
      </c>
    </row>
    <row r="120" spans="1:6">
      <c r="B120" s="400" t="str">
        <f>DCF!B92</f>
        <v>Base</v>
      </c>
      <c r="C120" s="401">
        <f>DCF!C92</f>
        <v>0.1</v>
      </c>
      <c r="D120" s="402">
        <f>DCF!D92</f>
        <v>15</v>
      </c>
      <c r="E120" s="398" t="str">
        <f>ROUND(DCF!E92,2)&amp;" "&amp;Market_currency</f>
        <v>76.74 HKD</v>
      </c>
      <c r="F120" s="403">
        <f>DCF!F92</f>
        <v>0.53999999999999992</v>
      </c>
    </row>
    <row r="121" spans="1:6">
      <c r="B121" s="400" t="str">
        <f>DCF!B93</f>
        <v>Pessimistic</v>
      </c>
      <c r="C121" s="401">
        <f>DCF!C93</f>
        <v>0.05</v>
      </c>
      <c r="D121" s="402">
        <f>DCF!D93</f>
        <v>15</v>
      </c>
      <c r="E121" s="398" t="str">
        <f>ROUND(DCF!E93,2)&amp;" "&amp;Market_currency</f>
        <v>52.8 HKD</v>
      </c>
      <c r="F121" s="403">
        <f>DCF!F93</f>
        <v>0.18</v>
      </c>
    </row>
    <row r="122" spans="1:6">
      <c r="B122" s="400" t="str">
        <f>DCF!B94</f>
        <v>Devil's advocate</v>
      </c>
      <c r="C122" s="401">
        <f>DCF!C94</f>
        <v>0</v>
      </c>
      <c r="D122" s="402">
        <f>DCF!D94</f>
        <v>15</v>
      </c>
      <c r="E122" s="398" t="str">
        <f>ROUND(DCF!E94,2)&amp;" "&amp;Market_currency</f>
        <v>37.33 HKD</v>
      </c>
      <c r="F122" s="403">
        <f>DCF!F94</f>
        <v>0.05</v>
      </c>
    </row>
    <row r="124" spans="1:6">
      <c r="B124" s="470" t="s">
        <v>518</v>
      </c>
      <c r="C124" s="470"/>
      <c r="D124" s="470"/>
      <c r="E124" s="470"/>
      <c r="F124" s="470"/>
    </row>
    <row r="125" spans="1:6">
      <c r="B125" s="372" t="s">
        <v>218</v>
      </c>
      <c r="C125" s="404">
        <f>Scenarios!C36</f>
        <v>95.918621658453446</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43.658908356146299</v>
      </c>
      <c r="E140" s="410">
        <f>Scenarios!E62</f>
        <v>43.658908356146299</v>
      </c>
      <c r="F140" s="411">
        <f>E22</f>
        <v>0.3</v>
      </c>
    </row>
    <row r="141" spans="1:6">
      <c r="B141" s="408" t="s">
        <v>313</v>
      </c>
      <c r="C141" s="409">
        <f>Scenarios!C63</f>
        <v>0</v>
      </c>
      <c r="D141" s="409">
        <f>Scenarios!D63</f>
        <v>55.508461607901303</v>
      </c>
      <c r="E141" s="410">
        <f>Scenarios!E63</f>
        <v>55.508461607901303</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68.750668957351252</v>
      </c>
      <c r="E144" s="410">
        <f>Scenarios!E66</f>
        <v>68.750668957351252</v>
      </c>
      <c r="F144" s="411">
        <f>E24</f>
        <v>0.1174</v>
      </c>
    </row>
    <row r="145" spans="1:6">
      <c r="B145" s="408" t="s">
        <v>314</v>
      </c>
      <c r="C145" s="409">
        <f>Scenarios!C67</f>
        <v>0</v>
      </c>
      <c r="D145" s="409">
        <f>Scenarios!D67</f>
        <v>77.751902907681895</v>
      </c>
      <c r="E145" s="410">
        <f>Scenarios!E67</f>
        <v>77.751902907681895</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