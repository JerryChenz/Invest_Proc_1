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F1671D7-64A1-47E4-9066-340B886106D1}"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82" i="2"/>
  <c r="C79" i="2"/>
  <c r="C64" i="2"/>
  <c r="C65" i="2"/>
  <c r="C66" i="2"/>
  <c r="C35" i="2"/>
  <c r="C4" i="2"/>
  <c r="G17" i="3"/>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6" i="9" l="1"/>
  <c r="C62"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D73" i="3"/>
  <c r="C73" i="3"/>
  <c r="C74" i="3" s="1"/>
  <c r="F1" i="3"/>
  <c r="H1" i="2"/>
  <c r="E1" i="4"/>
  <c r="F1" i="4" s="1"/>
  <c r="G1" i="4" s="1"/>
  <c r="H1" i="4" s="1"/>
  <c r="I1" i="4" s="1"/>
  <c r="J1" i="4" s="1"/>
  <c r="K1" i="4" s="1"/>
  <c r="L1" i="4" s="1"/>
  <c r="M1" i="4" s="1"/>
  <c r="C49" i="6" l="1"/>
  <c r="J42" i="8"/>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8" i="8" l="1"/>
  <c r="J27" i="8"/>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<sst xmlns="http://schemas.openxmlformats.org/spreadsheetml/2006/main" count="766" uniqueCount="556">
  <si>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</si>
  <si>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</si>
  <si>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</si>
  <si>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</si>
  <si>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</si>
  <si>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</si>
  <si>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</si>
  <si>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</si>
  <si>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</si>
  <si>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</si>
  <si>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</si>
  <si>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</si>
  <si>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</si>
  <si>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</si>
  <si>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</si>
  <si>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</si>
  <si>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</si>
  <si>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</si>
  <si>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</si>
  <si>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</si>
  <si>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</si>
  <si>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</si>
  <si>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</si>
  <si>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</si>
  <si>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</si>
  <si>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</si>
  <si>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</si>
  <si>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</si>
  <si>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</si>
  <si>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</si>
  <si>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</si>
  <si>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</si>
  <si>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</si>
  <si>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</si>
  <si>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</si>
  <si>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</si>
  <si>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</si>
  <si>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</si>
  <si>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</si>
  <si>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</si>
  <si>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</si>
  <si>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</si>
  <si>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</si>
  <si>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</si>
  <si>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</si>
  <si>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</si>
  <si>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</si>
  <si>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</si>
  <si>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</si>
  <si>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</si>
  <si>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</si>
  <si>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</si>
  <si>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</si>
  <si>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</si>
  <si>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</si>
  <si>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</si>
  <si>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</si>
  <si>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</si>
  <si>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</si>
  <si>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</si>
  <si>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</si>
  <si>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</si>
  <si>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</si>
  <si>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</si>
  <si>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</si>
  <si>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</si>
  <si>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</si>
  <si>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</si>
  <si>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</si>
  <si>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</si>
  <si>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</si>
  <si>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</si>
  <si>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</si>
  <si>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</si>
  <si>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</si>
  <si>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</si>
  <si>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</si>
  <si>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</si>
  <si>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</si>
  <si>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</si>
  <si>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</si>
  <si>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</si>
  <si>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</si>
  <si>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</si>
  <si>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</si>
  <si>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</si>
  <si>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</si>
  <si>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</si>
  <si>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</si>
  <si>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</si>
  <si>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</si>
  <si>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</si>
  <si>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</si>
  <si>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</si>
  <si>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</si>
  <si>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</si>
  <si>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</si>
  <si>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</si>
  <si>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</si>
  <si>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</si>
  <si>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</si>
  <si>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</si>
  <si>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</si>
  <si>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</si>
  <si>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</si>
  <si>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</si>
  <si>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</si>
  <si>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</si>
  <si>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</si>
  <si>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</si>
  <si>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</si>
  <si>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</si>
  <si>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</si>
  <si>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</si>
  <si>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</si>
  <si>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</si>
  <si>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</si>
  <si>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</si>
  <si>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</si>
  <si>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</si>
  <si>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</si>
  <si>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</si>
  <si>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</si>
  <si>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</si>
  <si>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</si>
  <si>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</si>
  <si>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</si>
  <si>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</si>
  <si>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</si>
  <si>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</si>
  <si>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</si>
  <si>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</si>
  <si>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</si>
  <si>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</si>
  <si>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</si>
  <si>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</si>
  <si>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</si>
  <si>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</si>
  <si>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</si>
  <si>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</si>
  <si>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</si>
  <si>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</si>
  <si>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</si>
  <si>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</si>
  <si>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</si>
  <si>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</si>
  <si>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</si>
  <si>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</si>
  <si>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</si>
  <si>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</si>
  <si>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</si>
  <si>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</si>
  <si>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</si>
  <si>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</si>
  <si>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</si>
  <si>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</si>
  <si>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</si>
  <si>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</si>
  <si>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</si>
  <si>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</si>
  <si>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</si>
  <si>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</si>
  <si>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</si>
  <si>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</si>
  <si>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</si>
  <si>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</si>
  <si>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</si>
  <si>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</si>
  <si>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</si>
  <si>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</si>
  <si>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</si>
  <si>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</si>
  <si>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</si>
  <si>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</si>
  <si>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</si>
  <si>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</si>
  <si>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</si>
  <si>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</si>
  <si>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</si>
  <si>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</si>
  <si>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</si>
  <si>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</si>
  <si>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</si>
  <si>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</si>
  <si>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</si>
  <si>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</si>
  <si>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</si>
  <si>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</si>
  <si>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</si>
  <si>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</si>
  <si>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</si>
  <si>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</si>
  <si>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</si>
  <si>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</si>
  <si>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</si>
  <si>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</si>
  <si>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</si>
  <si>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</si>
  <si>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</si>
  <si>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</si>
  <si>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</si>
  <si>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</si>
  <si>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</si>
  <si>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</si>
  <si>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</si>
  <si>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</si>
  <si>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</si>
  <si>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</si>
  <si>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</si>
  <si>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</si>
  <si>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</si>
  <si>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</si>
  <si>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</si>
  <si>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</si>
  <si>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</si>
  <si>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</si>
  <si>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</si>
  <si>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</si>
  <si>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</si>
  <si>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</si>
  <si>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</si>
  <si>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</si>
  <si>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</si>
  <si>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</si>
  <si>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</si>
  <si>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</si>
  <si>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</si>
  <si>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</si>
  <si>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</si>
  <si>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</si>
  <si>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</si>
  <si>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</si>
  <si>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</si>
  <si>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</si>
  <si>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</si>
  <si>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</si>
  <si>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</si>
  <si>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</si>
  <si>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</si>
  <si>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</si>
  <si>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</si>
  <si>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</si>
  <si>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</si>
  <si>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</si>
  <si>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</si>
  <si>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</si>
  <si>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</si>
  <si>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</si>
  <si>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</si>
  <si>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</si>
  <si>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</si>
  <si>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</si>
  <si>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</si>
  <si>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</si>
  <si>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</si>
  <si>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</si>
  <si>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</si>
  <si>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</si>
  <si>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</si>
  <si>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</si>
  <si>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</si>
  <si>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</si>
  <si>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</si>
  <si>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</si>
  <si>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</si>
  <si>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</si>
  <si>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</si>
  <si>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</si>
  <si>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</si>
  <si>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</si>
  <si>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</si>
  <si>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</si>
  <si>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</si>
  <si>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</si>
  <si>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</si>
  <si>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</si>
  <si>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</si>
  <si>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</si>
  <si>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</si>
  <si>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</si>
  <si>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</si>
  <si>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</si>
  <si>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</si>
  <si>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</si>
  <si>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</si>
  <si>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</si>
  <si>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</si>
  <si>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</si>
  <si>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</si>
  <si>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</si>
  <si>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</si>
  <si>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</si>
  <si>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</si>
  <si>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</si>
  <si>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</si>
  <si>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</si>
  <si>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</si>
  <si>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</si>
  <si>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</si>
  <si>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</si>
  <si>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</si>
  <si>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</si>
  <si>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</si>
  <si>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</si>
  <si>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</si>
  <si>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</si>
  <si>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</si>
  <si>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</si>
  <si>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</si>
  <si>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</si>
  <si>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</si>
  <si>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</si>
  <si>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</si>
  <si>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</si>
  <si>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</si>
  <si>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</si>
  <si>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</si>
  <si>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</si>
  <si>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</si>
  <si>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</si>
  <si>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</si>
  <si>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</si>
  <si>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</si>
  <si>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</si>
  <si>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</si>
  <si>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</si>
  <si>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</si>
  <si>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</si>
  <si>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</si>
  <si>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</si>
  <si>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</si>
  <si>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</si>
  <si>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</si>
  <si>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</si>
  <si>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</si>
  <si>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</si>
  <si>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</si>
  <si>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</si>
  <si>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</si>
  <si>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</si>
  <si>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</si>
  <si>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</si>
  <si>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</si>
  <si>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</si>
  <si>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</si>
  <si>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</si>
  <si>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</si>
  <si>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</si>
  <si>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</si>
  <si>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</si>
  <si>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</si>
  <si>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</si>
  <si>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</si>
  <si>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</si>
  <si>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</si>
  <si>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</si>
  <si>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</si>
  <si>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</si>
  <si>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</si>
  <si>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</si>
  <si>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</si>
  <si>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</si>
  <si>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</si>
  <si>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</si>
  <si>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</si>
  <si>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</si>
  <si>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</si>
  <si>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</si>
  <si>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</si>
  <si>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</si>
  <si>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</si>
  <si>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</si>
  <si>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</si>
  <si>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</si>
  <si>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</si>
  <si>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</si>
  <si>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</si>
  <si>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</si>
  <si>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</si>
  <si>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</si>
  <si>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</si>
  <si>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</si>
  <si>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</si>
  <si>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</si>
  <si>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</si>
  <si>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</si>
  <si>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</si>
  <si>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</si>
  <si>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</si>
  <si>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</si>
  <si>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</si>
  <si>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</si>
  <si>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</si>
  <si>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</si>
  <si>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</si>
  <si>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</si>
  <si>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</si>
  <si>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</si>
  <si>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</si>
  <si>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</si>
  <si>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</si>
  <si>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</si>
  <si>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</si>
  <si>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</si>
  <si>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</si>
  <si>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</si>
  <si>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</si>
  <si>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</si>
  <si>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</si>
  <si>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</si>
  <si>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</si>
  <si>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</si>
  <si>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</si>
  <si>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</si>
  <si>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</si>
  <si>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</si>
  <si>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</si>
  <si>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</si>
  <si>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</si>
  <si>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</si>
  <si>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</si>
  <si>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</si>
  <si>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</si>
  <si>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</si>
  <si>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</si>
  <si>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</si>
  <si>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</si>
  <si>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</si>
  <si>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</si>
  <si>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</si>
  <si>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</si>
  <si>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</si>
  <si>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</si>
  <si>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</si>
  <si>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</si>
  <si>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</si>
  <si>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</si>
  <si>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</si>
  <si>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</si>
  <si>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</si>
  <si>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</si>
  <si>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</si>
  <si>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</si>
  <si>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</si>
  <si>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</si>
  <si>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</si>
  <si>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</si>
  <si>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</si>
  <si>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</si>
  <si>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</si>
  <si>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</si>
  <si>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</si>
  <si>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</si>
  <si>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</si>
  <si>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</si>
  <si>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</si>
  <si>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</si>
  <si>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</si>
  <si>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</si>
  <si>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</si>
  <si>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</si>
  <si>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</si>
  <si>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</si>
  <si>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</si>
  <si>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</si>
  <si>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</si>
  <si>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</si>
  <si>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</si>
  <si>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</si>
  <si>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</si>
  <si>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</si>
  <si>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</si>
  <si>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</si>
  <si>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</si>
  <si>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</si>
  <si>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</si>
  <si>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</si>
  <si>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</si>
  <si>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</si>
  <si>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</si>
  <si>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</si>
  <si>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</si>
  <si>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</si>
  <si>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</si>
  <si>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</si>
  <si>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</si>
  <si>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</si>
  <si>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</si>
  <si>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</si>
  <si>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</si>
  <si>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</si>
  <si>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</si>
  <si>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</si>
  <si>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</si>
  <si>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</si>
  <si>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</si>
  <si>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</si>
  <si>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</si>
  <si>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</si>
  <si>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</si>
  <si>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</si>
  <si>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</si>
  <si>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</si>
  <si>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</si>
  <si>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</si>
  <si>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</si>
  <si>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</si>
  <si>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</si>
  <si>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</si>
  <si>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</si>
  <si>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</si>
  <si>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</si>
  <si>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</si>
  <si>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</si>
  <si>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</si>
  <si>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</si>
  <si>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</si>
  <si>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</si>
  <si>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</si>
  <si>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</si>
  <si>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</si>
  <si>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</si>
  <si>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</si>
  <si>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</si>
  <si>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</si>
  <si>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</si>
  <si>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</si>
  <si>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</si>
  <si>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</si>
  <si>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</si>
  <si>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</si>
  <si>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</si>
  <si>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</si>
  <si>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</si>
  <si>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</si>
  <si>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</si>
  <si>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</si>
  <si>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</si>
  <si>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</si>
  <si>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</si>
  <si>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</si>
  <si>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</si>
  <si>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</si>
  <si>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</si>
  <si>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</si>
  <si>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</si>
  <si>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</si>
  <si>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</si>
  <si>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</si>
  <si>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</si>
  <si>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</si>
  <si>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</si>
  <si>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美团</t>
  </si>
  <si>
    <t>3690.HK</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</si>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</sst>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14" zoomScaleNormal="100" workbookViewId="0">
      <selection activeCell="C24" sqref="C24"/>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45930</v>
      </c>
    </row>
    <row r="4" spans="1:9" ht="12.4">
      <c r="B4" s="426" t="s">
        <v>535</v>
      </c>
      <c r="C4" s="425" t="s">
        <v>552</v>
      </c>
      <c r="E4" s="435" t="s">
        <v>539</v>
      </c>
      <c r="F4" s="436" t="s">
        <v>324</v>
      </c>
    </row>
    <row r="5" spans="1:9">
      <c r="B5" s="1" t="s">
        <v>349</v>
      </c>
      <c r="C5" s="46" t="s">
        <v>553</v>
      </c>
      <c r="E5" s="438" t="s">
        <v>541</v>
      </c>
      <c r="F5" s="437" t="s">
        <v>549</v>
      </c>
    </row>
    <row r="6" spans="1:9">
      <c r="B6" s="2" t="s">
        <v>53</v>
      </c>
      <c r="C6" s="45" t="s">
        <v>554</v>
      </c>
      <c r="D6" s="45"/>
      <c r="E6" s="45"/>
    </row>
    <row r="7" spans="1:9">
      <c r="B7" s="1" t="s">
        <v>351</v>
      </c>
      <c r="C7" s="45" t="s">
        <v>308</v>
      </c>
      <c r="D7" s="45"/>
      <c r="E7" s="45"/>
    </row>
    <row r="8" spans="1:9">
      <c r="B8" s="4" t="s">
        <v>350</v>
      </c>
      <c r="C8" s="47">
        <v>96.25</v>
      </c>
      <c r="E8" s="32"/>
    </row>
    <row r="9" spans="1:9">
      <c r="B9" s="4" t="s">
        <v>346</v>
      </c>
      <c r="C9" s="48">
        <v>9264431217</v>
      </c>
    </row>
    <row r="10" spans="1:9">
      <c r="B10" s="4" t="s">
        <v>352</v>
      </c>
      <c r="C10" s="33">
        <f>Thesis!C8*Common_Shares/1000000</f>
        <v>891701.50463624997</v>
      </c>
      <c r="D10" s="1" t="s">
        <v>530</v>
      </c>
      <c r="E10" s="307">
        <f>Scenarios!F34</f>
        <v>0.16555330971756099</v>
      </c>
    </row>
    <row r="11" spans="1:9">
      <c r="D11" s="5"/>
      <c r="E11" s="5"/>
    </row>
    <row r="12" spans="1:9" ht="24.5" customHeight="1">
      <c r="B12" s="458" t="s">
        <v>355</v>
      </c>
      <c r="C12" s="458"/>
      <c r="D12" s="458"/>
      <c r="E12" s="458"/>
      <c r="F12" s="458"/>
    </row>
    <row r="14" spans="1:9">
      <c r="B14" s="42" t="str">
        <f>Scenarios!B39&amp;" Valuation Conclusion"</f>
        <v>2-stage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1.0948992599999998</v>
      </c>
    </row>
    <row r="17" spans="1:6">
      <c r="B17" s="1" t="s">
        <v>534</v>
      </c>
      <c r="C17" s="420">
        <v>0</v>
      </c>
      <c r="D17" s="4" t="s">
        <v>274</v>
      </c>
      <c r="E17" s="224" t="s">
        <v>555</v>
      </c>
    </row>
    <row r="18" spans="1:6">
      <c r="B18" s="1" t="str">
        <f>"Expected Equity Value ("&amp;C7&amp;") :"</f>
        <v>Expected Equity Value (HKD) :</v>
      </c>
      <c r="C18" s="255">
        <f>C125</f>
        <v>152.40428015443803</v>
      </c>
      <c r="D18" s="2" t="s">
        <v>347</v>
      </c>
      <c r="E18" s="423">
        <v>6</v>
      </c>
    </row>
    <row r="19" spans="1:6">
      <c r="B19" s="2" t="s">
        <v>275</v>
      </c>
      <c r="C19" s="31" t="str">
        <f>IF(Scenarios!C50="Y",Scenarios!B50,"")&amp;IF(Scenarios!C51="Y",Scenarios!B51,"")&amp;IF(Scenarios!C52="Y",Scenarios!B52,"")&amp;" "&amp;IF(Scenarios!C53="Y",Scenarios!B53,"")</f>
        <v xml:space="preserve">High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70.232387167943813</v>
      </c>
      <c r="D22" s="38" t="s">
        <v>408</v>
      </c>
      <c r="E22" s="79">
        <v>0.29465259038036606</v>
      </c>
    </row>
    <row r="23" spans="1:6">
      <c r="B23" s="1" t="s">
        <v>313</v>
      </c>
      <c r="C23" s="259">
        <f>E141</f>
        <v>88.031353157798179</v>
      </c>
      <c r="D23" s="38" t="s">
        <v>409</v>
      </c>
      <c r="E23" s="448">
        <v>0.20075184365903009</v>
      </c>
    </row>
    <row r="24" spans="1:6">
      <c r="B24" s="1" t="s">
        <v>315</v>
      </c>
      <c r="C24" s="259">
        <f>E144</f>
        <v>109.23735174063309</v>
      </c>
      <c r="D24" s="38" t="s">
        <v>410</v>
      </c>
      <c r="E24" s="448">
        <v>0.1174</v>
      </c>
    </row>
    <row r="25" spans="1:6">
      <c r="B25" s="1" t="s">
        <v>314</v>
      </c>
      <c r="C25" s="259">
        <f>E145</f>
        <v>123.53933562012026</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29781786.120000005</v>
      </c>
      <c r="D34" s="1" t="str">
        <f>Reporting_currency</f>
        <v>CNY</v>
      </c>
    </row>
    <row r="35" spans="2:6">
      <c r="B35" s="44"/>
      <c r="C35" s="73"/>
    </row>
    <row r="36" spans="2:6" ht="24.5" customHeight="1">
      <c r="B36" s="459" t="s">
        <v>198</v>
      </c>
      <c r="C36" s="459"/>
      <c r="D36" s="459"/>
      <c r="E36" s="459"/>
      <c r="F36" s="459"/>
    </row>
    <row r="37" spans="2:6">
      <c r="B37" s="44" t="s">
        <v>199</v>
      </c>
      <c r="C37" s="289">
        <f>Normalized_FCF!C15</f>
        <v>0</v>
      </c>
      <c r="D37" s="1" t="str">
        <f>Reporting_currency</f>
        <v>CNY</v>
      </c>
    </row>
    <row r="38" spans="2:6">
      <c r="B38" s="49" t="s">
        <v>200</v>
      </c>
      <c r="C38" s="289">
        <f>Normalized_FCF!C16</f>
        <v>0</v>
      </c>
      <c r="D38" s="1" t="str">
        <f>Reporting_currency</f>
        <v>CNY</v>
      </c>
    </row>
    <row r="40" spans="2:6">
      <c r="B40" s="459" t="s">
        <v>201</v>
      </c>
      <c r="C40" s="459"/>
      <c r="D40" s="459"/>
      <c r="E40" s="459"/>
      <c r="F40" s="459"/>
    </row>
    <row r="41" spans="2:6">
      <c r="B41" s="44" t="s">
        <v>202</v>
      </c>
      <c r="C41" s="289">
        <f>Normalized_FCF!C9</f>
        <v>0</v>
      </c>
      <c r="D41" s="1" t="str">
        <f>Reporting_currency</f>
        <v>CNY</v>
      </c>
    </row>
    <row r="43" spans="2:6">
      <c r="B43" s="459" t="s">
        <v>205</v>
      </c>
      <c r="C43" s="459"/>
      <c r="D43" s="459"/>
      <c r="E43" s="459"/>
      <c r="F43" s="459"/>
    </row>
    <row r="44" spans="2:6">
      <c r="B44" s="44" t="s">
        <v>267</v>
      </c>
      <c r="C44" s="290">
        <f>Normalized_FCF!C46</f>
        <v>307809.78988</v>
      </c>
      <c r="D44" s="1" t="str">
        <f>Reporting_currency</f>
        <v>CNY</v>
      </c>
      <c r="E44" s="247"/>
      <c r="F44" s="247"/>
    </row>
    <row r="45" spans="2:6">
      <c r="B45" s="44" t="s">
        <v>268</v>
      </c>
      <c r="C45" s="290">
        <f>Normalized_FCF!C45</f>
        <v>-3058644.12</v>
      </c>
      <c r="D45" s="1" t="str">
        <f>Reporting_currency</f>
        <v>CNY</v>
      </c>
      <c r="E45" s="247"/>
      <c r="F45" s="247"/>
    </row>
    <row r="46" spans="2:6">
      <c r="B46" s="44" t="s">
        <v>203</v>
      </c>
      <c r="C46" s="289">
        <f>Normalized_FCF!C10</f>
        <v>-2750834.3301200001</v>
      </c>
      <c r="D46" s="1" t="str">
        <f>Reporting_currency</f>
        <v>CNY</v>
      </c>
    </row>
    <row r="48" spans="2:6">
      <c r="B48" s="1" t="s">
        <v>211</v>
      </c>
    </row>
    <row r="49" spans="2:6">
      <c r="B49" s="44" t="s">
        <v>223</v>
      </c>
      <c r="C49" s="289">
        <f>Normalized_FCF!C13</f>
        <v>0</v>
      </c>
      <c r="D49" s="1" t="str">
        <f>Reporting_currency</f>
        <v>CNY</v>
      </c>
    </row>
    <row r="51" spans="2:6">
      <c r="B51" s="459" t="s">
        <v>206</v>
      </c>
      <c r="C51" s="459"/>
      <c r="D51" s="459"/>
      <c r="E51" s="459"/>
      <c r="F51" s="459"/>
    </row>
    <row r="52" spans="2:6">
      <c r="B52" s="44" t="s">
        <v>204</v>
      </c>
      <c r="C52" s="289">
        <f>Normalized_FCF!C12</f>
        <v>-6757737.9474700009</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31065485.654937759</v>
      </c>
      <c r="D60" s="1" t="str">
        <f>Reporting_currency</f>
        <v>CNY</v>
      </c>
    </row>
    <row r="61" spans="2:6">
      <c r="B61" s="44" t="s">
        <v>213</v>
      </c>
      <c r="C61" s="289">
        <f>Normalized_FCF!C19</f>
        <v>20273213.842410002</v>
      </c>
      <c r="D61" s="1" t="str">
        <f>Reporting_currency</f>
        <v>CNY</v>
      </c>
    </row>
    <row r="62" spans="2:6">
      <c r="B62" s="204" t="s">
        <v>302</v>
      </c>
      <c r="C62" s="89">
        <f>Normalized_FCF!C124</f>
        <v>2.4893001434298682E-2</v>
      </c>
      <c r="F62" s="260"/>
    </row>
    <row r="63" spans="2:6">
      <c r="B63" s="204" t="s">
        <v>332</v>
      </c>
      <c r="C63" s="89">
        <f>Normalized_FCF!C92</f>
        <v>0</v>
      </c>
      <c r="E63" s="44" t="s">
        <v>322</v>
      </c>
      <c r="F63" s="261">
        <f>Normalized_FCF!C90</f>
        <v>0</v>
      </c>
    </row>
    <row r="65" spans="1:6">
      <c r="B65" s="192" t="s">
        <v>325</v>
      </c>
      <c r="C65" s="267" t="s">
        <v>327</v>
      </c>
      <c r="D65" s="267" t="s">
        <v>328</v>
      </c>
    </row>
    <row r="66" spans="1:6">
      <c r="B66" s="44" t="s">
        <v>326</v>
      </c>
      <c r="C66" s="89">
        <f>Normalized_FCF!C119</f>
        <v>0.14667015235144401</v>
      </c>
      <c r="D66" s="89">
        <f>Normalized_FCF!G119</f>
        <v>0.18038076539599709</v>
      </c>
    </row>
    <row r="67" spans="1:6">
      <c r="B67" s="229" t="str">
        <f>Normalized_FCF!B116</f>
        <v>Pre-tax Profit/Sales</v>
      </c>
      <c r="C67" s="266">
        <f>Normalized_FCF!C116</f>
        <v>8.0069983114389093E-2</v>
      </c>
      <c r="D67" s="266">
        <f>Normalized_FCF!G116</f>
        <v>9.8473238132392726E-2</v>
      </c>
    </row>
    <row r="68" spans="1:6">
      <c r="B68" s="229" t="str">
        <f>Normalized_FCF!B117</f>
        <v>Sales/Total Assets</v>
      </c>
      <c r="C68" s="268">
        <f>Normalized_FCF!C117</f>
        <v>1.022390799101176</v>
      </c>
      <c r="D68" s="268">
        <f>Normalized_FCF!G117</f>
        <v>1.022390799101176</v>
      </c>
    </row>
    <row r="69" spans="1:6">
      <c r="B69" s="229" t="str">
        <f>Normalized_FCF!B118</f>
        <v>Total Assets/Equity</v>
      </c>
      <c r="C69" s="268">
        <f>Normalized_FCF!C118</f>
        <v>1.7916578376478161</v>
      </c>
      <c r="D69" s="268">
        <f>Normalized_FCF!G118</f>
        <v>1.7916578376478161</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-50977402</v>
      </c>
      <c r="D78" s="1" t="str">
        <f>Reporting_currency</f>
        <v>CNY</v>
      </c>
    </row>
    <row r="79" spans="1:6">
      <c r="A79" s="191"/>
      <c r="B79" s="44" t="s">
        <v>234</v>
      </c>
      <c r="C79" s="201">
        <f>C78*scaling_factor*Exchange_Rate/Common_Shares</f>
        <v>-6.0246677231628816</v>
      </c>
      <c r="D79" s="1" t="str">
        <f>Market_currency</f>
        <v>HKD</v>
      </c>
    </row>
    <row r="80" spans="1:6">
      <c r="A80" s="191"/>
      <c r="B80" s="229" t="s">
        <v>309</v>
      </c>
      <c r="C80" s="341">
        <f>IF(BS!G31/BS!G27&gt;300%,"nm",BS!G31/BS!G27)</f>
        <v>0.27660377540313014</v>
      </c>
    </row>
    <row r="81" spans="1:6">
      <c r="A81" s="191"/>
      <c r="B81" s="229" t="s">
        <v>311</v>
      </c>
      <c r="C81" s="342">
        <f>IF(BS!C50&gt;30,"nm",BS!C50)</f>
        <v>1.7116972700897226</v>
      </c>
    </row>
    <row r="82" spans="1:6">
      <c r="A82" s="191"/>
    </row>
    <row r="83" spans="1:6">
      <c r="A83" s="191"/>
      <c r="B83" s="1" t="s">
        <v>469</v>
      </c>
    </row>
    <row r="84" spans="1:6">
      <c r="A84" s="191"/>
      <c r="B84" s="1" t="s">
        <v>224</v>
      </c>
      <c r="C84" s="289">
        <f>DCF!F5</f>
        <v>68275373.353333324</v>
      </c>
      <c r="D84" s="1" t="str">
        <f>Reporting_currency</f>
        <v>CNY</v>
      </c>
    </row>
    <row r="85" spans="1:6">
      <c r="A85" s="191"/>
      <c r="B85" s="229" t="s">
        <v>222</v>
      </c>
      <c r="C85" s="295">
        <f>BS!C66</f>
        <v>119577005</v>
      </c>
      <c r="D85" s="343" t="str">
        <f>Reporting_currency</f>
        <v>CNY</v>
      </c>
    </row>
    <row r="86" spans="1:6">
      <c r="A86" s="191"/>
      <c r="B86" s="44" t="s">
        <v>235</v>
      </c>
      <c r="C86" s="201">
        <f>C84*scaling_factor*Exchange_Rate/Common_Shares</f>
        <v>8.0689957116434119</v>
      </c>
      <c r="D86" s="1" t="str">
        <f>Market_currency</f>
        <v>HKD</v>
      </c>
    </row>
    <row r="87" spans="1:6">
      <c r="A87" s="191"/>
    </row>
    <row r="88" spans="1:6">
      <c r="A88" s="191"/>
      <c r="B88" s="1" t="s">
        <v>216</v>
      </c>
    </row>
    <row r="89" spans="1:6">
      <c r="A89" s="191"/>
      <c r="B89" s="1" t="s">
        <v>217</v>
      </c>
      <c r="C89" s="289">
        <f>DCF!F6</f>
        <v>57918846.499999993</v>
      </c>
      <c r="D89" s="1" t="str">
        <f>Reporting_currency</f>
        <v>CNY</v>
      </c>
    </row>
    <row r="90" spans="1:6">
      <c r="A90" s="191"/>
      <c r="B90" s="44" t="s">
        <v>236</v>
      </c>
      <c r="C90" s="201">
        <f>C89*scaling_factor*Exchange_Rate/Common_Shares</f>
        <v>6.8450291968856192</v>
      </c>
      <c r="D90" s="1" t="str">
        <f>Market_currency</f>
        <v>HKD</v>
      </c>
    </row>
    <row r="91" spans="1:6">
      <c r="A91" s="191"/>
    </row>
    <row r="92" spans="1:6">
      <c r="A92" s="191"/>
      <c r="B92" s="44" t="s">
        <v>472</v>
      </c>
      <c r="C92" s="216">
        <f>DCF!F8</f>
        <v>8.889357185366153</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3.489517110130925</v>
      </c>
      <c r="D111" s="1" t="str">
        <f>Market_currency</f>
        <v>HKD</v>
      </c>
    </row>
    <row r="112" spans="2:6">
      <c r="B112" s="44" t="s">
        <v>323</v>
      </c>
      <c r="C112" s="216">
        <f>DCF!C11</f>
        <v>41.936962537797164</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548</v>
      </c>
    </row>
    <row r="118" spans="2:6">
      <c r="B118" s="205" t="str">
        <f>DCF!B90&amp;" ("&amp;DCF!D90&amp;"yrs)"</f>
        <v>Snowball Scenario (10yrs)</v>
      </c>
      <c r="C118" s="206">
        <f>DCF!C90</f>
        <v>0.3</v>
      </c>
      <c r="D118" s="207" t="str">
        <f>ROUND(DCF!E90,2)&amp;" "&amp;Market_currency</f>
        <v>298.8 HKD</v>
      </c>
      <c r="E118" s="208">
        <f>DCF!F90</f>
        <v>0.05</v>
      </c>
      <c r="F118" s="208">
        <f>RATE(Holding_Period,Scenarios!C$58,-DCF!E90,C$18)</f>
        <v>-0.20101303951618574</v>
      </c>
    </row>
    <row r="119" spans="2:6">
      <c r="B119" s="205" t="str">
        <f>DCF!B91&amp;" ("&amp;DCF!D91&amp;"yrs)"</f>
        <v>Optimistic (10yrs)</v>
      </c>
      <c r="C119" s="198">
        <f>DCF!C91</f>
        <v>0.25</v>
      </c>
      <c r="D119" s="207" t="str">
        <f>ROUND(DCF!E91,2)&amp;" "&amp;Market_currency</f>
        <v>223.54 HKD</v>
      </c>
      <c r="E119" s="199">
        <f>DCF!F91</f>
        <v>0.18</v>
      </c>
      <c r="F119" s="208">
        <f>RATE(Holding_Period,Scenarios!C$58,-DCF!E91,C$18)</f>
        <v>-0.1198702878013457</v>
      </c>
    </row>
    <row r="120" spans="2:6">
      <c r="B120" s="205" t="str">
        <f>DCF!B92&amp;" ("&amp;DCF!D92&amp;"yrs)"</f>
        <v>Base (10yrs)</v>
      </c>
      <c r="C120" s="198">
        <f>DCF!C92</f>
        <v>0.18</v>
      </c>
      <c r="D120" s="207" t="str">
        <f>ROUND(DCF!E92,2)&amp;" "&amp;Market_currency</f>
        <v>148.03 HKD</v>
      </c>
      <c r="E120" s="199">
        <f>DCF!F92</f>
        <v>0.53999999999999992</v>
      </c>
      <c r="F120" s="208">
        <f>RATE(Holding_Period,Scenarios!C$58,-DCF!E92,C$18)</f>
        <v>9.7443353057204939E-3</v>
      </c>
    </row>
    <row r="121" spans="2:6">
      <c r="B121" s="205" t="str">
        <f>DCF!B93&amp;" ("&amp;DCF!D93&amp;"yrs)"</f>
        <v>Pessimistic (10yrs)</v>
      </c>
      <c r="C121" s="198">
        <f>DCF!C93</f>
        <v>0.08</v>
      </c>
      <c r="D121" s="207" t="str">
        <f>ROUND(DCF!E93,2)&amp;" "&amp;Market_currency</f>
        <v>81.8 HKD</v>
      </c>
      <c r="E121" s="199">
        <f>DCF!F93</f>
        <v>0.18</v>
      </c>
      <c r="F121" s="208">
        <f>RATE(Holding_Period,Scenarios!C$58,-DCF!E93,C$18)</f>
        <v>0.23051009235607681</v>
      </c>
    </row>
    <row r="122" spans="2:6">
      <c r="B122" s="205" t="str">
        <f>DCF!B94&amp;" ("&amp;DCF!D94&amp;"yrs)"</f>
        <v>Devil's advocate (10yrs)</v>
      </c>
      <c r="C122" s="198">
        <f>DCF!C94</f>
        <v>0</v>
      </c>
      <c r="D122" s="207" t="str">
        <f>ROUND(DCF!E94,2)&amp;" "&amp;Market_currency</f>
        <v>51.3 HKD</v>
      </c>
      <c r="E122" s="199">
        <f>DCF!F94</f>
        <v>0.05</v>
      </c>
      <c r="F122" s="208">
        <f>RATE(Holding_Period,Scenarios!C$58,-DCF!E94,C$18)</f>
        <v>0.4376052293053474</v>
      </c>
    </row>
    <row r="124" spans="2:6">
      <c r="B124" s="459" t="s">
        <v>357</v>
      </c>
      <c r="C124" s="459"/>
      <c r="D124" s="459"/>
      <c r="E124" s="459"/>
      <c r="F124" s="459"/>
    </row>
    <row r="125" spans="2:6">
      <c r="B125" s="193" t="s">
        <v>218</v>
      </c>
      <c r="C125" s="197">
        <f>Scenarios!C36</f>
        <v>152.40428015443803</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v>
      </c>
      <c r="D140" s="337">
        <f>Scenarios!D62</f>
        <v>70.232387167943813</v>
      </c>
      <c r="E140" s="338">
        <f>Scenarios!E62</f>
        <v>70.232387167943813</v>
      </c>
      <c r="F140" s="339">
        <f>E22</f>
        <v>0.29465259038036606</v>
      </c>
    </row>
    <row r="141" spans="1:6">
      <c r="B141" s="340" t="s">
        <v>313</v>
      </c>
      <c r="C141" s="337">
        <f>Scenarios!C63</f>
        <v>0</v>
      </c>
      <c r="D141" s="337">
        <f>Scenarios!D63</f>
        <v>88.031353157798179</v>
      </c>
      <c r="E141" s="338">
        <f>Scenarios!E63</f>
        <v>88.031353157798179</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v>
      </c>
      <c r="D144" s="337">
        <f>Scenarios!D66</f>
        <v>109.23735174063309</v>
      </c>
      <c r="E144" s="338">
        <f>Scenarios!E66</f>
        <v>109.23735174063309</v>
      </c>
      <c r="F144" s="339">
        <f>E24</f>
        <v>0.1174</v>
      </c>
    </row>
    <row r="145" spans="1:6">
      <c r="B145" s="340" t="s">
        <v>314</v>
      </c>
      <c r="C145" s="337">
        <f>Scenarios!C67</f>
        <v>0</v>
      </c>
      <c r="D145" s="337">
        <f>Scenarios!D67</f>
        <v>123.53933562012026</v>
      </c>
      <c r="E145" s="338">
        <f>Scenarios!E67</f>
        <v>123.53933562012026</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8" activePane="bottomRight" state="frozen"/>
      <selection pane="topRight" activeCell="C1" sqref="C1"/>
      <selection pane="bottomLeft" activeCell="A2" sqref="A2"/>
      <selection pane="bottomRight" activeCell="E69" sqref="E6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337591576</v>
      </c>
      <c r="D4" s="291">
        <v>276744954</v>
      </c>
      <c r="E4" s="291">
        <v>219954948</v>
      </c>
      <c r="F4" s="291">
        <v>179127997</v>
      </c>
      <c r="G4" s="291">
        <v>114794510</v>
      </c>
      <c r="H4" s="291">
        <v>97528531</v>
      </c>
      <c r="I4" s="291">
        <v>65227278</v>
      </c>
      <c r="J4" s="291">
        <v>33927987</v>
      </c>
      <c r="K4" s="291">
        <v>12988077</v>
      </c>
      <c r="L4" s="291">
        <v>4018959</v>
      </c>
      <c r="M4" s="291"/>
    </row>
    <row r="5" spans="2:13">
      <c r="B5" s="38" t="s">
        <v>40</v>
      </c>
      <c r="C5" s="291">
        <v>207806982</v>
      </c>
      <c r="D5" s="291">
        <v>179553793</v>
      </c>
      <c r="E5" s="291">
        <v>158201969</v>
      </c>
      <c r="F5" s="291">
        <v>136653869</v>
      </c>
      <c r="G5" s="291">
        <v>80744368</v>
      </c>
      <c r="H5" s="291">
        <v>65208143</v>
      </c>
      <c r="I5" s="291">
        <v>50122320</v>
      </c>
      <c r="J5" s="291">
        <v>21708483</v>
      </c>
      <c r="K5" s="291">
        <v>7046841</v>
      </c>
      <c r="L5" s="291">
        <v>1239504</v>
      </c>
      <c r="M5" s="291"/>
    </row>
    <row r="6" spans="2:13">
      <c r="B6" s="38" t="s">
        <v>51</v>
      </c>
      <c r="C6" s="291">
        <v>74704438</v>
      </c>
      <c r="D6" s="291">
        <v>67989064</v>
      </c>
      <c r="E6" s="291">
        <v>49516922</v>
      </c>
      <c r="F6" s="291">
        <v>49295792</v>
      </c>
      <c r="G6" s="291">
        <v>26476580</v>
      </c>
      <c r="H6" s="291">
        <v>23158021</v>
      </c>
      <c r="I6" s="291">
        <v>21703593</v>
      </c>
      <c r="J6" s="291">
        <v>13080096</v>
      </c>
      <c r="K6" s="291">
        <v>10059737</v>
      </c>
      <c r="L6" s="291">
        <v>10046382</v>
      </c>
      <c r="M6" s="291"/>
    </row>
    <row r="7" spans="2:13">
      <c r="B7" s="66" t="s">
        <v>58</v>
      </c>
      <c r="C7" s="292">
        <v>63975235</v>
      </c>
      <c r="D7" s="292">
        <v>58616997</v>
      </c>
      <c r="E7" s="292">
        <v>39745112</v>
      </c>
      <c r="F7" s="292">
        <v>40683166</v>
      </c>
      <c r="G7" s="292">
        <v>20882685</v>
      </c>
      <c r="H7" s="292">
        <v>18819067</v>
      </c>
      <c r="I7" s="292">
        <v>15871901</v>
      </c>
      <c r="J7" s="292">
        <v>10908688</v>
      </c>
      <c r="K7" s="292">
        <v>8337132</v>
      </c>
      <c r="L7" s="292">
        <v>7140962</v>
      </c>
      <c r="M7" s="292"/>
    </row>
    <row r="8" spans="2:13">
      <c r="B8" s="38" t="s">
        <v>46</v>
      </c>
      <c r="C8" s="291">
        <v>21053601</v>
      </c>
      <c r="D8" s="291">
        <v>21201005</v>
      </c>
      <c r="E8" s="291">
        <v>20739865</v>
      </c>
      <c r="F8" s="291">
        <v>16675595</v>
      </c>
      <c r="G8" s="291">
        <v>10892514</v>
      </c>
      <c r="H8" s="291">
        <v>8445664</v>
      </c>
      <c r="I8" s="291">
        <v>7071900</v>
      </c>
      <c r="J8" s="291">
        <v>3646634</v>
      </c>
      <c r="K8" s="291">
        <v>2366674</v>
      </c>
      <c r="L8" s="291">
        <v>1204033</v>
      </c>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1337038</v>
      </c>
      <c r="D12" s="291">
        <v>1425157</v>
      </c>
      <c r="E12" s="291">
        <v>1628825</v>
      </c>
      <c r="F12" s="291">
        <v>1130935</v>
      </c>
      <c r="G12" s="291">
        <v>0</v>
      </c>
      <c r="H12" s="291">
        <v>0</v>
      </c>
      <c r="I12" s="291">
        <v>0</v>
      </c>
      <c r="J12" s="291">
        <v>19214</v>
      </c>
      <c r="K12" s="291">
        <v>55981</v>
      </c>
      <c r="L12" s="291">
        <v>56561</v>
      </c>
      <c r="M12" s="291"/>
    </row>
    <row r="13" spans="2:13">
      <c r="B13" s="38" t="s">
        <v>64</v>
      </c>
      <c r="C13" s="291">
        <v>1291807</v>
      </c>
      <c r="D13" s="291">
        <v>818986</v>
      </c>
      <c r="E13" s="291">
        <v>657908</v>
      </c>
      <c r="F13" s="291">
        <v>546037</v>
      </c>
      <c r="G13" s="291">
        <v>0</v>
      </c>
      <c r="H13" s="291">
        <v>0</v>
      </c>
      <c r="I13" s="291">
        <v>294047</v>
      </c>
      <c r="J13" s="291">
        <v>60885</v>
      </c>
      <c r="K13" s="291">
        <v>21681</v>
      </c>
      <c r="L13" s="291">
        <v>13541</v>
      </c>
      <c r="M13" s="291"/>
    </row>
    <row r="14" spans="2:13">
      <c r="B14" s="38" t="s">
        <v>47</v>
      </c>
      <c r="C14" s="291">
        <v>2177107</v>
      </c>
      <c r="D14" s="291">
        <v>164537</v>
      </c>
      <c r="E14" s="291">
        <v>-70194</v>
      </c>
      <c r="F14" s="291">
        <v>-30279</v>
      </c>
      <c r="G14" s="291">
        <v>-269737</v>
      </c>
      <c r="H14" s="291">
        <v>526223</v>
      </c>
      <c r="I14" s="291">
        <v>1888</v>
      </c>
      <c r="J14" s="291">
        <v>54218</v>
      </c>
      <c r="K14" s="291">
        <v>267903</v>
      </c>
      <c r="L14" s="291">
        <v>-11648</v>
      </c>
      <c r="M14" s="291"/>
    </row>
    <row r="15" spans="2:13">
      <c r="B15" s="41" t="s">
        <v>39</v>
      </c>
      <c r="C15" s="293">
        <v>35807179</v>
      </c>
      <c r="D15" s="293"/>
      <c r="E15" s="293"/>
      <c r="F15" s="293"/>
      <c r="G15" s="293"/>
      <c r="H15" s="293"/>
      <c r="I15" s="293"/>
      <c r="J15" s="293"/>
      <c r="K15" s="293"/>
      <c r="L15" s="293"/>
      <c r="M15" s="293"/>
    </row>
    <row r="16" spans="2:13">
      <c r="B16" s="27" t="s">
        <v>41</v>
      </c>
      <c r="C16" s="291">
        <v>1143</v>
      </c>
      <c r="D16" s="291"/>
      <c r="E16" s="291"/>
      <c r="F16" s="291"/>
      <c r="G16" s="291"/>
      <c r="H16" s="291"/>
      <c r="I16" s="291"/>
      <c r="J16" s="291"/>
      <c r="K16" s="291"/>
      <c r="L16" s="291"/>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-237258</v>
      </c>
      <c r="D22" s="291"/>
      <c r="E22" s="291"/>
      <c r="F22" s="291"/>
      <c r="G22" s="291"/>
      <c r="H22" s="291"/>
      <c r="I22" s="291"/>
      <c r="J22" s="291"/>
      <c r="K22" s="291"/>
      <c r="L22" s="291"/>
      <c r="M22" s="291"/>
    </row>
    <row r="23" spans="2:13">
      <c r="B23" s="26" t="s">
        <v>288</v>
      </c>
      <c r="C23" s="291">
        <v>23438</v>
      </c>
      <c r="D23" s="291"/>
      <c r="E23" s="291"/>
      <c r="F23" s="291"/>
      <c r="G23" s="291"/>
      <c r="H23" s="291"/>
      <c r="I23" s="291"/>
      <c r="J23" s="291"/>
      <c r="K23" s="291"/>
      <c r="L23" s="291"/>
      <c r="M23" s="291"/>
    </row>
    <row r="24" spans="2:13">
      <c r="B24" s="26" t="s">
        <v>287</v>
      </c>
      <c r="C24" s="291">
        <v>194894</v>
      </c>
      <c r="D24" s="291"/>
      <c r="E24" s="291"/>
      <c r="F24" s="291"/>
      <c r="G24" s="291"/>
      <c r="H24" s="291"/>
      <c r="I24" s="291"/>
      <c r="J24" s="291"/>
      <c r="K24" s="291"/>
      <c r="L24" s="291"/>
      <c r="M24" s="291"/>
    </row>
    <row r="25" spans="2:13">
      <c r="B25" s="23" t="str">
        <f>"Dividend per share ("&amp;Market_currency&amp;")"</f>
        <v>Dividend per share (HKD)</v>
      </c>
      <c r="C25" s="37">
        <v>0</v>
      </c>
      <c r="D25" s="37"/>
      <c r="E25" s="37"/>
      <c r="F25" s="37"/>
      <c r="G25" s="37"/>
      <c r="H25" s="37"/>
      <c r="I25" s="37"/>
      <c r="J25" s="37"/>
      <c r="K25" s="37"/>
      <c r="L25" s="37"/>
      <c r="M25" s="37"/>
    </row>
    <row r="27" spans="2:13">
      <c r="B27" s="16" t="s">
        <v>26</v>
      </c>
      <c r="C27" s="94" t="s">
        <v>550</v>
      </c>
    </row>
    <row r="28" spans="2:13">
      <c r="B28" s="25" t="s">
        <v>22</v>
      </c>
      <c r="C28" s="274">
        <f>BS!C4</f>
        <v>3141262</v>
      </c>
      <c r="D28" s="291"/>
      <c r="E28" s="291"/>
      <c r="F28" s="291"/>
      <c r="G28" s="291"/>
      <c r="H28" s="291"/>
      <c r="I28" s="291"/>
      <c r="J28" s="291"/>
      <c r="K28" s="291"/>
      <c r="L28" s="291"/>
      <c r="M28" s="291"/>
    </row>
    <row r="29" spans="2:13">
      <c r="B29" s="25" t="s">
        <v>30</v>
      </c>
      <c r="C29" s="274">
        <f>BS!C6</f>
        <v>2483059</v>
      </c>
      <c r="D29" s="291">
        <v>1734.124</v>
      </c>
      <c r="E29" s="291">
        <v>1304.595</v>
      </c>
      <c r="F29" s="291">
        <v>1162.7650000000001</v>
      </c>
      <c r="G29" s="291">
        <v>681.69299999999998</v>
      </c>
      <c r="H29" s="291"/>
      <c r="I29" s="291"/>
      <c r="J29" s="291"/>
      <c r="K29" s="291"/>
      <c r="L29" s="291"/>
      <c r="M29" s="291"/>
    </row>
    <row r="30" spans="2:13">
      <c r="B30" s="28" t="s">
        <v>38</v>
      </c>
      <c r="C30" s="275">
        <f>BS!C33+BS!C42</f>
        <v>145900611</v>
      </c>
      <c r="D30" s="293"/>
      <c r="E30" s="293"/>
      <c r="F30" s="293"/>
      <c r="G30" s="293"/>
      <c r="H30" s="293"/>
      <c r="I30" s="293"/>
      <c r="J30" s="293"/>
      <c r="K30" s="293"/>
      <c r="L30" s="293"/>
      <c r="M30" s="293"/>
    </row>
    <row r="31" spans="2:13">
      <c r="B31" s="28" t="s">
        <v>28</v>
      </c>
      <c r="C31" s="275">
        <f>BS!G27</f>
        <v>184297564</v>
      </c>
      <c r="D31" s="293"/>
      <c r="E31" s="293"/>
      <c r="F31" s="293"/>
      <c r="G31" s="293"/>
      <c r="H31" s="293"/>
      <c r="I31" s="293"/>
      <c r="J31" s="293"/>
      <c r="K31" s="293"/>
      <c r="L31" s="293"/>
      <c r="M31" s="293"/>
    </row>
    <row r="32" spans="2:13">
      <c r="B32" s="25" t="s">
        <v>143</v>
      </c>
      <c r="C32" s="274">
        <f>BS!G28</f>
        <v>-58350</v>
      </c>
      <c r="D32" s="291">
        <v>-58.881999999999998</v>
      </c>
      <c r="E32" s="291">
        <v>-56.84</v>
      </c>
      <c r="F32" s="291">
        <v>-55.893000000000001</v>
      </c>
      <c r="G32" s="291">
        <v>-56.68</v>
      </c>
      <c r="H32" s="291"/>
      <c r="I32" s="291"/>
      <c r="J32" s="291"/>
      <c r="K32" s="291"/>
      <c r="L32" s="291"/>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337591576</v>
      </c>
      <c r="D36" s="274">
        <f t="shared" si="1"/>
        <v>276744954</v>
      </c>
      <c r="E36" s="274">
        <f t="shared" si="1"/>
        <v>219954948</v>
      </c>
      <c r="F36" s="274">
        <f t="shared" si="1"/>
        <v>179127997</v>
      </c>
      <c r="G36" s="274">
        <f t="shared" si="1"/>
        <v>114794510</v>
      </c>
      <c r="H36" s="274">
        <f t="shared" si="1"/>
        <v>97528531</v>
      </c>
      <c r="I36" s="274">
        <f t="shared" si="1"/>
        <v>65227278</v>
      </c>
      <c r="J36" s="274">
        <f t="shared" si="1"/>
        <v>33927987</v>
      </c>
      <c r="K36" s="274">
        <f t="shared" si="1"/>
        <v>12988077</v>
      </c>
      <c r="L36" s="274">
        <f t="shared" si="1"/>
        <v>4018959</v>
      </c>
      <c r="M36" s="274" t="str">
        <f t="shared" si="1"/>
        <v/>
      </c>
    </row>
    <row r="37" spans="2:13">
      <c r="B37" s="38" t="s">
        <v>40</v>
      </c>
      <c r="C37" s="274">
        <f t="shared" ref="C37:M37" si="2">IF(C$4="","",-C5)</f>
        <v>-207806982</v>
      </c>
      <c r="D37" s="274">
        <f t="shared" si="2"/>
        <v>-179553793</v>
      </c>
      <c r="E37" s="274">
        <f t="shared" si="2"/>
        <v>-158201969</v>
      </c>
      <c r="F37" s="274">
        <f t="shared" si="2"/>
        <v>-136653869</v>
      </c>
      <c r="G37" s="274">
        <f t="shared" si="2"/>
        <v>-80744368</v>
      </c>
      <c r="H37" s="274">
        <f t="shared" si="2"/>
        <v>-65208143</v>
      </c>
      <c r="I37" s="274">
        <f t="shared" si="2"/>
        <v>-50122320</v>
      </c>
      <c r="J37" s="274">
        <f t="shared" si="2"/>
        <v>-21708483</v>
      </c>
      <c r="K37" s="274">
        <f t="shared" si="2"/>
        <v>-7046841</v>
      </c>
      <c r="L37" s="274">
        <f t="shared" si="2"/>
        <v>-1239504</v>
      </c>
      <c r="M37" s="274" t="str">
        <f t="shared" si="2"/>
        <v/>
      </c>
    </row>
    <row r="38" spans="2:13">
      <c r="B38" s="30" t="s">
        <v>55</v>
      </c>
      <c r="C38" s="271">
        <f>IF(C36="","",C36+C37)</f>
        <v>129784594</v>
      </c>
      <c r="D38" s="271">
        <f t="shared" ref="D38" si="3">IF(D36="","",D36+D37)</f>
        <v>97191161</v>
      </c>
      <c r="E38" s="271">
        <f t="shared" ref="E38" si="4">IF(E36="","",E36+E37)</f>
        <v>61752979</v>
      </c>
      <c r="F38" s="271">
        <f t="shared" ref="F38" si="5">IF(F36="","",F36+F37)</f>
        <v>42474128</v>
      </c>
      <c r="G38" s="271">
        <f t="shared" ref="G38" si="6">IF(G36="","",G36+G37)</f>
        <v>34050142</v>
      </c>
      <c r="H38" s="271">
        <f t="shared" ref="H38" si="7">IF(H36="","",H36+H37)</f>
        <v>32320388</v>
      </c>
      <c r="I38" s="271">
        <f t="shared" ref="I38" si="8">IF(I36="","",I36+I37)</f>
        <v>15104958</v>
      </c>
      <c r="J38" s="271">
        <f t="shared" ref="J38" si="9">IF(J36="","",J36+J37)</f>
        <v>12219504</v>
      </c>
      <c r="K38" s="271">
        <f t="shared" ref="K38" si="10">IF(K36="","",K36+K37)</f>
        <v>5941236</v>
      </c>
      <c r="L38" s="271">
        <f t="shared" ref="L38" si="11">IF(L36="","",L36+L37)</f>
        <v>2779455</v>
      </c>
      <c r="M38" s="271" t="str">
        <f t="shared" ref="M38" si="12">IF(M36="","",M36+M37)</f>
        <v/>
      </c>
    </row>
    <row r="39" spans="2:13">
      <c r="B39" s="38" t="s">
        <v>51</v>
      </c>
      <c r="C39" s="274">
        <f t="shared" ref="C39:M39" si="13">IF(C$4="","",-C6)</f>
        <v>-74704438</v>
      </c>
      <c r="D39" s="274">
        <f t="shared" si="13"/>
        <v>-67989064</v>
      </c>
      <c r="E39" s="274">
        <f t="shared" si="13"/>
        <v>-49516922</v>
      </c>
      <c r="F39" s="274">
        <f t="shared" si="13"/>
        <v>-49295792</v>
      </c>
      <c r="G39" s="274">
        <f t="shared" si="13"/>
        <v>-26476580</v>
      </c>
      <c r="H39" s="274">
        <f t="shared" si="13"/>
        <v>-23158021</v>
      </c>
      <c r="I39" s="274">
        <f t="shared" si="13"/>
        <v>-21703593</v>
      </c>
      <c r="J39" s="274">
        <f t="shared" si="13"/>
        <v>-13080096</v>
      </c>
      <c r="K39" s="274">
        <f t="shared" si="13"/>
        <v>-10059737</v>
      </c>
      <c r="L39" s="274">
        <f t="shared" si="13"/>
        <v>-10046382</v>
      </c>
      <c r="M39" s="274" t="str">
        <f t="shared" si="13"/>
        <v/>
      </c>
    </row>
    <row r="40" spans="2:13">
      <c r="B40" s="66" t="s">
        <v>58</v>
      </c>
      <c r="C40" s="286">
        <f t="shared" ref="C40:M40" si="14">IF(C$4="","",-C7)</f>
        <v>-63975235</v>
      </c>
      <c r="D40" s="286">
        <f t="shared" si="14"/>
        <v>-58616997</v>
      </c>
      <c r="E40" s="286">
        <f t="shared" si="14"/>
        <v>-39745112</v>
      </c>
      <c r="F40" s="286">
        <f t="shared" si="14"/>
        <v>-40683166</v>
      </c>
      <c r="G40" s="286">
        <f t="shared" si="14"/>
        <v>-20882685</v>
      </c>
      <c r="H40" s="286">
        <f t="shared" si="14"/>
        <v>-18819067</v>
      </c>
      <c r="I40" s="286">
        <f t="shared" si="14"/>
        <v>-15871901</v>
      </c>
      <c r="J40" s="286">
        <f t="shared" si="14"/>
        <v>-10908688</v>
      </c>
      <c r="K40" s="286">
        <f t="shared" si="14"/>
        <v>-8337132</v>
      </c>
      <c r="L40" s="286">
        <f t="shared" si="14"/>
        <v>-7140962</v>
      </c>
      <c r="M40" s="286" t="str">
        <f t="shared" si="14"/>
        <v/>
      </c>
    </row>
    <row r="41" spans="2:13">
      <c r="B41" s="66" t="s">
        <v>61</v>
      </c>
      <c r="C41" s="286">
        <f>IF(C$4="","",C39-C40)</f>
        <v>-10729203</v>
      </c>
      <c r="D41" s="286">
        <f t="shared" ref="D41:M41" si="15">IF(D$4="","",D39-D40)</f>
        <v>-9372067</v>
      </c>
      <c r="E41" s="286">
        <f t="shared" si="15"/>
        <v>-9771810</v>
      </c>
      <c r="F41" s="286">
        <f t="shared" si="15"/>
        <v>-8612626</v>
      </c>
      <c r="G41" s="286">
        <f t="shared" si="15"/>
        <v>-5593895</v>
      </c>
      <c r="H41" s="286">
        <f t="shared" si="15"/>
        <v>-4338954</v>
      </c>
      <c r="I41" s="286">
        <f t="shared" si="15"/>
        <v>-5831692</v>
      </c>
      <c r="J41" s="286">
        <f t="shared" si="15"/>
        <v>-2171408</v>
      </c>
      <c r="K41" s="286">
        <f t="shared" si="15"/>
        <v>-1722605</v>
      </c>
      <c r="L41" s="286">
        <f t="shared" si="15"/>
        <v>-2905420</v>
      </c>
      <c r="M41" s="286" t="str">
        <f t="shared" si="15"/>
        <v/>
      </c>
    </row>
    <row r="42" spans="2:13">
      <c r="B42" s="38" t="s">
        <v>46</v>
      </c>
      <c r="C42" s="274">
        <f t="shared" ref="C42:M42" si="16">IF(C$4="","",-C8)</f>
        <v>-21053601</v>
      </c>
      <c r="D42" s="274">
        <f t="shared" si="16"/>
        <v>-21201005</v>
      </c>
      <c r="E42" s="274">
        <f t="shared" si="16"/>
        <v>-20739865</v>
      </c>
      <c r="F42" s="274">
        <f t="shared" si="16"/>
        <v>-16675595</v>
      </c>
      <c r="G42" s="274">
        <f t="shared" si="16"/>
        <v>-10892514</v>
      </c>
      <c r="H42" s="274">
        <f t="shared" si="16"/>
        <v>-8445664</v>
      </c>
      <c r="I42" s="274">
        <f t="shared" si="16"/>
        <v>-7071900</v>
      </c>
      <c r="J42" s="274">
        <f t="shared" si="16"/>
        <v>-3646634</v>
      </c>
      <c r="K42" s="274">
        <f t="shared" si="16"/>
        <v>-2366674</v>
      </c>
      <c r="L42" s="274">
        <f t="shared" si="16"/>
        <v>-1204033</v>
      </c>
      <c r="M42" s="274" t="str">
        <f t="shared" si="16"/>
        <v/>
      </c>
    </row>
    <row r="43" spans="2:13">
      <c r="B43" s="41" t="s">
        <v>127</v>
      </c>
      <c r="C43" s="275">
        <f>IF(C$4="","",C38+C39+C42)</f>
        <v>34026555</v>
      </c>
      <c r="D43" s="275">
        <f t="shared" ref="D43:M43" si="17">IF(D$4="","",D38+D39+D42)</f>
        <v>8001092</v>
      </c>
      <c r="E43" s="275">
        <f t="shared" si="17"/>
        <v>-8503808</v>
      </c>
      <c r="F43" s="275">
        <f t="shared" si="17"/>
        <v>-23497259</v>
      </c>
      <c r="G43" s="275">
        <f t="shared" si="17"/>
        <v>-3318952</v>
      </c>
      <c r="H43" s="275">
        <f t="shared" si="17"/>
        <v>716703</v>
      </c>
      <c r="I43" s="275">
        <f t="shared" si="17"/>
        <v>-13670535</v>
      </c>
      <c r="J43" s="275">
        <f t="shared" si="17"/>
        <v>-4507226</v>
      </c>
      <c r="K43" s="275">
        <f t="shared" si="17"/>
        <v>-6485175</v>
      </c>
      <c r="L43" s="275">
        <f t="shared" si="17"/>
        <v>-8470960</v>
      </c>
      <c r="M43" s="275" t="str">
        <f t="shared" si="17"/>
        <v/>
      </c>
    </row>
    <row r="44" spans="2:13">
      <c r="B44" s="41" t="s">
        <v>139</v>
      </c>
      <c r="C44" s="294">
        <f t="shared" ref="C44:M44" si="18">IF(C$4="","",C47-C46-C45-C43)</f>
        <v>4002962</v>
      </c>
      <c r="D44" s="294">
        <f t="shared" si="18"/>
        <v>-7230384</v>
      </c>
      <c r="E44" s="294">
        <f t="shared" si="18"/>
        <v>9404531</v>
      </c>
      <c r="F44" s="294">
        <f t="shared" si="18"/>
        <v>24051878</v>
      </c>
      <c r="G44" s="294">
        <f t="shared" si="18"/>
        <v>3049215</v>
      </c>
      <c r="H44" s="294">
        <f t="shared" si="18"/>
        <v>-190480</v>
      </c>
      <c r="I44" s="294">
        <f t="shared" si="18"/>
        <v>13378376</v>
      </c>
      <c r="J44" s="294">
        <f t="shared" si="18"/>
        <v>4519773</v>
      </c>
      <c r="K44" s="294">
        <f t="shared" si="18"/>
        <v>6787378</v>
      </c>
      <c r="L44" s="294">
        <f t="shared" si="18"/>
        <v>8502332</v>
      </c>
      <c r="M44" s="294" t="str">
        <f t="shared" si="18"/>
        <v/>
      </c>
    </row>
    <row r="45" spans="2:13">
      <c r="B45" s="38" t="s">
        <v>65</v>
      </c>
      <c r="C45" s="289">
        <f t="shared" ref="C45:M45" si="19">IF(C$4="","",C51+C52)</f>
        <v>-45231</v>
      </c>
      <c r="D45" s="289">
        <f t="shared" si="19"/>
        <v>-606171</v>
      </c>
      <c r="E45" s="289">
        <f t="shared" si="19"/>
        <v>-970917</v>
      </c>
      <c r="F45" s="289">
        <f t="shared" si="19"/>
        <v>-584898</v>
      </c>
      <c r="G45" s="289">
        <f t="shared" si="19"/>
        <v>0</v>
      </c>
      <c r="H45" s="289">
        <f t="shared" si="19"/>
        <v>0</v>
      </c>
      <c r="I45" s="289">
        <f t="shared" si="19"/>
        <v>294047</v>
      </c>
      <c r="J45" s="289">
        <f t="shared" si="19"/>
        <v>41671</v>
      </c>
      <c r="K45" s="289">
        <f t="shared" si="19"/>
        <v>-34300</v>
      </c>
      <c r="L45" s="289">
        <f t="shared" si="19"/>
        <v>-43020</v>
      </c>
      <c r="M45" s="289" t="str">
        <f t="shared" si="19"/>
        <v/>
      </c>
    </row>
    <row r="46" spans="2:13">
      <c r="B46" s="38" t="s">
        <v>47</v>
      </c>
      <c r="C46" s="274">
        <f>IF(C$4="","",-C14)</f>
        <v>-2177107</v>
      </c>
      <c r="D46" s="274">
        <f t="shared" ref="D46:M46" si="20">IF(D$4="","",-D14)</f>
        <v>-164537</v>
      </c>
      <c r="E46" s="274">
        <f t="shared" si="20"/>
        <v>70194</v>
      </c>
      <c r="F46" s="274">
        <f t="shared" si="20"/>
        <v>30279</v>
      </c>
      <c r="G46" s="274">
        <f t="shared" si="20"/>
        <v>269737</v>
      </c>
      <c r="H46" s="274">
        <f t="shared" si="20"/>
        <v>-526223</v>
      </c>
      <c r="I46" s="274">
        <f t="shared" si="20"/>
        <v>-1888</v>
      </c>
      <c r="J46" s="274">
        <f t="shared" si="20"/>
        <v>-54218</v>
      </c>
      <c r="K46" s="274">
        <f t="shared" si="20"/>
        <v>-267903</v>
      </c>
      <c r="L46" s="274">
        <f t="shared" si="20"/>
        <v>11648</v>
      </c>
      <c r="M46" s="274" t="str">
        <f t="shared" si="20"/>
        <v/>
      </c>
    </row>
    <row r="47" spans="2:13">
      <c r="B47" s="41" t="s">
        <v>39</v>
      </c>
      <c r="C47" s="275">
        <f t="shared" ref="C47:M47" si="21">IF(C$4="","",C15)</f>
        <v>35807179</v>
      </c>
      <c r="D47" s="275">
        <f t="shared" si="21"/>
        <v>0</v>
      </c>
      <c r="E47" s="275">
        <f t="shared" si="21"/>
        <v>0</v>
      </c>
      <c r="F47" s="275">
        <f t="shared" si="21"/>
        <v>0</v>
      </c>
      <c r="G47" s="275">
        <f t="shared" si="21"/>
        <v>0</v>
      </c>
      <c r="H47" s="275">
        <f t="shared" si="21"/>
        <v>0</v>
      </c>
      <c r="I47" s="275">
        <f t="shared" si="21"/>
        <v>0</v>
      </c>
      <c r="J47" s="275">
        <f t="shared" si="21"/>
        <v>0</v>
      </c>
      <c r="K47" s="275">
        <f t="shared" si="21"/>
        <v>0</v>
      </c>
      <c r="L47" s="275">
        <f t="shared" si="21"/>
        <v>0</v>
      </c>
      <c r="M47" s="275" t="str">
        <f t="shared" si="21"/>
        <v/>
      </c>
    </row>
    <row r="48" spans="2:13">
      <c r="B48" s="27" t="s">
        <v>41</v>
      </c>
      <c r="C48" s="274">
        <f t="shared" ref="C48:M48" si="22">IF(C$4="","",MIN(-C16,0))</f>
        <v>-1143</v>
      </c>
      <c r="D48" s="274">
        <f t="shared" si="22"/>
        <v>0</v>
      </c>
      <c r="E48" s="274">
        <f t="shared" si="22"/>
        <v>0</v>
      </c>
      <c r="F48" s="274">
        <f t="shared" si="22"/>
        <v>0</v>
      </c>
      <c r="G48" s="274">
        <f t="shared" si="22"/>
        <v>0</v>
      </c>
      <c r="H48" s="274">
        <f t="shared" si="22"/>
        <v>0</v>
      </c>
      <c r="I48" s="274">
        <f t="shared" si="22"/>
        <v>0</v>
      </c>
      <c r="J48" s="274">
        <f t="shared" si="22"/>
        <v>0</v>
      </c>
      <c r="K48" s="274">
        <f t="shared" si="22"/>
        <v>0</v>
      </c>
      <c r="L48" s="274">
        <f t="shared" si="22"/>
        <v>0</v>
      </c>
      <c r="M48" s="274" t="str">
        <f t="shared" si="22"/>
        <v/>
      </c>
    </row>
    <row r="50" spans="2:13">
      <c r="B50" s="16" t="s">
        <v>65</v>
      </c>
    </row>
    <row r="51" spans="2:13">
      <c r="B51" s="38" t="s">
        <v>37</v>
      </c>
      <c r="C51" s="274">
        <f t="shared" ref="C51:M51" si="23">IF(C$4="","",-C12)</f>
        <v>-1337038</v>
      </c>
      <c r="D51" s="274">
        <f t="shared" si="23"/>
        <v>-1425157</v>
      </c>
      <c r="E51" s="274">
        <f t="shared" si="23"/>
        <v>-1628825</v>
      </c>
      <c r="F51" s="274">
        <f t="shared" si="23"/>
        <v>-1130935</v>
      </c>
      <c r="G51" s="274">
        <f t="shared" si="23"/>
        <v>0</v>
      </c>
      <c r="H51" s="274">
        <f t="shared" si="23"/>
        <v>0</v>
      </c>
      <c r="I51" s="274">
        <f t="shared" si="23"/>
        <v>0</v>
      </c>
      <c r="J51" s="274">
        <f t="shared" si="23"/>
        <v>-19214</v>
      </c>
      <c r="K51" s="274">
        <f t="shared" si="23"/>
        <v>-55981</v>
      </c>
      <c r="L51" s="274">
        <f t="shared" si="23"/>
        <v>-56561</v>
      </c>
      <c r="M51" s="274" t="str">
        <f t="shared" si="23"/>
        <v/>
      </c>
    </row>
    <row r="52" spans="2:13">
      <c r="B52" s="38" t="s">
        <v>64</v>
      </c>
      <c r="C52" s="274">
        <f>IF(C$4="","",C13)</f>
        <v>1291807</v>
      </c>
      <c r="D52" s="274">
        <f t="shared" ref="D52:M52" si="24">IF(D$4="","",D13)</f>
        <v>818986</v>
      </c>
      <c r="E52" s="274">
        <f t="shared" si="24"/>
        <v>657908</v>
      </c>
      <c r="F52" s="274">
        <f t="shared" si="24"/>
        <v>546037</v>
      </c>
      <c r="G52" s="274">
        <f t="shared" si="24"/>
        <v>0</v>
      </c>
      <c r="H52" s="274">
        <f t="shared" si="24"/>
        <v>0</v>
      </c>
      <c r="I52" s="274">
        <f t="shared" si="24"/>
        <v>294047</v>
      </c>
      <c r="J52" s="274">
        <f t="shared" si="24"/>
        <v>60885</v>
      </c>
      <c r="K52" s="274">
        <f t="shared" si="24"/>
        <v>21681</v>
      </c>
      <c r="L52" s="274">
        <f t="shared" si="24"/>
        <v>13541</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4002962</v>
      </c>
      <c r="D58" s="289">
        <f t="shared" ref="D58:M58" si="28">IF(D$4="","",D44-D55-D56-D57)</f>
        <v>-7230384</v>
      </c>
      <c r="E58" s="289">
        <f t="shared" si="28"/>
        <v>9404531</v>
      </c>
      <c r="F58" s="289">
        <f t="shared" si="28"/>
        <v>24051878</v>
      </c>
      <c r="G58" s="289">
        <f t="shared" si="28"/>
        <v>3049215</v>
      </c>
      <c r="H58" s="289">
        <f t="shared" si="28"/>
        <v>-190480</v>
      </c>
      <c r="I58" s="289">
        <f t="shared" si="28"/>
        <v>13378376</v>
      </c>
      <c r="J58" s="289">
        <f t="shared" si="28"/>
        <v>4519773</v>
      </c>
      <c r="K58" s="289">
        <f t="shared" si="28"/>
        <v>6787378</v>
      </c>
      <c r="L58" s="289">
        <f t="shared" si="28"/>
        <v>8502332</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-18926</v>
      </c>
      <c r="D64" s="274">
        <f t="shared" ref="D64:M64" si="32">IF(D$4="","",D22+D23+D24)</f>
        <v>0</v>
      </c>
      <c r="E64" s="274">
        <f t="shared" si="32"/>
        <v>0</v>
      </c>
      <c r="F64" s="274">
        <f t="shared" si="32"/>
        <v>0</v>
      </c>
      <c r="G64" s="274">
        <f t="shared" si="32"/>
        <v>0</v>
      </c>
      <c r="H64" s="274">
        <f t="shared" si="32"/>
        <v>0</v>
      </c>
      <c r="I64" s="274">
        <f t="shared" si="32"/>
        <v>0</v>
      </c>
      <c r="J64" s="274">
        <f t="shared" si="32"/>
        <v>0</v>
      </c>
      <c r="K64" s="274">
        <f t="shared" si="32"/>
        <v>0</v>
      </c>
      <c r="L64" s="274">
        <f t="shared" si="32"/>
        <v>0</v>
      </c>
      <c r="M64" s="274" t="str">
        <f t="shared" si="32"/>
        <v/>
      </c>
    </row>
    <row r="65" spans="2:13">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330198175</v>
      </c>
      <c r="D76" s="289">
        <f t="shared" ref="D76:M76" si="39">IF(D$4="","",D79+D80)</f>
        <v>0</v>
      </c>
      <c r="E76" s="289">
        <f t="shared" si="39"/>
        <v>0</v>
      </c>
      <c r="F76" s="289">
        <f t="shared" si="39"/>
        <v>0</v>
      </c>
      <c r="G76" s="289">
        <f t="shared" si="39"/>
        <v>0</v>
      </c>
      <c r="H76" s="289">
        <f t="shared" si="39"/>
        <v>0</v>
      </c>
      <c r="I76" s="289">
        <f t="shared" si="39"/>
        <v>0</v>
      </c>
      <c r="J76" s="289">
        <f t="shared" si="39"/>
        <v>0</v>
      </c>
      <c r="K76" s="289">
        <f t="shared" si="39"/>
        <v>0</v>
      </c>
      <c r="L76" s="289">
        <f t="shared" si="39"/>
        <v>0</v>
      </c>
      <c r="M76" s="289" t="str">
        <f t="shared" si="39"/>
        <v/>
      </c>
    </row>
    <row r="77" spans="2:13">
      <c r="B77" s="90" t="s">
        <v>82</v>
      </c>
      <c r="C77" s="263">
        <f t="shared" ref="C77:H78" si="40">IF(C$4="","",C28)</f>
        <v>3141262</v>
      </c>
      <c r="D77" s="286">
        <f t="shared" si="40"/>
        <v>0</v>
      </c>
      <c r="E77" s="286">
        <f t="shared" si="40"/>
        <v>0</v>
      </c>
      <c r="F77" s="286">
        <f t="shared" si="40"/>
        <v>0</v>
      </c>
      <c r="G77" s="286">
        <f t="shared" si="40"/>
        <v>0</v>
      </c>
      <c r="H77" s="286">
        <f t="shared" si="40"/>
        <v>0</v>
      </c>
      <c r="I77" s="295"/>
      <c r="J77" s="295"/>
      <c r="K77" s="295"/>
      <c r="L77" s="295"/>
      <c r="M77" s="295"/>
    </row>
    <row r="78" spans="2:13">
      <c r="B78" s="90" t="s">
        <v>83</v>
      </c>
      <c r="C78" s="263">
        <f t="shared" si="40"/>
        <v>2483059</v>
      </c>
      <c r="D78" s="286">
        <f t="shared" si="40"/>
        <v>1734.124</v>
      </c>
      <c r="E78" s="286">
        <f t="shared" si="40"/>
        <v>1304.595</v>
      </c>
      <c r="F78" s="286">
        <f t="shared" si="40"/>
        <v>1162.7650000000001</v>
      </c>
      <c r="G78" s="286">
        <f t="shared" si="40"/>
        <v>681.69299999999998</v>
      </c>
      <c r="H78" s="286">
        <f t="shared" si="40"/>
        <v>0</v>
      </c>
      <c r="I78" s="295"/>
      <c r="J78" s="295"/>
      <c r="K78" s="295"/>
      <c r="L78" s="295"/>
      <c r="M78" s="295"/>
    </row>
    <row r="79" spans="2:13">
      <c r="B79" s="25" t="s">
        <v>38</v>
      </c>
      <c r="C79" s="262">
        <f t="shared" ref="C79:M79" si="41">IF(C$4="","",C30)</f>
        <v>145900611</v>
      </c>
      <c r="D79" s="274">
        <f t="shared" si="41"/>
        <v>0</v>
      </c>
      <c r="E79" s="274">
        <f t="shared" si="41"/>
        <v>0</v>
      </c>
      <c r="F79" s="274">
        <f t="shared" si="41"/>
        <v>0</v>
      </c>
      <c r="G79" s="274">
        <f t="shared" si="41"/>
        <v>0</v>
      </c>
      <c r="H79" s="274">
        <f t="shared" si="41"/>
        <v>0</v>
      </c>
      <c r="I79" s="274">
        <f t="shared" si="41"/>
        <v>0</v>
      </c>
      <c r="J79" s="274">
        <f t="shared" si="41"/>
        <v>0</v>
      </c>
      <c r="K79" s="274">
        <f t="shared" si="41"/>
        <v>0</v>
      </c>
      <c r="L79" s="274">
        <f t="shared" si="41"/>
        <v>0</v>
      </c>
      <c r="M79" s="274" t="str">
        <f t="shared" si="41"/>
        <v/>
      </c>
    </row>
    <row r="80" spans="2:13">
      <c r="B80" s="25" t="s">
        <v>28</v>
      </c>
      <c r="C80" s="262">
        <f t="shared" ref="C80:M80" si="42">IF(C$4="","",C31)</f>
        <v>184297564</v>
      </c>
      <c r="D80" s="274">
        <f t="shared" si="42"/>
        <v>0</v>
      </c>
      <c r="E80" s="274">
        <f t="shared" si="42"/>
        <v>0</v>
      </c>
      <c r="F80" s="274">
        <f t="shared" si="42"/>
        <v>0</v>
      </c>
      <c r="G80" s="274">
        <f t="shared" si="42"/>
        <v>0</v>
      </c>
      <c r="H80" s="274">
        <f t="shared" si="42"/>
        <v>0</v>
      </c>
      <c r="I80" s="274">
        <f t="shared" si="42"/>
        <v>0</v>
      </c>
      <c r="J80" s="274">
        <f t="shared" si="42"/>
        <v>0</v>
      </c>
      <c r="K80" s="274">
        <f t="shared" si="42"/>
        <v>0</v>
      </c>
      <c r="L80" s="274">
        <f t="shared" si="42"/>
        <v>0</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3141262</v>
      </c>
      <c r="D4" s="231">
        <v>0.6</v>
      </c>
      <c r="E4" s="24"/>
      <c r="F4" s="4" t="s">
        <v>74</v>
      </c>
      <c r="G4" s="18">
        <v>101656333</v>
      </c>
      <c r="H4" s="231">
        <v>0.9</v>
      </c>
    </row>
    <row r="5" spans="2:8" ht="15" customHeight="1">
      <c r="B5" s="1" t="s">
        <v>31</v>
      </c>
      <c r="C5" s="18">
        <v>0</v>
      </c>
      <c r="D5" s="231">
        <v>0.6</v>
      </c>
      <c r="E5" s="24"/>
      <c r="F5" s="1" t="s">
        <v>27</v>
      </c>
      <c r="G5" s="18">
        <v>17920672</v>
      </c>
      <c r="H5" s="231">
        <v>0.7</v>
      </c>
    </row>
    <row r="6" spans="2:8" ht="15" customHeight="1">
      <c r="B6" s="4" t="s">
        <v>8</v>
      </c>
      <c r="C6" s="18">
        <v>2483059</v>
      </c>
      <c r="D6" s="231">
        <v>0.5</v>
      </c>
      <c r="E6" s="24"/>
      <c r="F6" s="4" t="s">
        <v>147</v>
      </c>
      <c r="G6" s="18">
        <v>0</v>
      </c>
      <c r="H6" s="231">
        <v>0.6</v>
      </c>
    </row>
    <row r="7" spans="2:8" ht="15" customHeight="1">
      <c r="B7" s="1" t="s">
        <v>66</v>
      </c>
      <c r="C7" s="18">
        <v>0</v>
      </c>
      <c r="D7" s="231">
        <v>0.6</v>
      </c>
      <c r="E7" s="24"/>
      <c r="F7" s="4" t="s">
        <v>148</v>
      </c>
      <c r="G7" s="18">
        <v>69361319</v>
      </c>
      <c r="H7" s="231">
        <v>0.6</v>
      </c>
    </row>
    <row r="8" spans="2:8" ht="15" customHeight="1">
      <c r="B8" s="1" t="s">
        <v>144</v>
      </c>
      <c r="C8" s="18">
        <v>0</v>
      </c>
      <c r="D8" s="231">
        <v>0.6</v>
      </c>
      <c r="E8" s="24"/>
      <c r="F8" s="1" t="s">
        <v>149</v>
      </c>
      <c r="G8" s="18">
        <v>0</v>
      </c>
      <c r="H8" s="231">
        <v>0.6</v>
      </c>
    </row>
    <row r="9" spans="2:8" ht="15" customHeight="1">
      <c r="B9" s="4" t="s">
        <v>23</v>
      </c>
      <c r="C9" s="18">
        <v>22830718</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0</v>
      </c>
      <c r="D11" s="231">
        <v>0.05</v>
      </c>
      <c r="H11" s="232"/>
    </row>
    <row r="12" spans="2:8" ht="15" customHeight="1">
      <c r="B12" s="77" t="s">
        <v>69</v>
      </c>
      <c r="C12" s="78">
        <f>SUM(C4:C11)</f>
        <v>28455039</v>
      </c>
      <c r="D12" s="19">
        <f>C4*D4+C5*D5+C9*D9+C6*D6+C8*D8+C7*D7+C10*D10+C11*D11</f>
        <v>5409358.5</v>
      </c>
      <c r="F12" s="77" t="s">
        <v>67</v>
      </c>
      <c r="G12" s="78">
        <f>SUM(G4:G10)</f>
        <v>188938324</v>
      </c>
      <c r="H12" s="19">
        <f>G4*H4+G5*H5+G6*H6+G7*H7+G8*H8+G9*H9+G10*H10</f>
        <v>145651961.5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2896164</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1090276+20133691+2696395</f>
        <v>23920362</v>
      </c>
      <c r="H17" s="231">
        <v>0.6</v>
      </c>
    </row>
    <row r="18" spans="2:8" ht="15" customHeight="1">
      <c r="B18" s="4" t="s">
        <v>144</v>
      </c>
      <c r="C18" s="18">
        <v>0</v>
      </c>
      <c r="D18" s="231">
        <v>0.6</v>
      </c>
      <c r="F18" s="4" t="s">
        <v>151</v>
      </c>
      <c r="G18" s="18">
        <v>0</v>
      </c>
      <c r="H18" s="231">
        <v>0.1</v>
      </c>
    </row>
    <row r="19" spans="2:8" ht="15" customHeight="1">
      <c r="B19" s="4" t="s">
        <v>24</v>
      </c>
      <c r="C19" s="18">
        <v>34026066</v>
      </c>
      <c r="D19" s="231">
        <v>0.1</v>
      </c>
      <c r="F19" s="4" t="s">
        <v>152</v>
      </c>
      <c r="G19" s="18">
        <v>19498379</v>
      </c>
      <c r="H19" s="231">
        <v>0.1</v>
      </c>
    </row>
    <row r="20" spans="2:8" ht="15" customHeight="1">
      <c r="B20" s="4" t="s">
        <v>16</v>
      </c>
      <c r="C20" s="18">
        <v>0</v>
      </c>
      <c r="D20" s="231">
        <v>0.05</v>
      </c>
      <c r="F20" s="4" t="s">
        <v>149</v>
      </c>
      <c r="G20" s="18">
        <v>0</v>
      </c>
      <c r="H20" s="231">
        <v>0.2</v>
      </c>
    </row>
    <row r="21" spans="2:8" ht="15" customHeight="1">
      <c r="B21" s="4" t="s">
        <v>17</v>
      </c>
      <c r="C21" s="18">
        <v>30321508</v>
      </c>
      <c r="D21" s="231">
        <v>0.05</v>
      </c>
      <c r="F21" s="1" t="s">
        <v>150</v>
      </c>
      <c r="G21" s="18">
        <v>0</v>
      </c>
      <c r="H21" s="231">
        <v>0.1</v>
      </c>
    </row>
    <row r="22" spans="2:8" ht="15" customHeight="1">
      <c r="B22" s="4" t="s">
        <v>18</v>
      </c>
      <c r="C22" s="18">
        <v>2142333</v>
      </c>
      <c r="D22" s="231">
        <v>0.9</v>
      </c>
      <c r="H22" s="232"/>
    </row>
    <row r="23" spans="2:8" ht="15" customHeight="1">
      <c r="B23" s="4" t="s">
        <v>19</v>
      </c>
      <c r="C23" s="18">
        <v>0</v>
      </c>
      <c r="D23" s="231">
        <v>0</v>
      </c>
      <c r="H23" s="232"/>
    </row>
    <row r="24" spans="2:8" ht="15" customHeight="1">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c r="B26" s="16" t="s">
        <v>169</v>
      </c>
      <c r="C26" s="164" t="s">
        <v>113</v>
      </c>
      <c r="F26" s="166" t="s">
        <v>165</v>
      </c>
      <c r="G26" s="167" t="s">
        <v>113</v>
      </c>
      <c r="H26" s="168" t="s">
        <v>33</v>
      </c>
    </row>
    <row r="27" spans="2:8" ht="15" customHeight="1">
      <c r="B27" s="4" t="s">
        <v>3</v>
      </c>
      <c r="C27" s="18">
        <v>1342</v>
      </c>
      <c r="F27" s="169" t="s">
        <v>28</v>
      </c>
      <c r="G27" s="82">
        <f>G32-G30</f>
        <v>184297564</v>
      </c>
      <c r="H27" s="170">
        <f>H32-G30</f>
        <v>29468011.400000006</v>
      </c>
    </row>
    <row r="28" spans="2:8" ht="15" customHeight="1">
      <c r="B28" s="4" t="s">
        <v>4</v>
      </c>
      <c r="C28" s="18">
        <v>2838077</v>
      </c>
      <c r="F28" s="171" t="s">
        <v>209</v>
      </c>
      <c r="G28" s="291">
        <v>-58350</v>
      </c>
      <c r="H28" s="170"/>
    </row>
    <row r="29" spans="2:8" ht="15" customHeight="1">
      <c r="B29" s="4" t="s">
        <v>5</v>
      </c>
      <c r="C29" s="18">
        <v>0</v>
      </c>
      <c r="F29" s="172" t="s">
        <v>72</v>
      </c>
      <c r="G29" s="14">
        <f>G27-G28</f>
        <v>184355914</v>
      </c>
      <c r="H29" s="170">
        <f>H27-G28</f>
        <v>29526361.400000006</v>
      </c>
    </row>
    <row r="30" spans="2:8" ht="15" customHeight="1">
      <c r="B30" s="2" t="s">
        <v>6</v>
      </c>
      <c r="C30" s="18">
        <v>16319467</v>
      </c>
      <c r="F30" s="169" t="s">
        <v>21</v>
      </c>
      <c r="G30" s="82">
        <f>C33+C42</f>
        <v>145900611</v>
      </c>
      <c r="H30" s="170"/>
    </row>
    <row r="31" spans="2:8" ht="15" customHeight="1">
      <c r="B31" s="77" t="s">
        <v>172</v>
      </c>
      <c r="C31" s="78">
        <f>SUM(C27:C30)</f>
        <v>19158886</v>
      </c>
      <c r="F31" s="172" t="s">
        <v>73</v>
      </c>
      <c r="G31" s="173">
        <f>C31+C40</f>
        <v>50977402</v>
      </c>
      <c r="H31" s="170"/>
    </row>
    <row r="32" spans="2:8" ht="15" customHeight="1">
      <c r="B32" s="4" t="s">
        <v>7</v>
      </c>
      <c r="C32" s="20">
        <f>C33-C31</f>
        <v>93319501</v>
      </c>
      <c r="F32" s="174" t="s">
        <v>71</v>
      </c>
      <c r="G32" s="175">
        <f>G35+G40</f>
        <v>330198175</v>
      </c>
      <c r="H32" s="170">
        <f>H35+H40</f>
        <v>175368622.40000001</v>
      </c>
    </row>
    <row r="33" spans="2:8" ht="15" customHeight="1">
      <c r="B33" s="80" t="s">
        <v>2</v>
      </c>
      <c r="C33" s="81">
        <v>112478387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97841110</v>
      </c>
      <c r="H35" s="182">
        <f>D12+D24</f>
        <v>13414605.800000001</v>
      </c>
    </row>
    <row r="36" spans="2:8" ht="15" customHeight="1">
      <c r="B36" s="4" t="s">
        <v>11</v>
      </c>
      <c r="C36" s="18">
        <v>1657023</v>
      </c>
      <c r="F36" s="172" t="s">
        <v>166</v>
      </c>
      <c r="G36" s="173">
        <f>C4+C15</f>
        <v>6037426</v>
      </c>
      <c r="H36" s="177"/>
    </row>
    <row r="37" spans="2:8" ht="15" customHeight="1">
      <c r="B37" s="4" t="s">
        <v>12</v>
      </c>
      <c r="C37" s="18">
        <v>3325762</v>
      </c>
      <c r="F37" s="172" t="s">
        <v>167</v>
      </c>
      <c r="G37" s="173">
        <f>C6</f>
        <v>2483059</v>
      </c>
      <c r="H37" s="177"/>
    </row>
    <row r="38" spans="2:8" ht="15" customHeight="1">
      <c r="B38" s="4" t="s">
        <v>13</v>
      </c>
      <c r="C38" s="18">
        <v>0</v>
      </c>
      <c r="F38" s="172" t="s">
        <v>168</v>
      </c>
      <c r="G38" s="173">
        <f>C7+C17</f>
        <v>0</v>
      </c>
      <c r="H38" s="177"/>
    </row>
    <row r="39" spans="2:8" ht="15" customHeight="1">
      <c r="B39" s="2" t="s">
        <v>14</v>
      </c>
      <c r="C39" s="18">
        <v>26835731</v>
      </c>
      <c r="F39" s="172" t="s">
        <v>76</v>
      </c>
      <c r="G39" s="173">
        <f>C7+C17+C19+C20</f>
        <v>34026066</v>
      </c>
      <c r="H39" s="170">
        <f>C7*D7+C17*D17+C19*D19+C20*D20</f>
        <v>3402606.6</v>
      </c>
    </row>
    <row r="40" spans="2:8" ht="15" customHeight="1">
      <c r="B40" s="77" t="s">
        <v>173</v>
      </c>
      <c r="C40" s="78">
        <f>SUM(C36:C39)</f>
        <v>31818516</v>
      </c>
      <c r="F40" s="181" t="s">
        <v>115</v>
      </c>
      <c r="G40" s="175">
        <f>G12+G24</f>
        <v>232357065</v>
      </c>
      <c r="H40" s="182">
        <f>H12+H24</f>
        <v>161954016.59999999</v>
      </c>
    </row>
    <row r="41" spans="2:8" ht="15" customHeight="1">
      <c r="B41" s="4" t="s">
        <v>15</v>
      </c>
      <c r="C41" s="20">
        <f>C42-C40</f>
        <v>1603708</v>
      </c>
      <c r="F41" s="172" t="s">
        <v>160</v>
      </c>
      <c r="G41" s="173">
        <f>C70</f>
        <v>119577005</v>
      </c>
      <c r="H41" s="182">
        <f>H40-H42</f>
        <v>104035170.09999999</v>
      </c>
    </row>
    <row r="42" spans="2:8" ht="15" customHeight="1">
      <c r="B42" s="80" t="s">
        <v>20</v>
      </c>
      <c r="C42" s="81">
        <v>33422224</v>
      </c>
      <c r="F42" s="183" t="s">
        <v>161</v>
      </c>
      <c r="G42" s="184">
        <f>C82</f>
        <v>112780060</v>
      </c>
      <c r="H42" s="185">
        <f>D82</f>
        <v>57918846.499999993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184355914</v>
      </c>
      <c r="D46" s="73">
        <f>H29</f>
        <v>29526361.400000006</v>
      </c>
      <c r="F46" s="223"/>
    </row>
    <row r="47" spans="2:8" ht="15" customHeight="1">
      <c r="B47" s="1" t="str">
        <f>"Equity per share ("&amp;Market_currency&amp;")"</f>
        <v>Equity per share (HKD)</v>
      </c>
      <c r="C47" s="134">
        <f>C46*H1/Common_Shares*Exchange_Rate</f>
        <v>21.78775459467299</v>
      </c>
      <c r="D47" s="134">
        <f>D46*H1/Common_Shares*Exchange_Rate</f>
        <v>3.489517110130925</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1.7116972700897226</v>
      </c>
      <c r="D50" s="92">
        <f>G31/Normalized_FCF!G8</f>
        <v>1.4981652418236286</v>
      </c>
      <c r="F50" s="223"/>
    </row>
    <row r="51" spans="2:8" ht="15" customHeight="1">
      <c r="B51" s="1" t="s">
        <v>146</v>
      </c>
      <c r="C51" s="163"/>
      <c r="D51" s="89">
        <f>G29/G32</f>
        <v>0.55831899737180557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0.30438929116809904</v>
      </c>
      <c r="D54" s="89">
        <f>Normalized_FCF!G8/G35</f>
        <v>0.34777359946141251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0.10304740781804746</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-3.1650734025272443E-4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119577005</v>
      </c>
      <c r="D66" s="73">
        <f>C66-D75</f>
        <v>68275373.353333324</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119577005</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-25297085.083333332</v>
      </c>
      <c r="D73" s="289">
        <f>(Normalized_FCF!C26+Normalized_FCF!C35-Normalized_FCF!C89)/12</f>
        <v>-25650815.823333334</v>
      </c>
      <c r="F73" s="1" t="s">
        <v>278</v>
      </c>
    </row>
    <row r="74" spans="2:6" ht="15" customHeight="1">
      <c r="B74" s="227" t="s">
        <v>259</v>
      </c>
      <c r="C74" s="228">
        <f>-$C$66/C73</f>
        <v>4.7269084404820152</v>
      </c>
      <c r="D74" s="228">
        <f>-$C$66/D73</f>
        <v>4.6617232692936987</v>
      </c>
      <c r="F74" s="223" t="s">
        <v>257</v>
      </c>
    </row>
    <row r="75" spans="2:6" ht="15" customHeight="1">
      <c r="B75" s="77" t="s">
        <v>258</v>
      </c>
      <c r="C75" s="264"/>
      <c r="D75" s="265">
        <f>MAX(-D73*D76,G5)</f>
        <v>51301631.646666668</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93281681</v>
      </c>
      <c r="D79" s="73">
        <f>G7*H7+G17*H17</f>
        <v>55969008.599999994</v>
      </c>
      <c r="F79" s="223"/>
    </row>
    <row r="80" spans="2:6" ht="15" customHeight="1">
      <c r="B80" s="102" t="s">
        <v>152</v>
      </c>
      <c r="C80" s="19">
        <f>G19</f>
        <v>19498379</v>
      </c>
      <c r="D80" s="73">
        <f>G19*H19</f>
        <v>1949837.9000000001</v>
      </c>
      <c r="F80" s="223"/>
    </row>
    <row r="81" spans="2:8" ht="15" customHeight="1">
      <c r="B81" s="102" t="s">
        <v>150</v>
      </c>
      <c r="C81" s="19">
        <f>G9+G21</f>
        <v>0</v>
      </c>
      <c r="D81" s="73">
        <f>G9*H9+G21*H21</f>
        <v>0</v>
      </c>
      <c r="F81" s="223"/>
    </row>
    <row r="82" spans="2:8" ht="15" customHeight="1">
      <c r="B82" s="77" t="s">
        <v>159</v>
      </c>
      <c r="C82" s="78">
        <f>SUM(C79:C81)</f>
        <v>112780060</v>
      </c>
      <c r="D82" s="78">
        <f>SUM(D79:D81)</f>
        <v>57918846.499999993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55815119.726522513</v>
      </c>
      <c r="D86" s="201">
        <f>C86*scaling_factor/Common_Shares</f>
        <v>6.0246677231628816</v>
      </c>
      <c r="E86" s="214" t="str">
        <f>Market_currency</f>
        <v>HKD</v>
      </c>
    </row>
    <row r="87" spans="2:8" ht="15" customHeight="1">
      <c r="B87" s="212" t="s">
        <v>240</v>
      </c>
      <c r="C87" s="73">
        <f>DCF!F5*Exchange_Rate</f>
        <v>74754655.760788366</v>
      </c>
      <c r="D87" s="201">
        <f>C87*scaling_factor/Common_Shares</f>
        <v>8.0689957116434119</v>
      </c>
      <c r="E87" s="214" t="str">
        <f>Market_currency</f>
        <v>HKD</v>
      </c>
    </row>
    <row r="88" spans="2:8" ht="15" customHeight="1">
      <c r="B88" s="213" t="s">
        <v>159</v>
      </c>
      <c r="C88" s="73">
        <f>DCF!F6*Exchange_Rate</f>
        <v>63415302.172903575</v>
      </c>
      <c r="D88" s="201">
        <f>C88*scaling_factor/Common_Shares</f>
        <v>6.8450291968856192</v>
      </c>
      <c r="E88" s="214" t="str">
        <f>Market_currency</f>
        <v>HKD</v>
      </c>
    </row>
    <row r="89" spans="2:8" ht="15" customHeight="1">
      <c r="B89" s="77" t="s">
        <v>244</v>
      </c>
      <c r="C89" s="162">
        <f>SUM(C86:C88)</f>
        <v>193985077.66021445</v>
      </c>
      <c r="D89" s="216">
        <f>SUM(D86:D88)</f>
        <v>20.938692631691914</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60" zoomScaleNormal="100" workbookViewId="0">
      <pane xSplit="2" ySplit="1" topLeftCell="C8" activePane="bottomRight" state="frozen"/>
      <selection activeCell="C17" sqref="C17"/>
      <selection pane="topRight" activeCell="C17" sqref="C17"/>
      <selection pane="bottomLeft" activeCell="C17" sqref="C17"/>
      <selection pane="bottomRight" activeCell="I32" sqref="I3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337591576</v>
      </c>
      <c r="D4" s="54"/>
      <c r="E4" s="236"/>
      <c r="F4" s="54"/>
      <c r="G4" s="274">
        <f>Data!C36</f>
        <v>337591576</v>
      </c>
      <c r="H4" s="274">
        <f>Data!D36</f>
        <v>276744954</v>
      </c>
      <c r="I4" s="274">
        <f>Data!E36</f>
        <v>219954948</v>
      </c>
      <c r="J4" s="274">
        <f>Data!F36</f>
        <v>179127997</v>
      </c>
      <c r="K4" s="274">
        <f>Data!G36</f>
        <v>114794510</v>
      </c>
      <c r="L4" s="274">
        <f>Data!H36</f>
        <v>97528531</v>
      </c>
      <c r="M4" s="274">
        <f>Data!I36</f>
        <v>65227278</v>
      </c>
      <c r="N4" s="274">
        <f>Data!J36</f>
        <v>33927987</v>
      </c>
      <c r="O4" s="274">
        <f>Data!K36</f>
        <v>12988077</v>
      </c>
      <c r="P4" s="274">
        <f>Data!L36</f>
        <v>4018959</v>
      </c>
      <c r="Q4" s="274" t="str">
        <f>Data!M36</f>
        <v/>
      </c>
    </row>
    <row r="5" spans="1:17" ht="15.75" customHeight="1">
      <c r="A5" s="10"/>
      <c r="B5" s="2" t="s">
        <v>43</v>
      </c>
      <c r="C5" s="270">
        <f>C26</f>
        <v>-297080586.88</v>
      </c>
      <c r="E5" s="238"/>
      <c r="G5" s="274">
        <f t="shared" ref="G5:Q5" si="1">G26</f>
        <v>-292835818</v>
      </c>
      <c r="H5" s="274">
        <f t="shared" si="1"/>
        <v>-259371795</v>
      </c>
      <c r="I5" s="274">
        <f t="shared" si="1"/>
        <v>-218686946</v>
      </c>
      <c r="J5" s="274">
        <f t="shared" si="1"/>
        <v>-194012630</v>
      </c>
      <c r="K5" s="274">
        <f t="shared" si="1"/>
        <v>-112519567</v>
      </c>
      <c r="L5" s="274">
        <f t="shared" si="1"/>
        <v>-92472874</v>
      </c>
      <c r="M5" s="274">
        <f t="shared" si="1"/>
        <v>-73066121</v>
      </c>
      <c r="N5" s="274">
        <f t="shared" si="1"/>
        <v>-36263805</v>
      </c>
      <c r="O5" s="274">
        <f t="shared" si="1"/>
        <v>-17750647</v>
      </c>
      <c r="P5" s="274">
        <f t="shared" si="1"/>
        <v>-9584499</v>
      </c>
      <c r="Q5" s="274" t="str">
        <f t="shared" si="1"/>
        <v/>
      </c>
    </row>
    <row r="6" spans="1:17" ht="15.75" customHeight="1">
      <c r="A6" s="10"/>
      <c r="B6" s="30" t="s">
        <v>45</v>
      </c>
      <c r="C6" s="271">
        <f>C4+C5</f>
        <v>40510989.120000005</v>
      </c>
      <c r="E6" s="238"/>
      <c r="G6" s="271">
        <f>IF(G4="","",G4+G5)</f>
        <v>44755758</v>
      </c>
      <c r="H6" s="271">
        <f t="shared" ref="H6:Q6" si="2">IF(H4="","",H4+H5)</f>
        <v>17373159</v>
      </c>
      <c r="I6" s="271">
        <f t="shared" si="2"/>
        <v>1268002</v>
      </c>
      <c r="J6" s="271">
        <f t="shared" si="2"/>
        <v>-14884633</v>
      </c>
      <c r="K6" s="271">
        <f t="shared" si="2"/>
        <v>2274943</v>
      </c>
      <c r="L6" s="271">
        <f t="shared" si="2"/>
        <v>5055657</v>
      </c>
      <c r="M6" s="271">
        <f t="shared" si="2"/>
        <v>-7838843</v>
      </c>
      <c r="N6" s="271">
        <f t="shared" si="2"/>
        <v>-2335818</v>
      </c>
      <c r="O6" s="271">
        <f t="shared" si="2"/>
        <v>-4762570</v>
      </c>
      <c r="P6" s="271">
        <f t="shared" si="2"/>
        <v>-5565540</v>
      </c>
      <c r="Q6" s="271" t="str">
        <f t="shared" si="2"/>
        <v/>
      </c>
    </row>
    <row r="7" spans="1:17" ht="15.75" customHeight="1">
      <c r="A7" s="10"/>
      <c r="B7" s="8" t="s">
        <v>42</v>
      </c>
      <c r="C7" s="270">
        <f>C35</f>
        <v>-10729203</v>
      </c>
      <c r="E7" s="238"/>
      <c r="G7" s="270">
        <f t="shared" ref="G7:Q7" si="3">G35</f>
        <v>-10729203</v>
      </c>
      <c r="H7" s="270">
        <f t="shared" si="3"/>
        <v>-9372067</v>
      </c>
      <c r="I7" s="270">
        <f t="shared" si="3"/>
        <v>-9771810</v>
      </c>
      <c r="J7" s="270">
        <f t="shared" si="3"/>
        <v>-8612626</v>
      </c>
      <c r="K7" s="270">
        <f t="shared" si="3"/>
        <v>-5593895</v>
      </c>
      <c r="L7" s="270">
        <f t="shared" si="3"/>
        <v>-4338954</v>
      </c>
      <c r="M7" s="270">
        <f t="shared" si="3"/>
        <v>-5831692</v>
      </c>
      <c r="N7" s="270">
        <f t="shared" si="3"/>
        <v>-2171408</v>
      </c>
      <c r="O7" s="270">
        <f t="shared" si="3"/>
        <v>-1722605</v>
      </c>
      <c r="P7" s="270">
        <f t="shared" si="3"/>
        <v>-2905420</v>
      </c>
      <c r="Q7" s="270" t="str">
        <f t="shared" si="3"/>
        <v/>
      </c>
    </row>
    <row r="8" spans="1:17" ht="15.75" customHeight="1">
      <c r="A8" s="10"/>
      <c r="B8" s="28" t="s">
        <v>127</v>
      </c>
      <c r="C8" s="272">
        <f>C6+C7</f>
        <v>29781786.120000005</v>
      </c>
      <c r="D8" s="56"/>
      <c r="E8" s="244"/>
      <c r="F8" s="56"/>
      <c r="G8" s="271">
        <f>IF(G$4="","",G6+G7)</f>
        <v>34026555</v>
      </c>
      <c r="H8" s="271">
        <f t="shared" ref="H8:Q8" si="4">IF(H$4="","",H6+H7)</f>
        <v>8001092</v>
      </c>
      <c r="I8" s="271">
        <f t="shared" si="4"/>
        <v>-8503808</v>
      </c>
      <c r="J8" s="271">
        <f t="shared" si="4"/>
        <v>-23497259</v>
      </c>
      <c r="K8" s="271">
        <f t="shared" si="4"/>
        <v>-3318952</v>
      </c>
      <c r="L8" s="271">
        <f t="shared" si="4"/>
        <v>716703</v>
      </c>
      <c r="M8" s="271">
        <f t="shared" si="4"/>
        <v>-13670535</v>
      </c>
      <c r="N8" s="271">
        <f t="shared" si="4"/>
        <v>-4507226</v>
      </c>
      <c r="O8" s="271">
        <f t="shared" si="4"/>
        <v>-6485175</v>
      </c>
      <c r="P8" s="271">
        <f t="shared" si="4"/>
        <v>-8470960</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-2750834.3301200001</v>
      </c>
      <c r="E10" s="238"/>
      <c r="G10" s="270">
        <f>G48</f>
        <v>-782819.34506224236</v>
      </c>
      <c r="H10" s="270">
        <f t="shared" ref="H10:Q10" si="6">H48</f>
        <v>-1073790.7979799965</v>
      </c>
      <c r="I10" s="270">
        <f t="shared" si="6"/>
        <v>-1346565.4311690598</v>
      </c>
      <c r="J10" s="270">
        <f t="shared" si="6"/>
        <v>-896670.9871201748</v>
      </c>
      <c r="K10" s="270">
        <f t="shared" si="6"/>
        <v>0</v>
      </c>
      <c r="L10" s="270">
        <f t="shared" si="6"/>
        <v>0</v>
      </c>
      <c r="M10" s="270">
        <f t="shared" si="6"/>
        <v>126153.77748261376</v>
      </c>
      <c r="N10" s="270">
        <f t="shared" si="6"/>
        <v>6907.2416451415556</v>
      </c>
      <c r="O10" s="270">
        <f t="shared" si="6"/>
        <v>-46679.289560510566</v>
      </c>
      <c r="P10" s="270">
        <f t="shared" si="6"/>
        <v>-50751.560349562918</v>
      </c>
      <c r="Q10" s="270" t="str">
        <f t="shared" si="6"/>
        <v/>
      </c>
    </row>
    <row r="11" spans="1:17" ht="15.75" customHeight="1">
      <c r="A11" s="10"/>
      <c r="B11" s="67" t="s">
        <v>137</v>
      </c>
      <c r="C11" s="271">
        <f>SUM(C8:C10)</f>
        <v>27030951.789880004</v>
      </c>
      <c r="E11" s="238"/>
      <c r="G11" s="271">
        <f t="shared" ref="G11:Q11" si="7">IF(G$4="","",SUM(G8:G10))</f>
        <v>33243735.654937759</v>
      </c>
      <c r="H11" s="271">
        <f t="shared" si="7"/>
        <v>6927301.2020200035</v>
      </c>
      <c r="I11" s="271">
        <f t="shared" si="7"/>
        <v>-9850373.4311690591</v>
      </c>
      <c r="J11" s="271">
        <f t="shared" si="7"/>
        <v>-24393929.987120174</v>
      </c>
      <c r="K11" s="271">
        <f t="shared" si="7"/>
        <v>-3318952</v>
      </c>
      <c r="L11" s="271">
        <f t="shared" si="7"/>
        <v>716703</v>
      </c>
      <c r="M11" s="271">
        <f t="shared" si="7"/>
        <v>-13544381.222517386</v>
      </c>
      <c r="N11" s="271">
        <f t="shared" si="7"/>
        <v>-4500318.7583548585</v>
      </c>
      <c r="O11" s="271">
        <f t="shared" si="7"/>
        <v>-6531854.2895605108</v>
      </c>
      <c r="P11" s="271">
        <f t="shared" si="7"/>
        <v>-8521711.5603495631</v>
      </c>
      <c r="Q11" s="271" t="str">
        <f t="shared" si="7"/>
        <v/>
      </c>
    </row>
    <row r="12" spans="1:17" ht="15.75" customHeight="1">
      <c r="A12" s="10"/>
      <c r="B12" s="2" t="s">
        <v>60</v>
      </c>
      <c r="C12" s="270">
        <f>-C11*C41</f>
        <v>-6757737.9474700009</v>
      </c>
      <c r="E12" s="238"/>
      <c r="G12" s="270">
        <f>Data!C46</f>
        <v>-2177107</v>
      </c>
      <c r="H12" s="270">
        <f>Data!D46</f>
        <v>-164537</v>
      </c>
      <c r="I12" s="270">
        <f>Data!E46</f>
        <v>70194</v>
      </c>
      <c r="J12" s="270">
        <f>Data!F46</f>
        <v>30279</v>
      </c>
      <c r="K12" s="270">
        <f>Data!G46</f>
        <v>269737</v>
      </c>
      <c r="L12" s="270">
        <f>Data!H46</f>
        <v>-526223</v>
      </c>
      <c r="M12" s="270">
        <f>Data!I46</f>
        <v>-1888</v>
      </c>
      <c r="N12" s="270">
        <f>Data!J46</f>
        <v>-54218</v>
      </c>
      <c r="O12" s="270">
        <f>Data!K46</f>
        <v>-267903</v>
      </c>
      <c r="P12" s="270">
        <f>Data!L46</f>
        <v>11648</v>
      </c>
      <c r="Q12" s="270" t="str">
        <f>Data!M46</f>
        <v/>
      </c>
    </row>
    <row r="13" spans="1:17" ht="15.75" customHeight="1">
      <c r="A13" s="10"/>
      <c r="B13" s="38" t="s">
        <v>208</v>
      </c>
      <c r="C13" s="270">
        <f>-C4*C79</f>
        <v>0</v>
      </c>
      <c r="D13" s="57"/>
      <c r="E13" s="245"/>
      <c r="F13" s="57"/>
      <c r="G13" s="274">
        <f>Data!C48</f>
        <v>-1143</v>
      </c>
      <c r="H13" s="274">
        <f>Data!D48</f>
        <v>0</v>
      </c>
      <c r="I13" s="274">
        <f>Data!E48</f>
        <v>0</v>
      </c>
      <c r="J13" s="274">
        <f>Data!F48</f>
        <v>0</v>
      </c>
      <c r="K13" s="274">
        <f>Data!G48</f>
        <v>0</v>
      </c>
      <c r="L13" s="274">
        <f>Data!H48</f>
        <v>0</v>
      </c>
      <c r="M13" s="274">
        <f>Data!I48</f>
        <v>0</v>
      </c>
      <c r="N13" s="274">
        <f>Data!J48</f>
        <v>0</v>
      </c>
      <c r="O13" s="274">
        <f>Data!K48</f>
        <v>0</v>
      </c>
      <c r="P13" s="274">
        <f>Data!L48</f>
        <v>0</v>
      </c>
      <c r="Q13" s="274" t="str">
        <f>Data!M48</f>
        <v/>
      </c>
    </row>
    <row r="14" spans="1:17" ht="15.75" customHeight="1">
      <c r="A14" s="10"/>
      <c r="B14" s="39" t="s">
        <v>129</v>
      </c>
      <c r="C14" s="273">
        <f>SUM(C11:C13)</f>
        <v>20273213.842410002</v>
      </c>
      <c r="D14" s="58"/>
      <c r="E14" s="246"/>
      <c r="F14" s="58"/>
      <c r="G14" s="271">
        <f t="shared" ref="G14:Q14" si="8">IF(G$4="","",SUM(G11:G13))</f>
        <v>31065485.654937759</v>
      </c>
      <c r="H14" s="271">
        <f t="shared" si="8"/>
        <v>6762764.2020200035</v>
      </c>
      <c r="I14" s="271">
        <f t="shared" si="8"/>
        <v>-9780179.4311690591</v>
      </c>
      <c r="J14" s="271">
        <f t="shared" si="8"/>
        <v>-24363650.987120174</v>
      </c>
      <c r="K14" s="271">
        <f t="shared" si="8"/>
        <v>-3049215</v>
      </c>
      <c r="L14" s="271">
        <f t="shared" si="8"/>
        <v>190480</v>
      </c>
      <c r="M14" s="271">
        <f t="shared" si="8"/>
        <v>-13546269.222517386</v>
      </c>
      <c r="N14" s="271">
        <f t="shared" si="8"/>
        <v>-4554536.7583548585</v>
      </c>
      <c r="O14" s="271">
        <f t="shared" si="8"/>
        <v>-6799757.2895605108</v>
      </c>
      <c r="P14" s="271">
        <f t="shared" si="8"/>
        <v>-8510063.5603495631</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20273213.842410002</v>
      </c>
      <c r="D19" s="26"/>
      <c r="E19" s="235"/>
      <c r="F19" s="26"/>
      <c r="G19" s="275">
        <f t="shared" ref="G19:Q19" si="9">IF(G$4="","",G14+G17)</f>
        <v>31065485.654937759</v>
      </c>
      <c r="H19" s="275">
        <f t="shared" si="9"/>
        <v>6762764.2020200035</v>
      </c>
      <c r="I19" s="275">
        <f t="shared" si="9"/>
        <v>-9780179.4311690591</v>
      </c>
      <c r="J19" s="275">
        <f t="shared" si="9"/>
        <v>-24363650.987120174</v>
      </c>
      <c r="K19" s="275">
        <f t="shared" si="9"/>
        <v>-3049215</v>
      </c>
      <c r="L19" s="275">
        <f t="shared" si="9"/>
        <v>190480</v>
      </c>
      <c r="M19" s="275">
        <f t="shared" si="9"/>
        <v>-13546269.222517386</v>
      </c>
      <c r="N19" s="275">
        <f t="shared" si="9"/>
        <v>-4554536.7583548585</v>
      </c>
      <c r="O19" s="275">
        <f t="shared" si="9"/>
        <v>-6799757.2895605108</v>
      </c>
      <c r="P19" s="275">
        <f t="shared" si="9"/>
        <v>-8510063.5603495631</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-209306777.12</v>
      </c>
      <c r="D23" s="55"/>
      <c r="E23" s="237"/>
      <c r="F23" s="55"/>
      <c r="G23" s="274">
        <f>Data!C37</f>
        <v>-207806982</v>
      </c>
      <c r="H23" s="274">
        <f>Data!D37</f>
        <v>-179553793</v>
      </c>
      <c r="I23" s="274">
        <f>Data!E37</f>
        <v>-158201969</v>
      </c>
      <c r="J23" s="274">
        <f>Data!F37</f>
        <v>-136653869</v>
      </c>
      <c r="K23" s="274">
        <f>Data!G37</f>
        <v>-80744368</v>
      </c>
      <c r="L23" s="274">
        <f>Data!H37</f>
        <v>-65208143</v>
      </c>
      <c r="M23" s="274">
        <f>Data!I37</f>
        <v>-50122320</v>
      </c>
      <c r="N23" s="274">
        <f>Data!J37</f>
        <v>-21708483</v>
      </c>
      <c r="O23" s="274">
        <f>Data!K37</f>
        <v>-7046841</v>
      </c>
      <c r="P23" s="274">
        <f>Data!L37</f>
        <v>-1239504</v>
      </c>
      <c r="Q23" s="274" t="str">
        <f>Data!M37</f>
        <v/>
      </c>
    </row>
    <row r="24" spans="1:17" ht="15.75" customHeight="1">
      <c r="A24" s="10"/>
      <c r="B24" s="65" t="s">
        <v>59</v>
      </c>
      <c r="C24" s="270">
        <f>-C4*C30</f>
        <v>-64142399.439999998</v>
      </c>
      <c r="D24" s="26"/>
      <c r="E24" s="235"/>
      <c r="F24" s="26"/>
      <c r="G24" s="274">
        <f>Data!C40</f>
        <v>-63975235</v>
      </c>
      <c r="H24" s="274">
        <f>Data!D40</f>
        <v>-58616997</v>
      </c>
      <c r="I24" s="274">
        <f>Data!E40</f>
        <v>-39745112</v>
      </c>
      <c r="J24" s="274">
        <f>Data!F40</f>
        <v>-40683166</v>
      </c>
      <c r="K24" s="274">
        <f>Data!G40</f>
        <v>-20882685</v>
      </c>
      <c r="L24" s="274">
        <f>Data!H40</f>
        <v>-18819067</v>
      </c>
      <c r="M24" s="274">
        <f>Data!I40</f>
        <v>-15871901</v>
      </c>
      <c r="N24" s="274">
        <f>Data!J40</f>
        <v>-10908688</v>
      </c>
      <c r="O24" s="274">
        <f>Data!K40</f>
        <v>-8337132</v>
      </c>
      <c r="P24" s="274">
        <f>Data!L40</f>
        <v>-7140962</v>
      </c>
      <c r="Q24" s="274" t="str">
        <f>Data!M40</f>
        <v/>
      </c>
    </row>
    <row r="25" spans="1:17" ht="15.75" customHeight="1">
      <c r="A25" s="10"/>
      <c r="B25" s="26" t="s">
        <v>46</v>
      </c>
      <c r="C25" s="270">
        <f>-C4*C31</f>
        <v>-23631410.320000004</v>
      </c>
      <c r="D25" s="55"/>
      <c r="E25" s="236"/>
      <c r="F25" s="55"/>
      <c r="G25" s="274">
        <f>Data!C42</f>
        <v>-21053601</v>
      </c>
      <c r="H25" s="274">
        <f>Data!D42</f>
        <v>-21201005</v>
      </c>
      <c r="I25" s="274">
        <f>Data!E42</f>
        <v>-20739865</v>
      </c>
      <c r="J25" s="274">
        <f>Data!F42</f>
        <v>-16675595</v>
      </c>
      <c r="K25" s="274">
        <f>Data!G42</f>
        <v>-10892514</v>
      </c>
      <c r="L25" s="274">
        <f>Data!H42</f>
        <v>-8445664</v>
      </c>
      <c r="M25" s="274">
        <f>Data!I42</f>
        <v>-7071900</v>
      </c>
      <c r="N25" s="274">
        <f>Data!J42</f>
        <v>-3646634</v>
      </c>
      <c r="O25" s="274">
        <f>Data!K42</f>
        <v>-2366674</v>
      </c>
      <c r="P25" s="274">
        <f>Data!L42</f>
        <v>-1204033</v>
      </c>
      <c r="Q25" s="274" t="str">
        <f>Data!M42</f>
        <v/>
      </c>
    </row>
    <row r="26" spans="1:17" ht="15.75" customHeight="1">
      <c r="A26" s="10"/>
      <c r="B26" s="67" t="s">
        <v>43</v>
      </c>
      <c r="C26" s="271">
        <f>SUM(C23:C25)</f>
        <v>-297080586.88</v>
      </c>
      <c r="D26" s="9"/>
      <c r="E26" s="243"/>
      <c r="F26" s="9"/>
      <c r="G26" s="271">
        <f>IF(G$4="","",SUM(G23:G25))</f>
        <v>-292835818</v>
      </c>
      <c r="H26" s="271">
        <f t="shared" ref="H26:Q26" si="10">IF(H$4="","",SUM(H23:H25))</f>
        <v>-259371795</v>
      </c>
      <c r="I26" s="271">
        <f t="shared" si="10"/>
        <v>-218686946</v>
      </c>
      <c r="J26" s="271">
        <f t="shared" si="10"/>
        <v>-194012630</v>
      </c>
      <c r="K26" s="271">
        <f t="shared" si="10"/>
        <v>-112519567</v>
      </c>
      <c r="L26" s="271">
        <f t="shared" si="10"/>
        <v>-92472874</v>
      </c>
      <c r="M26" s="271">
        <f t="shared" si="10"/>
        <v>-73066121</v>
      </c>
      <c r="N26" s="271">
        <f t="shared" si="10"/>
        <v>-36263805</v>
      </c>
      <c r="O26" s="271">
        <f t="shared" si="10"/>
        <v>-17750647</v>
      </c>
      <c r="P26" s="271">
        <f t="shared" si="10"/>
        <v>-9584499</v>
      </c>
      <c r="Q26" s="271" t="str">
        <f t="shared" si="10"/>
        <v/>
      </c>
    </row>
    <row r="27" spans="1:17" ht="15.75" customHeight="1">
      <c r="A27" s="10"/>
      <c r="E27" s="238"/>
    </row>
    <row r="28" spans="1:17" ht="15.75" customHeight="1">
      <c r="A28" s="10"/>
      <c r="B28" s="61" t="s">
        <v>175</v>
      </c>
      <c r="E28" s="238"/>
    </row>
    <row r="29" spans="1:17" ht="15.75" customHeight="1">
      <c r="A29" s="10"/>
      <c r="B29" s="25" t="s">
        <v>40</v>
      </c>
      <c r="C29" s="60">
        <v>0.62</v>
      </c>
      <c r="D29" s="25"/>
      <c r="E29" s="236"/>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0.19</v>
      </c>
      <c r="D30" s="25"/>
      <c r="E30" s="236"/>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5"/>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43</v>
      </c>
      <c r="C32" s="68">
        <f>ABS(C26/$C$4)</f>
        <v>0.88</v>
      </c>
      <c r="E32" s="238"/>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-10729203</v>
      </c>
      <c r="D35" s="55"/>
      <c r="E35" s="237"/>
      <c r="F35" s="55"/>
      <c r="G35" s="271">
        <f>IF(G4="","",Data!C41)</f>
        <v>-10729203</v>
      </c>
      <c r="H35" s="271">
        <f>IF(H4="","",Data!D41)</f>
        <v>-9372067</v>
      </c>
      <c r="I35" s="271">
        <f>IF(I4="","",Data!E41)</f>
        <v>-9771810</v>
      </c>
      <c r="J35" s="271">
        <f>IF(J4="","",Data!F41)</f>
        <v>-8612626</v>
      </c>
      <c r="K35" s="271">
        <f>IF(K4="","",Data!G41)</f>
        <v>-5593895</v>
      </c>
      <c r="L35" s="271">
        <f>IF(L4="","",Data!H41)</f>
        <v>-4338954</v>
      </c>
      <c r="M35" s="271">
        <f>IF(M4="","",Data!I41)</f>
        <v>-5831692</v>
      </c>
      <c r="N35" s="271">
        <f>IF(N4="","",Data!J41)</f>
        <v>-2171408</v>
      </c>
      <c r="O35" s="271">
        <f>IF(O4="","",Data!K41)</f>
        <v>-1722605</v>
      </c>
      <c r="P35" s="271">
        <f>IF(P4="","",Data!L41)</f>
        <v>-2905420</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3.1781607607412575E-2</v>
      </c>
      <c r="E38" s="238"/>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6.5489240517307201E-2</v>
      </c>
      <c r="H41" s="6">
        <f t="shared" si="16"/>
        <v>2.3751962734350422E-2</v>
      </c>
      <c r="I41" s="6">
        <f t="shared" si="16"/>
        <v>7.1260242558813585E-3</v>
      </c>
      <c r="J41" s="6">
        <f t="shared" si="16"/>
        <v>1.2412514103298281E-3</v>
      </c>
      <c r="K41" s="6">
        <f t="shared" si="16"/>
        <v>8.127173878983486E-2</v>
      </c>
      <c r="L41" s="6">
        <f t="shared" si="16"/>
        <v>0.73422742753972003</v>
      </c>
      <c r="M41" s="6">
        <f t="shared" si="16"/>
        <v>-1.3939359568979206E-4</v>
      </c>
      <c r="N41" s="6">
        <f t="shared" si="16"/>
        <v>-1.204759105104368E-2</v>
      </c>
      <c r="O41" s="6">
        <f t="shared" si="16"/>
        <v>-4.1014846339755932E-2</v>
      </c>
      <c r="P41" s="6">
        <f t="shared" si="16"/>
        <v>1.3668615650166639E-3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-3058644.12</v>
      </c>
      <c r="E45" s="238"/>
      <c r="G45" s="270">
        <f>Data!C51</f>
        <v>-1337038</v>
      </c>
      <c r="H45" s="270">
        <f>Data!D51</f>
        <v>-1425157</v>
      </c>
      <c r="I45" s="270">
        <f>Data!E51</f>
        <v>-1628825</v>
      </c>
      <c r="J45" s="270">
        <f>Data!F51</f>
        <v>-1130935</v>
      </c>
      <c r="K45" s="270">
        <f>Data!G51</f>
        <v>0</v>
      </c>
      <c r="L45" s="270">
        <f>Data!H51</f>
        <v>0</v>
      </c>
      <c r="M45" s="270">
        <f>Data!I51</f>
        <v>0</v>
      </c>
      <c r="N45" s="270">
        <f>Data!J51</f>
        <v>-19214</v>
      </c>
      <c r="O45" s="270">
        <f>Data!K51</f>
        <v>-55981</v>
      </c>
      <c r="P45" s="270">
        <f>Data!L51</f>
        <v>-56561</v>
      </c>
      <c r="Q45" s="270" t="str">
        <f>Data!M51</f>
        <v/>
      </c>
    </row>
    <row r="46" spans="1:17" ht="15.75" customHeight="1">
      <c r="A46" s="10"/>
      <c r="B46" s="2" t="s">
        <v>272</v>
      </c>
      <c r="C46" s="270">
        <f>BS!D75*C51</f>
        <v>307809.78988</v>
      </c>
      <c r="E46" s="238"/>
      <c r="G46" s="278">
        <f t="shared" ref="G46:Q46" si="17">IFERROR(IF(G$4="","",($C$46/$C$47)*G47),0)</f>
        <v>554218.65493775764</v>
      </c>
      <c r="H46" s="278">
        <f t="shared" si="17"/>
        <v>351366.20202000334</v>
      </c>
      <c r="I46" s="278">
        <f t="shared" si="17"/>
        <v>282259.56883094012</v>
      </c>
      <c r="J46" s="278">
        <f t="shared" si="17"/>
        <v>234264.01287982523</v>
      </c>
      <c r="K46" s="278">
        <f t="shared" si="17"/>
        <v>0</v>
      </c>
      <c r="L46" s="278">
        <f t="shared" si="17"/>
        <v>0</v>
      </c>
      <c r="M46" s="278">
        <f t="shared" si="17"/>
        <v>126153.77748261376</v>
      </c>
      <c r="N46" s="278">
        <f t="shared" si="17"/>
        <v>26121.241645141556</v>
      </c>
      <c r="O46" s="278">
        <f t="shared" si="17"/>
        <v>9301.7104394894322</v>
      </c>
      <c r="P46" s="278">
        <f t="shared" si="17"/>
        <v>5809.4396504370834</v>
      </c>
      <c r="Q46" s="278" t="str">
        <f t="shared" si="17"/>
        <v/>
      </c>
    </row>
    <row r="47" spans="1:17" ht="15.75" customHeight="1">
      <c r="A47" s="10"/>
      <c r="B47" s="248" t="s">
        <v>269</v>
      </c>
      <c r="C47" s="282">
        <f>BS!$C$66*C51</f>
        <v>717462.03</v>
      </c>
      <c r="D47" s="249"/>
      <c r="E47" s="250"/>
      <c r="F47" s="249"/>
      <c r="G47" s="282">
        <f>Data!C52</f>
        <v>1291807</v>
      </c>
      <c r="H47" s="282">
        <f>Data!D52</f>
        <v>818986</v>
      </c>
      <c r="I47" s="282">
        <f>Data!E52</f>
        <v>657908</v>
      </c>
      <c r="J47" s="282">
        <f>Data!F52</f>
        <v>546037</v>
      </c>
      <c r="K47" s="282">
        <f>Data!G52</f>
        <v>0</v>
      </c>
      <c r="L47" s="282">
        <f>Data!H52</f>
        <v>0</v>
      </c>
      <c r="M47" s="282">
        <f>Data!I52</f>
        <v>294047</v>
      </c>
      <c r="N47" s="282">
        <f>Data!J52</f>
        <v>60885</v>
      </c>
      <c r="O47" s="282">
        <f>Data!K52</f>
        <v>21681</v>
      </c>
      <c r="P47" s="282">
        <f>Data!L52</f>
        <v>13541</v>
      </c>
      <c r="Q47" s="282" t="str">
        <f>Data!M52</f>
        <v/>
      </c>
    </row>
    <row r="48" spans="1:17" ht="15.75" customHeight="1">
      <c r="A48" s="10"/>
      <c r="B48" s="67" t="s">
        <v>65</v>
      </c>
      <c r="C48" s="271">
        <f>C45+C46</f>
        <v>-2750834.3301200001</v>
      </c>
      <c r="E48" s="238"/>
      <c r="G48" s="271">
        <f>IF(G$4="","",(G45+G46))</f>
        <v>-782819.34506224236</v>
      </c>
      <c r="H48" s="271">
        <f t="shared" ref="H48:Q48" si="18">IF(H$4="","",(H45+H46))</f>
        <v>-1073790.7979799965</v>
      </c>
      <c r="I48" s="271">
        <f t="shared" si="18"/>
        <v>-1346565.4311690598</v>
      </c>
      <c r="J48" s="271">
        <f t="shared" si="18"/>
        <v>-896670.9871201748</v>
      </c>
      <c r="K48" s="271">
        <f t="shared" si="18"/>
        <v>0</v>
      </c>
      <c r="L48" s="271">
        <f t="shared" si="18"/>
        <v>0</v>
      </c>
      <c r="M48" s="271">
        <f t="shared" si="18"/>
        <v>126153.77748261376</v>
      </c>
      <c r="N48" s="271">
        <f t="shared" si="18"/>
        <v>6907.2416451415556</v>
      </c>
      <c r="O48" s="271">
        <f t="shared" si="18"/>
        <v>-46679.289560510566</v>
      </c>
      <c r="P48" s="271">
        <f t="shared" si="18"/>
        <v>-50751.560349562918</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1.0803138947994223E-2</v>
      </c>
      <c r="H51" s="151"/>
      <c r="I51" s="151"/>
      <c r="J51" s="151"/>
      <c r="K51" s="151"/>
      <c r="L51" s="151"/>
      <c r="M51" s="151"/>
      <c r="N51" s="151"/>
      <c r="O51" s="151"/>
      <c r="P51" s="151"/>
      <c r="Q51" s="151"/>
    </row>
    <row r="52" spans="1:17" ht="15.75" customHeight="1">
      <c r="A52" s="10"/>
      <c r="B52" s="8" t="s">
        <v>84</v>
      </c>
      <c r="C52" s="79">
        <v>0.06</v>
      </c>
      <c r="E52" s="235"/>
      <c r="G52" s="22">
        <f>IFERROR(ABS(Normalized_FCF!G45/BS!$G$31),0)</f>
        <v>2.6228052971393089E-2</v>
      </c>
      <c r="H52" s="151"/>
      <c r="I52" s="151"/>
      <c r="J52" s="151"/>
      <c r="K52" s="151"/>
      <c r="L52" s="151"/>
      <c r="M52" s="151"/>
      <c r="N52" s="151"/>
      <c r="O52" s="151"/>
      <c r="P52" s="151"/>
      <c r="Q52" s="151"/>
    </row>
    <row r="53" spans="1:17" ht="15.75" customHeight="1">
      <c r="A53" s="10"/>
      <c r="B53" s="25" t="s">
        <v>87</v>
      </c>
      <c r="C53" s="40">
        <f>-C8/C45</f>
        <v>9.7369242551827195</v>
      </c>
      <c r="E53" s="238"/>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4002962</v>
      </c>
      <c r="H60" s="270">
        <f>Data!D58</f>
        <v>-7230384</v>
      </c>
      <c r="I60" s="270">
        <f>Data!E58</f>
        <v>9404531</v>
      </c>
      <c r="J60" s="270">
        <f>Data!F58</f>
        <v>24051878</v>
      </c>
      <c r="K60" s="270">
        <f>Data!G58</f>
        <v>3049215</v>
      </c>
      <c r="L60" s="270">
        <f>Data!H58</f>
        <v>-190480</v>
      </c>
      <c r="M60" s="270">
        <f>Data!I58</f>
        <v>13378376</v>
      </c>
      <c r="N60" s="270">
        <f>Data!J58</f>
        <v>4519773</v>
      </c>
      <c r="O60" s="270">
        <f>Data!K58</f>
        <v>6787378</v>
      </c>
      <c r="P60" s="270">
        <f>Data!L58</f>
        <v>8502332</v>
      </c>
      <c r="Q60" s="270" t="str">
        <f>Data!M58</f>
        <v/>
      </c>
    </row>
    <row r="61" spans="1:17" ht="15.75" customHeight="1">
      <c r="A61" s="10"/>
      <c r="B61" s="30" t="s">
        <v>164</v>
      </c>
      <c r="C61" s="271">
        <f>C59+C60</f>
        <v>0</v>
      </c>
      <c r="E61" s="238"/>
      <c r="G61" s="271">
        <f t="shared" ref="G61:Q61" si="21">IF(G4="","",G59+G60)</f>
        <v>4002962</v>
      </c>
      <c r="H61" s="271">
        <f t="shared" si="21"/>
        <v>-7230384</v>
      </c>
      <c r="I61" s="271">
        <f t="shared" si="21"/>
        <v>9404531</v>
      </c>
      <c r="J61" s="271">
        <f t="shared" si="21"/>
        <v>24051878</v>
      </c>
      <c r="K61" s="271">
        <f t="shared" si="21"/>
        <v>3049215</v>
      </c>
      <c r="L61" s="271">
        <f t="shared" si="21"/>
        <v>-190480</v>
      </c>
      <c r="M61" s="271">
        <f t="shared" si="21"/>
        <v>13378376</v>
      </c>
      <c r="N61" s="271">
        <f t="shared" si="21"/>
        <v>4519773</v>
      </c>
      <c r="O61" s="271">
        <f t="shared" si="21"/>
        <v>6787378</v>
      </c>
      <c r="P61" s="271">
        <f t="shared" si="21"/>
        <v>8502332</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0.88</v>
      </c>
      <c r="D71" s="26"/>
      <c r="E71" s="235"/>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45</v>
      </c>
      <c r="C72" s="75">
        <f t="shared" si="22"/>
        <v>0.12000000000000001</v>
      </c>
      <c r="D72" s="26"/>
      <c r="E72" s="235"/>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42</v>
      </c>
      <c r="C73" s="74">
        <f t="shared" si="22"/>
        <v>3.1781607607412575E-2</v>
      </c>
      <c r="D73" s="26"/>
      <c r="E73" s="235"/>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127</v>
      </c>
      <c r="C74" s="75">
        <f t="shared" si="22"/>
        <v>8.8218392392587441E-2</v>
      </c>
      <c r="D74" s="26"/>
      <c r="E74" s="235"/>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8.1484092781983399E-3</v>
      </c>
      <c r="D76" s="26"/>
      <c r="E76" s="235"/>
      <c r="F76" s="26"/>
      <c r="G76" s="6">
        <f t="shared" ref="G76:Q76" si="28">IF(G$4="","",ABS(G10/G$4))</f>
        <v>2.3188355418626984E-3</v>
      </c>
      <c r="H76" s="6">
        <f t="shared" si="28"/>
        <v>3.88007362902088E-3</v>
      </c>
      <c r="I76" s="6">
        <f t="shared" si="28"/>
        <v>6.1220056353042795E-3</v>
      </c>
      <c r="J76" s="6">
        <f t="shared" si="28"/>
        <v>5.005755672689037E-3</v>
      </c>
      <c r="K76" s="6">
        <f t="shared" si="28"/>
        <v>0</v>
      </c>
      <c r="L76" s="6">
        <f t="shared" si="28"/>
        <v>0</v>
      </c>
      <c r="M76" s="6">
        <f t="shared" si="28"/>
        <v>1.934064724924038E-3</v>
      </c>
      <c r="N76" s="6">
        <f t="shared" si="28"/>
        <v>2.0358536582619992E-4</v>
      </c>
      <c r="O76" s="6">
        <f t="shared" si="28"/>
        <v>3.594010842445003E-3</v>
      </c>
      <c r="P76" s="6">
        <f t="shared" si="28"/>
        <v>1.2628036352090907E-2</v>
      </c>
      <c r="Q76" s="6" t="str">
        <f t="shared" si="28"/>
        <v/>
      </c>
    </row>
    <row r="77" spans="1:17" ht="15.75" customHeight="1">
      <c r="A77" s="10"/>
      <c r="B77" s="67" t="s">
        <v>137</v>
      </c>
      <c r="C77" s="75">
        <f>C11/C4</f>
        <v>8.0069983114389093E-2</v>
      </c>
      <c r="D77" s="26"/>
      <c r="E77" s="235"/>
      <c r="F77" s="26"/>
      <c r="G77" s="62">
        <f t="shared" ref="G77:Q77" si="29">IF(G$4="","",G11/G$4)</f>
        <v>9.8473238132392726E-2</v>
      </c>
      <c r="H77" s="62">
        <f t="shared" si="29"/>
        <v>2.5031355050542325E-2</v>
      </c>
      <c r="I77" s="62">
        <f t="shared" si="29"/>
        <v>-4.4783595553254202E-2</v>
      </c>
      <c r="J77" s="62">
        <f t="shared" si="29"/>
        <v>-0.13618155953097702</v>
      </c>
      <c r="K77" s="62">
        <f t="shared" si="29"/>
        <v>-2.8912114351113131E-2</v>
      </c>
      <c r="L77" s="62">
        <f t="shared" si="29"/>
        <v>7.3486495967010927E-3</v>
      </c>
      <c r="M77" s="62">
        <f t="shared" si="29"/>
        <v>-0.20764903331574538</v>
      </c>
      <c r="N77" s="62">
        <f t="shared" si="29"/>
        <v>-0.13264325874549701</v>
      </c>
      <c r="O77" s="62">
        <f t="shared" si="29"/>
        <v>-0.50291157725354652</v>
      </c>
      <c r="P77" s="62">
        <f t="shared" si="29"/>
        <v>-2.1203778292711029</v>
      </c>
      <c r="Q77" s="62" t="str">
        <f t="shared" si="29"/>
        <v/>
      </c>
    </row>
    <row r="78" spans="1:17" ht="15.75" customHeight="1">
      <c r="A78" s="10"/>
      <c r="B78" s="2" t="s">
        <v>60</v>
      </c>
      <c r="C78" s="74">
        <f>ABS(C12/C$4)</f>
        <v>2.0017495778597273E-2</v>
      </c>
      <c r="D78" s="26"/>
      <c r="E78" s="235"/>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4">
        <f>MIN(BS!C62,MAX(G79:K79))</f>
        <v>0</v>
      </c>
      <c r="D79" s="26"/>
      <c r="E79" s="235"/>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6.005248733579182E-2</v>
      </c>
      <c r="D80" s="26"/>
      <c r="E80" s="235"/>
      <c r="F80" s="26"/>
      <c r="G80" s="62">
        <f t="shared" ref="G80:Q80" si="32">IF(G$4="","",ABS(G14/G$4))</f>
        <v>9.2020914807832047E-2</v>
      </c>
      <c r="H80" s="62">
        <f t="shared" si="32"/>
        <v>2.4436811238191549E-2</v>
      </c>
      <c r="I80" s="62">
        <f t="shared" si="32"/>
        <v>4.4464466565076133E-2</v>
      </c>
      <c r="J80" s="62">
        <f t="shared" si="32"/>
        <v>0.13601252397814828</v>
      </c>
      <c r="K80" s="62">
        <f t="shared" si="32"/>
        <v>2.6562376545707631E-2</v>
      </c>
      <c r="L80" s="62">
        <f t="shared" si="32"/>
        <v>1.9530695074244479E-3</v>
      </c>
      <c r="M80" s="62">
        <f t="shared" si="32"/>
        <v>0.20767797826114079</v>
      </c>
      <c r="N80" s="62">
        <f t="shared" si="32"/>
        <v>0.13424129048254052</v>
      </c>
      <c r="O80" s="62">
        <f t="shared" si="32"/>
        <v>0.52353841831708503</v>
      </c>
      <c r="P80" s="62">
        <f t="shared" si="32"/>
        <v>2.1174795663129591</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6.005248733579182E-2</v>
      </c>
      <c r="D85" s="72"/>
      <c r="E85" s="235"/>
      <c r="F85" s="72"/>
      <c r="G85" s="62">
        <f t="shared" ref="G85:Q85" si="35">IF(G$4="","",ABS(G19/G$4))</f>
        <v>9.2020914807832047E-2</v>
      </c>
      <c r="H85" s="62">
        <f t="shared" si="35"/>
        <v>2.4436811238191549E-2</v>
      </c>
      <c r="I85" s="62">
        <f t="shared" si="35"/>
        <v>4.4464466565076133E-2</v>
      </c>
      <c r="J85" s="62">
        <f t="shared" si="35"/>
        <v>0.13601252397814828</v>
      </c>
      <c r="K85" s="62">
        <f t="shared" si="35"/>
        <v>2.6562376545707631E-2</v>
      </c>
      <c r="L85" s="62">
        <f t="shared" si="35"/>
        <v>1.9530695074244479E-3</v>
      </c>
      <c r="M85" s="62">
        <f t="shared" si="35"/>
        <v>0.20767797826114079</v>
      </c>
      <c r="N85" s="62">
        <f t="shared" si="35"/>
        <v>0.13424129048254052</v>
      </c>
      <c r="O85" s="62">
        <f t="shared" si="35"/>
        <v>0.52353841831708503</v>
      </c>
      <c r="P85" s="62">
        <f t="shared" si="35"/>
        <v>2.1174795663129591</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v>
      </c>
      <c r="E88" s="238"/>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38"/>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v>
      </c>
      <c r="E90" s="238"/>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0</v>
      </c>
      <c r="E92" s="238"/>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137</v>
      </c>
      <c r="C96" s="74">
        <f>C11/G11-1</f>
        <v>-0.18688585210594277</v>
      </c>
      <c r="D96" s="26"/>
      <c r="E96" s="235"/>
      <c r="F96" s="26"/>
      <c r="G96" s="6">
        <f t="shared" ref="G96:Q96" si="40">IF(H5="","",G11/H11-1)</f>
        <v>3.7989447384276973</v>
      </c>
      <c r="H96" s="6">
        <f t="shared" si="40"/>
        <v>-1.7032526482803463</v>
      </c>
      <c r="I96" s="6">
        <f t="shared" si="40"/>
        <v>-0.59619571605026378</v>
      </c>
      <c r="J96" s="6">
        <f t="shared" si="40"/>
        <v>6.3498893587855969</v>
      </c>
      <c r="K96" s="6">
        <f t="shared" si="40"/>
        <v>-5.6308610400682015</v>
      </c>
      <c r="L96" s="6">
        <f t="shared" si="40"/>
        <v>-1.0529151526544815</v>
      </c>
      <c r="M96" s="6">
        <f t="shared" si="40"/>
        <v>2.0096493048125073</v>
      </c>
      <c r="N96" s="6">
        <f t="shared" si="40"/>
        <v>-0.31101972596855676</v>
      </c>
      <c r="O96" s="6">
        <f t="shared" si="40"/>
        <v>-0.23350441477597106</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330198175</v>
      </c>
      <c r="D100" s="25"/>
      <c r="E100" s="239"/>
      <c r="F100" s="25"/>
      <c r="G100" s="274">
        <f t="shared" ref="G100:Q100" si="41">IF(G$4="","",G104+G103)</f>
        <v>330198175</v>
      </c>
      <c r="H100" s="274">
        <f t="shared" si="41"/>
        <v>0</v>
      </c>
      <c r="I100" s="274">
        <f t="shared" si="41"/>
        <v>0</v>
      </c>
      <c r="J100" s="274">
        <f t="shared" si="41"/>
        <v>0</v>
      </c>
      <c r="K100" s="274">
        <f t="shared" si="41"/>
        <v>0</v>
      </c>
      <c r="L100" s="274">
        <f t="shared" si="41"/>
        <v>0</v>
      </c>
      <c r="M100" s="274">
        <f t="shared" si="41"/>
        <v>0</v>
      </c>
      <c r="N100" s="274">
        <f t="shared" si="41"/>
        <v>0</v>
      </c>
      <c r="O100" s="274">
        <f t="shared" si="41"/>
        <v>0</v>
      </c>
      <c r="P100" s="274">
        <f t="shared" si="41"/>
        <v>0</v>
      </c>
      <c r="Q100" s="274" t="str">
        <f t="shared" si="41"/>
        <v/>
      </c>
    </row>
    <row r="101" spans="1:17" ht="15.75" customHeight="1">
      <c r="A101" s="10"/>
      <c r="B101" s="90" t="s">
        <v>179</v>
      </c>
      <c r="C101" s="285">
        <f>BS!C4</f>
        <v>3141262</v>
      </c>
      <c r="D101" s="86"/>
      <c r="E101" s="240"/>
      <c r="F101" s="86"/>
      <c r="G101" s="286">
        <f>IF(G$4="","",Data!D77)</f>
        <v>0</v>
      </c>
      <c r="H101" s="286">
        <f>IF(H$4="","",Data!E77)</f>
        <v>0</v>
      </c>
      <c r="I101" s="286">
        <f>IF(I$4="","",Data!F77)</f>
        <v>0</v>
      </c>
      <c r="J101" s="286">
        <f>IF(J$4="","",Data!G77)</f>
        <v>0</v>
      </c>
      <c r="K101" s="286">
        <f>IF(K$4="","",Data!H77)</f>
        <v>0</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2483059</v>
      </c>
      <c r="D102" s="86"/>
      <c r="E102" s="240"/>
      <c r="F102" s="86"/>
      <c r="G102" s="286">
        <f>IF(G$4="","",Data!D78)</f>
        <v>1734.124</v>
      </c>
      <c r="H102" s="286">
        <f>IF(H$4="","",Data!E78)</f>
        <v>1304.595</v>
      </c>
      <c r="I102" s="286">
        <f>IF(I$4="","",Data!F78)</f>
        <v>1162.7650000000001</v>
      </c>
      <c r="J102" s="286">
        <f>IF(J$4="","",Data!G78)</f>
        <v>681.69299999999998</v>
      </c>
      <c r="K102" s="286">
        <f>IF(K$4="","",Data!H78)</f>
        <v>0</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145900611</v>
      </c>
      <c r="D103" s="25"/>
      <c r="E103" s="239"/>
      <c r="F103" s="25"/>
      <c r="G103" s="274">
        <f>Data!C79</f>
        <v>145900611</v>
      </c>
      <c r="H103" s="274">
        <f>Data!D79</f>
        <v>0</v>
      </c>
      <c r="I103" s="274">
        <f>Data!E79</f>
        <v>0</v>
      </c>
      <c r="J103" s="274">
        <f>Data!F79</f>
        <v>0</v>
      </c>
      <c r="K103" s="274">
        <f>Data!G79</f>
        <v>0</v>
      </c>
      <c r="L103" s="274">
        <f>Data!H79</f>
        <v>0</v>
      </c>
      <c r="M103" s="274">
        <f>Data!I79</f>
        <v>0</v>
      </c>
      <c r="N103" s="274">
        <f>Data!J79</f>
        <v>0</v>
      </c>
      <c r="O103" s="274">
        <f>Data!K79</f>
        <v>0</v>
      </c>
      <c r="P103" s="274">
        <f>Data!L79</f>
        <v>0</v>
      </c>
      <c r="Q103" s="274" t="str">
        <f>Data!M79</f>
        <v/>
      </c>
    </row>
    <row r="104" spans="1:17" ht="15.75" customHeight="1">
      <c r="A104" s="10"/>
      <c r="B104" s="25" t="s">
        <v>28</v>
      </c>
      <c r="C104" s="284">
        <f>BS!G27</f>
        <v>184297564</v>
      </c>
      <c r="D104" s="25"/>
      <c r="E104" s="239"/>
      <c r="F104" s="25"/>
      <c r="G104" s="274">
        <f>Data!C80</f>
        <v>184297564</v>
      </c>
      <c r="H104" s="274">
        <f>Data!D80</f>
        <v>0</v>
      </c>
      <c r="I104" s="274">
        <f>Data!E80</f>
        <v>0</v>
      </c>
      <c r="J104" s="274">
        <f>Data!F80</f>
        <v>0</v>
      </c>
      <c r="K104" s="274">
        <f>Data!G80</f>
        <v>0</v>
      </c>
      <c r="L104" s="274">
        <f>Data!H80</f>
        <v>0</v>
      </c>
      <c r="M104" s="274">
        <f>Data!I80</f>
        <v>0</v>
      </c>
      <c r="N104" s="274">
        <f>Data!J80</f>
        <v>0</v>
      </c>
      <c r="O104" s="274">
        <f>Data!K80</f>
        <v>0</v>
      </c>
      <c r="P104" s="274">
        <f>Data!L80</f>
        <v>0</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9.3049182009209853E-3</v>
      </c>
      <c r="D107" s="25"/>
      <c r="E107" s="239"/>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7.3552161147528161E-3</v>
      </c>
      <c r="D108" s="25"/>
      <c r="E108" s="239"/>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-6.6259897212232214E-3</v>
      </c>
      <c r="H112" s="254" t="e">
        <f>IF(H$4="","",Data!D$22/Data!D15)</f>
        <v>#DIV/0!</v>
      </c>
      <c r="I112" s="254" t="e">
        <f>IF(I$4="","",Data!E$22/Data!E15)</f>
        <v>#DIV/0!</v>
      </c>
      <c r="J112" s="254" t="e">
        <f>IF(J$4="","",Data!F$22/Data!F15)</f>
        <v>#DIV/0!</v>
      </c>
      <c r="K112" s="254" t="e">
        <f>IF(K$4="","",Data!G$22/Data!G15)</f>
        <v>#DIV/0!</v>
      </c>
      <c r="L112" s="254" t="e">
        <f>IF(L$4="","",Data!H$22/Data!H15)</f>
        <v>#DIV/0!</v>
      </c>
      <c r="M112" s="254" t="e">
        <f>IF(M$4="","",Data!I$22/Data!I15)</f>
        <v>#DIV/0!</v>
      </c>
      <c r="N112" s="254" t="e">
        <f>IF(N$4="","",Data!J$22/Data!J15)</f>
        <v>#DIV/0!</v>
      </c>
      <c r="O112" s="254" t="e">
        <f>IF(O$4="","",Data!K$22/Data!K15)</f>
        <v>#DIV/0!</v>
      </c>
      <c r="P112" s="254" t="e">
        <f>IF(P$4="","",Data!L$22/Data!L15)</f>
        <v>#DIV/0!</v>
      </c>
      <c r="Q112" s="254" t="str">
        <f>IF(Q$4="","",Data!M$22/Data!M15)</f>
        <v/>
      </c>
    </row>
    <row r="113" spans="1:17" ht="15.75" customHeight="1">
      <c r="A113" s="10"/>
      <c r="B113" s="2" t="s">
        <v>304</v>
      </c>
      <c r="C113" s="151"/>
      <c r="E113" s="238"/>
      <c r="G113" s="254">
        <f>IF(G$4="","",Data!C$22/G19)</f>
        <v>-7.6373504227605273E-3</v>
      </c>
      <c r="H113" s="254">
        <f>IF(H$4="","",Data!D$22/H19)</f>
        <v>0</v>
      </c>
      <c r="I113" s="254">
        <f>IF(I$4="","",Data!E$22/I19)</f>
        <v>0</v>
      </c>
      <c r="J113" s="254">
        <f>IF(J$4="","",Data!F$22/J19)</f>
        <v>0</v>
      </c>
      <c r="K113" s="254">
        <f>IF(K$4="","",Data!G$22/K19)</f>
        <v>0</v>
      </c>
      <c r="L113" s="254">
        <f>IF(L$4="","",Data!H$22/L19)</f>
        <v>0</v>
      </c>
      <c r="M113" s="254">
        <f>IF(M$4="","",Data!I$22/M19)</f>
        <v>0</v>
      </c>
      <c r="N113" s="254">
        <f>IF(N$4="","",Data!J$22/N19)</f>
        <v>0</v>
      </c>
      <c r="O113" s="254">
        <f>IF(O$4="","",Data!K$22/O19)</f>
        <v>0</v>
      </c>
      <c r="P113" s="254">
        <f>IF(P$4="","",Data!L$22/P19)</f>
        <v>0</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8.0069983114389093E-2</v>
      </c>
      <c r="E116" s="238"/>
      <c r="G116" s="22">
        <f t="shared" ref="G116:Q116" si="44">IF(G4="","",G77)</f>
        <v>9.8473238132392726E-2</v>
      </c>
      <c r="H116" s="22">
        <f t="shared" si="44"/>
        <v>2.5031355050542325E-2</v>
      </c>
      <c r="I116" s="22">
        <f t="shared" si="44"/>
        <v>-4.4783595553254202E-2</v>
      </c>
      <c r="J116" s="22">
        <f t="shared" si="44"/>
        <v>-0.13618155953097702</v>
      </c>
      <c r="K116" s="22">
        <f t="shared" si="44"/>
        <v>-2.8912114351113131E-2</v>
      </c>
      <c r="L116" s="22">
        <f t="shared" si="44"/>
        <v>7.3486495967010927E-3</v>
      </c>
      <c r="M116" s="22">
        <f t="shared" si="44"/>
        <v>-0.20764903331574538</v>
      </c>
      <c r="N116" s="22">
        <f t="shared" si="44"/>
        <v>-0.13264325874549701</v>
      </c>
      <c r="O116" s="22">
        <f t="shared" si="44"/>
        <v>-0.50291157725354652</v>
      </c>
      <c r="P116" s="22">
        <f t="shared" si="44"/>
        <v>-2.1203778292711029</v>
      </c>
      <c r="Q116" s="22" t="str">
        <f t="shared" si="44"/>
        <v/>
      </c>
    </row>
    <row r="117" spans="1:17" ht="15.75" customHeight="1">
      <c r="B117" s="7" t="s">
        <v>80</v>
      </c>
      <c r="C117" s="40">
        <f>C4/C100</f>
        <v>1.022390799101176</v>
      </c>
      <c r="E117" s="238"/>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88</v>
      </c>
      <c r="C118" s="15">
        <f>C100/C104</f>
        <v>1.7916578376478161</v>
      </c>
      <c r="D118" s="11"/>
      <c r="E118" s="242"/>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191</v>
      </c>
      <c r="C119" s="99">
        <f>C11/C104</f>
        <v>0.14667015235144401</v>
      </c>
      <c r="D119" s="100"/>
      <c r="E119" s="241"/>
      <c r="F119" s="100"/>
      <c r="G119" s="99">
        <f t="shared" ref="G119:Q119" si="47">IF(G$4="","",G11/G104)</f>
        <v>0.18038076539599709</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2.3959513880512482</v>
      </c>
      <c r="D123" s="26"/>
      <c r="E123" s="235"/>
      <c r="F123" s="26"/>
      <c r="G123" s="159">
        <f t="shared" ref="G123:Q123" si="48">IF(G$4="","",G14*$C$3/Common_Shares*Exchange_Rate)</f>
        <v>3.6714155956728241</v>
      </c>
      <c r="H123" s="159">
        <f t="shared" si="48"/>
        <v>0.79924448105988788</v>
      </c>
      <c r="I123" s="159">
        <f t="shared" si="48"/>
        <v>-1.155851986056601</v>
      </c>
      <c r="J123" s="159">
        <f t="shared" si="48"/>
        <v>-2.8793719562348112</v>
      </c>
      <c r="K123" s="159">
        <f t="shared" si="48"/>
        <v>-0.36036570069781326</v>
      </c>
      <c r="L123" s="159">
        <f t="shared" si="48"/>
        <v>2.2511518101845707E-2</v>
      </c>
      <c r="M123" s="159">
        <f t="shared" si="48"/>
        <v>-1.600940176476142</v>
      </c>
      <c r="N123" s="159">
        <f t="shared" si="48"/>
        <v>-0.53826930219039826</v>
      </c>
      <c r="O123" s="159">
        <f t="shared" si="48"/>
        <v>-0.80361643905973723</v>
      </c>
      <c r="P123" s="159">
        <f t="shared" si="48"/>
        <v>-1.0057457469900606</v>
      </c>
      <c r="Q123" s="159" t="str">
        <f t="shared" si="48"/>
        <v/>
      </c>
    </row>
    <row r="124" spans="1:17" ht="15.75" customHeight="1">
      <c r="A124" s="10"/>
      <c r="B124" s="26" t="s">
        <v>226</v>
      </c>
      <c r="C124" s="74">
        <f>C19*Exchange_Rate*$C$3/(Market_Price*Common_Shares)</f>
        <v>2.4893001434298682E-2</v>
      </c>
      <c r="D124" s="26"/>
      <c r="E124" s="235"/>
      <c r="F124" s="26"/>
      <c r="G124" s="74">
        <f t="shared" ref="G124" si="49">IF(G$4="","",G123/Market_Price)</f>
        <v>3.8144577617379993E-2</v>
      </c>
      <c r="H124" s="74">
        <f t="shared" ref="H124" si="50">IF(H$4="","",H123/Market_Price)</f>
        <v>8.3038387642585757E-3</v>
      </c>
      <c r="I124" s="74">
        <f t="shared" ref="I124" si="51">IF(I$4="","",I123/Market_Price)</f>
        <v>-1.2008851803185465E-2</v>
      </c>
      <c r="J124" s="74">
        <f t="shared" ref="J124" si="52">IF(J$4="","",J123/Market_Price)</f>
        <v>-2.9915552792049986E-2</v>
      </c>
      <c r="K124" s="74">
        <f t="shared" ref="K124" si="53">IF(K$4="","",K123/Market_Price)</f>
        <v>-3.7440592280292288E-3</v>
      </c>
      <c r="L124" s="74">
        <f t="shared" ref="L124" si="54">IF(L$4="","",L123/Market_Price)</f>
        <v>2.338859023568385E-4</v>
      </c>
      <c r="M124" s="74">
        <f t="shared" ref="M124" si="55">IF(M$4="","",M123/Market_Price)</f>
        <v>-1.6633144690661215E-2</v>
      </c>
      <c r="N124" s="74">
        <f t="shared" ref="N124" si="56">IF(N$4="","",N123/Market_Price)</f>
        <v>-5.5924083344456961E-3</v>
      </c>
      <c r="O124" s="74">
        <f t="shared" ref="O124" si="57">IF(O$4="","",O123/Market_Price)</f>
        <v>-8.3492617045167507E-3</v>
      </c>
      <c r="P124" s="74">
        <f t="shared" ref="P124" si="58">IF(P$4="","",P123/Market_Price)</f>
        <v>-1.0449306462234395E-2</v>
      </c>
      <c r="Q124" s="74" t="str">
        <f t="shared" ref="Q124" si="59">IF(Q$4="","",Q123/Market_Price)</f>
        <v/>
      </c>
    </row>
    <row r="125" spans="1:17" ht="15.75" customHeight="1">
      <c r="B125" s="2" t="s">
        <v>306</v>
      </c>
      <c r="C125" s="151"/>
      <c r="G125" s="22">
        <f>IF(G$4="","",(Data!C47*$C$3)/(Market_Price*Common_Shares))</f>
        <v>4.0156015004826927E-2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70" zoomScaleNormal="70" workbookViewId="0">
      <selection activeCell="F25" sqref="F2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20273213.842410002</v>
      </c>
      <c r="D4" t="str">
        <f>Reporting_currency</f>
        <v>CNY</v>
      </c>
      <c r="E4" s="135" t="s">
        <v>434</v>
      </c>
      <c r="F4" s="279">
        <f>-BS!G31</f>
        <v>-50977402</v>
      </c>
      <c r="G4" t="str">
        <f>Reporting_currency</f>
        <v>CNY</v>
      </c>
      <c r="H4" s="312" t="s">
        <v>394</v>
      </c>
      <c r="I4" s="309">
        <f>Normalized_FCF!C4</f>
        <v>337591576</v>
      </c>
      <c r="J4" s="309"/>
    </row>
    <row r="5" spans="2:15">
      <c r="B5" s="187" t="s">
        <v>105</v>
      </c>
      <c r="C5" s="188">
        <f>Equity_Cost</f>
        <v>7.2499999999999995E-2</v>
      </c>
      <c r="E5" s="135" t="s">
        <v>435</v>
      </c>
      <c r="F5" s="279">
        <f>BS!D66</f>
        <v>68275373.353333324</v>
      </c>
      <c r="G5" t="str">
        <f>Reporting_currency</f>
        <v>CNY</v>
      </c>
      <c r="H5" s="312" t="s">
        <v>396</v>
      </c>
      <c r="I5" s="309">
        <f>Normalized_FCF!C7</f>
        <v>-10729203</v>
      </c>
      <c r="J5" s="309"/>
    </row>
    <row r="6" spans="2:15" ht="13.25" customHeight="1">
      <c r="B6" s="136" t="s">
        <v>194</v>
      </c>
      <c r="C6" s="287">
        <f>(C4*(1+Terminal_Growth))/(Equity_Cost-Terminal_Growth)</f>
        <v>279630535.75737935</v>
      </c>
      <c r="D6" t="str">
        <f>Reporting_currency</f>
        <v>CNY</v>
      </c>
      <c r="E6" s="187" t="s">
        <v>436</v>
      </c>
      <c r="F6" s="288">
        <f>BS!H42</f>
        <v>57918846.499999993</v>
      </c>
      <c r="G6" t="str">
        <f>Reporting_currency</f>
        <v>CNY</v>
      </c>
      <c r="H6" s="312" t="s">
        <v>418</v>
      </c>
      <c r="I6" s="309">
        <f>I7+I8</f>
        <v>-2750834.3301200001</v>
      </c>
      <c r="J6" s="309"/>
      <c r="N6" s="135"/>
    </row>
    <row r="7" spans="2:15" ht="12.75" customHeight="1">
      <c r="B7" s="322" t="s">
        <v>433</v>
      </c>
      <c r="C7" s="279">
        <f>F7</f>
        <v>75216817.853333324</v>
      </c>
      <c r="E7" s="140" t="s">
        <v>427</v>
      </c>
      <c r="F7" s="287">
        <f>SUM(F4:F6)</f>
        <v>75216817.853333324</v>
      </c>
      <c r="G7" t="str">
        <f>Reporting_currency</f>
        <v>CNY</v>
      </c>
      <c r="H7" s="316" t="s">
        <v>419</v>
      </c>
      <c r="I7" s="317">
        <f>Normalized_FCF!C9</f>
        <v>0</v>
      </c>
      <c r="J7" s="317"/>
      <c r="N7" s="308"/>
      <c r="O7" s="308"/>
    </row>
    <row r="8" spans="2:15" ht="13.15">
      <c r="B8" s="136" t="s">
        <v>429</v>
      </c>
      <c r="C8" s="287">
        <f>C6+C7</f>
        <v>354847353.61071265</v>
      </c>
      <c r="D8" t="str">
        <f>Reporting_currency</f>
        <v>CNY</v>
      </c>
      <c r="E8" s="140" t="s">
        <v>467</v>
      </c>
      <c r="F8" s="108">
        <f>FV_adjustments*scaling_factor/Common_Shares*Exchange_Rate</f>
        <v>8.889357185366153</v>
      </c>
      <c r="G8" s="298" t="str">
        <f>Market_currency</f>
        <v>HKD</v>
      </c>
      <c r="H8" s="318" t="str">
        <f>Normalized_FCF!B10</f>
        <v>Net Interest Income</v>
      </c>
      <c r="I8" s="317">
        <f>Normalized_FCF!C10</f>
        <v>-2750834.3301200001</v>
      </c>
      <c r="J8" s="317"/>
      <c r="N8" s="308"/>
      <c r="O8" s="308"/>
    </row>
    <row r="9" spans="2:15" ht="13.15" thickBot="1">
      <c r="B9" s="189" t="str">
        <f>"*"&amp;Thesis!E15</f>
        <v>*CNY/HKD</v>
      </c>
      <c r="C9" s="190">
        <f>Exchange_Rate</f>
        <v>1.0948992599999998</v>
      </c>
      <c r="D9" t="str">
        <f>Thesis!E15</f>
        <v>CNY/HKD</v>
      </c>
      <c r="F9" s="326"/>
      <c r="H9" s="312" t="str">
        <f>Normalized_FCF!B79</f>
        <v>NCI’s Share of Profits</v>
      </c>
      <c r="I9" s="144">
        <f>Normalized_FCF!C79</f>
        <v>0</v>
      </c>
      <c r="J9" s="310"/>
      <c r="N9" s="308"/>
      <c r="O9" s="308"/>
    </row>
    <row r="10" spans="2:15" ht="13.5" thickTop="1">
      <c r="B10" s="107" t="s">
        <v>430</v>
      </c>
      <c r="C10" s="287">
        <f>C8*Exchange_Rate</f>
        <v>388522104.88132757</v>
      </c>
      <c r="D10" t="str">
        <f>Market_currency</f>
        <v>HKD</v>
      </c>
      <c r="H10" s="312" t="s">
        <v>398</v>
      </c>
      <c r="I10" s="310">
        <f>Normalized_FCF!C41</f>
        <v>0.25</v>
      </c>
      <c r="N10" s="308"/>
      <c r="O10" s="308"/>
    </row>
    <row r="11" spans="2:15" ht="13.15">
      <c r="B11" s="136" t="s">
        <v>428</v>
      </c>
      <c r="C11" s="108">
        <f>(C10*scaling_factor)/Common_Shares</f>
        <v>41.936962537797164</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II</v>
      </c>
      <c r="H14" s="106" t="s">
        <v>415</v>
      </c>
    </row>
    <row r="15" spans="2:15">
      <c r="B15" s="139" t="s">
        <v>424</v>
      </c>
      <c r="C15" s="148">
        <f>Scenarios!C45</f>
        <v>10</v>
      </c>
      <c r="E15" s="312" t="str">
        <f>IF(F14="II","Change year","Terminal Year")</f>
        <v>Change year</v>
      </c>
      <c r="F15" s="314">
        <f>IF(F14="II",_xlfn.CEILING.MATH(C15/2),C15+1)</f>
        <v>5</v>
      </c>
      <c r="H15" s="97" t="s">
        <v>432</v>
      </c>
      <c r="I15" s="126">
        <f>Terminal_Growth</f>
        <v>0</v>
      </c>
      <c r="J15" s="126"/>
    </row>
    <row r="16" spans="2:15" ht="13.25" customHeight="1">
      <c r="B16" s="114" t="s">
        <v>425</v>
      </c>
      <c r="C16" s="147">
        <f>Scenarios!C46</f>
        <v>0.185</v>
      </c>
      <c r="E16" s="312" t="s">
        <v>401</v>
      </c>
      <c r="F16" s="315">
        <f>Scenarios!C41</f>
        <v>0.12333333333333332</v>
      </c>
    </row>
    <row r="17" spans="1:21" ht="13.25" customHeight="1">
      <c r="B17" s="312" t="s">
        <v>395</v>
      </c>
      <c r="C17" s="310">
        <f>Normalized_FCF!C32</f>
        <v>0.88</v>
      </c>
      <c r="E17" s="312" t="s">
        <v>402</v>
      </c>
      <c r="F17" s="315">
        <f>Scenarios!C40</f>
        <v>0.85</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152.48272169270044</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400046017.56</v>
      </c>
      <c r="D21" s="303">
        <f t="shared" ref="D21:D50" si="1">IF(A21="",0,IF(A21="I",$C$16,$F$16))</f>
        <v>0.185</v>
      </c>
      <c r="E21" s="303">
        <f>$C$17</f>
        <v>0.88</v>
      </c>
      <c r="F21" s="281">
        <f>I5*(1+D21)</f>
        <v>-12714105.555</v>
      </c>
      <c r="G21" s="281">
        <f>C21*(1-E21)+F21+$I$6</f>
        <v>32540582.222079996</v>
      </c>
      <c r="H21" s="303">
        <f t="shared" ref="H21:H50" si="2">IF(A21="",0%,IF(A21="I",$C$18,$F$18))</f>
        <v>0</v>
      </c>
      <c r="I21" s="281">
        <f>(G21*(1-$I$10)+C21*(H21-$I$9))</f>
        <v>24405436.666559998</v>
      </c>
      <c r="J21" s="303">
        <f>I21/C4-1</f>
        <v>0.20382672704343019</v>
      </c>
      <c r="K21" s="119">
        <f t="shared" ref="K21:K50" si="3">IF($C$15&lt;B21,0,1/(1+Equity_Cost)^B21)</f>
        <v>0.93240093240093236</v>
      </c>
      <c r="L21" s="281">
        <f t="shared" ref="L21:L50" si="4">I21*K21</f>
        <v>22755651.903552443</v>
      </c>
    </row>
    <row r="22" spans="1:21">
      <c r="A22" s="306" t="str">
        <f t="shared" si="0"/>
        <v>I</v>
      </c>
      <c r="B22" s="117">
        <v>2</v>
      </c>
      <c r="C22" s="281">
        <f t="shared" ref="C22:C50" si="5">IF(A22="",0,C21*(1+D22))</f>
        <v>474054530.80860001</v>
      </c>
      <c r="D22" s="303">
        <f t="shared" si="1"/>
        <v>0.185</v>
      </c>
      <c r="E22" s="303">
        <f t="shared" ref="E22:E50" si="6">IF($C$15&lt;B22,0,IF(B22&gt;=$F$15,$F$17,$C$17))</f>
        <v>0.88</v>
      </c>
      <c r="F22" s="281">
        <f t="shared" ref="F22:F50" si="7">IF(A22="",0,F21*(1+D22))</f>
        <v>-15066215.082675001</v>
      </c>
      <c r="G22" s="281">
        <f t="shared" ref="G22:G50" si="8">IF(A22="", 0,C22*(1-E22)+F22+$I$6)</f>
        <v>39069494.284236997</v>
      </c>
      <c r="H22" s="303">
        <f t="shared" si="2"/>
        <v>0</v>
      </c>
      <c r="I22" s="281">
        <f>IF(A22="", 0,G22*(1-$I$10)+C22*(H22-$I$9))</f>
        <v>29302120.713177748</v>
      </c>
      <c r="J22" s="303">
        <f>IF(A22="", 0,I22/I21-1)</f>
        <v>0.20063906716846902</v>
      </c>
      <c r="K22" s="119">
        <f t="shared" si="3"/>
        <v>0.86937149874212816</v>
      </c>
      <c r="L22" s="281">
        <f t="shared" si="4"/>
        <v>25474428.600738097</v>
      </c>
    </row>
    <row r="23" spans="1:21">
      <c r="A23" s="306" t="str">
        <f t="shared" si="0"/>
        <v>I</v>
      </c>
      <c r="B23" s="117">
        <v>3</v>
      </c>
      <c r="C23" s="281">
        <f t="shared" si="5"/>
        <v>561754619.00819099</v>
      </c>
      <c r="D23" s="303">
        <f t="shared" si="1"/>
        <v>0.185</v>
      </c>
      <c r="E23" s="303">
        <f t="shared" si="6"/>
        <v>0.88</v>
      </c>
      <c r="F23" s="281">
        <f t="shared" si="7"/>
        <v>-17853464.872969877</v>
      </c>
      <c r="G23" s="281">
        <f t="shared" si="8"/>
        <v>46806255.077893034</v>
      </c>
      <c r="H23" s="303">
        <f t="shared" si="2"/>
        <v>0</v>
      </c>
      <c r="I23" s="281">
        <f t="shared" ref="I23:I50" si="9">IF(A23="", 0,G23*(1-$I$10)+C23*(H23-$I$9))</f>
        <v>35104691.308419779</v>
      </c>
      <c r="J23" s="303">
        <f t="shared" ref="J23:J50" si="10">IF(A23="", 0,I23/I22-1)</f>
        <v>0.19802561910245964</v>
      </c>
      <c r="K23" s="119">
        <f t="shared" si="3"/>
        <v>0.81060279602995633</v>
      </c>
      <c r="L23" s="281">
        <f t="shared" si="4"/>
        <v>28455960.928373579</v>
      </c>
      <c r="N23" s="279"/>
      <c r="O23" s="279"/>
      <c r="P23" s="279"/>
      <c r="Q23" s="279"/>
      <c r="R23" s="279"/>
      <c r="S23" s="279"/>
      <c r="T23" s="279"/>
      <c r="U23" s="279"/>
    </row>
    <row r="24" spans="1:21">
      <c r="A24" s="306" t="str">
        <f t="shared" si="0"/>
        <v>I</v>
      </c>
      <c r="B24" s="117">
        <v>4</v>
      </c>
      <c r="C24" s="281">
        <f t="shared" si="5"/>
        <v>665679223.52470636</v>
      </c>
      <c r="D24" s="303">
        <f t="shared" si="1"/>
        <v>0.185</v>
      </c>
      <c r="E24" s="303">
        <f t="shared" si="6"/>
        <v>0.88</v>
      </c>
      <c r="F24" s="281">
        <f t="shared" si="7"/>
        <v>-21156355.874469306</v>
      </c>
      <c r="G24" s="281">
        <f t="shared" si="8"/>
        <v>55974316.61837545</v>
      </c>
      <c r="H24" s="303">
        <f t="shared" si="2"/>
        <v>0</v>
      </c>
      <c r="I24" s="281">
        <f t="shared" si="9"/>
        <v>41980737.463781588</v>
      </c>
      <c r="J24" s="303">
        <f t="shared" si="10"/>
        <v>0.1958725714164764</v>
      </c>
      <c r="K24" s="119">
        <f t="shared" si="3"/>
        <v>0.75580680282513402</v>
      </c>
      <c r="L24" s="281">
        <f t="shared" si="4"/>
        <v>31729326.962742086</v>
      </c>
      <c r="N24" s="279"/>
      <c r="O24" s="279"/>
      <c r="P24" s="279"/>
      <c r="Q24" s="279"/>
      <c r="R24" s="279"/>
      <c r="S24" s="279"/>
      <c r="T24" s="279"/>
      <c r="U24" s="279"/>
    </row>
    <row r="25" spans="1:21">
      <c r="A25" s="306" t="str">
        <f t="shared" si="0"/>
        <v>II</v>
      </c>
      <c r="B25" s="117">
        <v>5</v>
      </c>
      <c r="C25" s="281">
        <f t="shared" si="5"/>
        <v>747779661.09275341</v>
      </c>
      <c r="D25" s="303">
        <f t="shared" si="1"/>
        <v>0.12333333333333332</v>
      </c>
      <c r="E25" s="303">
        <f t="shared" si="6"/>
        <v>0.85</v>
      </c>
      <c r="F25" s="281">
        <f t="shared" si="7"/>
        <v>-23765639.765653852</v>
      </c>
      <c r="G25" s="281">
        <f t="shared" si="8"/>
        <v>85650475.068139181</v>
      </c>
      <c r="H25" s="303">
        <f t="shared" si="2"/>
        <v>0</v>
      </c>
      <c r="I25" s="281">
        <f t="shared" si="9"/>
        <v>64237856.301104382</v>
      </c>
      <c r="J25" s="303">
        <f t="shared" si="10"/>
        <v>0.53017455580728834</v>
      </c>
      <c r="K25" s="119">
        <f t="shared" si="3"/>
        <v>0.70471496766912267</v>
      </c>
      <c r="L25" s="281">
        <f t="shared" si="4"/>
        <v>45269378.826366521</v>
      </c>
      <c r="N25" s="279"/>
      <c r="O25" s="279"/>
      <c r="P25" s="279"/>
      <c r="Q25" s="279"/>
      <c r="R25" s="279"/>
      <c r="S25" s="279"/>
      <c r="T25" s="279"/>
      <c r="U25" s="279"/>
    </row>
    <row r="26" spans="1:21">
      <c r="A26" s="306" t="str">
        <f t="shared" si="0"/>
        <v>II</v>
      </c>
      <c r="B26" s="117">
        <v>6</v>
      </c>
      <c r="C26" s="281">
        <f t="shared" si="5"/>
        <v>840005819.29419291</v>
      </c>
      <c r="D26" s="303">
        <f t="shared" si="1"/>
        <v>0.12333333333333332</v>
      </c>
      <c r="E26" s="303">
        <f t="shared" si="6"/>
        <v>0.85</v>
      </c>
      <c r="F26" s="281">
        <f t="shared" si="7"/>
        <v>-26696735.336751159</v>
      </c>
      <c r="G26" s="281">
        <f t="shared" si="8"/>
        <v>96553303.227257788</v>
      </c>
      <c r="H26" s="303">
        <f t="shared" si="2"/>
        <v>0</v>
      </c>
      <c r="I26" s="281">
        <f t="shared" si="9"/>
        <v>72414977.420443341</v>
      </c>
      <c r="J26" s="303">
        <f t="shared" si="10"/>
        <v>0.12729442715227068</v>
      </c>
      <c r="K26" s="119">
        <f t="shared" si="3"/>
        <v>0.65707689293158289</v>
      </c>
      <c r="L26" s="281">
        <f t="shared" si="4"/>
        <v>47582208.36513564</v>
      </c>
    </row>
    <row r="27" spans="1:21">
      <c r="A27" s="306" t="str">
        <f t="shared" si="0"/>
        <v>II</v>
      </c>
      <c r="B27" s="117">
        <v>7</v>
      </c>
      <c r="C27" s="281">
        <f t="shared" si="5"/>
        <v>943606537.00714338</v>
      </c>
      <c r="D27" s="303">
        <f t="shared" si="1"/>
        <v>0.12333333333333332</v>
      </c>
      <c r="E27" s="303">
        <f t="shared" si="6"/>
        <v>0.85</v>
      </c>
      <c r="F27" s="281">
        <f t="shared" si="7"/>
        <v>-29989332.694950469</v>
      </c>
      <c r="G27" s="281">
        <f t="shared" si="8"/>
        <v>108800813.52600107</v>
      </c>
      <c r="H27" s="303">
        <f t="shared" si="2"/>
        <v>0</v>
      </c>
      <c r="I27" s="281">
        <f t="shared" si="9"/>
        <v>81600610.144500792</v>
      </c>
      <c r="J27" s="303">
        <f t="shared" si="10"/>
        <v>0.12684713924200253</v>
      </c>
      <c r="K27" s="119">
        <f t="shared" si="3"/>
        <v>0.61265910762851561</v>
      </c>
      <c r="L27" s="281">
        <f t="shared" si="4"/>
        <v>49993356.993072256</v>
      </c>
    </row>
    <row r="28" spans="1:21">
      <c r="A28" s="306" t="str">
        <f t="shared" si="0"/>
        <v>II</v>
      </c>
      <c r="B28" s="117">
        <v>8</v>
      </c>
      <c r="C28" s="281">
        <f t="shared" si="5"/>
        <v>1059984676.5713577</v>
      </c>
      <c r="D28" s="303">
        <f t="shared" si="1"/>
        <v>0.12333333333333332</v>
      </c>
      <c r="E28" s="303">
        <f t="shared" si="6"/>
        <v>0.85</v>
      </c>
      <c r="F28" s="281">
        <f t="shared" si="7"/>
        <v>-33688017.060661025</v>
      </c>
      <c r="G28" s="281">
        <f t="shared" si="8"/>
        <v>122558850.09492266</v>
      </c>
      <c r="H28" s="303">
        <f t="shared" si="2"/>
        <v>0</v>
      </c>
      <c r="I28" s="281">
        <f t="shared" si="9"/>
        <v>91919137.571191996</v>
      </c>
      <c r="J28" s="303">
        <f t="shared" si="10"/>
        <v>0.12645159648216908</v>
      </c>
      <c r="K28" s="119">
        <f t="shared" si="3"/>
        <v>0.5712439231967511</v>
      </c>
      <c r="L28" s="281">
        <f t="shared" si="4"/>
        <v>52508248.763029598</v>
      </c>
    </row>
    <row r="29" spans="1:21">
      <c r="A29" s="306" t="str">
        <f t="shared" si="0"/>
        <v>II</v>
      </c>
      <c r="B29" s="117">
        <v>9</v>
      </c>
      <c r="C29" s="281">
        <f t="shared" si="5"/>
        <v>1190716120.0151584</v>
      </c>
      <c r="D29" s="303">
        <f t="shared" si="1"/>
        <v>0.12333333333333332</v>
      </c>
      <c r="E29" s="303">
        <f t="shared" si="6"/>
        <v>0.85</v>
      </c>
      <c r="F29" s="281">
        <f t="shared" si="7"/>
        <v>-37842872.498142548</v>
      </c>
      <c r="G29" s="281">
        <f t="shared" si="8"/>
        <v>138013711.17401126</v>
      </c>
      <c r="H29" s="303">
        <f t="shared" si="2"/>
        <v>0</v>
      </c>
      <c r="I29" s="281">
        <f t="shared" si="9"/>
        <v>103510283.38050845</v>
      </c>
      <c r="J29" s="303">
        <f t="shared" si="10"/>
        <v>0.12610155094567799</v>
      </c>
      <c r="K29" s="119">
        <f t="shared" si="3"/>
        <v>0.53262836661701729</v>
      </c>
      <c r="L29" s="281">
        <f t="shared" si="4"/>
        <v>55132513.16502481</v>
      </c>
    </row>
    <row r="30" spans="1:21">
      <c r="A30" s="306" t="str">
        <f t="shared" si="0"/>
        <v>II</v>
      </c>
      <c r="B30" s="117">
        <v>10</v>
      </c>
      <c r="C30" s="281">
        <f t="shared" si="5"/>
        <v>1337571108.1503613</v>
      </c>
      <c r="D30" s="303">
        <f t="shared" si="1"/>
        <v>0.12333333333333332</v>
      </c>
      <c r="E30" s="303">
        <f t="shared" si="6"/>
        <v>0.85</v>
      </c>
      <c r="F30" s="281">
        <f t="shared" si="7"/>
        <v>-42510160.106246792</v>
      </c>
      <c r="G30" s="281">
        <f t="shared" si="8"/>
        <v>155374671.78618744</v>
      </c>
      <c r="H30" s="303">
        <f t="shared" si="2"/>
        <v>0</v>
      </c>
      <c r="I30" s="281">
        <f t="shared" si="9"/>
        <v>116531003.83964059</v>
      </c>
      <c r="J30" s="303">
        <f t="shared" si="10"/>
        <v>0.12579156421847859</v>
      </c>
      <c r="K30" s="119">
        <f t="shared" si="3"/>
        <v>0.49662318565689262</v>
      </c>
      <c r="L30" s="281">
        <f t="shared" si="4"/>
        <v>57871998.354637891</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11</v>
      </c>
      <c r="C51" s="281">
        <f>VLOOKUP(C15,B21:C50,2,FALSE)*(1+Terminal_Growth)</f>
        <v>1337571108.1503613</v>
      </c>
      <c r="D51" s="305">
        <f>Terminal_Growth</f>
        <v>0</v>
      </c>
      <c r="E51" s="305">
        <f>F17</f>
        <v>0.85</v>
      </c>
      <c r="F51" s="281">
        <f>VLOOKUP(C15,B21:F50,5,FALSE)*(1+Terminal_Growth)</f>
        <v>-42510160.106246792</v>
      </c>
      <c r="G51" s="281">
        <f>C51*(1-E51)+F51+$I$6</f>
        <v>155374671.78618744</v>
      </c>
      <c r="H51" s="303">
        <f>F18</f>
        <v>0</v>
      </c>
      <c r="I51" s="281">
        <f>(G51*(1-$I$10)+C51*(H51-$I$9))/Equity_Cost</f>
        <v>1607324190.8915944</v>
      </c>
      <c r="J51" s="419">
        <f>(G51*(1-$I$10)+C51*(H51-$I$9))/VLOOKUP(C15,B21:I50,8,FALSE)-1</f>
        <v>0</v>
      </c>
      <c r="K51" s="119">
        <f>1/(1+Equity_Cost)^C15</f>
        <v>0.49662318565689262</v>
      </c>
      <c r="L51" s="281">
        <f>I51*K51</f>
        <v>798234460.06397104</v>
      </c>
    </row>
    <row r="52" spans="1:21" ht="13.15">
      <c r="G52" s="111"/>
      <c r="H52" s="111"/>
      <c r="I52" s="111"/>
      <c r="J52" s="464" t="s">
        <v>423</v>
      </c>
      <c r="K52" s="464"/>
      <c r="L52" s="321">
        <f>SUM(L21:L51)</f>
        <v>1215007532.9266438</v>
      </c>
    </row>
    <row r="53" spans="1:21">
      <c r="C53" s="111"/>
    </row>
    <row r="54" spans="1:21" ht="13.15">
      <c r="B54" s="115" t="s">
        <v>108</v>
      </c>
      <c r="C54" s="128"/>
      <c r="D54" s="128"/>
      <c r="E54" s="113"/>
      <c r="F54" s="113"/>
      <c r="G54" s="113"/>
      <c r="H54" s="113"/>
      <c r="I54" s="113"/>
      <c r="J54" s="113"/>
      <c r="K54" s="113"/>
      <c r="L54" s="113"/>
    </row>
    <row r="55" spans="1:21" ht="13.15">
      <c r="A55" s="125">
        <f>L52</f>
        <v>1215007532.9266438</v>
      </c>
      <c r="B55" s="123">
        <f>C94</f>
        <v>0</v>
      </c>
      <c r="C55" s="123">
        <f>C93</f>
        <v>0.08</v>
      </c>
      <c r="D55" s="123">
        <f>C92</f>
        <v>0.18</v>
      </c>
      <c r="E55" s="123">
        <f>C91</f>
        <v>0.25</v>
      </c>
      <c r="F55" s="123">
        <f>C90</f>
        <v>0.3</v>
      </c>
      <c r="G55" s="123"/>
      <c r="H55" s="123"/>
      <c r="I55" s="123"/>
      <c r="J55" s="123"/>
      <c r="K55" s="123"/>
      <c r="L55" s="123"/>
    </row>
    <row r="56" spans="1:21" ht="13.15">
      <c r="A56" s="131">
        <v>1</v>
      </c>
      <c r="B56" s="118">
        <f t="dataTable" ref="B56:F69" dt2D="1" dtr="1" r1="C16" r2="C15"/>
        <v>377317994.45041049</v>
      </c>
      <c r="C56" s="118">
        <v>398959322.52047557</v>
      </c>
      <c r="D56" s="118">
        <v>426010982.6080572</v>
      </c>
      <c r="E56" s="118">
        <v>444947144.66936404</v>
      </c>
      <c r="F56" s="118">
        <v>458472974.71315461</v>
      </c>
      <c r="G56" s="299"/>
      <c r="H56" s="299"/>
      <c r="I56" s="299"/>
      <c r="J56" s="299"/>
      <c r="K56" s="299"/>
      <c r="L56" s="299"/>
    </row>
    <row r="57" spans="1:21" ht="13.15">
      <c r="A57" s="131">
        <v>2</v>
      </c>
      <c r="B57" s="118">
        <v>377317994.45041049</v>
      </c>
      <c r="C57" s="118">
        <v>420584872.54275668</v>
      </c>
      <c r="D57" s="118">
        <v>477748057.97781849</v>
      </c>
      <c r="E57" s="118">
        <v>519798237.50756037</v>
      </c>
      <c r="F57" s="118">
        <v>550860609.30201411</v>
      </c>
      <c r="G57" s="299"/>
      <c r="H57" s="299"/>
      <c r="I57" s="299"/>
      <c r="J57" s="299"/>
      <c r="K57" s="299"/>
      <c r="L57" s="299"/>
    </row>
    <row r="58" spans="1:21" ht="13.15">
      <c r="A58" s="131">
        <v>3</v>
      </c>
      <c r="B58" s="118">
        <v>377317994.45041049</v>
      </c>
      <c r="C58" s="118">
        <v>453729796.50164908</v>
      </c>
      <c r="D58" s="118">
        <v>561789023.92537344</v>
      </c>
      <c r="E58" s="118">
        <v>646198355.19029069</v>
      </c>
      <c r="F58" s="118">
        <v>711122080.60531783</v>
      </c>
      <c r="G58" s="299"/>
      <c r="H58" s="299"/>
      <c r="I58" s="299"/>
      <c r="J58" s="299"/>
      <c r="K58" s="299"/>
      <c r="L58" s="299"/>
    </row>
    <row r="59" spans="1:21" ht="13.15">
      <c r="A59" s="131">
        <v>4</v>
      </c>
      <c r="B59" s="118">
        <v>377317994.45041049</v>
      </c>
      <c r="C59" s="118">
        <v>475117400.96399999</v>
      </c>
      <c r="D59" s="118">
        <v>621232925.06364298</v>
      </c>
      <c r="E59" s="118">
        <v>741097073.38666606</v>
      </c>
      <c r="F59" s="118">
        <v>836419995.70781839</v>
      </c>
      <c r="G59" s="299"/>
      <c r="H59" s="299"/>
      <c r="I59" s="299"/>
      <c r="J59" s="299"/>
      <c r="K59" s="299"/>
      <c r="L59" s="299"/>
    </row>
    <row r="60" spans="1:21" ht="13.15">
      <c r="A60" s="131">
        <v>5</v>
      </c>
      <c r="B60" s="118">
        <v>370714413.32663918</v>
      </c>
      <c r="C60" s="118">
        <v>501131437.38908601</v>
      </c>
      <c r="D60" s="118">
        <v>710928531.26256847</v>
      </c>
      <c r="E60" s="118">
        <v>894492183.85927308</v>
      </c>
      <c r="F60" s="118">
        <v>1046953083.6350274</v>
      </c>
      <c r="G60" s="299"/>
      <c r="H60" s="299"/>
      <c r="I60" s="299"/>
      <c r="J60" s="299"/>
      <c r="K60" s="299"/>
      <c r="L60" s="299"/>
    </row>
    <row r="61" spans="1:21" ht="13.15">
      <c r="A61" s="131">
        <v>6</v>
      </c>
      <c r="B61" s="118">
        <v>370714413.32663918</v>
      </c>
      <c r="C61" s="118">
        <v>522283714.40246493</v>
      </c>
      <c r="D61" s="118">
        <v>779227277.51527262</v>
      </c>
      <c r="E61" s="118">
        <v>1014807951.7904457</v>
      </c>
      <c r="F61" s="118">
        <v>1216884564.17243</v>
      </c>
      <c r="G61" s="299"/>
      <c r="H61" s="299"/>
      <c r="I61" s="299"/>
      <c r="J61" s="299"/>
      <c r="K61" s="299"/>
      <c r="L61" s="299"/>
    </row>
    <row r="62" spans="1:21" ht="13.15">
      <c r="A62" s="131">
        <v>7</v>
      </c>
      <c r="B62" s="118">
        <v>364557228.12964964</v>
      </c>
      <c r="C62" s="118">
        <v>548627585.18726063</v>
      </c>
      <c r="D62" s="118">
        <v>884759147.47974586</v>
      </c>
      <c r="E62" s="118">
        <v>1213502531.6492257</v>
      </c>
      <c r="F62" s="118">
        <v>1508122257.531527</v>
      </c>
      <c r="G62" s="299"/>
      <c r="H62" s="299"/>
      <c r="I62" s="299"/>
      <c r="J62" s="299"/>
      <c r="K62" s="299"/>
      <c r="L62" s="299"/>
    </row>
    <row r="63" spans="1:21" ht="13.15">
      <c r="A63" s="131">
        <v>8</v>
      </c>
      <c r="B63" s="118">
        <v>364557228.12964958</v>
      </c>
      <c r="C63" s="118">
        <v>569547124.05559528</v>
      </c>
      <c r="D63" s="118">
        <v>963231768.73050952</v>
      </c>
      <c r="E63" s="118">
        <v>1366042885.0701499</v>
      </c>
      <c r="F63" s="118">
        <v>1738586651.5640295</v>
      </c>
      <c r="G63" s="299"/>
      <c r="H63" s="299"/>
      <c r="I63" s="299"/>
      <c r="J63" s="299"/>
      <c r="K63" s="299"/>
      <c r="L63" s="299"/>
    </row>
    <row r="64" spans="1:21" ht="13.15">
      <c r="A64" s="131">
        <v>9</v>
      </c>
      <c r="B64" s="118">
        <v>358816262.91101122</v>
      </c>
      <c r="C64" s="118">
        <v>596221508.19460857</v>
      </c>
      <c r="D64" s="118">
        <v>1087206979.3063002</v>
      </c>
      <c r="E64" s="118">
        <v>1622867255.7514448</v>
      </c>
      <c r="F64" s="118">
        <v>2140488424.0667987</v>
      </c>
      <c r="G64" s="299"/>
      <c r="H64" s="299"/>
      <c r="I64" s="299"/>
      <c r="J64" s="299"/>
      <c r="K64" s="299"/>
      <c r="L64" s="299"/>
    </row>
    <row r="65" spans="1:21" ht="13.15">
      <c r="A65" s="131">
        <v>10</v>
      </c>
      <c r="B65" s="118">
        <v>358816262.91101128</v>
      </c>
      <c r="C65" s="118">
        <v>616910869.73175943</v>
      </c>
      <c r="D65" s="118">
        <v>1177368989.9408953</v>
      </c>
      <c r="E65" s="118">
        <v>1816263016.106741</v>
      </c>
      <c r="F65" s="118">
        <v>2453048738.0757012</v>
      </c>
      <c r="G65" s="299"/>
      <c r="H65" s="299"/>
      <c r="I65" s="299"/>
      <c r="J65" s="299"/>
      <c r="K65" s="299"/>
      <c r="L65" s="299"/>
    </row>
    <row r="66" spans="1:21" ht="13.15">
      <c r="A66" s="131">
        <v>15</v>
      </c>
      <c r="B66" s="118">
        <v>343818707.59377861</v>
      </c>
      <c r="C66" s="281">
        <v>739622525.59275317</v>
      </c>
      <c r="D66" s="118">
        <v>1915234444.1029336</v>
      </c>
      <c r="E66" s="118">
        <v>3679239553.99401</v>
      </c>
      <c r="F66" s="118">
        <v>5810174299.3794937</v>
      </c>
      <c r="G66" s="299"/>
      <c r="H66" s="299"/>
      <c r="I66" s="299"/>
      <c r="J66" s="299"/>
      <c r="K66" s="299"/>
      <c r="L66" s="299"/>
      <c r="M66" s="279"/>
      <c r="N66" s="279"/>
      <c r="O66" s="279"/>
      <c r="P66" s="279"/>
      <c r="Q66" s="279"/>
      <c r="R66" s="279"/>
      <c r="S66" s="279"/>
      <c r="T66" s="279"/>
      <c r="U66" s="279"/>
    </row>
    <row r="67" spans="1:21" ht="13.15">
      <c r="A67" s="132">
        <v>20</v>
      </c>
      <c r="B67" s="118">
        <v>335433902.90830702</v>
      </c>
      <c r="C67" s="281">
        <v>855347660.46720028</v>
      </c>
      <c r="D67" s="118">
        <v>2894967209.6957183</v>
      </c>
      <c r="E67" s="118">
        <v>6815701773.9203024</v>
      </c>
      <c r="F67" s="118">
        <v>12471181929.742725</v>
      </c>
      <c r="G67" s="299"/>
      <c r="H67" s="299"/>
      <c r="I67" s="299"/>
      <c r="J67" s="299"/>
      <c r="K67" s="299"/>
      <c r="L67" s="299"/>
      <c r="M67" s="279"/>
      <c r="N67" s="279"/>
      <c r="O67" s="279"/>
      <c r="P67" s="279"/>
      <c r="Q67" s="279"/>
      <c r="R67" s="279"/>
      <c r="S67" s="279"/>
      <c r="T67" s="279"/>
      <c r="U67" s="279"/>
    </row>
    <row r="68" spans="1:21" ht="13.15">
      <c r="A68" s="132">
        <v>25</v>
      </c>
      <c r="B68" s="118">
        <v>324864901.19780749</v>
      </c>
      <c r="C68" s="281">
        <v>980883196.63704002</v>
      </c>
      <c r="D68" s="118">
        <v>4459752952.1124229</v>
      </c>
      <c r="E68" s="118">
        <v>13176911752.202265</v>
      </c>
      <c r="F68" s="118">
        <v>28386726738.731266</v>
      </c>
      <c r="G68" s="299"/>
      <c r="H68" s="299"/>
      <c r="I68" s="299"/>
      <c r="J68" s="299"/>
      <c r="K68" s="299"/>
      <c r="L68" s="299"/>
      <c r="M68" s="279"/>
      <c r="N68" s="279"/>
      <c r="O68" s="279"/>
      <c r="P68" s="279"/>
      <c r="Q68" s="279"/>
      <c r="R68" s="279"/>
      <c r="S68" s="279"/>
      <c r="T68" s="279"/>
      <c r="U68" s="279"/>
    </row>
    <row r="69" spans="1:21" ht="13.15">
      <c r="A69" s="132">
        <v>30</v>
      </c>
      <c r="B69" s="118">
        <v>318956003.83497351</v>
      </c>
      <c r="C69" s="281">
        <v>1096775965.1485937</v>
      </c>
      <c r="D69" s="118">
        <v>6495275507.3163376</v>
      </c>
      <c r="E69" s="118">
        <v>23702741086.154083</v>
      </c>
      <c r="F69" s="118">
        <v>59497327290.312347</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v>
      </c>
      <c r="C72" s="124">
        <f>C55</f>
        <v>0.08</v>
      </c>
      <c r="D72" s="124">
        <f>D55</f>
        <v>0.18</v>
      </c>
      <c r="E72" s="124">
        <f>E55</f>
        <v>0.25</v>
      </c>
      <c r="F72" s="124">
        <f>F55</f>
        <v>0.3</v>
      </c>
      <c r="G72" s="124"/>
      <c r="H72" s="124"/>
      <c r="I72" s="124"/>
      <c r="J72" s="124"/>
      <c r="K72" s="124"/>
      <c r="L72" s="124"/>
    </row>
    <row r="73" spans="1:21" ht="13.15">
      <c r="A73" s="131">
        <v>0</v>
      </c>
      <c r="B73" s="119">
        <f>C11</f>
        <v>41.936962537797164</v>
      </c>
      <c r="C73" s="119">
        <f>C11</f>
        <v>41.936962537797164</v>
      </c>
      <c r="D73" s="119">
        <f>C11</f>
        <v>41.936962537797164</v>
      </c>
      <c r="E73" s="119">
        <f>C11</f>
        <v>41.936962537797164</v>
      </c>
      <c r="F73" s="119">
        <f>C11</f>
        <v>41.936962537797164</v>
      </c>
      <c r="G73" s="300"/>
      <c r="H73" s="300"/>
      <c r="I73" s="300"/>
      <c r="J73" s="300"/>
      <c r="K73" s="300"/>
      <c r="L73" s="300"/>
    </row>
    <row r="74" spans="1:21" ht="13.15">
      <c r="A74" s="131">
        <v>1</v>
      </c>
      <c r="B74" s="119">
        <f t="shared" ref="B74:F87" si="11">(B56+FV_adjustments)/Common_Shares*scaling_factor*Exchange_Rate</f>
        <v>53.481969859780975</v>
      </c>
      <c r="C74" s="119">
        <f t="shared" si="11"/>
        <v>56.039609237128992</v>
      </c>
      <c r="D74" s="119">
        <f t="shared" si="11"/>
        <v>59.236658458814055</v>
      </c>
      <c r="E74" s="119">
        <f t="shared" si="11"/>
        <v>61.474592913993561</v>
      </c>
      <c r="F74" s="119">
        <f t="shared" si="11"/>
        <v>63.073117524836057</v>
      </c>
      <c r="G74" s="300"/>
      <c r="H74" s="300"/>
      <c r="I74" s="300"/>
      <c r="J74" s="300"/>
      <c r="K74" s="300"/>
      <c r="L74" s="300"/>
    </row>
    <row r="75" spans="1:21" ht="13.15">
      <c r="A75" s="131">
        <v>2</v>
      </c>
      <c r="B75" s="119">
        <f t="shared" si="11"/>
        <v>53.481969859780975</v>
      </c>
      <c r="C75" s="119">
        <f t="shared" si="11"/>
        <v>58.595383915777418</v>
      </c>
      <c r="D75" s="119">
        <f t="shared" si="11"/>
        <v>65.351106740643843</v>
      </c>
      <c r="E75" s="119">
        <f t="shared" si="11"/>
        <v>70.320727580992695</v>
      </c>
      <c r="F75" s="119">
        <f t="shared" si="11"/>
        <v>73.991775170960679</v>
      </c>
      <c r="G75" s="300"/>
      <c r="H75" s="300"/>
      <c r="I75" s="300"/>
      <c r="J75" s="300"/>
      <c r="K75" s="300"/>
      <c r="L75" s="300"/>
    </row>
    <row r="76" spans="1:21" ht="13.15">
      <c r="A76" s="131">
        <v>3</v>
      </c>
      <c r="B76" s="119">
        <f t="shared" si="11"/>
        <v>53.481969859780975</v>
      </c>
      <c r="C76" s="119">
        <f t="shared" si="11"/>
        <v>62.512553989721688</v>
      </c>
      <c r="D76" s="119">
        <f t="shared" si="11"/>
        <v>75.28332915887664</v>
      </c>
      <c r="E76" s="119">
        <f t="shared" si="11"/>
        <v>85.259086134595222</v>
      </c>
      <c r="F76" s="119">
        <f t="shared" si="11"/>
        <v>92.931973681422406</v>
      </c>
      <c r="G76" s="300"/>
      <c r="H76" s="300"/>
      <c r="I76" s="300"/>
      <c r="J76" s="300"/>
      <c r="K76" s="300"/>
      <c r="L76" s="300"/>
    </row>
    <row r="77" spans="1:21" ht="13.15">
      <c r="A77" s="131">
        <v>4</v>
      </c>
      <c r="B77" s="119">
        <f t="shared" si="11"/>
        <v>53.481969859780975</v>
      </c>
      <c r="C77" s="119">
        <f t="shared" si="11"/>
        <v>65.040207522949999</v>
      </c>
      <c r="D77" s="119">
        <f t="shared" si="11"/>
        <v>82.30859405030084</v>
      </c>
      <c r="E77" s="119">
        <f t="shared" si="11"/>
        <v>96.474511441817285</v>
      </c>
      <c r="F77" s="119">
        <f t="shared" si="11"/>
        <v>107.74007051024154</v>
      </c>
      <c r="G77" s="300"/>
      <c r="H77" s="300"/>
      <c r="I77" s="300"/>
      <c r="J77" s="300"/>
      <c r="K77" s="300"/>
      <c r="L77" s="300"/>
    </row>
    <row r="78" spans="1:21" ht="13.15">
      <c r="A78" s="131">
        <v>5</v>
      </c>
      <c r="B78" s="119">
        <f t="shared" si="11"/>
        <v>52.701538129390457</v>
      </c>
      <c r="C78" s="119">
        <f t="shared" si="11"/>
        <v>68.114627156955663</v>
      </c>
      <c r="D78" s="119">
        <f t="shared" si="11"/>
        <v>92.909099418859924</v>
      </c>
      <c r="E78" s="119">
        <f t="shared" si="11"/>
        <v>114.60322209983238</v>
      </c>
      <c r="F78" s="119">
        <f t="shared" si="11"/>
        <v>132.62152483568693</v>
      </c>
      <c r="G78" s="300"/>
      <c r="H78" s="300"/>
      <c r="I78" s="300"/>
      <c r="J78" s="300"/>
      <c r="K78" s="300"/>
      <c r="L78" s="300"/>
    </row>
    <row r="79" spans="1:21" ht="13.15">
      <c r="A79" s="131">
        <v>6</v>
      </c>
      <c r="B79" s="119">
        <f t="shared" si="11"/>
        <v>52.701538129390457</v>
      </c>
      <c r="C79" s="119">
        <f t="shared" si="11"/>
        <v>70.614468961249727</v>
      </c>
      <c r="D79" s="119">
        <f t="shared" si="11"/>
        <v>100.98085741235592</v>
      </c>
      <c r="E79" s="119">
        <f t="shared" si="11"/>
        <v>128.82251329953871</v>
      </c>
      <c r="F79" s="119">
        <f t="shared" si="11"/>
        <v>152.7045550760858</v>
      </c>
      <c r="G79" s="300"/>
      <c r="H79" s="300"/>
      <c r="I79" s="300"/>
      <c r="J79" s="300"/>
      <c r="K79" s="300"/>
      <c r="L79" s="300"/>
    </row>
    <row r="80" spans="1:21" ht="13.15">
      <c r="A80" s="131">
        <f t="shared" ref="A80" si="12">A62</f>
        <v>7</v>
      </c>
      <c r="B80" s="119">
        <f t="shared" si="11"/>
        <v>51.973862856299071</v>
      </c>
      <c r="C80" s="119">
        <f t="shared" si="11"/>
        <v>73.72786944447428</v>
      </c>
      <c r="D80" s="119">
        <f t="shared" si="11"/>
        <v>113.4529416260627</v>
      </c>
      <c r="E80" s="119">
        <f t="shared" si="11"/>
        <v>152.3048559666405</v>
      </c>
      <c r="F80" s="119">
        <f t="shared" si="11"/>
        <v>187.12393037004372</v>
      </c>
      <c r="G80" s="300"/>
      <c r="H80" s="300"/>
      <c r="I80" s="300"/>
      <c r="J80" s="300"/>
      <c r="K80" s="300"/>
      <c r="L80" s="300"/>
    </row>
    <row r="81" spans="1:12" ht="13.15">
      <c r="A81" s="131">
        <v>8</v>
      </c>
      <c r="B81" s="119">
        <f t="shared" si="11"/>
        <v>51.973862856299064</v>
      </c>
      <c r="C81" s="119">
        <f t="shared" si="11"/>
        <v>76.200205531815641</v>
      </c>
      <c r="D81" s="119">
        <f t="shared" si="11"/>
        <v>122.7270797706755</v>
      </c>
      <c r="E81" s="119">
        <f t="shared" si="11"/>
        <v>170.33254878109386</v>
      </c>
      <c r="F81" s="119">
        <f t="shared" si="11"/>
        <v>214.36092836507513</v>
      </c>
      <c r="G81" s="300"/>
      <c r="H81" s="300"/>
      <c r="I81" s="300"/>
      <c r="J81" s="300"/>
      <c r="K81" s="300"/>
      <c r="L81" s="300"/>
    </row>
    <row r="82" spans="1:12" ht="13.15">
      <c r="A82" s="131">
        <f t="shared" ref="A82" si="13">A64</f>
        <v>9</v>
      </c>
      <c r="B82" s="119">
        <f t="shared" si="11"/>
        <v>51.295377753183551</v>
      </c>
      <c r="C82" s="119">
        <f t="shared" si="11"/>
        <v>79.352667109939233</v>
      </c>
      <c r="D82" s="119">
        <f t="shared" si="11"/>
        <v>137.37885526971502</v>
      </c>
      <c r="E82" s="119">
        <f t="shared" si="11"/>
        <v>200.68485070038778</v>
      </c>
      <c r="F82" s="119">
        <f t="shared" si="11"/>
        <v>261.85892829609134</v>
      </c>
      <c r="G82" s="300"/>
      <c r="H82" s="300"/>
      <c r="I82" s="300"/>
      <c r="J82" s="300"/>
      <c r="K82" s="300"/>
      <c r="L82" s="300"/>
    </row>
    <row r="83" spans="1:12" ht="13.15">
      <c r="A83" s="131">
        <f t="shared" ref="A83:A87" si="14">A65</f>
        <v>10</v>
      </c>
      <c r="B83" s="119">
        <f t="shared" si="11"/>
        <v>51.295377753183551</v>
      </c>
      <c r="C83" s="119">
        <f t="shared" si="11"/>
        <v>81.797800125264729</v>
      </c>
      <c r="D83" s="119">
        <f t="shared" si="11"/>
        <v>148.03448176330747</v>
      </c>
      <c r="E83" s="119">
        <f t="shared" si="11"/>
        <v>223.54096241846034</v>
      </c>
      <c r="F83" s="119">
        <f t="shared" si="11"/>
        <v>298.79827713444701</v>
      </c>
      <c r="G83" s="300"/>
      <c r="H83" s="300"/>
      <c r="I83" s="300"/>
      <c r="J83" s="300"/>
      <c r="K83" s="300"/>
      <c r="L83" s="300"/>
    </row>
    <row r="84" spans="1:12" ht="13.15">
      <c r="A84" s="131">
        <f t="shared" si="14"/>
        <v>15</v>
      </c>
      <c r="B84" s="119">
        <f t="shared" si="11"/>
        <v>49.522920077798659</v>
      </c>
      <c r="C84" s="119">
        <f t="shared" si="11"/>
        <v>96.300244803037842</v>
      </c>
      <c r="D84" s="119">
        <f t="shared" si="11"/>
        <v>235.23771322117878</v>
      </c>
      <c r="E84" s="119">
        <f t="shared" si="11"/>
        <v>443.71331676517974</v>
      </c>
      <c r="F84" s="119">
        <f t="shared" si="11"/>
        <v>695.55380445206174</v>
      </c>
      <c r="G84" s="300"/>
      <c r="H84" s="300"/>
      <c r="I84" s="300"/>
      <c r="J84" s="300"/>
      <c r="K84" s="300"/>
      <c r="L84" s="300"/>
    </row>
    <row r="85" spans="1:12" ht="13.15">
      <c r="A85" s="132">
        <f t="shared" si="14"/>
        <v>20</v>
      </c>
      <c r="B85" s="119">
        <f t="shared" si="11"/>
        <v>48.531977813742408</v>
      </c>
      <c r="C85" s="119">
        <f t="shared" si="11"/>
        <v>109.97700072788378</v>
      </c>
      <c r="D85" s="119">
        <f t="shared" si="11"/>
        <v>351.02557487391579</v>
      </c>
      <c r="E85" s="119">
        <f t="shared" si="11"/>
        <v>814.39016493625229</v>
      </c>
      <c r="F85" s="119">
        <f t="shared" si="11"/>
        <v>1482.7723777797303</v>
      </c>
      <c r="G85" s="300"/>
      <c r="H85" s="300"/>
      <c r="I85" s="300"/>
      <c r="J85" s="300"/>
      <c r="K85" s="300"/>
      <c r="L85" s="300"/>
    </row>
    <row r="86" spans="1:12" ht="13.15">
      <c r="A86" s="132">
        <f t="shared" si="14"/>
        <v>25</v>
      </c>
      <c r="B86" s="119">
        <f t="shared" si="11"/>
        <v>47.282900360338644</v>
      </c>
      <c r="C86" s="119">
        <f t="shared" si="11"/>
        <v>124.81318035258062</v>
      </c>
      <c r="D86" s="119">
        <f t="shared" si="11"/>
        <v>535.9568147202184</v>
      </c>
      <c r="E86" s="119">
        <f t="shared" si="11"/>
        <v>1566.1777204577554</v>
      </c>
      <c r="F86" s="119">
        <f t="shared" si="11"/>
        <v>3363.7209029177084</v>
      </c>
      <c r="G86" s="300"/>
      <c r="H86" s="300"/>
      <c r="I86" s="300"/>
      <c r="J86" s="300"/>
      <c r="K86" s="300"/>
      <c r="L86" s="300"/>
    </row>
    <row r="87" spans="1:12" ht="13.15">
      <c r="A87" s="132">
        <f t="shared" si="14"/>
        <v>30</v>
      </c>
      <c r="B87" s="119">
        <f t="shared" si="11"/>
        <v>46.584568514762282</v>
      </c>
      <c r="C87" s="119">
        <f t="shared" si="11"/>
        <v>138.50974774139232</v>
      </c>
      <c r="D87" s="119">
        <f t="shared" si="11"/>
        <v>776.52119338563296</v>
      </c>
      <c r="E87" s="119">
        <f t="shared" si="11"/>
        <v>2810.1529282916222</v>
      </c>
      <c r="F87" s="119">
        <f t="shared" si="11"/>
        <v>7040.4683172195173</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0.3</v>
      </c>
      <c r="D90" s="133">
        <f>Scenarios!D29</f>
        <v>10</v>
      </c>
      <c r="E90" s="127">
        <f>INDEX(B$73:F$87, MATCH(D90, A$73:A$87, 0), MATCH(C90, B$72:F$72, 0))</f>
        <v>298.79827713444701</v>
      </c>
      <c r="F90" s="130">
        <f>Scenarios!F29</f>
        <v>0.05</v>
      </c>
      <c r="G90" s="301"/>
      <c r="H90" s="301"/>
      <c r="I90" s="301"/>
      <c r="J90" s="301"/>
      <c r="K90" s="301"/>
      <c r="L90" s="301"/>
    </row>
    <row r="91" spans="1:12">
      <c r="B91" s="120" t="str">
        <f>Scenarios!B22</f>
        <v>Optimistic</v>
      </c>
      <c r="C91" s="130">
        <f>Scenarios!C22</f>
        <v>0.25</v>
      </c>
      <c r="D91" s="133">
        <f>Scenarios!D22</f>
        <v>10</v>
      </c>
      <c r="E91" s="127">
        <f>INDEX(B$73:F$87, MATCH(D91, A$73:A$87, 0), MATCH(C91, B$72:F$72, 0))</f>
        <v>223.54096241846034</v>
      </c>
      <c r="F91" s="130">
        <f>Scenarios!F22*(1-F$90-F$94)</f>
        <v>0.18</v>
      </c>
      <c r="G91" s="301"/>
      <c r="H91" s="301"/>
      <c r="I91" s="301"/>
      <c r="J91" s="301"/>
      <c r="K91" s="301"/>
      <c r="L91" s="301"/>
    </row>
    <row r="92" spans="1:12">
      <c r="B92" s="120" t="str">
        <f>Scenarios!B23</f>
        <v>Base</v>
      </c>
      <c r="C92" s="130">
        <f>Scenarios!C23</f>
        <v>0.18</v>
      </c>
      <c r="D92" s="133">
        <f>Scenarios!D23</f>
        <v>10</v>
      </c>
      <c r="E92" s="127">
        <f>INDEX(B$73:F$87, MATCH(D92, A$73:A$87, 0), MATCH(C92, B$72:F$72, 0))</f>
        <v>148.03448176330747</v>
      </c>
      <c r="F92" s="130">
        <f>Scenarios!F23*(1-F$90-F$94)</f>
        <v>0.53999999999999992</v>
      </c>
      <c r="G92" s="301"/>
      <c r="H92" s="301"/>
      <c r="I92" s="301"/>
      <c r="J92" s="301"/>
      <c r="K92" s="301"/>
      <c r="L92" s="301"/>
    </row>
    <row r="93" spans="1:12">
      <c r="B93" s="120" t="str">
        <f>Scenarios!B24</f>
        <v>Pessimistic</v>
      </c>
      <c r="C93" s="130">
        <f>Scenarios!C24</f>
        <v>0.08</v>
      </c>
      <c r="D93" s="133">
        <f>Scenarios!D24</f>
        <v>10</v>
      </c>
      <c r="E93" s="127">
        <f>INDEX(B$73:F$87, MATCH(D93, A$73:A$87, 0), MATCH(C93, B$72:F$72, 0))</f>
        <v>81.797800125264729</v>
      </c>
      <c r="F93" s="130">
        <f>Scenarios!F24*(1-F$90-F$94)</f>
        <v>0.18</v>
      </c>
      <c r="G93" s="301"/>
      <c r="H93" s="301"/>
      <c r="I93" s="301"/>
      <c r="J93" s="301"/>
      <c r="K93" s="301"/>
      <c r="L93" s="301"/>
    </row>
    <row r="94" spans="1:12">
      <c r="B94" s="120" t="str">
        <f>Scenarios!B30</f>
        <v>Devil's advocate</v>
      </c>
      <c r="C94" s="130">
        <f>Scenarios!C30</f>
        <v>0</v>
      </c>
      <c r="D94" s="133">
        <f>Scenarios!D30</f>
        <v>10</v>
      </c>
      <c r="E94" s="127">
        <f>INDEX(B$73:F$87, MATCH(D94, A$73:A$87, 0), MATCH(C94, B$72:F$72, 0))</f>
        <v>51.295377753183551</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3" zoomScale="75" zoomScaleNormal="100" workbookViewId="0">
      <selection activeCell="C46" sqref="C46"/>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34026555</v>
      </c>
      <c r="D7" s="465"/>
      <c r="E7" s="465"/>
      <c r="F7" s="465"/>
      <c r="G7" s="465"/>
    </row>
    <row r="8" spans="2:7">
      <c r="B8" s="97" t="s">
        <v>63</v>
      </c>
      <c r="C8" s="452">
        <f>Normalized_FCF!G19</f>
        <v>31065485.654937759</v>
      </c>
      <c r="D8" s="465"/>
      <c r="E8" s="465"/>
      <c r="F8" s="465"/>
      <c r="G8" s="465"/>
    </row>
    <row r="9" spans="2:7">
      <c r="B9" s="97" t="s">
        <v>54</v>
      </c>
      <c r="C9" s="452">
        <f>Normalized_FCF!C19</f>
        <v>20273213.842410002</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0.23887911725357402</v>
      </c>
      <c r="D12" s="465"/>
      <c r="E12" s="465"/>
      <c r="F12" s="465"/>
      <c r="G12" s="465"/>
    </row>
    <row r="13" spans="2:7">
      <c r="B13" s="135" t="s">
        <v>127</v>
      </c>
      <c r="C13" s="252" t="e">
        <f ca="1">(Normalized_FCF!G8/OFFSET(Normalized_FCF!G8, 0, $C$4))^(1/$C$4) - 1</f>
        <v>#NUM!</v>
      </c>
      <c r="D13" s="465"/>
      <c r="E13" s="465"/>
      <c r="F13" s="465"/>
      <c r="G13" s="465"/>
    </row>
    <row r="14" spans="2:7">
      <c r="B14" s="97" t="s">
        <v>63</v>
      </c>
      <c r="C14" s="252" t="e">
        <f ca="1">(Normalized_FCF!G19/OFFSET(Normalized_FCF!G19, 0, $C$4))^(1/$C$4) - 1</f>
        <v>#NUM!</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10</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0.25</v>
      </c>
      <c r="D22" s="329">
        <f>C18</f>
        <v>10</v>
      </c>
      <c r="E22" s="330">
        <f>DCF!E91</f>
        <v>223.54096241846034</v>
      </c>
      <c r="F22" s="332">
        <f>1-F23-F24</f>
        <v>0.2</v>
      </c>
      <c r="G22" s="332">
        <f>F22*(1-F$29-F$30)</f>
        <v>0.18</v>
      </c>
    </row>
    <row r="23" spans="2:7">
      <c r="B23" s="306" t="s">
        <v>440</v>
      </c>
      <c r="C23" s="328">
        <v>0.18</v>
      </c>
      <c r="D23" s="329">
        <f>C18</f>
        <v>10</v>
      </c>
      <c r="E23" s="330">
        <f>DCF!E92</f>
        <v>148.03448176330747</v>
      </c>
      <c r="F23" s="331">
        <v>0.6</v>
      </c>
      <c r="G23" s="332">
        <f t="shared" ref="G23:G24" si="0">F23*(1-F$29-F$30)</f>
        <v>0.53999999999999992</v>
      </c>
    </row>
    <row r="24" spans="2:7">
      <c r="B24" s="306" t="s">
        <v>449</v>
      </c>
      <c r="C24" s="328">
        <v>0.08</v>
      </c>
      <c r="D24" s="329">
        <f>C18</f>
        <v>10</v>
      </c>
      <c r="E24" s="330">
        <f>DCF!E93</f>
        <v>81.797800125264729</v>
      </c>
      <c r="F24" s="331">
        <v>0.2</v>
      </c>
      <c r="G24" s="332">
        <f t="shared" si="0"/>
        <v>0.18</v>
      </c>
    </row>
    <row r="25" spans="2:7">
      <c r="B25" s="141" t="s">
        <v>454</v>
      </c>
      <c r="C25" s="446">
        <f>E23*F23+E24*F24+E22*F22</f>
        <v>149.88844156672951</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0.3</v>
      </c>
      <c r="D29" s="329">
        <f>C18</f>
        <v>10</v>
      </c>
      <c r="E29" s="330">
        <f>DCF!E90</f>
        <v>298.79827713444701</v>
      </c>
      <c r="F29" s="331">
        <v>0.05</v>
      </c>
      <c r="G29" s="332">
        <f>F29</f>
        <v>0.05</v>
      </c>
    </row>
    <row r="30" spans="2:7">
      <c r="B30" s="319" t="s">
        <v>450</v>
      </c>
      <c r="C30" s="328">
        <v>0</v>
      </c>
      <c r="D30" s="329">
        <f>C18</f>
        <v>10</v>
      </c>
      <c r="E30" s="330">
        <f>DCF!E94</f>
        <v>51.295377753183551</v>
      </c>
      <c r="F30" s="331">
        <v>0.05</v>
      </c>
      <c r="G30" s="332">
        <f>F30</f>
        <v>0.05</v>
      </c>
    </row>
    <row r="31" spans="2:7">
      <c r="E31" s="333"/>
      <c r="F31" s="333"/>
    </row>
    <row r="32" spans="2:7" ht="13.15">
      <c r="B32" s="145" t="s">
        <v>459</v>
      </c>
    </row>
    <row r="33" spans="2:7">
      <c r="B33" s="97" t="s">
        <v>461</v>
      </c>
      <c r="C33" s="155">
        <f>Normalized_FCF!C88*(1-dividend_tax_rate)</f>
        <v>0</v>
      </c>
      <c r="D33" t="str">
        <f>Market_currency</f>
        <v>HKD</v>
      </c>
      <c r="E33" s="97" t="s">
        <v>458</v>
      </c>
      <c r="F33" s="219">
        <f>Holding_Period</f>
        <v>3</v>
      </c>
    </row>
    <row r="34" spans="2:7">
      <c r="B34" s="97" t="s">
        <v>233</v>
      </c>
      <c r="C34" s="146">
        <f>Market_Price</f>
        <v>96.25</v>
      </c>
      <c r="D34" t="str">
        <f>Market_currency</f>
        <v>HKD</v>
      </c>
      <c r="E34" s="97" t="s">
        <v>457</v>
      </c>
      <c r="F34" s="334">
        <f>RATE(Holding_Period,$C$33,-C34,$C$36)</f>
        <v>0.16555330971756099</v>
      </c>
    </row>
    <row r="35" spans="2:7">
      <c r="B35" s="97" t="s">
        <v>437</v>
      </c>
      <c r="C35" s="324">
        <f>DCF!C11</f>
        <v>41.936962537797164</v>
      </c>
      <c r="D35" s="97" t="str">
        <f>Market_currency</f>
        <v>HKD</v>
      </c>
      <c r="E35" s="97" t="s">
        <v>457</v>
      </c>
      <c r="F35" s="334">
        <f>RATE(Holding_Period,$C$33,-C35,$C$36)</f>
        <v>0.53744668396371309</v>
      </c>
    </row>
    <row r="36" spans="2:7">
      <c r="B36" s="97" t="s">
        <v>438</v>
      </c>
      <c r="C36" s="325">
        <f>E22*G22+E23*G23+E24*G24+E30*G30+E29*G29</f>
        <v>152.40428015443803</v>
      </c>
      <c r="D36" t="str">
        <f>Market_currency</f>
        <v>HKD</v>
      </c>
      <c r="E36" s="97" t="s">
        <v>463</v>
      </c>
      <c r="F36" s="335" t="s">
        <v>462</v>
      </c>
    </row>
    <row r="38" spans="2:7" ht="13.9">
      <c r="B38" s="34" t="s">
        <v>413</v>
      </c>
      <c r="C38" s="35"/>
      <c r="D38" s="35"/>
      <c r="E38" s="35"/>
      <c r="F38" s="35"/>
      <c r="G38" s="35"/>
    </row>
    <row r="39" spans="2:7" ht="13.15">
      <c r="B39" s="418" t="str">
        <f>IF(DCF!F14="II","2","1")&amp;"-stage DCF"</f>
        <v>2-stage DCF</v>
      </c>
      <c r="E39" s="222" t="s">
        <v>251</v>
      </c>
    </row>
    <row r="40" spans="2:7">
      <c r="B40" t="s">
        <v>402</v>
      </c>
      <c r="C40" s="138">
        <v>0.85</v>
      </c>
      <c r="E40" s="97" t="s">
        <v>403</v>
      </c>
    </row>
    <row r="41" spans="2:7">
      <c r="B41" s="97" t="s">
        <v>401</v>
      </c>
      <c r="C41" s="138">
        <f>DCF!C16*(2/3)</f>
        <v>0.12333333333333332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0.185</v>
      </c>
      <c r="D46" s="138"/>
      <c r="E46" s="221" t="s">
        <v>252</v>
      </c>
    </row>
    <row r="47" spans="2:7">
      <c r="B47" s="97" t="s">
        <v>96</v>
      </c>
      <c r="C47" s="146">
        <f>DCF!I18</f>
        <v>152.48272169270044</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52">
        <f>BS!D89/C36</f>
        <v>0.13738913769661723</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v>
      </c>
      <c r="D62" s="119">
        <f>C36/(1+F62)^Holding_Period</f>
        <v>70.232387167943813</v>
      </c>
      <c r="E62" s="336">
        <f>C62+D62</f>
        <v>70.232387167943813</v>
      </c>
      <c r="F62" s="305">
        <f>Thesis!E22</f>
        <v>0.29465259038036606</v>
      </c>
      <c r="G62" s="445">
        <f>(1-E62/C36)</f>
        <v>0.53917050691244228</v>
      </c>
    </row>
    <row r="63" spans="2:7" ht="13.15">
      <c r="B63" s="306" t="s">
        <v>313</v>
      </c>
      <c r="C63" s="119">
        <f>PV(F63, Holding_Period, -C58, 0)</f>
        <v>0</v>
      </c>
      <c r="D63" s="119">
        <f>C36/(1+F63)^Holding_Period</f>
        <v>88.031353157798179</v>
      </c>
      <c r="E63" s="336">
        <f>C63+D63</f>
        <v>88.031353157798179</v>
      </c>
      <c r="F63" s="305">
        <f>Thesis!E23</f>
        <v>0.20075184365903009</v>
      </c>
      <c r="G63" s="445">
        <f>(1-E63/C36)</f>
        <v>0.42238267148014419</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v>
      </c>
      <c r="D66" s="119">
        <f>C36/(1+F66)^Holding_Period</f>
        <v>109.23735174063309</v>
      </c>
      <c r="E66" s="336">
        <f>C66+D66</f>
        <v>109.23735174063309</v>
      </c>
      <c r="F66" s="305">
        <f>Thesis!E24</f>
        <v>0.1174</v>
      </c>
      <c r="G66" s="445">
        <f>(1-E66/C36)</f>
        <v>0.28323960698519735</v>
      </c>
    </row>
    <row r="67" spans="2:7" ht="13.15">
      <c r="B67" s="306" t="s">
        <v>314</v>
      </c>
      <c r="C67" s="119">
        <f>PV(F67, Holding_Period, -C58, 0)</f>
        <v>0</v>
      </c>
      <c r="D67" s="119">
        <f>C36/(1+F67)^Holding_Period</f>
        <v>123.53933562012026</v>
      </c>
      <c r="E67" s="336">
        <f>C67+D67</f>
        <v>123.53933562012026</v>
      </c>
      <c r="F67" s="305">
        <f>Thesis!E25</f>
        <v>7.2499999999999995E-2</v>
      </c>
      <c r="G67" s="445">
        <f>(1-E67/C36)</f>
        <v>0.18939720397004367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45930</v>
      </c>
    </row>
    <row r="4" spans="1:10">
      <c r="B4" s="427" t="s">
        <v>536</v>
      </c>
      <c r="C4" s="428" t="str">
        <f>Thesis!C4</f>
        <v>美团</v>
      </c>
      <c r="D4" s="353"/>
      <c r="E4" s="439" t="s">
        <v>542</v>
      </c>
      <c r="F4" s="442" t="str">
        <f>Thesis!F4</f>
        <v>INT</v>
      </c>
    </row>
    <row r="5" spans="1:10">
      <c r="B5" s="347" t="s">
        <v>364</v>
      </c>
      <c r="C5" s="359" t="str">
        <f>Thesis!C5</f>
        <v>3690.HK</v>
      </c>
      <c r="E5" s="443" t="s">
        <v>543</v>
      </c>
      <c r="F5" s="444" t="str">
        <f>Thesis!F5</f>
        <v>N</v>
      </c>
    </row>
    <row r="6" spans="1:10">
      <c r="B6" s="354" t="s">
        <v>336</v>
      </c>
      <c r="C6" s="356" t="str">
        <f>Thesis!C6</f>
        <v>TMT_01</v>
      </c>
      <c r="E6" s="358"/>
    </row>
    <row r="7" spans="1:10">
      <c r="B7" s="347" t="s">
        <v>366</v>
      </c>
      <c r="C7" s="356" t="str">
        <f>Market_currency</f>
        <v>HKD</v>
      </c>
      <c r="D7" s="358"/>
      <c r="E7" s="358"/>
    </row>
    <row r="8" spans="1:10">
      <c r="B8" s="355" t="s">
        <v>365</v>
      </c>
      <c r="C8" s="360">
        <f>Market_Price</f>
        <v>96.25</v>
      </c>
    </row>
    <row r="9" spans="1:10">
      <c r="B9" s="355" t="s">
        <v>361</v>
      </c>
      <c r="C9" s="357">
        <f>Common_Shares</f>
        <v>9264431217</v>
      </c>
    </row>
    <row r="10" spans="1:10">
      <c r="B10" s="355" t="s">
        <v>367</v>
      </c>
      <c r="C10" s="361">
        <f>投资主题!C8*Common_Shares/1000000</f>
        <v>891701.50463624997</v>
      </c>
      <c r="D10" s="347" t="s">
        <v>531</v>
      </c>
      <c r="E10" s="364">
        <f>Scenarios!F34</f>
        <v>0.16555330971756099</v>
      </c>
    </row>
    <row r="11" spans="1:10">
      <c r="D11" s="353"/>
      <c r="E11" s="353"/>
    </row>
    <row r="12" spans="1:10" ht="24.5" customHeight="1">
      <c r="B12" s="470" t="s">
        <v>500</v>
      </c>
      <c r="C12" s="470"/>
      <c r="D12" s="470"/>
      <c r="E12" s="470"/>
      <c r="F12" s="470"/>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1.0948992599999998</v>
      </c>
    </row>
    <row r="17" spans="1:6">
      <c r="B17" s="347" t="s">
        <v>537</v>
      </c>
      <c r="C17" s="429">
        <f>Terminal_Growth</f>
        <v>0</v>
      </c>
      <c r="D17" s="355" t="s">
        <v>339</v>
      </c>
      <c r="E17" s="348" t="str">
        <f>Reporting_currency</f>
        <v>CNY</v>
      </c>
    </row>
    <row r="18" spans="1:6">
      <c r="B18" s="347" t="str">
        <f>"预期股权价值 ("&amp;C7&amp;") :"</f>
        <v>预期股权价值 (HKD) :</v>
      </c>
      <c r="C18" s="363">
        <f>C125</f>
        <v>152.40428015443803</v>
      </c>
      <c r="D18" s="354" t="s">
        <v>362</v>
      </c>
      <c r="E18" s="431">
        <f>Thesis!E18</f>
        <v>6</v>
      </c>
    </row>
    <row r="19" spans="1:6">
      <c r="B19" s="354" t="s">
        <v>335</v>
      </c>
      <c r="C19" s="356" t="str">
        <f>IF(Scenarios!C50="Y",Scenarios!B50,"")&amp;IF(Scenarios!C51="Y",Scenarios!B51,"")&amp;IF(Scenarios!C52="Y",Scenarios!B52,"")&amp;" "&amp;IF(Scenarios!C53="Y",Scenarios!B53,"")</f>
        <v xml:space="preserve">High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70.232387167943813</v>
      </c>
      <c r="D22" s="369" t="s">
        <v>443</v>
      </c>
      <c r="E22" s="370">
        <f>Thesis!E22</f>
        <v>0.29465259038036606</v>
      </c>
    </row>
    <row r="23" spans="1:6">
      <c r="B23" s="347" t="s">
        <v>341</v>
      </c>
      <c r="C23" s="371">
        <f>E141</f>
        <v>88.031353157798179</v>
      </c>
      <c r="D23" s="369" t="s">
        <v>444</v>
      </c>
      <c r="E23" s="372">
        <f>Thesis!E23</f>
        <v>0.20075184365903009</v>
      </c>
    </row>
    <row r="24" spans="1:6">
      <c r="B24" s="347" t="s">
        <v>343</v>
      </c>
      <c r="C24" s="371">
        <f>E144</f>
        <v>109.23735174063309</v>
      </c>
      <c r="D24" s="369" t="s">
        <v>446</v>
      </c>
      <c r="E24" s="372">
        <f>Thesis!E24</f>
        <v>0.1174</v>
      </c>
    </row>
    <row r="25" spans="1:6">
      <c r="B25" s="347" t="s">
        <v>342</v>
      </c>
      <c r="C25" s="371">
        <f>E145</f>
        <v>123.53933562012026</v>
      </c>
      <c r="D25" s="369" t="s">
        <v>445</v>
      </c>
      <c r="E25" s="372">
        <f>Thesis!E25</f>
        <v>7.2499999999999995E-2</v>
      </c>
    </row>
    <row r="27" spans="1:6" ht="13.9">
      <c r="A27" s="349" t="s">
        <v>345</v>
      </c>
      <c r="B27" s="349"/>
      <c r="C27" s="349"/>
      <c r="D27" s="349"/>
      <c r="E27" s="349"/>
      <c r="F27" s="349"/>
    </row>
    <row r="29" spans="1:6">
      <c r="B29" s="470" t="s">
        <v>501</v>
      </c>
      <c r="C29" s="470"/>
      <c r="D29" s="470"/>
      <c r="E29" s="470"/>
      <c r="F29" s="470"/>
    </row>
    <row r="30" spans="1:6" ht="24.5" customHeight="1">
      <c r="B30" s="473" t="s">
        <v>502</v>
      </c>
      <c r="C30" s="473"/>
      <c r="D30" s="473"/>
      <c r="E30" s="473"/>
      <c r="F30" s="473"/>
    </row>
    <row r="32" spans="1:6">
      <c r="B32" s="373" t="s">
        <v>371</v>
      </c>
      <c r="C32" s="374">
        <f>scaling_factor</f>
        <v>1000</v>
      </c>
    </row>
    <row r="33" spans="2:6">
      <c r="B33" s="466" t="s">
        <v>503</v>
      </c>
      <c r="C33" s="466"/>
      <c r="D33" s="466"/>
      <c r="E33" s="466"/>
      <c r="F33" s="466"/>
    </row>
    <row r="34" spans="2:6">
      <c r="B34" s="376" t="s">
        <v>197</v>
      </c>
      <c r="C34" s="377">
        <f>Normalized_FCF!C8</f>
        <v>29781786.120000005</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0</v>
      </c>
      <c r="D41" s="347" t="str">
        <f>Reporting_currency</f>
        <v>CNY</v>
      </c>
    </row>
    <row r="43" spans="2:6">
      <c r="B43" s="466" t="s">
        <v>506</v>
      </c>
      <c r="C43" s="466"/>
      <c r="D43" s="466"/>
      <c r="E43" s="466"/>
      <c r="F43" s="466"/>
    </row>
    <row r="44" spans="2:6">
      <c r="B44" s="376" t="s">
        <v>267</v>
      </c>
      <c r="C44" s="380">
        <f>Normalized_FCF!C46</f>
        <v>307809.78988</v>
      </c>
      <c r="D44" s="347" t="str">
        <f>Reporting_currency</f>
        <v>CNY</v>
      </c>
      <c r="E44" s="375"/>
      <c r="F44" s="375"/>
    </row>
    <row r="45" spans="2:6">
      <c r="B45" s="376" t="s">
        <v>268</v>
      </c>
      <c r="C45" s="380">
        <f>Normalized_FCF!C45</f>
        <v>-3058644.12</v>
      </c>
      <c r="D45" s="347" t="str">
        <f>Reporting_currency</f>
        <v>CNY</v>
      </c>
      <c r="E45" s="375"/>
      <c r="F45" s="375"/>
    </row>
    <row r="46" spans="2:6">
      <c r="B46" s="376" t="s">
        <v>203</v>
      </c>
      <c r="C46" s="377">
        <f>Normalized_FCF!C10</f>
        <v>-2750834.3301200001</v>
      </c>
      <c r="D46" s="347" t="str">
        <f>Reporting_currency</f>
        <v>CNY</v>
      </c>
    </row>
    <row r="48" spans="2:6">
      <c r="B48" s="347" t="s">
        <v>507</v>
      </c>
    </row>
    <row r="49" spans="2:6">
      <c r="B49" s="376" t="s">
        <v>223</v>
      </c>
      <c r="C49" s="377">
        <f>Normalized_FCF!C13</f>
        <v>0</v>
      </c>
      <c r="D49" s="347" t="str">
        <f>Reporting_currency</f>
        <v>CNY</v>
      </c>
    </row>
    <row r="51" spans="2:6">
      <c r="B51" s="466" t="s">
        <v>508</v>
      </c>
      <c r="C51" s="466"/>
      <c r="D51" s="466"/>
      <c r="E51" s="466"/>
      <c r="F51" s="466"/>
    </row>
    <row r="52" spans="2:6">
      <c r="B52" s="376" t="s">
        <v>499</v>
      </c>
      <c r="C52" s="377">
        <f>Normalized_FCF!C12</f>
        <v>-6757737.9474700009</v>
      </c>
      <c r="D52" s="347" t="str">
        <f>Reporting_currency</f>
        <v>CNY</v>
      </c>
    </row>
    <row r="54" spans="2:6">
      <c r="B54" s="466" t="s">
        <v>509</v>
      </c>
      <c r="C54" s="472"/>
      <c r="D54" s="472"/>
      <c r="E54" s="472"/>
      <c r="F54" s="472"/>
    </row>
    <row r="55" spans="2:6">
      <c r="B55" s="376" t="s">
        <v>207</v>
      </c>
      <c r="C55" s="377">
        <f>Normalized_FCF!C17</f>
        <v>0</v>
      </c>
      <c r="D55" s="347" t="str">
        <f>Reporting_currency</f>
        <v>CNY</v>
      </c>
    </row>
    <row r="57" spans="2:6">
      <c r="B57" s="470" t="s">
        <v>510</v>
      </c>
      <c r="C57" s="470"/>
      <c r="D57" s="470"/>
      <c r="E57" s="470"/>
      <c r="F57" s="470"/>
    </row>
    <row r="58" spans="2:6">
      <c r="B58" s="470" t="s">
        <v>511</v>
      </c>
      <c r="C58" s="470"/>
      <c r="D58" s="470"/>
      <c r="E58" s="470"/>
      <c r="F58" s="470"/>
    </row>
    <row r="60" spans="2:6">
      <c r="B60" s="376" t="s">
        <v>372</v>
      </c>
      <c r="C60" s="377">
        <f>Normalized_FCF!G19</f>
        <v>31065485.654937759</v>
      </c>
      <c r="D60" s="347" t="str">
        <f>Reporting_currency</f>
        <v>CNY</v>
      </c>
    </row>
    <row r="61" spans="2:6">
      <c r="B61" s="376" t="s">
        <v>213</v>
      </c>
      <c r="C61" s="377">
        <f>Normalized_FCF!C19</f>
        <v>20273213.842410002</v>
      </c>
      <c r="D61" s="347" t="str">
        <f>Reporting_currency</f>
        <v>CNY</v>
      </c>
    </row>
    <row r="62" spans="2:6">
      <c r="B62" s="381" t="s">
        <v>302</v>
      </c>
      <c r="C62" s="382">
        <f>Normalized_FCF!C124</f>
        <v>2.4893001434298682E-2</v>
      </c>
      <c r="F62" s="383"/>
    </row>
    <row r="63" spans="2:6">
      <c r="B63" s="381" t="s">
        <v>332</v>
      </c>
      <c r="C63" s="382">
        <f>Normalized_FCF!C92</f>
        <v>0</v>
      </c>
      <c r="E63" s="376" t="s">
        <v>373</v>
      </c>
      <c r="F63" s="384">
        <f>Normalized_FCF!C90</f>
        <v>0</v>
      </c>
    </row>
    <row r="65" spans="1:6">
      <c r="B65" s="373" t="s">
        <v>376</v>
      </c>
      <c r="C65" s="385" t="s">
        <v>327</v>
      </c>
      <c r="D65" s="385" t="s">
        <v>374</v>
      </c>
    </row>
    <row r="66" spans="1:6">
      <c r="B66" s="376" t="s">
        <v>326</v>
      </c>
      <c r="C66" s="382">
        <f>Normalized_FCF!C119</f>
        <v>0.14667015235144401</v>
      </c>
      <c r="D66" s="382">
        <f>Normalized_FCF!G119</f>
        <v>0.18038076539599709</v>
      </c>
    </row>
    <row r="67" spans="1:6">
      <c r="B67" s="386" t="str">
        <f>Normalized_FCF!B116</f>
        <v>Pre-tax Profit/Sales</v>
      </c>
      <c r="C67" s="387">
        <f>Normalized_FCF!C116</f>
        <v>8.0069983114389093E-2</v>
      </c>
      <c r="D67" s="387">
        <f>Normalized_FCF!G116</f>
        <v>9.8473238132392726E-2</v>
      </c>
    </row>
    <row r="68" spans="1:6">
      <c r="B68" s="386" t="str">
        <f>Normalized_FCF!B117</f>
        <v>Sales/Total Assets</v>
      </c>
      <c r="C68" s="388">
        <f>Normalized_FCF!C117</f>
        <v>1.022390799101176</v>
      </c>
      <c r="D68" s="388">
        <f>Normalized_FCF!G117</f>
        <v>1.022390799101176</v>
      </c>
    </row>
    <row r="69" spans="1:6">
      <c r="B69" s="386" t="str">
        <f>Normalized_FCF!B118</f>
        <v>Total Assets/Equity</v>
      </c>
      <c r="C69" s="388">
        <f>Normalized_FCF!C118</f>
        <v>1.7916578376478161</v>
      </c>
      <c r="D69" s="388">
        <f>Normalized_FCF!G118</f>
        <v>1.7916578376478161</v>
      </c>
    </row>
    <row r="71" spans="1:6" ht="13.9">
      <c r="A71" s="349" t="s">
        <v>479</v>
      </c>
      <c r="B71" s="349"/>
      <c r="C71" s="349"/>
      <c r="D71" s="349"/>
      <c r="E71" s="349"/>
      <c r="F71" s="349"/>
    </row>
    <row r="72" spans="1:6">
      <c r="A72" s="389"/>
    </row>
    <row r="73" spans="1:6">
      <c r="A73" s="390"/>
      <c r="B73" s="470" t="s">
        <v>512</v>
      </c>
      <c r="C73" s="470"/>
      <c r="D73" s="470"/>
      <c r="E73" s="470"/>
      <c r="F73" s="470"/>
    </row>
    <row r="74" spans="1:6">
      <c r="B74" s="473" t="s">
        <v>482</v>
      </c>
      <c r="C74" s="473"/>
      <c r="D74" s="473"/>
      <c r="E74" s="473"/>
      <c r="F74" s="473"/>
    </row>
    <row r="76" spans="1:6">
      <c r="B76" s="373" t="s">
        <v>371</v>
      </c>
    </row>
    <row r="77" spans="1:6">
      <c r="B77" s="470" t="s">
        <v>513</v>
      </c>
      <c r="C77" s="470"/>
      <c r="D77" s="470"/>
      <c r="E77" s="470"/>
      <c r="F77" s="470"/>
    </row>
    <row r="78" spans="1:6">
      <c r="B78" s="347" t="s">
        <v>215</v>
      </c>
      <c r="C78" s="377">
        <f>DCF!F4</f>
        <v>-50977402</v>
      </c>
      <c r="D78" s="347" t="str">
        <f>Reporting_currency</f>
        <v>CNY</v>
      </c>
    </row>
    <row r="79" spans="1:6">
      <c r="B79" s="376" t="s">
        <v>234</v>
      </c>
      <c r="C79" s="391">
        <f>C78*scaling_factor*Exchange_Rate/Common_Shares</f>
        <v>-6.0246677231628816</v>
      </c>
      <c r="D79" s="347" t="str">
        <f>Market_currency</f>
        <v>HKD</v>
      </c>
    </row>
    <row r="80" spans="1:6">
      <c r="B80" s="386" t="s">
        <v>309</v>
      </c>
      <c r="C80" s="392">
        <f>IF(BS!G31/BS!G27&gt;300%,"nm",BS!G31/BS!G27)</f>
        <v>0.27660377540313014</v>
      </c>
    </row>
    <row r="81" spans="1:6">
      <c r="B81" s="386" t="s">
        <v>311</v>
      </c>
      <c r="C81" s="393">
        <f>IF(BS!C50&gt;30,"nm",BS!C50)</f>
        <v>1.7116972700897226</v>
      </c>
    </row>
    <row r="83" spans="1:6">
      <c r="B83" s="347" t="s">
        <v>514</v>
      </c>
    </row>
    <row r="84" spans="1:6">
      <c r="B84" s="347" t="s">
        <v>224</v>
      </c>
      <c r="C84" s="377">
        <f>DCF!F5</f>
        <v>68275373.353333324</v>
      </c>
      <c r="D84" s="347" t="str">
        <f>Reporting_currency</f>
        <v>CNY</v>
      </c>
    </row>
    <row r="85" spans="1:6">
      <c r="B85" s="386" t="s">
        <v>484</v>
      </c>
      <c r="C85" s="394">
        <f>BS!C66</f>
        <v>119577005</v>
      </c>
      <c r="D85" s="395" t="str">
        <f>Reporting_currency</f>
        <v>CNY</v>
      </c>
    </row>
    <row r="86" spans="1:6">
      <c r="B86" s="376" t="s">
        <v>235</v>
      </c>
      <c r="C86" s="391">
        <f>C84*scaling_factor*Exchange_Rate/Common_Shares</f>
        <v>8.0689957116434119</v>
      </c>
      <c r="D86" s="347" t="str">
        <f>Market_currency</f>
        <v>HKD</v>
      </c>
    </row>
    <row r="88" spans="1:6">
      <c r="B88" s="347" t="s">
        <v>515</v>
      </c>
    </row>
    <row r="89" spans="1:6">
      <c r="B89" s="347" t="s">
        <v>217</v>
      </c>
      <c r="C89" s="377">
        <f>DCF!F6</f>
        <v>57918846.499999993</v>
      </c>
      <c r="D89" s="347" t="str">
        <f>Reporting_currency</f>
        <v>CNY</v>
      </c>
    </row>
    <row r="90" spans="1:6">
      <c r="B90" s="376" t="s">
        <v>236</v>
      </c>
      <c r="C90" s="391">
        <f>C89*scaling_factor*Exchange_Rate/Common_Shares</f>
        <v>6.8450291968856192</v>
      </c>
      <c r="D90" s="347" t="str">
        <f>Market_currency</f>
        <v>HKD</v>
      </c>
    </row>
    <row r="92" spans="1:6">
      <c r="B92" s="376" t="s">
        <v>483</v>
      </c>
      <c r="C92" s="391">
        <f>DCF!F8</f>
        <v>8.889357185366153</v>
      </c>
      <c r="D92" s="347" t="str">
        <f>Market_currency</f>
        <v>HKD</v>
      </c>
    </row>
    <row r="94" spans="1:6" ht="13.9">
      <c r="A94" s="349" t="s">
        <v>485</v>
      </c>
      <c r="B94" s="349"/>
      <c r="C94" s="349"/>
      <c r="D94" s="349"/>
      <c r="E94" s="349"/>
      <c r="F94" s="349"/>
    </row>
    <row r="95" spans="1:6">
      <c r="A95" s="389"/>
    </row>
    <row r="96" spans="1:6">
      <c r="A96" s="389"/>
      <c r="B96" s="470" t="s">
        <v>516</v>
      </c>
      <c r="C96" s="470"/>
      <c r="D96" s="470"/>
      <c r="E96" s="470"/>
      <c r="F96" s="470"/>
    </row>
    <row r="97" spans="1:6">
      <c r="A97" s="389"/>
      <c r="B97" s="473" t="s">
        <v>517</v>
      </c>
      <c r="C97" s="473"/>
      <c r="D97" s="473"/>
      <c r="E97" s="473"/>
      <c r="F97" s="473"/>
    </row>
    <row r="98" spans="1:6">
      <c r="A98" s="389"/>
      <c r="B98" s="473" t="s">
        <v>518</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70" t="s">
        <v>519</v>
      </c>
      <c r="C107" s="470"/>
      <c r="D107" s="470"/>
      <c r="E107" s="470"/>
      <c r="F107" s="470"/>
    </row>
    <row r="108" spans="1:6">
      <c r="A108" s="389"/>
      <c r="B108" s="470" t="s">
        <v>538</v>
      </c>
      <c r="C108" s="470"/>
      <c r="D108" s="470"/>
      <c r="E108" s="470"/>
      <c r="F108" s="470"/>
    </row>
    <row r="109" spans="1:6">
      <c r="A109" s="389"/>
    </row>
    <row r="110" spans="1:6">
      <c r="A110" s="389"/>
      <c r="B110" s="373" t="s">
        <v>492</v>
      </c>
    </row>
    <row r="111" spans="1:6">
      <c r="A111" s="389"/>
      <c r="B111" s="379" t="s">
        <v>489</v>
      </c>
      <c r="C111" s="398">
        <f>BS!D47</f>
        <v>3.489517110130925</v>
      </c>
      <c r="D111" s="347" t="str">
        <f>Market_currency</f>
        <v>HKD</v>
      </c>
    </row>
    <row r="112" spans="1:6">
      <c r="A112" s="389"/>
      <c r="B112" s="376" t="s">
        <v>377</v>
      </c>
      <c r="C112" s="398">
        <f>DCF!C11</f>
        <v>41.936962537797164</v>
      </c>
      <c r="D112" s="347" t="str">
        <f>Market_currency</f>
        <v>HKD</v>
      </c>
    </row>
    <row r="113" spans="1:6">
      <c r="A113" s="389"/>
    </row>
    <row r="114" spans="1:6">
      <c r="A114" s="389"/>
      <c r="B114" s="470" t="s">
        <v>520</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0.3</v>
      </c>
      <c r="D118" s="401">
        <f>DCF!D90</f>
        <v>10</v>
      </c>
      <c r="E118" s="402" t="str">
        <f>ROUND(DCF!E90,2)&amp;" "&amp;Market_currency</f>
        <v>298.8 HKD</v>
      </c>
      <c r="F118" s="403">
        <f>DCF!F90</f>
        <v>0.05</v>
      </c>
    </row>
    <row r="119" spans="1:6">
      <c r="A119" s="389"/>
      <c r="B119" s="404" t="str">
        <f>DCF!B91</f>
        <v>Optimistic</v>
      </c>
      <c r="C119" s="405">
        <f>DCF!C91</f>
        <v>0.25</v>
      </c>
      <c r="D119" s="406">
        <f>DCF!D91</f>
        <v>10</v>
      </c>
      <c r="E119" s="402" t="str">
        <f>ROUND(DCF!E91,2)&amp;" "&amp;Market_currency</f>
        <v>223.54 HKD</v>
      </c>
      <c r="F119" s="407">
        <f>DCF!F91</f>
        <v>0.18</v>
      </c>
    </row>
    <row r="120" spans="1:6">
      <c r="B120" s="404" t="str">
        <f>DCF!B92</f>
        <v>Base</v>
      </c>
      <c r="C120" s="405">
        <f>DCF!C92</f>
        <v>0.18</v>
      </c>
      <c r="D120" s="406">
        <f>DCF!D92</f>
        <v>10</v>
      </c>
      <c r="E120" s="402" t="str">
        <f>ROUND(DCF!E92,2)&amp;" "&amp;Market_currency</f>
        <v>148.03 HKD</v>
      </c>
      <c r="F120" s="407">
        <f>DCF!F92</f>
        <v>0.53999999999999992</v>
      </c>
    </row>
    <row r="121" spans="1:6">
      <c r="B121" s="404" t="str">
        <f>DCF!B93</f>
        <v>Pessimistic</v>
      </c>
      <c r="C121" s="405">
        <f>DCF!C93</f>
        <v>0.08</v>
      </c>
      <c r="D121" s="406">
        <f>DCF!D93</f>
        <v>10</v>
      </c>
      <c r="E121" s="402" t="str">
        <f>ROUND(DCF!E93,2)&amp;" "&amp;Market_currency</f>
        <v>81.8 HKD</v>
      </c>
      <c r="F121" s="407">
        <f>DCF!F93</f>
        <v>0.18</v>
      </c>
    </row>
    <row r="122" spans="1:6">
      <c r="B122" s="404" t="str">
        <f>DCF!B94</f>
        <v>Devil's advocate</v>
      </c>
      <c r="C122" s="405">
        <f>DCF!C94</f>
        <v>0</v>
      </c>
      <c r="D122" s="406">
        <f>DCF!D94</f>
        <v>10</v>
      </c>
      <c r="E122" s="402" t="str">
        <f>ROUND(DCF!E94,2)&amp;" "&amp;Market_currency</f>
        <v>51.3 HKD</v>
      </c>
      <c r="F122" s="407">
        <f>DCF!F94</f>
        <v>0.05</v>
      </c>
    </row>
    <row r="124" spans="1:6">
      <c r="B124" s="466" t="s">
        <v>521</v>
      </c>
      <c r="C124" s="466"/>
      <c r="D124" s="466"/>
      <c r="E124" s="466"/>
      <c r="F124" s="466"/>
    </row>
    <row r="125" spans="1:6">
      <c r="B125" s="376" t="s">
        <v>218</v>
      </c>
      <c r="C125" s="408">
        <f>Scenarios!C36</f>
        <v>152.40428015443803</v>
      </c>
      <c r="D125" s="347" t="str">
        <f>Market_currency</f>
        <v>HKD</v>
      </c>
    </row>
    <row r="127" spans="1:6">
      <c r="B127" s="468" t="s">
        <v>522</v>
      </c>
      <c r="C127" s="468"/>
      <c r="D127" s="468"/>
      <c r="E127" s="468"/>
      <c r="F127" s="468"/>
    </row>
    <row r="129" spans="1:6" ht="13.9">
      <c r="A129" s="349" t="s">
        <v>495</v>
      </c>
      <c r="B129" s="349"/>
      <c r="C129" s="349"/>
      <c r="D129" s="349"/>
      <c r="E129" s="349"/>
      <c r="F129" s="349"/>
    </row>
    <row r="131" spans="1:6">
      <c r="B131" s="469" t="s">
        <v>523</v>
      </c>
      <c r="C131" s="469"/>
      <c r="D131" s="469"/>
      <c r="E131" s="469"/>
      <c r="F131" s="469"/>
    </row>
    <row r="132" spans="1:6" ht="24.5" customHeight="1">
      <c r="B132" s="470" t="s">
        <v>524</v>
      </c>
      <c r="C132" s="470"/>
      <c r="D132" s="470"/>
      <c r="E132" s="470"/>
      <c r="F132" s="470"/>
    </row>
    <row r="134" spans="1:6">
      <c r="B134" s="373" t="s">
        <v>371</v>
      </c>
    </row>
    <row r="135" spans="1:6">
      <c r="B135" s="347" t="s">
        <v>382</v>
      </c>
      <c r="C135" s="409">
        <f>E21</f>
        <v>3</v>
      </c>
    </row>
    <row r="136" spans="1:6">
      <c r="B136" s="347" t="s">
        <v>383</v>
      </c>
      <c r="C136" s="410">
        <f>Scenarios!C58</f>
        <v>0</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v>
      </c>
      <c r="D140" s="413">
        <f>Scenarios!D62</f>
        <v>70.232387167943813</v>
      </c>
      <c r="E140" s="414">
        <f>Scenarios!E62</f>
        <v>70.232387167943813</v>
      </c>
      <c r="F140" s="415">
        <f>E22</f>
        <v>0.29465259038036606</v>
      </c>
    </row>
    <row r="141" spans="1:6">
      <c r="B141" s="412" t="s">
        <v>313</v>
      </c>
      <c r="C141" s="413">
        <f>Scenarios!C63</f>
        <v>0</v>
      </c>
      <c r="D141" s="413">
        <f>Scenarios!D63</f>
        <v>88.031353157798179</v>
      </c>
      <c r="E141" s="414">
        <f>Scenarios!E63</f>
        <v>88.031353157798179</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v>
      </c>
      <c r="D144" s="413">
        <f>Scenarios!D66</f>
        <v>109.23735174063309</v>
      </c>
      <c r="E144" s="414">
        <f>Scenarios!E66</f>
        <v>109.23735174063309</v>
      </c>
      <c r="F144" s="415">
        <f>E24</f>
        <v>0.1174</v>
      </c>
    </row>
    <row r="145" spans="1:6">
      <c r="B145" s="412" t="s">
        <v>314</v>
      </c>
      <c r="C145" s="413">
        <f>Scenarios!C67</f>
        <v>0</v>
      </c>
      <c r="D145" s="413">
        <f>Scenarios!D67</f>
        <v>123.53933562012026</v>
      </c>
      <c r="E145" s="414">
        <f>Scenarios!E67</f>
        <v>123.53933562012026</v>
      </c>
      <c r="F145" s="415">
        <f>Scenarios!F67</f>
        <v>7.2499999999999995E-2</v>
      </c>
    </row>
    <row r="147" spans="1:6" ht="13.9">
      <c r="A147" s="349" t="s">
        <v>478</v>
      </c>
      <c r="B147" s="349"/>
      <c r="C147" s="349"/>
      <c r="D147" s="349"/>
      <c r="E147" s="349"/>
      <c r="F147" s="349"/>
    </row>
    <row r="149" spans="1:6">
      <c r="B149" s="471" t="s">
        <v>525</v>
      </c>
      <c r="C149" s="470"/>
      <c r="D149" s="470"/>
      <c r="E149" s="470"/>
      <c r="F149" s="470"/>
    </row>
    <row r="151" spans="1:6">
      <c r="B151" s="373" t="s">
        <v>384</v>
      </c>
    </row>
    <row r="152" spans="1:6">
      <c r="B152" s="472" t="s">
        <v>526</v>
      </c>
      <c r="C152" s="472"/>
      <c r="D152" s="472"/>
      <c r="E152" s="472"/>
      <c r="F152" s="472"/>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67" t="s">
        <v>388</v>
      </c>
      <c r="C161" s="467"/>
      <c r="D161" s="467"/>
      <c r="E161" s="467"/>
      <c r="F161" s="467"/>
    </row>
    <row r="162" spans="2:6">
      <c r="B162" s="467" t="s">
        <v>389</v>
      </c>
      <c r="C162" s="467"/>
      <c r="D162" s="467"/>
      <c r="E162" s="467"/>
      <c r="F162" s="467"/>
    </row>
    <row r="164" spans="2:6">
      <c r="B164" s="347" t="s">
        <v>529</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2025-11-24T01:50:55Z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