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F6735F1-E960-4BED-81C5-7B591EC6DB81}"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F73" i="8"/>
  <c r="C71" i="8"/>
  <c r="F72" i="8"/>
  <c r="D74" i="8"/>
  <c r="D71" i="8"/>
  <c r="B73" i="8"/>
  <c r="E74" i="8"/>
  <c r="E73" i="8"/>
  <c r="B74" i="8"/>
  <c r="E71" i="8"/>
  <c r="C73" i="8"/>
  <c r="F74" i="8"/>
  <c r="C72" i="8"/>
  <c r="F71" i="8"/>
  <c r="D73" i="8"/>
  <c r="B72"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<sst xmlns="http://schemas.openxmlformats.org/spreadsheetml/2006/main" count="766" uniqueCount="555">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</sst>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45930</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105.8</v>
      </c>
      <c r="E8" s="32"/>
    </row>
    <row r="9" spans="1:9">
      <c r="B9" s="4" t="s">
        <v>346</v>
      </c>
      <c r="C9" s="48">
        <v>9264431217</v>
      </c>
    </row>
    <row r="10" spans="1:9">
      <c r="B10" s="4" t="s">
        <v>352</v>
      </c>
      <c r="C10" s="33">
        <f>Thesis!C8*Common_Shares/1000000</f>
        <v>980176.8227586</v>
      </c>
      <c r="D10" s="1" t="s">
        <v>530</v>
      </c>
      <c r="E10" s="310">
        <f>Scenarios!F34</f>
        <v>0.1632543636750067</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1.0934131499999999</v>
      </c>
    </row>
    <row r="17" spans="1:6">
      <c r="B17" s="1" t="s">
        <v>534</v>
      </c>
      <c r="C17" s="423">
        <v>0</v>
      </c>
      <c r="D17" s="4" t="s">
        <v>274</v>
      </c>
      <c r="E17" s="227" t="s">
        <v>545</v>
      </c>
    </row>
    <row r="18" spans="1:6">
      <c r="B18" s="1" t="str">
        <f>"Expected Equity Value ("&amp;C7&amp;") :"</f>
        <v>Expected Equity Value (HKD) :</v>
      </c>
      <c r="C18" s="258">
        <f>C125</f>
        <v>143.16440360539528</v>
      </c>
      <c r="D18" s="2" t="s">
        <v>347</v>
      </c>
      <c r="E18" s="426">
        <v>6</v>
      </c>
    </row>
    <row r="19" spans="1:6">
      <c r="B19" s="2" t="s">
        <v>275</v>
      </c>
      <c r="C19" s="31" t="str">
        <f>IF(Scenarios!C50="Y",Scenarios!B50,"")&amp;IF(Scenarios!C51="Y",Scenarios!B51,"")&amp;IF(Scenarios!C52="Y",Scenarios!B52,"")&amp;" "&amp;IF(Scenarios!C53="Y",Scenarios!B53,"")</f>
        <v xml:space="preserve">High Growth </v>
      </c>
      <c r="D19" s="1" t="s">
        <v>348</v>
      </c>
      <c r="E19" s="427">
        <f>EOMONTH(EDATE(BS!C1,E18+2),0)</f>
        <v>46081</v>
      </c>
    </row>
    <row r="20" spans="1:6">
      <c r="D20" s="5"/>
      <c r="E20" s="5"/>
    </row>
    <row r="21" spans="1:6">
      <c r="B21" s="42" t="s">
        <v>406</v>
      </c>
      <c r="C21" s="260" t="str">
        <f>C138&amp;" ("&amp;Market_currency&amp;")"</f>
        <v xml:space="preserve"> (HKD)</v>
      </c>
      <c r="D21" s="31" t="s">
        <v>316</v>
      </c>
      <c r="E21" s="450">
        <v>2</v>
      </c>
    </row>
    <row r="22" spans="1:6">
      <c r="B22" s="1" t="s">
        <v>312</v>
      </c>
      <c r="C22" s="261">
        <f>E140</f>
        <v>78.553856573605088</v>
      </c>
      <c r="D22" s="38" t="s">
        <v>408</v>
      </c>
      <c r="E22" s="79">
        <v>0.35</v>
      </c>
    </row>
    <row r="23" spans="1:6">
      <c r="B23" s="1" t="s">
        <v>313</v>
      </c>
      <c r="C23" s="262">
        <f>E141</f>
        <v>91.625218307452982</v>
      </c>
      <c r="D23" s="38" t="s">
        <v>409</v>
      </c>
      <c r="E23" s="451">
        <v>0.25</v>
      </c>
    </row>
    <row r="24" spans="1:6">
      <c r="B24" s="1" t="s">
        <v>315</v>
      </c>
      <c r="C24" s="262">
        <f>E144</f>
        <v>114.66152520430067</v>
      </c>
      <c r="D24" s="38" t="s">
        <v>410</v>
      </c>
      <c r="E24" s="451">
        <v>0.1174</v>
      </c>
    </row>
    <row r="25" spans="1:6">
      <c r="B25" s="1" t="s">
        <v>314</v>
      </c>
      <c r="C25" s="262">
        <f>E145</f>
        <v>124.46305212894542</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29781786.120000005</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-6757737.9474700009</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2.2615305823766106E-2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-50977402</v>
      </c>
      <c r="D78" s="1" t="str">
        <f>Reporting_currency</f>
        <v>CNY</v>
      </c>
    </row>
    <row r="79" spans="1:6">
      <c r="A79" s="191"/>
      <c r="B79" s="44" t="s">
        <v>234</v>
      </c>
      <c r="C79" s="203">
        <f>C78*scaling_factor*Exchange_Rate/Common_Shares</f>
        <v>-6.0164904238649815</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469</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8.0580436399276731</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6.8357384185360361</v>
      </c>
      <c r="D90" s="1" t="str">
        <f>Market_currency</f>
        <v>HKD</v>
      </c>
    </row>
    <row r="91" spans="1:6">
      <c r="A91" s="191"/>
    </row>
    <row r="92" spans="1:6">
      <c r="A92" s="191"/>
      <c r="B92" s="44" t="s">
        <v>472</v>
      </c>
      <c r="C92" s="219">
        <f>DCF!F8</f>
        <v>8.8772916345987305</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3.4847807782490894</v>
      </c>
      <c r="D111" s="1" t="str">
        <f>Market_currency</f>
        <v>HKD</v>
      </c>
    </row>
    <row r="112" spans="2:6">
      <c r="B112" s="44" t="s">
        <v>323</v>
      </c>
      <c r="C112" s="219">
        <f>DCF!C11</f>
        <v>41.880041374660152</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298.39 HKD</v>
      </c>
      <c r="F118" s="211">
        <f>DCF!F82</f>
        <v>0.05</v>
      </c>
    </row>
    <row r="119" spans="2:6">
      <c r="B119" s="198" t="str">
        <f>DCF!B83</f>
        <v>Optimistic</v>
      </c>
      <c r="C119" s="199">
        <f>DCF!C83</f>
        <v>0.25</v>
      </c>
      <c r="D119" s="200">
        <f>DCF!D83</f>
        <v>10</v>
      </c>
      <c r="E119" s="210" t="str">
        <f>ROUND(DCF!E83,2)&amp;" "&amp;Market_currency</f>
        <v>223.24 HKD</v>
      </c>
      <c r="F119" s="201">
        <f>DCF!F83</f>
        <v>0.13500000000000001</v>
      </c>
    </row>
    <row r="120" spans="2:6">
      <c r="B120" s="198" t="str">
        <f>DCF!B84</f>
        <v>Base</v>
      </c>
      <c r="C120" s="199">
        <f>DCF!C84</f>
        <v>0.18</v>
      </c>
      <c r="D120" s="200">
        <f>DCF!D84</f>
        <v>10</v>
      </c>
      <c r="E120" s="210" t="str">
        <f>ROUND(DCF!E84,2)&amp;" "&amp;Market_currency</f>
        <v>147.83 HKD</v>
      </c>
      <c r="F120" s="201">
        <f>DCF!F84</f>
        <v>0.53999999999999992</v>
      </c>
    </row>
    <row r="121" spans="2:6">
      <c r="B121" s="198" t="str">
        <f>DCF!B85</f>
        <v>Pessimistic</v>
      </c>
      <c r="C121" s="199">
        <f>DCF!C85</f>
        <v>0.05</v>
      </c>
      <c r="D121" s="200">
        <f>DCF!D85</f>
        <v>10</v>
      </c>
      <c r="E121" s="210" t="str">
        <f>ROUND(DCF!E85,2)&amp;" "&amp;Market_currency</f>
        <v>68.46 HKD</v>
      </c>
      <c r="F121" s="201">
        <f>DCF!F85</f>
        <v>0.22499999999999998</v>
      </c>
    </row>
    <row r="122" spans="2:6">
      <c r="B122" s="198" t="str">
        <f>DCF!B86</f>
        <v>Devil's advocate</v>
      </c>
      <c r="C122" s="199">
        <f>DCF!C86</f>
        <v>0.02</v>
      </c>
      <c r="D122" s="200">
        <f>DCF!D86</f>
        <v>10</v>
      </c>
      <c r="E122" s="210" t="str">
        <f>ROUND(DCF!E86,2)&amp;" "&amp;Market_currency</f>
        <v>57.48 HKD</v>
      </c>
      <c r="F122" s="201">
        <f>DCF!F86</f>
        <v>0.05</v>
      </c>
    </row>
    <row r="124" spans="2:6">
      <c r="B124" s="460" t="s">
        <v>357</v>
      </c>
      <c r="C124" s="460"/>
      <c r="D124" s="460"/>
      <c r="E124" s="460"/>
      <c r="F124" s="460"/>
    </row>
    <row r="125" spans="2:6">
      <c r="B125" s="193" t="s">
        <v>218</v>
      </c>
      <c r="C125" s="197">
        <f>Scenarios!C36</f>
        <v>143.16440360539528</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0</v>
      </c>
      <c r="D136" s="194" t="str">
        <f>Market_currency</f>
        <v>HKD</v>
      </c>
    </row>
    <row r="138" spans="1:6">
      <c r="B138" s="192" t="s">
        <v>497</v>
      </c>
      <c r="C138" s="217"/>
      <c r="D138" s="218"/>
    </row>
    <row r="139" spans="1:6" ht="12.4">
      <c r="B139" s="347" t="s">
        <v>465</v>
      </c>
      <c r="C139" s="347" t="str">
        <f>"PV("&amp;Holding_Period&amp;" yrs of Dividends)"</f>
        <v>PV(2 yrs of Dividends)</v>
      </c>
      <c r="D139" s="347" t="s">
        <v>474</v>
      </c>
      <c r="E139" s="348" t="str">
        <f>"Buy below ("&amp;Market_currency&amp;")"</f>
        <v>Buy below (HKD)</v>
      </c>
      <c r="F139" s="348" t="s">
        <v>475</v>
      </c>
    </row>
    <row r="140" spans="1:6">
      <c r="B140" s="343" t="s">
        <v>312</v>
      </c>
      <c r="C140" s="340">
        <f>Scenarios!C62</f>
        <v>0</v>
      </c>
      <c r="D140" s="340">
        <f>Scenarios!D62</f>
        <v>78.553856573605088</v>
      </c>
      <c r="E140" s="341">
        <f>Scenarios!E62</f>
        <v>78.553856573605088</v>
      </c>
      <c r="F140" s="342">
        <f>E22</f>
        <v>0.35</v>
      </c>
    </row>
    <row r="141" spans="1:6">
      <c r="B141" s="343" t="s">
        <v>313</v>
      </c>
      <c r="C141" s="340">
        <f>Scenarios!C63</f>
        <v>0</v>
      </c>
      <c r="D141" s="340">
        <f>Scenarios!D63</f>
        <v>91.625218307452982</v>
      </c>
      <c r="E141" s="341">
        <f>Scenarios!E63</f>
        <v>91.625218307452982</v>
      </c>
      <c r="F141" s="342">
        <f>Scenarios!F63</f>
        <v>0.25</v>
      </c>
    </row>
    <row r="142" spans="1:6">
      <c r="B142" s="194"/>
      <c r="C142" s="194"/>
      <c r="D142" s="194"/>
      <c r="E142" s="194"/>
      <c r="F142" s="194"/>
    </row>
    <row r="143" spans="1:6" ht="12.4">
      <c r="B143" s="347" t="s">
        <v>466</v>
      </c>
      <c r="C143" s="347" t="str">
        <f>"PV("&amp;Holding_Period&amp;" yrs of Dividends)"</f>
        <v>PV(2 yrs of Dividends)</v>
      </c>
      <c r="D143" s="347" t="s">
        <v>474</v>
      </c>
      <c r="E143" s="348" t="str">
        <f>"Sell above ("&amp;Market_currency&amp;")"</f>
        <v>Sell above (HKD)</v>
      </c>
      <c r="F143" s="348" t="s">
        <v>475</v>
      </c>
    </row>
    <row r="144" spans="1:6">
      <c r="B144" s="343" t="s">
        <v>315</v>
      </c>
      <c r="C144" s="340">
        <f>Scenarios!C66</f>
        <v>0</v>
      </c>
      <c r="D144" s="340">
        <f>Scenarios!D66</f>
        <v>114.66152520430067</v>
      </c>
      <c r="E144" s="341">
        <f>Scenarios!E66</f>
        <v>114.66152520430067</v>
      </c>
      <c r="F144" s="342">
        <f>E24</f>
        <v>0.1174</v>
      </c>
    </row>
    <row r="145" spans="1:6">
      <c r="B145" s="343" t="s">
        <v>314</v>
      </c>
      <c r="C145" s="340">
        <f>Scenarios!C67</f>
        <v>0</v>
      </c>
      <c r="D145" s="340">
        <f>Scenarios!D67</f>
        <v>124.46305212894542</v>
      </c>
      <c r="E145" s="341">
        <f>Scenarios!E67</f>
        <v>124.46305212894542</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553</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21.758182010999228</v>
      </c>
      <c r="D47" s="134">
        <f>D46*H1/Common_Shares*Exchange_Rate</f>
        <v>3.4847807782490894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55739361.699636295</v>
      </c>
      <c r="D86" s="203">
        <f>C86*scaling_factor/Common_Shares</f>
        <v>6.0164904238649815</v>
      </c>
      <c r="E86" s="217" t="str">
        <f>Market_currency</f>
        <v>HKD</v>
      </c>
    </row>
    <row r="87" spans="2:8" ht="15" customHeight="1">
      <c r="B87" s="215" t="s">
        <v>240</v>
      </c>
      <c r="C87" s="73">
        <f>DCF!F5*Exchange_Rate</f>
        <v>74653191.045694247</v>
      </c>
      <c r="D87" s="203">
        <f>C87*scaling_factor/Common_Shares</f>
        <v>8.0580436399276731</v>
      </c>
      <c r="E87" s="217" t="str">
        <f>Market_currency</f>
        <v>HKD</v>
      </c>
    </row>
    <row r="88" spans="2:8" ht="15" customHeight="1">
      <c r="B88" s="216" t="s">
        <v>159</v>
      </c>
      <c r="C88" s="73">
        <f>DCF!F6*Exchange_Rate</f>
        <v>63329228.39593146</v>
      </c>
      <c r="D88" s="203">
        <f>C88*scaling_factor/Common_Shares</f>
        <v>6.8357384185360353</v>
      </c>
      <c r="E88" s="217" t="str">
        <f>Market_currency</f>
        <v>HKD</v>
      </c>
    </row>
    <row r="89" spans="2:8" ht="15" customHeight="1">
      <c r="B89" s="77" t="s">
        <v>244</v>
      </c>
      <c r="C89" s="162">
        <f>SUM(C86:C88)</f>
        <v>193721781.14126199</v>
      </c>
      <c r="D89" s="219">
        <f>SUM(D86:D88)</f>
        <v>20.91027248232869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2.3926993561544538</v>
      </c>
      <c r="D123" s="26"/>
      <c r="E123" s="238"/>
      <c r="F123" s="26"/>
      <c r="G123" s="159">
        <f t="shared" ref="G123:Q123" si="48">IF(G$4="","",G14*$C$3/Common_Shares*Exchange_Rate)</f>
        <v>3.6664323724392225</v>
      </c>
      <c r="H123" s="159">
        <f t="shared" si="48"/>
        <v>0.79815966416472639</v>
      </c>
      <c r="I123" s="159">
        <f t="shared" si="48"/>
        <v>-1.1542831447414663</v>
      </c>
      <c r="J123" s="159">
        <f t="shared" si="48"/>
        <v>-2.8754637761727664</v>
      </c>
      <c r="K123" s="159">
        <f t="shared" si="48"/>
        <v>-0.35987657526771294</v>
      </c>
      <c r="L123" s="159">
        <f t="shared" si="48"/>
        <v>2.2480963151825621E-2</v>
      </c>
      <c r="M123" s="159">
        <f t="shared" si="48"/>
        <v>-1.5987672156453321</v>
      </c>
      <c r="N123" s="159">
        <f t="shared" si="48"/>
        <v>-0.53753870767645362</v>
      </c>
      <c r="O123" s="159">
        <f t="shared" si="48"/>
        <v>-0.80252568809306757</v>
      </c>
      <c r="P123" s="159">
        <f t="shared" si="48"/>
        <v>-1.0043806453166342</v>
      </c>
      <c r="Q123" s="159" t="str">
        <f t="shared" si="48"/>
        <v/>
      </c>
    </row>
    <row r="124" spans="1:17" ht="15.75" customHeight="1">
      <c r="A124" s="10"/>
      <c r="B124" s="26" t="s">
        <v>226</v>
      </c>
      <c r="C124" s="74">
        <f>C19*Exchange_Rate*$C$3/(Market_Price*Common_Shares)</f>
        <v>2.2615305823766106E-2</v>
      </c>
      <c r="D124" s="26"/>
      <c r="E124" s="238"/>
      <c r="F124" s="26"/>
      <c r="G124" s="74">
        <f t="shared" ref="G124" si="49">IF(G$4="","",G123/Market_Price)</f>
        <v>3.4654370249898134E-2</v>
      </c>
      <c r="H124" s="74">
        <f t="shared" ref="H124" si="50">IF(H$4="","",H123/Market_Price)</f>
        <v>7.5440421943735953E-3</v>
      </c>
      <c r="I124" s="74">
        <f t="shared" ref="I124" si="51">IF(I$4="","",I123/Market_Price)</f>
        <v>-1.0910048627045995E-2</v>
      </c>
      <c r="J124" s="74">
        <f t="shared" ref="J124" si="52">IF(J$4="","",J123/Market_Price)</f>
        <v>-2.7178296561179267E-2</v>
      </c>
      <c r="K124" s="74">
        <f t="shared" ref="K124" si="53">IF(K$4="","",K123/Market_Price)</f>
        <v>-3.4014799174642055E-3</v>
      </c>
      <c r="L124" s="74">
        <f t="shared" ref="L124" si="54">IF(L$4="","",L123/Market_Price)</f>
        <v>2.1248547402481684E-4</v>
      </c>
      <c r="M124" s="74">
        <f t="shared" ref="M124" si="55">IF(M$4="","",M123/Market_Price)</f>
        <v>-1.5111221319899169E-2</v>
      </c>
      <c r="N124" s="74">
        <f t="shared" ref="N124" si="56">IF(N$4="","",N123/Market_Price)</f>
        <v>-5.0807061217056108E-3</v>
      </c>
      <c r="O124" s="74">
        <f t="shared" ref="O124" si="57">IF(O$4="","",O123/Market_Price)</f>
        <v>-7.5853089611821137E-3</v>
      </c>
      <c r="P124" s="74">
        <f t="shared" ref="P124" si="58">IF(P$4="","",P123/Market_Price)</f>
        <v>-9.493200806395409E-3</v>
      </c>
      <c r="Q124" s="74" t="str">
        <f t="shared" ref="Q124" si="59">IF(Q$4="","",Q123/Market_Price)</f>
        <v/>
      </c>
    </row>
    <row r="125" spans="1:17" ht="15.75" customHeight="1">
      <c r="B125" s="2" t="s">
        <v>306</v>
      </c>
      <c r="C125" s="151"/>
      <c r="G125" s="22">
        <f>IF(G$4="","",(Data!C47*$C$3)/(Market_Price*Common_Shares))</f>
        <v>3.6531346353635079E-2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20273213.842410002</v>
      </c>
      <c r="D4" t="str">
        <f>Reporting_currency</f>
        <v>CNY</v>
      </c>
      <c r="E4" s="135" t="s">
        <v>434</v>
      </c>
      <c r="F4" s="282">
        <f>-BS!G31</f>
        <v>-50977402</v>
      </c>
      <c r="G4" t="str">
        <f>Reporting_currency</f>
        <v>CNY</v>
      </c>
      <c r="H4" s="315" t="s">
        <v>394</v>
      </c>
      <c r="I4" s="312">
        <f>Normalized_FCF!C4</f>
        <v>337591576</v>
      </c>
      <c r="J4" s="312"/>
    </row>
    <row r="5" spans="2:15">
      <c r="B5" s="187" t="s">
        <v>105</v>
      </c>
      <c r="C5" s="188">
        <f>Equity_Cost</f>
        <v>7.2499999999999995E-2</v>
      </c>
      <c r="E5" s="135" t="s">
        <v>435</v>
      </c>
      <c r="F5" s="282">
        <f>BS!D66</f>
        <v>68275373.353333324</v>
      </c>
      <c r="G5" t="str">
        <f>Reporting_currency</f>
        <v>CNY</v>
      </c>
      <c r="H5" s="315" t="s">
        <v>396</v>
      </c>
      <c r="I5" s="312">
        <f>Normalized_FCF!C7</f>
        <v>-10729203</v>
      </c>
      <c r="J5" s="312"/>
    </row>
    <row r="6" spans="2:15" ht="13.25" customHeight="1">
      <c r="B6" s="136" t="s">
        <v>194</v>
      </c>
      <c r="C6" s="290">
        <f>(C4*(1+Terminal_Growth))/(Equity_Cost-Terminal_Growth)</f>
        <v>279630535.75737935</v>
      </c>
      <c r="D6" t="str">
        <f>Reporting_currency</f>
        <v>CNY</v>
      </c>
      <c r="E6" s="187" t="s">
        <v>436</v>
      </c>
      <c r="F6" s="291">
        <f>BS!H42</f>
        <v>57918846.499999993</v>
      </c>
      <c r="G6" t="str">
        <f>Reporting_currency</f>
        <v>CNY</v>
      </c>
      <c r="H6" s="315" t="s">
        <v>418</v>
      </c>
      <c r="I6" s="312">
        <f>I7+I8</f>
        <v>-2750834.3301200001</v>
      </c>
      <c r="J6" s="312"/>
      <c r="N6" s="135"/>
    </row>
    <row r="7" spans="2:15" ht="12.75" customHeight="1">
      <c r="B7" s="325" t="s">
        <v>433</v>
      </c>
      <c r="C7" s="282">
        <f>F7</f>
        <v>75216817.853333324</v>
      </c>
      <c r="E7" s="140" t="s">
        <v>427</v>
      </c>
      <c r="F7" s="290">
        <f>SUM(F4:F6)</f>
        <v>75216817.853333324</v>
      </c>
      <c r="G7" t="str">
        <f>Reporting_currency</f>
        <v>CNY</v>
      </c>
      <c r="H7" s="319" t="s">
        <v>419</v>
      </c>
      <c r="I7" s="320">
        <f>Normalized_FCF!C9</f>
        <v>0</v>
      </c>
      <c r="J7" s="320"/>
      <c r="N7" s="311"/>
      <c r="O7" s="311"/>
    </row>
    <row r="8" spans="2:15" ht="13.15">
      <c r="B8" s="136" t="s">
        <v>429</v>
      </c>
      <c r="C8" s="290">
        <f>C6+C7</f>
        <v>354847353.61071265</v>
      </c>
      <c r="D8" t="str">
        <f>Reporting_currency</f>
        <v>CNY</v>
      </c>
      <c r="E8" s="140" t="s">
        <v>467</v>
      </c>
      <c r="F8" s="108">
        <f>FV_adjustments*scaling_factor/Common_Shares*Exchange_Rate</f>
        <v>8.8772916345987305</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0</v>
      </c>
      <c r="J9" s="313"/>
      <c r="N9" s="311"/>
      <c r="O9" s="311"/>
    </row>
    <row r="10" spans="2:15" ht="13.5" thickTop="1">
      <c r="B10" s="107" t="s">
        <v>430</v>
      </c>
      <c r="C10" s="290">
        <f>C8*Exchange_Rate</f>
        <v>387994762.68065315</v>
      </c>
      <c r="D10" t="str">
        <f>Market_currency</f>
        <v>HKD</v>
      </c>
      <c r="H10" s="315" t="s">
        <v>398</v>
      </c>
      <c r="I10" s="313">
        <f>Normalized_FCF!C41</f>
        <v>0.25</v>
      </c>
      <c r="N10" s="311"/>
      <c r="O10" s="311"/>
    </row>
    <row r="11" spans="2:15" ht="13.15">
      <c r="B11" s="136" t="s">
        <v>428</v>
      </c>
      <c r="C11" s="108">
        <f>(C10*scaling_factor)/Common_Shares</f>
        <v>41.880041374660152</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II</v>
      </c>
      <c r="H14" s="106" t="s">
        <v>415</v>
      </c>
    </row>
    <row r="15" spans="2:15">
      <c r="B15" s="139" t="s">
        <v>424</v>
      </c>
      <c r="C15" s="148">
        <f>Scenarios!C45</f>
        <v>10</v>
      </c>
      <c r="E15" s="315" t="str">
        <f>IF(F14="II","Change year","Terminal Year")</f>
        <v>Change year</v>
      </c>
      <c r="F15" s="317">
        <f>IF(F14="II",_xlfn.CEILING.MATH(C15/2),C15+1)</f>
        <v>5</v>
      </c>
      <c r="H15" s="97" t="s">
        <v>432</v>
      </c>
      <c r="I15" s="126">
        <f>Terminal_Growth</f>
        <v>0</v>
      </c>
      <c r="J15" s="126"/>
    </row>
    <row r="16" spans="2:15" ht="13.25" customHeight="1">
      <c r="B16" s="114" t="s">
        <v>425</v>
      </c>
      <c r="C16" s="147">
        <f>Scenarios!C46</f>
        <v>0.17457815320730899</v>
      </c>
      <c r="E16" s="315" t="s">
        <v>401</v>
      </c>
      <c r="F16" s="318">
        <f>Scenarios!C41</f>
        <v>0.11638543547153932</v>
      </c>
    </row>
    <row r="17" spans="1:21" ht="13.25" customHeight="1">
      <c r="B17" s="315" t="s">
        <v>395</v>
      </c>
      <c r="C17" s="313">
        <f>Normalized_FCF!C32</f>
        <v>0.88</v>
      </c>
      <c r="E17" s="315" t="s">
        <v>402</v>
      </c>
      <c r="F17" s="318">
        <f>Scenarios!C40</f>
        <v>0.85</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143.1599926415725</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396527689.87642491</v>
      </c>
      <c r="D21" s="306">
        <f t="shared" ref="D21:D50" si="1">IF(A21="",0,IF(A21="I",$C$16,$F$16))</f>
        <v>0.17457815320730899</v>
      </c>
      <c r="E21" s="306">
        <f>$C$17</f>
        <v>0.88</v>
      </c>
      <c r="F21" s="284">
        <f>I5*(1+D21)</f>
        <v>-12602287.445126319</v>
      </c>
      <c r="G21" s="284">
        <f>C21*(1-E21)+F21+$I$6</f>
        <v>32230201.009924669</v>
      </c>
      <c r="H21" s="306">
        <f t="shared" ref="H21:H50" si="2">IF(A21="",0%,IF(A21="I",$C$18,$F$18))</f>
        <v>0</v>
      </c>
      <c r="I21" s="284">
        <f>(G21*(1-$I$10)+C21*(H21-$I$9))</f>
        <v>24172650.757443503</v>
      </c>
      <c r="J21" s="306">
        <f>I21/C4-1</f>
        <v>0.19234428962990457</v>
      </c>
      <c r="K21" s="119">
        <f t="shared" ref="K21:K50" si="3">IF($C$15&lt;B21,0,1/(1+Equity_Cost)^B21)</f>
        <v>0.93240093240093236</v>
      </c>
      <c r="L21" s="284">
        <f t="shared" ref="L21:L50" si="4">I21*K21</f>
        <v>22538602.104842424</v>
      </c>
    </row>
    <row r="22" spans="1:21">
      <c r="A22" s="309" t="str">
        <f t="shared" si="0"/>
        <v>I</v>
      </c>
      <c r="B22" s="117">
        <v>2</v>
      </c>
      <c r="C22" s="284">
        <f t="shared" ref="C22:C50" si="5">IF(A22="",0,C21*(1+D22))</f>
        <v>465752761.67061174</v>
      </c>
      <c r="D22" s="306">
        <f t="shared" si="1"/>
        <v>0.17457815320730899</v>
      </c>
      <c r="E22" s="306">
        <f t="shared" ref="E22:E50" si="6">IF($C$15&lt;B22,0,IF(B22&gt;=$F$15,$F$17,$C$17))</f>
        <v>0.88</v>
      </c>
      <c r="F22" s="284">
        <f t="shared" ref="F22:F50" si="7">IF(A22="",0,F21*(1+D22))</f>
        <v>-14802371.513484128</v>
      </c>
      <c r="G22" s="284">
        <f t="shared" ref="G22:G50" si="8">IF(A22="", 0,C22*(1-E22)+F22+$I$6)</f>
        <v>38337125.556869283</v>
      </c>
      <c r="H22" s="306">
        <f t="shared" si="2"/>
        <v>0</v>
      </c>
      <c r="I22" s="284">
        <f>IF(A22="", 0,G22*(1-$I$10)+C22*(H22-$I$9))</f>
        <v>28752844.167651962</v>
      </c>
      <c r="J22" s="306">
        <f>IF(A22="", 0,I22/I21-1)</f>
        <v>0.18947832640150475</v>
      </c>
      <c r="K22" s="119">
        <f t="shared" si="3"/>
        <v>0.86937149874212816</v>
      </c>
      <c r="L22" s="284">
        <f t="shared" si="4"/>
        <v>24996903.227130447</v>
      </c>
    </row>
    <row r="23" spans="1:21">
      <c r="A23" s="309" t="str">
        <f t="shared" si="0"/>
        <v>I</v>
      </c>
      <c r="B23" s="117">
        <v>3</v>
      </c>
      <c r="C23" s="284">
        <f t="shared" si="5"/>
        <v>547063018.65427101</v>
      </c>
      <c r="D23" s="306">
        <f t="shared" si="1"/>
        <v>0.17457815320730899</v>
      </c>
      <c r="E23" s="306">
        <f t="shared" si="6"/>
        <v>0.88</v>
      </c>
      <c r="F23" s="284">
        <f t="shared" si="7"/>
        <v>-17386542.195396665</v>
      </c>
      <c r="G23" s="284">
        <f t="shared" si="8"/>
        <v>45510185.712995857</v>
      </c>
      <c r="H23" s="306">
        <f t="shared" si="2"/>
        <v>0</v>
      </c>
      <c r="I23" s="284">
        <f t="shared" ref="I23:I50" si="9">IF(A23="", 0,G23*(1-$I$10)+C23*(H23-$I$9))</f>
        <v>34132639.284746893</v>
      </c>
      <c r="J23" s="306">
        <f t="shared" ref="J23:J50" si="10">IF(A23="", 0,I23/I22-1)</f>
        <v>0.18710479859753848</v>
      </c>
      <c r="K23" s="119">
        <f t="shared" si="3"/>
        <v>0.81060279602995633</v>
      </c>
      <c r="L23" s="284">
        <f t="shared" si="4"/>
        <v>27668012.840097759</v>
      </c>
      <c r="N23" s="282"/>
      <c r="O23" s="282"/>
      <c r="P23" s="282"/>
      <c r="Q23" s="282"/>
      <c r="R23" s="282"/>
      <c r="S23" s="282"/>
      <c r="T23" s="282"/>
      <c r="U23" s="282"/>
    </row>
    <row r="24" spans="1:21">
      <c r="A24" s="309" t="str">
        <f t="shared" si="0"/>
        <v>I</v>
      </c>
      <c r="B24" s="117">
        <v>4</v>
      </c>
      <c r="C24" s="284">
        <f t="shared" si="5"/>
        <v>642568270.13894928</v>
      </c>
      <c r="D24" s="306">
        <f t="shared" si="1"/>
        <v>0.17457815320730899</v>
      </c>
      <c r="E24" s="306">
        <f t="shared" si="6"/>
        <v>0.88</v>
      </c>
      <c r="F24" s="284">
        <f t="shared" si="7"/>
        <v>-20421852.622529965</v>
      </c>
      <c r="G24" s="284">
        <f t="shared" si="8"/>
        <v>53935505.464023948</v>
      </c>
      <c r="H24" s="306">
        <f t="shared" si="2"/>
        <v>0</v>
      </c>
      <c r="I24" s="284">
        <f t="shared" si="9"/>
        <v>40451629.098017961</v>
      </c>
      <c r="J24" s="306">
        <f t="shared" si="10"/>
        <v>0.18513041902666116</v>
      </c>
      <c r="K24" s="119">
        <f t="shared" si="3"/>
        <v>0.75580680282513402</v>
      </c>
      <c r="L24" s="284">
        <f t="shared" si="4"/>
        <v>30573616.457641114</v>
      </c>
      <c r="N24" s="282"/>
      <c r="O24" s="282"/>
      <c r="P24" s="282"/>
      <c r="Q24" s="282"/>
      <c r="R24" s="282"/>
      <c r="S24" s="282"/>
      <c r="T24" s="282"/>
      <c r="U24" s="282"/>
    </row>
    <row r="25" spans="1:21">
      <c r="A25" s="309" t="str">
        <f t="shared" si="0"/>
        <v>II</v>
      </c>
      <c r="B25" s="117">
        <v>5</v>
      </c>
      <c r="C25" s="284">
        <f t="shared" si="5"/>
        <v>717353858.07926452</v>
      </c>
      <c r="D25" s="306">
        <f t="shared" si="1"/>
        <v>0.11638543547153932</v>
      </c>
      <c r="E25" s="306">
        <f t="shared" si="6"/>
        <v>0.85</v>
      </c>
      <c r="F25" s="284">
        <f t="shared" si="7"/>
        <v>-22798658.833138712</v>
      </c>
      <c r="G25" s="284">
        <f t="shared" si="8"/>
        <v>82053585.548630983</v>
      </c>
      <c r="H25" s="306">
        <f t="shared" si="2"/>
        <v>0</v>
      </c>
      <c r="I25" s="284">
        <f t="shared" si="9"/>
        <v>61540189.161473237</v>
      </c>
      <c r="J25" s="306">
        <f t="shared" si="10"/>
        <v>0.52132783113272851</v>
      </c>
      <c r="K25" s="119">
        <f t="shared" si="3"/>
        <v>0.70471496766912267</v>
      </c>
      <c r="L25" s="284">
        <f t="shared" si="4"/>
        <v>43368292.415279306</v>
      </c>
      <c r="N25" s="282"/>
      <c r="O25" s="282"/>
      <c r="P25" s="282"/>
      <c r="Q25" s="282"/>
      <c r="R25" s="282"/>
      <c r="S25" s="282"/>
      <c r="T25" s="282"/>
      <c r="U25" s="282"/>
    </row>
    <row r="26" spans="1:21">
      <c r="A26" s="309" t="str">
        <f t="shared" si="0"/>
        <v>II</v>
      </c>
      <c r="B26" s="117">
        <v>6</v>
      </c>
      <c r="C26" s="284">
        <f t="shared" si="5"/>
        <v>800843399.23900843</v>
      </c>
      <c r="D26" s="306">
        <f t="shared" si="1"/>
        <v>0.11638543547153932</v>
      </c>
      <c r="E26" s="306">
        <f t="shared" si="6"/>
        <v>0.85</v>
      </c>
      <c r="F26" s="284">
        <f t="shared" si="7"/>
        <v>-25452090.669600613</v>
      </c>
      <c r="G26" s="284">
        <f t="shared" si="8"/>
        <v>91923584.886130661</v>
      </c>
      <c r="H26" s="306">
        <f t="shared" si="2"/>
        <v>0</v>
      </c>
      <c r="I26" s="284">
        <f t="shared" si="9"/>
        <v>68942688.664597988</v>
      </c>
      <c r="J26" s="306">
        <f t="shared" si="10"/>
        <v>0.120287239996965</v>
      </c>
      <c r="K26" s="119">
        <f t="shared" si="3"/>
        <v>0.65707689293158289</v>
      </c>
      <c r="L26" s="284">
        <f t="shared" si="4"/>
        <v>45300647.658083506</v>
      </c>
    </row>
    <row r="27" spans="1:21">
      <c r="A27" s="309" t="str">
        <f t="shared" si="0"/>
        <v>II</v>
      </c>
      <c r="B27" s="117">
        <v>7</v>
      </c>
      <c r="C27" s="284">
        <f t="shared" si="5"/>
        <v>894049907.00394821</v>
      </c>
      <c r="D27" s="306">
        <f t="shared" si="1"/>
        <v>0.11638543547153932</v>
      </c>
      <c r="E27" s="306">
        <f t="shared" si="6"/>
        <v>0.85</v>
      </c>
      <c r="F27" s="284">
        <f t="shared" si="7"/>
        <v>-28414343.325843181</v>
      </c>
      <c r="G27" s="284">
        <f t="shared" si="8"/>
        <v>102942308.39462908</v>
      </c>
      <c r="H27" s="306">
        <f t="shared" si="2"/>
        <v>0</v>
      </c>
      <c r="I27" s="284">
        <f t="shared" si="9"/>
        <v>77206731.295971811</v>
      </c>
      <c r="J27" s="306">
        <f t="shared" si="10"/>
        <v>0.11986829628269779</v>
      </c>
      <c r="K27" s="119">
        <f t="shared" si="3"/>
        <v>0.61265910762851561</v>
      </c>
      <c r="L27" s="284">
        <f t="shared" si="4"/>
        <v>47301407.098704681</v>
      </c>
    </row>
    <row r="28" spans="1:21">
      <c r="A28" s="309" t="str">
        <f t="shared" si="0"/>
        <v>II</v>
      </c>
      <c r="B28" s="117">
        <v>8</v>
      </c>
      <c r="C28" s="284">
        <f t="shared" si="5"/>
        <v>998104294.76389194</v>
      </c>
      <c r="D28" s="306">
        <f t="shared" si="1"/>
        <v>0.11638543547153932</v>
      </c>
      <c r="E28" s="306">
        <f t="shared" si="6"/>
        <v>0.85</v>
      </c>
      <c r="F28" s="284">
        <f t="shared" si="7"/>
        <v>-31721359.047459263</v>
      </c>
      <c r="G28" s="284">
        <f t="shared" si="8"/>
        <v>115243450.83700456</v>
      </c>
      <c r="H28" s="306">
        <f t="shared" si="2"/>
        <v>0</v>
      </c>
      <c r="I28" s="284">
        <f t="shared" si="9"/>
        <v>86432588.127753422</v>
      </c>
      <c r="J28" s="306">
        <f t="shared" si="10"/>
        <v>0.11949549834475337</v>
      </c>
      <c r="K28" s="119">
        <f t="shared" si="3"/>
        <v>0.5712439231967511</v>
      </c>
      <c r="L28" s="284">
        <f t="shared" si="4"/>
        <v>49374090.734146796</v>
      </c>
    </row>
    <row r="29" spans="1:21">
      <c r="A29" s="309" t="str">
        <f t="shared" si="0"/>
        <v>II</v>
      </c>
      <c r="B29" s="117">
        <v>9</v>
      </c>
      <c r="C29" s="284">
        <f t="shared" si="5"/>
        <v>1114269097.756001</v>
      </c>
      <c r="D29" s="306">
        <f t="shared" si="1"/>
        <v>0.11638543547153932</v>
      </c>
      <c r="E29" s="306">
        <f t="shared" si="6"/>
        <v>0.85</v>
      </c>
      <c r="F29" s="284">
        <f t="shared" si="7"/>
        <v>-35413263.23394686</v>
      </c>
      <c r="G29" s="284">
        <f t="shared" si="8"/>
        <v>128976267.09933332</v>
      </c>
      <c r="H29" s="306">
        <f t="shared" si="2"/>
        <v>0</v>
      </c>
      <c r="I29" s="284">
        <f t="shared" si="9"/>
        <v>96732200.324499995</v>
      </c>
      <c r="J29" s="306">
        <f t="shared" si="10"/>
        <v>0.11916352870890567</v>
      </c>
      <c r="K29" s="119">
        <f t="shared" si="3"/>
        <v>0.53262836661701729</v>
      </c>
      <c r="L29" s="284">
        <f t="shared" si="4"/>
        <v>51522313.858108543</v>
      </c>
    </row>
    <row r="30" spans="1:21">
      <c r="A30" s="309" t="str">
        <f t="shared" si="0"/>
        <v>II</v>
      </c>
      <c r="B30" s="117">
        <v>10</v>
      </c>
      <c r="C30" s="284">
        <f t="shared" si="5"/>
        <v>1243953791.9308124</v>
      </c>
      <c r="D30" s="306">
        <f t="shared" si="1"/>
        <v>0.11638543547153932</v>
      </c>
      <c r="E30" s="306">
        <f t="shared" si="6"/>
        <v>0.85</v>
      </c>
      <c r="F30" s="284">
        <f t="shared" si="7"/>
        <v>-39534851.296898015</v>
      </c>
      <c r="G30" s="284">
        <f t="shared" si="8"/>
        <v>144307383.16260388</v>
      </c>
      <c r="H30" s="306">
        <f t="shared" si="2"/>
        <v>0</v>
      </c>
      <c r="I30" s="284">
        <f t="shared" si="9"/>
        <v>108230537.37195292</v>
      </c>
      <c r="J30" s="306">
        <f t="shared" si="10"/>
        <v>0.11886772976196491</v>
      </c>
      <c r="K30" s="119">
        <f t="shared" si="3"/>
        <v>0.49662318565689262</v>
      </c>
      <c r="L30" s="284">
        <f t="shared" si="4"/>
        <v>53749794.255016632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1243953791.9308124</v>
      </c>
      <c r="D51" s="308">
        <f>Terminal_Growth</f>
        <v>0</v>
      </c>
      <c r="E51" s="308">
        <f>F17</f>
        <v>0.85</v>
      </c>
      <c r="F51" s="284">
        <f>VLOOKUP(C15,B21:F50,5,FALSE)*(1+Terminal_Growth)</f>
        <v>-39534851.296898015</v>
      </c>
      <c r="G51" s="284">
        <f>C51*(1-E51)+F51+$I$6</f>
        <v>144307383.16260388</v>
      </c>
      <c r="H51" s="306">
        <f>F18</f>
        <v>0</v>
      </c>
      <c r="I51" s="284">
        <f>(G51*(1-$I$10)+C51*(H51-$I$9))/Equity_Cost</f>
        <v>1492834998.2338336</v>
      </c>
      <c r="J51" s="422">
        <f>(G51*(1-$I$10)+C51*(H51-$I$9))/VLOOKUP(C15,B21:I50,8,FALSE)-1</f>
        <v>0</v>
      </c>
      <c r="K51" s="119">
        <f>1/(1+Equity_Cost)^C15</f>
        <v>0.49662318565689262</v>
      </c>
      <c r="L51" s="284">
        <f>I51*K51</f>
        <v>741376472.48298812</v>
      </c>
    </row>
    <row r="52" spans="1:21" ht="13.15">
      <c r="G52" s="111"/>
      <c r="H52" s="111"/>
      <c r="I52" s="111"/>
      <c r="J52" s="467" t="s">
        <v>423</v>
      </c>
      <c r="K52" s="467"/>
      <c r="L52" s="324">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41.880041374660152</v>
      </c>
      <c r="C69" s="119">
        <f>C11</f>
        <v>41.880041374660152</v>
      </c>
      <c r="D69" s="119">
        <f>C11</f>
        <v>41.880041374660152</v>
      </c>
      <c r="E69" s="119">
        <f>C11</f>
        <v>41.880041374660152</v>
      </c>
      <c r="F69" s="119">
        <f>C11</f>
        <v>41.880041374660152</v>
      </c>
      <c r="G69" s="303"/>
      <c r="H69" s="303"/>
      <c r="I69" s="303"/>
      <c r="J69" s="303"/>
      <c r="K69" s="303"/>
      <c r="L69" s="303"/>
    </row>
    <row r="70" spans="1:21" ht="13.15">
      <c r="A70" s="131">
        <f>A56</f>
        <v>5</v>
      </c>
      <c r="B70" s="119">
        <f t="shared" ref="B70:F74" si="11">(B56+FV_adjustments)/Common_Shares*scaling_factor*Exchange_Rate</f>
        <v>56.150606510940378</v>
      </c>
      <c r="C70" s="119">
        <f t="shared" si="11"/>
        <v>61.831736970354982</v>
      </c>
      <c r="D70" s="119">
        <f t="shared" si="11"/>
        <v>92.782993623759339</v>
      </c>
      <c r="E70" s="119">
        <f t="shared" si="11"/>
        <v>114.44767080793109</v>
      </c>
      <c r="F70" s="119">
        <f t="shared" si="11"/>
        <v>132.44151724825505</v>
      </c>
      <c r="G70" s="303"/>
      <c r="H70" s="303"/>
      <c r="I70" s="303"/>
      <c r="J70" s="303"/>
      <c r="K70" s="303"/>
      <c r="L70" s="303"/>
    </row>
    <row r="71" spans="1:21" ht="13.15">
      <c r="A71" s="131">
        <v>6</v>
      </c>
      <c r="B71" s="119">
        <f t="shared" si="11"/>
        <v>56.646256385950828</v>
      </c>
      <c r="C71" s="119">
        <f t="shared" si="11"/>
        <v>63.224116388340086</v>
      </c>
      <c r="D71" s="119">
        <f t="shared" si="11"/>
        <v>100.84379579628627</v>
      </c>
      <c r="E71" s="119">
        <f t="shared" si="11"/>
        <v>128.64766212168738</v>
      </c>
      <c r="F71" s="119">
        <f t="shared" si="11"/>
        <v>152.49728873238209</v>
      </c>
      <c r="G71" s="303"/>
      <c r="H71" s="303"/>
      <c r="I71" s="303"/>
      <c r="J71" s="303"/>
      <c r="K71" s="303"/>
      <c r="L71" s="303"/>
    </row>
    <row r="72" spans="1:21" ht="13.15">
      <c r="A72" s="131">
        <f t="shared" ref="A72" si="12">A58</f>
        <v>7</v>
      </c>
      <c r="B72" s="119">
        <f t="shared" si="11"/>
        <v>56.650660884322264</v>
      </c>
      <c r="C72" s="119">
        <f t="shared" si="11"/>
        <v>64.594404121377394</v>
      </c>
      <c r="D72" s="119">
        <f t="shared" si="11"/>
        <v>113.29895161324646</v>
      </c>
      <c r="E72" s="119">
        <f t="shared" si="11"/>
        <v>152.09813213571877</v>
      </c>
      <c r="F72" s="119">
        <f t="shared" si="11"/>
        <v>186.86994650657653</v>
      </c>
      <c r="G72" s="303"/>
      <c r="H72" s="303"/>
      <c r="I72" s="303"/>
      <c r="J72" s="303"/>
      <c r="K72" s="303"/>
      <c r="L72" s="303"/>
    </row>
    <row r="73" spans="1:21" ht="13.15">
      <c r="A73" s="131">
        <v>8</v>
      </c>
      <c r="B73" s="119">
        <f t="shared" si="11"/>
        <v>57.096043129200986</v>
      </c>
      <c r="C73" s="119">
        <f t="shared" si="11"/>
        <v>65.907791176230447</v>
      </c>
      <c r="D73" s="119">
        <f t="shared" si="11"/>
        <v>122.56050194275919</v>
      </c>
      <c r="E73" s="119">
        <f t="shared" si="11"/>
        <v>170.10135590946012</v>
      </c>
      <c r="F73" s="119">
        <f t="shared" si="11"/>
        <v>214.06997564376942</v>
      </c>
      <c r="G73" s="303"/>
      <c r="H73" s="303"/>
      <c r="I73" s="303"/>
      <c r="J73" s="303"/>
      <c r="K73" s="303"/>
      <c r="L73" s="303"/>
    </row>
    <row r="74" spans="1:21" ht="13.15">
      <c r="A74" s="131">
        <f t="shared" ref="A74" si="13">A60</f>
        <v>9</v>
      </c>
      <c r="B74" s="119">
        <f t="shared" si="11"/>
        <v>57.07843009468602</v>
      </c>
      <c r="C74" s="119">
        <f t="shared" si="11"/>
        <v>67.221778039591683</v>
      </c>
      <c r="D74" s="119">
        <f t="shared" si="11"/>
        <v>137.19239054363157</v>
      </c>
      <c r="E74" s="119">
        <f t="shared" si="11"/>
        <v>200.41246055969634</v>
      </c>
      <c r="F74" s="119">
        <f t="shared" si="11"/>
        <v>261.50350639916718</v>
      </c>
      <c r="G74" s="303"/>
      <c r="H74" s="303"/>
      <c r="I74" s="303"/>
      <c r="J74" s="303"/>
      <c r="K74" s="303"/>
      <c r="L74" s="303"/>
    </row>
    <row r="75" spans="1:21" ht="13.15">
      <c r="A75" s="131">
        <f t="shared" ref="A75:A79" si="14">A61</f>
        <v>10</v>
      </c>
      <c r="B75" s="119">
        <f t="shared" ref="B75:F79" si="15">(B61+FV_adjustments)/Common_Shares*scaling_factor*Exchange_Rate</f>
        <v>57.478642732788757</v>
      </c>
      <c r="C75" s="119">
        <f t="shared" si="15"/>
        <v>68.460654120043841</v>
      </c>
      <c r="D75" s="119">
        <f t="shared" si="15"/>
        <v>147.83355412390688</v>
      </c>
      <c r="E75" s="119">
        <f t="shared" si="15"/>
        <v>223.23754960981557</v>
      </c>
      <c r="F75" s="119">
        <f t="shared" si="15"/>
        <v>298.39271735022334</v>
      </c>
      <c r="G75" s="303"/>
      <c r="H75" s="303"/>
      <c r="I75" s="303"/>
      <c r="J75" s="303"/>
      <c r="K75" s="303"/>
      <c r="L75" s="303"/>
    </row>
    <row r="76" spans="1:21" ht="13.15">
      <c r="A76" s="131">
        <f t="shared" si="14"/>
        <v>15</v>
      </c>
      <c r="B76" s="119">
        <f t="shared" si="15"/>
        <v>58.007478486801446</v>
      </c>
      <c r="C76" s="119">
        <f t="shared" si="15"/>
        <v>74.362417391091256</v>
      </c>
      <c r="D76" s="119">
        <f t="shared" si="15"/>
        <v>234.91842437811655</v>
      </c>
      <c r="E76" s="119">
        <f t="shared" si="15"/>
        <v>443.1110633695771</v>
      </c>
      <c r="F76" s="119">
        <f t="shared" si="15"/>
        <v>694.60972721856888</v>
      </c>
      <c r="G76" s="303"/>
      <c r="H76" s="303"/>
      <c r="I76" s="303"/>
      <c r="J76" s="303"/>
      <c r="K76" s="303"/>
      <c r="L76" s="303"/>
    </row>
    <row r="77" spans="1:21" ht="13.15">
      <c r="A77" s="132">
        <f t="shared" si="14"/>
        <v>20</v>
      </c>
      <c r="B77" s="119">
        <f t="shared" si="15"/>
        <v>58.631335315657516</v>
      </c>
      <c r="C77" s="119">
        <f t="shared" si="15"/>
        <v>79.493726983442329</v>
      </c>
      <c r="D77" s="119">
        <f t="shared" si="15"/>
        <v>350.54912682418757</v>
      </c>
      <c r="E77" s="119">
        <f t="shared" si="15"/>
        <v>813.28479075962412</v>
      </c>
      <c r="F77" s="119">
        <f t="shared" si="15"/>
        <v>1480.759806451166</v>
      </c>
      <c r="G77" s="303"/>
      <c r="H77" s="303"/>
      <c r="I77" s="303"/>
      <c r="J77" s="303"/>
      <c r="K77" s="303"/>
      <c r="L77" s="303"/>
    </row>
    <row r="78" spans="1:21" ht="13.15">
      <c r="A78" s="132">
        <f t="shared" si="14"/>
        <v>25</v>
      </c>
      <c r="B78" s="119">
        <f t="shared" si="15"/>
        <v>58.737052357482504</v>
      </c>
      <c r="C78" s="119">
        <f t="shared" si="15"/>
        <v>84.158609591197646</v>
      </c>
      <c r="D78" s="119">
        <f t="shared" si="15"/>
        <v>535.22935895234821</v>
      </c>
      <c r="E78" s="119">
        <f t="shared" si="15"/>
        <v>1564.0519428111897</v>
      </c>
      <c r="F78" s="119">
        <f t="shared" si="15"/>
        <v>3359.1553145995331</v>
      </c>
      <c r="G78" s="303"/>
      <c r="H78" s="303"/>
      <c r="I78" s="303"/>
      <c r="J78" s="303"/>
      <c r="K78" s="303"/>
      <c r="L78" s="303"/>
    </row>
    <row r="79" spans="1:21" ht="13.15">
      <c r="A79" s="132">
        <f t="shared" si="14"/>
        <v>30</v>
      </c>
      <c r="B79" s="119">
        <f t="shared" si="15"/>
        <v>58.982580847190029</v>
      </c>
      <c r="C79" s="119">
        <f t="shared" si="15"/>
        <v>88.153357491961899</v>
      </c>
      <c r="D79" s="119">
        <f t="shared" si="15"/>
        <v>775.46721887595777</v>
      </c>
      <c r="E79" s="119">
        <f t="shared" si="15"/>
        <v>2806.3386994206821</v>
      </c>
      <c r="F79" s="119">
        <f t="shared" si="15"/>
        <v>7030.9122687745648</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298.39271735022334</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223.23754960981557</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147.83355412390688</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68.460654120043841</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57.478642732788757</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34026555</v>
      </c>
      <c r="D7" s="468"/>
      <c r="E7" s="468"/>
      <c r="F7" s="468"/>
      <c r="G7" s="468"/>
    </row>
    <row r="8" spans="2:7">
      <c r="B8" s="97" t="s">
        <v>63</v>
      </c>
      <c r="C8" s="455">
        <f>Normalized_FCF!G19</f>
        <v>31065485.654937759</v>
      </c>
      <c r="D8" s="468"/>
      <c r="E8" s="468"/>
      <c r="F8" s="468"/>
      <c r="G8" s="468"/>
    </row>
    <row r="9" spans="2:7">
      <c r="B9" s="97" t="s">
        <v>54</v>
      </c>
      <c r="C9" s="455">
        <f>Normalized_FCF!C19</f>
        <v>20273213.842410002</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0.23887911725357402</v>
      </c>
      <c r="D12" s="468"/>
      <c r="E12" s="468"/>
      <c r="F12" s="468"/>
      <c r="G12" s="468"/>
    </row>
    <row r="13" spans="2:7">
      <c r="B13" s="135" t="s">
        <v>127</v>
      </c>
      <c r="C13" s="255" t="e">
        <f ca="1">(Normalized_FCF!G8/OFFSET(Normalized_FCF!G8, 0, $C$4))^(1/$C$4) - 1</f>
        <v>#NUM!</v>
      </c>
      <c r="D13" s="468"/>
      <c r="E13" s="468"/>
      <c r="F13" s="468"/>
      <c r="G13" s="468"/>
    </row>
    <row r="14" spans="2:7">
      <c r="B14" s="97" t="s">
        <v>63</v>
      </c>
      <c r="C14" s="255" t="e">
        <f ca="1">(Normalized_FCF!G19/OFFSET(Normalized_FCF!G19, 0, $C$4))^(1/$C$4) - 1</f>
        <v>#NUM!</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0.25</v>
      </c>
      <c r="D22" s="332">
        <f>C18</f>
        <v>10</v>
      </c>
      <c r="E22" s="333">
        <f>DCF!E83</f>
        <v>223.23754960981557</v>
      </c>
      <c r="F22" s="335">
        <f>1-F23-F24</f>
        <v>0.15000000000000002</v>
      </c>
      <c r="G22" s="335">
        <f>F22*(1-F$29-F$30)</f>
        <v>0.13500000000000001</v>
      </c>
    </row>
    <row r="23" spans="2:7">
      <c r="B23" s="309" t="s">
        <v>440</v>
      </c>
      <c r="C23" s="331">
        <v>0.18</v>
      </c>
      <c r="D23" s="332">
        <f>C18</f>
        <v>10</v>
      </c>
      <c r="E23" s="333">
        <f>DCF!E84</f>
        <v>147.83355412390688</v>
      </c>
      <c r="F23" s="334">
        <v>0.6</v>
      </c>
      <c r="G23" s="335">
        <f t="shared" ref="G23:G24" si="0">F23*(1-F$29-F$30)</f>
        <v>0.53999999999999992</v>
      </c>
    </row>
    <row r="24" spans="2:7">
      <c r="B24" s="309" t="s">
        <v>449</v>
      </c>
      <c r="C24" s="331">
        <v>0.05</v>
      </c>
      <c r="D24" s="332">
        <f>C18</f>
        <v>10</v>
      </c>
      <c r="E24" s="333">
        <f>DCF!E85</f>
        <v>68.460654120043841</v>
      </c>
      <c r="F24" s="334">
        <v>0.25</v>
      </c>
      <c r="G24" s="335">
        <f t="shared" si="0"/>
        <v>0.22499999999999998</v>
      </c>
    </row>
    <row r="25" spans="2:7">
      <c r="B25" s="141" t="s">
        <v>454</v>
      </c>
      <c r="C25" s="449">
        <f>E23*F23+E24*F24+E22*F22</f>
        <v>139.30092844582742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0.3</v>
      </c>
      <c r="D29" s="332">
        <f>C18</f>
        <v>10</v>
      </c>
      <c r="E29" s="333">
        <f>DCF!E82</f>
        <v>298.39271735022334</v>
      </c>
      <c r="F29" s="334">
        <v>0.05</v>
      </c>
      <c r="G29" s="335">
        <f>F29</f>
        <v>0.05</v>
      </c>
    </row>
    <row r="30" spans="2:7">
      <c r="B30" s="322" t="s">
        <v>450</v>
      </c>
      <c r="C30" s="331">
        <v>0.02</v>
      </c>
      <c r="D30" s="332">
        <f>C18</f>
        <v>10</v>
      </c>
      <c r="E30" s="333">
        <f>DCF!E86</f>
        <v>57.478642732788757</v>
      </c>
      <c r="F30" s="334">
        <v>0.05</v>
      </c>
      <c r="G30" s="335">
        <f>F30</f>
        <v>0.05</v>
      </c>
    </row>
    <row r="31" spans="2:7">
      <c r="E31" s="336"/>
      <c r="F31" s="336"/>
    </row>
    <row r="32" spans="2:7" ht="13.15">
      <c r="B32" s="145" t="s">
        <v>459</v>
      </c>
    </row>
    <row r="33" spans="2:7">
      <c r="B33" s="97" t="s">
        <v>461</v>
      </c>
      <c r="C33" s="155">
        <f>Normalized_FCF!C88*(1-dividend_tax_rate)</f>
        <v>0</v>
      </c>
      <c r="D33" t="str">
        <f>Market_currency</f>
        <v>HKD</v>
      </c>
      <c r="E33" s="97" t="s">
        <v>458</v>
      </c>
      <c r="F33" s="222">
        <f>Holding_Period</f>
        <v>2</v>
      </c>
    </row>
    <row r="34" spans="2:7">
      <c r="B34" s="97" t="s">
        <v>233</v>
      </c>
      <c r="C34" s="146">
        <f>Market_Price</f>
        <v>105.8</v>
      </c>
      <c r="D34" t="str">
        <f>Market_currency</f>
        <v>HKD</v>
      </c>
      <c r="E34" s="97" t="s">
        <v>457</v>
      </c>
      <c r="F34" s="337">
        <f>RATE(Holding_Period,$C$33,-C34,$C$36)</f>
        <v>0.1632543636750067</v>
      </c>
    </row>
    <row r="35" spans="2:7">
      <c r="B35" s="97" t="s">
        <v>437</v>
      </c>
      <c r="C35" s="327">
        <f>DCF!C11</f>
        <v>41.880041374660152</v>
      </c>
      <c r="D35" s="97" t="str">
        <f>Market_currency</f>
        <v>HKD</v>
      </c>
      <c r="E35" s="97" t="s">
        <v>457</v>
      </c>
      <c r="F35" s="337">
        <f>RATE(Holding_Period,$C$33,-C35,$C$36)</f>
        <v>0.84890234459726299</v>
      </c>
    </row>
    <row r="36" spans="2:7">
      <c r="B36" s="97" t="s">
        <v>438</v>
      </c>
      <c r="C36" s="328">
        <f>E22*G22+E23*G23+E24*G24+E30*G30+E29*G29</f>
        <v>143.16440360539528</v>
      </c>
      <c r="D36" t="str">
        <f>Market_currency</f>
        <v>HKD</v>
      </c>
      <c r="E36" s="97" t="s">
        <v>463</v>
      </c>
      <c r="F36" s="338" t="s">
        <v>462</v>
      </c>
    </row>
    <row r="38" spans="2:7" ht="13.9">
      <c r="B38" s="34" t="s">
        <v>413</v>
      </c>
      <c r="C38" s="35"/>
      <c r="D38" s="35"/>
      <c r="E38" s="35"/>
      <c r="F38" s="35"/>
      <c r="G38" s="35"/>
    </row>
    <row r="39" spans="2:7" ht="13.15">
      <c r="B39" s="421" t="str">
        <f>IF(DCF!F14="II","2","1")&amp;"-stage DCF"</f>
        <v>2-stage DCF</v>
      </c>
      <c r="E39" s="225"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0.17457815320730899</v>
      </c>
      <c r="D46" s="138"/>
      <c r="E46" s="224" t="s">
        <v>252</v>
      </c>
    </row>
    <row r="47" spans="2:7">
      <c r="B47" s="97" t="s">
        <v>96</v>
      </c>
      <c r="C47" s="146">
        <f>DCF!I18</f>
        <v>143.1599926415725</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0.14605776265421239</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v>
      </c>
      <c r="D62" s="119">
        <f>C36/(1+F62)^Holding_Period</f>
        <v>78.553856573605088</v>
      </c>
      <c r="E62" s="339">
        <f>C62+D62</f>
        <v>78.553856573605088</v>
      </c>
      <c r="F62" s="308">
        <f>Thesis!E22</f>
        <v>0.35</v>
      </c>
      <c r="G62" s="448">
        <f>(1-E62/C36)</f>
        <v>0.45130315500685869</v>
      </c>
    </row>
    <row r="63" spans="2:7" ht="13.15">
      <c r="B63" s="309" t="s">
        <v>313</v>
      </c>
      <c r="C63" s="119">
        <f>PV(F63, Holding_Period, -C58, 0)</f>
        <v>0</v>
      </c>
      <c r="D63" s="119">
        <f>C36/(1+F63)^Holding_Period</f>
        <v>91.625218307452982</v>
      </c>
      <c r="E63" s="339">
        <f>C63+D63</f>
        <v>91.625218307452982</v>
      </c>
      <c r="F63" s="308">
        <f>Thesis!E23</f>
        <v>0.25</v>
      </c>
      <c r="G63" s="448">
        <f>(1-E63/C36)</f>
        <v>0.36</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v>
      </c>
      <c r="D66" s="119">
        <f>C36/(1+F66)^Holding_Period</f>
        <v>114.66152520430067</v>
      </c>
      <c r="E66" s="339">
        <f>C66+D66</f>
        <v>114.66152520430067</v>
      </c>
      <c r="F66" s="308">
        <f>Thesis!E24</f>
        <v>0.1174</v>
      </c>
      <c r="G66" s="448">
        <f>(1-E66/C47)</f>
        <v>0.19906725972404182</v>
      </c>
    </row>
    <row r="67" spans="2:7" ht="13.15">
      <c r="B67" s="309" t="s">
        <v>314</v>
      </c>
      <c r="C67" s="119">
        <f>PV(F67, Holding_Period, -C58, 0)</f>
        <v>0</v>
      </c>
      <c r="D67" s="119">
        <f>C36/(1+F67)^Holding_Period</f>
        <v>124.46305212894542</v>
      </c>
      <c r="E67" s="339">
        <f>C67+D67</f>
        <v>124.46305212894542</v>
      </c>
      <c r="F67" s="308">
        <f>Thesis!E25</f>
        <v>7.2499999999999995E-2</v>
      </c>
      <c r="G67" s="448">
        <f>(1-E67/C36)</f>
        <v>0.13062850125787195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45930</v>
      </c>
    </row>
    <row r="4" spans="1:10">
      <c r="B4" s="430" t="s">
        <v>536</v>
      </c>
      <c r="C4" s="431" t="str">
        <f>Thesis!C4</f>
        <v>美团</v>
      </c>
      <c r="D4" s="356"/>
      <c r="E4" s="442" t="s">
        <v>542</v>
      </c>
      <c r="F4" s="445" t="str">
        <f>Thesis!F4</f>
        <v>INT</v>
      </c>
    </row>
    <row r="5" spans="1:10">
      <c r="B5" s="350" t="s">
        <v>364</v>
      </c>
      <c r="C5" s="362" t="str">
        <f>Thesis!C5</f>
        <v>3690.HK</v>
      </c>
      <c r="E5" s="446" t="s">
        <v>543</v>
      </c>
      <c r="F5" s="447" t="str">
        <f>Thesis!F5</f>
        <v>N</v>
      </c>
    </row>
    <row r="6" spans="1:10">
      <c r="B6" s="357" t="s">
        <v>336</v>
      </c>
      <c r="C6" s="359" t="str">
        <f>Thesis!C6</f>
        <v>TMT_01</v>
      </c>
      <c r="E6" s="361"/>
    </row>
    <row r="7" spans="1:10">
      <c r="B7" s="350" t="s">
        <v>366</v>
      </c>
      <c r="C7" s="359" t="str">
        <f>Market_currency</f>
        <v>HKD</v>
      </c>
      <c r="D7" s="361"/>
      <c r="E7" s="361"/>
    </row>
    <row r="8" spans="1:10">
      <c r="B8" s="358" t="s">
        <v>365</v>
      </c>
      <c r="C8" s="363">
        <f>Market_Price</f>
        <v>105.8</v>
      </c>
    </row>
    <row r="9" spans="1:10">
      <c r="B9" s="358" t="s">
        <v>361</v>
      </c>
      <c r="C9" s="360">
        <f>Common_Shares</f>
        <v>9264431217</v>
      </c>
    </row>
    <row r="10" spans="1:10">
      <c r="B10" s="358" t="s">
        <v>367</v>
      </c>
      <c r="C10" s="364">
        <f>投资主题!C8*Common_Shares/1000000</f>
        <v>980176.8227586</v>
      </c>
      <c r="D10" s="350" t="s">
        <v>531</v>
      </c>
      <c r="E10" s="367">
        <f>Scenarios!F34</f>
        <v>0.1632543636750067</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1.0934131499999999</v>
      </c>
    </row>
    <row r="17" spans="1:6">
      <c r="B17" s="350" t="s">
        <v>537</v>
      </c>
      <c r="C17" s="432">
        <f>Terminal_Growth</f>
        <v>0</v>
      </c>
      <c r="D17" s="358" t="s">
        <v>339</v>
      </c>
      <c r="E17" s="351" t="str">
        <f>Reporting_currency</f>
        <v>CNY</v>
      </c>
    </row>
    <row r="18" spans="1:6">
      <c r="B18" s="350" t="str">
        <f>"预期股权价值 ("&amp;C7&amp;") :"</f>
        <v>预期股权价值 (HKD) :</v>
      </c>
      <c r="C18" s="366">
        <f>C125</f>
        <v>143.16440360539528</v>
      </c>
      <c r="D18" s="357" t="s">
        <v>362</v>
      </c>
      <c r="E18" s="434">
        <f>Thesis!E18</f>
        <v>6</v>
      </c>
    </row>
    <row r="19" spans="1:6">
      <c r="B19" s="357" t="s">
        <v>335</v>
      </c>
      <c r="C19" s="359" t="str">
        <f>IF(Scenarios!C50="Y",Scenarios!B50,"")&amp;IF(Scenarios!C51="Y",Scenarios!B51,"")&amp;IF(Scenarios!C52="Y",Scenarios!B52,"")&amp;" "&amp;IF(Scenarios!C53="Y",Scenarios!B53,"")</f>
        <v xml:space="preserve">High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2</v>
      </c>
    </row>
    <row r="22" spans="1:6">
      <c r="B22" s="350" t="s">
        <v>340</v>
      </c>
      <c r="C22" s="371">
        <f>E140</f>
        <v>78.553856573605088</v>
      </c>
      <c r="D22" s="372" t="s">
        <v>443</v>
      </c>
      <c r="E22" s="373">
        <f>Thesis!E22</f>
        <v>0.35</v>
      </c>
    </row>
    <row r="23" spans="1:6">
      <c r="B23" s="350" t="s">
        <v>341</v>
      </c>
      <c r="C23" s="374">
        <f>E141</f>
        <v>91.625218307452982</v>
      </c>
      <c r="D23" s="372" t="s">
        <v>444</v>
      </c>
      <c r="E23" s="375">
        <f>Thesis!E23</f>
        <v>0.25</v>
      </c>
    </row>
    <row r="24" spans="1:6">
      <c r="B24" s="350" t="s">
        <v>343</v>
      </c>
      <c r="C24" s="374">
        <f>E144</f>
        <v>114.66152520430067</v>
      </c>
      <c r="D24" s="372" t="s">
        <v>446</v>
      </c>
      <c r="E24" s="375">
        <f>Thesis!E24</f>
        <v>0.1174</v>
      </c>
    </row>
    <row r="25" spans="1:6">
      <c r="B25" s="350" t="s">
        <v>342</v>
      </c>
      <c r="C25" s="374">
        <f>E145</f>
        <v>124.46305212894542</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v>
      </c>
    </row>
    <row r="33" spans="2:6">
      <c r="B33" s="469" t="s">
        <v>503</v>
      </c>
      <c r="C33" s="469"/>
      <c r="D33" s="469"/>
      <c r="E33" s="469"/>
      <c r="F33" s="469"/>
    </row>
    <row r="34" spans="2:6">
      <c r="B34" s="379" t="s">
        <v>197</v>
      </c>
      <c r="C34" s="380">
        <f>Normalized_FCF!C8</f>
        <v>29781786.120000005</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0</v>
      </c>
      <c r="D41" s="350" t="str">
        <f>Reporting_currency</f>
        <v>CNY</v>
      </c>
    </row>
    <row r="43" spans="2:6">
      <c r="B43" s="469" t="s">
        <v>506</v>
      </c>
      <c r="C43" s="469"/>
      <c r="D43" s="469"/>
      <c r="E43" s="469"/>
      <c r="F43" s="469"/>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507</v>
      </c>
    </row>
    <row r="49" spans="2:6">
      <c r="B49" s="379" t="s">
        <v>223</v>
      </c>
      <c r="C49" s="380">
        <f>Normalized_FCF!C13</f>
        <v>0</v>
      </c>
      <c r="D49" s="350" t="str">
        <f>Reporting_currency</f>
        <v>CNY</v>
      </c>
    </row>
    <row r="51" spans="2:6">
      <c r="B51" s="469" t="s">
        <v>508</v>
      </c>
      <c r="C51" s="469"/>
      <c r="D51" s="469"/>
      <c r="E51" s="469"/>
      <c r="F51" s="469"/>
    </row>
    <row r="52" spans="2:6">
      <c r="B52" s="379" t="s">
        <v>499</v>
      </c>
      <c r="C52" s="380">
        <f>Normalized_FCF!C12</f>
        <v>-6757737.9474700009</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2.2615305823766106E-2</v>
      </c>
      <c r="F62" s="386"/>
    </row>
    <row r="63" spans="2:6">
      <c r="B63" s="384" t="s">
        <v>332</v>
      </c>
      <c r="C63" s="385">
        <f>Normalized_FCF!C92</f>
        <v>0</v>
      </c>
      <c r="E63" s="379" t="s">
        <v>373</v>
      </c>
      <c r="F63" s="387">
        <f>Normalized_FCF!C90</f>
        <v>0</v>
      </c>
    </row>
    <row r="65" spans="1:6">
      <c r="B65" s="376" t="s">
        <v>376</v>
      </c>
      <c r="C65" s="388" t="s">
        <v>327</v>
      </c>
      <c r="D65" s="388" t="s">
        <v>374</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-50977402</v>
      </c>
      <c r="D78" s="350" t="str">
        <f>Reporting_currency</f>
        <v>CNY</v>
      </c>
    </row>
    <row r="79" spans="1:6">
      <c r="B79" s="379" t="s">
        <v>234</v>
      </c>
      <c r="C79" s="394">
        <f>C78*scaling_factor*Exchange_Rate/Common_Shares</f>
        <v>-6.0164904238649815</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514</v>
      </c>
    </row>
    <row r="84" spans="1:6">
      <c r="B84" s="350" t="s">
        <v>224</v>
      </c>
      <c r="C84" s="380">
        <f>DCF!F5</f>
        <v>68275373.353333324</v>
      </c>
      <c r="D84" s="350" t="str">
        <f>Reporting_currency</f>
        <v>CNY</v>
      </c>
    </row>
    <row r="85" spans="1:6">
      <c r="B85" s="389" t="s">
        <v>484</v>
      </c>
      <c r="C85" s="397">
        <f>BS!C66</f>
        <v>119577005</v>
      </c>
      <c r="D85" s="398" t="str">
        <f>Reporting_currency</f>
        <v>CNY</v>
      </c>
    </row>
    <row r="86" spans="1:6">
      <c r="B86" s="379" t="s">
        <v>235</v>
      </c>
      <c r="C86" s="394">
        <f>C84*scaling_factor*Exchange_Rate/Common_Shares</f>
        <v>8.0580436399276731</v>
      </c>
      <c r="D86" s="350" t="str">
        <f>Market_currency</f>
        <v>HKD</v>
      </c>
    </row>
    <row r="88" spans="1:6">
      <c r="B88" s="350" t="s">
        <v>515</v>
      </c>
    </row>
    <row r="89" spans="1:6">
      <c r="B89" s="350" t="s">
        <v>217</v>
      </c>
      <c r="C89" s="380">
        <f>DCF!F6</f>
        <v>57918846.499999993</v>
      </c>
      <c r="D89" s="350" t="str">
        <f>Reporting_currency</f>
        <v>CNY</v>
      </c>
    </row>
    <row r="90" spans="1:6">
      <c r="B90" s="379" t="s">
        <v>236</v>
      </c>
      <c r="C90" s="394">
        <f>C89*scaling_factor*Exchange_Rate/Common_Shares</f>
        <v>6.8357384185360361</v>
      </c>
      <c r="D90" s="350" t="str">
        <f>Market_currency</f>
        <v>HKD</v>
      </c>
    </row>
    <row r="92" spans="1:6">
      <c r="B92" s="379" t="s">
        <v>483</v>
      </c>
      <c r="C92" s="394">
        <f>DCF!F8</f>
        <v>8.8772916345987305</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3.4847807782490894</v>
      </c>
      <c r="D111" s="350" t="str">
        <f>Market_currency</f>
        <v>HKD</v>
      </c>
    </row>
    <row r="112" spans="1:6">
      <c r="A112" s="392"/>
      <c r="B112" s="379" t="s">
        <v>377</v>
      </c>
      <c r="C112" s="401">
        <f>DCF!C11</f>
        <v>41.880041374660152</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0.3</v>
      </c>
      <c r="D118" s="404">
        <f>DCF!D82</f>
        <v>10</v>
      </c>
      <c r="E118" s="405" t="str">
        <f>ROUND(DCF!E82,2)&amp;" "&amp;Market_currency</f>
        <v>298.39 HKD</v>
      </c>
      <c r="F118" s="406">
        <f>DCF!F82</f>
        <v>0.05</v>
      </c>
    </row>
    <row r="119" spans="1:6">
      <c r="A119" s="392"/>
      <c r="B119" s="407" t="str">
        <f>DCF!B83</f>
        <v>Optimistic</v>
      </c>
      <c r="C119" s="408">
        <f>DCF!C83</f>
        <v>0.25</v>
      </c>
      <c r="D119" s="409">
        <f>DCF!D83</f>
        <v>10</v>
      </c>
      <c r="E119" s="405" t="str">
        <f>ROUND(DCF!E83,2)&amp;" "&amp;Market_currency</f>
        <v>223.24 HKD</v>
      </c>
      <c r="F119" s="410">
        <f>DCF!F83</f>
        <v>0.13500000000000001</v>
      </c>
    </row>
    <row r="120" spans="1:6">
      <c r="B120" s="407" t="str">
        <f>DCF!B84</f>
        <v>Base</v>
      </c>
      <c r="C120" s="408">
        <f>DCF!C84</f>
        <v>0.18</v>
      </c>
      <c r="D120" s="409">
        <f>DCF!D84</f>
        <v>10</v>
      </c>
      <c r="E120" s="405" t="str">
        <f>ROUND(DCF!E84,2)&amp;" "&amp;Market_currency</f>
        <v>147.83 HKD</v>
      </c>
      <c r="F120" s="410">
        <f>DCF!F84</f>
        <v>0.53999999999999992</v>
      </c>
    </row>
    <row r="121" spans="1:6">
      <c r="B121" s="407" t="str">
        <f>DCF!B85</f>
        <v>Pessimistic</v>
      </c>
      <c r="C121" s="408">
        <f>DCF!C85</f>
        <v>0.05</v>
      </c>
      <c r="D121" s="409">
        <f>DCF!D85</f>
        <v>10</v>
      </c>
      <c r="E121" s="405" t="str">
        <f>ROUND(DCF!E85,2)&amp;" "&amp;Market_currency</f>
        <v>68.46 HKD</v>
      </c>
      <c r="F121" s="410">
        <f>DCF!F85</f>
        <v>0.22499999999999998</v>
      </c>
    </row>
    <row r="122" spans="1:6">
      <c r="B122" s="407" t="str">
        <f>DCF!B86</f>
        <v>Devil's advocate</v>
      </c>
      <c r="C122" s="408">
        <f>DCF!C86</f>
        <v>0.02</v>
      </c>
      <c r="D122" s="409">
        <f>DCF!D86</f>
        <v>10</v>
      </c>
      <c r="E122" s="405" t="str">
        <f>ROUND(DCF!E86,2)&amp;" "&amp;Market_currency</f>
        <v>57.48 HKD</v>
      </c>
      <c r="F122" s="410">
        <f>DCF!F86</f>
        <v>0.05</v>
      </c>
    </row>
    <row r="124" spans="1:6">
      <c r="B124" s="469" t="s">
        <v>521</v>
      </c>
      <c r="C124" s="469"/>
      <c r="D124" s="469"/>
      <c r="E124" s="469"/>
      <c r="F124" s="469"/>
    </row>
    <row r="125" spans="1:6">
      <c r="B125" s="379" t="s">
        <v>218</v>
      </c>
      <c r="C125" s="411">
        <f>Scenarios!C36</f>
        <v>143.16440360539528</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2</v>
      </c>
    </row>
    <row r="136" spans="1:6">
      <c r="B136" s="350" t="s">
        <v>383</v>
      </c>
      <c r="C136" s="413">
        <f>Scenarios!C58</f>
        <v>0</v>
      </c>
      <c r="D136" s="350" t="str">
        <f>Market_currency</f>
        <v>HKD</v>
      </c>
    </row>
    <row r="138" spans="1:6">
      <c r="B138" s="376" t="s">
        <v>496</v>
      </c>
      <c r="C138" s="414"/>
      <c r="D138" s="414"/>
    </row>
    <row r="139" spans="1:6">
      <c r="B139" s="347" t="s">
        <v>465</v>
      </c>
      <c r="C139" s="347" t="str">
        <f>"PV("&amp;Holding_Period&amp;" yrs of Dividends)"</f>
        <v>PV(2 yrs of Dividends)</v>
      </c>
      <c r="D139" s="347" t="s">
        <v>474</v>
      </c>
      <c r="E139" s="348" t="str">
        <f>"Buy below ("&amp;Market_currency&amp;")"</f>
        <v>Buy below (HKD)</v>
      </c>
      <c r="F139" s="348" t="s">
        <v>498</v>
      </c>
    </row>
    <row r="140" spans="1:6">
      <c r="B140" s="415" t="s">
        <v>312</v>
      </c>
      <c r="C140" s="416">
        <f>Scenarios!C62</f>
        <v>0</v>
      </c>
      <c r="D140" s="416">
        <f>Scenarios!D62</f>
        <v>78.553856573605088</v>
      </c>
      <c r="E140" s="417">
        <f>Scenarios!E62</f>
        <v>78.553856573605088</v>
      </c>
      <c r="F140" s="418">
        <f>E22</f>
        <v>0.35</v>
      </c>
    </row>
    <row r="141" spans="1:6">
      <c r="B141" s="415" t="s">
        <v>313</v>
      </c>
      <c r="C141" s="416">
        <f>Scenarios!C63</f>
        <v>0</v>
      </c>
      <c r="D141" s="416">
        <f>Scenarios!D63</f>
        <v>91.625218307452982</v>
      </c>
      <c r="E141" s="417">
        <f>Scenarios!E63</f>
        <v>91.625218307452982</v>
      </c>
      <c r="F141" s="418">
        <f>Scenarios!F63</f>
        <v>0.25</v>
      </c>
    </row>
    <row r="143" spans="1:6">
      <c r="B143" s="347" t="s">
        <v>466</v>
      </c>
      <c r="C143" s="347" t="str">
        <f>"PV("&amp;Holding_Period&amp;" yrs of Dividends)"</f>
        <v>PV(2 yrs of Dividends)</v>
      </c>
      <c r="D143" s="347" t="s">
        <v>474</v>
      </c>
      <c r="E143" s="348" t="str">
        <f>"Sell above ("&amp;Market_currency&amp;")"</f>
        <v>Sell above (HKD)</v>
      </c>
      <c r="F143" s="348" t="s">
        <v>498</v>
      </c>
    </row>
    <row r="144" spans="1:6">
      <c r="B144" s="415" t="s">
        <v>315</v>
      </c>
      <c r="C144" s="416">
        <f>Scenarios!C66</f>
        <v>0</v>
      </c>
      <c r="D144" s="416">
        <f>Scenarios!D66</f>
        <v>114.66152520430067</v>
      </c>
      <c r="E144" s="417">
        <f>Scenarios!E66</f>
        <v>114.66152520430067</v>
      </c>
      <c r="F144" s="418">
        <f>E24</f>
        <v>0.1174</v>
      </c>
    </row>
    <row r="145" spans="1:6">
      <c r="B145" s="415" t="s">
        <v>314</v>
      </c>
      <c r="C145" s="416">
        <f>Scenarios!C67</f>
        <v>0</v>
      </c>
      <c r="D145" s="416">
        <f>Scenarios!D67</f>
        <v>124.46305212894542</v>
      </c>
      <c r="E145" s="417">
        <f>Scenarios!E67</f>
        <v>124.46305212894542</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