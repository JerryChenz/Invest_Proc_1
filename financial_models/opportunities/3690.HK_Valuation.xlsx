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064532-8939-492C-B13B-8C81A9E3785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3" i="2"/>
  <c r="C107" i="2"/>
  <c r="I4" i="8"/>
  <c r="C81" i="2"/>
  <c r="C82" i="2" s="1"/>
  <c r="C95" i="2"/>
  <c r="C24" i="2"/>
  <c r="C109" i="2"/>
  <c r="C108" i="2"/>
  <c r="C17" i="2"/>
  <c r="C73" i="2"/>
  <c r="C38" i="2"/>
  <c r="C75" i="2"/>
  <c r="D55" i="3"/>
  <c r="G29" i="3"/>
  <c r="D62" i="3" s="1"/>
  <c r="C16" i="2" l="1"/>
  <c r="C55" i="6"/>
  <c r="C55" i="12"/>
  <c r="C26" i="2"/>
  <c r="D51" i="3"/>
  <c r="C46" i="3"/>
  <c r="C47" i="3" s="1"/>
  <c r="C62" i="3"/>
  <c r="C5" i="2" l="1"/>
  <c r="C6" i="2" s="1"/>
  <c r="C8" i="2" s="1"/>
  <c r="C34" i="12" s="1"/>
  <c r="C32" i="2"/>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F84" i="8"/>
  <c r="C79" i="8"/>
  <c r="E86" i="8"/>
  <c r="F8" i="8"/>
  <c r="C92" i="6"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12"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68" i="6"/>
  <c r="C68" i="12"/>
  <c r="C52" i="12" l="1"/>
  <c r="C52" i="6"/>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<sst xmlns="http://schemas.openxmlformats.org/spreadsheetml/2006/main" count="768" uniqueCount="558">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</sst>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100</v>
      </c>
      <c r="E8" s="32"/>
    </row>
    <row r="9" spans="1:9">
      <c r="B9" s="4" t="s">
        <v>346</v>
      </c>
      <c r="C9" s="48">
        <v>9264431217</v>
      </c>
    </row>
    <row r="10" spans="1:9">
      <c r="B10" s="4" t="s">
        <v>352</v>
      </c>
      <c r="C10" s="33">
        <f>Thesis!C8*Common_Shares/1000000</f>
        <v>926443.12170000002</v>
      </c>
      <c r="D10" s="1" t="s">
        <v>527</v>
      </c>
      <c r="E10" s="303">
        <f>Scenarios!F34</f>
        <v>0.17758679222074075</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1.1192569189071655</v>
      </c>
    </row>
    <row r="17" spans="1:6">
      <c r="B17" s="1" t="s">
        <v>531</v>
      </c>
      <c r="C17" s="456">
        <v>0</v>
      </c>
      <c r="D17" s="4" t="s">
        <v>274</v>
      </c>
      <c r="E17" s="224" t="s">
        <v>557</v>
      </c>
    </row>
    <row r="18" spans="1:6">
      <c r="B18" s="1" t="str">
        <f>"Expected Equity Value ("&amp;C7&amp;") :"</f>
        <v>Expected Equity Value (HKD) :</v>
      </c>
      <c r="C18" s="252">
        <f>C125</f>
        <v>163.2972149855116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75.25217280438325</v>
      </c>
      <c r="D22" s="38" t="s">
        <v>406</v>
      </c>
      <c r="E22" s="79">
        <v>0.29465259038036606</v>
      </c>
    </row>
    <row r="23" spans="1:6">
      <c r="B23" s="1" t="s">
        <v>313</v>
      </c>
      <c r="C23" s="256">
        <f>E141</f>
        <v>94.323301074663775</v>
      </c>
      <c r="D23" s="38" t="s">
        <v>407</v>
      </c>
      <c r="E23" s="443">
        <v>0.20075184365903009</v>
      </c>
    </row>
    <row r="24" spans="1:6">
      <c r="B24" s="1" t="s">
        <v>315</v>
      </c>
      <c r="C24" s="256">
        <f>E144</f>
        <v>117.044975991238</v>
      </c>
      <c r="D24" s="38" t="s">
        <v>408</v>
      </c>
      <c r="E24" s="443">
        <v>0.1174</v>
      </c>
    </row>
    <row r="25" spans="1:6">
      <c r="B25" s="1" t="s">
        <v>314</v>
      </c>
      <c r="C25" s="256">
        <f>E145</f>
        <v>132.36917905116059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29781786.120000005</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307809.78987999994</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-2750834.3301200001</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-6757737.9474700009</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31065485.654937759</v>
      </c>
      <c r="D60" s="1" t="str">
        <f>Reporting_currency</f>
        <v>CNY</v>
      </c>
    </row>
    <row r="61" spans="2:6">
      <c r="B61" s="44" t="s">
        <v>213</v>
      </c>
      <c r="C61" s="285">
        <f>Normalized_FCF!C19</f>
        <v>20273213.842410002</v>
      </c>
      <c r="D61" s="1" t="str">
        <f>Reporting_currency</f>
        <v>CNY</v>
      </c>
    </row>
    <row r="62" spans="2:6">
      <c r="B62" s="204" t="s">
        <v>302</v>
      </c>
      <c r="C62" s="89">
        <f>Normalized_FCF!C124</f>
        <v>2.4492528823533834E-2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0.22500000000000001</v>
      </c>
      <c r="D66" s="89">
        <f>Normalized_FCF!G119</f>
        <v>0.18038076539599709</v>
      </c>
    </row>
    <row r="67" spans="1:6">
      <c r="B67" s="229" t="str">
        <f>Normalized_FCF!B116</f>
        <v>Pre-tax Profit/Sales</v>
      </c>
      <c r="C67" s="263">
        <f>Normalized_FCF!E116</f>
        <v>0.12283171396433189</v>
      </c>
      <c r="D67" s="263">
        <f>Normalized_FCF!G116</f>
        <v>9.8473238132392726E-2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-6.1586953974804368</v>
      </c>
      <c r="D79" s="1" t="str">
        <f>Market_currency</f>
        <v>HKD</v>
      </c>
    </row>
    <row r="80" spans="1:6">
      <c r="A80" s="191"/>
      <c r="B80" s="229" t="s">
        <v>309</v>
      </c>
      <c r="C80" s="337">
        <f>IF(BS!G31/BS!G27&gt;300%,"nm",BS!G31/BS!G27)</f>
        <v>0.27660377540313014</v>
      </c>
    </row>
    <row r="81" spans="1:6">
      <c r="A81" s="191"/>
      <c r="B81" s="229" t="s">
        <v>311</v>
      </c>
      <c r="C81" s="338">
        <f>IF(BS!C50&gt;30,"nm",BS!C50)</f>
        <v>1.7116972700897226</v>
      </c>
    </row>
    <row r="82" spans="1:6">
      <c r="A82" s="191"/>
    </row>
    <row r="83" spans="1:6">
      <c r="A83" s="191"/>
      <c r="B83" s="1" t="s">
        <v>466</v>
      </c>
    </row>
    <row r="84" spans="1:6">
      <c r="A84" s="191"/>
      <c r="B84" s="1" t="s">
        <v>224</v>
      </c>
      <c r="C84" s="285">
        <f>DCF!F5</f>
        <v>68275373.353333354</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8.2485024959183395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6.997307029631008</v>
      </c>
      <c r="D90" s="1" t="str">
        <f>Market_currency</f>
        <v>HKD</v>
      </c>
    </row>
    <row r="91" spans="1:6">
      <c r="A91" s="191"/>
    </row>
    <row r="92" spans="1:6">
      <c r="A92" s="191"/>
      <c r="B92" s="44" t="s">
        <v>469</v>
      </c>
      <c r="C92" s="216">
        <f>DCF!F8</f>
        <v>9.0871141280689116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3.5671465968101721</v>
      </c>
      <c r="D111" s="1" t="str">
        <f>Market_currency</f>
        <v>HKD</v>
      </c>
    </row>
    <row r="112" spans="2:6">
      <c r="B112" s="44" t="s">
        <v>323</v>
      </c>
      <c r="C112" s="216">
        <f>DCF!C11</f>
        <v>42.869912505356965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(10yrs)</v>
      </c>
      <c r="C118" s="206">
        <f>DCF!C90</f>
        <v>0.3</v>
      </c>
      <c r="D118" s="207" t="str">
        <f>ROUND(DCF!E90,2)&amp;" "&amp;Market_currency</f>
        <v>318.24 HKD</v>
      </c>
      <c r="E118" s="208">
        <f>DCF!F90</f>
        <v>0.05</v>
      </c>
      <c r="F118" s="208">
        <f>RATE(Holding_Period,Scenarios!C$58,-DCF!E90,C$18)</f>
        <v>-0.1994098769054459</v>
      </c>
    </row>
    <row r="119" spans="2:6">
      <c r="B119" s="205" t="str">
        <f>DCF!B91&amp;" ("&amp;DCF!D91&amp;"yrs)"</f>
        <v>Optimistic (10yrs)</v>
      </c>
      <c r="C119" s="198">
        <f>DCF!C91</f>
        <v>0.25</v>
      </c>
      <c r="D119" s="207" t="str">
        <f>ROUND(DCF!E91,2)&amp;" "&amp;Market_currency</f>
        <v>238.54 HKD</v>
      </c>
      <c r="E119" s="199">
        <f>DCF!F91</f>
        <v>0.18</v>
      </c>
      <c r="F119" s="208">
        <f>RATE(Holding_Period,Scenarios!C$58,-DCF!E91,C$18)</f>
        <v>-0.11866684188950688</v>
      </c>
    </row>
    <row r="120" spans="2:6">
      <c r="B120" s="205" t="str">
        <f>DCF!B92&amp;" ("&amp;DCF!D92&amp;"yrs)"</f>
        <v>Base (10yrs)</v>
      </c>
      <c r="C120" s="198">
        <f>DCF!C92</f>
        <v>0.18</v>
      </c>
      <c r="D120" s="207" t="str">
        <f>ROUND(DCF!E92,2)&amp;" "&amp;Market_currency</f>
        <v>158.64 HKD</v>
      </c>
      <c r="E120" s="199">
        <f>DCF!F92</f>
        <v>0.53999999999999992</v>
      </c>
      <c r="F120" s="208">
        <f>RATE(Holding_Period,Scenarios!C$58,-DCF!E92,C$18)</f>
        <v>9.6924576477784314E-3</v>
      </c>
    </row>
    <row r="121" spans="2:6">
      <c r="B121" s="205" t="str">
        <f>DCF!B93&amp;" ("&amp;DCF!D93&amp;"yrs)"</f>
        <v>Pessimistic (10yrs)</v>
      </c>
      <c r="C121" s="198">
        <f>DCF!C93</f>
        <v>0.08</v>
      </c>
      <c r="D121" s="207" t="str">
        <f>ROUND(DCF!E93,2)&amp;" "&amp;Market_currency</f>
        <v>88.65 HKD</v>
      </c>
      <c r="E121" s="199">
        <f>DCF!F93</f>
        <v>0.18</v>
      </c>
      <c r="F121" s="208">
        <f>RATE(Holding_Period,Scenarios!C$58,-DCF!E93,C$18)</f>
        <v>0.2258162701110559</v>
      </c>
    </row>
    <row r="122" spans="2:6">
      <c r="B122" s="205" t="str">
        <f>DCF!B94&amp;" ("&amp;DCF!D94&amp;"yrs)"</f>
        <v>Devil's advocate (10yrs)</v>
      </c>
      <c r="C122" s="198">
        <f>DCF!C94</f>
        <v>0</v>
      </c>
      <c r="D122" s="207" t="str">
        <f>ROUND(DCF!E94,2)&amp;" "&amp;Market_currency</f>
        <v>56.51 HKD</v>
      </c>
      <c r="E122" s="199">
        <f>DCF!F94</f>
        <v>0.05</v>
      </c>
      <c r="F122" s="208">
        <f>RATE(Holding_Period,Scenarios!C$58,-DCF!E94,C$18)</f>
        <v>0.42438665385226748</v>
      </c>
    </row>
    <row r="124" spans="2:6">
      <c r="B124" s="461" t="s">
        <v>357</v>
      </c>
      <c r="C124" s="461"/>
      <c r="D124" s="461"/>
      <c r="E124" s="461"/>
      <c r="F124" s="461"/>
    </row>
    <row r="125" spans="2:6">
      <c r="B125" s="193" t="s">
        <v>218</v>
      </c>
      <c r="C125" s="197">
        <f>Scenarios!C36</f>
        <v>163.2972149855116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75.25217280438325</v>
      </c>
      <c r="E140" s="334">
        <f>Scenarios!E62</f>
        <v>75.25217280438325</v>
      </c>
      <c r="F140" s="335">
        <f>E22</f>
        <v>0.29465259038036606</v>
      </c>
    </row>
    <row r="141" spans="1:6">
      <c r="B141" s="336" t="s">
        <v>313</v>
      </c>
      <c r="C141" s="333">
        <f>Scenarios!C63</f>
        <v>0</v>
      </c>
      <c r="D141" s="333">
        <f>Scenarios!D63</f>
        <v>94.323301074663775</v>
      </c>
      <c r="E141" s="334">
        <f>Scenarios!E63</f>
        <v>94.323301074663775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117.044975991238</v>
      </c>
      <c r="E144" s="334">
        <f>Scenarios!E66</f>
        <v>117.044975991238</v>
      </c>
      <c r="F144" s="335">
        <f>E24</f>
        <v>0.1174</v>
      </c>
    </row>
    <row r="145" spans="1:6">
      <c r="B145" s="336" t="s">
        <v>314</v>
      </c>
      <c r="C145" s="333">
        <f>Scenarios!C67</f>
        <v>0</v>
      </c>
      <c r="D145" s="333">
        <f>Scenarios!D67</f>
        <v>132.36917905116059</v>
      </c>
      <c r="E145" s="334">
        <f>Scenarios!E67</f>
        <v>132.36917905116059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A15" sqref="A1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22.272455529414763</v>
      </c>
      <c r="D47" s="134">
        <f>D46*H1/Common_Shares*Exchange_Rate</f>
        <v>3.5671465968101721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68275373.353333354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-25650815.823333327</v>
      </c>
      <c r="F73" s="1" t="s">
        <v>278</v>
      </c>
    </row>
    <row r="74" spans="2:6" ht="15" customHeight="1">
      <c r="B74" s="227" t="s">
        <v>259</v>
      </c>
      <c r="C74" s="228">
        <f>-$C$66/C73</f>
        <v>4.7269084404820152</v>
      </c>
      <c r="D74" s="228">
        <f>-$C$66/D73</f>
        <v>4.6617232692936996</v>
      </c>
      <c r="F74" s="223" t="s">
        <v>257</v>
      </c>
    </row>
    <row r="75" spans="2:6" ht="15" customHeight="1">
      <c r="B75" s="77" t="s">
        <v>258</v>
      </c>
      <c r="C75" s="261"/>
      <c r="D75" s="262">
        <f>MAX(-D73*D76,G5)</f>
        <v>51301631.646666653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-57056809.896411978</v>
      </c>
      <c r="D86" s="201">
        <f>C86*scaling_factor/Common_Shares</f>
        <v>-6.1586953974804368</v>
      </c>
      <c r="E86" s="214" t="str">
        <f>Market_currency</f>
        <v>HKD</v>
      </c>
    </row>
    <row r="87" spans="2:8" ht="15" customHeight="1">
      <c r="B87" s="212" t="s">
        <v>240</v>
      </c>
      <c r="C87" s="73">
        <f>DCF!F5*Exchange_Rate</f>
        <v>76417684.016688272</v>
      </c>
      <c r="D87" s="201">
        <f>C87*scaling_factor/Common_Shares</f>
        <v>8.2485024959183395</v>
      </c>
      <c r="E87" s="214" t="str">
        <f>Market_currency</f>
        <v>HKD</v>
      </c>
    </row>
    <row r="88" spans="2:8" ht="15" customHeight="1">
      <c r="B88" s="213" t="s">
        <v>159</v>
      </c>
      <c r="C88" s="73">
        <f>DCF!F6*Exchange_Rate</f>
        <v>64826069.680247061</v>
      </c>
      <c r="D88" s="201">
        <f>C88*scaling_factor/Common_Shares</f>
        <v>6.9973070296310089</v>
      </c>
      <c r="E88" s="214" t="str">
        <f>Market_currency</f>
        <v>HKD</v>
      </c>
    </row>
    <row r="89" spans="2:8" ht="15" customHeight="1">
      <c r="B89" s="77" t="s">
        <v>244</v>
      </c>
      <c r="C89" s="162">
        <f>SUM(C86:C88)</f>
        <v>84186943.800523356</v>
      </c>
      <c r="D89" s="216">
        <f>SUM(D86:D88)</f>
        <v>9.0871141280689116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78" zoomScaleNormal="100" workbookViewId="0">
      <pane xSplit="2" ySplit="1" topLeftCell="C102"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-297080586.87999994</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40510989.120000005</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29781786.120000005</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-2750834.3301200001</v>
      </c>
      <c r="E10" s="237"/>
      <c r="G10" s="266">
        <f>G48</f>
        <v>-782819.34506224247</v>
      </c>
      <c r="H10" s="266">
        <f t="shared" ref="H10:Q10" si="6">H48</f>
        <v>-1073790.7979799968</v>
      </c>
      <c r="I10" s="266">
        <f t="shared" si="6"/>
        <v>-1346565.4311690601</v>
      </c>
      <c r="J10" s="266">
        <f t="shared" si="6"/>
        <v>-896670.9871201748</v>
      </c>
      <c r="K10" s="266">
        <f t="shared" si="6"/>
        <v>0</v>
      </c>
      <c r="L10" s="266">
        <f t="shared" si="6"/>
        <v>0</v>
      </c>
      <c r="M10" s="266">
        <f t="shared" si="6"/>
        <v>126153.77748261373</v>
      </c>
      <c r="N10" s="266">
        <f t="shared" si="6"/>
        <v>6907.2416451415484</v>
      </c>
      <c r="O10" s="266">
        <f t="shared" si="6"/>
        <v>-46679.289560510573</v>
      </c>
      <c r="P10" s="266">
        <f t="shared" si="6"/>
        <v>-50751.560349562918</v>
      </c>
      <c r="Q10" s="266" t="str">
        <f t="shared" si="6"/>
        <v/>
      </c>
    </row>
    <row r="11" spans="1:17" ht="15.75" customHeight="1">
      <c r="A11" s="10"/>
      <c r="B11" s="67" t="s">
        <v>137</v>
      </c>
      <c r="C11" s="267">
        <f>SUM(C8:C10)</f>
        <v>27030951.789880004</v>
      </c>
      <c r="E11" s="237"/>
      <c r="G11" s="267">
        <f t="shared" ref="G11:Q11" si="7">IF(G$4="","",SUM(G8:G10))</f>
        <v>33243735.654937759</v>
      </c>
      <c r="H11" s="267">
        <f t="shared" si="7"/>
        <v>6927301.2020200035</v>
      </c>
      <c r="I11" s="267">
        <f t="shared" si="7"/>
        <v>-9850373.4311690591</v>
      </c>
      <c r="J11" s="267">
        <f t="shared" si="7"/>
        <v>-24393929.987120174</v>
      </c>
      <c r="K11" s="267">
        <f t="shared" si="7"/>
        <v>-3318952</v>
      </c>
      <c r="L11" s="267">
        <f t="shared" si="7"/>
        <v>716703</v>
      </c>
      <c r="M11" s="267">
        <f t="shared" si="7"/>
        <v>-13544381.222517386</v>
      </c>
      <c r="N11" s="267">
        <f t="shared" si="7"/>
        <v>-4500318.7583548585</v>
      </c>
      <c r="O11" s="267">
        <f t="shared" si="7"/>
        <v>-6531854.2895605108</v>
      </c>
      <c r="P11" s="267">
        <f t="shared" si="7"/>
        <v>-8521711.5603495631</v>
      </c>
      <c r="Q11" s="267" t="str">
        <f t="shared" si="7"/>
        <v/>
      </c>
    </row>
    <row r="12" spans="1:17" ht="15.75" customHeight="1">
      <c r="A12" s="10"/>
      <c r="B12" s="2" t="s">
        <v>60</v>
      </c>
      <c r="C12" s="266">
        <f>-C11*C41</f>
        <v>-6757737.9474700009</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20273213.842410002</v>
      </c>
      <c r="D14" s="58"/>
      <c r="E14" s="243"/>
      <c r="F14" s="58"/>
      <c r="G14" s="267">
        <f t="shared" ref="G14:Q14" si="8">IF(G$4="","",SUM(G11:G13))</f>
        <v>31065485.654937759</v>
      </c>
      <c r="H14" s="267">
        <f t="shared" si="8"/>
        <v>6762764.2020200035</v>
      </c>
      <c r="I14" s="267">
        <f t="shared" si="8"/>
        <v>-9780179.4311690591</v>
      </c>
      <c r="J14" s="267">
        <f t="shared" si="8"/>
        <v>-24363650.987120174</v>
      </c>
      <c r="K14" s="267">
        <f t="shared" si="8"/>
        <v>-3049215</v>
      </c>
      <c r="L14" s="267">
        <f t="shared" si="8"/>
        <v>190480</v>
      </c>
      <c r="M14" s="267">
        <f t="shared" si="8"/>
        <v>-13546269.222517386</v>
      </c>
      <c r="N14" s="267">
        <f t="shared" si="8"/>
        <v>-4554536.7583548585</v>
      </c>
      <c r="O14" s="267">
        <f t="shared" si="8"/>
        <v>-6799757.2895605108</v>
      </c>
      <c r="P14" s="267">
        <f t="shared" si="8"/>
        <v>-8510063.5603495631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20273213.842410002</v>
      </c>
      <c r="D19" s="26"/>
      <c r="E19" s="234"/>
      <c r="F19" s="26"/>
      <c r="G19" s="271">
        <f t="shared" ref="G19:Q19" si="9">IF(G$4="","",G14+G17)</f>
        <v>31065485.654937759</v>
      </c>
      <c r="H19" s="271">
        <f t="shared" si="9"/>
        <v>6762764.2020200035</v>
      </c>
      <c r="I19" s="271">
        <f t="shared" si="9"/>
        <v>-9780179.4311690591</v>
      </c>
      <c r="J19" s="271">
        <f t="shared" si="9"/>
        <v>-24363650.987120174</v>
      </c>
      <c r="K19" s="271">
        <f t="shared" si="9"/>
        <v>-3049215</v>
      </c>
      <c r="L19" s="271">
        <f t="shared" si="9"/>
        <v>190480</v>
      </c>
      <c r="M19" s="271">
        <f t="shared" si="9"/>
        <v>-13546269.222517386</v>
      </c>
      <c r="N19" s="271">
        <f t="shared" si="9"/>
        <v>-4554536.7583548585</v>
      </c>
      <c r="O19" s="271">
        <f t="shared" si="9"/>
        <v>-6799757.2895605108</v>
      </c>
      <c r="P19" s="271">
        <f t="shared" si="9"/>
        <v>-8510063.5603495631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-209306777.11999997</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-64142399.43999999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-297080586.87999994</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0.62</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307809.78987999994</v>
      </c>
      <c r="E46" s="237"/>
      <c r="G46" s="274">
        <f t="shared" ref="G46:Q46" si="17">IFERROR(IF(G$4="","",($C$46/$C$47)*G47),0)</f>
        <v>554218.65493775753</v>
      </c>
      <c r="H46" s="274">
        <f t="shared" si="17"/>
        <v>351366.20202000323</v>
      </c>
      <c r="I46" s="274">
        <f t="shared" si="17"/>
        <v>282259.56883094006</v>
      </c>
      <c r="J46" s="274">
        <f t="shared" si="17"/>
        <v>234264.01287982517</v>
      </c>
      <c r="K46" s="274">
        <f t="shared" si="17"/>
        <v>0</v>
      </c>
      <c r="L46" s="274">
        <f t="shared" si="17"/>
        <v>0</v>
      </c>
      <c r="M46" s="274">
        <f t="shared" si="17"/>
        <v>126153.77748261373</v>
      </c>
      <c r="N46" s="274">
        <f t="shared" si="17"/>
        <v>26121.241645141548</v>
      </c>
      <c r="O46" s="274">
        <f t="shared" si="17"/>
        <v>9301.7104394894304</v>
      </c>
      <c r="P46" s="274">
        <f t="shared" si="17"/>
        <v>5809.4396504370816</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-2750834.3301200001</v>
      </c>
      <c r="E48" s="237"/>
      <c r="G48" s="267">
        <f>IF(G$4="","",(G45+G46))</f>
        <v>-782819.34506224247</v>
      </c>
      <c r="H48" s="267">
        <f t="shared" ref="H48:Q48" si="18">IF(H$4="","",(H45+H46))</f>
        <v>-1073790.7979799968</v>
      </c>
      <c r="I48" s="267">
        <f t="shared" si="18"/>
        <v>-1346565.4311690601</v>
      </c>
      <c r="J48" s="267">
        <f t="shared" si="18"/>
        <v>-896670.9871201748</v>
      </c>
      <c r="K48" s="267">
        <f t="shared" si="18"/>
        <v>0</v>
      </c>
      <c r="L48" s="267">
        <f t="shared" si="18"/>
        <v>0</v>
      </c>
      <c r="M48" s="267">
        <f t="shared" si="18"/>
        <v>126153.77748261373</v>
      </c>
      <c r="N48" s="267">
        <f t="shared" si="18"/>
        <v>6907.2416451415484</v>
      </c>
      <c r="O48" s="267">
        <f t="shared" si="18"/>
        <v>-46679.289560510573</v>
      </c>
      <c r="P48" s="267">
        <f t="shared" si="18"/>
        <v>-50751.560349562918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0.12000000000000004</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8.8218392392587455E-2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8.1484092781983417E-3</v>
      </c>
      <c r="D76" s="26"/>
      <c r="E76" s="234"/>
      <c r="F76" s="26"/>
      <c r="G76" s="6">
        <f t="shared" ref="G76:Q76" si="28">IF(G$4="","",ABS(G10/G$4))</f>
        <v>2.3188355418626988E-3</v>
      </c>
      <c r="H76" s="6">
        <f t="shared" si="28"/>
        <v>3.8800736290208809E-3</v>
      </c>
      <c r="I76" s="6">
        <f t="shared" si="28"/>
        <v>6.1220056353042812E-3</v>
      </c>
      <c r="J76" s="6">
        <f t="shared" si="28"/>
        <v>5.005755672689037E-3</v>
      </c>
      <c r="K76" s="6">
        <f t="shared" si="28"/>
        <v>0</v>
      </c>
      <c r="L76" s="6">
        <f t="shared" si="28"/>
        <v>0</v>
      </c>
      <c r="M76" s="6">
        <f t="shared" si="28"/>
        <v>1.9340647249240376E-3</v>
      </c>
      <c r="N76" s="6">
        <f t="shared" si="28"/>
        <v>2.0358536582619973E-4</v>
      </c>
      <c r="O76" s="6">
        <f t="shared" si="28"/>
        <v>3.5940108424450034E-3</v>
      </c>
      <c r="P76" s="6">
        <f t="shared" si="28"/>
        <v>1.2628036352090907E-2</v>
      </c>
      <c r="Q76" s="6" t="str">
        <f t="shared" si="28"/>
        <v/>
      </c>
    </row>
    <row r="77" spans="1:17" ht="15.75" customHeight="1">
      <c r="A77" s="10"/>
      <c r="B77" s="67" t="s">
        <v>137</v>
      </c>
      <c r="C77" s="75">
        <f>C11/C4</f>
        <v>8.0069983114389107E-2</v>
      </c>
      <c r="D77" s="26"/>
      <c r="E77" s="234"/>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2.0017495778597277E-2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6.0052487335791833E-2</v>
      </c>
      <c r="D80" s="26"/>
      <c r="E80" s="234"/>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6.0052487335791833E-2</v>
      </c>
      <c r="D85" s="72"/>
      <c r="E85" s="234"/>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4"/>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237"/>
      <c r="G113" s="251">
        <f>IF(G$4="","",Data!C$22/G19)</f>
        <v>-7.6373504227605273E-3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8.0069983114389107E-2</v>
      </c>
      <c r="E116" s="22">
        <f>E119/E117/E118</f>
        <v>0.12283171396433189</v>
      </c>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52">
        <f>G117</f>
        <v>1.022390799101176</v>
      </c>
      <c r="E117" s="458">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0.14667015235144401</v>
      </c>
      <c r="D119" s="100"/>
      <c r="E119" s="453">
        <v>0.22500000000000001</v>
      </c>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2.4492528823533837</v>
      </c>
      <c r="D123" s="26"/>
      <c r="E123" s="234"/>
      <c r="F123" s="26"/>
      <c r="G123" s="159">
        <f t="shared" ref="G123:Q123" si="48">IF(G$4="","",G14*$C$3/Common_Shares*Exchange_Rate)</f>
        <v>3.7530916841066104</v>
      </c>
      <c r="H123" s="159">
        <f t="shared" si="48"/>
        <v>0.8170248606475875</v>
      </c>
      <c r="I123" s="159">
        <f t="shared" si="48"/>
        <v>-1.1815656288108547</v>
      </c>
      <c r="J123" s="159">
        <f t="shared" si="48"/>
        <v>-2.9434278584890752</v>
      </c>
      <c r="K123" s="159">
        <f t="shared" si="48"/>
        <v>-0.36838257050503104</v>
      </c>
      <c r="L123" s="159">
        <f t="shared" si="48"/>
        <v>2.3012320229894679E-2</v>
      </c>
      <c r="M123" s="159">
        <f t="shared" si="48"/>
        <v>-1.6365554665525857</v>
      </c>
      <c r="N123" s="159">
        <f t="shared" si="48"/>
        <v>-0.55024390162793169</v>
      </c>
      <c r="O123" s="159">
        <f t="shared" si="48"/>
        <v>-0.82149407934128071</v>
      </c>
      <c r="P123" s="159">
        <f t="shared" si="48"/>
        <v>-1.0281200536934156</v>
      </c>
      <c r="Q123" s="159" t="str">
        <f t="shared" si="48"/>
        <v/>
      </c>
    </row>
    <row r="124" spans="1:17" ht="15.75" customHeight="1">
      <c r="A124" s="10"/>
      <c r="B124" s="26" t="s">
        <v>226</v>
      </c>
      <c r="C124" s="74">
        <f>C19*Exchange_Rate*$C$3/(Market_Price*Common_Shares)</f>
        <v>2.4492528823533834E-2</v>
      </c>
      <c r="D124" s="26"/>
      <c r="E124" s="234"/>
      <c r="F124" s="26"/>
      <c r="G124" s="74">
        <f t="shared" ref="G124" si="49">IF(G$4="","",G123/Market_Price)</f>
        <v>3.7530916841066103E-2</v>
      </c>
      <c r="H124" s="74">
        <f t="shared" ref="H124" si="50">IF(H$4="","",H123/Market_Price)</f>
        <v>8.1702486064758745E-3</v>
      </c>
      <c r="I124" s="74">
        <f t="shared" ref="I124" si="51">IF(I$4="","",I123/Market_Price)</f>
        <v>-1.1815656288108546E-2</v>
      </c>
      <c r="J124" s="74">
        <f t="shared" ref="J124" si="52">IF(J$4="","",J123/Market_Price)</f>
        <v>-2.9434278584890752E-2</v>
      </c>
      <c r="K124" s="74">
        <f t="shared" ref="K124" si="53">IF(K$4="","",K123/Market_Price)</f>
        <v>-3.6838257050503102E-3</v>
      </c>
      <c r="L124" s="74">
        <f t="shared" ref="L124" si="54">IF(L$4="","",L123/Market_Price)</f>
        <v>2.3012320229894679E-4</v>
      </c>
      <c r="M124" s="74">
        <f t="shared" ref="M124" si="55">IF(M$4="","",M123/Market_Price)</f>
        <v>-1.6365554665525858E-2</v>
      </c>
      <c r="N124" s="74">
        <f t="shared" ref="N124" si="56">IF(N$4="","",N123/Market_Price)</f>
        <v>-5.5024390162793169E-3</v>
      </c>
      <c r="O124" s="74">
        <f t="shared" ref="O124" si="57">IF(O$4="","",O123/Market_Price)</f>
        <v>-8.2149407934128064E-3</v>
      </c>
      <c r="P124" s="74">
        <f t="shared" ref="P124" si="58">IF(P$4="","",P123/Market_Price)</f>
        <v>-1.0281200536934156E-2</v>
      </c>
      <c r="Q124" s="74" t="str">
        <f t="shared" ref="Q124" si="59">IF(Q$4="","",Q123/Market_Price)</f>
        <v/>
      </c>
    </row>
    <row r="125" spans="1:17" ht="15.75" customHeight="1">
      <c r="B125" s="2" t="s">
        <v>306</v>
      </c>
      <c r="C125" s="151"/>
      <c r="G125" s="22">
        <f>IF(G$4="","",(Data!C47*$C$3)/(Market_Price*Common_Shares))</f>
        <v>3.8650164442145918E-2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8" zoomScaleNormal="100" workbookViewId="0">
      <selection activeCell="F16" sqref="F1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20273213.842410002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68275373.353333354</v>
      </c>
      <c r="G5" t="str">
        <f>Reporting_currency</f>
        <v>CNY</v>
      </c>
      <c r="H5" s="308" t="s">
        <v>395</v>
      </c>
      <c r="I5" s="305">
        <f>Normalized_FCF!C7</f>
        <v>-10729203</v>
      </c>
      <c r="J5" s="305"/>
    </row>
    <row r="6" spans="2:15" ht="13.25" customHeight="1">
      <c r="B6" s="136" t="s">
        <v>194</v>
      </c>
      <c r="C6" s="283">
        <f>(C4*(1+Terminal_Growth))/(Equity_Cost-Terminal_Growth)</f>
        <v>279630535.75737935</v>
      </c>
      <c r="D6" t="str">
        <f>Reporting_currency</f>
        <v>CNY</v>
      </c>
      <c r="E6" s="187" t="s">
        <v>433</v>
      </c>
      <c r="F6" s="284">
        <f>BS!H42</f>
        <v>57918846.499999993</v>
      </c>
      <c r="G6" t="str">
        <f>Reporting_currency</f>
        <v>CNY</v>
      </c>
      <c r="H6" s="308" t="s">
        <v>416</v>
      </c>
      <c r="I6" s="305">
        <f>I7+I8</f>
        <v>-2750834.3301200001</v>
      </c>
      <c r="J6" s="305"/>
      <c r="N6" s="135"/>
    </row>
    <row r="7" spans="2:15" ht="12.75" customHeight="1">
      <c r="B7" s="318" t="s">
        <v>430</v>
      </c>
      <c r="C7" s="275">
        <f>F7</f>
        <v>75216817.853333354</v>
      </c>
      <c r="E7" s="140" t="s">
        <v>424</v>
      </c>
      <c r="F7" s="283">
        <f>SUM(F4:F6)</f>
        <v>75216817.853333354</v>
      </c>
      <c r="G7" t="str">
        <f>Reporting_currency</f>
        <v>CNY</v>
      </c>
      <c r="H7" s="312" t="s">
        <v>417</v>
      </c>
      <c r="I7" s="313">
        <f>Normalized_FCF!C9</f>
        <v>0</v>
      </c>
      <c r="J7" s="313"/>
      <c r="N7" s="304"/>
      <c r="O7" s="304"/>
    </row>
    <row r="8" spans="2:15" ht="13.15">
      <c r="B8" s="136" t="s">
        <v>426</v>
      </c>
      <c r="C8" s="283">
        <f>C6+C7</f>
        <v>354847353.61071271</v>
      </c>
      <c r="D8" t="str">
        <f>Reporting_currency</f>
        <v>CNY</v>
      </c>
      <c r="E8" s="140" t="s">
        <v>464</v>
      </c>
      <c r="F8" s="108">
        <f>FV_adjustments*scaling_factor/Common_Shares*Exchange_Rate</f>
        <v>9.0871141280689116</v>
      </c>
      <c r="G8" s="294" t="str">
        <f>Market_currency</f>
        <v>HKD</v>
      </c>
      <c r="H8" s="314" t="str">
        <f>Normalized_FCF!B10</f>
        <v>Net Interest Income</v>
      </c>
      <c r="I8" s="313">
        <f>Normalized_FCF!C10</f>
        <v>-2750834.3301200001</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0</v>
      </c>
      <c r="J9" s="306"/>
      <c r="N9" s="304"/>
      <c r="O9" s="304"/>
    </row>
    <row r="10" spans="2:15" ht="13.5" thickTop="1">
      <c r="B10" s="107" t="s">
        <v>427</v>
      </c>
      <c r="C10" s="283">
        <f>C8*Exchange_Rate</f>
        <v>397165355.68468773</v>
      </c>
      <c r="D10" t="str">
        <f>Market_currency</f>
        <v>HKD</v>
      </c>
      <c r="H10" s="308" t="s">
        <v>397</v>
      </c>
      <c r="I10" s="306">
        <f>Normalized_FCF!C41</f>
        <v>0.25</v>
      </c>
      <c r="N10" s="304"/>
      <c r="O10" s="304"/>
    </row>
    <row r="11" spans="2:15" ht="13.15">
      <c r="B11" s="136" t="s">
        <v>425</v>
      </c>
      <c r="C11" s="108">
        <f>(C10*scaling_factor)/Common_Shares</f>
        <v>42.869912505356965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v>
      </c>
      <c r="J15" s="126"/>
    </row>
    <row r="16" spans="2:15" ht="13.25" customHeight="1">
      <c r="B16" s="114" t="s">
        <v>422</v>
      </c>
      <c r="C16" s="147">
        <f>Scenarios!C46</f>
        <v>0.185</v>
      </c>
      <c r="E16" s="308" t="s">
        <v>400</v>
      </c>
      <c r="F16" s="311">
        <f>Scenarios!C41</f>
        <v>0.12333333333333332</v>
      </c>
    </row>
    <row r="17" spans="1:21" ht="13.25" customHeight="1">
      <c r="B17" s="308" t="s">
        <v>548</v>
      </c>
      <c r="C17" s="306">
        <f>Normalized_FCF!C77</f>
        <v>8.0069983114389107E-2</v>
      </c>
      <c r="E17" s="308" t="s">
        <v>549</v>
      </c>
      <c r="F17" s="311">
        <f>Scenarios!C40</f>
        <v>0.12283171396433189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163.34399799911537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8.0069983114389107E-2</v>
      </c>
      <c r="F21" s="277">
        <f>C21*E21</f>
        <v>32031677.871007804</v>
      </c>
      <c r="G21" s="299">
        <f t="shared" ref="G21:G50" si="2">IF(A21="",0%,IF(A21="I",$C$18,$F$18))</f>
        <v>0</v>
      </c>
      <c r="H21" s="277">
        <f>(F21*(1-$I$10)+C21*(G21-$I$9))</f>
        <v>24023758.403255854</v>
      </c>
      <c r="I21" s="299">
        <f>H21/C4-1</f>
        <v>0.18500000000000005</v>
      </c>
      <c r="J21" s="299">
        <f>H21/C21</f>
        <v>6.0052487335791833E-2</v>
      </c>
      <c r="K21" s="119">
        <f t="shared" ref="K21:K50" si="3">IF($C$15&lt;B21,0,1/(1+Equity_Cost)^B21)</f>
        <v>0.93240093240093236</v>
      </c>
      <c r="L21" s="277">
        <f t="shared" ref="L21:L51" si="4">H21*K21</f>
        <v>22399774.734970491</v>
      </c>
    </row>
    <row r="22" spans="1:21">
      <c r="A22" s="302" t="str">
        <f t="shared" si="0"/>
        <v>I</v>
      </c>
      <c r="B22" s="117">
        <v>2</v>
      </c>
      <c r="C22" s="277">
        <f t="shared" ref="C22:C50" si="5">IF(A22="",0,C21*(1+D22))</f>
        <v>474054530.80859995</v>
      </c>
      <c r="D22" s="299">
        <f t="shared" si="1"/>
        <v>0.185</v>
      </c>
      <c r="E22" s="299">
        <f t="shared" ref="E22:E50" si="6">IF($C$15&lt;B22,0,IF(B22&gt;=$F$15,$F$17,$C$17))</f>
        <v>8.0069983114389107E-2</v>
      </c>
      <c r="F22" s="277">
        <f t="shared" ref="F22:F50" si="7">IF(A22="", 0,C22*E22)</f>
        <v>37957538.277144246</v>
      </c>
      <c r="G22" s="299">
        <f t="shared" si="2"/>
        <v>0</v>
      </c>
      <c r="H22" s="277">
        <f t="shared" ref="H22:H50" si="8">IF(A22="", 0,F22*(1-$I$10)+C22*(G22-$I$9))</f>
        <v>28468153.707858182</v>
      </c>
      <c r="I22" s="299">
        <f t="shared" ref="I22:I50" si="9">IF(A22="", 0,H22/H21-1)</f>
        <v>0.18499999999999983</v>
      </c>
      <c r="J22" s="299">
        <f>IF(A22="", 0,H22/C22)</f>
        <v>6.005248733579182E-2</v>
      </c>
      <c r="K22" s="119">
        <f t="shared" si="3"/>
        <v>0.86937149874212816</v>
      </c>
      <c r="L22" s="277">
        <f t="shared" si="4"/>
        <v>24749401.455421939</v>
      </c>
    </row>
    <row r="23" spans="1:21">
      <c r="A23" s="302" t="str">
        <f t="shared" si="0"/>
        <v>I</v>
      </c>
      <c r="B23" s="117">
        <v>3</v>
      </c>
      <c r="C23" s="277">
        <f t="shared" si="5"/>
        <v>561754619.00819099</v>
      </c>
      <c r="D23" s="299">
        <f t="shared" si="1"/>
        <v>0.185</v>
      </c>
      <c r="E23" s="299">
        <f t="shared" si="6"/>
        <v>8.0069983114389107E-2</v>
      </c>
      <c r="F23" s="277">
        <f t="shared" si="7"/>
        <v>44979682.858415939</v>
      </c>
      <c r="G23" s="299">
        <f t="shared" si="2"/>
        <v>0</v>
      </c>
      <c r="H23" s="277">
        <f t="shared" si="8"/>
        <v>33734762.143811956</v>
      </c>
      <c r="I23" s="299">
        <f t="shared" si="9"/>
        <v>0.18500000000000028</v>
      </c>
      <c r="J23" s="299">
        <f t="shared" ref="J23:J50" si="10">IF(A23="", 0,H23/C23)</f>
        <v>6.0052487335791833E-2</v>
      </c>
      <c r="K23" s="119">
        <f t="shared" si="3"/>
        <v>0.81060279602995633</v>
      </c>
      <c r="L23" s="277">
        <f t="shared" si="4"/>
        <v>27345492.517179497</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8.0069983114389107E-2</v>
      </c>
      <c r="F24" s="277">
        <f t="shared" si="7"/>
        <v>53300924.187222891</v>
      </c>
      <c r="G24" s="299">
        <f t="shared" si="2"/>
        <v>0</v>
      </c>
      <c r="H24" s="277">
        <f t="shared" si="8"/>
        <v>39975693.140417166</v>
      </c>
      <c r="I24" s="299">
        <f t="shared" si="9"/>
        <v>0.18500000000000005</v>
      </c>
      <c r="J24" s="299">
        <f t="shared" si="10"/>
        <v>6.0052487335791827E-2</v>
      </c>
      <c r="K24" s="119">
        <f t="shared" si="3"/>
        <v>0.75580680282513402</v>
      </c>
      <c r="L24" s="277">
        <f t="shared" si="4"/>
        <v>30213900.823177338</v>
      </c>
      <c r="N24" s="275"/>
      <c r="O24" s="275"/>
      <c r="P24" s="275"/>
      <c r="Q24" s="275"/>
      <c r="R24" s="275"/>
      <c r="S24" s="275"/>
      <c r="T24" s="275"/>
      <c r="U24" s="275"/>
    </row>
    <row r="25" spans="1:21">
      <c r="A25" s="302" t="str">
        <f t="shared" si="0"/>
        <v>II</v>
      </c>
      <c r="B25" s="117">
        <v>5</v>
      </c>
      <c r="C25" s="277">
        <f t="shared" si="5"/>
        <v>747779661.09275341</v>
      </c>
      <c r="D25" s="299">
        <f t="shared" si="1"/>
        <v>0.12333333333333332</v>
      </c>
      <c r="E25" s="299">
        <f t="shared" si="6"/>
        <v>0.12283171396433189</v>
      </c>
      <c r="F25" s="277">
        <f t="shared" si="7"/>
        <v>91851057.439690128</v>
      </c>
      <c r="G25" s="299">
        <f t="shared" si="2"/>
        <v>0</v>
      </c>
      <c r="H25" s="277">
        <f t="shared" si="8"/>
        <v>68888293.0797676</v>
      </c>
      <c r="I25" s="299">
        <f t="shared" si="9"/>
        <v>0.72325449962288557</v>
      </c>
      <c r="J25" s="299">
        <f t="shared" si="10"/>
        <v>9.2123785473248926E-2</v>
      </c>
      <c r="K25" s="119">
        <f t="shared" si="3"/>
        <v>0.70471496766912267</v>
      </c>
      <c r="L25" s="277">
        <f t="shared" si="4"/>
        <v>48546611.23048947</v>
      </c>
      <c r="N25" s="275"/>
      <c r="O25" s="275"/>
      <c r="P25" s="275"/>
      <c r="Q25" s="275"/>
      <c r="R25" s="275"/>
      <c r="S25" s="275"/>
      <c r="T25" s="275"/>
      <c r="U25" s="275"/>
    </row>
    <row r="26" spans="1:21">
      <c r="A26" s="302" t="str">
        <f t="shared" si="0"/>
        <v>II</v>
      </c>
      <c r="B26" s="117">
        <v>6</v>
      </c>
      <c r="C26" s="277">
        <f t="shared" si="5"/>
        <v>840005819.29419291</v>
      </c>
      <c r="D26" s="299">
        <f t="shared" si="1"/>
        <v>0.12333333333333332</v>
      </c>
      <c r="E26" s="299">
        <f t="shared" si="6"/>
        <v>0.12283171396433189</v>
      </c>
      <c r="F26" s="277">
        <f t="shared" si="7"/>
        <v>103179354.52391857</v>
      </c>
      <c r="G26" s="299">
        <f t="shared" si="2"/>
        <v>0</v>
      </c>
      <c r="H26" s="277">
        <f t="shared" si="8"/>
        <v>77384515.892938927</v>
      </c>
      <c r="I26" s="299">
        <f t="shared" si="9"/>
        <v>0.12333333333333329</v>
      </c>
      <c r="J26" s="299">
        <f t="shared" si="10"/>
        <v>9.2123785473248926E-2</v>
      </c>
      <c r="K26" s="119">
        <f t="shared" si="3"/>
        <v>0.65707689293158289</v>
      </c>
      <c r="L26" s="277">
        <f t="shared" si="4"/>
        <v>50847577.263947003</v>
      </c>
    </row>
    <row r="27" spans="1:21">
      <c r="A27" s="302" t="str">
        <f t="shared" si="0"/>
        <v>II</v>
      </c>
      <c r="B27" s="117">
        <v>7</v>
      </c>
      <c r="C27" s="277">
        <f t="shared" si="5"/>
        <v>943606537.00714338</v>
      </c>
      <c r="D27" s="299">
        <f t="shared" si="1"/>
        <v>0.12333333333333332</v>
      </c>
      <c r="E27" s="299">
        <f t="shared" si="6"/>
        <v>0.12283171396433189</v>
      </c>
      <c r="F27" s="277">
        <f t="shared" si="7"/>
        <v>115904808.24853519</v>
      </c>
      <c r="G27" s="299">
        <f t="shared" si="2"/>
        <v>0</v>
      </c>
      <c r="H27" s="277">
        <f t="shared" si="8"/>
        <v>86928606.186401397</v>
      </c>
      <c r="I27" s="299">
        <f t="shared" si="9"/>
        <v>0.12333333333333329</v>
      </c>
      <c r="J27" s="299">
        <f t="shared" si="10"/>
        <v>9.2123785473248926E-2</v>
      </c>
      <c r="K27" s="119">
        <f t="shared" si="3"/>
        <v>0.61265910762851561</v>
      </c>
      <c r="L27" s="277">
        <f t="shared" si="4"/>
        <v>53257602.293551341</v>
      </c>
    </row>
    <row r="28" spans="1:21">
      <c r="A28" s="302" t="str">
        <f t="shared" si="0"/>
        <v>II</v>
      </c>
      <c r="B28" s="117">
        <v>8</v>
      </c>
      <c r="C28" s="277">
        <f t="shared" si="5"/>
        <v>1059984676.5713577</v>
      </c>
      <c r="D28" s="299">
        <f t="shared" si="1"/>
        <v>0.12333333333333332</v>
      </c>
      <c r="E28" s="299">
        <f t="shared" si="6"/>
        <v>0.12283171396433189</v>
      </c>
      <c r="F28" s="277">
        <f t="shared" si="7"/>
        <v>130199734.59918787</v>
      </c>
      <c r="G28" s="299">
        <f t="shared" si="2"/>
        <v>0</v>
      </c>
      <c r="H28" s="277">
        <f t="shared" si="8"/>
        <v>97649800.949390903</v>
      </c>
      <c r="I28" s="299">
        <f t="shared" si="9"/>
        <v>0.12333333333333329</v>
      </c>
      <c r="J28" s="299">
        <f t="shared" si="10"/>
        <v>9.2123785473248926E-2</v>
      </c>
      <c r="K28" s="119">
        <f t="shared" si="3"/>
        <v>0.5712439231967511</v>
      </c>
      <c r="L28" s="277">
        <f t="shared" si="4"/>
        <v>55781855.393711887</v>
      </c>
    </row>
    <row r="29" spans="1:21">
      <c r="A29" s="302" t="str">
        <f t="shared" si="0"/>
        <v>II</v>
      </c>
      <c r="B29" s="117">
        <v>9</v>
      </c>
      <c r="C29" s="277">
        <f t="shared" si="5"/>
        <v>1190716120.0151584</v>
      </c>
      <c r="D29" s="299">
        <f t="shared" si="1"/>
        <v>0.12333333333333332</v>
      </c>
      <c r="E29" s="299">
        <f t="shared" si="6"/>
        <v>0.12283171396433189</v>
      </c>
      <c r="F29" s="277">
        <f t="shared" si="7"/>
        <v>146257701.86642101</v>
      </c>
      <c r="G29" s="299">
        <f t="shared" si="2"/>
        <v>0</v>
      </c>
      <c r="H29" s="277">
        <f t="shared" si="8"/>
        <v>109693276.39981577</v>
      </c>
      <c r="I29" s="299">
        <f t="shared" si="9"/>
        <v>0.12333333333333329</v>
      </c>
      <c r="J29" s="299">
        <f t="shared" si="10"/>
        <v>9.2123785473248926E-2</v>
      </c>
      <c r="K29" s="119">
        <f t="shared" si="3"/>
        <v>0.53262836661701729</v>
      </c>
      <c r="L29" s="277">
        <f t="shared" si="4"/>
        <v>58425750.637702882</v>
      </c>
    </row>
    <row r="30" spans="1:21">
      <c r="A30" s="302" t="str">
        <f t="shared" si="0"/>
        <v>II</v>
      </c>
      <c r="B30" s="117">
        <v>10</v>
      </c>
      <c r="C30" s="277">
        <f t="shared" si="5"/>
        <v>1337571108.1503613</v>
      </c>
      <c r="D30" s="299">
        <f t="shared" si="1"/>
        <v>0.12333333333333332</v>
      </c>
      <c r="E30" s="299">
        <f t="shared" si="6"/>
        <v>0.12283171396433189</v>
      </c>
      <c r="F30" s="277">
        <f t="shared" si="7"/>
        <v>164296151.76327962</v>
      </c>
      <c r="G30" s="299">
        <f t="shared" si="2"/>
        <v>0</v>
      </c>
      <c r="H30" s="277">
        <f t="shared" si="8"/>
        <v>123222113.82245971</v>
      </c>
      <c r="I30" s="299">
        <f t="shared" si="9"/>
        <v>0.12333333333333329</v>
      </c>
      <c r="J30" s="299">
        <f t="shared" si="10"/>
        <v>9.2123785473248912E-2</v>
      </c>
      <c r="K30" s="119">
        <f t="shared" si="3"/>
        <v>0.49662318565689262</v>
      </c>
      <c r="L30" s="277">
        <f t="shared" si="4"/>
        <v>61194958.709886163</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1337571108.1503613</v>
      </c>
      <c r="D51" s="301">
        <f>Terminal_Growth</f>
        <v>0</v>
      </c>
      <c r="E51" s="301">
        <f>F17</f>
        <v>0.12283171396433189</v>
      </c>
      <c r="F51" s="277">
        <f>C51*E51</f>
        <v>164296151.76327962</v>
      </c>
      <c r="G51" s="299">
        <f>F18</f>
        <v>0</v>
      </c>
      <c r="H51" s="277">
        <f>(F51*(1-$I$10)+C51*(G51-$I$9))/Equity_Cost</f>
        <v>1699615363.0684099</v>
      </c>
      <c r="I51" s="415">
        <f>(F51*(1-$I$10)+C51*(G51-$I$9))/VLOOKUP(C15,B21:H50,COLUMN(H20)-1,FALSE)-1</f>
        <v>0</v>
      </c>
      <c r="J51" s="454"/>
      <c r="K51" s="119">
        <f>1/(1+Equity_Cost)^C15</f>
        <v>0.49662318565689262</v>
      </c>
      <c r="L51" s="277">
        <f t="shared" si="4"/>
        <v>844068395.99842989</v>
      </c>
    </row>
    <row r="52" spans="1:21" ht="13.15">
      <c r="G52" s="111"/>
      <c r="H52" s="111"/>
      <c r="I52" s="111"/>
      <c r="J52" s="468" t="s">
        <v>420</v>
      </c>
      <c r="K52" s="468"/>
      <c r="L52" s="317">
        <f>SUM(L21:L51)</f>
        <v>1276831321.0584679</v>
      </c>
    </row>
    <row r="53" spans="1:21">
      <c r="C53" s="111"/>
    </row>
    <row r="54" spans="1:21" ht="13.15">
      <c r="B54" s="115" t="s">
        <v>108</v>
      </c>
      <c r="C54" s="128"/>
      <c r="D54" s="128"/>
      <c r="E54" s="113"/>
      <c r="F54" s="113"/>
      <c r="G54" s="113"/>
      <c r="H54" s="113"/>
      <c r="I54" s="113"/>
      <c r="J54" s="113"/>
      <c r="K54" s="113"/>
      <c r="L54" s="113"/>
    </row>
    <row r="55" spans="1:21" ht="13.15">
      <c r="A55" s="125">
        <f>L52</f>
        <v>1276831321.0584679</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418873362.95892262</v>
      </c>
      <c r="C56" s="118">
        <v>441213275.65006506</v>
      </c>
      <c r="D56" s="118">
        <v>469138166.51399332</v>
      </c>
      <c r="E56" s="118">
        <v>488685590.11874306</v>
      </c>
      <c r="F56" s="118">
        <v>502648035.5507071</v>
      </c>
      <c r="G56" s="295"/>
      <c r="H56" s="295"/>
      <c r="I56" s="295"/>
      <c r="J56" s="295"/>
      <c r="K56" s="295"/>
      <c r="L56" s="295"/>
    </row>
    <row r="57" spans="1:21" ht="13.15">
      <c r="A57" s="131">
        <v>2</v>
      </c>
      <c r="B57" s="118">
        <v>418873362.95892268</v>
      </c>
      <c r="C57" s="118">
        <v>463682735.10470706</v>
      </c>
      <c r="D57" s="118">
        <v>522894215.08269358</v>
      </c>
      <c r="E57" s="118">
        <v>566457651.12670076</v>
      </c>
      <c r="F57" s="118">
        <v>598640979.42338622</v>
      </c>
      <c r="G57" s="295"/>
      <c r="H57" s="295"/>
      <c r="I57" s="295"/>
      <c r="J57" s="295"/>
      <c r="K57" s="295"/>
      <c r="L57" s="295"/>
    </row>
    <row r="58" spans="1:21" ht="13.15">
      <c r="A58" s="131">
        <v>3</v>
      </c>
      <c r="B58" s="118">
        <v>418873362.95892274</v>
      </c>
      <c r="C58" s="118">
        <v>498048127.06681681</v>
      </c>
      <c r="D58" s="118">
        <v>610050589.14943171</v>
      </c>
      <c r="E58" s="118">
        <v>697562339.6696676</v>
      </c>
      <c r="F58" s="118">
        <v>764882811.19070375</v>
      </c>
      <c r="G58" s="295"/>
      <c r="H58" s="295"/>
      <c r="I58" s="295"/>
      <c r="J58" s="295"/>
      <c r="K58" s="295"/>
      <c r="L58" s="295"/>
    </row>
    <row r="59" spans="1:21" ht="13.15">
      <c r="A59" s="131">
        <v>4</v>
      </c>
      <c r="B59" s="118">
        <v>418873362.95892262</v>
      </c>
      <c r="C59" s="118">
        <v>520270355.44036442</v>
      </c>
      <c r="D59" s="118">
        <v>671814212.5058744</v>
      </c>
      <c r="E59" s="118">
        <v>796164358.97618139</v>
      </c>
      <c r="F59" s="118">
        <v>895070317.18458915</v>
      </c>
      <c r="G59" s="295"/>
      <c r="H59" s="295"/>
      <c r="I59" s="295"/>
      <c r="J59" s="295"/>
      <c r="K59" s="295"/>
      <c r="L59" s="295"/>
    </row>
    <row r="60" spans="1:21" ht="13.15">
      <c r="A60" s="131">
        <v>5</v>
      </c>
      <c r="B60" s="118">
        <v>409460677.67024028</v>
      </c>
      <c r="C60" s="118">
        <v>544323594.2427938</v>
      </c>
      <c r="D60" s="118">
        <v>761457494.72352016</v>
      </c>
      <c r="E60" s="118">
        <v>951558942.67901087</v>
      </c>
      <c r="F60" s="118">
        <v>1109507310.3357565</v>
      </c>
      <c r="G60" s="295"/>
      <c r="H60" s="295"/>
      <c r="I60" s="295"/>
      <c r="J60" s="295"/>
      <c r="K60" s="295"/>
      <c r="L60" s="295"/>
    </row>
    <row r="61" spans="1:21" ht="13.15">
      <c r="A61" s="131">
        <v>6</v>
      </c>
      <c r="B61" s="118">
        <v>409460677.67024028</v>
      </c>
      <c r="C61" s="118">
        <v>566301311.81463742</v>
      </c>
      <c r="D61" s="118">
        <v>832421512.20038676</v>
      </c>
      <c r="E61" s="118">
        <v>1076569879.5799544</v>
      </c>
      <c r="F61" s="118">
        <v>1286070149.5730667</v>
      </c>
      <c r="G61" s="295"/>
      <c r="H61" s="295"/>
      <c r="I61" s="295"/>
      <c r="J61" s="295"/>
      <c r="K61" s="295"/>
      <c r="L61" s="295"/>
    </row>
    <row r="62" spans="1:21" ht="13.15">
      <c r="A62" s="131">
        <v>7</v>
      </c>
      <c r="B62" s="118">
        <v>400684281.13067627</v>
      </c>
      <c r="C62" s="118">
        <v>590676445.41688704</v>
      </c>
      <c r="D62" s="118">
        <v>938162961.98648047</v>
      </c>
      <c r="E62" s="118">
        <v>1278371903.7556696</v>
      </c>
      <c r="F62" s="118">
        <v>1583446501.1096694</v>
      </c>
      <c r="G62" s="295"/>
      <c r="H62" s="295"/>
      <c r="I62" s="295"/>
      <c r="J62" s="295"/>
      <c r="K62" s="295"/>
      <c r="L62" s="295"/>
    </row>
    <row r="63" spans="1:21" ht="13.15">
      <c r="A63" s="131">
        <v>8</v>
      </c>
      <c r="B63" s="118">
        <v>400684281.13067621</v>
      </c>
      <c r="C63" s="118">
        <v>612412342.53522825</v>
      </c>
      <c r="D63" s="118">
        <v>1019697876.9216756</v>
      </c>
      <c r="E63" s="118">
        <v>1436864949.3825686</v>
      </c>
      <c r="F63" s="118">
        <v>1822904473.3747222</v>
      </c>
      <c r="G63" s="295"/>
      <c r="H63" s="295"/>
      <c r="I63" s="295"/>
      <c r="J63" s="295"/>
      <c r="K63" s="295"/>
      <c r="L63" s="295"/>
    </row>
    <row r="64" spans="1:21" ht="13.15">
      <c r="A64" s="131">
        <v>9</v>
      </c>
      <c r="B64" s="118">
        <v>392501160.81406641</v>
      </c>
      <c r="C64" s="118">
        <v>637109930.8977617</v>
      </c>
      <c r="D64" s="118">
        <v>1144210617.3441687</v>
      </c>
      <c r="E64" s="118">
        <v>1698296227.5349402</v>
      </c>
      <c r="F64" s="118">
        <v>2234154772.3844032</v>
      </c>
      <c r="G64" s="295"/>
      <c r="H64" s="295"/>
      <c r="I64" s="295"/>
      <c r="J64" s="295"/>
      <c r="K64" s="295"/>
      <c r="L64" s="295"/>
    </row>
    <row r="65" spans="1:21" ht="13.15">
      <c r="A65" s="131">
        <v>10</v>
      </c>
      <c r="B65" s="118">
        <v>392501160.81406641</v>
      </c>
      <c r="C65" s="118">
        <v>658606668.30894756</v>
      </c>
      <c r="D65" s="118">
        <v>1237891085.1341541</v>
      </c>
      <c r="E65" s="118">
        <v>1899239010.1011972</v>
      </c>
      <c r="F65" s="118">
        <v>2558912352.9091625</v>
      </c>
      <c r="G65" s="295"/>
      <c r="H65" s="295"/>
      <c r="I65" s="295"/>
      <c r="J65" s="295"/>
      <c r="K65" s="295"/>
      <c r="L65" s="295"/>
    </row>
    <row r="66" spans="1:21" ht="13.15">
      <c r="A66" s="131">
        <v>15</v>
      </c>
      <c r="B66" s="118">
        <v>371123780.01797873</v>
      </c>
      <c r="C66" s="277">
        <v>776926591.74549711</v>
      </c>
      <c r="D66" s="118">
        <v>1988886030.0406418</v>
      </c>
      <c r="E66" s="118">
        <v>3812674487.1235929</v>
      </c>
      <c r="F66" s="118">
        <v>6018776284.4501724</v>
      </c>
      <c r="G66" s="295"/>
      <c r="H66" s="295"/>
      <c r="I66" s="295"/>
      <c r="J66" s="295"/>
      <c r="K66" s="295"/>
      <c r="L66" s="295"/>
      <c r="M66" s="275"/>
      <c r="N66" s="275"/>
      <c r="O66" s="275"/>
      <c r="P66" s="275"/>
      <c r="Q66" s="275"/>
      <c r="R66" s="275"/>
      <c r="S66" s="275"/>
      <c r="T66" s="275"/>
      <c r="U66" s="275"/>
    </row>
    <row r="67" spans="1:21" ht="13.15">
      <c r="A67" s="132">
        <v>20</v>
      </c>
      <c r="B67" s="118">
        <v>359172154.64499623</v>
      </c>
      <c r="C67" s="277">
        <v>890939990.3012948</v>
      </c>
      <c r="D67" s="118">
        <v>2993616745.0062437</v>
      </c>
      <c r="E67" s="118">
        <v>7049894262.3408175</v>
      </c>
      <c r="F67" s="118">
        <v>12909469376.813478</v>
      </c>
      <c r="G67" s="295"/>
      <c r="H67" s="295"/>
      <c r="I67" s="295"/>
      <c r="J67" s="295"/>
      <c r="K67" s="295"/>
      <c r="L67" s="295"/>
      <c r="M67" s="275"/>
      <c r="N67" s="275"/>
      <c r="O67" s="275"/>
      <c r="P67" s="275"/>
      <c r="Q67" s="275"/>
      <c r="R67" s="275"/>
      <c r="S67" s="275"/>
      <c r="T67" s="275"/>
      <c r="U67" s="275"/>
    </row>
    <row r="68" spans="1:21" ht="13.15">
      <c r="A68" s="132">
        <v>25</v>
      </c>
      <c r="B68" s="118">
        <v>344107194.42843074</v>
      </c>
      <c r="C68" s="277">
        <v>1011868478.5161428</v>
      </c>
      <c r="D68" s="118">
        <v>4594211247.366909</v>
      </c>
      <c r="E68" s="118">
        <v>13611509672.125441</v>
      </c>
      <c r="F68" s="118">
        <v>29372130085.666069</v>
      </c>
      <c r="G68" s="295"/>
      <c r="H68" s="295"/>
      <c r="I68" s="295"/>
      <c r="J68" s="295"/>
      <c r="K68" s="295"/>
      <c r="L68" s="295"/>
      <c r="M68" s="275"/>
      <c r="N68" s="275"/>
      <c r="O68" s="275"/>
      <c r="P68" s="275"/>
      <c r="Q68" s="275"/>
      <c r="R68" s="275"/>
      <c r="S68" s="275"/>
      <c r="T68" s="275"/>
      <c r="U68" s="275"/>
    </row>
    <row r="69" spans="1:21" ht="13.15">
      <c r="A69" s="132">
        <v>30</v>
      </c>
      <c r="B69" s="118">
        <v>335684705.14011586</v>
      </c>
      <c r="C69" s="277">
        <v>1125835231.6105886</v>
      </c>
      <c r="D69" s="118">
        <v>6687829984.7710543</v>
      </c>
      <c r="E69" s="118">
        <v>24501559057.014442</v>
      </c>
      <c r="F69" s="118">
        <v>61617626356.794647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42.869912505356965</v>
      </c>
      <c r="C73" s="119">
        <f>C11</f>
        <v>42.869912505356965</v>
      </c>
      <c r="D73" s="119">
        <f>C11</f>
        <v>42.869912505356965</v>
      </c>
      <c r="E73" s="119">
        <f>C11</f>
        <v>42.869912505356965</v>
      </c>
      <c r="F73" s="119">
        <f>C11</f>
        <v>42.869912505356965</v>
      </c>
      <c r="G73" s="296"/>
      <c r="H73" s="296"/>
      <c r="I73" s="296"/>
      <c r="J73" s="296"/>
      <c r="K73" s="296"/>
      <c r="L73" s="296"/>
    </row>
    <row r="74" spans="1:21" ht="13.15">
      <c r="A74" s="131">
        <v>1</v>
      </c>
      <c r="B74" s="119">
        <f t="shared" ref="B74:F87" si="11">(B56+FV_adjustments)/Common_Shares*scaling_factor*Exchange_Rate</f>
        <v>59.692153839238749</v>
      </c>
      <c r="C74" s="119">
        <f t="shared" si="11"/>
        <v>62.391089290501135</v>
      </c>
      <c r="D74" s="119">
        <f t="shared" si="11"/>
        <v>65.764758604579143</v>
      </c>
      <c r="E74" s="119">
        <f t="shared" si="11"/>
        <v>68.126327124433729</v>
      </c>
      <c r="F74" s="119">
        <f t="shared" si="11"/>
        <v>69.813161781472715</v>
      </c>
      <c r="G74" s="296"/>
      <c r="H74" s="296"/>
      <c r="I74" s="296"/>
      <c r="J74" s="296"/>
      <c r="K74" s="296"/>
      <c r="L74" s="296"/>
    </row>
    <row r="75" spans="1:21" ht="13.15">
      <c r="A75" s="131">
        <v>2</v>
      </c>
      <c r="B75" s="119">
        <f t="shared" si="11"/>
        <v>59.692153839238756</v>
      </c>
      <c r="C75" s="119">
        <f t="shared" si="11"/>
        <v>65.105675579680351</v>
      </c>
      <c r="D75" s="119">
        <f t="shared" si="11"/>
        <v>72.259148587552161</v>
      </c>
      <c r="E75" s="119">
        <f t="shared" si="11"/>
        <v>77.52214596554056</v>
      </c>
      <c r="F75" s="119">
        <f t="shared" si="11"/>
        <v>81.410286751067432</v>
      </c>
      <c r="G75" s="296"/>
      <c r="H75" s="296"/>
      <c r="I75" s="296"/>
      <c r="J75" s="296"/>
      <c r="K75" s="296"/>
      <c r="L75" s="296"/>
    </row>
    <row r="76" spans="1:21" ht="13.15">
      <c r="A76" s="131">
        <v>3</v>
      </c>
      <c r="B76" s="119">
        <f t="shared" si="11"/>
        <v>59.692153839238763</v>
      </c>
      <c r="C76" s="119">
        <f t="shared" si="11"/>
        <v>69.257436418917635</v>
      </c>
      <c r="D76" s="119">
        <f t="shared" si="11"/>
        <v>82.788707544399429</v>
      </c>
      <c r="E76" s="119">
        <f t="shared" si="11"/>
        <v>93.361200335507775</v>
      </c>
      <c r="F76" s="119">
        <f t="shared" si="11"/>
        <v>101.49433897825027</v>
      </c>
      <c r="G76" s="296"/>
      <c r="H76" s="296"/>
      <c r="I76" s="296"/>
      <c r="J76" s="296"/>
      <c r="K76" s="296"/>
      <c r="L76" s="296"/>
    </row>
    <row r="77" spans="1:21" ht="13.15">
      <c r="A77" s="131">
        <v>4</v>
      </c>
      <c r="B77" s="119">
        <f t="shared" si="11"/>
        <v>59.692153839238749</v>
      </c>
      <c r="C77" s="119">
        <f t="shared" si="11"/>
        <v>71.942154161220927</v>
      </c>
      <c r="D77" s="119">
        <f t="shared" si="11"/>
        <v>90.250510774329399</v>
      </c>
      <c r="E77" s="119">
        <f t="shared" si="11"/>
        <v>105.27353361771985</v>
      </c>
      <c r="F77" s="119">
        <f t="shared" si="11"/>
        <v>117.22258644707966</v>
      </c>
      <c r="G77" s="296"/>
      <c r="H77" s="296"/>
      <c r="I77" s="296"/>
      <c r="J77" s="296"/>
      <c r="K77" s="296"/>
      <c r="L77" s="296"/>
    </row>
    <row r="78" spans="1:21" ht="13.15">
      <c r="A78" s="131">
        <v>5</v>
      </c>
      <c r="B78" s="119">
        <f t="shared" si="11"/>
        <v>58.55498601014186</v>
      </c>
      <c r="C78" s="119">
        <f t="shared" si="11"/>
        <v>74.848080420605783</v>
      </c>
      <c r="D78" s="119">
        <f t="shared" si="11"/>
        <v>101.08051873763939</v>
      </c>
      <c r="E78" s="119">
        <f t="shared" si="11"/>
        <v>124.04710523763104</v>
      </c>
      <c r="F78" s="119">
        <f t="shared" si="11"/>
        <v>143.12920528123755</v>
      </c>
      <c r="G78" s="296"/>
      <c r="H78" s="296"/>
      <c r="I78" s="296"/>
      <c r="J78" s="296"/>
      <c r="K78" s="296"/>
      <c r="L78" s="296"/>
    </row>
    <row r="79" spans="1:21" ht="13.15">
      <c r="A79" s="131">
        <v>6</v>
      </c>
      <c r="B79" s="119">
        <f t="shared" si="11"/>
        <v>58.55498601014186</v>
      </c>
      <c r="C79" s="119">
        <f t="shared" si="11"/>
        <v>77.503258259147643</v>
      </c>
      <c r="D79" s="119">
        <f t="shared" si="11"/>
        <v>109.6538424197976</v>
      </c>
      <c r="E79" s="119">
        <f t="shared" si="11"/>
        <v>139.14995966961166</v>
      </c>
      <c r="F79" s="119">
        <f t="shared" si="11"/>
        <v>164.46016179755634</v>
      </c>
      <c r="G79" s="296"/>
      <c r="H79" s="296"/>
      <c r="I79" s="296"/>
      <c r="J79" s="296"/>
      <c r="K79" s="296"/>
      <c r="L79" s="296"/>
    </row>
    <row r="80" spans="1:21" ht="13.15">
      <c r="A80" s="131">
        <f t="shared" ref="A80" si="12">A62</f>
        <v>7</v>
      </c>
      <c r="B80" s="119">
        <f t="shared" si="11"/>
        <v>57.494689665995558</v>
      </c>
      <c r="C80" s="119">
        <f t="shared" si="11"/>
        <v>80.448073358378181</v>
      </c>
      <c r="D80" s="119">
        <f t="shared" si="11"/>
        <v>122.42870646878394</v>
      </c>
      <c r="E80" s="119">
        <f t="shared" si="11"/>
        <v>163.53011928412505</v>
      </c>
      <c r="F80" s="119">
        <f t="shared" si="11"/>
        <v>200.38687237272447</v>
      </c>
      <c r="G80" s="296"/>
      <c r="H80" s="296"/>
      <c r="I80" s="296"/>
      <c r="J80" s="296"/>
      <c r="K80" s="296"/>
      <c r="L80" s="296"/>
    </row>
    <row r="81" spans="1:12" ht="13.15">
      <c r="A81" s="131">
        <v>8</v>
      </c>
      <c r="B81" s="119">
        <f t="shared" si="11"/>
        <v>57.494689665995551</v>
      </c>
      <c r="C81" s="119">
        <f t="shared" si="11"/>
        <v>83.074036320218354</v>
      </c>
      <c r="D81" s="119">
        <f t="shared" si="11"/>
        <v>132.27912421556013</v>
      </c>
      <c r="E81" s="119">
        <f t="shared" si="11"/>
        <v>182.67802310698048</v>
      </c>
      <c r="F81" s="119">
        <f t="shared" si="11"/>
        <v>229.31633236518897</v>
      </c>
      <c r="G81" s="296"/>
      <c r="H81" s="296"/>
      <c r="I81" s="296"/>
      <c r="J81" s="296"/>
      <c r="K81" s="296"/>
      <c r="L81" s="296"/>
    </row>
    <row r="82" spans="1:12" ht="13.15">
      <c r="A82" s="131">
        <f t="shared" ref="A82" si="13">A64</f>
        <v>9</v>
      </c>
      <c r="B82" s="119">
        <f t="shared" si="11"/>
        <v>56.506068366092251</v>
      </c>
      <c r="C82" s="119">
        <f t="shared" si="11"/>
        <v>86.05780790938644</v>
      </c>
      <c r="D82" s="119">
        <f t="shared" si="11"/>
        <v>147.32179040258328</v>
      </c>
      <c r="E82" s="119">
        <f t="shared" si="11"/>
        <v>214.26212795238709</v>
      </c>
      <c r="F82" s="119">
        <f t="shared" si="11"/>
        <v>279.00041245470345</v>
      </c>
      <c r="G82" s="296"/>
      <c r="H82" s="296"/>
      <c r="I82" s="296"/>
      <c r="J82" s="296"/>
      <c r="K82" s="296"/>
      <c r="L82" s="296"/>
    </row>
    <row r="83" spans="1:12" ht="13.15">
      <c r="A83" s="131">
        <f t="shared" ref="A83:A87" si="14">A65</f>
        <v>10</v>
      </c>
      <c r="B83" s="119">
        <f t="shared" si="11"/>
        <v>56.506068366092251</v>
      </c>
      <c r="C83" s="119">
        <f t="shared" si="11"/>
        <v>88.654877445317595</v>
      </c>
      <c r="D83" s="119">
        <f t="shared" si="11"/>
        <v>158.63953989895811</v>
      </c>
      <c r="E83" s="119">
        <f t="shared" si="11"/>
        <v>238.53848064191251</v>
      </c>
      <c r="F83" s="119">
        <f t="shared" si="11"/>
        <v>318.23511132136434</v>
      </c>
      <c r="G83" s="296"/>
      <c r="H83" s="296"/>
      <c r="I83" s="296"/>
      <c r="J83" s="296"/>
      <c r="K83" s="296"/>
      <c r="L83" s="296"/>
    </row>
    <row r="84" spans="1:12" ht="13.15">
      <c r="A84" s="131">
        <f t="shared" si="14"/>
        <v>15</v>
      </c>
      <c r="B84" s="119">
        <f t="shared" si="11"/>
        <v>53.923418573169265</v>
      </c>
      <c r="C84" s="119">
        <f t="shared" si="11"/>
        <v>102.94937538577589</v>
      </c>
      <c r="D84" s="119">
        <f t="shared" si="11"/>
        <v>249.36894016785882</v>
      </c>
      <c r="E84" s="119">
        <f t="shared" si="11"/>
        <v>469.70495447895917</v>
      </c>
      <c r="F84" s="119">
        <f t="shared" si="11"/>
        <v>736.22910934994547</v>
      </c>
      <c r="G84" s="296"/>
      <c r="H84" s="296"/>
      <c r="I84" s="296"/>
      <c r="J84" s="296"/>
      <c r="K84" s="296"/>
      <c r="L84" s="296"/>
    </row>
    <row r="85" spans="1:12" ht="13.15">
      <c r="A85" s="132">
        <f t="shared" si="14"/>
        <v>20</v>
      </c>
      <c r="B85" s="119">
        <f t="shared" si="11"/>
        <v>52.479515641886145</v>
      </c>
      <c r="C85" s="119">
        <f t="shared" si="11"/>
        <v>116.7235923012769</v>
      </c>
      <c r="D85" s="119">
        <f t="shared" si="11"/>
        <v>370.75273351938898</v>
      </c>
      <c r="E85" s="119">
        <f t="shared" si="11"/>
        <v>860.8008077015885</v>
      </c>
      <c r="F85" s="119">
        <f t="shared" si="11"/>
        <v>1568.7093489939373</v>
      </c>
      <c r="G85" s="296"/>
      <c r="H85" s="296"/>
      <c r="I85" s="296"/>
      <c r="J85" s="296"/>
      <c r="K85" s="296"/>
      <c r="L85" s="296"/>
    </row>
    <row r="86" spans="1:12" ht="13.15">
      <c r="A86" s="132">
        <f t="shared" si="14"/>
        <v>25</v>
      </c>
      <c r="B86" s="119">
        <f t="shared" si="11"/>
        <v>50.659483676565756</v>
      </c>
      <c r="C86" s="119">
        <f t="shared" si="11"/>
        <v>131.33323686090063</v>
      </c>
      <c r="D86" s="119">
        <f t="shared" si="11"/>
        <v>564.12418063474252</v>
      </c>
      <c r="E86" s="119">
        <f t="shared" si="11"/>
        <v>1653.5244271649199</v>
      </c>
      <c r="F86" s="119">
        <f t="shared" si="11"/>
        <v>3557.6006765255456</v>
      </c>
      <c r="G86" s="296"/>
      <c r="H86" s="296"/>
      <c r="I86" s="296"/>
      <c r="J86" s="296"/>
      <c r="K86" s="296"/>
      <c r="L86" s="296"/>
    </row>
    <row r="87" spans="1:12" ht="13.15">
      <c r="A87" s="132">
        <f t="shared" si="14"/>
        <v>30</v>
      </c>
      <c r="B87" s="119">
        <f t="shared" si="11"/>
        <v>49.641943669029217</v>
      </c>
      <c r="C87" s="119">
        <f t="shared" si="11"/>
        <v>145.10181843256549</v>
      </c>
      <c r="D87" s="119">
        <f t="shared" si="11"/>
        <v>817.05900226668268</v>
      </c>
      <c r="E87" s="119">
        <f t="shared" si="11"/>
        <v>2969.1759588975601</v>
      </c>
      <c r="F87" s="119">
        <f t="shared" si="11"/>
        <v>7453.2521158529589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10</v>
      </c>
      <c r="E90" s="127">
        <f>INDEX(B$73:F$87, MATCH(D90, A$73:A$87, 0), MATCH(C90, B$72:F$72, 0))</f>
        <v>318.23511132136434</v>
      </c>
      <c r="F90" s="130">
        <f>Scenarios!F29</f>
        <v>0.05</v>
      </c>
      <c r="G90" s="297"/>
      <c r="H90" s="297"/>
      <c r="I90" s="297"/>
      <c r="J90" s="297"/>
      <c r="K90" s="297"/>
      <c r="L90" s="297"/>
    </row>
    <row r="91" spans="1:12">
      <c r="B91" s="120" t="str">
        <f>Scenarios!B22</f>
        <v>Optimistic</v>
      </c>
      <c r="C91" s="130">
        <f>Scenarios!C22</f>
        <v>0.25</v>
      </c>
      <c r="D91" s="133">
        <f>Scenarios!D22</f>
        <v>10</v>
      </c>
      <c r="E91" s="127">
        <f>INDEX(B$73:F$87, MATCH(D91, A$73:A$87, 0), MATCH(C91, B$72:F$72, 0))</f>
        <v>238.53848064191251</v>
      </c>
      <c r="F91" s="130">
        <f>Scenarios!F22*(1-F$90-F$94)</f>
        <v>0.18</v>
      </c>
      <c r="G91" s="297"/>
      <c r="H91" s="297"/>
      <c r="I91" s="297"/>
      <c r="J91" s="297"/>
      <c r="K91" s="297"/>
      <c r="L91" s="297"/>
    </row>
    <row r="92" spans="1:12">
      <c r="B92" s="120" t="str">
        <f>Scenarios!B23</f>
        <v>Base</v>
      </c>
      <c r="C92" s="130">
        <f>Scenarios!C23</f>
        <v>0.18</v>
      </c>
      <c r="D92" s="133">
        <f>Scenarios!D23</f>
        <v>10</v>
      </c>
      <c r="E92" s="127">
        <f>INDEX(B$73:F$87, MATCH(D92, A$73:A$87, 0), MATCH(C92, B$72:F$72, 0))</f>
        <v>158.63953989895811</v>
      </c>
      <c r="F92" s="130">
        <f>Scenarios!F23*(1-F$90-F$94)</f>
        <v>0.53999999999999992</v>
      </c>
      <c r="G92" s="297"/>
      <c r="H92" s="297"/>
      <c r="I92" s="297"/>
      <c r="J92" s="297"/>
      <c r="K92" s="297"/>
      <c r="L92" s="297"/>
    </row>
    <row r="93" spans="1:12">
      <c r="B93" s="120" t="str">
        <f>Scenarios!B24</f>
        <v>Pessimistic</v>
      </c>
      <c r="C93" s="130">
        <f>Scenarios!C24</f>
        <v>0.08</v>
      </c>
      <c r="D93" s="133">
        <f>Scenarios!D24</f>
        <v>10</v>
      </c>
      <c r="E93" s="127">
        <f>INDEX(B$73:F$87, MATCH(D93, A$73:A$87, 0), MATCH(C93, B$72:F$72, 0))</f>
        <v>88.654877445317595</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56.506068366092251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4" zoomScaleNormal="100" workbookViewId="0">
      <selection activeCell="D27" sqref="D2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31065485.654937759</v>
      </c>
      <c r="D8" s="469"/>
      <c r="E8" s="469"/>
      <c r="F8" s="469"/>
      <c r="G8" s="469"/>
    </row>
    <row r="9" spans="2:7">
      <c r="B9" s="97" t="s">
        <v>54</v>
      </c>
      <c r="C9" s="447">
        <f>Normalized_FCF!C19</f>
        <v>20273213.842410002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0.25</v>
      </c>
      <c r="D22" s="325">
        <f>C18</f>
        <v>10</v>
      </c>
      <c r="E22" s="326">
        <f>DCF!E91</f>
        <v>238.53848064191251</v>
      </c>
      <c r="F22" s="328">
        <f>1-F23-F24</f>
        <v>0.2</v>
      </c>
      <c r="G22" s="328">
        <f>F22*(1-F$29-F$30)</f>
        <v>0.18</v>
      </c>
    </row>
    <row r="23" spans="2:7">
      <c r="B23" s="302" t="s">
        <v>437</v>
      </c>
      <c r="C23" s="324">
        <v>0.18</v>
      </c>
      <c r="D23" s="325">
        <f>C18</f>
        <v>10</v>
      </c>
      <c r="E23" s="326">
        <f>DCF!E92</f>
        <v>158.63953989895811</v>
      </c>
      <c r="F23" s="327">
        <v>0.6</v>
      </c>
      <c r="G23" s="328">
        <f t="shared" ref="G23:G24" si="0">F23*(1-F$29-F$30)</f>
        <v>0.53999999999999992</v>
      </c>
    </row>
    <row r="24" spans="2:7">
      <c r="B24" s="302" t="s">
        <v>446</v>
      </c>
      <c r="C24" s="324">
        <v>0.08</v>
      </c>
      <c r="D24" s="325">
        <f>C18</f>
        <v>10</v>
      </c>
      <c r="E24" s="326">
        <f>DCF!E93</f>
        <v>88.654877445317595</v>
      </c>
      <c r="F24" s="327">
        <v>0.2</v>
      </c>
      <c r="G24" s="328">
        <f t="shared" si="0"/>
        <v>0.18</v>
      </c>
    </row>
    <row r="25" spans="2:7">
      <c r="B25" s="141" t="s">
        <v>451</v>
      </c>
      <c r="C25" s="441">
        <f>E23*F23+E24*F24+E22*F22</f>
        <v>160.62239555682089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10</v>
      </c>
      <c r="E29" s="326">
        <f>DCF!E90</f>
        <v>318.23511132136434</v>
      </c>
      <c r="F29" s="327">
        <v>0.05</v>
      </c>
      <c r="G29" s="328">
        <f>F29</f>
        <v>0.05</v>
      </c>
    </row>
    <row r="30" spans="2:7">
      <c r="B30" s="315" t="s">
        <v>447</v>
      </c>
      <c r="C30" s="324">
        <v>0</v>
      </c>
      <c r="D30" s="325">
        <f>C18</f>
        <v>10</v>
      </c>
      <c r="E30" s="326">
        <f>DCF!E94</f>
        <v>56.506068366092251</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100</v>
      </c>
      <c r="D34" t="str">
        <f>Market_currency</f>
        <v>HKD</v>
      </c>
      <c r="E34" s="97" t="s">
        <v>454</v>
      </c>
      <c r="F34" s="330">
        <f>RATE(Holding_Period,$C$33,-C34,$C$36)</f>
        <v>0.17758679222074075</v>
      </c>
    </row>
    <row r="35" spans="2:7">
      <c r="B35" s="97" t="s">
        <v>434</v>
      </c>
      <c r="C35" s="320">
        <f>DCF!C11</f>
        <v>42.869912505356965</v>
      </c>
      <c r="D35" s="97" t="str">
        <f>Market_currency</f>
        <v>HKD</v>
      </c>
      <c r="E35" s="97" t="s">
        <v>454</v>
      </c>
      <c r="F35" s="330">
        <f>RATE(Holding_Period,$C$33,-C35,$C$36)</f>
        <v>0.56173997536107234</v>
      </c>
    </row>
    <row r="36" spans="2:7">
      <c r="B36" s="97" t="s">
        <v>435</v>
      </c>
      <c r="C36" s="321">
        <f>E22*G22+E23*G23+E24*G24+E30*G30+E29*G29</f>
        <v>163.2972149855116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0.12283171396433189</v>
      </c>
      <c r="E40" s="97" t="s">
        <v>401</v>
      </c>
    </row>
    <row r="41" spans="2:7">
      <c r="B41" s="97" t="s">
        <v>400</v>
      </c>
      <c r="C41" s="455">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163.34399799911537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5.5647698148894684E-2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75.25217280438325</v>
      </c>
      <c r="E62" s="332">
        <f>C62+D62</f>
        <v>75.25217280438325</v>
      </c>
      <c r="F62" s="301">
        <f>Thesis!E22</f>
        <v>0.29465259038036606</v>
      </c>
      <c r="G62" s="440">
        <f>(1-E62/C36)</f>
        <v>0.53917050691244228</v>
      </c>
    </row>
    <row r="63" spans="2:7" ht="13.15">
      <c r="B63" s="302" t="s">
        <v>313</v>
      </c>
      <c r="C63" s="119">
        <f>PV(F63, Holding_Period, -C58, 0)</f>
        <v>0</v>
      </c>
      <c r="D63" s="119">
        <f>C36/(1+F63)^Holding_Period</f>
        <v>94.323301074663775</v>
      </c>
      <c r="E63" s="332">
        <f>C63+D63</f>
        <v>94.323301074663775</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117.044975991238</v>
      </c>
      <c r="E66" s="332">
        <f>C66+D66</f>
        <v>117.044975991238</v>
      </c>
      <c r="F66" s="301">
        <f>Thesis!E24</f>
        <v>0.1174</v>
      </c>
      <c r="G66" s="440">
        <f>(1-E66/C36)</f>
        <v>0.28323960698519746</v>
      </c>
    </row>
    <row r="67" spans="2:7" ht="13.15">
      <c r="B67" s="302" t="s">
        <v>314</v>
      </c>
      <c r="C67" s="119">
        <f>PV(F67, Holding_Period, -C58, 0)</f>
        <v>0</v>
      </c>
      <c r="D67" s="119">
        <f>C36/(1+F67)^Holding_Period</f>
        <v>132.36917905116059</v>
      </c>
      <c r="E67" s="332">
        <f>C67+D67</f>
        <v>132.36917905116059</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100</v>
      </c>
    </row>
    <row r="9" spans="1:10">
      <c r="B9" s="351" t="s">
        <v>361</v>
      </c>
      <c r="C9" s="353">
        <f>Common_Shares</f>
        <v>9264431217</v>
      </c>
    </row>
    <row r="10" spans="1:10">
      <c r="B10" s="351" t="s">
        <v>367</v>
      </c>
      <c r="C10" s="357">
        <f>投资主题!C8*Common_Shares/1000000</f>
        <v>926443.12170000002</v>
      </c>
      <c r="D10" s="343" t="s">
        <v>528</v>
      </c>
      <c r="E10" s="360">
        <f>Scenarios!F34</f>
        <v>0.17758679222074075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534</v>
      </c>
      <c r="C17" s="424">
        <f>Terminal_Growth</f>
        <v>0</v>
      </c>
      <c r="D17" s="351" t="s">
        <v>339</v>
      </c>
      <c r="E17" s="344" t="str">
        <f>Reporting_currency</f>
        <v>CNY</v>
      </c>
    </row>
    <row r="18" spans="1:6">
      <c r="B18" s="343" t="str">
        <f>"预期股权价值 ("&amp;C7&amp;") :"</f>
        <v>预期股权价值 (HKD) :</v>
      </c>
      <c r="C18" s="359">
        <f>C125</f>
        <v>163.2972149855116</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75.25217280438325</v>
      </c>
      <c r="D22" s="365" t="s">
        <v>440</v>
      </c>
      <c r="E22" s="366">
        <f>Thesis!E22</f>
        <v>0.29465259038036606</v>
      </c>
    </row>
    <row r="23" spans="1:6">
      <c r="B23" s="343" t="s">
        <v>341</v>
      </c>
      <c r="C23" s="367">
        <f>E141</f>
        <v>94.323301074663775</v>
      </c>
      <c r="D23" s="365" t="s">
        <v>441</v>
      </c>
      <c r="E23" s="368">
        <f>Thesis!E23</f>
        <v>0.20075184365903009</v>
      </c>
    </row>
    <row r="24" spans="1:6">
      <c r="B24" s="343" t="s">
        <v>343</v>
      </c>
      <c r="C24" s="367">
        <f>E144</f>
        <v>117.044975991238</v>
      </c>
      <c r="D24" s="365" t="s">
        <v>443</v>
      </c>
      <c r="E24" s="368">
        <f>Thesis!E24</f>
        <v>0.1174</v>
      </c>
    </row>
    <row r="25" spans="1:6">
      <c r="B25" s="343" t="s">
        <v>342</v>
      </c>
      <c r="C25" s="367">
        <f>E145</f>
        <v>132.36917905116059</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29781786.120000005</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307809.78987999994</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-2750834.3301200001</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-6757737.9474700009</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31065485.654937759</v>
      </c>
      <c r="D60" s="343" t="str">
        <f>Reporting_currency</f>
        <v>CNY</v>
      </c>
    </row>
    <row r="61" spans="2:6">
      <c r="B61" s="372" t="s">
        <v>213</v>
      </c>
      <c r="C61" s="373">
        <f>Normalized_FCF!C19</f>
        <v>20273213.842410002</v>
      </c>
      <c r="D61" s="343" t="str">
        <f>Reporting_currency</f>
        <v>CNY</v>
      </c>
    </row>
    <row r="62" spans="2:6">
      <c r="B62" s="377" t="s">
        <v>302</v>
      </c>
      <c r="C62" s="378">
        <f>Normalized_FCF!C124</f>
        <v>2.4492528823533834E-2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0.22500000000000001</v>
      </c>
      <c r="D66" s="378">
        <f>Normalized_FCF!G119</f>
        <v>0.18038076539599709</v>
      </c>
    </row>
    <row r="67" spans="1:6">
      <c r="B67" s="382" t="str">
        <f>Normalized_FCF!B116</f>
        <v>Pre-tax Profit/Sales</v>
      </c>
      <c r="C67" s="383">
        <f>Normalized_FCF!E116</f>
        <v>0.12283171396433189</v>
      </c>
      <c r="D67" s="383">
        <f>Normalized_FCF!G116</f>
        <v>9.8473238132392726E-2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-6.1586953974804368</v>
      </c>
      <c r="D79" s="343" t="str">
        <f>Market_currency</f>
        <v>HKD</v>
      </c>
    </row>
    <row r="80" spans="1:6">
      <c r="B80" s="382" t="s">
        <v>309</v>
      </c>
      <c r="C80" s="388">
        <f>IF(BS!G31/BS!G27&gt;300%,"nm",BS!G31/BS!G27)</f>
        <v>0.27660377540313014</v>
      </c>
    </row>
    <row r="81" spans="1:6">
      <c r="B81" s="382" t="s">
        <v>311</v>
      </c>
      <c r="C81" s="389">
        <f>IF(BS!C50&gt;30,"nm",BS!C50)</f>
        <v>1.7116972700897226</v>
      </c>
    </row>
    <row r="83" spans="1:6">
      <c r="B83" s="343" t="s">
        <v>511</v>
      </c>
    </row>
    <row r="84" spans="1:6">
      <c r="B84" s="343" t="s">
        <v>224</v>
      </c>
      <c r="C84" s="373">
        <f>DCF!F5</f>
        <v>68275373.353333354</v>
      </c>
      <c r="D84" s="343" t="str">
        <f>Reporting_currency</f>
        <v>CNY</v>
      </c>
    </row>
    <row r="85" spans="1:6">
      <c r="B85" s="382" t="s">
        <v>481</v>
      </c>
      <c r="C85" s="390">
        <f>BS!C66</f>
        <v>119577005</v>
      </c>
      <c r="D85" s="391" t="str">
        <f>Reporting_currency</f>
        <v>CNY</v>
      </c>
    </row>
    <row r="86" spans="1:6">
      <c r="B86" s="372" t="s">
        <v>235</v>
      </c>
      <c r="C86" s="387">
        <f>C84*scaling_factor*Exchange_Rate/Common_Shares</f>
        <v>8.2485024959183395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6.997307029631008</v>
      </c>
      <c r="D90" s="343" t="str">
        <f>Market_currency</f>
        <v>HKD</v>
      </c>
    </row>
    <row r="92" spans="1:6">
      <c r="B92" s="372" t="s">
        <v>480</v>
      </c>
      <c r="C92" s="387">
        <f>DCF!F8</f>
        <v>9.0871141280689116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3.5671465968101721</v>
      </c>
      <c r="D111" s="343" t="str">
        <f>Market_currency</f>
        <v>HKD</v>
      </c>
    </row>
    <row r="112" spans="1:6">
      <c r="A112" s="385"/>
      <c r="B112" s="372" t="s">
        <v>377</v>
      </c>
      <c r="C112" s="394">
        <f>DCF!C11</f>
        <v>42.869912505356965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10</v>
      </c>
      <c r="E118" s="398" t="str">
        <f>ROUND(DCF!E90,2)&amp;" "&amp;Market_currency</f>
        <v>318.24 HKD</v>
      </c>
      <c r="F118" s="399">
        <f>DCF!F90</f>
        <v>0.05</v>
      </c>
    </row>
    <row r="119" spans="1:6">
      <c r="A119" s="385"/>
      <c r="B119" s="400" t="str">
        <f>DCF!B91</f>
        <v>Optimistic</v>
      </c>
      <c r="C119" s="401">
        <f>DCF!C91</f>
        <v>0.25</v>
      </c>
      <c r="D119" s="402">
        <f>DCF!D91</f>
        <v>10</v>
      </c>
      <c r="E119" s="398" t="str">
        <f>ROUND(DCF!E91,2)&amp;" "&amp;Market_currency</f>
        <v>238.54 HKD</v>
      </c>
      <c r="F119" s="403">
        <f>DCF!F91</f>
        <v>0.18</v>
      </c>
    </row>
    <row r="120" spans="1:6">
      <c r="B120" s="400" t="str">
        <f>DCF!B92</f>
        <v>Base</v>
      </c>
      <c r="C120" s="401">
        <f>DCF!C92</f>
        <v>0.18</v>
      </c>
      <c r="D120" s="402">
        <f>DCF!D92</f>
        <v>10</v>
      </c>
      <c r="E120" s="398" t="str">
        <f>ROUND(DCF!E92,2)&amp;" "&amp;Market_currency</f>
        <v>158.64 HKD</v>
      </c>
      <c r="F120" s="403">
        <f>DCF!F92</f>
        <v>0.53999999999999992</v>
      </c>
    </row>
    <row r="121" spans="1:6">
      <c r="B121" s="400" t="str">
        <f>DCF!B93</f>
        <v>Pessimistic</v>
      </c>
      <c r="C121" s="401">
        <f>DCF!C93</f>
        <v>0.08</v>
      </c>
      <c r="D121" s="402">
        <f>DCF!D93</f>
        <v>10</v>
      </c>
      <c r="E121" s="398" t="str">
        <f>ROUND(DCF!E93,2)&amp;" "&amp;Market_currency</f>
        <v>88.65 HKD</v>
      </c>
      <c r="F121" s="403">
        <f>DCF!F93</f>
        <v>0.18</v>
      </c>
    </row>
    <row r="122" spans="1:6">
      <c r="B122" s="400" t="str">
        <f>DCF!B94</f>
        <v>Devil's advocate</v>
      </c>
      <c r="C122" s="401">
        <f>DCF!C94</f>
        <v>0</v>
      </c>
      <c r="D122" s="402">
        <f>DCF!D94</f>
        <v>10</v>
      </c>
      <c r="E122" s="398" t="str">
        <f>ROUND(DCF!E94,2)&amp;" "&amp;Market_currency</f>
        <v>56.51 HKD</v>
      </c>
      <c r="F122" s="403">
        <f>DCF!F94</f>
        <v>0.05</v>
      </c>
    </row>
    <row r="124" spans="1:6">
      <c r="B124" s="470" t="s">
        <v>518</v>
      </c>
      <c r="C124" s="470"/>
      <c r="D124" s="470"/>
      <c r="E124" s="470"/>
      <c r="F124" s="470"/>
    </row>
    <row r="125" spans="1:6">
      <c r="B125" s="372" t="s">
        <v>218</v>
      </c>
      <c r="C125" s="404">
        <f>Scenarios!C36</f>
        <v>163.2972149855116</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75.25217280438325</v>
      </c>
      <c r="E140" s="410">
        <f>Scenarios!E62</f>
        <v>75.25217280438325</v>
      </c>
      <c r="F140" s="411">
        <f>E22</f>
        <v>0.29465259038036606</v>
      </c>
    </row>
    <row r="141" spans="1:6">
      <c r="B141" s="408" t="s">
        <v>313</v>
      </c>
      <c r="C141" s="409">
        <f>Scenarios!C63</f>
        <v>0</v>
      </c>
      <c r="D141" s="409">
        <f>Scenarios!D63</f>
        <v>94.323301074663775</v>
      </c>
      <c r="E141" s="410">
        <f>Scenarios!E63</f>
        <v>94.323301074663775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117.044975991238</v>
      </c>
      <c r="E144" s="410">
        <f>Scenarios!E66</f>
        <v>117.044975991238</v>
      </c>
      <c r="F144" s="411">
        <f>E24</f>
        <v>0.1174</v>
      </c>
    </row>
    <row r="145" spans="1:6">
      <c r="B145" s="408" t="s">
        <v>314</v>
      </c>
      <c r="C145" s="409">
        <f>Scenarios!C67</f>
        <v>0</v>
      </c>
      <c r="D145" s="409">
        <f>Scenarios!D67</f>
        <v>132.36917905116059</v>
      </c>
      <c r="E145" s="410">
        <f>Scenarios!E67</f>
        <v>132.36917905116059</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2026-01-16T15:18:28Z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