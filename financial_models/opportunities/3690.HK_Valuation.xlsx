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E605125-899B-4616-B581-3D7DFFAA21D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DCF!$B$73:$J$73</definedName>
    <definedName name="Common_Shares">Thesis!$C$6</definedName>
    <definedName name="dividend_tax_rate">Normalized_FCF!$C$91</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I3" i="9" l="1"/>
  <c r="I7" i="9"/>
  <c r="I8" i="9"/>
  <c r="I9" i="9"/>
  <c r="I10" i="9"/>
  <c r="C46" i="9"/>
  <c r="H11" i="8"/>
  <c r="H9" i="8" s="1"/>
  <c r="C65" i="9" s="1"/>
  <c r="D51" i="8" l="1"/>
  <c r="C16" i="8" l="1"/>
  <c r="H12" i="8" s="1"/>
  <c r="I18" i="8"/>
  <c r="F18" i="8"/>
  <c r="G17" i="3"/>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89" i="2"/>
  <c r="B88" i="2"/>
  <c r="Q88" i="2"/>
  <c r="B75" i="6"/>
  <c r="B76" i="6"/>
  <c r="B74" i="6"/>
  <c r="F4" i="8"/>
  <c r="C146" i="12" l="1"/>
  <c r="B163" i="12"/>
  <c r="B164" i="12"/>
  <c r="B171" i="12"/>
  <c r="C85" i="12"/>
  <c r="C86" i="12" s="1"/>
  <c r="C15" i="12"/>
  <c r="B147" i="12"/>
  <c r="B172" i="12"/>
  <c r="B148" i="12"/>
  <c r="B155" i="12"/>
  <c r="B156" i="12"/>
  <c r="D36" i="4"/>
  <c r="E36" i="4"/>
  <c r="F36" i="4"/>
  <c r="D37" i="4"/>
  <c r="E37" i="4"/>
  <c r="F37" i="4"/>
  <c r="F38" i="4" l="1"/>
  <c r="E38" i="4"/>
  <c r="D38" i="4"/>
  <c r="B26" i="6"/>
  <c r="C85" i="9"/>
  <c r="C84" i="6"/>
  <c r="C85" i="6"/>
  <c r="C86" i="6" s="1"/>
  <c r="C170" i="6"/>
  <c r="D174" i="6"/>
  <c r="C174" i="6"/>
  <c r="C107" i="9"/>
  <c r="M62" i="4"/>
  <c r="D145" i="6"/>
  <c r="D28" i="6" s="1"/>
  <c r="E25" i="6"/>
  <c r="D25" i="6"/>
  <c r="D166" i="6"/>
  <c r="D158" i="6"/>
  <c r="D150" i="6"/>
  <c r="C145" i="6"/>
  <c r="C28" i="6" s="1"/>
  <c r="D15" i="6"/>
  <c r="C166" i="6"/>
  <c r="C158" i="6"/>
  <c r="C150" i="6"/>
  <c r="D14" i="6"/>
  <c r="C14" i="6"/>
  <c r="C5" i="8" l="1"/>
  <c r="C95" i="9"/>
  <c r="D98" i="9"/>
  <c r="C154" i="6" l="1"/>
  <c r="C154" i="12"/>
  <c r="C101" i="9"/>
  <c r="C39" i="6"/>
  <c r="H1" i="3"/>
  <c r="C3" i="2"/>
  <c r="C3" i="8"/>
  <c r="C146" i="6"/>
  <c r="D119" i="6"/>
  <c r="C69" i="9"/>
  <c r="M69" i="4"/>
  <c r="M70" i="4"/>
  <c r="M71" i="4"/>
  <c r="M72" i="4"/>
  <c r="C32" i="4"/>
  <c r="C30" i="4"/>
  <c r="C29" i="4"/>
  <c r="C28" i="4"/>
  <c r="D64" i="4"/>
  <c r="E64" i="4"/>
  <c r="F64" i="4"/>
  <c r="G64" i="4"/>
  <c r="H64" i="4"/>
  <c r="I64" i="4"/>
  <c r="J64" i="4"/>
  <c r="K64" i="4"/>
  <c r="L64" i="4"/>
  <c r="M64" i="4"/>
  <c r="C64" i="4"/>
  <c r="E83" i="2"/>
  <c r="E84" i="2"/>
  <c r="D52" i="6"/>
  <c r="D51" i="6"/>
  <c r="F60" i="9"/>
  <c r="C162" i="6" l="1"/>
  <c r="C162" i="12"/>
  <c r="C40" i="3"/>
  <c r="C8" i="6" l="1"/>
  <c r="C76" i="9"/>
  <c r="D71" i="9"/>
  <c r="D18" i="8"/>
  <c r="D22" i="9"/>
  <c r="D21" i="9"/>
  <c r="D9" i="9"/>
  <c r="D91" i="9"/>
  <c r="C91" i="9"/>
  <c r="C81" i="9"/>
  <c r="E87" i="3"/>
  <c r="E88" i="3"/>
  <c r="E89" i="3"/>
  <c r="E86" i="3"/>
  <c r="D114" i="6" l="1"/>
  <c r="D110" i="6"/>
  <c r="D103" i="6"/>
  <c r="D93" i="6"/>
  <c r="E7" i="9"/>
  <c r="D8" i="9"/>
  <c r="D7" i="9"/>
  <c r="C21" i="9"/>
  <c r="D67" i="6"/>
  <c r="B123" i="2"/>
  <c r="C141" i="6"/>
  <c r="C142" i="6"/>
  <c r="D108" i="6"/>
  <c r="D118" i="6"/>
  <c r="D143" i="6"/>
  <c r="D132" i="6"/>
  <c r="F78" i="8"/>
  <c r="F130" i="12" s="1"/>
  <c r="F74" i="8"/>
  <c r="D113" i="6"/>
  <c r="D109" i="6"/>
  <c r="D102" i="6"/>
  <c r="D68" i="6"/>
  <c r="D56" i="6"/>
  <c r="B81"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12" i="9"/>
  <c r="D7" i="8"/>
  <c r="D8" i="8"/>
  <c r="D9" i="8"/>
  <c r="D6" i="8"/>
  <c r="Q96" i="2" l="1"/>
  <c r="G38" i="3"/>
  <c r="G37" i="3"/>
  <c r="D81" i="3"/>
  <c r="D80" i="3"/>
  <c r="C81" i="3"/>
  <c r="C80" i="3"/>
  <c r="C69" i="3"/>
  <c r="H24" i="3" l="1"/>
  <c r="C37"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C9" i="8" s="1"/>
  <c r="C79" i="3"/>
  <c r="C82" i="3" s="1"/>
  <c r="G42" i="3" s="1"/>
  <c r="B47" i="3"/>
  <c r="D88" i="9"/>
  <c r="D82" i="9"/>
  <c r="D60" i="9"/>
  <c r="D57" i="9"/>
  <c r="D51" i="9"/>
  <c r="D42" i="9"/>
  <c r="D39" i="9"/>
  <c r="D27" i="9"/>
  <c r="D33" i="9"/>
  <c r="D12" i="8"/>
  <c r="C11" i="8"/>
  <c r="D10" i="8"/>
  <c r="B78" i="8"/>
  <c r="B77" i="8"/>
  <c r="B76" i="8"/>
  <c r="B75" i="8"/>
  <c r="B74" i="8"/>
  <c r="C74" i="8"/>
  <c r="C126" i="12" s="1"/>
  <c r="C55" i="9"/>
  <c r="C49" i="9"/>
  <c r="C40" i="9"/>
  <c r="E55" i="4"/>
  <c r="I57" i="2" s="1"/>
  <c r="F55" i="4"/>
  <c r="J57" i="2" s="1"/>
  <c r="G55" i="4"/>
  <c r="K57" i="2" s="1"/>
  <c r="H55" i="4"/>
  <c r="L57" i="2" s="1"/>
  <c r="I55" i="4"/>
  <c r="M57" i="2" s="1"/>
  <c r="J55" i="4"/>
  <c r="N57" i="2" s="1"/>
  <c r="K55" i="4"/>
  <c r="O57" i="2" s="1"/>
  <c r="L55" i="4"/>
  <c r="P57" i="2" s="1"/>
  <c r="M55" i="4"/>
  <c r="Q57" i="2" s="1"/>
  <c r="D55" i="4"/>
  <c r="H57" i="2" s="1"/>
  <c r="C55" i="4"/>
  <c r="G57" i="2" s="1"/>
  <c r="G30" i="3"/>
  <c r="H12" i="3"/>
  <c r="C68" i="3"/>
  <c r="C66" i="2"/>
  <c r="C58" i="2" s="1"/>
  <c r="B130" i="6" l="1"/>
  <c r="B130" i="12"/>
  <c r="B128" i="6"/>
  <c r="B128" i="12"/>
  <c r="B126" i="6"/>
  <c r="B126" i="12"/>
  <c r="B129" i="6"/>
  <c r="B129" i="12"/>
  <c r="B127" i="6"/>
  <c r="B127" i="12"/>
  <c r="C88" i="3"/>
  <c r="D88" i="3" s="1"/>
  <c r="C113" i="12"/>
  <c r="C114" i="12" s="1"/>
  <c r="F75" i="8"/>
  <c r="D74" i="8"/>
  <c r="F55" i="8"/>
  <c r="F64" i="8" s="1"/>
  <c r="C126" i="6"/>
  <c r="C113" i="6"/>
  <c r="C114" i="6" s="1"/>
  <c r="G65" i="2"/>
  <c r="C65" i="2" s="1"/>
  <c r="C57" i="2" s="1"/>
  <c r="D126" i="6" l="1"/>
  <c r="D126" i="12"/>
  <c r="F127" i="6"/>
  <c r="F127" i="12"/>
  <c r="C77" i="8"/>
  <c r="C129" i="12" s="1"/>
  <c r="C31" i="9"/>
  <c r="D78" i="8"/>
  <c r="C25" i="9"/>
  <c r="C76" i="8"/>
  <c r="C128" i="12" s="1"/>
  <c r="C78" i="8"/>
  <c r="C130" i="12" s="1"/>
  <c r="D75" i="8"/>
  <c r="C75" i="8"/>
  <c r="C127" i="12" s="1"/>
  <c r="C17" i="8"/>
  <c r="H10" i="8" s="1"/>
  <c r="Q95" i="2"/>
  <c r="G51" i="8"/>
  <c r="A71" i="8"/>
  <c r="A70" i="8"/>
  <c r="A50" i="8" l="1"/>
  <c r="A42" i="8"/>
  <c r="A34" i="8"/>
  <c r="A26" i="8"/>
  <c r="D35" i="8"/>
  <c r="D43" i="8"/>
  <c r="A29" i="8"/>
  <c r="D40" i="8"/>
  <c r="A49" i="8"/>
  <c r="A41" i="8"/>
  <c r="A33" i="8"/>
  <c r="A25" i="8"/>
  <c r="D36" i="8"/>
  <c r="D44" i="8"/>
  <c r="D48" i="8"/>
  <c r="A48" i="8"/>
  <c r="A40" i="8"/>
  <c r="A32" i="8"/>
  <c r="A24" i="8"/>
  <c r="D37" i="8"/>
  <c r="D45" i="8"/>
  <c r="A46" i="8"/>
  <c r="A30" i="8"/>
  <c r="A22" i="8"/>
  <c r="D31" i="8"/>
  <c r="D47" i="8"/>
  <c r="A37" i="8"/>
  <c r="A47" i="8"/>
  <c r="A39" i="8"/>
  <c r="A31" i="8"/>
  <c r="A23" i="8"/>
  <c r="D38" i="8"/>
  <c r="D46" i="8"/>
  <c r="A38" i="8"/>
  <c r="D39" i="8"/>
  <c r="A45" i="8"/>
  <c r="D32" i="8"/>
  <c r="A44" i="8"/>
  <c r="A36" i="8"/>
  <c r="A28" i="8"/>
  <c r="D33" i="8"/>
  <c r="D41" i="8"/>
  <c r="D49" i="8"/>
  <c r="A43" i="8"/>
  <c r="A35" i="8"/>
  <c r="A27" i="8"/>
  <c r="A21" i="8"/>
  <c r="G21" i="8" s="1"/>
  <c r="D34" i="8"/>
  <c r="D42" i="8"/>
  <c r="D50" i="8"/>
  <c r="D30" i="8"/>
  <c r="D130" i="6"/>
  <c r="D130" i="12"/>
  <c r="D127" i="6"/>
  <c r="D127" i="12"/>
  <c r="D77" i="8"/>
  <c r="D76" i="8"/>
  <c r="C59" i="2"/>
  <c r="C61" i="2" s="1"/>
  <c r="D55" i="8"/>
  <c r="C128" i="6"/>
  <c r="B55" i="8"/>
  <c r="B64" i="8" s="1"/>
  <c r="C130" i="6"/>
  <c r="C55" i="8"/>
  <c r="C129" i="6"/>
  <c r="E55" i="8"/>
  <c r="C127" i="6"/>
  <c r="H35" i="3"/>
  <c r="H40" i="3"/>
  <c r="H41" i="3" s="1"/>
  <c r="H51" i="8"/>
  <c r="H22" i="8"/>
  <c r="H28" i="8"/>
  <c r="H27" i="8"/>
  <c r="H39" i="8"/>
  <c r="H38" i="8"/>
  <c r="H21" i="8"/>
  <c r="H43" i="8"/>
  <c r="H29" i="8"/>
  <c r="H47" i="8"/>
  <c r="H37" i="8"/>
  <c r="H46" i="8"/>
  <c r="H35" i="8"/>
  <c r="H45" i="8"/>
  <c r="H31" i="8"/>
  <c r="H36" i="8"/>
  <c r="H44" i="8"/>
  <c r="H30" i="8"/>
  <c r="H50" i="8"/>
  <c r="H42" i="8"/>
  <c r="H34" i="8"/>
  <c r="H26" i="8"/>
  <c r="H49" i="8"/>
  <c r="H41" i="8"/>
  <c r="H33" i="8"/>
  <c r="H25" i="8"/>
  <c r="H48" i="8"/>
  <c r="H40" i="8"/>
  <c r="H32" i="8"/>
  <c r="H24" i="8"/>
  <c r="H23" i="8"/>
  <c r="E36" i="8" l="1"/>
  <c r="F36" i="8"/>
  <c r="E44" i="8"/>
  <c r="F44" i="8"/>
  <c r="E46" i="8"/>
  <c r="F46" i="8"/>
  <c r="E39" i="8"/>
  <c r="F39" i="8"/>
  <c r="E43" i="8"/>
  <c r="F43" i="8"/>
  <c r="E45" i="8"/>
  <c r="F45" i="8"/>
  <c r="E47" i="8"/>
  <c r="F47" i="8"/>
  <c r="E37" i="8"/>
  <c r="F37" i="8"/>
  <c r="E38" i="8"/>
  <c r="F38" i="8"/>
  <c r="E41" i="8"/>
  <c r="F41" i="8"/>
  <c r="E42" i="8"/>
  <c r="F42" i="8"/>
  <c r="E48" i="8"/>
  <c r="F48" i="8"/>
  <c r="E40" i="8"/>
  <c r="F40" i="8"/>
  <c r="E49" i="8"/>
  <c r="F49" i="8"/>
  <c r="E50" i="8"/>
  <c r="F50" i="8"/>
  <c r="G28" i="8"/>
  <c r="G30" i="8"/>
  <c r="G29" i="8"/>
  <c r="G31" i="8"/>
  <c r="G35" i="8"/>
  <c r="G33" i="8"/>
  <c r="G34" i="8"/>
  <c r="G32" i="8"/>
  <c r="G25" i="8"/>
  <c r="G24" i="8"/>
  <c r="G48" i="8"/>
  <c r="C48" i="8"/>
  <c r="G36" i="8"/>
  <c r="C36" i="8"/>
  <c r="G27" i="8"/>
  <c r="G44" i="8"/>
  <c r="C44" i="8"/>
  <c r="G46" i="8"/>
  <c r="C46" i="8"/>
  <c r="G39" i="8"/>
  <c r="C39" i="8"/>
  <c r="G43" i="8"/>
  <c r="C43" i="8"/>
  <c r="G45" i="8"/>
  <c r="C45" i="8"/>
  <c r="G47" i="8"/>
  <c r="C47" i="8"/>
  <c r="G26" i="8"/>
  <c r="G37" i="8"/>
  <c r="C37" i="8"/>
  <c r="G38" i="8"/>
  <c r="C38" i="8"/>
  <c r="G41" i="8"/>
  <c r="C41" i="8"/>
  <c r="G42" i="8"/>
  <c r="C42" i="8"/>
  <c r="G40" i="8"/>
  <c r="C40" i="8"/>
  <c r="G49" i="8"/>
  <c r="C49" i="8"/>
  <c r="G50" i="8"/>
  <c r="C50" i="8"/>
  <c r="G23" i="8"/>
  <c r="G22" i="8"/>
  <c r="E21" i="8"/>
  <c r="D128" i="6"/>
  <c r="D128" i="12"/>
  <c r="D129" i="6"/>
  <c r="D129" i="12"/>
  <c r="C11" i="2"/>
  <c r="H32" i="3"/>
  <c r="H27" i="3" s="1"/>
  <c r="H29" i="3" s="1"/>
  <c r="D46" i="3" s="1"/>
  <c r="D47" i="3" s="1"/>
  <c r="D64" i="8"/>
  <c r="E64" i="8"/>
  <c r="A67" i="8"/>
  <c r="A68" i="8"/>
  <c r="A69" i="8"/>
  <c r="A66" i="8"/>
  <c r="D4" i="8"/>
  <c r="E22" i="8" l="1"/>
  <c r="E23" i="8" s="1"/>
  <c r="E24" i="8" s="1"/>
  <c r="E25" i="8" s="1"/>
  <c r="E26" i="8" s="1"/>
  <c r="E27" i="8" s="1"/>
  <c r="E28" i="8" s="1"/>
  <c r="E29" i="8" s="1"/>
  <c r="E30" i="8" s="1"/>
  <c r="E31" i="8" s="1"/>
  <c r="E32" i="8" s="1"/>
  <c r="E33" i="8" s="1"/>
  <c r="E34" i="8" s="1"/>
  <c r="E35" i="8" s="1"/>
  <c r="E51" i="8" s="1"/>
  <c r="C48" i="6"/>
  <c r="C48" i="12"/>
  <c r="C119" i="6"/>
  <c r="C119" i="12"/>
  <c r="I65" i="4"/>
  <c r="M88" i="2" s="1"/>
  <c r="J65" i="4"/>
  <c r="N88" i="2" s="1"/>
  <c r="K65" i="4"/>
  <c r="O88" i="2" s="1"/>
  <c r="L65" i="4"/>
  <c r="P88" i="2" s="1"/>
  <c r="M65" i="4"/>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82" i="9" l="1"/>
  <c r="C92"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7" i="2" s="1"/>
  <c r="C108" i="6"/>
  <c r="J45" i="4"/>
  <c r="I45" i="4"/>
  <c r="G35" i="3"/>
  <c r="G40" i="3"/>
  <c r="D58" i="3"/>
  <c r="D76" i="4"/>
  <c r="C45" i="4"/>
  <c r="F45" i="4"/>
  <c r="D45" i="4"/>
  <c r="G45" i="4"/>
  <c r="E45" i="4"/>
  <c r="H45" i="4"/>
  <c r="I41" i="4"/>
  <c r="J41" i="4"/>
  <c r="K41" i="4"/>
  <c r="L41" i="4"/>
  <c r="M41" i="4"/>
  <c r="D41" i="4"/>
  <c r="G36" i="4"/>
  <c r="H36" i="4"/>
  <c r="I36" i="4"/>
  <c r="J36" i="4"/>
  <c r="K36" i="4"/>
  <c r="L36" i="4"/>
  <c r="M36" i="4"/>
  <c r="C36" i="4"/>
  <c r="B31" i="2"/>
  <c r="B30" i="2"/>
  <c r="C143" i="12" l="1"/>
  <c r="I4" i="9"/>
  <c r="I5" i="9"/>
  <c r="C96" i="9"/>
  <c r="C108" i="9"/>
  <c r="C70" i="6"/>
  <c r="C89" i="2"/>
  <c r="C143" i="6"/>
  <c r="C102" i="9"/>
  <c r="G72" i="4"/>
  <c r="I72" i="4"/>
  <c r="F72" i="4"/>
  <c r="E72" i="4"/>
  <c r="D72" i="4"/>
  <c r="J72" i="4"/>
  <c r="H72" i="4"/>
  <c r="L69" i="4"/>
  <c r="L70" i="4"/>
  <c r="L72" i="4"/>
  <c r="L71" i="4"/>
  <c r="K72" i="4"/>
  <c r="C72" i="4"/>
  <c r="C86" i="9"/>
  <c r="C9"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I35" i="2" l="1"/>
  <c r="I26" i="2"/>
  <c r="G35" i="2"/>
  <c r="C35" i="2" s="1"/>
  <c r="G26" i="2"/>
  <c r="K35" i="2"/>
  <c r="K26" i="2"/>
  <c r="K32" i="2" s="1"/>
  <c r="Q35" i="2"/>
  <c r="Q26" i="2"/>
  <c r="Q5" i="2" s="1"/>
  <c r="P96" i="2" s="1"/>
  <c r="J35" i="2"/>
  <c r="J26" i="2"/>
  <c r="L35" i="2"/>
  <c r="L26" i="2"/>
  <c r="N26" i="2"/>
  <c r="N35" i="2"/>
  <c r="N7" i="2" s="1"/>
  <c r="N73" i="2" s="1"/>
  <c r="P26" i="2"/>
  <c r="P35" i="2"/>
  <c r="P7" i="2" s="1"/>
  <c r="P73" i="2" s="1"/>
  <c r="O26" i="2"/>
  <c r="O35" i="2"/>
  <c r="M26" i="2"/>
  <c r="M35" i="2"/>
  <c r="H26" i="2"/>
  <c r="H35" i="2"/>
  <c r="H38" i="2" s="1"/>
  <c r="Q90" i="2"/>
  <c r="Q92" i="2"/>
  <c r="G92" i="2"/>
  <c r="C4" i="2"/>
  <c r="C25" i="2" s="1"/>
  <c r="F71" i="4"/>
  <c r="M92" i="2"/>
  <c r="N92" i="2"/>
  <c r="P92" i="2"/>
  <c r="O92" i="2"/>
  <c r="L92" i="2"/>
  <c r="J92" i="2"/>
  <c r="I92" i="2"/>
  <c r="K92" i="2"/>
  <c r="C44" i="6"/>
  <c r="C44" i="12"/>
  <c r="H92" i="2"/>
  <c r="C147" i="6"/>
  <c r="C147" i="12"/>
  <c r="C163" i="6"/>
  <c r="C163" i="12"/>
  <c r="C171" i="6"/>
  <c r="C171" i="12"/>
  <c r="C155" i="6"/>
  <c r="C155" i="12"/>
  <c r="Q119" i="2"/>
  <c r="Q116" i="2"/>
  <c r="Q117"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2" i="2" s="1"/>
  <c r="Q79" i="2"/>
  <c r="Q41" i="2"/>
  <c r="C12" i="9"/>
  <c r="H100" i="2"/>
  <c r="P100" i="2"/>
  <c r="P118" i="2" s="1"/>
  <c r="M100" i="2"/>
  <c r="M117" i="2" s="1"/>
  <c r="N100" i="2"/>
  <c r="N117" i="2" s="1"/>
  <c r="Q53" i="2"/>
  <c r="Q123" i="2"/>
  <c r="Q124" i="2"/>
  <c r="Q100" i="2"/>
  <c r="K100" i="2"/>
  <c r="K117" i="2" s="1"/>
  <c r="I100" i="2"/>
  <c r="O100" i="2"/>
  <c r="O118" i="2" s="1"/>
  <c r="J100" i="2"/>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11" i="2" s="1"/>
  <c r="G59" i="2"/>
  <c r="I59" i="2"/>
  <c r="I11" i="2" s="1"/>
  <c r="Q59" i="2"/>
  <c r="Q11" i="2" s="1"/>
  <c r="Q61" i="2"/>
  <c r="M59" i="2"/>
  <c r="P59" i="2"/>
  <c r="P11" i="2" s="1"/>
  <c r="P77" i="2" s="1"/>
  <c r="J59" i="2"/>
  <c r="J11" i="2" s="1"/>
  <c r="N59" i="2"/>
  <c r="K59" i="2"/>
  <c r="K11" i="2" s="1"/>
  <c r="O59" i="2"/>
  <c r="O11" i="2" s="1"/>
  <c r="O77" i="2" s="1"/>
  <c r="L59" i="2"/>
  <c r="L11" i="2" s="1"/>
  <c r="F58" i="4"/>
  <c r="J60" i="2" s="1"/>
  <c r="D58" i="4"/>
  <c r="H60" i="2" s="1"/>
  <c r="G58" i="4"/>
  <c r="H44" i="4"/>
  <c r="E44" i="4"/>
  <c r="C44" i="4"/>
  <c r="Q13" i="2"/>
  <c r="Q16" i="2"/>
  <c r="C104" i="2"/>
  <c r="G51" i="2"/>
  <c r="M95" i="2"/>
  <c r="O95" i="2"/>
  <c r="P95" i="2"/>
  <c r="N95" i="2"/>
  <c r="L95" i="2"/>
  <c r="G95" i="2"/>
  <c r="I95" i="2"/>
  <c r="C100" i="2"/>
  <c r="D59" i="3"/>
  <c r="K95" i="2"/>
  <c r="H95" i="2"/>
  <c r="J95" i="2"/>
  <c r="Q118" i="2"/>
  <c r="Q107" i="2"/>
  <c r="Q108" i="2"/>
  <c r="K80" i="2"/>
  <c r="Q77" i="2"/>
  <c r="J30" i="2"/>
  <c r="P81" i="2"/>
  <c r="G76" i="2"/>
  <c r="G101" i="2"/>
  <c r="G107" i="2" s="1"/>
  <c r="G102" i="2"/>
  <c r="G108" i="2" s="1"/>
  <c r="L81" i="2"/>
  <c r="J75" i="2"/>
  <c r="P75" i="2"/>
  <c r="I32" i="2"/>
  <c r="Q7" i="2"/>
  <c r="Q75" i="2"/>
  <c r="H30" i="2"/>
  <c r="Q6" i="2"/>
  <c r="Q81" i="2"/>
  <c r="Q73" i="2"/>
  <c r="Q85" i="2"/>
  <c r="I80" i="2"/>
  <c r="Q82" i="2"/>
  <c r="Q78" i="2"/>
  <c r="Q80" i="2"/>
  <c r="Q71" i="2"/>
  <c r="Q30" i="2"/>
  <c r="Q74" i="2"/>
  <c r="Q38" i="2"/>
  <c r="Q31" i="2"/>
  <c r="Q32" i="2"/>
  <c r="Q29" i="2"/>
  <c r="Q72" i="2"/>
  <c r="Q76" i="2"/>
  <c r="J38" i="2"/>
  <c r="I30" i="2"/>
  <c r="H31" i="2"/>
  <c r="H80" i="2"/>
  <c r="I31" i="2"/>
  <c r="H81" i="2"/>
  <c r="H75" i="2"/>
  <c r="H76" i="2"/>
  <c r="I76" i="2"/>
  <c r="H29" i="2"/>
  <c r="I75" i="2"/>
  <c r="I29" i="2"/>
  <c r="H32" i="2"/>
  <c r="I81" i="2"/>
  <c r="J31" i="2"/>
  <c r="L76" i="2"/>
  <c r="J81" i="2"/>
  <c r="J76" i="2"/>
  <c r="J32" i="2"/>
  <c r="J29" i="2"/>
  <c r="L29" i="2"/>
  <c r="L32" i="2"/>
  <c r="L38" i="2"/>
  <c r="J80" i="2"/>
  <c r="L80" i="2"/>
  <c r="L75" i="2"/>
  <c r="L30" i="2"/>
  <c r="G38" i="2"/>
  <c r="L31" i="2"/>
  <c r="G81" i="2"/>
  <c r="G75" i="2"/>
  <c r="G31" i="2"/>
  <c r="G80" i="2"/>
  <c r="K29" i="2"/>
  <c r="K30" i="2"/>
  <c r="K75" i="2"/>
  <c r="G30" i="2"/>
  <c r="P31" i="2"/>
  <c r="P5" i="2"/>
  <c r="P80" i="2"/>
  <c r="P30" i="2"/>
  <c r="G29" i="2"/>
  <c r="P29" i="2"/>
  <c r="K31" i="2"/>
  <c r="K81" i="2"/>
  <c r="P76" i="2"/>
  <c r="K76" i="2"/>
  <c r="B1" i="4"/>
  <c r="O76" i="2"/>
  <c r="O75" i="2"/>
  <c r="O81" i="2"/>
  <c r="M76" i="2"/>
  <c r="M81" i="2"/>
  <c r="M75" i="2"/>
  <c r="N76" i="2"/>
  <c r="N81" i="2"/>
  <c r="N75" i="2"/>
  <c r="I38" i="2"/>
  <c r="M80" i="2"/>
  <c r="M31" i="2"/>
  <c r="M7" i="2"/>
  <c r="M73" i="2" s="1"/>
  <c r="M29" i="2"/>
  <c r="M30" i="2"/>
  <c r="M5" i="2"/>
  <c r="N29" i="2"/>
  <c r="N80" i="2"/>
  <c r="N31" i="2"/>
  <c r="N5" i="2"/>
  <c r="N30" i="2"/>
  <c r="O31" i="2"/>
  <c r="O30" i="2"/>
  <c r="O5" i="2"/>
  <c r="O6" i="2" s="1"/>
  <c r="O7" i="2"/>
  <c r="O73" i="2" s="1"/>
  <c r="O80" i="2"/>
  <c r="O29" i="2"/>
  <c r="F16" i="8" l="1"/>
  <c r="C21" i="8" s="1"/>
  <c r="C22" i="8" s="1"/>
  <c r="O117" i="2"/>
  <c r="P117" i="2"/>
  <c r="O32" i="2"/>
  <c r="O72" i="2"/>
  <c r="O8" i="2"/>
  <c r="H58" i="4"/>
  <c r="L60" i="2" s="1"/>
  <c r="G71" i="4"/>
  <c r="H71" i="4"/>
  <c r="O38" i="2"/>
  <c r="O61" i="2"/>
  <c r="O71" i="2"/>
  <c r="C58" i="4"/>
  <c r="G60" i="2" s="1"/>
  <c r="G61" i="2" s="1"/>
  <c r="C71" i="4"/>
  <c r="E58" i="4"/>
  <c r="I60" i="2" s="1"/>
  <c r="E71" i="4"/>
  <c r="D71" i="4"/>
  <c r="G104" i="2"/>
  <c r="G100" i="2" s="1"/>
  <c r="G118" i="2" s="1"/>
  <c r="P38" i="2"/>
  <c r="P32" i="2"/>
  <c r="P61" i="2"/>
  <c r="P6" i="2"/>
  <c r="P71" i="2"/>
  <c r="C23" i="2"/>
  <c r="C26" i="2" s="1"/>
  <c r="C47" i="2"/>
  <c r="C24" i="2"/>
  <c r="C109" i="2"/>
  <c r="G32" i="2"/>
  <c r="C17" i="2"/>
  <c r="M61" i="2"/>
  <c r="M11" i="2"/>
  <c r="N61" i="2"/>
  <c r="N11" i="2"/>
  <c r="G67" i="2"/>
  <c r="G11" i="2"/>
  <c r="N71" i="2"/>
  <c r="M6" i="2"/>
  <c r="M8" i="2" s="1"/>
  <c r="C95" i="2"/>
  <c r="J61" i="2"/>
  <c r="J77" i="2" s="1"/>
  <c r="H61" i="2"/>
  <c r="H77" i="2" s="1"/>
  <c r="N38" i="2"/>
  <c r="N118" i="2"/>
  <c r="M118" i="2"/>
  <c r="M38" i="2"/>
  <c r="N6" i="2"/>
  <c r="N8" i="2" s="1"/>
  <c r="M32" i="2"/>
  <c r="M71" i="2"/>
  <c r="N32" i="2"/>
  <c r="K60" i="2"/>
  <c r="C118" i="2"/>
  <c r="C55" i="3"/>
  <c r="L118" i="2"/>
  <c r="J118" i="2"/>
  <c r="H118" i="2"/>
  <c r="K118" i="2"/>
  <c r="I118" i="2"/>
  <c r="H5" i="2"/>
  <c r="I5" i="2"/>
  <c r="C107" i="2"/>
  <c r="C108" i="2"/>
  <c r="K5" i="2"/>
  <c r="J7" i="2"/>
  <c r="J73" i="2" s="1"/>
  <c r="C75" i="2"/>
  <c r="C76" i="2" s="1"/>
  <c r="I16" i="8" s="1"/>
  <c r="L5" i="2"/>
  <c r="G7" i="2"/>
  <c r="G73" i="2" s="1"/>
  <c r="J5" i="2"/>
  <c r="L7" i="2"/>
  <c r="L73" i="2" s="1"/>
  <c r="H7" i="2"/>
  <c r="H73" i="2" s="1"/>
  <c r="G5" i="2"/>
  <c r="G71" i="2" s="1"/>
  <c r="K7" i="2"/>
  <c r="K73" i="2" s="1"/>
  <c r="K38" i="2"/>
  <c r="I7" i="2"/>
  <c r="I73" i="2" s="1"/>
  <c r="C7" i="2"/>
  <c r="C23" i="8" l="1"/>
  <c r="C76" i="6"/>
  <c r="C76" i="12"/>
  <c r="D76" i="6"/>
  <c r="D76" i="12"/>
  <c r="C62" i="6"/>
  <c r="C62" i="12"/>
  <c r="M72" i="2"/>
  <c r="O53" i="2"/>
  <c r="O74" i="2"/>
  <c r="M53" i="2"/>
  <c r="M77" i="2"/>
  <c r="P72" i="2"/>
  <c r="P8" i="2"/>
  <c r="N77" i="2"/>
  <c r="N53" i="2"/>
  <c r="C10" i="2"/>
  <c r="C45" i="12" s="1"/>
  <c r="K71" i="2"/>
  <c r="I71" i="2"/>
  <c r="H71" i="2"/>
  <c r="J71" i="2"/>
  <c r="L71" i="2"/>
  <c r="L61" i="2"/>
  <c r="L77" i="2" s="1"/>
  <c r="K61" i="2"/>
  <c r="K77" i="2" s="1"/>
  <c r="I61" i="2"/>
  <c r="I77" i="2" s="1"/>
  <c r="N72" i="2"/>
  <c r="C77" i="2"/>
  <c r="H6" i="2"/>
  <c r="H8" i="2" s="1"/>
  <c r="K6" i="2"/>
  <c r="K8" i="2" s="1"/>
  <c r="G6" i="2"/>
  <c r="G8" i="2" s="1"/>
  <c r="I6" i="2"/>
  <c r="I8" i="2" s="1"/>
  <c r="L6" i="2"/>
  <c r="L8" i="2" s="1"/>
  <c r="J6" i="2"/>
  <c r="J8" i="2" s="1"/>
  <c r="C73" i="2"/>
  <c r="C38" i="2"/>
  <c r="C24" i="8" l="1"/>
  <c r="L53" i="2"/>
  <c r="P53" i="2"/>
  <c r="P74" i="2"/>
  <c r="C32" i="2"/>
  <c r="F17" i="8" s="1"/>
  <c r="C5" i="2"/>
  <c r="C6" i="2" s="1"/>
  <c r="C8" i="2" s="1"/>
  <c r="C41" i="12" s="1"/>
  <c r="C45" i="6"/>
  <c r="I53" i="2"/>
  <c r="H53" i="2"/>
  <c r="J53" i="2"/>
  <c r="G53" i="2"/>
  <c r="C7" i="9"/>
  <c r="K53" i="2"/>
  <c r="C13" i="9"/>
  <c r="G77" i="2"/>
  <c r="L72" i="2"/>
  <c r="I72" i="2"/>
  <c r="H72" i="2"/>
  <c r="G72" i="2"/>
  <c r="K72" i="2"/>
  <c r="J72" i="2"/>
  <c r="C103" i="2"/>
  <c r="C25" i="8" l="1"/>
  <c r="D24" i="8"/>
  <c r="D25" i="8"/>
  <c r="D28" i="8"/>
  <c r="D29" i="8"/>
  <c r="D23" i="8"/>
  <c r="D27" i="8"/>
  <c r="D22" i="8"/>
  <c r="D26" i="8"/>
  <c r="D21" i="8"/>
  <c r="D55" i="3"/>
  <c r="G29" i="3"/>
  <c r="D62" i="3" s="1"/>
  <c r="C26" i="8" l="1"/>
  <c r="D51" i="3"/>
  <c r="C46" i="3"/>
  <c r="C47" i="3" s="1"/>
  <c r="C62" i="3"/>
  <c r="C81" i="2" s="1"/>
  <c r="C27" i="8" l="1"/>
  <c r="C15" i="2"/>
  <c r="C56" i="12" s="1"/>
  <c r="G1" i="2"/>
  <c r="C28" i="8" l="1"/>
  <c r="C56" i="6"/>
  <c r="D73" i="3"/>
  <c r="C73" i="3"/>
  <c r="C74" i="3" s="1"/>
  <c r="F1" i="3"/>
  <c r="H1" i="2"/>
  <c r="E1" i="4"/>
  <c r="F1" i="4" s="1"/>
  <c r="G1" i="4" s="1"/>
  <c r="H1" i="4" s="1"/>
  <c r="I1" i="4" s="1"/>
  <c r="J1" i="4" s="1"/>
  <c r="K1" i="4" s="1"/>
  <c r="L1" i="4" s="1"/>
  <c r="M1" i="4" s="1"/>
  <c r="C29" i="8" l="1"/>
  <c r="D74" i="3"/>
  <c r="D76" i="3" s="1"/>
  <c r="C6" i="9"/>
  <c r="C30" i="8" l="1"/>
  <c r="D75" i="3"/>
  <c r="Q115" i="2"/>
  <c r="C31" i="8" l="1"/>
  <c r="F31" i="8" s="1"/>
  <c r="C46" i="2"/>
  <c r="C51" i="12" s="1"/>
  <c r="D66" i="3"/>
  <c r="C71" i="2"/>
  <c r="C41" i="3"/>
  <c r="C32" i="8" l="1"/>
  <c r="F32" i="8" s="1"/>
  <c r="C8" i="8"/>
  <c r="L46" i="2"/>
  <c r="L48" i="2" s="1"/>
  <c r="L12" i="2" s="1"/>
  <c r="K46" i="2"/>
  <c r="K48" i="2" s="1"/>
  <c r="K12" i="2" s="1"/>
  <c r="K41" i="2" s="1"/>
  <c r="M46" i="2"/>
  <c r="M48" i="2" s="1"/>
  <c r="M12" i="2" s="1"/>
  <c r="P46" i="2"/>
  <c r="P48" i="2" s="1"/>
  <c r="P12" i="2" s="1"/>
  <c r="O46" i="2"/>
  <c r="O48" i="2" s="1"/>
  <c r="O12" i="2" s="1"/>
  <c r="N46" i="2"/>
  <c r="N48" i="2" s="1"/>
  <c r="N12" i="2" s="1"/>
  <c r="G46" i="2"/>
  <c r="G48" i="2" s="1"/>
  <c r="G12" i="2" s="1"/>
  <c r="J46" i="2"/>
  <c r="J48" i="2" s="1"/>
  <c r="J12" i="2" s="1"/>
  <c r="H46" i="2"/>
  <c r="H48" i="2" s="1"/>
  <c r="H12" i="2" s="1"/>
  <c r="I46" i="2"/>
  <c r="I48" i="2" s="1"/>
  <c r="I12" i="2" s="1"/>
  <c r="C51" i="6"/>
  <c r="C31" i="3"/>
  <c r="C33" i="8" l="1"/>
  <c r="F33" i="8" s="1"/>
  <c r="I78" i="2"/>
  <c r="I117" i="2"/>
  <c r="H78" i="2"/>
  <c r="H117" i="2"/>
  <c r="J78" i="2"/>
  <c r="J117" i="2"/>
  <c r="C109" i="6"/>
  <c r="C110" i="6" s="1"/>
  <c r="C109" i="12"/>
  <c r="C110" i="12" s="1"/>
  <c r="G41" i="2"/>
  <c r="G117" i="2"/>
  <c r="C87" i="3"/>
  <c r="D87" i="3" s="1"/>
  <c r="O78" i="2"/>
  <c r="O13" i="2"/>
  <c r="O119" i="2" s="1"/>
  <c r="O115" i="2" s="1"/>
  <c r="O41" i="2"/>
  <c r="L78" i="2"/>
  <c r="L41" i="2"/>
  <c r="K78" i="2"/>
  <c r="P78" i="2"/>
  <c r="P13" i="2"/>
  <c r="P119" i="2" s="1"/>
  <c r="P115" i="2" s="1"/>
  <c r="P41" i="2"/>
  <c r="M78" i="2"/>
  <c r="M41" i="2"/>
  <c r="J41" i="2"/>
  <c r="H41" i="2"/>
  <c r="I41" i="2"/>
  <c r="N78" i="2"/>
  <c r="N41" i="2"/>
  <c r="G78" i="2"/>
  <c r="C41" i="6"/>
  <c r="C72" i="2"/>
  <c r="C32" i="3"/>
  <c r="G31" i="3"/>
  <c r="B1" i="2"/>
  <c r="C34" i="8" l="1"/>
  <c r="F34" i="8" s="1"/>
  <c r="C104" i="6"/>
  <c r="C104" i="12"/>
  <c r="D75" i="6"/>
  <c r="D75" i="12"/>
  <c r="O79" i="2"/>
  <c r="O116" i="2" s="1"/>
  <c r="O16" i="2"/>
  <c r="C7" i="8"/>
  <c r="P79" i="2"/>
  <c r="P116" i="2" s="1"/>
  <c r="P16" i="2"/>
  <c r="O96" i="2"/>
  <c r="G52" i="2"/>
  <c r="C52" i="2" s="1"/>
  <c r="C35" i="8" l="1"/>
  <c r="F35" i="8" s="1"/>
  <c r="C86" i="3"/>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2" i="2"/>
  <c r="O19" i="2"/>
  <c r="O90" i="2" s="1"/>
  <c r="O123" i="2"/>
  <c r="O124" i="2" s="1"/>
  <c r="P82" i="2"/>
  <c r="P19" i="2"/>
  <c r="P90" i="2" s="1"/>
  <c r="P123" i="2"/>
  <c r="P124" i="2" s="1"/>
  <c r="C45" i="2"/>
  <c r="C52" i="12" s="1"/>
  <c r="C51" i="8" l="1"/>
  <c r="C89" i="3"/>
  <c r="O113" i="2"/>
  <c r="O85" i="2"/>
  <c r="P113" i="2"/>
  <c r="P85" i="2"/>
  <c r="C53" i="2"/>
  <c r="C52" i="6"/>
  <c r="E78" i="8"/>
  <c r="E130" i="12" s="1"/>
  <c r="C48" i="2"/>
  <c r="C12" i="2" s="1"/>
  <c r="I17" i="8" s="1"/>
  <c r="I1" i="2"/>
  <c r="F22" i="8" l="1"/>
  <c r="F23" i="8"/>
  <c r="F24" i="8"/>
  <c r="F25" i="8"/>
  <c r="F26" i="8"/>
  <c r="F27" i="8"/>
  <c r="F28" i="8"/>
  <c r="F29" i="8"/>
  <c r="F30" i="8"/>
  <c r="F51" i="8"/>
  <c r="F21" i="8"/>
  <c r="C117" i="2"/>
  <c r="C53" i="12"/>
  <c r="E130" i="6"/>
  <c r="C51" i="9"/>
  <c r="C13" i="2"/>
  <c r="C14" i="2"/>
  <c r="C53" i="6"/>
  <c r="C78" i="2"/>
  <c r="J1" i="2"/>
  <c r="K1" i="2" s="1"/>
  <c r="L1" i="2" s="1"/>
  <c r="M1" i="2" s="1"/>
  <c r="N1" i="2" s="1"/>
  <c r="O1" i="2" s="1"/>
  <c r="P1" i="2" s="1"/>
  <c r="Q1" i="2" s="1"/>
  <c r="C59" i="6" l="1"/>
  <c r="C59" i="12"/>
  <c r="C75" i="6"/>
  <c r="C75" i="12"/>
  <c r="C119" i="2"/>
  <c r="C16" i="2"/>
  <c r="C19" i="2" s="1"/>
  <c r="C90" i="2" l="1"/>
  <c r="F70" i="12" s="1"/>
  <c r="C68" i="12"/>
  <c r="C73" i="6"/>
  <c r="C73" i="12"/>
  <c r="C4" i="8"/>
  <c r="F70" i="6" l="1"/>
  <c r="C64" i="8" l="1"/>
  <c r="E74" i="8" l="1"/>
  <c r="E126" i="12" s="1"/>
  <c r="E75" i="8"/>
  <c r="E127" i="12" s="1"/>
  <c r="E77" i="8"/>
  <c r="E129" i="12" s="1"/>
  <c r="E76" i="8"/>
  <c r="E128" i="12" s="1"/>
  <c r="E129" i="6" l="1"/>
  <c r="C33" i="9"/>
  <c r="E128" i="6"/>
  <c r="C27" i="9"/>
  <c r="E126" i="6"/>
  <c r="C57" i="9"/>
  <c r="E127" i="6"/>
  <c r="C39" i="9"/>
  <c r="C42" i="9" l="1"/>
  <c r="C60" i="9" s="1"/>
  <c r="I6" i="9" s="1"/>
  <c r="C97" i="9" l="1"/>
  <c r="C132" i="12"/>
  <c r="C26" i="12" s="1"/>
  <c r="C132" i="6"/>
  <c r="C26" i="6" s="1"/>
  <c r="C87" i="9"/>
  <c r="C92" i="9"/>
  <c r="E26" i="12" s="1"/>
  <c r="C103" i="9"/>
  <c r="F77" i="9"/>
  <c r="C77" i="9" s="1"/>
  <c r="C109" i="9"/>
  <c r="H74" i="2"/>
  <c r="H13" i="2"/>
  <c r="H119" i="2" l="1"/>
  <c r="H115" i="2" s="1"/>
  <c r="C110" i="9"/>
  <c r="C172" i="12"/>
  <c r="C88" i="9"/>
  <c r="C148" i="12"/>
  <c r="C164" i="6"/>
  <c r="C164" i="12"/>
  <c r="C156" i="6"/>
  <c r="C156" i="12"/>
  <c r="C172" i="6"/>
  <c r="C148" i="6"/>
  <c r="C104" i="9"/>
  <c r="D173" i="6"/>
  <c r="D32" i="6" s="1"/>
  <c r="E26" i="6"/>
  <c r="C98" i="9"/>
  <c r="C157" i="12" s="1"/>
  <c r="C30" i="12" s="1"/>
  <c r="H16" i="2"/>
  <c r="H19" i="2" s="1"/>
  <c r="H90" i="2" s="1"/>
  <c r="H79" i="2"/>
  <c r="H116" i="2" s="1"/>
  <c r="C165" i="6" l="1"/>
  <c r="C31" i="6" s="1"/>
  <c r="C165" i="12"/>
  <c r="C31" i="12" s="1"/>
  <c r="F88" i="9"/>
  <c r="C149" i="12"/>
  <c r="C29" i="12" s="1"/>
  <c r="C149" i="6"/>
  <c r="C29" i="6" s="1"/>
  <c r="C173" i="6"/>
  <c r="C32" i="6" s="1"/>
  <c r="C173" i="12"/>
  <c r="C32" i="12" s="1"/>
  <c r="F104" i="9"/>
  <c r="D165" i="6"/>
  <c r="D31" i="6" s="1"/>
  <c r="D149" i="6"/>
  <c r="D29" i="6" s="1"/>
  <c r="H113" i="2"/>
  <c r="F98" i="9"/>
  <c r="C157" i="6"/>
  <c r="H123" i="2"/>
  <c r="H124" i="2" s="1"/>
  <c r="H82" i="2"/>
  <c r="G74" i="2"/>
  <c r="D54" i="3"/>
  <c r="D50" i="3"/>
  <c r="G13" i="2"/>
  <c r="C167" i="6" l="1"/>
  <c r="C167" i="12"/>
  <c r="C151" i="12"/>
  <c r="C151" i="6"/>
  <c r="C159" i="6"/>
  <c r="C159" i="12"/>
  <c r="G96" i="2"/>
  <c r="G119" i="2"/>
  <c r="D73" i="12" s="1"/>
  <c r="C30" i="6"/>
  <c r="D157" i="6"/>
  <c r="D30" i="6" s="1"/>
  <c r="H85" i="2"/>
  <c r="G16" i="2"/>
  <c r="G19" i="2" s="1"/>
  <c r="G79" i="2"/>
  <c r="G116" i="2" l="1"/>
  <c r="D74" i="12" s="1"/>
  <c r="G90" i="2"/>
  <c r="C67" i="12"/>
  <c r="G115" i="2"/>
  <c r="D73" i="6"/>
  <c r="G113" i="2"/>
  <c r="G123" i="2"/>
  <c r="G124" i="2" s="1"/>
  <c r="G82" i="2"/>
  <c r="J74" i="2"/>
  <c r="I74" i="2"/>
  <c r="N74" i="2"/>
  <c r="L74" i="2"/>
  <c r="J13" i="2"/>
  <c r="M74" i="2"/>
  <c r="L13" i="2"/>
  <c r="L119" i="2" s="1"/>
  <c r="L115" i="2" s="1"/>
  <c r="K13" i="2"/>
  <c r="N13" i="2"/>
  <c r="M13" i="2"/>
  <c r="M119" i="2" s="1"/>
  <c r="M115" i="2" s="1"/>
  <c r="I13" i="2"/>
  <c r="K74" i="2"/>
  <c r="K16" i="2" l="1"/>
  <c r="K19" i="2" s="1"/>
  <c r="K90" i="2" s="1"/>
  <c r="K119" i="2"/>
  <c r="K115" i="2" s="1"/>
  <c r="N96" i="2"/>
  <c r="N119" i="2"/>
  <c r="N115" i="2" s="1"/>
  <c r="D74" i="6"/>
  <c r="I119" i="2"/>
  <c r="I115" i="2" s="1"/>
  <c r="J119" i="2"/>
  <c r="J115" i="2" s="1"/>
  <c r="K113" i="2"/>
  <c r="C8" i="9"/>
  <c r="C67" i="6"/>
  <c r="G85" i="2"/>
  <c r="K79" i="2"/>
  <c r="K116" i="2" s="1"/>
  <c r="K96" i="2"/>
  <c r="L96" i="2"/>
  <c r="M96" i="2"/>
  <c r="I96" i="2"/>
  <c r="H96" i="2"/>
  <c r="J96" i="2"/>
  <c r="I16" i="2"/>
  <c r="I19" i="2" s="1"/>
  <c r="I90" i="2" s="1"/>
  <c r="I79" i="2"/>
  <c r="I116" i="2" s="1"/>
  <c r="N16" i="2"/>
  <c r="N19" i="2" s="1"/>
  <c r="N90" i="2" s="1"/>
  <c r="N79" i="2"/>
  <c r="N116" i="2" s="1"/>
  <c r="L16" i="2"/>
  <c r="L79" i="2"/>
  <c r="L116" i="2" s="1"/>
  <c r="J16" i="2"/>
  <c r="J19" i="2" s="1"/>
  <c r="J90" i="2" s="1"/>
  <c r="J79" i="2"/>
  <c r="J116" i="2" s="1"/>
  <c r="M16" i="2"/>
  <c r="M79" i="2"/>
  <c r="M116" i="2" s="1"/>
  <c r="K123" i="2"/>
  <c r="K124" i="2" s="1"/>
  <c r="K82" i="2"/>
  <c r="N82" i="2" l="1"/>
  <c r="L123" i="2"/>
  <c r="L124" i="2" s="1"/>
  <c r="L19" i="2"/>
  <c r="N113" i="2"/>
  <c r="I113" i="2"/>
  <c r="J113" i="2"/>
  <c r="M123" i="2"/>
  <c r="M124" i="2" s="1"/>
  <c r="M19" i="2"/>
  <c r="M90" i="2" s="1"/>
  <c r="I123" i="2"/>
  <c r="I124" i="2" s="1"/>
  <c r="J82" i="2"/>
  <c r="N123" i="2"/>
  <c r="N124" i="2" s="1"/>
  <c r="M82" i="2"/>
  <c r="I85" i="2"/>
  <c r="I82" i="2"/>
  <c r="J123" i="2"/>
  <c r="J124" i="2" s="1"/>
  <c r="K85" i="2"/>
  <c r="L82" i="2"/>
  <c r="N85" i="2"/>
  <c r="C74" i="2"/>
  <c r="C50" i="3"/>
  <c r="C54" i="3"/>
  <c r="L85" i="2" l="1"/>
  <c r="L90" i="2"/>
  <c r="C105" i="6"/>
  <c r="C105" i="12"/>
  <c r="M113" i="2"/>
  <c r="L113" i="2"/>
  <c r="C14" i="9"/>
  <c r="M85" i="2"/>
  <c r="C79" i="2"/>
  <c r="C96" i="2"/>
  <c r="J85" i="2"/>
  <c r="C80" i="2"/>
  <c r="C116" i="2" l="1"/>
  <c r="C74" i="12" s="1"/>
  <c r="C123" i="2"/>
  <c r="C74" i="6" l="1"/>
  <c r="C82" i="2"/>
  <c r="C9" i="9"/>
  <c r="C68" i="6" l="1"/>
  <c r="C124" i="2"/>
  <c r="C85" i="2"/>
  <c r="C69" i="6" l="1"/>
  <c r="C69" i="12"/>
  <c r="C6" i="8"/>
  <c r="C93" i="6" l="1"/>
  <c r="C93" i="12"/>
  <c r="I46" i="8"/>
  <c r="I49" i="8"/>
  <c r="I43" i="8"/>
  <c r="I47" i="8"/>
  <c r="I44" i="8"/>
  <c r="I45" i="8"/>
  <c r="I50" i="8"/>
  <c r="I48" i="8"/>
  <c r="I41" i="8"/>
  <c r="I42" i="8"/>
  <c r="I36" i="8"/>
  <c r="I39" i="8"/>
  <c r="I40" i="8"/>
  <c r="I38" i="8"/>
  <c r="I37" i="8"/>
  <c r="C10" i="8"/>
  <c r="C12" i="8" s="1"/>
  <c r="C118" i="12" s="1"/>
  <c r="I24" i="8"/>
  <c r="I30" i="8"/>
  <c r="I35" i="8"/>
  <c r="I51" i="8"/>
  <c r="I28" i="8"/>
  <c r="I31" i="8"/>
  <c r="I29" i="8"/>
  <c r="I21" i="8"/>
  <c r="I23" i="8"/>
  <c r="I32" i="8"/>
  <c r="I34" i="8"/>
  <c r="I25" i="8"/>
  <c r="I26" i="8"/>
  <c r="I27" i="8"/>
  <c r="I33" i="8"/>
  <c r="I22" i="8"/>
  <c r="C118" i="6" l="1"/>
  <c r="C22" i="9"/>
  <c r="C74" i="9" s="1"/>
  <c r="E65" i="8"/>
  <c r="F65" i="8"/>
  <c r="C65" i="8"/>
  <c r="B65" i="8"/>
  <c r="D65" i="8"/>
  <c r="I52" i="8"/>
  <c r="C18" i="8" s="1"/>
  <c r="C71" i="9" s="1"/>
  <c r="C75" i="9" l="1"/>
  <c r="C21" i="6" s="1"/>
  <c r="F110" i="9"/>
  <c r="A55" i="8"/>
  <c r="C175" i="6" l="1"/>
  <c r="C175" i="12"/>
  <c r="C21" i="12"/>
</calcChain>
</file>

<file path=xl/sharedStrings.xml><?xml version="1.0" encoding="utf-8"?>
<sst xmlns="http://schemas.openxmlformats.org/spreadsheetml/2006/main" count="822" uniqueCount="568">
  <si>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</si>
  <si>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</si>
  <si>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</si>
  <si>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</si>
  <si>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</si>
  <si>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</si>
  <si>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</si>
  <si>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</si>
  <si>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</si>
  <si>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</si>
  <si>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</si>
  <si>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</si>
  <si>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</si>
  <si>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</si>
  <si>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</si>
  <si>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</si>
  <si>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</si>
  <si>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</si>
  <si>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</si>
  <si>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</si>
  <si>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</si>
  <si>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</si>
  <si>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</si>
  <si>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</si>
  <si>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</si>
  <si>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</si>
  <si>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</si>
  <si>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</si>
  <si>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</si>
  <si>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</si>
  <si>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</si>
  <si>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</si>
  <si>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</si>
  <si>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</si>
  <si>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</si>
  <si>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</si>
  <si>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</si>
  <si>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</si>
  <si>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</si>
  <si>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</si>
  <si>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</si>
  <si>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</si>
  <si>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</si>
  <si>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</si>
  <si>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</si>
  <si>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</si>
  <si>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</si>
  <si>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</si>
  <si>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</si>
  <si>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</si>
  <si>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</si>
  <si>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</si>
  <si>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</si>
  <si>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</si>
  <si>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</si>
  <si>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</si>
  <si>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</si>
  <si>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</si>
  <si>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</si>
  <si>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</si>
  <si>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</si>
  <si>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</si>
  <si>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</si>
  <si>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</si>
  <si>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</si>
  <si>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</si>
  <si>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</si>
  <si>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</si>
  <si>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</si>
  <si>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</si>
  <si>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</si>
  <si>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</si>
  <si>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</si>
  <si>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</si>
  <si>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</si>
  <si>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</si>
  <si>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</si>
  <si>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</si>
  <si>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</si>
  <si>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</si>
  <si>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</si>
  <si>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</si>
  <si>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</si>
  <si>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</si>
  <si>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</si>
  <si>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</si>
  <si>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</si>
  <si>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</si>
  <si>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</si>
  <si>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</si>
  <si>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</si>
  <si>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</si>
  <si>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</si>
  <si>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</si>
  <si>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</si>
  <si>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</si>
  <si>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</si>
  <si>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</si>
  <si>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</si>
  <si>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</si>
  <si>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</si>
  <si>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</si>
  <si>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</si>
  <si>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</si>
  <si>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</si>
  <si>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</si>
  <si>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</si>
  <si>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</si>
  <si>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</si>
  <si>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</si>
  <si>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</si>
  <si>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</si>
  <si>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</si>
  <si>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</si>
  <si>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</si>
  <si>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</si>
  <si>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</si>
  <si>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</si>
  <si>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</si>
  <si>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</si>
  <si>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</si>
  <si>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</si>
  <si>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</si>
  <si>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</si>
  <si>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</si>
  <si>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</si>
  <si>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</si>
  <si>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</si>
  <si>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</si>
  <si>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</si>
  <si>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</si>
  <si>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</si>
  <si>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</si>
  <si>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</si>
  <si>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</si>
  <si>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</si>
  <si>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</si>
  <si>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</si>
  <si>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</si>
  <si>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</si>
  <si>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</si>
  <si>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</si>
  <si>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</si>
  <si>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</si>
  <si>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</si>
  <si>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</si>
  <si>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</si>
  <si>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</si>
  <si>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</si>
  <si>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</si>
  <si>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</si>
  <si>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</si>
  <si>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</si>
  <si>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</si>
  <si>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</si>
  <si>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</si>
  <si>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</si>
  <si>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</si>
  <si>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</si>
  <si>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</si>
  <si>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</si>
  <si>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</si>
  <si>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</si>
  <si>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</si>
  <si>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</si>
  <si>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</si>
  <si>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</si>
  <si>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</si>
  <si>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</si>
  <si>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</si>
  <si>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</si>
  <si>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</si>
  <si>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</si>
  <si>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</si>
  <si>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</si>
  <si>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</si>
  <si>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</si>
  <si>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</si>
  <si>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</si>
  <si>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</si>
  <si>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</si>
  <si>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</si>
  <si>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</si>
  <si>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</si>
  <si>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</si>
  <si>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</si>
  <si>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</si>
  <si>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</si>
  <si>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</si>
  <si>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</si>
  <si>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</si>
  <si>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</si>
  <si>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</si>
  <si>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</si>
  <si>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</si>
  <si>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</si>
  <si>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</si>
  <si>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</si>
  <si>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</si>
  <si>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</si>
  <si>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</si>
  <si>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</si>
  <si>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</si>
  <si>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</si>
  <si>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</si>
  <si>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</si>
  <si>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</si>
  <si>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</si>
  <si>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</si>
  <si>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</si>
  <si>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</si>
  <si>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</si>
  <si>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</si>
  <si>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</si>
  <si>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</si>
  <si>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</si>
  <si>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</si>
  <si>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</si>
  <si>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</si>
  <si>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</si>
  <si>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</si>
  <si>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</si>
  <si>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</si>
  <si>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</si>
  <si>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</si>
  <si>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</si>
  <si>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</si>
  <si>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</si>
  <si>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</si>
  <si>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</si>
  <si>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</si>
  <si>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</si>
  <si>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</si>
  <si>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</si>
  <si>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</si>
  <si>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</si>
  <si>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</si>
  <si>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</si>
  <si>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</si>
  <si>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</si>
  <si>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</si>
  <si>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</si>
  <si>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</si>
  <si>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</si>
  <si>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</si>
  <si>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</si>
  <si>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</si>
  <si>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</si>
  <si>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</si>
  <si>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</si>
  <si>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</si>
  <si>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</si>
  <si>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</si>
  <si>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</si>
  <si>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</si>
  <si>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</si>
  <si>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</si>
  <si>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</si>
  <si>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</si>
  <si>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</si>
  <si>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</si>
  <si>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</si>
  <si>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</si>
  <si>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</si>
  <si>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</si>
  <si>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</si>
  <si>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</si>
  <si>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</si>
  <si>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</si>
  <si>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</si>
  <si>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</si>
  <si>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</si>
  <si>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</si>
  <si>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</si>
  <si>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</si>
  <si>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</si>
  <si>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</si>
  <si>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</si>
  <si>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</si>
  <si>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</si>
  <si>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</si>
  <si>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</si>
  <si>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</si>
  <si>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</si>
  <si>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</si>
  <si>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</si>
  <si>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</si>
  <si>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</si>
  <si>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</si>
  <si>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</si>
  <si>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</si>
  <si>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</si>
  <si>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</si>
  <si>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</si>
  <si>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</si>
  <si>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</si>
  <si>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</si>
  <si>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</si>
  <si>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</si>
  <si>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</si>
  <si>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</si>
  <si>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</si>
  <si>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</si>
  <si>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</si>
  <si>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</si>
  <si>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</si>
  <si>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</si>
  <si>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</si>
  <si>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</si>
  <si>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</si>
  <si>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</si>
  <si>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</si>
  <si>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</si>
  <si>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</si>
  <si>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</si>
  <si>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</si>
  <si>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</si>
  <si>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</si>
  <si>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</si>
  <si>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</si>
  <si>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</si>
  <si>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</si>
  <si>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</si>
  <si>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</si>
  <si>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</si>
  <si>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</si>
  <si>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</si>
  <si>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</si>
  <si>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</si>
  <si>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</si>
  <si>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</si>
  <si>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</si>
  <si>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</si>
  <si>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</si>
  <si>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</si>
  <si>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</si>
  <si>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</si>
  <si>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</si>
  <si>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</si>
  <si>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</si>
  <si>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</si>
  <si>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</si>
  <si>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</si>
  <si>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</si>
  <si>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</si>
  <si>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</si>
  <si>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</si>
  <si>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</si>
  <si>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</si>
  <si>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</si>
  <si>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</si>
  <si>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</si>
  <si>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</si>
  <si>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</si>
  <si>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</si>
  <si>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</si>
  <si>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</si>
  <si>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</si>
  <si>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</si>
  <si>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</si>
  <si>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</si>
  <si>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</si>
  <si>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</si>
  <si>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</si>
  <si>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</si>
  <si>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</si>
  <si>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</si>
  <si>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</si>
  <si>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</si>
  <si>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</si>
  <si>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</si>
  <si>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</si>
  <si>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</si>
  <si>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</si>
  <si>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</si>
  <si>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</si>
  <si>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</si>
  <si>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</si>
  <si>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</si>
  <si>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</si>
  <si>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</si>
  <si>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</si>
  <si>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</si>
  <si>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</si>
  <si>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</si>
  <si>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</si>
  <si>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</si>
  <si>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</si>
  <si>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</si>
  <si>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</si>
  <si>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</si>
  <si>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</si>
  <si>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</si>
  <si>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</si>
  <si>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</si>
  <si>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</si>
  <si>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</si>
  <si>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</si>
  <si>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</si>
  <si>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</si>
  <si>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</si>
  <si>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</si>
  <si>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</si>
  <si>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</si>
  <si>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</si>
  <si>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</si>
  <si>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</si>
  <si>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</si>
  <si>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</si>
  <si>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</si>
  <si>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</si>
  <si>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</si>
  <si>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</si>
  <si>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</si>
  <si>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</si>
  <si>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</si>
  <si>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</si>
  <si>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</si>
  <si>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</si>
  <si>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</si>
  <si>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</si>
  <si>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</si>
  <si>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</si>
  <si>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</si>
  <si>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</si>
  <si>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</si>
  <si>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</si>
  <si>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</si>
  <si>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</si>
  <si>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</si>
  <si>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</si>
  <si>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</si>
  <si>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</si>
  <si>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</si>
  <si>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</si>
  <si>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</si>
  <si>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</si>
  <si>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</si>
  <si>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</si>
  <si>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</si>
  <si>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</si>
  <si>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</si>
  <si>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</si>
  <si>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</si>
  <si>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</si>
  <si>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</si>
  <si>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</si>
  <si>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</si>
  <si>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</si>
  <si>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</si>
  <si>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</si>
  <si>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</si>
  <si>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</si>
  <si>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</si>
  <si>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</si>
  <si>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</si>
  <si>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</si>
  <si>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</si>
  <si>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</si>
  <si>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</si>
  <si>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</si>
  <si>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</si>
  <si>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</si>
  <si>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</si>
  <si>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</si>
  <si>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</si>
  <si>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</si>
  <si>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</si>
  <si>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</si>
  <si>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</si>
  <si>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</si>
  <si>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</si>
  <si>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</si>
  <si>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</si>
  <si>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</si>
  <si>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</si>
  <si>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</si>
  <si>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</si>
  <si>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</si>
  <si>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</si>
  <si>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</si>
  <si>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</si>
  <si>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</si>
  <si>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</si>
  <si>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</si>
  <si>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</si>
  <si>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</si>
  <si>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</si>
  <si>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</si>
  <si>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</si>
  <si>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</si>
  <si>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</si>
  <si>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</si>
  <si>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</si>
  <si>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</si>
  <si>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</si>
  <si>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</si>
  <si>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</si>
  <si>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</si>
  <si>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</si>
  <si>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</si>
  <si>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</si>
  <si>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</si>
  <si>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</si>
  <si>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</si>
  <si>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</si>
  <si>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</si>
  <si>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</si>
  <si>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</si>
  <si>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</si>
  <si>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</si>
  <si>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</si>
  <si>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</si>
  <si>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</si>
  <si>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</si>
  <si>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</si>
  <si>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</si>
  <si>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</si>
  <si>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</si>
  <si>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</si>
  <si>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</si>
  <si>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</si>
  <si>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</si>
  <si>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</si>
  <si>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</si>
  <si>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</si>
  <si>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</si>
  <si>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</si>
  <si>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</si>
  <si>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</si>
  <si>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</si>
  <si>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</si>
  <si>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</si>
  <si>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</si>
  <si>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</si>
  <si>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</si>
  <si>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</si>
  <si>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</si>
  <si>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</si>
  <si>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</si>
  <si>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</si>
  <si>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3690.HK</t>
  </si>
  <si>
    <t>DCF</t>
  </si>
  <si>
    <t>CNY</t>
  </si>
  <si>
    <t>TMT_01</t>
  </si>
  <si>
    <t>美团</t>
  </si>
  <si>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</si>
  <si>
    <t>N</t>
  </si>
  <si>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</si>
  <si>
    <t>Normalized FCFE</t>
  </si>
  <si>
    <t>Revenues</t>
  </si>
  <si>
    <t>Contribution Margin</t>
  </si>
  <si>
    <t>Fixed Costs</t>
  </si>
  <si>
    <t>G&amp;A and other Opex</t>
  </si>
  <si>
    <t>Latest Value</t>
  </si>
  <si>
    <t>Tax rate</t>
  </si>
  <si>
    <t>Maintenance Capex</t>
  </si>
  <si>
    <t>D&amp;A - Maintenance Capx</t>
  </si>
  <si>
    <t>Other Income</t>
  </si>
  <si>
    <t>Change year</t>
  </si>
  <si>
    <t>Stage</t>
  </si>
  <si>
    <t>Stage I Normalized Values</t>
  </si>
  <si>
    <t>High Growth Rate_II</t>
  </si>
  <si>
    <t>Contribution Margin_II</t>
  </si>
  <si>
    <t>DCF Type</t>
  </si>
  <si>
    <t>*It calculates Annual Return</t>
  </si>
  <si>
    <t>Warning: Do Not Remove this logic*</t>
  </si>
  <si>
    <t>Try obtain this number by reverse engineering.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</si>
</sst>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8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3"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25" fillId="0" borderId="0" xfId="0" applyNumberFormat="1" applyFont="1" applyAlignment="1">
      <alignment horizontal="right"/>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topLeftCell="A10" zoomScale="85" zoomScaleNormal="100" workbookViewId="0">
      <selection activeCell="E21" sqref="E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3" t="s">
        <v>416</v>
      </c>
      <c r="E1" s="289" t="s">
        <v>340</v>
      </c>
      <c r="F1" s="251" t="s">
        <v>547</v>
      </c>
    </row>
    <row r="2" spans="1:10" ht="13.9">
      <c r="A2" s="219" t="s">
        <v>260</v>
      </c>
      <c r="B2" s="36"/>
      <c r="C2" s="36"/>
      <c r="D2" s="36"/>
      <c r="E2" s="36"/>
      <c r="F2" s="36"/>
      <c r="G2" s="22"/>
      <c r="H2" s="22"/>
      <c r="I2" s="22"/>
      <c r="J2" s="22"/>
    </row>
    <row r="4" spans="1:10">
      <c r="B4" s="45" t="s">
        <v>391</v>
      </c>
      <c r="C4" s="46"/>
      <c r="D4" s="5"/>
      <c r="E4" s="2"/>
      <c r="F4" s="2"/>
    </row>
    <row r="5" spans="1:10" ht="12.4">
      <c r="B5" s="4" t="s">
        <v>448</v>
      </c>
      <c r="C5" s="291" t="s">
        <v>545</v>
      </c>
    </row>
    <row r="6" spans="1:10">
      <c r="B6" s="4" t="s">
        <v>449</v>
      </c>
      <c r="C6" s="51">
        <v>9264431217</v>
      </c>
      <c r="E6" s="48"/>
    </row>
    <row r="7" spans="1:10">
      <c r="B7" s="2" t="s">
        <v>450</v>
      </c>
      <c r="C7" s="247">
        <v>6</v>
      </c>
      <c r="D7" s="48"/>
      <c r="E7" s="48"/>
    </row>
    <row r="8" spans="1:10">
      <c r="B8" s="1" t="s">
        <v>451</v>
      </c>
      <c r="C8" s="33">
        <f>EOMONTH(EDATE(BS!C1,C7+2),0)</f>
        <v>46081</v>
      </c>
      <c r="E8" s="48"/>
    </row>
    <row r="9" spans="1:10">
      <c r="E9" s="34"/>
    </row>
    <row r="10" spans="1:10">
      <c r="B10" s="45" t="s">
        <v>393</v>
      </c>
      <c r="C10" s="46"/>
      <c r="E10" s="34"/>
    </row>
    <row r="11" spans="1:10">
      <c r="B11" s="1" t="s">
        <v>452</v>
      </c>
      <c r="C11" s="49" t="s">
        <v>541</v>
      </c>
      <c r="D11" s="49"/>
      <c r="E11" s="34"/>
    </row>
    <row r="12" spans="1:10">
      <c r="B12" s="4" t="s">
        <v>453</v>
      </c>
      <c r="C12" s="50">
        <v>96.9</v>
      </c>
      <c r="D12" s="50"/>
      <c r="E12" s="48"/>
    </row>
    <row r="13" spans="1:10">
      <c r="B13" s="1" t="s">
        <v>454</v>
      </c>
      <c r="C13" s="48" t="s">
        <v>374</v>
      </c>
      <c r="D13" s="48"/>
      <c r="E13" s="5"/>
    </row>
    <row r="14" spans="1:10">
      <c r="B14" s="4" t="s">
        <v>455</v>
      </c>
      <c r="C14" s="35">
        <f>Thesis!C12*Common_Shares/1000000</f>
        <v>897723.38492730004</v>
      </c>
      <c r="D14" s="35" t="str">
        <f>IF(D11="","",Thesis!D12*Common_Shares/1000000)</f>
        <v/>
      </c>
      <c r="E14" s="5"/>
    </row>
    <row r="15" spans="1:10">
      <c r="B15" s="4" t="s">
        <v>456</v>
      </c>
      <c r="C15" s="32" t="str">
        <f>IF(C25=C13,C13,C25&amp;"/"&amp;C13)</f>
        <v>CNY/HKD</v>
      </c>
      <c r="D15" s="32" t="str">
        <f>IF(D11="","",IF(C25=D13,D13,C25&amp;"/"&amp;D13))</f>
        <v/>
      </c>
      <c r="E15" s="5"/>
    </row>
    <row r="16" spans="1:10">
      <c r="B16" s="4" t="s">
        <v>457</v>
      </c>
      <c r="C16" s="50">
        <v>1.0923594000000001</v>
      </c>
      <c r="D16" s="50"/>
      <c r="E16" s="5"/>
    </row>
    <row r="17" spans="2:6">
      <c r="D17" s="5"/>
      <c r="E17" s="5"/>
    </row>
    <row r="18" spans="2:6" ht="24.6" customHeight="1">
      <c r="B18" s="373" t="s">
        <v>458</v>
      </c>
      <c r="C18" s="373"/>
      <c r="D18" s="373"/>
      <c r="E18" s="373"/>
      <c r="F18" s="373"/>
    </row>
    <row r="20" spans="2:6">
      <c r="B20" s="45" t="s">
        <v>297</v>
      </c>
      <c r="C20" s="46"/>
      <c r="D20" s="5"/>
    </row>
    <row r="21" spans="2:6">
      <c r="B21" s="2" t="s">
        <v>335</v>
      </c>
      <c r="C21" s="32" t="str">
        <f>IF(Scenarios!C74="Y",Scenarios!B74,"")&amp;IF(Scenarios!C75="Y",Scenarios!B75,"")&amp;IF(Scenarios!C76="Y",Scenarios!B76,"")&amp;" "&amp;IF(Scenarios!C77="Y",Scenarios!B77,"")</f>
        <v xml:space="preserve">High Growth </v>
      </c>
      <c r="D21" s="1" t="s">
        <v>412</v>
      </c>
      <c r="E21" s="305" t="s">
        <v>542</v>
      </c>
    </row>
    <row r="22" spans="2:6">
      <c r="B22" s="2" t="s">
        <v>54</v>
      </c>
      <c r="C22" s="48" t="s">
        <v>544</v>
      </c>
      <c r="E22" s="310"/>
    </row>
    <row r="23" spans="2:6">
      <c r="B23" s="1" t="s">
        <v>407</v>
      </c>
      <c r="C23" s="259" t="s">
        <v>308</v>
      </c>
    </row>
    <row r="24" spans="2:6">
      <c r="B24" s="1" t="s">
        <v>408</v>
      </c>
      <c r="C24" s="259" t="s">
        <v>308</v>
      </c>
    </row>
    <row r="25" spans="2:6">
      <c r="B25" s="4" t="s">
        <v>334</v>
      </c>
      <c r="C25" s="48" t="s">
        <v>543</v>
      </c>
      <c r="D25" s="32" t="str">
        <f>IF(D11="","",Market_currency&amp;"/"&amp;D13&amp;":")</f>
        <v/>
      </c>
      <c r="E25" s="296" t="str">
        <f>IF(D11="","",1/Exchange_Rate*D16)</f>
        <v/>
      </c>
    </row>
    <row r="26" spans="2:6">
      <c r="B26" s="1" t="str">
        <f>"Expected Equity Value ("&amp;C13&amp;") :"</f>
        <v>Expected Equity Value (HKD) :</v>
      </c>
      <c r="C26" s="301">
        <f>C132</f>
        <v>193.20915464851782</v>
      </c>
      <c r="D26" s="1" t="s">
        <v>377</v>
      </c>
      <c r="E26" s="298">
        <f ca="1">Scenarios!C92</f>
        <v>0.25863935692204554</v>
      </c>
    </row>
    <row r="27" spans="2:6">
      <c r="D27" s="5"/>
      <c r="E27" s="5"/>
    </row>
    <row r="28" spans="2:6">
      <c r="B28" s="45" t="s">
        <v>406</v>
      </c>
      <c r="C28" s="306" t="str">
        <f>C145&amp;" ("&amp;Market_currency&amp;")"</f>
        <v>3690.HK (HKD)</v>
      </c>
      <c r="D28" s="306" t="str">
        <f>IF(D11="","",D145&amp;" ("&amp;D13&amp;")")</f>
        <v/>
      </c>
      <c r="E28" s="302" t="s">
        <v>402</v>
      </c>
      <c r="F28" s="300">
        <v>3</v>
      </c>
    </row>
    <row r="29" spans="2:6">
      <c r="B29" s="1" t="s">
        <v>398</v>
      </c>
      <c r="C29" s="307">
        <f>C149</f>
        <v>78.528335984765647</v>
      </c>
      <c r="D29" s="307" t="str">
        <f>D149</f>
        <v/>
      </c>
      <c r="E29" s="303" t="s">
        <v>397</v>
      </c>
      <c r="F29" s="299">
        <v>0.35</v>
      </c>
    </row>
    <row r="30" spans="2:6">
      <c r="B30" s="1" t="s">
        <v>399</v>
      </c>
      <c r="C30" s="308">
        <f>C157</f>
        <v>98.923087180041122</v>
      </c>
      <c r="D30" s="308" t="str">
        <f>D157</f>
        <v/>
      </c>
      <c r="E30" s="304" t="s">
        <v>410</v>
      </c>
      <c r="F30" s="309">
        <v>0.25</v>
      </c>
    </row>
    <row r="31" spans="2:6">
      <c r="B31" s="1" t="s">
        <v>400</v>
      </c>
      <c r="C31" s="308">
        <f>C165</f>
        <v>155.52575116033987</v>
      </c>
      <c r="D31" s="308" t="str">
        <f>D165</f>
        <v/>
      </c>
      <c r="E31" s="304" t="s">
        <v>409</v>
      </c>
      <c r="F31" s="309">
        <v>7.4999999999999997E-2</v>
      </c>
    </row>
    <row r="32" spans="2:6">
      <c r="B32" s="1" t="s">
        <v>401</v>
      </c>
      <c r="C32" s="308">
        <f>C173</f>
        <v>138.48466961992941</v>
      </c>
      <c r="D32" s="308" t="str">
        <f>D173</f>
        <v/>
      </c>
      <c r="E32" s="304" t="s">
        <v>411</v>
      </c>
      <c r="F32" s="309">
        <v>0.1174</v>
      </c>
    </row>
    <row r="33" spans="1:6">
      <c r="D33" s="5"/>
      <c r="E33" s="5"/>
    </row>
    <row r="34" spans="1:6" ht="13.9">
      <c r="A34" s="219" t="s">
        <v>342</v>
      </c>
      <c r="B34" s="36"/>
      <c r="C34" s="36"/>
      <c r="D34" s="36"/>
      <c r="E34" s="36"/>
      <c r="F34" s="36"/>
    </row>
    <row r="36" spans="1:6">
      <c r="B36" s="373" t="s">
        <v>459</v>
      </c>
      <c r="C36" s="373"/>
      <c r="D36" s="373"/>
      <c r="E36" s="373"/>
      <c r="F36" s="373"/>
    </row>
    <row r="37" spans="1:6" ht="24.6" customHeight="1">
      <c r="B37" s="376" t="s">
        <v>326</v>
      </c>
      <c r="C37" s="376"/>
      <c r="D37" s="376"/>
      <c r="E37" s="376"/>
      <c r="F37" s="376"/>
    </row>
    <row r="39" spans="1:6">
      <c r="B39" s="207" t="s">
        <v>224</v>
      </c>
      <c r="C39" s="108">
        <f>scaling_factor</f>
        <v>1000</v>
      </c>
    </row>
    <row r="40" spans="1:6" ht="24.6" customHeight="1">
      <c r="B40" s="374" t="s">
        <v>225</v>
      </c>
      <c r="C40" s="374"/>
      <c r="D40" s="374"/>
      <c r="E40" s="374"/>
      <c r="F40" s="374"/>
    </row>
    <row r="41" spans="1:6">
      <c r="B41" s="47" t="s">
        <v>226</v>
      </c>
      <c r="C41" s="343">
        <f>Normalized_FCF!C8</f>
        <v>25730687.208000004</v>
      </c>
      <c r="D41" s="1" t="str">
        <f>Reporting_currency</f>
        <v>CNY</v>
      </c>
    </row>
    <row r="42" spans="1:6">
      <c r="B42" s="47"/>
      <c r="C42" s="76"/>
    </row>
    <row r="43" spans="1:6" ht="24.6" customHeight="1">
      <c r="B43" s="374" t="s">
        <v>227</v>
      </c>
      <c r="C43" s="374"/>
      <c r="D43" s="374"/>
      <c r="E43" s="374"/>
      <c r="F43" s="374"/>
    </row>
    <row r="44" spans="1:6">
      <c r="B44" s="47" t="s">
        <v>228</v>
      </c>
      <c r="C44" s="343">
        <f>Normalized_FCF!C9</f>
        <v>0</v>
      </c>
      <c r="D44" s="1" t="str">
        <f>Reporting_currency</f>
        <v>CNY</v>
      </c>
    </row>
    <row r="45" spans="1:6">
      <c r="B45" s="52" t="s">
        <v>229</v>
      </c>
      <c r="C45" s="343">
        <f>Normalized_FCF!C10</f>
        <v>0</v>
      </c>
      <c r="D45" s="1" t="str">
        <f>Reporting_currency</f>
        <v>CNY</v>
      </c>
    </row>
    <row r="47" spans="1:6">
      <c r="B47" s="374" t="s">
        <v>230</v>
      </c>
      <c r="C47" s="374"/>
      <c r="D47" s="374"/>
      <c r="E47" s="374"/>
      <c r="F47" s="374"/>
    </row>
    <row r="48" spans="1:6">
      <c r="B48" s="47" t="s">
        <v>231</v>
      </c>
      <c r="C48" s="343">
        <f>Normalized_FCF!C11</f>
        <v>0</v>
      </c>
      <c r="D48" s="1" t="str">
        <f>Reporting_currency</f>
        <v>CNY</v>
      </c>
    </row>
    <row r="50" spans="2:6">
      <c r="B50" s="374" t="s">
        <v>234</v>
      </c>
      <c r="C50" s="374"/>
      <c r="D50" s="374"/>
      <c r="E50" s="374"/>
      <c r="F50" s="374"/>
    </row>
    <row r="51" spans="2:6">
      <c r="B51" s="47" t="s">
        <v>327</v>
      </c>
      <c r="C51" s="344">
        <f>Normalized_FCF!C46</f>
        <v>0</v>
      </c>
      <c r="D51" s="1" t="str">
        <f>Reporting_currency</f>
        <v>CNY</v>
      </c>
      <c r="E51" s="283"/>
      <c r="F51" s="283"/>
    </row>
    <row r="52" spans="2:6">
      <c r="B52" s="47" t="s">
        <v>328</v>
      </c>
      <c r="C52" s="344">
        <f>Normalized_FCF!C45</f>
        <v>-1337038</v>
      </c>
      <c r="D52" s="1" t="str">
        <f>Reporting_currency</f>
        <v>CNY</v>
      </c>
      <c r="E52" s="283"/>
      <c r="F52" s="283"/>
    </row>
    <row r="53" spans="2:6">
      <c r="B53" s="47" t="s">
        <v>232</v>
      </c>
      <c r="C53" s="343">
        <f>Normalized_FCF!C12</f>
        <v>-1337038</v>
      </c>
      <c r="D53" s="1" t="str">
        <f>Reporting_currency</f>
        <v>CNY</v>
      </c>
    </row>
    <row r="55" spans="2:6">
      <c r="B55" s="1" t="s">
        <v>240</v>
      </c>
    </row>
    <row r="56" spans="2:6">
      <c r="B56" s="47" t="s">
        <v>258</v>
      </c>
      <c r="C56" s="343">
        <f>Normalized_FCF!C15</f>
        <v>0</v>
      </c>
      <c r="D56" s="1" t="str">
        <f>Reporting_currency</f>
        <v>CNY</v>
      </c>
    </row>
    <row r="58" spans="2:6">
      <c r="B58" s="374" t="s">
        <v>235</v>
      </c>
      <c r="C58" s="374"/>
      <c r="D58" s="374"/>
      <c r="E58" s="374"/>
      <c r="F58" s="374"/>
    </row>
    <row r="59" spans="2:6">
      <c r="B59" s="47" t="s">
        <v>233</v>
      </c>
      <c r="C59" s="343">
        <f>Normalized_FCF!C14</f>
        <v>-6098412.3020000011</v>
      </c>
      <c r="D59" s="1" t="str">
        <f>Reporting_currency</f>
        <v>CNY</v>
      </c>
    </row>
    <row r="61" spans="2:6">
      <c r="B61" s="374" t="s">
        <v>325</v>
      </c>
      <c r="C61" s="375"/>
      <c r="D61" s="375"/>
      <c r="E61" s="375"/>
      <c r="F61" s="375"/>
    </row>
    <row r="62" spans="2:6">
      <c r="B62" s="47" t="s">
        <v>236</v>
      </c>
      <c r="C62" s="343">
        <f>Normalized_FCF!C17</f>
        <v>0</v>
      </c>
      <c r="D62" s="1" t="str">
        <f>Reporting_currency</f>
        <v>CNY</v>
      </c>
    </row>
    <row r="64" spans="2:6" ht="24.6" customHeight="1">
      <c r="B64" s="373" t="s">
        <v>330</v>
      </c>
      <c r="C64" s="373"/>
      <c r="D64" s="373"/>
      <c r="E64" s="373"/>
      <c r="F64" s="373"/>
    </row>
    <row r="65" spans="1:6" ht="24.6" customHeight="1">
      <c r="B65" s="373" t="s">
        <v>345</v>
      </c>
      <c r="C65" s="373"/>
      <c r="D65" s="373"/>
      <c r="E65" s="373"/>
      <c r="F65" s="373"/>
    </row>
    <row r="67" spans="1:6">
      <c r="B67" s="47" t="s">
        <v>262</v>
      </c>
      <c r="C67" s="343">
        <f>Normalized_FCF!G19</f>
        <v>30511267</v>
      </c>
      <c r="D67" s="1" t="str">
        <f>Reporting_currency</f>
        <v>CNY</v>
      </c>
    </row>
    <row r="68" spans="1:6">
      <c r="B68" s="47" t="s">
        <v>242</v>
      </c>
      <c r="C68" s="343">
        <f>Normalized_FCF!C19</f>
        <v>18295236.906000003</v>
      </c>
      <c r="D68" s="1" t="str">
        <f>Reporting_currency</f>
        <v>CNY</v>
      </c>
    </row>
    <row r="69" spans="1:6">
      <c r="B69" s="224" t="s">
        <v>368</v>
      </c>
      <c r="C69" s="92">
        <f>Normalized_FCF!C124</f>
        <v>2.2261839610109361E-2</v>
      </c>
      <c r="F69" s="311"/>
    </row>
    <row r="70" spans="1:6">
      <c r="B70" s="224" t="s">
        <v>424</v>
      </c>
      <c r="C70" s="92">
        <f>Normalized_FCF!C92</f>
        <v>0</v>
      </c>
      <c r="E70" s="47" t="s">
        <v>414</v>
      </c>
      <c r="F70" s="312">
        <f>Normalized_FCF!C90</f>
        <v>0</v>
      </c>
    </row>
    <row r="72" spans="1:6">
      <c r="B72" s="207" t="s">
        <v>417</v>
      </c>
      <c r="C72" s="319" t="s">
        <v>419</v>
      </c>
      <c r="D72" s="319" t="s">
        <v>420</v>
      </c>
    </row>
    <row r="73" spans="1:6">
      <c r="B73" s="47" t="s">
        <v>418</v>
      </c>
      <c r="C73" s="92">
        <f>Normalized_FCF!C119</f>
        <v>0.1323601282543268</v>
      </c>
      <c r="D73" s="92">
        <f>Normalized_FCF!G119</f>
        <v>0.17737357071089666</v>
      </c>
    </row>
    <row r="74" spans="1:6">
      <c r="B74" s="256" t="str">
        <f>Normalized_FCF!B116</f>
        <v>Pre-tax Profit/Sales</v>
      </c>
      <c r="C74" s="318">
        <f>Normalized_FCF!C116</f>
        <v>6.0214894125991673E-2</v>
      </c>
      <c r="D74" s="318">
        <f>Normalized_FCF!G116</f>
        <v>9.6831554232857997E-2</v>
      </c>
    </row>
    <row r="75" spans="1:6">
      <c r="B75" s="256" t="str">
        <f>Normalized_FCF!B117</f>
        <v>Sales/Total Assets</v>
      </c>
      <c r="C75" s="320">
        <f>Normalized_FCF!C117</f>
        <v>1.2268689589214112</v>
      </c>
      <c r="D75" s="320">
        <f>Normalized_FCF!G117</f>
        <v>1.022390799101176</v>
      </c>
    </row>
    <row r="76" spans="1:6">
      <c r="B76" s="256" t="str">
        <f>Normalized_FCF!B118</f>
        <v>Total Assets/Equity</v>
      </c>
      <c r="C76" s="320">
        <f>Normalized_FCF!C118</f>
        <v>1.7916578376478161</v>
      </c>
      <c r="D76" s="320">
        <f>Normalized_FCF!G118</f>
        <v>1.7916578376478161</v>
      </c>
    </row>
    <row r="78" spans="1:6" ht="13.9">
      <c r="A78" s="219" t="s">
        <v>460</v>
      </c>
      <c r="B78" s="36"/>
      <c r="C78" s="36"/>
      <c r="D78" s="36"/>
      <c r="E78" s="36"/>
      <c r="F78" s="36"/>
    </row>
    <row r="79" spans="1:6">
      <c r="A79" s="206"/>
    </row>
    <row r="80" spans="1:6">
      <c r="A80" s="17"/>
      <c r="B80" s="373" t="s">
        <v>461</v>
      </c>
      <c r="C80" s="373"/>
      <c r="D80" s="373"/>
      <c r="E80" s="373"/>
      <c r="F80" s="373"/>
    </row>
    <row r="81" spans="1:6">
      <c r="B81" s="376" t="s">
        <v>245</v>
      </c>
      <c r="C81" s="376"/>
      <c r="D81" s="376"/>
      <c r="E81" s="376"/>
      <c r="F81" s="376"/>
    </row>
    <row r="83" spans="1:6">
      <c r="B83" s="207" t="s">
        <v>224</v>
      </c>
    </row>
    <row r="84" spans="1:6">
      <c r="B84" s="1" t="s">
        <v>404</v>
      </c>
      <c r="C84" s="92">
        <f>F31</f>
        <v>7.4999999999999997E-2</v>
      </c>
    </row>
    <row r="85" spans="1:6">
      <c r="B85" s="1" t="s">
        <v>403</v>
      </c>
      <c r="C85" s="92">
        <f>IF(C23="Y",1%,0)+IF(C24="Y",1%,0)</f>
        <v>0</v>
      </c>
    </row>
    <row r="86" spans="1:6">
      <c r="B86" s="80" t="s">
        <v>241</v>
      </c>
      <c r="C86" s="233">
        <f>F31+C85</f>
        <v>7.4999999999999997E-2</v>
      </c>
    </row>
    <row r="87" spans="1:6">
      <c r="C87" s="121"/>
    </row>
    <row r="88" spans="1:6">
      <c r="B88" s="290" t="s">
        <v>343</v>
      </c>
      <c r="C88" s="121"/>
    </row>
    <row r="89" spans="1:6" ht="24.6" customHeight="1">
      <c r="B89" s="373" t="s">
        <v>346</v>
      </c>
      <c r="C89" s="373"/>
      <c r="D89" s="373"/>
      <c r="E89" s="373"/>
      <c r="F89" s="373"/>
    </row>
    <row r="90" spans="1:6" ht="24.6" customHeight="1">
      <c r="B90" s="373" t="s">
        <v>347</v>
      </c>
      <c r="C90" s="373"/>
      <c r="D90" s="373"/>
      <c r="E90" s="373"/>
      <c r="F90" s="373"/>
    </row>
    <row r="92" spans="1:6">
      <c r="B92" s="47" t="s">
        <v>244</v>
      </c>
      <c r="C92" s="233">
        <v>0</v>
      </c>
    </row>
    <row r="93" spans="1:6">
      <c r="B93" s="47" t="s">
        <v>272</v>
      </c>
      <c r="C93" s="220">
        <f>DCF!C6*scaling_factor*Exchange_Rate/Common_Shares</f>
        <v>28.762296776261294</v>
      </c>
      <c r="D93" s="1" t="str">
        <f>Market_currency</f>
        <v>HKD</v>
      </c>
    </row>
    <row r="95" spans="1:6" ht="13.9">
      <c r="A95" s="219" t="s">
        <v>344</v>
      </c>
      <c r="B95" s="36"/>
      <c r="C95" s="36"/>
      <c r="D95" s="36"/>
      <c r="E95" s="36"/>
      <c r="F95" s="36"/>
    </row>
    <row r="96" spans="1:6">
      <c r="A96" s="206"/>
    </row>
    <row r="97" spans="2:6">
      <c r="B97" s="373" t="s">
        <v>348</v>
      </c>
      <c r="C97" s="373"/>
      <c r="D97" s="373"/>
      <c r="E97" s="373"/>
      <c r="F97" s="373"/>
    </row>
    <row r="98" spans="2:6">
      <c r="B98" s="1" t="s">
        <v>246</v>
      </c>
    </row>
    <row r="100" spans="2:6">
      <c r="B100" s="207" t="s">
        <v>224</v>
      </c>
    </row>
    <row r="101" spans="2:6" ht="24.6" customHeight="1">
      <c r="B101" s="373" t="s">
        <v>331</v>
      </c>
      <c r="C101" s="373"/>
      <c r="D101" s="373"/>
      <c r="E101" s="373"/>
      <c r="F101" s="373"/>
    </row>
    <row r="102" spans="2:6">
      <c r="B102" s="47" t="s">
        <v>248</v>
      </c>
      <c r="C102" s="343">
        <f>DCF!C7</f>
        <v>50977402</v>
      </c>
      <c r="D102" s="1" t="str">
        <f>Reporting_currency</f>
        <v>CNY</v>
      </c>
    </row>
    <row r="103" spans="2:6">
      <c r="B103" s="47" t="s">
        <v>273</v>
      </c>
      <c r="C103" s="220">
        <f>C102*scaling_factor*Exchange_Rate/Common_Shares</f>
        <v>6.0106921793641295</v>
      </c>
      <c r="D103" s="1" t="str">
        <f>Market_currency</f>
        <v>HKD</v>
      </c>
    </row>
    <row r="104" spans="2:6">
      <c r="B104" s="293" t="s">
        <v>381</v>
      </c>
      <c r="C104" s="321">
        <f>IF(BS!G31/BS!G27&gt;300%,"nm",BS!G31/BS!G27)</f>
        <v>0.27660377540313014</v>
      </c>
    </row>
    <row r="105" spans="2:6">
      <c r="B105" s="293" t="s">
        <v>383</v>
      </c>
      <c r="C105" s="322">
        <f>IF(BS!C50&gt;30,"nm",BS!C50)</f>
        <v>1.9811908476408848</v>
      </c>
    </row>
    <row r="107" spans="2:6">
      <c r="B107" s="1" t="s">
        <v>247</v>
      </c>
    </row>
    <row r="108" spans="2:6">
      <c r="B108" s="47" t="s">
        <v>257</v>
      </c>
      <c r="C108" s="343">
        <f>BS!C66</f>
        <v>119577005</v>
      </c>
      <c r="D108" s="1" t="str">
        <f>Reporting_currency</f>
        <v>CNY</v>
      </c>
    </row>
    <row r="109" spans="2:6">
      <c r="B109" s="47" t="s">
        <v>259</v>
      </c>
      <c r="C109" s="343">
        <f>DCF!C8</f>
        <v>56347137.668000005</v>
      </c>
      <c r="D109" s="1" t="str">
        <f>Reporting_currency</f>
        <v>CNY</v>
      </c>
    </row>
    <row r="110" spans="2:6">
      <c r="B110" s="47" t="s">
        <v>274</v>
      </c>
      <c r="C110" s="220">
        <f>C109*scaling_factor*Exchange_Rate/Common_Shares</f>
        <v>6.6438320985954054</v>
      </c>
      <c r="D110" s="1" t="str">
        <f>Market_currency</f>
        <v>HKD</v>
      </c>
    </row>
    <row r="112" spans="2:6">
      <c r="B112" s="1" t="s">
        <v>249</v>
      </c>
    </row>
    <row r="113" spans="1:6">
      <c r="B113" s="47" t="s">
        <v>250</v>
      </c>
      <c r="C113" s="343">
        <f>DCF!C9</f>
        <v>57918846.499999993</v>
      </c>
      <c r="D113" s="1" t="str">
        <f>Reporting_currency</f>
        <v>CNY</v>
      </c>
    </row>
    <row r="114" spans="1:6">
      <c r="B114" s="47" t="s">
        <v>275</v>
      </c>
      <c r="C114" s="220">
        <f>C113*scaling_factor*Exchange_Rate/Common_Shares</f>
        <v>6.829150643952814</v>
      </c>
      <c r="D114" s="1" t="str">
        <f>Market_currency</f>
        <v>HKD</v>
      </c>
    </row>
    <row r="116" spans="1:6" ht="24.6" customHeight="1">
      <c r="B116" s="373" t="s">
        <v>349</v>
      </c>
      <c r="C116" s="373"/>
      <c r="D116" s="373"/>
      <c r="E116" s="373"/>
      <c r="F116" s="373"/>
    </row>
    <row r="118" spans="1:6">
      <c r="B118" s="47" t="s">
        <v>415</v>
      </c>
      <c r="C118" s="220">
        <f>IF(valuation_method="DCF",DCF!C12,#REF!)</f>
        <v>36.224587339445385</v>
      </c>
      <c r="D118" s="1" t="str">
        <f>Market_currency</f>
        <v>HKD</v>
      </c>
    </row>
    <row r="119" spans="1:6">
      <c r="B119" s="293" t="s">
        <v>539</v>
      </c>
      <c r="C119" s="220">
        <f>BS!D47</f>
        <v>3.4814224065804482</v>
      </c>
      <c r="D119" s="1" t="str">
        <f>Market_currency</f>
        <v>HKD</v>
      </c>
    </row>
    <row r="121" spans="1:6" ht="13.9">
      <c r="A121" s="219" t="s">
        <v>462</v>
      </c>
      <c r="B121" s="36"/>
      <c r="C121" s="36"/>
      <c r="D121" s="36"/>
      <c r="E121" s="36"/>
      <c r="F121" s="36"/>
    </row>
    <row r="123" spans="1:6">
      <c r="B123" s="374" t="s">
        <v>463</v>
      </c>
      <c r="C123" s="374"/>
      <c r="D123" s="374"/>
      <c r="E123" s="374"/>
      <c r="F123" s="374"/>
    </row>
    <row r="125" spans="1:6" ht="12.4">
      <c r="B125" s="230" t="s">
        <v>113</v>
      </c>
      <c r="C125" s="230" t="s">
        <v>127</v>
      </c>
      <c r="D125" s="230" t="s">
        <v>108</v>
      </c>
      <c r="E125" s="230" t="s">
        <v>252</v>
      </c>
      <c r="F125" s="230" t="s">
        <v>142</v>
      </c>
    </row>
    <row r="126" spans="1:6">
      <c r="B126" s="225" t="str">
        <f>DCF!B74</f>
        <v>Snowball Scenario</v>
      </c>
      <c r="C126" s="226">
        <f>DCF!C74</f>
        <v>0.34</v>
      </c>
      <c r="D126" s="227">
        <f>DCF!D74</f>
        <v>10</v>
      </c>
      <c r="E126" s="228" t="str">
        <f>ROUND(IF(valuation_method="DCF",DCF!E74,#REF!),2)&amp;" "&amp;Market_currency</f>
        <v>346.02 HKD</v>
      </c>
      <c r="F126" s="229">
        <f>DCF!F74</f>
        <v>0.05</v>
      </c>
    </row>
    <row r="127" spans="1:6">
      <c r="B127" s="215" t="str">
        <f>DCF!B75</f>
        <v>Optimistic</v>
      </c>
      <c r="C127" s="216">
        <f>DCF!C75</f>
        <v>0.28000000000000003</v>
      </c>
      <c r="D127" s="217">
        <f>DCF!D75</f>
        <v>10</v>
      </c>
      <c r="E127" s="228" t="str">
        <f>ROUND(IF(valuation_method="DCF",DCF!E75,#REF!),2)&amp;" "&amp;Market_currency</f>
        <v>254.77 HKD</v>
      </c>
      <c r="F127" s="218">
        <f>DCF!F75</f>
        <v>0.18</v>
      </c>
    </row>
    <row r="128" spans="1:6">
      <c r="B128" s="215" t="str">
        <f>DCF!B76</f>
        <v>Base</v>
      </c>
      <c r="C128" s="216">
        <f>DCF!C76</f>
        <v>0.22</v>
      </c>
      <c r="D128" s="217">
        <f>DCF!D76</f>
        <v>10</v>
      </c>
      <c r="E128" s="228" t="str">
        <f>ROUND(IF(valuation_method="DCF",DCF!E76,#REF!),2)&amp;" "&amp;Market_currency</f>
        <v>186.45 HKD</v>
      </c>
      <c r="F128" s="218">
        <f>DCF!F76</f>
        <v>0.53999999999999992</v>
      </c>
    </row>
    <row r="129" spans="1:6">
      <c r="B129" s="215" t="str">
        <f>DCF!B77</f>
        <v>Pessimistic</v>
      </c>
      <c r="C129" s="216">
        <f>DCF!C77</f>
        <v>0.16</v>
      </c>
      <c r="D129" s="217">
        <f>DCF!D77</f>
        <v>10</v>
      </c>
      <c r="E129" s="228" t="str">
        <f>ROUND(IF(valuation_method="DCF",DCF!E77,#REF!),2)&amp;" "&amp;Market_currency</f>
        <v>135.77 HKD</v>
      </c>
      <c r="F129" s="218">
        <f>DCF!F77</f>
        <v>0.18</v>
      </c>
    </row>
    <row r="130" spans="1:6">
      <c r="B130" s="215" t="str">
        <f>DCF!B78</f>
        <v>Devil's advocate</v>
      </c>
      <c r="C130" s="216">
        <f>DCF!C78</f>
        <v>0.1</v>
      </c>
      <c r="D130" s="217">
        <f>DCF!D78</f>
        <v>10</v>
      </c>
      <c r="E130" s="228" t="str">
        <f>ROUND(IF(valuation_method="DCF",DCF!E78,#REF!),2)&amp;" "&amp;Market_currency</f>
        <v>98.52 HKD</v>
      </c>
      <c r="F130" s="218">
        <f>DCF!F78</f>
        <v>0.05</v>
      </c>
    </row>
    <row r="132" spans="1:6">
      <c r="B132" s="208" t="s">
        <v>251</v>
      </c>
      <c r="C132" s="214">
        <f>Scenarios!C60</f>
        <v>193.20915464851782</v>
      </c>
      <c r="D132" s="209" t="str">
        <f>Market_currency</f>
        <v>HKD</v>
      </c>
    </row>
    <row r="134" spans="1:6" ht="24.6" customHeight="1">
      <c r="B134" s="377" t="s">
        <v>464</v>
      </c>
      <c r="C134" s="377"/>
      <c r="D134" s="377"/>
      <c r="E134" s="377"/>
      <c r="F134" s="377"/>
    </row>
    <row r="136" spans="1:6" ht="13.9">
      <c r="A136" s="219" t="s">
        <v>465</v>
      </c>
      <c r="B136" s="36"/>
      <c r="C136" s="36"/>
      <c r="D136" s="36"/>
      <c r="E136" s="36"/>
      <c r="F136" s="36"/>
    </row>
    <row r="138" spans="1:6">
      <c r="B138" s="378" t="s">
        <v>350</v>
      </c>
      <c r="C138" s="378"/>
      <c r="D138" s="378"/>
      <c r="E138" s="378"/>
      <c r="F138" s="378"/>
    </row>
    <row r="139" spans="1:6">
      <c r="B139" s="373" t="s">
        <v>466</v>
      </c>
      <c r="C139" s="373"/>
      <c r="D139" s="373"/>
      <c r="E139" s="373"/>
      <c r="F139" s="373"/>
    </row>
    <row r="140" spans="1:6">
      <c r="B140" s="207" t="s">
        <v>224</v>
      </c>
    </row>
    <row r="141" spans="1:6">
      <c r="B141" s="1" t="s">
        <v>256</v>
      </c>
      <c r="C141" s="222">
        <f>F28</f>
        <v>3</v>
      </c>
    </row>
    <row r="142" spans="1:6">
      <c r="B142" s="1" t="s">
        <v>268</v>
      </c>
      <c r="C142" s="221">
        <f>F29</f>
        <v>0.35</v>
      </c>
    </row>
    <row r="143" spans="1:6">
      <c r="B143" s="209" t="s">
        <v>254</v>
      </c>
      <c r="C143" s="210">
        <f>Scenarios!C82</f>
        <v>0</v>
      </c>
      <c r="D143" s="209" t="str">
        <f>Market_currency</f>
        <v>HKD</v>
      </c>
    </row>
    <row r="145" spans="2:4">
      <c r="B145" s="207" t="s">
        <v>385</v>
      </c>
      <c r="C145" s="238" t="str">
        <f>C11</f>
        <v>3690.HK</v>
      </c>
      <c r="D145" s="238" t="str">
        <f>IF(D11="","",D11)</f>
        <v/>
      </c>
    </row>
    <row r="146" spans="2:4">
      <c r="B146" s="1" t="s">
        <v>384</v>
      </c>
      <c r="C146" s="294">
        <f>F29</f>
        <v>0.35</v>
      </c>
    </row>
    <row r="147" spans="2:4">
      <c r="B147" s="209" t="str">
        <f>"PV("&amp;C141&amp;" yrs of Dividends)"</f>
        <v>PV(3 yrs of Dividends)</v>
      </c>
      <c r="C147" s="213">
        <f>Scenarios!C86</f>
        <v>0</v>
      </c>
    </row>
    <row r="148" spans="2:4">
      <c r="B148" s="209" t="str">
        <f>"+ PV(Equity Value realized at year "&amp;C141&amp;")"</f>
        <v>+ PV(Equity Value realized at year 3)</v>
      </c>
      <c r="C148" s="213">
        <f>Scenarios!C87</f>
        <v>78.528335984765647</v>
      </c>
    </row>
    <row r="149" spans="2:4">
      <c r="B149" s="80" t="s">
        <v>253</v>
      </c>
      <c r="C149" s="212">
        <f>Scenarios!C88</f>
        <v>78.528335984765647</v>
      </c>
      <c r="D149" s="297" t="str">
        <f>IF($D$11="","",C149*$E$25)</f>
        <v/>
      </c>
    </row>
    <row r="150" spans="2:4">
      <c r="B150" s="256" t="s">
        <v>392</v>
      </c>
      <c r="C150" s="295" t="str">
        <f>Market_currency</f>
        <v>HKD</v>
      </c>
      <c r="D150" s="295" t="str">
        <f>IF($D$11="","",D$13)</f>
        <v/>
      </c>
    </row>
    <row r="151" spans="2:4">
      <c r="B151" s="211" t="s">
        <v>255</v>
      </c>
      <c r="C151" s="92">
        <f>Scenarios!F88</f>
        <v>0.59355789259767322</v>
      </c>
    </row>
    <row r="153" spans="2:4">
      <c r="B153" s="207" t="s">
        <v>388</v>
      </c>
    </row>
    <row r="154" spans="2:4">
      <c r="B154" s="1" t="s">
        <v>387</v>
      </c>
      <c r="C154" s="294">
        <f>Scenarios!C95</f>
        <v>0.25</v>
      </c>
    </row>
    <row r="155" spans="2:4">
      <c r="B155" s="209" t="str">
        <f>"PV("&amp;C141&amp;" yrs of Dividends)"</f>
        <v>PV(3 yrs of Dividends)</v>
      </c>
      <c r="C155" s="213">
        <f>Scenarios!C96</f>
        <v>0</v>
      </c>
    </row>
    <row r="156" spans="2:4">
      <c r="B156" s="209" t="str">
        <f>"+ PV(Equity Value realized at year "&amp;C141&amp;")"</f>
        <v>+ PV(Equity Value realized at year 3)</v>
      </c>
      <c r="C156" s="213">
        <f>Scenarios!C97</f>
        <v>98.923087180041122</v>
      </c>
    </row>
    <row r="157" spans="2:4">
      <c r="B157" s="80" t="s">
        <v>253</v>
      </c>
      <c r="C157" s="212">
        <f>Scenarios!C98</f>
        <v>98.923087180041122</v>
      </c>
      <c r="D157" s="297" t="str">
        <f>IF($D$11="","",C157*$E$25)</f>
        <v/>
      </c>
    </row>
    <row r="158" spans="2:4">
      <c r="B158" s="256" t="s">
        <v>392</v>
      </c>
      <c r="C158" s="295" t="str">
        <f>Market_currency</f>
        <v>HKD</v>
      </c>
      <c r="D158" s="295" t="str">
        <f>IF($D$11="","",D$13)</f>
        <v/>
      </c>
    </row>
    <row r="159" spans="2:4">
      <c r="B159" s="211" t="s">
        <v>255</v>
      </c>
      <c r="C159" s="92">
        <f>Scenarios!F98</f>
        <v>0.48799999999999999</v>
      </c>
    </row>
    <row r="161" spans="2:4">
      <c r="B161" s="207" t="s">
        <v>378</v>
      </c>
    </row>
    <row r="162" spans="2:4">
      <c r="B162" s="1" t="s">
        <v>386</v>
      </c>
      <c r="C162" s="92">
        <f>Scenarios!C101</f>
        <v>7.4999999999999997E-2</v>
      </c>
    </row>
    <row r="163" spans="2:4">
      <c r="B163" s="209" t="str">
        <f>"PV("&amp;C141&amp;" yrs of Dividends)"</f>
        <v>PV(3 yrs of Dividends)</v>
      </c>
      <c r="C163" s="213">
        <f>Scenarios!C102</f>
        <v>0</v>
      </c>
    </row>
    <row r="164" spans="2:4">
      <c r="B164" s="209" t="str">
        <f>"+ PV(Equity Value realized at year "&amp;C141&amp;")"</f>
        <v>+ PV(Equity Value realized at year 3)</v>
      </c>
      <c r="C164" s="213">
        <f>Scenarios!C103</f>
        <v>155.52575116033987</v>
      </c>
    </row>
    <row r="165" spans="2:4">
      <c r="B165" s="80" t="s">
        <v>379</v>
      </c>
      <c r="C165" s="212">
        <f>Scenarios!C104</f>
        <v>155.52575116033987</v>
      </c>
      <c r="D165" s="297" t="str">
        <f>IF($D$11="","",C165*$E$25)</f>
        <v/>
      </c>
    </row>
    <row r="166" spans="2:4">
      <c r="B166" s="256" t="s">
        <v>392</v>
      </c>
      <c r="C166" s="295" t="str">
        <f>Market_currency</f>
        <v>HKD</v>
      </c>
      <c r="D166" s="295" t="str">
        <f>IF($D$11="","",D$13)</f>
        <v/>
      </c>
    </row>
    <row r="167" spans="2:4">
      <c r="B167" s="211" t="s">
        <v>255</v>
      </c>
      <c r="C167" s="92">
        <f>Scenarios!F104</f>
        <v>0.19503943049039696</v>
      </c>
    </row>
    <row r="169" spans="2:4">
      <c r="B169" s="207" t="s">
        <v>405</v>
      </c>
    </row>
    <row r="170" spans="2:4">
      <c r="B170" s="1" t="s">
        <v>396</v>
      </c>
      <c r="C170" s="92">
        <f>F32</f>
        <v>0.1174</v>
      </c>
    </row>
    <row r="171" spans="2:4">
      <c r="B171" s="209" t="str">
        <f>"PV("&amp;C141&amp;" yrs of Dividends)"</f>
        <v>PV(3 yrs of Dividends)</v>
      </c>
      <c r="C171" s="213">
        <f>Scenarios!C108</f>
        <v>0</v>
      </c>
    </row>
    <row r="172" spans="2:4">
      <c r="B172" s="209" t="str">
        <f>"+ PV(Equity Value realized at year "&amp;C141&amp;")"</f>
        <v>+ PV(Equity Value realized at year 3)</v>
      </c>
      <c r="C172" s="213">
        <f>Scenarios!C109</f>
        <v>138.48466961992941</v>
      </c>
    </row>
    <row r="173" spans="2:4">
      <c r="B173" s="80" t="s">
        <v>379</v>
      </c>
      <c r="C173" s="212">
        <f>Scenarios!C110</f>
        <v>138.48466961992941</v>
      </c>
      <c r="D173" s="297" t="str">
        <f>IF($D$11="","",C173*$E$25)</f>
        <v/>
      </c>
    </row>
    <row r="174" spans="2:4">
      <c r="B174" s="256" t="s">
        <v>392</v>
      </c>
      <c r="C174" s="295" t="str">
        <f>Market_currency</f>
        <v>HKD</v>
      </c>
      <c r="D174" s="295" t="str">
        <f>IF($D$11="","",D$13)</f>
        <v/>
      </c>
    </row>
    <row r="175" spans="2:4">
      <c r="B175" s="211" t="s">
        <v>255</v>
      </c>
      <c r="C175" s="92">
        <f>Scenarios!F110</f>
        <v>0.28325363688479588</v>
      </c>
    </row>
    <row r="177" spans="1:6" ht="13.9">
      <c r="A177" s="219" t="s">
        <v>354</v>
      </c>
      <c r="B177" s="36"/>
      <c r="C177" s="36"/>
      <c r="D177" s="36"/>
      <c r="E177" s="36"/>
      <c r="F177" s="36"/>
    </row>
    <row r="179" spans="1:6">
      <c r="B179" s="372" t="s">
        <v>467</v>
      </c>
      <c r="C179" s="373"/>
      <c r="D179" s="373"/>
      <c r="E179" s="373"/>
      <c r="F179" s="373"/>
    </row>
    <row r="181" spans="1:6">
      <c r="B181" s="207" t="s">
        <v>355</v>
      </c>
    </row>
    <row r="182" spans="1:6">
      <c r="B182" s="375" t="s">
        <v>359</v>
      </c>
      <c r="C182" s="375"/>
      <c r="D182" s="375"/>
      <c r="E182" s="375"/>
      <c r="F182" s="375"/>
    </row>
    <row r="183" spans="1:6">
      <c r="B183" s="211" t="s">
        <v>356</v>
      </c>
    </row>
    <row r="184" spans="1:6">
      <c r="B184" s="211" t="s">
        <v>357</v>
      </c>
    </row>
    <row r="185" spans="1:6">
      <c r="B185" s="211" t="s">
        <v>358</v>
      </c>
    </row>
    <row r="187" spans="1:6">
      <c r="B187" s="1" t="s">
        <v>362</v>
      </c>
    </row>
    <row r="188" spans="1:6" ht="34.35" customHeight="1">
      <c r="B188" s="374" t="s">
        <v>468</v>
      </c>
      <c r="C188" s="374"/>
      <c r="D188" s="374"/>
      <c r="E188" s="374"/>
      <c r="F188" s="374"/>
    </row>
    <row r="190" spans="1:6">
      <c r="B190" s="1" t="s">
        <v>363</v>
      </c>
    </row>
    <row r="191" spans="1:6" ht="24.6" customHeight="1">
      <c r="B191" s="371" t="s">
        <v>360</v>
      </c>
      <c r="C191" s="371"/>
      <c r="D191" s="371"/>
      <c r="E191" s="371"/>
      <c r="F191" s="371"/>
    </row>
    <row r="192" spans="1:6" ht="24.6" customHeight="1">
      <c r="B192" s="371" t="s">
        <v>361</v>
      </c>
      <c r="C192" s="371"/>
      <c r="D192" s="371"/>
      <c r="E192" s="371"/>
      <c r="F192" s="371"/>
    </row>
    <row r="194" spans="2:2">
      <c r="B194" s="1" t="s">
        <v>367</v>
      </c>
    </row>
    <row r="195" spans="2:2">
      <c r="B195" s="211" t="s">
        <v>364</v>
      </c>
    </row>
    <row r="196" spans="2:2">
      <c r="B196" s="211" t="s">
        <v>365</v>
      </c>
    </row>
    <row r="197" spans="2:2">
      <c r="B197" s="211" t="s">
        <v>366</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0" sqref="C10"/>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45">
        <v>337591576</v>
      </c>
      <c r="D4" s="345">
        <v>276744954</v>
      </c>
      <c r="E4" s="345">
        <v>219954948</v>
      </c>
      <c r="F4" s="345">
        <v>179127997</v>
      </c>
      <c r="G4" s="345">
        <v>114794510</v>
      </c>
      <c r="H4" s="345">
        <v>97528531</v>
      </c>
      <c r="I4" s="345">
        <v>65227278</v>
      </c>
      <c r="J4" s="345">
        <v>33927987</v>
      </c>
      <c r="K4" s="345">
        <v>12988077</v>
      </c>
      <c r="L4" s="345">
        <v>4018959</v>
      </c>
      <c r="M4" s="345"/>
    </row>
    <row r="5" spans="2:13">
      <c r="B5" s="40" t="s">
        <v>41</v>
      </c>
      <c r="C5" s="345">
        <v>207806982</v>
      </c>
      <c r="D5" s="345">
        <v>179553793</v>
      </c>
      <c r="E5" s="345">
        <v>158201969</v>
      </c>
      <c r="F5" s="345">
        <v>136653869</v>
      </c>
      <c r="G5" s="345">
        <v>80744368</v>
      </c>
      <c r="H5" s="345">
        <v>65208143</v>
      </c>
      <c r="I5" s="345">
        <v>50122320</v>
      </c>
      <c r="J5" s="345">
        <v>21708483</v>
      </c>
      <c r="K5" s="345">
        <v>7046841</v>
      </c>
      <c r="L5" s="345">
        <v>1239504</v>
      </c>
      <c r="M5" s="345"/>
    </row>
    <row r="6" spans="2:13">
      <c r="B6" s="40" t="s">
        <v>52</v>
      </c>
      <c r="C6" s="345">
        <v>74704438</v>
      </c>
      <c r="D6" s="345">
        <v>67989064</v>
      </c>
      <c r="E6" s="345">
        <v>49516922</v>
      </c>
      <c r="F6" s="345">
        <v>49295792</v>
      </c>
      <c r="G6" s="345">
        <v>26476580</v>
      </c>
      <c r="H6" s="345">
        <v>23158021</v>
      </c>
      <c r="I6" s="345">
        <v>21703593</v>
      </c>
      <c r="J6" s="345">
        <v>13080096</v>
      </c>
      <c r="K6" s="345">
        <v>10059737</v>
      </c>
      <c r="L6" s="345">
        <v>10046382</v>
      </c>
      <c r="M6" s="345"/>
    </row>
    <row r="7" spans="2:13">
      <c r="B7" s="69" t="s">
        <v>59</v>
      </c>
      <c r="C7" s="346">
        <v>63975235</v>
      </c>
      <c r="D7" s="346">
        <v>58616997</v>
      </c>
      <c r="E7" s="346">
        <v>39745112</v>
      </c>
      <c r="F7" s="346">
        <v>40683166</v>
      </c>
      <c r="G7" s="346">
        <v>20882685</v>
      </c>
      <c r="H7" s="346">
        <v>18819067</v>
      </c>
      <c r="I7" s="346">
        <v>15871901</v>
      </c>
      <c r="J7" s="346">
        <v>10908688</v>
      </c>
      <c r="K7" s="346">
        <v>8337132</v>
      </c>
      <c r="L7" s="346">
        <v>7140962</v>
      </c>
      <c r="M7" s="346"/>
    </row>
    <row r="8" spans="2:13">
      <c r="B8" s="40" t="s">
        <v>47</v>
      </c>
      <c r="C8" s="345">
        <v>21053601</v>
      </c>
      <c r="D8" s="345">
        <v>21201005</v>
      </c>
      <c r="E8" s="345">
        <v>20739865</v>
      </c>
      <c r="F8" s="345">
        <v>16675595</v>
      </c>
      <c r="G8" s="345">
        <v>10892514</v>
      </c>
      <c r="H8" s="345">
        <v>8445664</v>
      </c>
      <c r="I8" s="345">
        <v>7071900</v>
      </c>
      <c r="J8" s="345">
        <v>3646634</v>
      </c>
      <c r="K8" s="345">
        <v>2366674</v>
      </c>
      <c r="L8" s="345">
        <v>1204033</v>
      </c>
      <c r="M8" s="345"/>
    </row>
    <row r="9" spans="2:13">
      <c r="B9" s="40" t="s">
        <v>154</v>
      </c>
      <c r="C9" s="345"/>
      <c r="D9" s="345"/>
      <c r="E9" s="345"/>
      <c r="F9" s="345"/>
      <c r="G9" s="345"/>
      <c r="H9" s="345"/>
      <c r="I9" s="345"/>
      <c r="J9" s="345"/>
      <c r="K9" s="345"/>
      <c r="L9" s="345"/>
      <c r="M9" s="345"/>
    </row>
    <row r="10" spans="2:13">
      <c r="B10" s="40" t="s">
        <v>162</v>
      </c>
      <c r="C10" s="345"/>
      <c r="D10" s="345"/>
      <c r="E10" s="345"/>
      <c r="F10" s="345"/>
      <c r="G10" s="345"/>
      <c r="H10" s="345"/>
      <c r="I10" s="345"/>
      <c r="J10" s="345"/>
      <c r="K10" s="345"/>
      <c r="L10" s="345"/>
      <c r="M10" s="345"/>
    </row>
    <row r="11" spans="2:13">
      <c r="B11" s="40" t="s">
        <v>153</v>
      </c>
      <c r="C11" s="345"/>
      <c r="D11" s="345"/>
      <c r="E11" s="345"/>
      <c r="F11" s="345"/>
      <c r="G11" s="345"/>
      <c r="H11" s="345"/>
      <c r="I11" s="345"/>
      <c r="J11" s="345"/>
      <c r="K11" s="345"/>
      <c r="L11" s="345"/>
      <c r="M11" s="345"/>
    </row>
    <row r="12" spans="2:13">
      <c r="B12" s="40" t="s">
        <v>37</v>
      </c>
      <c r="C12" s="345">
        <v>1337038</v>
      </c>
      <c r="D12" s="345">
        <v>1425157</v>
      </c>
      <c r="E12" s="345">
        <v>1628825</v>
      </c>
      <c r="F12" s="345">
        <v>1130935</v>
      </c>
      <c r="G12" s="345">
        <v>0</v>
      </c>
      <c r="H12" s="345">
        <v>0</v>
      </c>
      <c r="I12" s="345">
        <v>0</v>
      </c>
      <c r="J12" s="345">
        <v>19214</v>
      </c>
      <c r="K12" s="345">
        <v>55981</v>
      </c>
      <c r="L12" s="345">
        <v>56561</v>
      </c>
      <c r="M12" s="345"/>
    </row>
    <row r="13" spans="2:13">
      <c r="B13" s="40" t="s">
        <v>65</v>
      </c>
      <c r="C13" s="345">
        <v>1291807</v>
      </c>
      <c r="D13" s="345">
        <v>818986</v>
      </c>
      <c r="E13" s="345">
        <v>657908</v>
      </c>
      <c r="F13" s="345">
        <v>546037</v>
      </c>
      <c r="G13" s="345">
        <v>0</v>
      </c>
      <c r="H13" s="345">
        <v>0</v>
      </c>
      <c r="I13" s="345">
        <v>294047</v>
      </c>
      <c r="J13" s="345">
        <v>60885</v>
      </c>
      <c r="K13" s="345">
        <v>21681</v>
      </c>
      <c r="L13" s="345">
        <v>13541</v>
      </c>
      <c r="M13" s="345"/>
    </row>
    <row r="14" spans="2:13">
      <c r="B14" s="40" t="s">
        <v>48</v>
      </c>
      <c r="C14" s="345">
        <v>2177107</v>
      </c>
      <c r="D14" s="345">
        <v>164537</v>
      </c>
      <c r="E14" s="345">
        <v>-70194</v>
      </c>
      <c r="F14" s="345">
        <v>-30279</v>
      </c>
      <c r="G14" s="345">
        <v>-269737</v>
      </c>
      <c r="H14" s="345">
        <v>526223</v>
      </c>
      <c r="I14" s="345">
        <v>1888</v>
      </c>
      <c r="J14" s="345">
        <v>54218</v>
      </c>
      <c r="K14" s="345">
        <v>267903</v>
      </c>
      <c r="L14" s="345">
        <v>-11648</v>
      </c>
      <c r="M14" s="345"/>
    </row>
    <row r="15" spans="2:13">
      <c r="B15" s="43" t="s">
        <v>40</v>
      </c>
      <c r="C15" s="347">
        <v>35807179</v>
      </c>
      <c r="D15" s="347"/>
      <c r="E15" s="347"/>
      <c r="F15" s="347"/>
      <c r="G15" s="347"/>
      <c r="H15" s="347"/>
      <c r="I15" s="347"/>
      <c r="J15" s="347"/>
      <c r="K15" s="347"/>
      <c r="L15" s="347"/>
      <c r="M15" s="347"/>
    </row>
    <row r="16" spans="2:13">
      <c r="B16" s="28" t="s">
        <v>42</v>
      </c>
      <c r="C16" s="345">
        <v>1143</v>
      </c>
      <c r="D16" s="345"/>
      <c r="E16" s="345"/>
      <c r="F16" s="345"/>
      <c r="G16" s="345"/>
      <c r="H16" s="345"/>
      <c r="I16" s="345"/>
      <c r="J16" s="345"/>
      <c r="K16" s="345"/>
      <c r="L16" s="345"/>
      <c r="M16" s="345"/>
    </row>
    <row r="18" spans="2:13">
      <c r="B18" s="16" t="s">
        <v>49</v>
      </c>
      <c r="C18" s="9"/>
    </row>
    <row r="19" spans="2:13">
      <c r="B19" s="27" t="s">
        <v>45</v>
      </c>
      <c r="C19" s="345"/>
      <c r="D19" s="345"/>
      <c r="E19" s="345"/>
      <c r="F19" s="345"/>
      <c r="G19" s="345"/>
      <c r="H19" s="345"/>
      <c r="I19" s="345"/>
      <c r="J19" s="345"/>
      <c r="K19" s="345"/>
      <c r="L19" s="345"/>
      <c r="M19" s="345"/>
    </row>
    <row r="20" spans="2:13">
      <c r="B20" s="27" t="s">
        <v>51</v>
      </c>
      <c r="C20" s="345"/>
      <c r="D20" s="345"/>
      <c r="E20" s="345"/>
      <c r="F20" s="345"/>
      <c r="G20" s="345"/>
      <c r="H20" s="345"/>
      <c r="I20" s="345"/>
      <c r="J20" s="345"/>
      <c r="K20" s="345"/>
      <c r="L20" s="345"/>
      <c r="M20" s="345"/>
    </row>
    <row r="21" spans="2:13">
      <c r="B21" s="27" t="s">
        <v>50</v>
      </c>
      <c r="C21" s="345"/>
      <c r="D21" s="345"/>
      <c r="E21" s="345"/>
      <c r="F21" s="345"/>
      <c r="G21" s="345"/>
      <c r="H21" s="345"/>
      <c r="I21" s="345"/>
      <c r="J21" s="345"/>
      <c r="K21" s="345"/>
      <c r="L21" s="345"/>
      <c r="M21" s="345"/>
    </row>
    <row r="22" spans="2:13">
      <c r="B22" s="27" t="s">
        <v>351</v>
      </c>
      <c r="C22" s="345">
        <v>-237258</v>
      </c>
      <c r="D22" s="345"/>
      <c r="E22" s="345"/>
      <c r="F22" s="345"/>
      <c r="G22" s="345"/>
      <c r="H22" s="345"/>
      <c r="I22" s="345"/>
      <c r="J22" s="345"/>
      <c r="K22" s="345"/>
      <c r="L22" s="345"/>
      <c r="M22" s="345"/>
    </row>
    <row r="23" spans="2:13">
      <c r="B23" s="27" t="s">
        <v>353</v>
      </c>
      <c r="C23" s="345">
        <v>23438</v>
      </c>
      <c r="D23" s="345"/>
      <c r="E23" s="345"/>
      <c r="F23" s="345"/>
      <c r="G23" s="345"/>
      <c r="H23" s="345"/>
      <c r="I23" s="345"/>
      <c r="J23" s="345"/>
      <c r="K23" s="345"/>
      <c r="L23" s="345"/>
      <c r="M23" s="345"/>
    </row>
    <row r="24" spans="2:13">
      <c r="B24" s="27" t="s">
        <v>352</v>
      </c>
      <c r="C24" s="345">
        <v>194894</v>
      </c>
      <c r="D24" s="345"/>
      <c r="E24" s="345"/>
      <c r="F24" s="345"/>
      <c r="G24" s="345"/>
      <c r="H24" s="345"/>
      <c r="I24" s="345"/>
      <c r="J24" s="345"/>
      <c r="K24" s="345"/>
      <c r="L24" s="345"/>
      <c r="M24" s="345"/>
    </row>
    <row r="25" spans="2:13">
      <c r="B25" s="24" t="str">
        <f>"Dividend per share ("&amp;Market_currency&amp;")"</f>
        <v>Dividend per share (HKD)</v>
      </c>
      <c r="C25" s="39">
        <v>0</v>
      </c>
      <c r="D25" s="39"/>
      <c r="E25" s="39"/>
      <c r="F25" s="39"/>
      <c r="G25" s="39"/>
      <c r="H25" s="39"/>
      <c r="I25" s="39"/>
      <c r="J25" s="39"/>
      <c r="K25" s="39"/>
      <c r="L25" s="39"/>
      <c r="M25" s="39"/>
    </row>
    <row r="27" spans="2:13">
      <c r="B27" s="16" t="s">
        <v>26</v>
      </c>
      <c r="C27" s="97" t="s">
        <v>213</v>
      </c>
    </row>
    <row r="28" spans="2:13">
      <c r="B28" s="26" t="s">
        <v>22</v>
      </c>
      <c r="C28" s="328">
        <f>BS!C4</f>
        <v>3141262</v>
      </c>
      <c r="D28" s="345"/>
      <c r="E28" s="345"/>
      <c r="F28" s="345"/>
      <c r="G28" s="345"/>
      <c r="H28" s="345"/>
      <c r="I28" s="345"/>
      <c r="J28" s="345"/>
      <c r="K28" s="345"/>
      <c r="L28" s="345"/>
      <c r="M28" s="345"/>
    </row>
    <row r="29" spans="2:13">
      <c r="B29" s="26" t="s">
        <v>30</v>
      </c>
      <c r="C29" s="328">
        <f>BS!C6</f>
        <v>2483059</v>
      </c>
      <c r="D29" s="345">
        <v>1734.124</v>
      </c>
      <c r="E29" s="345">
        <v>1304.595</v>
      </c>
      <c r="F29" s="345">
        <v>1162.7650000000001</v>
      </c>
      <c r="G29" s="345">
        <v>681.69299999999998</v>
      </c>
      <c r="H29" s="345"/>
      <c r="I29" s="345"/>
      <c r="J29" s="345"/>
      <c r="K29" s="345"/>
      <c r="L29" s="345"/>
      <c r="M29" s="345"/>
    </row>
    <row r="30" spans="2:13">
      <c r="B30" s="29" t="s">
        <v>38</v>
      </c>
      <c r="C30" s="329">
        <f>BS!C33+BS!C42</f>
        <v>145900611</v>
      </c>
      <c r="D30" s="347"/>
      <c r="E30" s="347"/>
      <c r="F30" s="347"/>
      <c r="G30" s="347"/>
      <c r="H30" s="347"/>
      <c r="I30" s="347"/>
      <c r="J30" s="347"/>
      <c r="K30" s="347"/>
      <c r="L30" s="347"/>
      <c r="M30" s="347"/>
    </row>
    <row r="31" spans="2:13">
      <c r="B31" s="29" t="s">
        <v>28</v>
      </c>
      <c r="C31" s="329">
        <f>BS!G27</f>
        <v>184297564</v>
      </c>
      <c r="D31" s="347"/>
      <c r="E31" s="347"/>
      <c r="F31" s="347"/>
      <c r="G31" s="347"/>
      <c r="H31" s="347"/>
      <c r="I31" s="347"/>
      <c r="J31" s="347"/>
      <c r="K31" s="347"/>
      <c r="L31" s="347"/>
      <c r="M31" s="347"/>
    </row>
    <row r="32" spans="2:13">
      <c r="B32" s="26" t="s">
        <v>167</v>
      </c>
      <c r="C32" s="328">
        <f>BS!G28</f>
        <v>-58350</v>
      </c>
      <c r="D32" s="345">
        <v>-58.881999999999998</v>
      </c>
      <c r="E32" s="345">
        <v>-56.84</v>
      </c>
      <c r="F32" s="345">
        <v>-55.893000000000001</v>
      </c>
      <c r="G32" s="345">
        <v>-56.68</v>
      </c>
      <c r="H32" s="345"/>
      <c r="I32" s="345"/>
      <c r="J32" s="345"/>
      <c r="K32" s="345"/>
      <c r="L32" s="345"/>
      <c r="M32" s="345"/>
    </row>
    <row r="34" spans="2:13" ht="13.9">
      <c r="B34" s="36" t="s">
        <v>79</v>
      </c>
      <c r="C34" s="37"/>
      <c r="D34" s="37"/>
      <c r="E34" s="37"/>
      <c r="F34" s="37"/>
      <c r="G34" s="37"/>
      <c r="H34" s="37"/>
      <c r="I34" s="37"/>
      <c r="J34" s="37"/>
      <c r="K34" s="37"/>
      <c r="L34" s="37"/>
      <c r="M34" s="37"/>
    </row>
    <row r="35" spans="2:13">
      <c r="B35" s="16" t="s">
        <v>25</v>
      </c>
    </row>
    <row r="36" spans="2:13">
      <c r="B36" s="32" t="s">
        <v>0</v>
      </c>
      <c r="C36" s="328">
        <f t="shared" ref="C36:M36" si="1">IF(C$4="","",C4)</f>
        <v>337591576</v>
      </c>
      <c r="D36" s="328">
        <f t="shared" si="1"/>
        <v>276744954</v>
      </c>
      <c r="E36" s="328">
        <f t="shared" si="1"/>
        <v>219954948</v>
      </c>
      <c r="F36" s="328">
        <f t="shared" si="1"/>
        <v>179127997</v>
      </c>
      <c r="G36" s="328">
        <f t="shared" si="1"/>
        <v>114794510</v>
      </c>
      <c r="H36" s="328">
        <f t="shared" si="1"/>
        <v>97528531</v>
      </c>
      <c r="I36" s="328">
        <f t="shared" si="1"/>
        <v>65227278</v>
      </c>
      <c r="J36" s="328">
        <f t="shared" si="1"/>
        <v>33927987</v>
      </c>
      <c r="K36" s="328">
        <f t="shared" si="1"/>
        <v>12988077</v>
      </c>
      <c r="L36" s="328">
        <f t="shared" si="1"/>
        <v>4018959</v>
      </c>
      <c r="M36" s="328" t="str">
        <f t="shared" si="1"/>
        <v/>
      </c>
    </row>
    <row r="37" spans="2:13">
      <c r="B37" s="40" t="s">
        <v>41</v>
      </c>
      <c r="C37" s="328">
        <f t="shared" ref="C37:M37" si="2">IF(C$4="","",-C5)</f>
        <v>-207806982</v>
      </c>
      <c r="D37" s="328">
        <f t="shared" si="2"/>
        <v>-179553793</v>
      </c>
      <c r="E37" s="328">
        <f t="shared" si="2"/>
        <v>-158201969</v>
      </c>
      <c r="F37" s="328">
        <f t="shared" si="2"/>
        <v>-136653869</v>
      </c>
      <c r="G37" s="328">
        <f t="shared" si="2"/>
        <v>-80744368</v>
      </c>
      <c r="H37" s="328">
        <f t="shared" si="2"/>
        <v>-65208143</v>
      </c>
      <c r="I37" s="328">
        <f t="shared" si="2"/>
        <v>-50122320</v>
      </c>
      <c r="J37" s="328">
        <f t="shared" si="2"/>
        <v>-21708483</v>
      </c>
      <c r="K37" s="328">
        <f t="shared" si="2"/>
        <v>-7046841</v>
      </c>
      <c r="L37" s="328">
        <f t="shared" si="2"/>
        <v>-1239504</v>
      </c>
      <c r="M37" s="328" t="str">
        <f t="shared" si="2"/>
        <v/>
      </c>
    </row>
    <row r="38" spans="2:13">
      <c r="B38" s="31" t="s">
        <v>56</v>
      </c>
      <c r="C38" s="325">
        <f>IF(C36="","",C36+C37)</f>
        <v>129784594</v>
      </c>
      <c r="D38" s="325">
        <f t="shared" ref="D38" si="3">IF(D36="","",D36+D37)</f>
        <v>97191161</v>
      </c>
      <c r="E38" s="325">
        <f t="shared" ref="E38" si="4">IF(E36="","",E36+E37)</f>
        <v>61752979</v>
      </c>
      <c r="F38" s="325">
        <f t="shared" ref="F38" si="5">IF(F36="","",F36+F37)</f>
        <v>42474128</v>
      </c>
      <c r="G38" s="325">
        <f t="shared" ref="G38" si="6">IF(G36="","",G36+G37)</f>
        <v>34050142</v>
      </c>
      <c r="H38" s="325">
        <f t="shared" ref="H38" si="7">IF(H36="","",H36+H37)</f>
        <v>32320388</v>
      </c>
      <c r="I38" s="325">
        <f t="shared" ref="I38" si="8">IF(I36="","",I36+I37)</f>
        <v>15104958</v>
      </c>
      <c r="J38" s="325">
        <f t="shared" ref="J38" si="9">IF(J36="","",J36+J37)</f>
        <v>12219504</v>
      </c>
      <c r="K38" s="325">
        <f t="shared" ref="K38" si="10">IF(K36="","",K36+K37)</f>
        <v>5941236</v>
      </c>
      <c r="L38" s="325">
        <f t="shared" ref="L38" si="11">IF(L36="","",L36+L37)</f>
        <v>2779455</v>
      </c>
      <c r="M38" s="325" t="str">
        <f t="shared" ref="M38" si="12">IF(M36="","",M36+M37)</f>
        <v/>
      </c>
    </row>
    <row r="39" spans="2:13">
      <c r="B39" s="40" t="s">
        <v>52</v>
      </c>
      <c r="C39" s="328">
        <f t="shared" ref="C39:M39" si="13">IF(C$4="","",-C6)</f>
        <v>-74704438</v>
      </c>
      <c r="D39" s="328">
        <f t="shared" si="13"/>
        <v>-67989064</v>
      </c>
      <c r="E39" s="328">
        <f t="shared" si="13"/>
        <v>-49516922</v>
      </c>
      <c r="F39" s="328">
        <f t="shared" si="13"/>
        <v>-49295792</v>
      </c>
      <c r="G39" s="328">
        <f t="shared" si="13"/>
        <v>-26476580</v>
      </c>
      <c r="H39" s="328">
        <f t="shared" si="13"/>
        <v>-23158021</v>
      </c>
      <c r="I39" s="328">
        <f t="shared" si="13"/>
        <v>-21703593</v>
      </c>
      <c r="J39" s="328">
        <f t="shared" si="13"/>
        <v>-13080096</v>
      </c>
      <c r="K39" s="328">
        <f t="shared" si="13"/>
        <v>-10059737</v>
      </c>
      <c r="L39" s="328">
        <f t="shared" si="13"/>
        <v>-10046382</v>
      </c>
      <c r="M39" s="328" t="str">
        <f t="shared" si="13"/>
        <v/>
      </c>
    </row>
    <row r="40" spans="2:13">
      <c r="B40" s="69" t="s">
        <v>59</v>
      </c>
      <c r="C40" s="340">
        <f t="shared" ref="C40:M40" si="14">IF(C$4="","",-C7)</f>
        <v>-63975235</v>
      </c>
      <c r="D40" s="340">
        <f t="shared" si="14"/>
        <v>-58616997</v>
      </c>
      <c r="E40" s="340">
        <f t="shared" si="14"/>
        <v>-39745112</v>
      </c>
      <c r="F40" s="340">
        <f t="shared" si="14"/>
        <v>-40683166</v>
      </c>
      <c r="G40" s="340">
        <f t="shared" si="14"/>
        <v>-20882685</v>
      </c>
      <c r="H40" s="340">
        <f t="shared" si="14"/>
        <v>-18819067</v>
      </c>
      <c r="I40" s="340">
        <f t="shared" si="14"/>
        <v>-15871901</v>
      </c>
      <c r="J40" s="340">
        <f t="shared" si="14"/>
        <v>-10908688</v>
      </c>
      <c r="K40" s="340">
        <f t="shared" si="14"/>
        <v>-8337132</v>
      </c>
      <c r="L40" s="340">
        <f t="shared" si="14"/>
        <v>-7140962</v>
      </c>
      <c r="M40" s="340" t="str">
        <f t="shared" si="14"/>
        <v/>
      </c>
    </row>
    <row r="41" spans="2:13">
      <c r="B41" s="69" t="s">
        <v>62</v>
      </c>
      <c r="C41" s="340">
        <f>IF(C$4="","",C39-C40)</f>
        <v>-10729203</v>
      </c>
      <c r="D41" s="340">
        <f t="shared" ref="D41:M41" si="15">IF(D$4="","",D39-D40)</f>
        <v>-9372067</v>
      </c>
      <c r="E41" s="340">
        <f t="shared" si="15"/>
        <v>-9771810</v>
      </c>
      <c r="F41" s="340">
        <f t="shared" si="15"/>
        <v>-8612626</v>
      </c>
      <c r="G41" s="340">
        <f t="shared" si="15"/>
        <v>-5593895</v>
      </c>
      <c r="H41" s="340">
        <f t="shared" si="15"/>
        <v>-4338954</v>
      </c>
      <c r="I41" s="340">
        <f t="shared" si="15"/>
        <v>-5831692</v>
      </c>
      <c r="J41" s="340">
        <f t="shared" si="15"/>
        <v>-2171408</v>
      </c>
      <c r="K41" s="340">
        <f t="shared" si="15"/>
        <v>-1722605</v>
      </c>
      <c r="L41" s="340">
        <f t="shared" si="15"/>
        <v>-2905420</v>
      </c>
      <c r="M41" s="340" t="str">
        <f t="shared" si="15"/>
        <v/>
      </c>
    </row>
    <row r="42" spans="2:13">
      <c r="B42" s="40" t="s">
        <v>47</v>
      </c>
      <c r="C42" s="328">
        <f t="shared" ref="C42:M42" si="16">IF(C$4="","",-C8)</f>
        <v>-21053601</v>
      </c>
      <c r="D42" s="328">
        <f t="shared" si="16"/>
        <v>-21201005</v>
      </c>
      <c r="E42" s="328">
        <f t="shared" si="16"/>
        <v>-20739865</v>
      </c>
      <c r="F42" s="328">
        <f t="shared" si="16"/>
        <v>-16675595</v>
      </c>
      <c r="G42" s="328">
        <f t="shared" si="16"/>
        <v>-10892514</v>
      </c>
      <c r="H42" s="328">
        <f t="shared" si="16"/>
        <v>-8445664</v>
      </c>
      <c r="I42" s="328">
        <f t="shared" si="16"/>
        <v>-7071900</v>
      </c>
      <c r="J42" s="328">
        <f t="shared" si="16"/>
        <v>-3646634</v>
      </c>
      <c r="K42" s="328">
        <f t="shared" si="16"/>
        <v>-2366674</v>
      </c>
      <c r="L42" s="328">
        <f t="shared" si="16"/>
        <v>-1204033</v>
      </c>
      <c r="M42" s="328" t="str">
        <f t="shared" si="16"/>
        <v/>
      </c>
    </row>
    <row r="43" spans="2:13">
      <c r="B43" s="43" t="s">
        <v>147</v>
      </c>
      <c r="C43" s="329">
        <f>IF(C$4="","",C38+C39+C42)</f>
        <v>34026555</v>
      </c>
      <c r="D43" s="329">
        <f t="shared" ref="D43:M43" si="17">IF(D$4="","",D38+D39+D42)</f>
        <v>8001092</v>
      </c>
      <c r="E43" s="329">
        <f t="shared" si="17"/>
        <v>-8503808</v>
      </c>
      <c r="F43" s="329">
        <f t="shared" si="17"/>
        <v>-23497259</v>
      </c>
      <c r="G43" s="329">
        <f t="shared" si="17"/>
        <v>-3318952</v>
      </c>
      <c r="H43" s="329">
        <f t="shared" si="17"/>
        <v>716703</v>
      </c>
      <c r="I43" s="329">
        <f t="shared" si="17"/>
        <v>-13670535</v>
      </c>
      <c r="J43" s="329">
        <f t="shared" si="17"/>
        <v>-4507226</v>
      </c>
      <c r="K43" s="329">
        <f t="shared" si="17"/>
        <v>-6485175</v>
      </c>
      <c r="L43" s="329">
        <f t="shared" si="17"/>
        <v>-8470960</v>
      </c>
      <c r="M43" s="329" t="str">
        <f t="shared" si="17"/>
        <v/>
      </c>
    </row>
    <row r="44" spans="2:13">
      <c r="B44" s="43" t="s">
        <v>163</v>
      </c>
      <c r="C44" s="348">
        <f t="shared" ref="C44:M44" si="18">IF(C$4="","",C47-C46-C45-C43)</f>
        <v>4002962</v>
      </c>
      <c r="D44" s="348">
        <f t="shared" si="18"/>
        <v>-7230384</v>
      </c>
      <c r="E44" s="348">
        <f t="shared" si="18"/>
        <v>9404531</v>
      </c>
      <c r="F44" s="348">
        <f t="shared" si="18"/>
        <v>24051878</v>
      </c>
      <c r="G44" s="348">
        <f t="shared" si="18"/>
        <v>3049215</v>
      </c>
      <c r="H44" s="348">
        <f t="shared" si="18"/>
        <v>-190480</v>
      </c>
      <c r="I44" s="348">
        <f t="shared" si="18"/>
        <v>13378376</v>
      </c>
      <c r="J44" s="348">
        <f t="shared" si="18"/>
        <v>4519773</v>
      </c>
      <c r="K44" s="348">
        <f t="shared" si="18"/>
        <v>6787378</v>
      </c>
      <c r="L44" s="348">
        <f t="shared" si="18"/>
        <v>8502332</v>
      </c>
      <c r="M44" s="348" t="str">
        <f t="shared" si="18"/>
        <v/>
      </c>
    </row>
    <row r="45" spans="2:13">
      <c r="B45" s="40" t="s">
        <v>66</v>
      </c>
      <c r="C45" s="343">
        <f t="shared" ref="C45:M45" si="19">IF(C$4="","",C51+C52)</f>
        <v>-45231</v>
      </c>
      <c r="D45" s="343">
        <f t="shared" si="19"/>
        <v>-606171</v>
      </c>
      <c r="E45" s="343">
        <f t="shared" si="19"/>
        <v>-970917</v>
      </c>
      <c r="F45" s="343">
        <f t="shared" si="19"/>
        <v>-584898</v>
      </c>
      <c r="G45" s="343">
        <f t="shared" si="19"/>
        <v>0</v>
      </c>
      <c r="H45" s="343">
        <f t="shared" si="19"/>
        <v>0</v>
      </c>
      <c r="I45" s="343">
        <f t="shared" si="19"/>
        <v>294047</v>
      </c>
      <c r="J45" s="343">
        <f t="shared" si="19"/>
        <v>41671</v>
      </c>
      <c r="K45" s="343">
        <f t="shared" si="19"/>
        <v>-34300</v>
      </c>
      <c r="L45" s="343">
        <f t="shared" si="19"/>
        <v>-43020</v>
      </c>
      <c r="M45" s="343" t="str">
        <f t="shared" si="19"/>
        <v/>
      </c>
    </row>
    <row r="46" spans="2:13">
      <c r="B46" s="40" t="s">
        <v>48</v>
      </c>
      <c r="C46" s="328">
        <f t="shared" ref="C46:M46" si="20">IF(C$4="","",-C14)</f>
        <v>-2177107</v>
      </c>
      <c r="D46" s="328">
        <f t="shared" si="20"/>
        <v>-164537</v>
      </c>
      <c r="E46" s="328">
        <f t="shared" si="20"/>
        <v>70194</v>
      </c>
      <c r="F46" s="328">
        <f t="shared" si="20"/>
        <v>30279</v>
      </c>
      <c r="G46" s="328">
        <f t="shared" si="20"/>
        <v>269737</v>
      </c>
      <c r="H46" s="328">
        <f t="shared" si="20"/>
        <v>-526223</v>
      </c>
      <c r="I46" s="328">
        <f t="shared" si="20"/>
        <v>-1888</v>
      </c>
      <c r="J46" s="328">
        <f t="shared" si="20"/>
        <v>-54218</v>
      </c>
      <c r="K46" s="328">
        <f t="shared" si="20"/>
        <v>-267903</v>
      </c>
      <c r="L46" s="328">
        <f t="shared" si="20"/>
        <v>11648</v>
      </c>
      <c r="M46" s="328" t="str">
        <f t="shared" si="20"/>
        <v/>
      </c>
    </row>
    <row r="47" spans="2:13">
      <c r="B47" s="43" t="s">
        <v>40</v>
      </c>
      <c r="C47" s="329">
        <f t="shared" ref="C47:M47" si="21">IF(C$4="","",C15)</f>
        <v>35807179</v>
      </c>
      <c r="D47" s="329">
        <f t="shared" si="21"/>
        <v>0</v>
      </c>
      <c r="E47" s="329">
        <f t="shared" si="21"/>
        <v>0</v>
      </c>
      <c r="F47" s="329">
        <f t="shared" si="21"/>
        <v>0</v>
      </c>
      <c r="G47" s="329">
        <f t="shared" si="21"/>
        <v>0</v>
      </c>
      <c r="H47" s="329">
        <f t="shared" si="21"/>
        <v>0</v>
      </c>
      <c r="I47" s="329">
        <f t="shared" si="21"/>
        <v>0</v>
      </c>
      <c r="J47" s="329">
        <f t="shared" si="21"/>
        <v>0</v>
      </c>
      <c r="K47" s="329">
        <f t="shared" si="21"/>
        <v>0</v>
      </c>
      <c r="L47" s="329">
        <f t="shared" si="21"/>
        <v>0</v>
      </c>
      <c r="M47" s="329" t="str">
        <f t="shared" si="21"/>
        <v/>
      </c>
    </row>
    <row r="48" spans="2:13">
      <c r="B48" s="28" t="s">
        <v>42</v>
      </c>
      <c r="C48" s="328">
        <f t="shared" ref="C48:M48" si="22">IF(C$4="","",MIN(-C16,0))</f>
        <v>-1143</v>
      </c>
      <c r="D48" s="328">
        <f t="shared" si="22"/>
        <v>0</v>
      </c>
      <c r="E48" s="328">
        <f t="shared" si="22"/>
        <v>0</v>
      </c>
      <c r="F48" s="328">
        <f t="shared" si="22"/>
        <v>0</v>
      </c>
      <c r="G48" s="328">
        <f t="shared" si="22"/>
        <v>0</v>
      </c>
      <c r="H48" s="328">
        <f t="shared" si="22"/>
        <v>0</v>
      </c>
      <c r="I48" s="328">
        <f t="shared" si="22"/>
        <v>0</v>
      </c>
      <c r="J48" s="328">
        <f t="shared" si="22"/>
        <v>0</v>
      </c>
      <c r="K48" s="328">
        <f t="shared" si="22"/>
        <v>0</v>
      </c>
      <c r="L48" s="328">
        <f t="shared" si="22"/>
        <v>0</v>
      </c>
      <c r="M48" s="328" t="str">
        <f t="shared" si="22"/>
        <v/>
      </c>
    </row>
    <row r="50" spans="2:13">
      <c r="B50" s="16" t="s">
        <v>66</v>
      </c>
    </row>
    <row r="51" spans="2:13">
      <c r="B51" s="40" t="s">
        <v>37</v>
      </c>
      <c r="C51" s="328">
        <f t="shared" ref="C51:M51" si="23">IF(C$4="","",-C12)</f>
        <v>-1337038</v>
      </c>
      <c r="D51" s="328">
        <f t="shared" si="23"/>
        <v>-1425157</v>
      </c>
      <c r="E51" s="328">
        <f t="shared" si="23"/>
        <v>-1628825</v>
      </c>
      <c r="F51" s="328">
        <f t="shared" si="23"/>
        <v>-1130935</v>
      </c>
      <c r="G51" s="328">
        <f t="shared" si="23"/>
        <v>0</v>
      </c>
      <c r="H51" s="328">
        <f t="shared" si="23"/>
        <v>0</v>
      </c>
      <c r="I51" s="328">
        <f t="shared" si="23"/>
        <v>0</v>
      </c>
      <c r="J51" s="328">
        <f t="shared" si="23"/>
        <v>-19214</v>
      </c>
      <c r="K51" s="328">
        <f t="shared" si="23"/>
        <v>-55981</v>
      </c>
      <c r="L51" s="328">
        <f t="shared" si="23"/>
        <v>-56561</v>
      </c>
      <c r="M51" s="328" t="str">
        <f t="shared" si="23"/>
        <v/>
      </c>
    </row>
    <row r="52" spans="2:13">
      <c r="B52" s="40" t="s">
        <v>65</v>
      </c>
      <c r="C52" s="328">
        <f t="shared" ref="C52:M52" si="24">IF(C$4="","",C13)</f>
        <v>1291807</v>
      </c>
      <c r="D52" s="328">
        <f t="shared" si="24"/>
        <v>818986</v>
      </c>
      <c r="E52" s="328">
        <f t="shared" si="24"/>
        <v>657908</v>
      </c>
      <c r="F52" s="328">
        <f t="shared" si="24"/>
        <v>546037</v>
      </c>
      <c r="G52" s="328">
        <f t="shared" si="24"/>
        <v>0</v>
      </c>
      <c r="H52" s="328">
        <f t="shared" si="24"/>
        <v>0</v>
      </c>
      <c r="I52" s="328">
        <f t="shared" si="24"/>
        <v>294047</v>
      </c>
      <c r="J52" s="328">
        <f t="shared" si="24"/>
        <v>60885</v>
      </c>
      <c r="K52" s="328">
        <f t="shared" si="24"/>
        <v>21681</v>
      </c>
      <c r="L52" s="328">
        <f t="shared" si="24"/>
        <v>13541</v>
      </c>
      <c r="M52" s="328" t="str">
        <f t="shared" si="24"/>
        <v/>
      </c>
    </row>
    <row r="54" spans="2:13">
      <c r="B54" s="171" t="s">
        <v>163</v>
      </c>
    </row>
    <row r="55" spans="2:13">
      <c r="B55" s="40" t="s">
        <v>154</v>
      </c>
      <c r="C55" s="343">
        <f t="shared" ref="C55:M55" si="25">IF(C$4="","",C9)</f>
        <v>0</v>
      </c>
      <c r="D55" s="343">
        <f t="shared" si="25"/>
        <v>0</v>
      </c>
      <c r="E55" s="343">
        <f t="shared" si="25"/>
        <v>0</v>
      </c>
      <c r="F55" s="343">
        <f t="shared" si="25"/>
        <v>0</v>
      </c>
      <c r="G55" s="343">
        <f t="shared" si="25"/>
        <v>0</v>
      </c>
      <c r="H55" s="343">
        <f t="shared" si="25"/>
        <v>0</v>
      </c>
      <c r="I55" s="343">
        <f t="shared" si="25"/>
        <v>0</v>
      </c>
      <c r="J55" s="343">
        <f t="shared" si="25"/>
        <v>0</v>
      </c>
      <c r="K55" s="343">
        <f t="shared" si="25"/>
        <v>0</v>
      </c>
      <c r="L55" s="343">
        <f t="shared" si="25"/>
        <v>0</v>
      </c>
      <c r="M55" s="343" t="str">
        <f t="shared" si="25"/>
        <v/>
      </c>
    </row>
    <row r="56" spans="2:13">
      <c r="B56" s="40" t="s">
        <v>162</v>
      </c>
      <c r="C56" s="343">
        <f t="shared" ref="C56:M56" si="26">IF(C$4="","",C10)</f>
        <v>0</v>
      </c>
      <c r="D56" s="343">
        <f t="shared" si="26"/>
        <v>0</v>
      </c>
      <c r="E56" s="343">
        <f t="shared" si="26"/>
        <v>0</v>
      </c>
      <c r="F56" s="343">
        <f t="shared" si="26"/>
        <v>0</v>
      </c>
      <c r="G56" s="343">
        <f t="shared" si="26"/>
        <v>0</v>
      </c>
      <c r="H56" s="343">
        <f t="shared" si="26"/>
        <v>0</v>
      </c>
      <c r="I56" s="343">
        <f t="shared" si="26"/>
        <v>0</v>
      </c>
      <c r="J56" s="343">
        <f t="shared" si="26"/>
        <v>0</v>
      </c>
      <c r="K56" s="343">
        <f t="shared" si="26"/>
        <v>0</v>
      </c>
      <c r="L56" s="343">
        <f t="shared" si="26"/>
        <v>0</v>
      </c>
      <c r="M56" s="343" t="str">
        <f t="shared" si="26"/>
        <v/>
      </c>
    </row>
    <row r="57" spans="2:13">
      <c r="B57" s="40" t="s">
        <v>153</v>
      </c>
      <c r="C57" s="343">
        <f t="shared" ref="C57:M57" si="27">IF(C$4="","",C11)</f>
        <v>0</v>
      </c>
      <c r="D57" s="343">
        <f t="shared" si="27"/>
        <v>0</v>
      </c>
      <c r="E57" s="343">
        <f t="shared" si="27"/>
        <v>0</v>
      </c>
      <c r="F57" s="343">
        <f t="shared" si="27"/>
        <v>0</v>
      </c>
      <c r="G57" s="343">
        <f t="shared" si="27"/>
        <v>0</v>
      </c>
      <c r="H57" s="343">
        <f t="shared" si="27"/>
        <v>0</v>
      </c>
      <c r="I57" s="343">
        <f t="shared" si="27"/>
        <v>0</v>
      </c>
      <c r="J57" s="343">
        <f t="shared" si="27"/>
        <v>0</v>
      </c>
      <c r="K57" s="343">
        <f t="shared" si="27"/>
        <v>0</v>
      </c>
      <c r="L57" s="343">
        <f t="shared" si="27"/>
        <v>0</v>
      </c>
      <c r="M57" s="343" t="str">
        <f t="shared" si="27"/>
        <v/>
      </c>
    </row>
    <row r="58" spans="2:13">
      <c r="B58" s="40" t="s">
        <v>155</v>
      </c>
      <c r="C58" s="343">
        <f>IF(C$4="","",C44-C55-C56-C57)</f>
        <v>4002962</v>
      </c>
      <c r="D58" s="343">
        <f t="shared" ref="D58:M58" si="28">IF(D$4="","",D44-D55-D56-D57)</f>
        <v>-7230384</v>
      </c>
      <c r="E58" s="343">
        <f t="shared" si="28"/>
        <v>9404531</v>
      </c>
      <c r="F58" s="343">
        <f t="shared" si="28"/>
        <v>24051878</v>
      </c>
      <c r="G58" s="343">
        <f t="shared" si="28"/>
        <v>3049215</v>
      </c>
      <c r="H58" s="343">
        <f t="shared" si="28"/>
        <v>-190480</v>
      </c>
      <c r="I58" s="343">
        <f t="shared" si="28"/>
        <v>13378376</v>
      </c>
      <c r="J58" s="343">
        <f t="shared" si="28"/>
        <v>4519773</v>
      </c>
      <c r="K58" s="343">
        <f t="shared" si="28"/>
        <v>6787378</v>
      </c>
      <c r="L58" s="343">
        <f t="shared" si="28"/>
        <v>8502332</v>
      </c>
      <c r="M58" s="343" t="str">
        <f t="shared" si="28"/>
        <v/>
      </c>
    </row>
    <row r="60" spans="2:13">
      <c r="B60" s="16" t="s">
        <v>49</v>
      </c>
      <c r="C60" s="9"/>
    </row>
    <row r="61" spans="2:13">
      <c r="B61" s="27" t="s">
        <v>45</v>
      </c>
      <c r="C61" s="328">
        <f>IF(C$4="","",-C19)</f>
        <v>0</v>
      </c>
      <c r="D61" s="328">
        <f t="shared" ref="D61:M61" si="29">IF(D$4="","",-D19)</f>
        <v>0</v>
      </c>
      <c r="E61" s="328">
        <f t="shared" si="29"/>
        <v>0</v>
      </c>
      <c r="F61" s="328">
        <f t="shared" si="29"/>
        <v>0</v>
      </c>
      <c r="G61" s="328">
        <f t="shared" si="29"/>
        <v>0</v>
      </c>
      <c r="H61" s="328">
        <f t="shared" si="29"/>
        <v>0</v>
      </c>
      <c r="I61" s="328">
        <f t="shared" si="29"/>
        <v>0</v>
      </c>
      <c r="J61" s="328">
        <f t="shared" si="29"/>
        <v>0</v>
      </c>
      <c r="K61" s="328">
        <f t="shared" si="29"/>
        <v>0</v>
      </c>
      <c r="L61" s="328">
        <f t="shared" si="29"/>
        <v>0</v>
      </c>
      <c r="M61" s="328" t="str">
        <f t="shared" si="29"/>
        <v/>
      </c>
    </row>
    <row r="62" spans="2:13">
      <c r="B62" s="27" t="s">
        <v>51</v>
      </c>
      <c r="C62" s="328">
        <f>IF(C$4="","",IF(C20=0,C61,-C20))</f>
        <v>0</v>
      </c>
      <c r="D62" s="328">
        <f t="shared" ref="D62:M62" si="30">IF(D$4="","",IF(D20=0,D61,-D20))</f>
        <v>0</v>
      </c>
      <c r="E62" s="328">
        <f t="shared" si="30"/>
        <v>0</v>
      </c>
      <c r="F62" s="328">
        <f t="shared" si="30"/>
        <v>0</v>
      </c>
      <c r="G62" s="328">
        <f t="shared" si="30"/>
        <v>0</v>
      </c>
      <c r="H62" s="328">
        <f t="shared" si="30"/>
        <v>0</v>
      </c>
      <c r="I62" s="328">
        <f t="shared" si="30"/>
        <v>0</v>
      </c>
      <c r="J62" s="328">
        <f t="shared" si="30"/>
        <v>0</v>
      </c>
      <c r="K62" s="328">
        <f t="shared" si="30"/>
        <v>0</v>
      </c>
      <c r="L62" s="328">
        <f t="shared" si="30"/>
        <v>0</v>
      </c>
      <c r="M62" s="328" t="str">
        <f t="shared" si="30"/>
        <v/>
      </c>
    </row>
    <row r="63" spans="2:13">
      <c r="B63" s="27" t="s">
        <v>50</v>
      </c>
      <c r="C63" s="328">
        <f>IF(C$4="","",-C21)</f>
        <v>0</v>
      </c>
      <c r="D63" s="328">
        <f t="shared" ref="D63:M63" si="31">IF(D$4="","",-D21)</f>
        <v>0</v>
      </c>
      <c r="E63" s="328">
        <f t="shared" si="31"/>
        <v>0</v>
      </c>
      <c r="F63" s="328">
        <f t="shared" si="31"/>
        <v>0</v>
      </c>
      <c r="G63" s="328">
        <f t="shared" si="31"/>
        <v>0</v>
      </c>
      <c r="H63" s="328">
        <f t="shared" si="31"/>
        <v>0</v>
      </c>
      <c r="I63" s="328">
        <f t="shared" si="31"/>
        <v>0</v>
      </c>
      <c r="J63" s="328">
        <f t="shared" si="31"/>
        <v>0</v>
      </c>
      <c r="K63" s="328">
        <f t="shared" si="31"/>
        <v>0</v>
      </c>
      <c r="L63" s="328">
        <f t="shared" si="31"/>
        <v>0</v>
      </c>
      <c r="M63" s="328" t="str">
        <f t="shared" si="31"/>
        <v/>
      </c>
    </row>
    <row r="64" spans="2:13">
      <c r="B64" s="27" t="s">
        <v>371</v>
      </c>
      <c r="C64" s="328">
        <f>IF(C$4="","",C22+C23+C24)</f>
        <v>-18926</v>
      </c>
      <c r="D64" s="328">
        <f t="shared" ref="D64:M64" si="32">IF(D$4="","",D22+D23+D24)</f>
        <v>0</v>
      </c>
      <c r="E64" s="328">
        <f t="shared" si="32"/>
        <v>0</v>
      </c>
      <c r="F64" s="328">
        <f t="shared" si="32"/>
        <v>0</v>
      </c>
      <c r="G64" s="328">
        <f t="shared" si="32"/>
        <v>0</v>
      </c>
      <c r="H64" s="328">
        <f t="shared" si="32"/>
        <v>0</v>
      </c>
      <c r="I64" s="328">
        <f t="shared" si="32"/>
        <v>0</v>
      </c>
      <c r="J64" s="328">
        <f t="shared" si="32"/>
        <v>0</v>
      </c>
      <c r="K64" s="328">
        <f t="shared" si="32"/>
        <v>0</v>
      </c>
      <c r="L64" s="328">
        <f t="shared" si="32"/>
        <v>0</v>
      </c>
      <c r="M64" s="328"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0.21986533492495042</v>
      </c>
      <c r="D68" s="92">
        <f t="shared" si="34"/>
        <v>0.25818926337588</v>
      </c>
      <c r="E68" s="92">
        <f t="shared" si="34"/>
        <v>0.22792054666920669</v>
      </c>
      <c r="F68" s="92">
        <f t="shared" si="34"/>
        <v>0.56042302894101814</v>
      </c>
      <c r="G68" s="92">
        <f t="shared" si="34"/>
        <v>0.17703515907565559</v>
      </c>
      <c r="H68" s="92">
        <f t="shared" si="34"/>
        <v>0.49521080735578149</v>
      </c>
      <c r="I68" s="92">
        <f t="shared" si="34"/>
        <v>0.92252130961969536</v>
      </c>
      <c r="J68" s="92">
        <f t="shared" si="34"/>
        <v>1.6122409807086915</v>
      </c>
      <c r="K68" s="92">
        <f t="shared" si="34"/>
        <v>2.2317017914340505</v>
      </c>
      <c r="L68" s="92" t="str">
        <f t="shared" si="34"/>
        <v/>
      </c>
      <c r="M68" s="92" t="str">
        <f t="shared" si="34"/>
        <v/>
      </c>
    </row>
    <row r="69" spans="2:13">
      <c r="B69" s="31" t="s">
        <v>56</v>
      </c>
      <c r="C69" s="92">
        <f>IF(D$36="","",C38/D38-1)</f>
        <v>0.33535388058591042</v>
      </c>
      <c r="D69" s="92">
        <f t="shared" ref="D69:M69" si="35">IF(E$36="","",D38/E38-1)</f>
        <v>0.57386999904895286</v>
      </c>
      <c r="E69" s="92">
        <f t="shared" si="35"/>
        <v>0.45389633425788056</v>
      </c>
      <c r="F69" s="92">
        <f t="shared" si="35"/>
        <v>0.24739943815799648</v>
      </c>
      <c r="G69" s="92">
        <f t="shared" si="35"/>
        <v>5.351897384400206E-2</v>
      </c>
      <c r="H69" s="92">
        <f t="shared" si="35"/>
        <v>1.1397204811824038</v>
      </c>
      <c r="I69" s="92">
        <f t="shared" si="35"/>
        <v>0.23613511644989837</v>
      </c>
      <c r="J69" s="92">
        <f t="shared" si="35"/>
        <v>1.0567275900166226</v>
      </c>
      <c r="K69" s="92">
        <f t="shared" si="35"/>
        <v>1.1375543047108154</v>
      </c>
      <c r="L69" s="92" t="str">
        <f t="shared" si="35"/>
        <v/>
      </c>
      <c r="M69" s="92" t="str">
        <f t="shared" si="35"/>
        <v/>
      </c>
    </row>
    <row r="70" spans="2:13">
      <c r="B70" s="80" t="str">
        <f>B43</f>
        <v>Operating EBIT</v>
      </c>
      <c r="C70" s="101">
        <f>IF(D$36="","",C43/D43-1)</f>
        <v>3.2527388761434066</v>
      </c>
      <c r="D70" s="101">
        <f t="shared" ref="D70:M70" si="36">IF(E$36="","",D43/E43-1)</f>
        <v>-1.9408834254018905</v>
      </c>
      <c r="E70" s="101">
        <f t="shared" si="36"/>
        <v>-0.6380936176428067</v>
      </c>
      <c r="F70" s="101">
        <f t="shared" si="36"/>
        <v>6.0797224545579445</v>
      </c>
      <c r="G70" s="101">
        <f t="shared" si="36"/>
        <v>-5.6308610400682015</v>
      </c>
      <c r="H70" s="101">
        <f t="shared" si="36"/>
        <v>-1.0524268435726911</v>
      </c>
      <c r="I70" s="101">
        <f t="shared" si="36"/>
        <v>2.0330263004340141</v>
      </c>
      <c r="J70" s="101">
        <f t="shared" si="36"/>
        <v>-0.30499547043834596</v>
      </c>
      <c r="K70" s="101">
        <f t="shared" si="36"/>
        <v>-0.23442266283868651</v>
      </c>
      <c r="L70" s="101" t="str">
        <f t="shared" si="36"/>
        <v/>
      </c>
      <c r="M70" s="101" t="str">
        <f t="shared" si="36"/>
        <v/>
      </c>
    </row>
    <row r="71" spans="2:13">
      <c r="B71" s="43" t="s">
        <v>163</v>
      </c>
      <c r="C71" s="101">
        <f>IF(D$36="","",C44/D44-1)</f>
        <v>-1.5536306232144792</v>
      </c>
      <c r="D71" s="101">
        <f t="shared" ref="D71:M71" si="37">IF(E$36="","",D44/E44-1)</f>
        <v>-1.7688192000217766</v>
      </c>
      <c r="E71" s="101">
        <f t="shared" si="37"/>
        <v>-0.60898974292152985</v>
      </c>
      <c r="F71" s="101">
        <f t="shared" si="37"/>
        <v>6.8878918016604276</v>
      </c>
      <c r="G71" s="101">
        <f t="shared" si="37"/>
        <v>-17.008058588828224</v>
      </c>
      <c r="H71" s="101">
        <f t="shared" si="37"/>
        <v>-1.0142379015210814</v>
      </c>
      <c r="I71" s="101">
        <f t="shared" si="37"/>
        <v>1.9599663522924713</v>
      </c>
      <c r="J71" s="101">
        <f t="shared" si="37"/>
        <v>-0.33409145622948955</v>
      </c>
      <c r="K71" s="101">
        <f t="shared" si="37"/>
        <v>-0.20170395604405944</v>
      </c>
      <c r="L71" s="101" t="str">
        <f t="shared" si="37"/>
        <v/>
      </c>
      <c r="M71" s="101" t="str">
        <f t="shared" si="37"/>
        <v/>
      </c>
    </row>
    <row r="72" spans="2:13">
      <c r="B72" s="80" t="str">
        <f>B47</f>
        <v>Reported Net Income</v>
      </c>
      <c r="C72" s="101" t="e">
        <f>IF(D$36="","",C47/D47-1)</f>
        <v>#DIV/0!</v>
      </c>
      <c r="D72" s="101" t="e">
        <f t="shared" ref="D72:M72" si="38">IF(E$36="","",D47/E47-1)</f>
        <v>#DIV/0!</v>
      </c>
      <c r="E72" s="101" t="e">
        <f t="shared" si="38"/>
        <v>#DIV/0!</v>
      </c>
      <c r="F72" s="101" t="e">
        <f t="shared" si="38"/>
        <v>#DIV/0!</v>
      </c>
      <c r="G72" s="101" t="e">
        <f t="shared" si="38"/>
        <v>#DIV/0!</v>
      </c>
      <c r="H72" s="101" t="e">
        <f t="shared" si="38"/>
        <v>#DIV/0!</v>
      </c>
      <c r="I72" s="101" t="e">
        <f t="shared" si="38"/>
        <v>#DIV/0!</v>
      </c>
      <c r="J72" s="101" t="e">
        <f t="shared" si="38"/>
        <v>#DIV/0!</v>
      </c>
      <c r="K72" s="101" t="e">
        <f t="shared" si="38"/>
        <v>#DIV/0!</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330198175</v>
      </c>
      <c r="D76" s="343">
        <f t="shared" ref="D76:M76" si="39">IF(D$4="","",D79+D80)</f>
        <v>0</v>
      </c>
      <c r="E76" s="343">
        <f t="shared" si="39"/>
        <v>0</v>
      </c>
      <c r="F76" s="343">
        <f t="shared" si="39"/>
        <v>0</v>
      </c>
      <c r="G76" s="343">
        <f t="shared" si="39"/>
        <v>0</v>
      </c>
      <c r="H76" s="343">
        <f t="shared" si="39"/>
        <v>0</v>
      </c>
      <c r="I76" s="343">
        <f t="shared" si="39"/>
        <v>0</v>
      </c>
      <c r="J76" s="343">
        <f t="shared" si="39"/>
        <v>0</v>
      </c>
      <c r="K76" s="343">
        <f t="shared" si="39"/>
        <v>0</v>
      </c>
      <c r="L76" s="343">
        <f t="shared" si="39"/>
        <v>0</v>
      </c>
      <c r="M76" s="343" t="str">
        <f t="shared" si="39"/>
        <v/>
      </c>
    </row>
    <row r="77" spans="2:13">
      <c r="B77" s="93" t="s">
        <v>83</v>
      </c>
      <c r="C77" s="315">
        <f t="shared" ref="C77:H78" si="40">IF(C$4="","",C28)</f>
        <v>3141262</v>
      </c>
      <c r="D77" s="340">
        <f t="shared" si="40"/>
        <v>0</v>
      </c>
      <c r="E77" s="340">
        <f t="shared" si="40"/>
        <v>0</v>
      </c>
      <c r="F77" s="340">
        <f t="shared" si="40"/>
        <v>0</v>
      </c>
      <c r="G77" s="340">
        <f t="shared" si="40"/>
        <v>0</v>
      </c>
      <c r="H77" s="340">
        <f t="shared" si="40"/>
        <v>0</v>
      </c>
      <c r="I77" s="349"/>
      <c r="J77" s="349"/>
      <c r="K77" s="349"/>
      <c r="L77" s="349"/>
      <c r="M77" s="349"/>
    </row>
    <row r="78" spans="2:13">
      <c r="B78" s="93" t="s">
        <v>84</v>
      </c>
      <c r="C78" s="315">
        <f t="shared" si="40"/>
        <v>2483059</v>
      </c>
      <c r="D78" s="340">
        <f t="shared" si="40"/>
        <v>1734.124</v>
      </c>
      <c r="E78" s="340">
        <f t="shared" si="40"/>
        <v>1304.595</v>
      </c>
      <c r="F78" s="340">
        <f t="shared" si="40"/>
        <v>1162.7650000000001</v>
      </c>
      <c r="G78" s="340">
        <f t="shared" si="40"/>
        <v>681.69299999999998</v>
      </c>
      <c r="H78" s="340">
        <f t="shared" si="40"/>
        <v>0</v>
      </c>
      <c r="I78" s="349"/>
      <c r="J78" s="349"/>
      <c r="K78" s="349"/>
      <c r="L78" s="349"/>
      <c r="M78" s="349"/>
    </row>
    <row r="79" spans="2:13">
      <c r="B79" s="26" t="s">
        <v>38</v>
      </c>
      <c r="C79" s="314">
        <f t="shared" ref="C79:M79" si="41">IF(C$4="","",C30)</f>
        <v>145900611</v>
      </c>
      <c r="D79" s="328">
        <f t="shared" si="41"/>
        <v>0</v>
      </c>
      <c r="E79" s="328">
        <f t="shared" si="41"/>
        <v>0</v>
      </c>
      <c r="F79" s="328">
        <f t="shared" si="41"/>
        <v>0</v>
      </c>
      <c r="G79" s="328">
        <f t="shared" si="41"/>
        <v>0</v>
      </c>
      <c r="H79" s="328">
        <f t="shared" si="41"/>
        <v>0</v>
      </c>
      <c r="I79" s="328">
        <f t="shared" si="41"/>
        <v>0</v>
      </c>
      <c r="J79" s="328">
        <f t="shared" si="41"/>
        <v>0</v>
      </c>
      <c r="K79" s="328">
        <f t="shared" si="41"/>
        <v>0</v>
      </c>
      <c r="L79" s="328">
        <f t="shared" si="41"/>
        <v>0</v>
      </c>
      <c r="M79" s="328" t="str">
        <f t="shared" si="41"/>
        <v/>
      </c>
    </row>
    <row r="80" spans="2:13">
      <c r="B80" s="26" t="s">
        <v>28</v>
      </c>
      <c r="C80" s="314">
        <f t="shared" ref="C80:M80" si="42">IF(C$4="","",C31)</f>
        <v>184297564</v>
      </c>
      <c r="D80" s="328">
        <f t="shared" si="42"/>
        <v>0</v>
      </c>
      <c r="E80" s="328">
        <f t="shared" si="42"/>
        <v>0</v>
      </c>
      <c r="F80" s="328">
        <f t="shared" si="42"/>
        <v>0</v>
      </c>
      <c r="G80" s="328">
        <f t="shared" si="42"/>
        <v>0</v>
      </c>
      <c r="H80" s="328">
        <f t="shared" si="42"/>
        <v>0</v>
      </c>
      <c r="I80" s="328">
        <f t="shared" si="42"/>
        <v>0</v>
      </c>
      <c r="J80" s="328">
        <f t="shared" si="42"/>
        <v>0</v>
      </c>
      <c r="K80" s="328">
        <f t="shared" si="42"/>
        <v>0</v>
      </c>
      <c r="L80" s="328">
        <f t="shared" si="42"/>
        <v>0</v>
      </c>
      <c r="M80" s="32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76" zoomScaleNormal="100" workbookViewId="0">
      <selection activeCell="F16" sqref="F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45838</v>
      </c>
      <c r="F1" s="86" t="str">
        <f>IF(MONTH(C1)=MONTH(Normalized_FCF!G1),"FY","Quarter")&amp;" Report"</f>
        <v>Quarter Report</v>
      </c>
      <c r="H1" s="107">
        <f>scaling_factor</f>
        <v>1000</v>
      </c>
    </row>
    <row r="2" spans="2:8" ht="15" customHeight="1">
      <c r="B2" s="79" t="s">
        <v>151</v>
      </c>
      <c r="C2" s="37"/>
      <c r="D2" s="37"/>
      <c r="E2" s="37"/>
      <c r="F2" s="37"/>
      <c r="G2" s="37"/>
      <c r="H2" s="37"/>
    </row>
    <row r="3" spans="2:8" ht="15" customHeight="1">
      <c r="B3" s="16" t="s">
        <v>178</v>
      </c>
      <c r="C3" s="179" t="s">
        <v>131</v>
      </c>
      <c r="D3" s="180" t="s">
        <v>33</v>
      </c>
      <c r="F3" s="16" t="s">
        <v>179</v>
      </c>
      <c r="G3" s="179" t="s">
        <v>131</v>
      </c>
      <c r="H3" s="180" t="s">
        <v>33</v>
      </c>
    </row>
    <row r="4" spans="2:8" ht="15" customHeight="1">
      <c r="B4" s="4" t="s">
        <v>22</v>
      </c>
      <c r="C4" s="19">
        <v>3141262</v>
      </c>
      <c r="D4" s="258">
        <v>0.6</v>
      </c>
      <c r="E4" s="25"/>
      <c r="F4" s="4" t="s">
        <v>75</v>
      </c>
      <c r="G4" s="19">
        <v>101656333</v>
      </c>
      <c r="H4" s="258">
        <v>0.9</v>
      </c>
    </row>
    <row r="5" spans="2:8" ht="15" customHeight="1">
      <c r="B5" s="1" t="s">
        <v>31</v>
      </c>
      <c r="C5" s="19">
        <v>0</v>
      </c>
      <c r="D5" s="258">
        <v>0.6</v>
      </c>
      <c r="E5" s="25"/>
      <c r="F5" s="1" t="s">
        <v>27</v>
      </c>
      <c r="G5" s="19">
        <v>17920672</v>
      </c>
      <c r="H5" s="258">
        <v>0.7</v>
      </c>
    </row>
    <row r="6" spans="2:8" ht="15" customHeight="1">
      <c r="B6" s="4" t="s">
        <v>8</v>
      </c>
      <c r="C6" s="19">
        <v>2483059</v>
      </c>
      <c r="D6" s="258">
        <v>0.5</v>
      </c>
      <c r="E6" s="25"/>
      <c r="F6" s="4" t="s">
        <v>171</v>
      </c>
      <c r="G6" s="19">
        <v>0</v>
      </c>
      <c r="H6" s="258">
        <v>0.6</v>
      </c>
    </row>
    <row r="7" spans="2:8" ht="15" customHeight="1">
      <c r="B7" s="1" t="s">
        <v>67</v>
      </c>
      <c r="C7" s="19">
        <v>0</v>
      </c>
      <c r="D7" s="258">
        <v>0.6</v>
      </c>
      <c r="E7" s="25"/>
      <c r="F7" s="4" t="s">
        <v>172</v>
      </c>
      <c r="G7" s="19">
        <v>69361319</v>
      </c>
      <c r="H7" s="258">
        <v>0.6</v>
      </c>
    </row>
    <row r="8" spans="2:8" ht="15" customHeight="1">
      <c r="B8" s="1" t="s">
        <v>168</v>
      </c>
      <c r="C8" s="19">
        <v>0</v>
      </c>
      <c r="D8" s="258">
        <v>0.6</v>
      </c>
      <c r="E8" s="25"/>
      <c r="F8" s="1" t="s">
        <v>173</v>
      </c>
      <c r="G8" s="19">
        <v>0</v>
      </c>
      <c r="H8" s="258">
        <v>0.6</v>
      </c>
    </row>
    <row r="9" spans="2:8" ht="15" customHeight="1">
      <c r="B9" s="4" t="s">
        <v>23</v>
      </c>
      <c r="C9" s="19">
        <v>22830718</v>
      </c>
      <c r="D9" s="258">
        <v>0.1</v>
      </c>
      <c r="E9" s="25"/>
      <c r="F9" s="4" t="s">
        <v>174</v>
      </c>
      <c r="G9" s="19">
        <v>0</v>
      </c>
      <c r="H9" s="258">
        <v>0.6</v>
      </c>
    </row>
    <row r="10" spans="2:8" ht="15" customHeight="1">
      <c r="B10" s="4" t="s">
        <v>9</v>
      </c>
      <c r="C10" s="19">
        <v>0</v>
      </c>
      <c r="D10" s="258">
        <v>0.9</v>
      </c>
      <c r="H10" s="259"/>
    </row>
    <row r="11" spans="2:8" ht="15" customHeight="1">
      <c r="B11" s="4" t="s">
        <v>10</v>
      </c>
      <c r="C11" s="19">
        <v>0</v>
      </c>
      <c r="D11" s="258">
        <v>0.05</v>
      </c>
      <c r="H11" s="259"/>
    </row>
    <row r="12" spans="2:8" ht="15" customHeight="1">
      <c r="B12" s="80" t="s">
        <v>70</v>
      </c>
      <c r="C12" s="81">
        <f>SUM(C4:C11)</f>
        <v>28455039</v>
      </c>
      <c r="D12" s="20">
        <f>C4*D4+C5*D5+C9*D9+C6*D6+C8*D8+C7*D7+C10*D10+C11*D11</f>
        <v>5409358.5</v>
      </c>
      <c r="F12" s="80" t="s">
        <v>68</v>
      </c>
      <c r="G12" s="81">
        <f>SUM(G4:G9)</f>
        <v>188938324</v>
      </c>
      <c r="H12" s="20">
        <f>G4*H4+G5*H5+G6*H6+G7*H7+G8*H8+G9*H9</f>
        <v>145651961.5</v>
      </c>
    </row>
    <row r="13" spans="2:8" ht="15" customHeight="1">
      <c r="F13" s="80"/>
      <c r="G13" s="81"/>
      <c r="H13" s="20"/>
    </row>
    <row r="14" spans="2:8" ht="15" customHeight="1">
      <c r="B14" s="16" t="s">
        <v>177</v>
      </c>
      <c r="C14" s="179" t="s">
        <v>131</v>
      </c>
      <c r="D14" s="180" t="s">
        <v>33</v>
      </c>
      <c r="F14" s="16" t="s">
        <v>180</v>
      </c>
      <c r="G14" s="179" t="s">
        <v>131</v>
      </c>
      <c r="H14" s="180" t="s">
        <v>33</v>
      </c>
    </row>
    <row r="15" spans="2:8" ht="15" customHeight="1">
      <c r="B15" s="4" t="s">
        <v>421</v>
      </c>
      <c r="C15" s="19">
        <v>2896164</v>
      </c>
      <c r="D15" s="258">
        <v>0.4</v>
      </c>
      <c r="F15" s="4" t="s">
        <v>76</v>
      </c>
      <c r="G15" s="19">
        <v>0</v>
      </c>
      <c r="H15" s="258">
        <v>0.8</v>
      </c>
    </row>
    <row r="16" spans="2:8" ht="15" customHeight="1">
      <c r="B16" s="1" t="s">
        <v>32</v>
      </c>
      <c r="C16" s="19">
        <v>0</v>
      </c>
      <c r="D16" s="258">
        <v>0.5</v>
      </c>
      <c r="F16" s="4" t="s">
        <v>171</v>
      </c>
      <c r="G16" s="19">
        <v>0</v>
      </c>
      <c r="H16" s="258">
        <v>0.6</v>
      </c>
    </row>
    <row r="17" spans="2:8" ht="15" customHeight="1">
      <c r="B17" s="1" t="s">
        <v>67</v>
      </c>
      <c r="C17" s="19">
        <v>0</v>
      </c>
      <c r="D17" s="258">
        <v>0.6</v>
      </c>
      <c r="F17" s="4" t="s">
        <v>172</v>
      </c>
      <c r="G17" s="19">
        <f>1090276+20133691+2696395</f>
        <v>23920362</v>
      </c>
      <c r="H17" s="258">
        <v>0.6</v>
      </c>
    </row>
    <row r="18" spans="2:8" ht="15" customHeight="1">
      <c r="B18" s="4" t="s">
        <v>168</v>
      </c>
      <c r="C18" s="19">
        <v>0</v>
      </c>
      <c r="D18" s="258">
        <v>0.6</v>
      </c>
      <c r="F18" s="4" t="s">
        <v>175</v>
      </c>
      <c r="G18" s="19">
        <v>0</v>
      </c>
      <c r="H18" s="258">
        <v>0.1</v>
      </c>
    </row>
    <row r="19" spans="2:8" ht="15" customHeight="1">
      <c r="B19" s="4" t="s">
        <v>24</v>
      </c>
      <c r="C19" s="19">
        <v>34026066</v>
      </c>
      <c r="D19" s="258">
        <v>0.1</v>
      </c>
      <c r="F19" s="4" t="s">
        <v>176</v>
      </c>
      <c r="G19" s="19">
        <v>19498379</v>
      </c>
      <c r="H19" s="258">
        <v>0.1</v>
      </c>
    </row>
    <row r="20" spans="2:8" ht="15" customHeight="1">
      <c r="B20" s="4" t="s">
        <v>16</v>
      </c>
      <c r="C20" s="19">
        <v>0</v>
      </c>
      <c r="D20" s="258">
        <v>0.05</v>
      </c>
      <c r="F20" s="4" t="s">
        <v>173</v>
      </c>
      <c r="G20" s="19">
        <v>0</v>
      </c>
      <c r="H20" s="258">
        <v>0.2</v>
      </c>
    </row>
    <row r="21" spans="2:8" ht="15" customHeight="1">
      <c r="B21" s="4" t="s">
        <v>17</v>
      </c>
      <c r="C21" s="19">
        <v>30321508</v>
      </c>
      <c r="D21" s="258">
        <v>0.05</v>
      </c>
      <c r="F21" s="1" t="s">
        <v>174</v>
      </c>
      <c r="G21" s="19">
        <v>0</v>
      </c>
      <c r="H21" s="258">
        <v>0.1</v>
      </c>
    </row>
    <row r="22" spans="2:8" ht="15" customHeight="1">
      <c r="B22" s="4" t="s">
        <v>18</v>
      </c>
      <c r="C22" s="19">
        <v>2142333</v>
      </c>
      <c r="D22" s="258">
        <v>0.9</v>
      </c>
      <c r="H22" s="259"/>
    </row>
    <row r="23" spans="2:8" ht="15" customHeight="1">
      <c r="B23" s="4" t="s">
        <v>19</v>
      </c>
      <c r="C23" s="19">
        <v>0</v>
      </c>
      <c r="D23" s="258">
        <v>0</v>
      </c>
      <c r="H23" s="259"/>
    </row>
    <row r="24" spans="2:8" ht="15" customHeight="1">
      <c r="B24" s="80" t="s">
        <v>71</v>
      </c>
      <c r="C24" s="81">
        <f>SUM(C15:C23)</f>
        <v>69386071</v>
      </c>
      <c r="D24" s="20">
        <f>C15*D15+C16*D16+C18*D18+C17*D17+C19*D19+C20*D20+C21*D21+C22*D22+C23*D23</f>
        <v>8005247.3000000007</v>
      </c>
      <c r="F24" s="80" t="s">
        <v>69</v>
      </c>
      <c r="G24" s="81">
        <f>SUM(G15:G21)</f>
        <v>43418741</v>
      </c>
      <c r="H24" s="20">
        <f>G15*H15+G16*H16+G17*H17+G18*H18+G19*H19+G20*H20+G21*H21</f>
        <v>16302055.1</v>
      </c>
    </row>
    <row r="26" spans="2:8" ht="15" customHeight="1">
      <c r="B26" s="16" t="s">
        <v>194</v>
      </c>
      <c r="C26" s="179" t="s">
        <v>131</v>
      </c>
      <c r="F26" s="181" t="s">
        <v>190</v>
      </c>
      <c r="G26" s="182" t="s">
        <v>131</v>
      </c>
      <c r="H26" s="183" t="s">
        <v>33</v>
      </c>
    </row>
    <row r="27" spans="2:8" ht="15" customHeight="1">
      <c r="B27" s="4" t="s">
        <v>3</v>
      </c>
      <c r="C27" s="19">
        <v>1342</v>
      </c>
      <c r="F27" s="184" t="s">
        <v>28</v>
      </c>
      <c r="G27" s="85">
        <f>G32-G30</f>
        <v>184297564</v>
      </c>
      <c r="H27" s="185">
        <f>H32-G30</f>
        <v>29468011.400000006</v>
      </c>
    </row>
    <row r="28" spans="2:8" ht="15" customHeight="1">
      <c r="B28" s="4" t="s">
        <v>4</v>
      </c>
      <c r="C28" s="19">
        <v>2838077</v>
      </c>
      <c r="F28" s="186" t="s">
        <v>238</v>
      </c>
      <c r="G28" s="12">
        <v>-58350</v>
      </c>
      <c r="H28" s="185"/>
    </row>
    <row r="29" spans="2:8" ht="15" customHeight="1">
      <c r="B29" s="4" t="s">
        <v>5</v>
      </c>
      <c r="C29" s="19">
        <v>0</v>
      </c>
      <c r="F29" s="187" t="s">
        <v>73</v>
      </c>
      <c r="G29" s="14">
        <f>G27-G28</f>
        <v>184355914</v>
      </c>
      <c r="H29" s="185">
        <f>H27-G28</f>
        <v>29526361.400000006</v>
      </c>
    </row>
    <row r="30" spans="2:8" ht="15" customHeight="1">
      <c r="B30" s="2" t="s">
        <v>6</v>
      </c>
      <c r="C30" s="19">
        <v>16319467</v>
      </c>
      <c r="F30" s="184" t="s">
        <v>21</v>
      </c>
      <c r="G30" s="85">
        <f>C33+C42</f>
        <v>145900611</v>
      </c>
      <c r="H30" s="185"/>
    </row>
    <row r="31" spans="2:8" ht="15" customHeight="1">
      <c r="B31" s="80" t="s">
        <v>197</v>
      </c>
      <c r="C31" s="81">
        <f>SUM(C27:C30)</f>
        <v>19158886</v>
      </c>
      <c r="F31" s="187" t="s">
        <v>74</v>
      </c>
      <c r="G31" s="188">
        <f>C31+C40</f>
        <v>50977402</v>
      </c>
      <c r="H31" s="185"/>
    </row>
    <row r="32" spans="2:8" ht="15" customHeight="1">
      <c r="B32" s="4" t="s">
        <v>7</v>
      </c>
      <c r="C32" s="21">
        <f>C33-C31</f>
        <v>93319501</v>
      </c>
      <c r="F32" s="189" t="s">
        <v>72</v>
      </c>
      <c r="G32" s="190">
        <f>G35+G40</f>
        <v>330198175</v>
      </c>
      <c r="H32" s="185">
        <f>H35+H40</f>
        <v>175368622.40000001</v>
      </c>
    </row>
    <row r="33" spans="2:8" ht="15" customHeight="1">
      <c r="B33" s="83" t="s">
        <v>2</v>
      </c>
      <c r="C33" s="84">
        <v>112478387</v>
      </c>
      <c r="F33" s="191"/>
      <c r="G33" s="2"/>
      <c r="H33" s="192"/>
    </row>
    <row r="34" spans="2:8" ht="15" customHeight="1">
      <c r="B34" s="83"/>
      <c r="C34" s="84"/>
      <c r="F34" s="193" t="s">
        <v>196</v>
      </c>
      <c r="G34" s="194" t="s">
        <v>131</v>
      </c>
      <c r="H34" s="195" t="s">
        <v>33</v>
      </c>
    </row>
    <row r="35" spans="2:8" ht="15" customHeight="1">
      <c r="B35" s="16" t="s">
        <v>195</v>
      </c>
      <c r="C35" s="179" t="s">
        <v>131</v>
      </c>
      <c r="F35" s="196" t="s">
        <v>29</v>
      </c>
      <c r="G35" s="190">
        <f>C12+C24</f>
        <v>97841110</v>
      </c>
      <c r="H35" s="197">
        <f>D12+D24</f>
        <v>13414605.800000001</v>
      </c>
    </row>
    <row r="36" spans="2:8" ht="15" customHeight="1">
      <c r="B36" s="4" t="s">
        <v>11</v>
      </c>
      <c r="C36" s="19">
        <v>1657023</v>
      </c>
      <c r="F36" s="187" t="s">
        <v>191</v>
      </c>
      <c r="G36" s="188">
        <f>C4+C15</f>
        <v>6037426</v>
      </c>
      <c r="H36" s="192"/>
    </row>
    <row r="37" spans="2:8" ht="15" customHeight="1">
      <c r="B37" s="4" t="s">
        <v>12</v>
      </c>
      <c r="C37" s="19">
        <v>3325762</v>
      </c>
      <c r="F37" s="187" t="s">
        <v>192</v>
      </c>
      <c r="G37" s="188">
        <f>C6</f>
        <v>2483059</v>
      </c>
      <c r="H37" s="192"/>
    </row>
    <row r="38" spans="2:8" ht="15" customHeight="1">
      <c r="B38" s="4" t="s">
        <v>13</v>
      </c>
      <c r="C38" s="19">
        <v>0</v>
      </c>
      <c r="F38" s="187" t="s">
        <v>193</v>
      </c>
      <c r="G38" s="188">
        <f>C7+C17</f>
        <v>0</v>
      </c>
      <c r="H38" s="192"/>
    </row>
    <row r="39" spans="2:8" ht="15" customHeight="1">
      <c r="B39" s="2" t="s">
        <v>14</v>
      </c>
      <c r="C39" s="19">
        <v>26835731</v>
      </c>
      <c r="F39" s="187" t="s">
        <v>77</v>
      </c>
      <c r="G39" s="188">
        <f>C7+C17+C19+C20</f>
        <v>34026066</v>
      </c>
      <c r="H39" s="185">
        <f>C7*D7+C17*D17+C19*D19+C20*D20</f>
        <v>3402606.6</v>
      </c>
    </row>
    <row r="40" spans="2:8" ht="15" customHeight="1">
      <c r="B40" s="80" t="s">
        <v>198</v>
      </c>
      <c r="C40" s="81">
        <f>SUM(C36:C39)</f>
        <v>31818516</v>
      </c>
      <c r="F40" s="196" t="s">
        <v>133</v>
      </c>
      <c r="G40" s="190">
        <f>G12+G24</f>
        <v>232357065</v>
      </c>
      <c r="H40" s="197">
        <f>H12+H24</f>
        <v>161954016.59999999</v>
      </c>
    </row>
    <row r="41" spans="2:8" ht="15" customHeight="1">
      <c r="B41" s="4" t="s">
        <v>15</v>
      </c>
      <c r="C41" s="21">
        <f>C42-C40</f>
        <v>1603708</v>
      </c>
      <c r="F41" s="187" t="s">
        <v>185</v>
      </c>
      <c r="G41" s="188">
        <f>C70</f>
        <v>119577005</v>
      </c>
      <c r="H41" s="197">
        <f>H40-H42</f>
        <v>104035170.09999999</v>
      </c>
    </row>
    <row r="42" spans="2:8" ht="15" customHeight="1">
      <c r="B42" s="83" t="s">
        <v>20</v>
      </c>
      <c r="C42" s="84">
        <v>33422224</v>
      </c>
      <c r="F42" s="198" t="s">
        <v>186</v>
      </c>
      <c r="G42" s="199">
        <f>C82</f>
        <v>112780060</v>
      </c>
      <c r="H42" s="200">
        <f>D82</f>
        <v>57918846.499999993</v>
      </c>
    </row>
    <row r="44" spans="2:8" ht="15" customHeight="1">
      <c r="B44" s="79" t="s">
        <v>93</v>
      </c>
      <c r="C44" s="37"/>
      <c r="D44" s="37"/>
      <c r="E44" s="37"/>
      <c r="F44" s="37"/>
      <c r="G44" s="37"/>
      <c r="H44" s="37"/>
    </row>
    <row r="45" spans="2:8" ht="15" customHeight="1">
      <c r="B45" s="16" t="s">
        <v>263</v>
      </c>
      <c r="C45" s="231" t="s">
        <v>131</v>
      </c>
      <c r="D45" s="179" t="s">
        <v>382</v>
      </c>
      <c r="F45" s="253" t="s">
        <v>57</v>
      </c>
    </row>
    <row r="46" spans="2:8" ht="15" customHeight="1">
      <c r="B46" s="1" t="s">
        <v>265</v>
      </c>
      <c r="C46" s="76">
        <f>G29</f>
        <v>184355914</v>
      </c>
      <c r="D46" s="76">
        <f>H29</f>
        <v>29526361.400000006</v>
      </c>
      <c r="F46" s="250"/>
    </row>
    <row r="47" spans="2:8" ht="15" customHeight="1">
      <c r="B47" s="1" t="str">
        <f>"Equity per share ("&amp;Market_currency&amp;")"</f>
        <v>Equity per share (HKD)</v>
      </c>
      <c r="C47" s="145">
        <f>C46*H1/Common_Shares*Exchange_Rate</f>
        <v>21.737213098841838</v>
      </c>
      <c r="D47" s="145">
        <f>D46*H1/Common_Shares*Exchange_Rate</f>
        <v>3.4814224065804482</v>
      </c>
      <c r="F47" s="250"/>
    </row>
    <row r="48" spans="2:8" ht="15" customHeight="1">
      <c r="F48" s="250"/>
    </row>
    <row r="49" spans="2:8" ht="15" customHeight="1">
      <c r="B49" s="155" t="s">
        <v>138</v>
      </c>
      <c r="C49" s="232" t="s">
        <v>55</v>
      </c>
      <c r="D49" s="194" t="s">
        <v>92</v>
      </c>
      <c r="E49" s="2"/>
      <c r="F49" s="250"/>
    </row>
    <row r="50" spans="2:8" ht="15" customHeight="1">
      <c r="B50" s="8" t="s">
        <v>91</v>
      </c>
      <c r="C50" s="95">
        <f>G31/Normalized_FCF!C8</f>
        <v>1.9811908476408848</v>
      </c>
      <c r="D50" s="95">
        <f>G31/Normalized_FCF!G8</f>
        <v>1.4981652418236286</v>
      </c>
      <c r="F50" s="250"/>
    </row>
    <row r="51" spans="2:8" ht="15" customHeight="1">
      <c r="B51" s="1" t="s">
        <v>170</v>
      </c>
      <c r="C51" s="178"/>
      <c r="D51" s="92">
        <f>G29/G32</f>
        <v>0.55831899737180557</v>
      </c>
      <c r="F51" s="250"/>
    </row>
    <row r="52" spans="2:8" ht="15" customHeight="1">
      <c r="F52" s="250"/>
    </row>
    <row r="53" spans="2:8" ht="15" customHeight="1">
      <c r="B53" s="155" t="s">
        <v>137</v>
      </c>
      <c r="C53" s="232" t="s">
        <v>55</v>
      </c>
      <c r="D53" s="194" t="s">
        <v>92</v>
      </c>
      <c r="F53" s="250"/>
    </row>
    <row r="54" spans="2:8" ht="15" customHeight="1">
      <c r="B54" s="1" t="s">
        <v>134</v>
      </c>
      <c r="C54" s="92">
        <f>Normalized_FCF!C8/G35</f>
        <v>0.26298441634605335</v>
      </c>
      <c r="D54" s="92">
        <f>Normalized_FCF!G8/G35</f>
        <v>0.34777359946141251</v>
      </c>
      <c r="F54" s="250"/>
    </row>
    <row r="55" spans="2:8" ht="15" customHeight="1">
      <c r="B55" s="1" t="s">
        <v>136</v>
      </c>
      <c r="C55" s="92">
        <f>Normalized_FCF!C11/G40</f>
        <v>0</v>
      </c>
      <c r="D55" s="92">
        <f>Normalized_FCF!G11/G40</f>
        <v>0</v>
      </c>
      <c r="F55" s="250"/>
    </row>
    <row r="56" spans="2:8" ht="15" customHeight="1">
      <c r="F56" s="250"/>
    </row>
    <row r="57" spans="2:8" ht="15" customHeight="1">
      <c r="B57" s="155" t="s">
        <v>169</v>
      </c>
      <c r="C57" s="232" t="s">
        <v>55</v>
      </c>
      <c r="D57" s="194" t="s">
        <v>92</v>
      </c>
      <c r="F57" s="250"/>
    </row>
    <row r="58" spans="2:8" ht="15" customHeight="1">
      <c r="B58" s="2" t="s">
        <v>87</v>
      </c>
      <c r="C58" s="98"/>
      <c r="D58" s="23">
        <f>Normalized_FCF!G9/BS!$G$39</f>
        <v>0</v>
      </c>
      <c r="F58" s="5"/>
    </row>
    <row r="59" spans="2:8" ht="15" customHeight="1">
      <c r="B59" s="1" t="s">
        <v>90</v>
      </c>
      <c r="C59" s="98"/>
      <c r="D59" s="92">
        <f>G39/G32</f>
        <v>0.10304740781804746</v>
      </c>
      <c r="F59" s="250"/>
    </row>
    <row r="60" spans="2:8" ht="15" customHeight="1">
      <c r="F60" s="250"/>
    </row>
    <row r="61" spans="2:8" ht="15" customHeight="1">
      <c r="B61" s="155" t="s">
        <v>266</v>
      </c>
      <c r="C61" s="232" t="s">
        <v>132</v>
      </c>
      <c r="D61" s="194" t="s">
        <v>92</v>
      </c>
      <c r="F61" s="250"/>
    </row>
    <row r="62" spans="2:8" ht="15" customHeight="1">
      <c r="B62" s="1" t="s">
        <v>239</v>
      </c>
      <c r="C62" s="92">
        <f>IF(G28&lt;=0,0,G28/G29)</f>
        <v>0</v>
      </c>
      <c r="D62" s="92">
        <f>G28/G29</f>
        <v>-3.1650734025272443E-4</v>
      </c>
      <c r="F62" s="250" t="s">
        <v>264</v>
      </c>
    </row>
    <row r="64" spans="2:8" ht="15" customHeight="1">
      <c r="B64" s="79" t="s">
        <v>187</v>
      </c>
      <c r="C64" s="37"/>
      <c r="D64" s="37"/>
      <c r="E64" s="37"/>
      <c r="F64" s="37"/>
      <c r="G64" s="37"/>
      <c r="H64" s="37"/>
    </row>
    <row r="65" spans="2:6" ht="15" customHeight="1">
      <c r="B65" s="16" t="s">
        <v>182</v>
      </c>
      <c r="C65" s="231" t="s">
        <v>131</v>
      </c>
      <c r="D65" s="180" t="s">
        <v>277</v>
      </c>
      <c r="F65" s="253" t="s">
        <v>57</v>
      </c>
    </row>
    <row r="66" spans="2:6" ht="15" customHeight="1">
      <c r="B66" s="105" t="s">
        <v>181</v>
      </c>
      <c r="C66" s="20">
        <f>G4+G5+G15</f>
        <v>119577005</v>
      </c>
      <c r="D66" s="76">
        <f>C66-D75</f>
        <v>56347137.668000005</v>
      </c>
      <c r="F66" s="5" t="s">
        <v>220</v>
      </c>
    </row>
    <row r="67" spans="2:6" ht="15" customHeight="1">
      <c r="B67" s="105" t="s">
        <v>171</v>
      </c>
      <c r="C67" s="20">
        <f>G6+G16</f>
        <v>0</v>
      </c>
      <c r="F67" s="250"/>
    </row>
    <row r="68" spans="2:6" ht="15" customHeight="1">
      <c r="B68" s="105" t="s">
        <v>175</v>
      </c>
      <c r="C68" s="20">
        <f>G18</f>
        <v>0</v>
      </c>
      <c r="F68" s="250"/>
    </row>
    <row r="69" spans="2:6" ht="15" customHeight="1">
      <c r="B69" s="105" t="s">
        <v>173</v>
      </c>
      <c r="C69" s="20">
        <f>G8+G20</f>
        <v>0</v>
      </c>
      <c r="F69" s="250"/>
    </row>
    <row r="70" spans="2:6" ht="15" customHeight="1">
      <c r="B70" s="80" t="s">
        <v>182</v>
      </c>
      <c r="C70" s="81">
        <f>SUM(C66:C69)</f>
        <v>119577005</v>
      </c>
      <c r="F70" s="250"/>
    </row>
    <row r="71" spans="2:6" ht="15" customHeight="1">
      <c r="F71" s="250"/>
    </row>
    <row r="72" spans="2:6" ht="15" customHeight="1">
      <c r="B72" s="252" t="s">
        <v>305</v>
      </c>
      <c r="C72" s="231" t="s">
        <v>92</v>
      </c>
      <c r="D72" s="179" t="s">
        <v>55</v>
      </c>
      <c r="F72" s="250"/>
    </row>
    <row r="73" spans="2:6" ht="15" customHeight="1">
      <c r="B73" s="105" t="s">
        <v>304</v>
      </c>
      <c r="C73" s="343">
        <f>(Normalized_FCF!G26+Normalized_FCF!G35-Normalized_FCF!G89)/12</f>
        <v>-25297085.083333332</v>
      </c>
      <c r="D73" s="343">
        <f>(Normalized_FCF!C26+Normalized_FCF!C35-Normalized_FCF!C89)/12</f>
        <v>-31614933.665999997</v>
      </c>
      <c r="F73" s="1" t="s">
        <v>338</v>
      </c>
    </row>
    <row r="74" spans="2:6" ht="15" customHeight="1">
      <c r="B74" s="254" t="s">
        <v>309</v>
      </c>
      <c r="C74" s="255">
        <f>-$C$66/C73</f>
        <v>4.7269084404820152</v>
      </c>
      <c r="D74" s="255">
        <f>-$C$66/D73</f>
        <v>3.7822949832280699</v>
      </c>
      <c r="F74" s="250" t="s">
        <v>306</v>
      </c>
    </row>
    <row r="75" spans="2:6" ht="15" customHeight="1">
      <c r="B75" s="80" t="s">
        <v>307</v>
      </c>
      <c r="C75" s="316"/>
      <c r="D75" s="317">
        <f>MAX(-D73*D76,G5)</f>
        <v>63229867.331999995</v>
      </c>
      <c r="F75" s="250" t="s">
        <v>339</v>
      </c>
    </row>
    <row r="76" spans="2:6" ht="15" customHeight="1">
      <c r="B76" s="256" t="s">
        <v>310</v>
      </c>
      <c r="C76" s="257"/>
      <c r="D76" s="287">
        <f>IF(valuation_method="DCF",IF(D74&lt;=3,1,IF(D74&gt;18,6,2)),-C66/D73)</f>
        <v>2</v>
      </c>
      <c r="F76" s="250" t="s">
        <v>311</v>
      </c>
    </row>
    <row r="77" spans="2:6" ht="15" customHeight="1">
      <c r="F77" s="250"/>
    </row>
    <row r="78" spans="2:6" ht="15" customHeight="1">
      <c r="B78" s="16" t="s">
        <v>183</v>
      </c>
      <c r="C78" s="231" t="s">
        <v>131</v>
      </c>
      <c r="D78" s="180" t="s">
        <v>33</v>
      </c>
      <c r="F78" s="250"/>
    </row>
    <row r="79" spans="2:6" ht="15" customHeight="1">
      <c r="B79" s="105" t="s">
        <v>172</v>
      </c>
      <c r="C79" s="20">
        <f>G7+G17</f>
        <v>93281681</v>
      </c>
      <c r="D79" s="76">
        <f>G7*H7+G17*H17</f>
        <v>55969008.599999994</v>
      </c>
      <c r="F79" s="250"/>
    </row>
    <row r="80" spans="2:6" ht="15" customHeight="1">
      <c r="B80" s="105" t="s">
        <v>176</v>
      </c>
      <c r="C80" s="20">
        <f>G19</f>
        <v>19498379</v>
      </c>
      <c r="D80" s="76">
        <f>G19*H19</f>
        <v>1949837.9000000001</v>
      </c>
      <c r="F80" s="250"/>
    </row>
    <row r="81" spans="2:8" ht="15" customHeight="1">
      <c r="B81" s="105" t="s">
        <v>174</v>
      </c>
      <c r="C81" s="20">
        <f>G9+G21</f>
        <v>0</v>
      </c>
      <c r="D81" s="76">
        <f>G9*H9+G21*H21</f>
        <v>0</v>
      </c>
      <c r="F81" s="250"/>
    </row>
    <row r="82" spans="2:8" ht="15" customHeight="1">
      <c r="B82" s="80" t="s">
        <v>183</v>
      </c>
      <c r="C82" s="81">
        <f>SUM(C79:C81)</f>
        <v>112780060</v>
      </c>
      <c r="D82" s="81">
        <f>SUM(D79:D81)</f>
        <v>57918846.499999993</v>
      </c>
      <c r="F82" s="250"/>
    </row>
    <row r="84" spans="2:8" ht="15" customHeight="1">
      <c r="B84" s="79" t="s">
        <v>280</v>
      </c>
      <c r="C84" s="37"/>
      <c r="D84" s="37"/>
      <c r="E84" s="37"/>
      <c r="F84" s="37"/>
      <c r="G84" s="37"/>
      <c r="H84" s="37"/>
    </row>
    <row r="85" spans="2:8" ht="15" customHeight="1">
      <c r="B85" s="16" t="s">
        <v>281</v>
      </c>
      <c r="D85" s="238" t="s">
        <v>282</v>
      </c>
    </row>
    <row r="86" spans="2:8" ht="15" customHeight="1">
      <c r="B86" s="235" t="s">
        <v>278</v>
      </c>
      <c r="C86" s="76">
        <f>-DCF!C7*Exchange_Rate</f>
        <v>-55685644.262278803</v>
      </c>
      <c r="D86" s="220">
        <f>C86*scaling_factor/Common_Shares</f>
        <v>-6.0106921793641295</v>
      </c>
      <c r="E86" s="237" t="str">
        <f>Market_currency</f>
        <v>HKD</v>
      </c>
    </row>
    <row r="87" spans="2:8" ht="15" customHeight="1">
      <c r="B87" s="235" t="s">
        <v>279</v>
      </c>
      <c r="C87" s="76">
        <f>DCF!C8*Exchange_Rate</f>
        <v>61551325.494733892</v>
      </c>
      <c r="D87" s="220">
        <f>C87*scaling_factor/Common_Shares</f>
        <v>6.6438320985954054</v>
      </c>
      <c r="E87" s="237" t="str">
        <f>Market_currency</f>
        <v>HKD</v>
      </c>
    </row>
    <row r="88" spans="2:8" ht="15" customHeight="1">
      <c r="B88" s="236" t="s">
        <v>183</v>
      </c>
      <c r="C88" s="76">
        <f>DCF!C9*Exchange_Rate</f>
        <v>63268196.411432095</v>
      </c>
      <c r="D88" s="220">
        <f>C88*scaling_factor/Common_Shares</f>
        <v>6.829150643952814</v>
      </c>
      <c r="E88" s="237" t="str">
        <f>Market_currency</f>
        <v>HKD</v>
      </c>
    </row>
    <row r="89" spans="2:8" ht="15" customHeight="1">
      <c r="B89" s="80" t="s">
        <v>283</v>
      </c>
      <c r="C89" s="177">
        <f>SUM(C86:C88)</f>
        <v>69133877.643887192</v>
      </c>
      <c r="D89" s="239">
        <f>SUM(D86:D88)</f>
        <v>7.4622905631840899</v>
      </c>
      <c r="E89" s="23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90" zoomScaleNormal="90" workbookViewId="0">
      <pane xSplit="2" ySplit="1" topLeftCell="C74" activePane="bottomRight" state="frozen"/>
      <selection activeCell="C17" sqref="C17"/>
      <selection pane="topRight" activeCell="C17" sqref="C17"/>
      <selection pane="bottomLeft" activeCell="C17" sqref="C17"/>
      <selection pane="bottomRight" activeCell="D101" sqref="D101"/>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5"/>
      <c r="F3" s="9"/>
      <c r="G3" s="9"/>
    </row>
    <row r="4" spans="1:17" ht="15.75" customHeight="1">
      <c r="A4" s="10"/>
      <c r="B4" s="26" t="s">
        <v>0</v>
      </c>
      <c r="C4" s="323">
        <f>G4*1.2</f>
        <v>405109891.19999999</v>
      </c>
      <c r="D4" s="57"/>
      <c r="E4" s="263"/>
      <c r="F4" s="57"/>
      <c r="G4" s="328">
        <f>Data!C36</f>
        <v>337591576</v>
      </c>
      <c r="H4" s="328">
        <f>Data!D36</f>
        <v>276744954</v>
      </c>
      <c r="I4" s="328">
        <f>Data!E36</f>
        <v>219954948</v>
      </c>
      <c r="J4" s="328">
        <f>Data!F36</f>
        <v>179127997</v>
      </c>
      <c r="K4" s="328">
        <f>Data!G36</f>
        <v>114794510</v>
      </c>
      <c r="L4" s="328">
        <f>Data!H36</f>
        <v>97528531</v>
      </c>
      <c r="M4" s="328">
        <f>Data!I36</f>
        <v>65227278</v>
      </c>
      <c r="N4" s="328">
        <f>Data!J36</f>
        <v>33927987</v>
      </c>
      <c r="O4" s="328">
        <f>Data!K36</f>
        <v>12988077</v>
      </c>
      <c r="P4" s="328">
        <f>Data!L36</f>
        <v>4018959</v>
      </c>
      <c r="Q4" s="328" t="str">
        <f>Data!M36</f>
        <v/>
      </c>
    </row>
    <row r="5" spans="1:17" ht="15.75" customHeight="1">
      <c r="A5" s="10"/>
      <c r="B5" s="2" t="s">
        <v>44</v>
      </c>
      <c r="C5" s="324">
        <f>C26</f>
        <v>-368650000.99199998</v>
      </c>
      <c r="E5" s="265"/>
      <c r="G5" s="328">
        <f t="shared" ref="G5:Q5" si="1">G26</f>
        <v>-292835818</v>
      </c>
      <c r="H5" s="328">
        <f t="shared" si="1"/>
        <v>-259371795</v>
      </c>
      <c r="I5" s="328">
        <f t="shared" si="1"/>
        <v>-218686946</v>
      </c>
      <c r="J5" s="328">
        <f t="shared" si="1"/>
        <v>-194012630</v>
      </c>
      <c r="K5" s="328">
        <f t="shared" si="1"/>
        <v>-112519567</v>
      </c>
      <c r="L5" s="328">
        <f t="shared" si="1"/>
        <v>-92472874</v>
      </c>
      <c r="M5" s="328">
        <f t="shared" si="1"/>
        <v>-73066121</v>
      </c>
      <c r="N5" s="328">
        <f t="shared" si="1"/>
        <v>-36263805</v>
      </c>
      <c r="O5" s="328">
        <f t="shared" si="1"/>
        <v>-17750647</v>
      </c>
      <c r="P5" s="328">
        <f t="shared" si="1"/>
        <v>-9584499</v>
      </c>
      <c r="Q5" s="328" t="str">
        <f t="shared" si="1"/>
        <v/>
      </c>
    </row>
    <row r="6" spans="1:17" ht="15.75" customHeight="1">
      <c r="A6" s="10"/>
      <c r="B6" s="31" t="s">
        <v>46</v>
      </c>
      <c r="C6" s="325">
        <f>C4+C5</f>
        <v>36459890.208000004</v>
      </c>
      <c r="E6" s="265"/>
      <c r="G6" s="325">
        <f>IF(G4="","",G4+G5)</f>
        <v>44755758</v>
      </c>
      <c r="H6" s="325">
        <f t="shared" ref="H6:Q6" si="2">IF(H4="","",H4+H5)</f>
        <v>17373159</v>
      </c>
      <c r="I6" s="325">
        <f t="shared" si="2"/>
        <v>1268002</v>
      </c>
      <c r="J6" s="325">
        <f t="shared" si="2"/>
        <v>-14884633</v>
      </c>
      <c r="K6" s="325">
        <f t="shared" si="2"/>
        <v>2274943</v>
      </c>
      <c r="L6" s="325">
        <f t="shared" si="2"/>
        <v>5055657</v>
      </c>
      <c r="M6" s="325">
        <f t="shared" si="2"/>
        <v>-7838843</v>
      </c>
      <c r="N6" s="325">
        <f t="shared" si="2"/>
        <v>-2335818</v>
      </c>
      <c r="O6" s="325">
        <f t="shared" si="2"/>
        <v>-4762570</v>
      </c>
      <c r="P6" s="325">
        <f t="shared" si="2"/>
        <v>-5565540</v>
      </c>
      <c r="Q6" s="325" t="str">
        <f t="shared" si="2"/>
        <v/>
      </c>
    </row>
    <row r="7" spans="1:17" ht="15.75" customHeight="1">
      <c r="A7" s="10"/>
      <c r="B7" s="8" t="s">
        <v>43</v>
      </c>
      <c r="C7" s="324">
        <f>C35</f>
        <v>-10729203</v>
      </c>
      <c r="E7" s="265"/>
      <c r="G7" s="324">
        <f t="shared" ref="G7:Q7" si="3">G35</f>
        <v>-10729203</v>
      </c>
      <c r="H7" s="324">
        <f t="shared" si="3"/>
        <v>-9372067</v>
      </c>
      <c r="I7" s="324">
        <f t="shared" si="3"/>
        <v>-9771810</v>
      </c>
      <c r="J7" s="324">
        <f t="shared" si="3"/>
        <v>-8612626</v>
      </c>
      <c r="K7" s="324">
        <f t="shared" si="3"/>
        <v>-5593895</v>
      </c>
      <c r="L7" s="324">
        <f t="shared" si="3"/>
        <v>-4338954</v>
      </c>
      <c r="M7" s="324">
        <f t="shared" si="3"/>
        <v>-5831692</v>
      </c>
      <c r="N7" s="324">
        <f t="shared" si="3"/>
        <v>-2171408</v>
      </c>
      <c r="O7" s="324">
        <f t="shared" si="3"/>
        <v>-1722605</v>
      </c>
      <c r="P7" s="324">
        <f t="shared" si="3"/>
        <v>-2905420</v>
      </c>
      <c r="Q7" s="324" t="str">
        <f t="shared" si="3"/>
        <v/>
      </c>
    </row>
    <row r="8" spans="1:17" ht="15.75" customHeight="1">
      <c r="A8" s="10"/>
      <c r="B8" s="29" t="s">
        <v>147</v>
      </c>
      <c r="C8" s="326">
        <f>C6+C7</f>
        <v>25730687.208000004</v>
      </c>
      <c r="D8" s="59"/>
      <c r="E8" s="271"/>
      <c r="F8" s="59"/>
      <c r="G8" s="325">
        <f>IF(G$4="","",G6+G7)</f>
        <v>34026555</v>
      </c>
      <c r="H8" s="325">
        <f t="shared" ref="H8:Q8" si="4">IF(H$4="","",H6+H7)</f>
        <v>8001092</v>
      </c>
      <c r="I8" s="325">
        <f t="shared" si="4"/>
        <v>-8503808</v>
      </c>
      <c r="J8" s="325">
        <f t="shared" si="4"/>
        <v>-23497259</v>
      </c>
      <c r="K8" s="325">
        <f t="shared" si="4"/>
        <v>-3318952</v>
      </c>
      <c r="L8" s="325">
        <f t="shared" si="4"/>
        <v>716703</v>
      </c>
      <c r="M8" s="325">
        <f t="shared" si="4"/>
        <v>-13670535</v>
      </c>
      <c r="N8" s="325">
        <f t="shared" si="4"/>
        <v>-4507226</v>
      </c>
      <c r="O8" s="325">
        <f t="shared" si="4"/>
        <v>-6485175</v>
      </c>
      <c r="P8" s="325">
        <f t="shared" si="4"/>
        <v>-8470960</v>
      </c>
      <c r="Q8" s="325" t="str">
        <f t="shared" si="4"/>
        <v/>
      </c>
    </row>
    <row r="9" spans="1:17" ht="15.75" customHeight="1">
      <c r="A9" s="10"/>
      <c r="B9" s="2" t="s">
        <v>63</v>
      </c>
      <c r="C9" s="324">
        <f>BS!$G$39*BS!D58</f>
        <v>0</v>
      </c>
      <c r="E9" s="265"/>
      <c r="G9" s="324">
        <f>IF(Data!C61="","",-Data!C61)</f>
        <v>0</v>
      </c>
      <c r="H9" s="324">
        <f>IF(Data!D61="","",-Data!D61)</f>
        <v>0</v>
      </c>
      <c r="I9" s="324">
        <f>IF(Data!E61="","",-Data!E61)</f>
        <v>0</v>
      </c>
      <c r="J9" s="324">
        <f>IF(Data!F61="","",-Data!F61)</f>
        <v>0</v>
      </c>
      <c r="K9" s="324">
        <f>IF(Data!G61="","",-Data!G61)</f>
        <v>0</v>
      </c>
      <c r="L9" s="324">
        <f>IF(Data!H61="","",-Data!H61)</f>
        <v>0</v>
      </c>
      <c r="M9" s="324">
        <f>IF(Data!I61="","",-Data!I61)</f>
        <v>0</v>
      </c>
      <c r="N9" s="324">
        <f>IF(Data!J61="","",-Data!J61)</f>
        <v>0</v>
      </c>
      <c r="O9" s="324">
        <f>IF(Data!K61="","",-Data!K61)</f>
        <v>0</v>
      </c>
      <c r="P9" s="324">
        <f>IF(Data!L61="","",-Data!L61)</f>
        <v>0</v>
      </c>
      <c r="Q9" s="324" t="str">
        <f>IF(Data!M61="","",-Data!M61)</f>
        <v/>
      </c>
    </row>
    <row r="10" spans="1:17" ht="15.75" customHeight="1">
      <c r="A10" s="10"/>
      <c r="B10" s="2" t="s">
        <v>556</v>
      </c>
      <c r="C10" s="324">
        <f>-C4*C76</f>
        <v>0</v>
      </c>
      <c r="E10" s="265"/>
      <c r="G10" s="324">
        <f>Data!C62</f>
        <v>0</v>
      </c>
      <c r="H10" s="324">
        <f>Data!D62</f>
        <v>0</v>
      </c>
      <c r="I10" s="324">
        <f>Data!E62</f>
        <v>0</v>
      </c>
      <c r="J10" s="324">
        <f>Data!F62</f>
        <v>0</v>
      </c>
      <c r="K10" s="324">
        <f>Data!G62</f>
        <v>0</v>
      </c>
      <c r="L10" s="324">
        <f>Data!H62</f>
        <v>0</v>
      </c>
      <c r="M10" s="324">
        <f>Data!I62</f>
        <v>0</v>
      </c>
      <c r="N10" s="324">
        <f>Data!J62</f>
        <v>0</v>
      </c>
      <c r="O10" s="324">
        <f>Data!K62</f>
        <v>0</v>
      </c>
      <c r="P10" s="324">
        <f>Data!L62</f>
        <v>0</v>
      </c>
      <c r="Q10" s="324" t="str">
        <f>Data!M62</f>
        <v/>
      </c>
    </row>
    <row r="11" spans="1:17" ht="15.75" customHeight="1">
      <c r="A11" s="10"/>
      <c r="B11" s="27" t="s">
        <v>188</v>
      </c>
      <c r="C11" s="368">
        <f>C61</f>
        <v>0</v>
      </c>
      <c r="D11" s="58"/>
      <c r="E11" s="264"/>
      <c r="F11" s="58"/>
      <c r="G11" s="328">
        <f>G59</f>
        <v>0</v>
      </c>
      <c r="H11" s="328">
        <f t="shared" ref="H11:Q11" si="5">H59</f>
        <v>0</v>
      </c>
      <c r="I11" s="328">
        <f t="shared" si="5"/>
        <v>0</v>
      </c>
      <c r="J11" s="328">
        <f t="shared" si="5"/>
        <v>0</v>
      </c>
      <c r="K11" s="328">
        <f t="shared" si="5"/>
        <v>0</v>
      </c>
      <c r="L11" s="328">
        <f t="shared" si="5"/>
        <v>0</v>
      </c>
      <c r="M11" s="328">
        <f t="shared" si="5"/>
        <v>0</v>
      </c>
      <c r="N11" s="328">
        <f t="shared" si="5"/>
        <v>0</v>
      </c>
      <c r="O11" s="328">
        <f t="shared" si="5"/>
        <v>0</v>
      </c>
      <c r="P11" s="328">
        <f t="shared" si="5"/>
        <v>0</v>
      </c>
      <c r="Q11" s="328" t="str">
        <f t="shared" si="5"/>
        <v/>
      </c>
    </row>
    <row r="12" spans="1:17" ht="15.75" customHeight="1">
      <c r="A12" s="10"/>
      <c r="B12" s="2" t="s">
        <v>66</v>
      </c>
      <c r="C12" s="324">
        <f>C48</f>
        <v>-1337038</v>
      </c>
      <c r="E12" s="265"/>
      <c r="G12" s="324">
        <f>G48</f>
        <v>-1337038</v>
      </c>
      <c r="H12" s="324">
        <f t="shared" ref="H12:Q12" si="6">H48</f>
        <v>-1425157</v>
      </c>
      <c r="I12" s="324">
        <f t="shared" si="6"/>
        <v>-1628825</v>
      </c>
      <c r="J12" s="324">
        <f t="shared" si="6"/>
        <v>-1130935</v>
      </c>
      <c r="K12" s="324">
        <f t="shared" si="6"/>
        <v>0</v>
      </c>
      <c r="L12" s="324">
        <f t="shared" si="6"/>
        <v>0</v>
      </c>
      <c r="M12" s="324">
        <f t="shared" si="6"/>
        <v>0</v>
      </c>
      <c r="N12" s="324">
        <f t="shared" si="6"/>
        <v>-19214</v>
      </c>
      <c r="O12" s="324">
        <f t="shared" si="6"/>
        <v>-55981</v>
      </c>
      <c r="P12" s="324">
        <f t="shared" si="6"/>
        <v>-56561</v>
      </c>
      <c r="Q12" s="324" t="str">
        <f t="shared" si="6"/>
        <v/>
      </c>
    </row>
    <row r="13" spans="1:17" ht="15.75" customHeight="1">
      <c r="A13" s="10"/>
      <c r="B13" s="70" t="s">
        <v>159</v>
      </c>
      <c r="C13" s="325">
        <f>SUM(C8:C12)</f>
        <v>24393649.208000004</v>
      </c>
      <c r="E13" s="265"/>
      <c r="G13" s="325">
        <f>IF(G$4="","",SUM(G8:G12))</f>
        <v>32689517</v>
      </c>
      <c r="H13" s="325">
        <f t="shared" ref="H13:Q13" si="7">IF(H$4="","",SUM(H8:H12))</f>
        <v>6575935</v>
      </c>
      <c r="I13" s="325">
        <f t="shared" si="7"/>
        <v>-10132633</v>
      </c>
      <c r="J13" s="325">
        <f t="shared" si="7"/>
        <v>-24628194</v>
      </c>
      <c r="K13" s="325">
        <f t="shared" si="7"/>
        <v>-3318952</v>
      </c>
      <c r="L13" s="325">
        <f t="shared" si="7"/>
        <v>716703</v>
      </c>
      <c r="M13" s="325">
        <f t="shared" si="7"/>
        <v>-13670535</v>
      </c>
      <c r="N13" s="325">
        <f t="shared" si="7"/>
        <v>-4526440</v>
      </c>
      <c r="O13" s="325">
        <f t="shared" si="7"/>
        <v>-6541156</v>
      </c>
      <c r="P13" s="325">
        <f t="shared" si="7"/>
        <v>-8527521</v>
      </c>
      <c r="Q13" s="325" t="str">
        <f t="shared" si="7"/>
        <v/>
      </c>
    </row>
    <row r="14" spans="1:17" ht="15.75" customHeight="1">
      <c r="A14" s="10"/>
      <c r="B14" s="2" t="s">
        <v>61</v>
      </c>
      <c r="C14" s="324">
        <f>-SUM(C8+C11,C12)*C41</f>
        <v>-6098412.3020000011</v>
      </c>
      <c r="E14" s="265"/>
      <c r="G14" s="324">
        <f>Data!C46</f>
        <v>-2177107</v>
      </c>
      <c r="H14" s="324">
        <f>Data!D46</f>
        <v>-164537</v>
      </c>
      <c r="I14" s="324">
        <f>Data!E46</f>
        <v>70194</v>
      </c>
      <c r="J14" s="324">
        <f>Data!F46</f>
        <v>30279</v>
      </c>
      <c r="K14" s="324">
        <f>Data!G46</f>
        <v>269737</v>
      </c>
      <c r="L14" s="324">
        <f>Data!H46</f>
        <v>-526223</v>
      </c>
      <c r="M14" s="324">
        <f>Data!I46</f>
        <v>-1888</v>
      </c>
      <c r="N14" s="324">
        <f>Data!J46</f>
        <v>-54218</v>
      </c>
      <c r="O14" s="324">
        <f>Data!K46</f>
        <v>-267903</v>
      </c>
      <c r="P14" s="324">
        <f>Data!L46</f>
        <v>11648</v>
      </c>
      <c r="Q14" s="324" t="str">
        <f>Data!M46</f>
        <v/>
      </c>
    </row>
    <row r="15" spans="1:17" ht="15.75" customHeight="1">
      <c r="A15" s="10"/>
      <c r="B15" s="40" t="s">
        <v>237</v>
      </c>
      <c r="C15" s="324">
        <f>-C4*C81</f>
        <v>0</v>
      </c>
      <c r="D15" s="60"/>
      <c r="E15" s="272"/>
      <c r="F15" s="60"/>
      <c r="G15" s="328">
        <f>Data!C48</f>
        <v>-1143</v>
      </c>
      <c r="H15" s="328">
        <f>Data!D48</f>
        <v>0</v>
      </c>
      <c r="I15" s="328">
        <f>Data!E48</f>
        <v>0</v>
      </c>
      <c r="J15" s="328">
        <f>Data!F48</f>
        <v>0</v>
      </c>
      <c r="K15" s="328">
        <f>Data!G48</f>
        <v>0</v>
      </c>
      <c r="L15" s="328">
        <f>Data!H48</f>
        <v>0</v>
      </c>
      <c r="M15" s="328">
        <f>Data!I48</f>
        <v>0</v>
      </c>
      <c r="N15" s="328">
        <f>Data!J48</f>
        <v>0</v>
      </c>
      <c r="O15" s="328">
        <f>Data!K48</f>
        <v>0</v>
      </c>
      <c r="P15" s="328">
        <f>Data!L48</f>
        <v>0</v>
      </c>
      <c r="Q15" s="328" t="str">
        <f>Data!M48</f>
        <v/>
      </c>
    </row>
    <row r="16" spans="1:17" ht="15.75" customHeight="1">
      <c r="A16" s="10"/>
      <c r="B16" s="41" t="s">
        <v>149</v>
      </c>
      <c r="C16" s="327">
        <f>SUM(C13:C15)</f>
        <v>18295236.906000003</v>
      </c>
      <c r="D16" s="61"/>
      <c r="E16" s="273"/>
      <c r="F16" s="61"/>
      <c r="G16" s="325">
        <f>IF(G$4="","",SUM(G13:G15))</f>
        <v>30511267</v>
      </c>
      <c r="H16" s="325">
        <f t="shared" ref="H16:Q16" si="8">IF(H$4="","",SUM(H13:H15))</f>
        <v>6411398</v>
      </c>
      <c r="I16" s="325">
        <f t="shared" si="8"/>
        <v>-10062439</v>
      </c>
      <c r="J16" s="325">
        <f t="shared" si="8"/>
        <v>-24597915</v>
      </c>
      <c r="K16" s="325">
        <f t="shared" si="8"/>
        <v>-3049215</v>
      </c>
      <c r="L16" s="325">
        <f t="shared" si="8"/>
        <v>190480</v>
      </c>
      <c r="M16" s="325">
        <f t="shared" si="8"/>
        <v>-13672423</v>
      </c>
      <c r="N16" s="325">
        <f t="shared" si="8"/>
        <v>-4580658</v>
      </c>
      <c r="O16" s="325">
        <f t="shared" si="8"/>
        <v>-6809059</v>
      </c>
      <c r="P16" s="325">
        <f t="shared" si="8"/>
        <v>-8515873</v>
      </c>
      <c r="Q16" s="325" t="str">
        <f t="shared" si="8"/>
        <v/>
      </c>
    </row>
    <row r="17" spans="1:17" ht="15.75" customHeight="1">
      <c r="A17" s="10"/>
      <c r="B17" s="27" t="s">
        <v>50</v>
      </c>
      <c r="C17" s="324">
        <f>-C4*C83</f>
        <v>0</v>
      </c>
      <c r="D17" s="58"/>
      <c r="E17" s="264" t="s">
        <v>318</v>
      </c>
      <c r="F17" s="58"/>
      <c r="G17" s="330"/>
      <c r="H17" s="330"/>
      <c r="I17" s="330"/>
      <c r="J17" s="330"/>
      <c r="K17" s="330"/>
      <c r="L17" s="330"/>
      <c r="M17" s="330"/>
      <c r="N17" s="330"/>
      <c r="O17" s="330"/>
      <c r="P17" s="330"/>
      <c r="Q17" s="330"/>
    </row>
    <row r="18" spans="1:17" ht="15.75" customHeight="1">
      <c r="A18" s="10"/>
      <c r="B18" s="27" t="s">
        <v>95</v>
      </c>
      <c r="C18" s="324">
        <v>0</v>
      </c>
      <c r="D18" s="58"/>
      <c r="E18" s="264" t="s">
        <v>319</v>
      </c>
      <c r="F18" s="58"/>
      <c r="G18" s="331"/>
      <c r="H18" s="331"/>
      <c r="I18" s="331"/>
      <c r="J18" s="331"/>
      <c r="K18" s="331"/>
      <c r="L18" s="331"/>
      <c r="M18" s="331"/>
      <c r="N18" s="331"/>
      <c r="O18" s="331"/>
      <c r="P18" s="331"/>
      <c r="Q18" s="331"/>
    </row>
    <row r="19" spans="1:17" ht="15.75" customHeight="1">
      <c r="A19" s="10"/>
      <c r="B19" s="31" t="s">
        <v>64</v>
      </c>
      <c r="C19" s="325">
        <f>C16+C17</f>
        <v>18295236.906000003</v>
      </c>
      <c r="D19" s="27"/>
      <c r="E19" s="262"/>
      <c r="F19" s="27"/>
      <c r="G19" s="329">
        <f>IF(G$4="","",G16+G17)</f>
        <v>30511267</v>
      </c>
      <c r="H19" s="329">
        <f t="shared" ref="H19:Q19" si="9">IF(H$4="","",H16+H17)</f>
        <v>6411398</v>
      </c>
      <c r="I19" s="329">
        <f t="shared" si="9"/>
        <v>-10062439</v>
      </c>
      <c r="J19" s="329">
        <f t="shared" si="9"/>
        <v>-24597915</v>
      </c>
      <c r="K19" s="329">
        <f t="shared" si="9"/>
        <v>-3049215</v>
      </c>
      <c r="L19" s="329">
        <f t="shared" si="9"/>
        <v>190480</v>
      </c>
      <c r="M19" s="329">
        <f t="shared" si="9"/>
        <v>-13672423</v>
      </c>
      <c r="N19" s="329">
        <f t="shared" si="9"/>
        <v>-4580658</v>
      </c>
      <c r="O19" s="329">
        <f t="shared" si="9"/>
        <v>-6809059</v>
      </c>
      <c r="P19" s="329">
        <f t="shared" si="9"/>
        <v>-8515873</v>
      </c>
      <c r="Q19" s="329"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199</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2"/>
      <c r="F22" s="27"/>
      <c r="G22" s="12"/>
      <c r="H22" s="12"/>
      <c r="I22" s="12"/>
      <c r="J22" s="12"/>
      <c r="K22" s="12"/>
      <c r="L22" s="12"/>
      <c r="M22" s="12"/>
      <c r="N22" s="12"/>
      <c r="O22" s="12"/>
      <c r="P22" s="12"/>
      <c r="Q22" s="12"/>
    </row>
    <row r="23" spans="1:17" ht="15.75" customHeight="1">
      <c r="A23" s="10"/>
      <c r="B23" s="27" t="s">
        <v>41</v>
      </c>
      <c r="C23" s="332">
        <f>-C4*C29</f>
        <v>-263321429.28</v>
      </c>
      <c r="D23" s="58"/>
      <c r="E23" s="264"/>
      <c r="F23" s="58"/>
      <c r="G23" s="328">
        <f>Data!C37</f>
        <v>-207806982</v>
      </c>
      <c r="H23" s="328">
        <f>Data!D37</f>
        <v>-179553793</v>
      </c>
      <c r="I23" s="328">
        <f>Data!E37</f>
        <v>-158201969</v>
      </c>
      <c r="J23" s="328">
        <f>Data!F37</f>
        <v>-136653869</v>
      </c>
      <c r="K23" s="328">
        <f>Data!G37</f>
        <v>-80744368</v>
      </c>
      <c r="L23" s="328">
        <f>Data!H37</f>
        <v>-65208143</v>
      </c>
      <c r="M23" s="328">
        <f>Data!I37</f>
        <v>-50122320</v>
      </c>
      <c r="N23" s="328">
        <f>Data!J37</f>
        <v>-21708483</v>
      </c>
      <c r="O23" s="328">
        <f>Data!K37</f>
        <v>-7046841</v>
      </c>
      <c r="P23" s="328">
        <f>Data!L37</f>
        <v>-1239504</v>
      </c>
      <c r="Q23" s="328" t="str">
        <f>Data!M37</f>
        <v/>
      </c>
    </row>
    <row r="24" spans="1:17" ht="15.75" customHeight="1">
      <c r="A24" s="10"/>
      <c r="B24" s="68" t="s">
        <v>60</v>
      </c>
      <c r="C24" s="324">
        <f>-C4*C30</f>
        <v>-81021978.24000001</v>
      </c>
      <c r="D24" s="27"/>
      <c r="E24" s="262"/>
      <c r="F24" s="27"/>
      <c r="G24" s="328">
        <f>Data!C40</f>
        <v>-63975235</v>
      </c>
      <c r="H24" s="328">
        <f>Data!D40</f>
        <v>-58616997</v>
      </c>
      <c r="I24" s="328">
        <f>Data!E40</f>
        <v>-39745112</v>
      </c>
      <c r="J24" s="328">
        <f>Data!F40</f>
        <v>-40683166</v>
      </c>
      <c r="K24" s="328">
        <f>Data!G40</f>
        <v>-20882685</v>
      </c>
      <c r="L24" s="328">
        <f>Data!H40</f>
        <v>-18819067</v>
      </c>
      <c r="M24" s="328">
        <f>Data!I40</f>
        <v>-15871901</v>
      </c>
      <c r="N24" s="328">
        <f>Data!J40</f>
        <v>-10908688</v>
      </c>
      <c r="O24" s="328">
        <f>Data!K40</f>
        <v>-8337132</v>
      </c>
      <c r="P24" s="328">
        <f>Data!L40</f>
        <v>-7140962</v>
      </c>
      <c r="Q24" s="328" t="str">
        <f>Data!M40</f>
        <v/>
      </c>
    </row>
    <row r="25" spans="1:17" ht="15.75" customHeight="1">
      <c r="A25" s="10"/>
      <c r="B25" s="27" t="s">
        <v>47</v>
      </c>
      <c r="C25" s="324">
        <f>-C4*C31</f>
        <v>-24306593.471999999</v>
      </c>
      <c r="D25" s="58"/>
      <c r="E25" s="263" t="s">
        <v>320</v>
      </c>
      <c r="F25" s="58"/>
      <c r="G25" s="328">
        <f>Data!C42</f>
        <v>-21053601</v>
      </c>
      <c r="H25" s="328">
        <f>Data!D42</f>
        <v>-21201005</v>
      </c>
      <c r="I25" s="328">
        <f>Data!E42</f>
        <v>-20739865</v>
      </c>
      <c r="J25" s="328">
        <f>Data!F42</f>
        <v>-16675595</v>
      </c>
      <c r="K25" s="328">
        <f>Data!G42</f>
        <v>-10892514</v>
      </c>
      <c r="L25" s="328">
        <f>Data!H42</f>
        <v>-8445664</v>
      </c>
      <c r="M25" s="328">
        <f>Data!I42</f>
        <v>-7071900</v>
      </c>
      <c r="N25" s="328">
        <f>Data!J42</f>
        <v>-3646634</v>
      </c>
      <c r="O25" s="328">
        <f>Data!K42</f>
        <v>-2366674</v>
      </c>
      <c r="P25" s="328">
        <f>Data!L42</f>
        <v>-1204033</v>
      </c>
      <c r="Q25" s="328" t="str">
        <f>Data!M42</f>
        <v/>
      </c>
    </row>
    <row r="26" spans="1:17" ht="15.75" customHeight="1">
      <c r="A26" s="10"/>
      <c r="B26" s="70" t="s">
        <v>44</v>
      </c>
      <c r="C26" s="325">
        <f>SUM(C23:C25)</f>
        <v>-368650000.99199998</v>
      </c>
      <c r="D26" s="9"/>
      <c r="E26" s="270"/>
      <c r="F26" s="9"/>
      <c r="G26" s="325">
        <f>IF(G$4="","",SUM(G23:G25))</f>
        <v>-292835818</v>
      </c>
      <c r="H26" s="325">
        <f t="shared" ref="H26:Q26" si="10">IF(H$4="","",SUM(H23:H25))</f>
        <v>-259371795</v>
      </c>
      <c r="I26" s="325">
        <f t="shared" si="10"/>
        <v>-218686946</v>
      </c>
      <c r="J26" s="325">
        <f t="shared" si="10"/>
        <v>-194012630</v>
      </c>
      <c r="K26" s="325">
        <f t="shared" si="10"/>
        <v>-112519567</v>
      </c>
      <c r="L26" s="325">
        <f t="shared" si="10"/>
        <v>-92472874</v>
      </c>
      <c r="M26" s="325">
        <f t="shared" si="10"/>
        <v>-73066121</v>
      </c>
      <c r="N26" s="325">
        <f t="shared" si="10"/>
        <v>-36263805</v>
      </c>
      <c r="O26" s="325">
        <f t="shared" si="10"/>
        <v>-17750647</v>
      </c>
      <c r="P26" s="325">
        <f t="shared" si="10"/>
        <v>-9584499</v>
      </c>
      <c r="Q26" s="325" t="str">
        <f t="shared" si="10"/>
        <v/>
      </c>
    </row>
    <row r="27" spans="1:17" ht="15.75" customHeight="1">
      <c r="A27" s="10"/>
      <c r="E27" s="265"/>
    </row>
    <row r="28" spans="1:17" ht="15.75" customHeight="1">
      <c r="A28" s="10"/>
      <c r="B28" s="64" t="s">
        <v>200</v>
      </c>
      <c r="E28" s="265"/>
    </row>
    <row r="29" spans="1:17" ht="15.75" customHeight="1">
      <c r="A29" s="10"/>
      <c r="B29" s="26" t="s">
        <v>41</v>
      </c>
      <c r="C29" s="63">
        <v>0.65</v>
      </c>
      <c r="D29" s="26"/>
      <c r="E29" s="263" t="s">
        <v>320</v>
      </c>
      <c r="F29" s="26"/>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8" t="str">
        <f>B24</f>
        <v>Selling Expenses</v>
      </c>
      <c r="C30" s="63">
        <v>0.2</v>
      </c>
      <c r="D30" s="26"/>
      <c r="E30" s="263" t="s">
        <v>320</v>
      </c>
      <c r="F30" s="26"/>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7" t="str">
        <f>B25</f>
        <v>R&amp;D</v>
      </c>
      <c r="C31" s="63">
        <v>0.06</v>
      </c>
      <c r="D31" s="27"/>
      <c r="E31" s="262"/>
      <c r="F31" s="27"/>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70" t="s">
        <v>44</v>
      </c>
      <c r="C32" s="71">
        <f>ABS(C26/$C$4)</f>
        <v>0.91</v>
      </c>
      <c r="E32" s="265"/>
      <c r="G32" s="30">
        <f t="shared" ref="G32:Q32" si="14">IF(G$4="","",ABS(G26/G$4))</f>
        <v>0.86742631871833198</v>
      </c>
      <c r="H32" s="30">
        <f t="shared" si="14"/>
        <v>0.93722321311050893</v>
      </c>
      <c r="I32" s="30">
        <f t="shared" si="14"/>
        <v>0.9942351740139076</v>
      </c>
      <c r="J32" s="30">
        <f t="shared" si="14"/>
        <v>1.0830949558376406</v>
      </c>
      <c r="K32" s="30">
        <f t="shared" si="14"/>
        <v>0.98018247562535876</v>
      </c>
      <c r="L32" s="30">
        <f t="shared" si="14"/>
        <v>0.9481622767393062</v>
      </c>
      <c r="M32" s="30">
        <f t="shared" si="14"/>
        <v>1.1201773742574388</v>
      </c>
      <c r="N32" s="30">
        <f t="shared" si="14"/>
        <v>1.068846348001725</v>
      </c>
      <c r="O32" s="30">
        <f t="shared" si="14"/>
        <v>1.3666878476313313</v>
      </c>
      <c r="P32" s="30">
        <f t="shared" si="14"/>
        <v>2.3848212932751989</v>
      </c>
      <c r="Q32" s="30" t="str">
        <f t="shared" si="14"/>
        <v/>
      </c>
    </row>
    <row r="33" spans="1:17" ht="15.75" customHeight="1">
      <c r="A33" s="10"/>
      <c r="E33" s="265"/>
    </row>
    <row r="34" spans="1:17" ht="15.75" customHeight="1">
      <c r="A34" s="10"/>
      <c r="B34" s="64" t="s">
        <v>43</v>
      </c>
      <c r="E34" s="265"/>
    </row>
    <row r="35" spans="1:17" ht="15.75" customHeight="1">
      <c r="A35" s="10"/>
      <c r="B35" s="365" t="s">
        <v>553</v>
      </c>
      <c r="C35" s="334">
        <f>G35</f>
        <v>-10729203</v>
      </c>
      <c r="D35" s="58"/>
      <c r="E35" s="264" t="s">
        <v>554</v>
      </c>
      <c r="F35" s="58"/>
      <c r="G35" s="325">
        <f>IF(G4="","",Data!C41)</f>
        <v>-10729203</v>
      </c>
      <c r="H35" s="325">
        <f>IF(H4="","",Data!D41)</f>
        <v>-9372067</v>
      </c>
      <c r="I35" s="325">
        <f>IF(I4="","",Data!E41)</f>
        <v>-9771810</v>
      </c>
      <c r="J35" s="325">
        <f>IF(J4="","",Data!F41)</f>
        <v>-8612626</v>
      </c>
      <c r="K35" s="325">
        <f>IF(K4="","",Data!G41)</f>
        <v>-5593895</v>
      </c>
      <c r="L35" s="325">
        <f>IF(L4="","",Data!H41)</f>
        <v>-4338954</v>
      </c>
      <c r="M35" s="325">
        <f>IF(M4="","",Data!I41)</f>
        <v>-5831692</v>
      </c>
      <c r="N35" s="325">
        <f>IF(N4="","",Data!J41)</f>
        <v>-2171408</v>
      </c>
      <c r="O35" s="325">
        <f>IF(O4="","",Data!K41)</f>
        <v>-1722605</v>
      </c>
      <c r="P35" s="325">
        <f>IF(P4="","",Data!L41)</f>
        <v>-2905420</v>
      </c>
      <c r="Q35" s="325" t="str">
        <f>IF(Q4="","",Data!M41)</f>
        <v/>
      </c>
    </row>
    <row r="36" spans="1:17" ht="15.75" customHeight="1">
      <c r="A36" s="10"/>
      <c r="E36" s="265"/>
    </row>
    <row r="37" spans="1:17" ht="15.75" customHeight="1">
      <c r="A37" s="10"/>
      <c r="B37" s="64" t="s">
        <v>201</v>
      </c>
      <c r="E37" s="265"/>
    </row>
    <row r="38" spans="1:17" ht="15.75" customHeight="1">
      <c r="A38" s="10"/>
      <c r="B38" s="365" t="s">
        <v>553</v>
      </c>
      <c r="C38" s="71">
        <f>ABS(C35/$C$4)</f>
        <v>2.6484673006177146E-2</v>
      </c>
      <c r="E38" s="265"/>
      <c r="G38" s="30">
        <f t="shared" ref="G38:Q38" si="15">IF(G$4="","",ABS(G35/G$4))</f>
        <v>3.1781607607412575E-2</v>
      </c>
      <c r="H38" s="30">
        <f t="shared" si="15"/>
        <v>3.386535820992783E-2</v>
      </c>
      <c r="I38" s="30">
        <f t="shared" si="15"/>
        <v>4.442641590404231E-2</v>
      </c>
      <c r="J38" s="30">
        <f t="shared" si="15"/>
        <v>4.8080848020647493E-2</v>
      </c>
      <c r="K38" s="30">
        <f t="shared" si="15"/>
        <v>4.8729638725754393E-2</v>
      </c>
      <c r="L38" s="30">
        <f t="shared" si="15"/>
        <v>4.4489073663992747E-2</v>
      </c>
      <c r="M38" s="30">
        <f t="shared" si="15"/>
        <v>8.9405723783230695E-2</v>
      </c>
      <c r="N38" s="30">
        <f t="shared" si="15"/>
        <v>6.4000496109598251E-2</v>
      </c>
      <c r="O38" s="30">
        <f t="shared" si="15"/>
        <v>0.13262971877977009</v>
      </c>
      <c r="P38" s="30">
        <f t="shared" si="15"/>
        <v>0.72292849964381323</v>
      </c>
      <c r="Q38" s="30" t="str">
        <f t="shared" si="15"/>
        <v/>
      </c>
    </row>
    <row r="39" spans="1:17" ht="15.75" customHeight="1">
      <c r="A39" s="10"/>
      <c r="E39" s="265"/>
    </row>
    <row r="40" spans="1:17" ht="15.75" customHeight="1">
      <c r="A40" s="10"/>
      <c r="B40" s="64" t="s">
        <v>202</v>
      </c>
      <c r="E40" s="265"/>
    </row>
    <row r="41" spans="1:17" ht="15.75" customHeight="1">
      <c r="A41" s="10"/>
      <c r="B41" s="27" t="s">
        <v>166</v>
      </c>
      <c r="C41" s="260">
        <v>0.25</v>
      </c>
      <c r="D41" s="27"/>
      <c r="E41" s="262" t="s">
        <v>321</v>
      </c>
      <c r="F41" s="27"/>
      <c r="G41" s="6">
        <f t="shared" ref="G41:Q41" si="16">IF(G$4="","",-G14/SUM(G8+G11,G12))</f>
        <v>6.6599546270445051E-2</v>
      </c>
      <c r="H41" s="6">
        <f t="shared" si="16"/>
        <v>2.5021080652409124E-2</v>
      </c>
      <c r="I41" s="6">
        <f t="shared" si="16"/>
        <v>6.9275182472314945E-3</v>
      </c>
      <c r="J41" s="6">
        <f t="shared" si="16"/>
        <v>1.229444595084804E-3</v>
      </c>
      <c r="K41" s="6">
        <f t="shared" si="16"/>
        <v>8.127173878983486E-2</v>
      </c>
      <c r="L41" s="6">
        <f t="shared" si="16"/>
        <v>0.73422742753972003</v>
      </c>
      <c r="M41" s="6">
        <f t="shared" si="16"/>
        <v>-1.3810725037461958E-4</v>
      </c>
      <c r="N41" s="6">
        <f t="shared" si="16"/>
        <v>-1.1978066648403602E-2</v>
      </c>
      <c r="O41" s="6">
        <f t="shared" si="16"/>
        <v>-4.0956522058180539E-2</v>
      </c>
      <c r="P41" s="6">
        <f t="shared" si="16"/>
        <v>1.3659303800014095E-3</v>
      </c>
      <c r="Q41" s="6" t="str">
        <f t="shared" si="16"/>
        <v/>
      </c>
    </row>
    <row r="42" spans="1:17" ht="15.75" customHeight="1">
      <c r="A42" s="10"/>
    </row>
    <row r="43" spans="1:17" ht="15.75" customHeight="1">
      <c r="A43" s="10"/>
      <c r="B43" s="54" t="s">
        <v>203</v>
      </c>
      <c r="C43" s="54"/>
      <c r="D43" s="56"/>
      <c r="E43" s="66" t="s">
        <v>57</v>
      </c>
      <c r="F43" s="56"/>
      <c r="G43" s="37"/>
      <c r="H43" s="37"/>
      <c r="I43" s="37"/>
      <c r="J43" s="37"/>
      <c r="K43" s="37"/>
      <c r="L43" s="37"/>
      <c r="M43" s="37"/>
      <c r="N43" s="37"/>
      <c r="O43" s="37"/>
      <c r="P43" s="37"/>
      <c r="Q43" s="37"/>
    </row>
    <row r="44" spans="1:17" ht="15.75" customHeight="1">
      <c r="A44" s="10"/>
      <c r="B44" s="64" t="s">
        <v>58</v>
      </c>
      <c r="E44" s="265"/>
    </row>
    <row r="45" spans="1:17" ht="15.75" customHeight="1">
      <c r="A45" s="10"/>
      <c r="B45" s="2" t="s">
        <v>37</v>
      </c>
      <c r="C45" s="324">
        <f>-BS!G31*Normalized_FCF!C52</f>
        <v>-1337038</v>
      </c>
      <c r="E45" s="265"/>
      <c r="G45" s="324">
        <f>Data!C51</f>
        <v>-1337038</v>
      </c>
      <c r="H45" s="324">
        <f>Data!D51</f>
        <v>-1425157</v>
      </c>
      <c r="I45" s="324">
        <f>Data!E51</f>
        <v>-1628825</v>
      </c>
      <c r="J45" s="324">
        <f>Data!F51</f>
        <v>-1130935</v>
      </c>
      <c r="K45" s="324">
        <f>Data!G51</f>
        <v>0</v>
      </c>
      <c r="L45" s="324">
        <f>Data!H51</f>
        <v>0</v>
      </c>
      <c r="M45" s="324">
        <f>Data!I51</f>
        <v>0</v>
      </c>
      <c r="N45" s="324">
        <f>Data!J51</f>
        <v>-19214</v>
      </c>
      <c r="O45" s="324">
        <f>Data!K51</f>
        <v>-55981</v>
      </c>
      <c r="P45" s="324">
        <f>Data!L51</f>
        <v>-56561</v>
      </c>
      <c r="Q45" s="324" t="str">
        <f>Data!M51</f>
        <v/>
      </c>
    </row>
    <row r="46" spans="1:17" ht="15.75" customHeight="1">
      <c r="A46" s="10"/>
      <c r="B46" s="2" t="s">
        <v>332</v>
      </c>
      <c r="C46" s="324">
        <f>BS!D75*C51</f>
        <v>0</v>
      </c>
      <c r="E46" s="265"/>
      <c r="G46" s="332">
        <f t="shared" ref="G46:Q46" si="17">IFERROR(IF(G$4="","",($C$46/$C$47)*G47),0)</f>
        <v>0</v>
      </c>
      <c r="H46" s="332">
        <f t="shared" si="17"/>
        <v>0</v>
      </c>
      <c r="I46" s="332">
        <f t="shared" si="17"/>
        <v>0</v>
      </c>
      <c r="J46" s="332">
        <f t="shared" si="17"/>
        <v>0</v>
      </c>
      <c r="K46" s="332">
        <f t="shared" si="17"/>
        <v>0</v>
      </c>
      <c r="L46" s="332">
        <f t="shared" si="17"/>
        <v>0</v>
      </c>
      <c r="M46" s="332">
        <f t="shared" si="17"/>
        <v>0</v>
      </c>
      <c r="N46" s="332">
        <f t="shared" si="17"/>
        <v>0</v>
      </c>
      <c r="O46" s="332">
        <f t="shared" si="17"/>
        <v>0</v>
      </c>
      <c r="P46" s="332">
        <f t="shared" si="17"/>
        <v>0</v>
      </c>
      <c r="Q46" s="332" t="str">
        <f t="shared" si="17"/>
        <v/>
      </c>
    </row>
    <row r="47" spans="1:17" ht="15.75" customHeight="1">
      <c r="A47" s="10"/>
      <c r="B47" s="284" t="s">
        <v>329</v>
      </c>
      <c r="C47" s="336">
        <f>BS!$C$66*C51</f>
        <v>0</v>
      </c>
      <c r="D47" s="285"/>
      <c r="E47" s="286"/>
      <c r="F47" s="285"/>
      <c r="G47" s="336">
        <f>Data!C52</f>
        <v>1291807</v>
      </c>
      <c r="H47" s="336">
        <f>Data!D52</f>
        <v>818986</v>
      </c>
      <c r="I47" s="336">
        <f>Data!E52</f>
        <v>657908</v>
      </c>
      <c r="J47" s="336">
        <f>Data!F52</f>
        <v>546037</v>
      </c>
      <c r="K47" s="336">
        <f>Data!G52</f>
        <v>0</v>
      </c>
      <c r="L47" s="336">
        <f>Data!H52</f>
        <v>0</v>
      </c>
      <c r="M47" s="336">
        <f>Data!I52</f>
        <v>294047</v>
      </c>
      <c r="N47" s="336">
        <f>Data!J52</f>
        <v>60885</v>
      </c>
      <c r="O47" s="336">
        <f>Data!K52</f>
        <v>21681</v>
      </c>
      <c r="P47" s="336">
        <f>Data!L52</f>
        <v>13541</v>
      </c>
      <c r="Q47" s="336" t="str">
        <f>Data!M52</f>
        <v/>
      </c>
    </row>
    <row r="48" spans="1:17" ht="15.75" customHeight="1">
      <c r="A48" s="10"/>
      <c r="B48" s="70" t="s">
        <v>66</v>
      </c>
      <c r="C48" s="325">
        <f>C45+C46</f>
        <v>-1337038</v>
      </c>
      <c r="E48" s="265"/>
      <c r="G48" s="325">
        <f>IF(G$4="","",(G45+G46))</f>
        <v>-1337038</v>
      </c>
      <c r="H48" s="325">
        <f t="shared" ref="H48:Q48" si="18">IF(H$4="","",(H45+H46))</f>
        <v>-1425157</v>
      </c>
      <c r="I48" s="325">
        <f t="shared" si="18"/>
        <v>-1628825</v>
      </c>
      <c r="J48" s="325">
        <f t="shared" si="18"/>
        <v>-1130935</v>
      </c>
      <c r="K48" s="325">
        <f t="shared" si="18"/>
        <v>0</v>
      </c>
      <c r="L48" s="325">
        <f t="shared" si="18"/>
        <v>0</v>
      </c>
      <c r="M48" s="325">
        <f t="shared" si="18"/>
        <v>0</v>
      </c>
      <c r="N48" s="325">
        <f t="shared" si="18"/>
        <v>-19214</v>
      </c>
      <c r="O48" s="325">
        <f t="shared" si="18"/>
        <v>-55981</v>
      </c>
      <c r="P48" s="325">
        <f t="shared" si="18"/>
        <v>-56561</v>
      </c>
      <c r="Q48" s="325" t="str">
        <f t="shared" si="18"/>
        <v/>
      </c>
    </row>
    <row r="49" spans="1:17" ht="15.75" customHeight="1">
      <c r="A49" s="10"/>
      <c r="E49" s="265"/>
    </row>
    <row r="50" spans="1:17" ht="15.75" customHeight="1">
      <c r="A50" s="10"/>
      <c r="B50" s="72" t="s">
        <v>150</v>
      </c>
      <c r="E50" s="265"/>
      <c r="G50" s="97" t="s">
        <v>213</v>
      </c>
    </row>
    <row r="51" spans="1:17" ht="15.75" customHeight="1">
      <c r="A51" s="10"/>
      <c r="B51" s="8" t="s">
        <v>86</v>
      </c>
      <c r="C51" s="87">
        <v>0</v>
      </c>
      <c r="E51" s="262" t="s">
        <v>322</v>
      </c>
      <c r="G51" s="6">
        <f>IF(Normalized_FCF!G4="","",Normalized_FCF!G47/BS!$C$66)</f>
        <v>1.0803138947994223E-2</v>
      </c>
      <c r="H51" s="166"/>
      <c r="I51" s="166"/>
      <c r="J51" s="166"/>
      <c r="K51" s="166"/>
      <c r="L51" s="166"/>
      <c r="M51" s="166"/>
      <c r="N51" s="166"/>
      <c r="O51" s="166"/>
      <c r="P51" s="166"/>
      <c r="Q51" s="166"/>
    </row>
    <row r="52" spans="1:17" ht="15.75" customHeight="1">
      <c r="A52" s="10"/>
      <c r="B52" s="8" t="s">
        <v>85</v>
      </c>
      <c r="C52" s="82">
        <f>G52</f>
        <v>2.6228052971393089E-2</v>
      </c>
      <c r="E52" s="262" t="s">
        <v>323</v>
      </c>
      <c r="G52" s="23">
        <f>IFERROR(ABS(Normalized_FCF!G45/BS!$G$31),0)</f>
        <v>2.6228052971393089E-2</v>
      </c>
      <c r="H52" s="166"/>
      <c r="I52" s="166"/>
      <c r="J52" s="166"/>
      <c r="K52" s="166"/>
      <c r="L52" s="166"/>
      <c r="M52" s="166"/>
      <c r="N52" s="166"/>
      <c r="O52" s="166"/>
      <c r="P52" s="166"/>
      <c r="Q52" s="166"/>
    </row>
    <row r="53" spans="1:17" ht="15.75" customHeight="1">
      <c r="A53" s="10"/>
      <c r="B53" s="26" t="s">
        <v>88</v>
      </c>
      <c r="C53" s="42">
        <f>-C8/C45</f>
        <v>19.244544439275476</v>
      </c>
      <c r="E53" s="265"/>
      <c r="G53" s="42">
        <f t="shared" ref="G53:Q53" si="19">IF(G4="","",-G8/G45)</f>
        <v>25.449205632151067</v>
      </c>
      <c r="H53" s="42">
        <f t="shared" si="19"/>
        <v>5.6141828584499809</v>
      </c>
      <c r="I53" s="42">
        <f t="shared" si="19"/>
        <v>-5.2208235998342367</v>
      </c>
      <c r="J53" s="42">
        <f t="shared" si="19"/>
        <v>-20.776843054640629</v>
      </c>
      <c r="K53" s="42" t="e">
        <f t="shared" si="19"/>
        <v>#DIV/0!</v>
      </c>
      <c r="L53" s="42" t="e">
        <f t="shared" si="19"/>
        <v>#DIV/0!</v>
      </c>
      <c r="M53" s="42" t="e">
        <f t="shared" si="19"/>
        <v>#DIV/0!</v>
      </c>
      <c r="N53" s="42">
        <f t="shared" si="19"/>
        <v>-234.58030602685542</v>
      </c>
      <c r="O53" s="42">
        <f t="shared" si="19"/>
        <v>-115.84600132187707</v>
      </c>
      <c r="P53" s="42">
        <f t="shared" si="19"/>
        <v>-149.76680044553669</v>
      </c>
      <c r="Q53" s="42" t="str">
        <f t="shared" si="19"/>
        <v/>
      </c>
    </row>
    <row r="54" spans="1:17" ht="15.75" customHeight="1">
      <c r="A54" s="10"/>
      <c r="E54" s="265"/>
    </row>
    <row r="55" spans="1:17" ht="15.75" customHeight="1">
      <c r="A55" s="10"/>
      <c r="B55" s="64" t="s">
        <v>163</v>
      </c>
      <c r="E55" s="265"/>
      <c r="G55" s="97" t="s">
        <v>213</v>
      </c>
    </row>
    <row r="56" spans="1:17" ht="15.75" customHeight="1">
      <c r="A56" s="10"/>
      <c r="B56" s="40" t="s">
        <v>162</v>
      </c>
      <c r="C56" s="324">
        <f>BS!$C67*C64</f>
        <v>0</v>
      </c>
      <c r="E56" s="265"/>
      <c r="G56" s="324">
        <f>Data!C56</f>
        <v>0</v>
      </c>
      <c r="H56" s="324">
        <f>Data!D56</f>
        <v>0</v>
      </c>
      <c r="I56" s="324">
        <f>Data!E56</f>
        <v>0</v>
      </c>
      <c r="J56" s="324">
        <f>Data!F56</f>
        <v>0</v>
      </c>
      <c r="K56" s="324">
        <f>Data!G56</f>
        <v>0</v>
      </c>
      <c r="L56" s="324">
        <f>Data!H56</f>
        <v>0</v>
      </c>
      <c r="M56" s="324">
        <f>Data!I56</f>
        <v>0</v>
      </c>
      <c r="N56" s="324">
        <f>Data!J56</f>
        <v>0</v>
      </c>
      <c r="O56" s="324">
        <f>Data!K56</f>
        <v>0</v>
      </c>
      <c r="P56" s="324">
        <f>Data!L56</f>
        <v>0</v>
      </c>
      <c r="Q56" s="324" t="str">
        <f>Data!M56</f>
        <v/>
      </c>
    </row>
    <row r="57" spans="1:17" ht="15.75" customHeight="1">
      <c r="A57" s="10"/>
      <c r="B57" s="40" t="s">
        <v>154</v>
      </c>
      <c r="C57" s="324">
        <f>BS!$C68*C65</f>
        <v>0</v>
      </c>
      <c r="E57" s="265"/>
      <c r="G57" s="324">
        <f>Data!C55</f>
        <v>0</v>
      </c>
      <c r="H57" s="324">
        <f>Data!D55</f>
        <v>0</v>
      </c>
      <c r="I57" s="324">
        <f>Data!E55</f>
        <v>0</v>
      </c>
      <c r="J57" s="324">
        <f>Data!F55</f>
        <v>0</v>
      </c>
      <c r="K57" s="324">
        <f>Data!G55</f>
        <v>0</v>
      </c>
      <c r="L57" s="324">
        <f>Data!H55</f>
        <v>0</v>
      </c>
      <c r="M57" s="324">
        <f>Data!I55</f>
        <v>0</v>
      </c>
      <c r="N57" s="324">
        <f>Data!J55</f>
        <v>0</v>
      </c>
      <c r="O57" s="324">
        <f>Data!K55</f>
        <v>0</v>
      </c>
      <c r="P57" s="324">
        <f>Data!L55</f>
        <v>0</v>
      </c>
      <c r="Q57" s="324" t="str">
        <f>Data!M55</f>
        <v/>
      </c>
    </row>
    <row r="58" spans="1:17" ht="15.75" customHeight="1">
      <c r="A58" s="10"/>
      <c r="B58" s="40" t="s">
        <v>153</v>
      </c>
      <c r="C58" s="324">
        <f>BS!$C69*C66</f>
        <v>0</v>
      </c>
      <c r="E58" s="265"/>
      <c r="G58" s="324">
        <f>Data!C57</f>
        <v>0</v>
      </c>
      <c r="H58" s="324">
        <f>Data!D57</f>
        <v>0</v>
      </c>
      <c r="I58" s="324">
        <f>Data!E57</f>
        <v>0</v>
      </c>
      <c r="J58" s="324">
        <f>Data!F57</f>
        <v>0</v>
      </c>
      <c r="K58" s="324">
        <f>Data!G57</f>
        <v>0</v>
      </c>
      <c r="L58" s="324">
        <f>Data!H57</f>
        <v>0</v>
      </c>
      <c r="M58" s="324">
        <f>Data!I57</f>
        <v>0</v>
      </c>
      <c r="N58" s="324">
        <f>Data!J57</f>
        <v>0</v>
      </c>
      <c r="O58" s="324">
        <f>Data!K57</f>
        <v>0</v>
      </c>
      <c r="P58" s="324">
        <f>Data!L57</f>
        <v>0</v>
      </c>
      <c r="Q58" s="324" t="str">
        <f>Data!M57</f>
        <v/>
      </c>
    </row>
    <row r="59" spans="1:17" ht="15.75" customHeight="1">
      <c r="A59" s="10"/>
      <c r="B59" s="31" t="s">
        <v>188</v>
      </c>
      <c r="C59" s="325">
        <f>SUM(C56:C58)</f>
        <v>0</v>
      </c>
      <c r="E59" s="265"/>
      <c r="G59" s="325">
        <f t="shared" ref="G59:Q59" si="20">IF(G4="","",SUM(G56:G58))</f>
        <v>0</v>
      </c>
      <c r="H59" s="325">
        <f t="shared" si="20"/>
        <v>0</v>
      </c>
      <c r="I59" s="325">
        <f t="shared" si="20"/>
        <v>0</v>
      </c>
      <c r="J59" s="325">
        <f t="shared" si="20"/>
        <v>0</v>
      </c>
      <c r="K59" s="325">
        <f t="shared" si="20"/>
        <v>0</v>
      </c>
      <c r="L59" s="325">
        <f t="shared" si="20"/>
        <v>0</v>
      </c>
      <c r="M59" s="325">
        <f t="shared" si="20"/>
        <v>0</v>
      </c>
      <c r="N59" s="325">
        <f t="shared" si="20"/>
        <v>0</v>
      </c>
      <c r="O59" s="325">
        <f t="shared" si="20"/>
        <v>0</v>
      </c>
      <c r="P59" s="325">
        <f t="shared" si="20"/>
        <v>0</v>
      </c>
      <c r="Q59" s="325" t="str">
        <f t="shared" si="20"/>
        <v/>
      </c>
    </row>
    <row r="60" spans="1:17" ht="15.75" customHeight="1">
      <c r="A60" s="10"/>
      <c r="B60" s="40" t="s">
        <v>155</v>
      </c>
      <c r="C60" s="337">
        <v>0</v>
      </c>
      <c r="E60" s="263" t="s">
        <v>324</v>
      </c>
      <c r="G60" s="324">
        <f>Data!C58</f>
        <v>4002962</v>
      </c>
      <c r="H60" s="324">
        <f>Data!D58</f>
        <v>-7230384</v>
      </c>
      <c r="I60" s="324">
        <f>Data!E58</f>
        <v>9404531</v>
      </c>
      <c r="J60" s="324">
        <f>Data!F58</f>
        <v>24051878</v>
      </c>
      <c r="K60" s="324">
        <f>Data!G58</f>
        <v>3049215</v>
      </c>
      <c r="L60" s="324">
        <f>Data!H58</f>
        <v>-190480</v>
      </c>
      <c r="M60" s="324">
        <f>Data!I58</f>
        <v>13378376</v>
      </c>
      <c r="N60" s="324">
        <f>Data!J58</f>
        <v>4519773</v>
      </c>
      <c r="O60" s="324">
        <f>Data!K58</f>
        <v>6787378</v>
      </c>
      <c r="P60" s="324">
        <f>Data!L58</f>
        <v>8502332</v>
      </c>
      <c r="Q60" s="324" t="str">
        <f>Data!M58</f>
        <v/>
      </c>
    </row>
    <row r="61" spans="1:17" ht="15.75" customHeight="1">
      <c r="A61" s="10"/>
      <c r="B61" s="31" t="s">
        <v>189</v>
      </c>
      <c r="C61" s="325">
        <f>C59+C60</f>
        <v>0</v>
      </c>
      <c r="E61" s="265"/>
      <c r="G61" s="325">
        <f t="shared" ref="G61:Q61" si="21">IF(G4="","",G59+G60)</f>
        <v>4002962</v>
      </c>
      <c r="H61" s="325">
        <f t="shared" si="21"/>
        <v>-7230384</v>
      </c>
      <c r="I61" s="325">
        <f t="shared" si="21"/>
        <v>9404531</v>
      </c>
      <c r="J61" s="325">
        <f t="shared" si="21"/>
        <v>24051878</v>
      </c>
      <c r="K61" s="325">
        <f t="shared" si="21"/>
        <v>3049215</v>
      </c>
      <c r="L61" s="325">
        <f t="shared" si="21"/>
        <v>-190480</v>
      </c>
      <c r="M61" s="325">
        <f t="shared" si="21"/>
        <v>13378376</v>
      </c>
      <c r="N61" s="325">
        <f t="shared" si="21"/>
        <v>4519773</v>
      </c>
      <c r="O61" s="325">
        <f t="shared" si="21"/>
        <v>6787378</v>
      </c>
      <c r="P61" s="325">
        <f t="shared" si="21"/>
        <v>8502332</v>
      </c>
      <c r="Q61" s="325" t="str">
        <f t="shared" si="21"/>
        <v/>
      </c>
    </row>
    <row r="62" spans="1:17" ht="15.75" customHeight="1">
      <c r="A62" s="10"/>
      <c r="E62" s="265"/>
    </row>
    <row r="63" spans="1:17" ht="15.75" customHeight="1">
      <c r="A63" s="10"/>
      <c r="B63" s="96" t="s">
        <v>164</v>
      </c>
      <c r="E63" s="265"/>
      <c r="G63" s="97" t="s">
        <v>213</v>
      </c>
    </row>
    <row r="64" spans="1:17" ht="15.75" customHeight="1">
      <c r="A64" s="10"/>
      <c r="B64" s="40" t="s">
        <v>162</v>
      </c>
      <c r="C64" s="173">
        <f>G64</f>
        <v>0</v>
      </c>
      <c r="E64" s="265"/>
      <c r="G64" s="23">
        <f>IFERROR(G56/BS!$C$67,0)</f>
        <v>0</v>
      </c>
      <c r="H64" s="172"/>
      <c r="I64" s="172"/>
      <c r="J64" s="172"/>
      <c r="K64" s="172"/>
      <c r="L64" s="172"/>
      <c r="M64" s="172"/>
      <c r="N64" s="172"/>
      <c r="O64" s="172"/>
      <c r="P64" s="172"/>
      <c r="Q64" s="172"/>
    </row>
    <row r="65" spans="1:17" ht="15.75" customHeight="1">
      <c r="A65" s="10"/>
      <c r="B65" s="105" t="s">
        <v>152</v>
      </c>
      <c r="C65" s="173">
        <f>G65</f>
        <v>0</v>
      </c>
      <c r="E65" s="265"/>
      <c r="G65" s="23">
        <f>IFERROR(G57/BS!$C$68,0)</f>
        <v>0</v>
      </c>
      <c r="H65" s="172"/>
      <c r="I65" s="172"/>
      <c r="J65" s="172"/>
      <c r="K65" s="172"/>
      <c r="L65" s="172"/>
      <c r="M65" s="172"/>
      <c r="N65" s="172"/>
      <c r="O65" s="172"/>
      <c r="P65" s="172"/>
      <c r="Q65" s="172"/>
    </row>
    <row r="66" spans="1:17" ht="15.75" customHeight="1">
      <c r="A66" s="10"/>
      <c r="B66" s="105" t="s">
        <v>153</v>
      </c>
      <c r="C66" s="173">
        <f>G66</f>
        <v>0</v>
      </c>
      <c r="E66" s="265"/>
      <c r="G66" s="23">
        <f>IFERROR(G58/BS!$C$69,0)</f>
        <v>0</v>
      </c>
      <c r="H66" s="172"/>
      <c r="I66" s="172"/>
      <c r="J66" s="172"/>
      <c r="K66" s="172"/>
      <c r="L66" s="172"/>
      <c r="M66" s="172"/>
      <c r="N66" s="172"/>
      <c r="O66" s="172"/>
      <c r="P66" s="172"/>
      <c r="Q66" s="172"/>
    </row>
    <row r="67" spans="1:17" ht="15.75" customHeight="1">
      <c r="A67" s="10"/>
      <c r="B67" s="31" t="s">
        <v>188</v>
      </c>
      <c r="C67" s="71">
        <f>C59/BS!C70</f>
        <v>0</v>
      </c>
      <c r="D67" s="9"/>
      <c r="E67" s="270"/>
      <c r="F67" s="9"/>
      <c r="G67" s="71">
        <f>G59/BS!C70</f>
        <v>0</v>
      </c>
      <c r="H67" s="172"/>
      <c r="I67" s="172"/>
      <c r="J67" s="172"/>
      <c r="K67" s="172"/>
      <c r="L67" s="172"/>
      <c r="M67" s="172"/>
      <c r="N67" s="172"/>
      <c r="O67" s="172"/>
      <c r="P67" s="172"/>
      <c r="Q67" s="172"/>
    </row>
    <row r="68" spans="1:17" ht="15.75" customHeight="1">
      <c r="A68" s="10"/>
    </row>
    <row r="69" spans="1:17" ht="15.75" customHeight="1">
      <c r="A69" s="10"/>
      <c r="B69" s="54" t="s">
        <v>206</v>
      </c>
      <c r="C69" s="54"/>
      <c r="D69" s="56"/>
      <c r="E69" s="66" t="s">
        <v>57</v>
      </c>
      <c r="F69" s="56"/>
      <c r="G69" s="37"/>
      <c r="H69" s="37"/>
      <c r="I69" s="37"/>
      <c r="J69" s="37"/>
      <c r="K69" s="37"/>
      <c r="L69" s="37"/>
      <c r="M69" s="37"/>
      <c r="N69" s="37"/>
      <c r="O69" s="37"/>
      <c r="P69" s="37"/>
      <c r="Q69" s="37"/>
    </row>
    <row r="70" spans="1:17" ht="15.75" customHeight="1">
      <c r="A70" s="10"/>
      <c r="B70" s="72" t="s">
        <v>210</v>
      </c>
      <c r="C70" s="62"/>
      <c r="D70" s="27"/>
      <c r="E70" s="262"/>
      <c r="F70" s="27"/>
      <c r="G70" s="97"/>
      <c r="H70" s="12"/>
      <c r="I70" s="12"/>
      <c r="J70" s="12"/>
      <c r="K70" s="12"/>
      <c r="L70" s="12"/>
      <c r="M70" s="12"/>
      <c r="N70" s="12"/>
      <c r="O70" s="12"/>
      <c r="P70" s="12"/>
      <c r="Q70" s="12"/>
    </row>
    <row r="71" spans="1:17" ht="15.75" customHeight="1">
      <c r="A71" s="10"/>
      <c r="B71" s="2" t="s">
        <v>44</v>
      </c>
      <c r="C71" s="77">
        <f>ABS(C5/C$4)</f>
        <v>0.91</v>
      </c>
      <c r="D71" s="27"/>
      <c r="E71" s="262"/>
      <c r="F71" s="27"/>
      <c r="G71" s="6">
        <f t="shared" ref="G71:Q71" si="22">IF(G$4="","",ABS(G5/G$4))</f>
        <v>0.86742631871833198</v>
      </c>
      <c r="H71" s="6">
        <f t="shared" si="22"/>
        <v>0.93722321311050893</v>
      </c>
      <c r="I71" s="6">
        <f t="shared" si="22"/>
        <v>0.9942351740139076</v>
      </c>
      <c r="J71" s="6">
        <f t="shared" si="22"/>
        <v>1.0830949558376406</v>
      </c>
      <c r="K71" s="6">
        <f t="shared" si="22"/>
        <v>0.98018247562535876</v>
      </c>
      <c r="L71" s="6">
        <f t="shared" si="22"/>
        <v>0.9481622767393062</v>
      </c>
      <c r="M71" s="6">
        <f t="shared" si="22"/>
        <v>1.1201773742574388</v>
      </c>
      <c r="N71" s="6">
        <f t="shared" si="22"/>
        <v>1.068846348001725</v>
      </c>
      <c r="O71" s="6">
        <f t="shared" si="22"/>
        <v>1.3666878476313313</v>
      </c>
      <c r="P71" s="6">
        <f t="shared" si="22"/>
        <v>2.3848212932751989</v>
      </c>
      <c r="Q71" s="6" t="str">
        <f t="shared" si="22"/>
        <v/>
      </c>
    </row>
    <row r="72" spans="1:17" ht="15.75" customHeight="1">
      <c r="A72" s="10"/>
      <c r="B72" s="31" t="s">
        <v>46</v>
      </c>
      <c r="C72" s="78">
        <f>ABS(C6/C$4)</f>
        <v>9.0000000000000011E-2</v>
      </c>
      <c r="D72" s="27"/>
      <c r="E72" s="262"/>
      <c r="F72" s="27"/>
      <c r="G72" s="65">
        <f t="shared" ref="G72:Q72" si="23">IF(G$4="","",ABS(G6/G$4))</f>
        <v>0.13257368128166799</v>
      </c>
      <c r="H72" s="65">
        <f t="shared" si="23"/>
        <v>6.2776786889491037E-2</v>
      </c>
      <c r="I72" s="65">
        <f t="shared" si="23"/>
        <v>5.7648259860923886E-3</v>
      </c>
      <c r="J72" s="65">
        <f t="shared" si="23"/>
        <v>8.3094955837640497E-2</v>
      </c>
      <c r="K72" s="65">
        <f t="shared" si="23"/>
        <v>1.9817524374641262E-2</v>
      </c>
      <c r="L72" s="65">
        <f t="shared" si="23"/>
        <v>5.1837723260693837E-2</v>
      </c>
      <c r="M72" s="65">
        <f t="shared" si="23"/>
        <v>0.12017737425743874</v>
      </c>
      <c r="N72" s="65">
        <f t="shared" si="23"/>
        <v>6.8846348001724941E-2</v>
      </c>
      <c r="O72" s="65">
        <f t="shared" si="23"/>
        <v>0.36668784763133139</v>
      </c>
      <c r="P72" s="65">
        <f t="shared" si="23"/>
        <v>1.3848212932751989</v>
      </c>
      <c r="Q72" s="65" t="str">
        <f t="shared" si="23"/>
        <v/>
      </c>
    </row>
    <row r="73" spans="1:17" ht="15.75" customHeight="1">
      <c r="A73" s="10"/>
      <c r="B73" s="8" t="s">
        <v>43</v>
      </c>
      <c r="C73" s="77">
        <f>ABS(C7/C$4)</f>
        <v>2.6484673006177146E-2</v>
      </c>
      <c r="D73" s="27"/>
      <c r="E73" s="262"/>
      <c r="F73" s="27"/>
      <c r="G73" s="6">
        <f t="shared" ref="G73:Q73" si="24">IF(G$4="","",ABS(G7/G$4))</f>
        <v>3.1781607607412575E-2</v>
      </c>
      <c r="H73" s="6">
        <f t="shared" si="24"/>
        <v>3.386535820992783E-2</v>
      </c>
      <c r="I73" s="6">
        <f t="shared" si="24"/>
        <v>4.442641590404231E-2</v>
      </c>
      <c r="J73" s="6">
        <f t="shared" si="24"/>
        <v>4.8080848020647493E-2</v>
      </c>
      <c r="K73" s="6">
        <f t="shared" si="24"/>
        <v>4.8729638725754393E-2</v>
      </c>
      <c r="L73" s="6">
        <f t="shared" si="24"/>
        <v>4.4489073663992747E-2</v>
      </c>
      <c r="M73" s="6">
        <f t="shared" si="24"/>
        <v>8.9405723783230695E-2</v>
      </c>
      <c r="N73" s="6">
        <f t="shared" si="24"/>
        <v>6.4000496109598251E-2</v>
      </c>
      <c r="O73" s="6">
        <f t="shared" si="24"/>
        <v>0.13262971877977009</v>
      </c>
      <c r="P73" s="6">
        <f t="shared" si="24"/>
        <v>0.72292849964381323</v>
      </c>
      <c r="Q73" s="6" t="str">
        <f t="shared" si="24"/>
        <v/>
      </c>
    </row>
    <row r="74" spans="1:17" ht="15.75" customHeight="1">
      <c r="A74" s="10"/>
      <c r="B74" s="29" t="s">
        <v>147</v>
      </c>
      <c r="C74" s="78">
        <f>ABS(C8/C$4)</f>
        <v>6.3515326993822868E-2</v>
      </c>
      <c r="D74" s="27"/>
      <c r="E74" s="262"/>
      <c r="F74" s="27"/>
      <c r="G74" s="65">
        <f t="shared" ref="G74:Q74" si="25">IF(G$4="","",ABS(G8/G$4))</f>
        <v>0.10079207367425543</v>
      </c>
      <c r="H74" s="65">
        <f t="shared" si="25"/>
        <v>2.8911428679563204E-2</v>
      </c>
      <c r="I74" s="65">
        <f t="shared" si="25"/>
        <v>3.8661589917949928E-2</v>
      </c>
      <c r="J74" s="65">
        <f t="shared" si="25"/>
        <v>0.131175803858288</v>
      </c>
      <c r="K74" s="65">
        <f t="shared" si="25"/>
        <v>2.8912114351113131E-2</v>
      </c>
      <c r="L74" s="65">
        <f t="shared" si="25"/>
        <v>7.3486495967010927E-3</v>
      </c>
      <c r="M74" s="65">
        <f t="shared" si="25"/>
        <v>0.20958309804066944</v>
      </c>
      <c r="N74" s="65">
        <f t="shared" si="25"/>
        <v>0.13284684411132319</v>
      </c>
      <c r="O74" s="65">
        <f t="shared" si="25"/>
        <v>0.49931756641110153</v>
      </c>
      <c r="P74" s="65">
        <f t="shared" si="25"/>
        <v>2.1077497929190123</v>
      </c>
      <c r="Q74" s="65" t="str">
        <f t="shared" si="25"/>
        <v/>
      </c>
    </row>
    <row r="75" spans="1:17" ht="15.75" customHeight="1">
      <c r="A75" s="10"/>
      <c r="B75" s="2" t="s">
        <v>63</v>
      </c>
      <c r="C75" s="77">
        <f>ABS(C9/C$4)</f>
        <v>0</v>
      </c>
      <c r="D75" s="27"/>
      <c r="E75" s="262"/>
      <c r="F75" s="27"/>
      <c r="G75" s="6">
        <f t="shared" ref="G75:Q75" si="26">IF(G$4="","",G9/G$4)</f>
        <v>0</v>
      </c>
      <c r="H75" s="6">
        <f t="shared" si="26"/>
        <v>0</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 t="s">
        <v>78</v>
      </c>
      <c r="C76" s="88">
        <f>MAX(AVERAGE(G76:J76),C75)</f>
        <v>0</v>
      </c>
      <c r="D76" s="27"/>
      <c r="E76" s="263" t="s">
        <v>341</v>
      </c>
      <c r="F76" s="27"/>
      <c r="G76" s="6">
        <f t="shared" ref="G76:Q76" si="27">IF(G$4="","",-G10/G$4)</f>
        <v>0</v>
      </c>
      <c r="H76" s="6">
        <f t="shared" si="27"/>
        <v>0</v>
      </c>
      <c r="I76" s="6">
        <f t="shared" si="27"/>
        <v>0</v>
      </c>
      <c r="J76" s="6">
        <f t="shared" si="27"/>
        <v>0</v>
      </c>
      <c r="K76" s="6">
        <f t="shared" si="27"/>
        <v>0</v>
      </c>
      <c r="L76" s="6">
        <f t="shared" si="27"/>
        <v>0</v>
      </c>
      <c r="M76" s="6">
        <f t="shared" si="27"/>
        <v>0</v>
      </c>
      <c r="N76" s="6">
        <f t="shared" si="27"/>
        <v>0</v>
      </c>
      <c r="O76" s="6">
        <f t="shared" si="27"/>
        <v>0</v>
      </c>
      <c r="P76" s="6">
        <f t="shared" si="27"/>
        <v>0</v>
      </c>
      <c r="Q76" s="6" t="str">
        <f t="shared" si="27"/>
        <v/>
      </c>
    </row>
    <row r="77" spans="1:17" ht="15.75" customHeight="1">
      <c r="A77" s="10"/>
      <c r="B77" s="31" t="s">
        <v>148</v>
      </c>
      <c r="C77" s="78">
        <f>ABS(C11/C$4)</f>
        <v>0</v>
      </c>
      <c r="D77" s="27"/>
      <c r="E77" s="262"/>
      <c r="F77" s="27"/>
      <c r="G77" s="65">
        <f t="shared" ref="G77:Q77" si="28">IF(G$4="","",G11/G$4)</f>
        <v>0</v>
      </c>
      <c r="H77" s="65">
        <f t="shared" si="28"/>
        <v>0</v>
      </c>
      <c r="I77" s="65">
        <f t="shared" si="28"/>
        <v>0</v>
      </c>
      <c r="J77" s="65">
        <f t="shared" si="28"/>
        <v>0</v>
      </c>
      <c r="K77" s="65">
        <f t="shared" si="28"/>
        <v>0</v>
      </c>
      <c r="L77" s="65">
        <f t="shared" si="28"/>
        <v>0</v>
      </c>
      <c r="M77" s="65">
        <f t="shared" si="28"/>
        <v>0</v>
      </c>
      <c r="N77" s="65">
        <f t="shared" si="28"/>
        <v>0</v>
      </c>
      <c r="O77" s="65">
        <f t="shared" si="28"/>
        <v>0</v>
      </c>
      <c r="P77" s="65">
        <f t="shared" si="28"/>
        <v>0</v>
      </c>
      <c r="Q77" s="65" t="str">
        <f t="shared" si="28"/>
        <v/>
      </c>
    </row>
    <row r="78" spans="1:17" ht="15.75" customHeight="1">
      <c r="A78" s="10"/>
      <c r="B78" s="2" t="s">
        <v>66</v>
      </c>
      <c r="C78" s="77">
        <f>ABS(C12/C$4)</f>
        <v>3.3004328678311965E-3</v>
      </c>
      <c r="D78" s="27"/>
      <c r="E78" s="262"/>
      <c r="F78" s="27"/>
      <c r="G78" s="6">
        <f t="shared" ref="G78:Q78" si="29">IF(G$4="","",ABS(G12/G$4))</f>
        <v>3.960519441397436E-3</v>
      </c>
      <c r="H78" s="6">
        <f t="shared" si="29"/>
        <v>5.1497126845535908E-3</v>
      </c>
      <c r="I78" s="6">
        <f t="shared" si="29"/>
        <v>7.4052664639306046E-3</v>
      </c>
      <c r="J78" s="6">
        <f t="shared" si="29"/>
        <v>6.3135580084669844E-3</v>
      </c>
      <c r="K78" s="6">
        <f t="shared" si="29"/>
        <v>0</v>
      </c>
      <c r="L78" s="6">
        <f t="shared" si="29"/>
        <v>0</v>
      </c>
      <c r="M78" s="6">
        <f t="shared" si="29"/>
        <v>0</v>
      </c>
      <c r="N78" s="6">
        <f t="shared" si="29"/>
        <v>5.6631712338253367E-4</v>
      </c>
      <c r="O78" s="6">
        <f t="shared" si="29"/>
        <v>4.3101838709456372E-3</v>
      </c>
      <c r="P78" s="6">
        <f t="shared" si="29"/>
        <v>1.4073544915486822E-2</v>
      </c>
      <c r="Q78" s="6" t="str">
        <f t="shared" si="29"/>
        <v/>
      </c>
    </row>
    <row r="79" spans="1:17" ht="15.75" customHeight="1">
      <c r="A79" s="10"/>
      <c r="B79" s="70" t="s">
        <v>159</v>
      </c>
      <c r="C79" s="78">
        <f>C13/C4</f>
        <v>6.0214894125991673E-2</v>
      </c>
      <c r="D79" s="27"/>
      <c r="E79" s="262"/>
      <c r="F79" s="27"/>
      <c r="G79" s="65">
        <f t="shared" ref="G79:Q79" si="30">IF(G$4="","",G13/G$4)</f>
        <v>9.6831554232857997E-2</v>
      </c>
      <c r="H79" s="65">
        <f t="shared" si="30"/>
        <v>2.3761715995009616E-2</v>
      </c>
      <c r="I79" s="65">
        <f t="shared" si="30"/>
        <v>-4.606685638188053E-2</v>
      </c>
      <c r="J79" s="65">
        <f t="shared" si="30"/>
        <v>-0.13748936186675498</v>
      </c>
      <c r="K79" s="65">
        <f t="shared" si="30"/>
        <v>-2.8912114351113131E-2</v>
      </c>
      <c r="L79" s="65">
        <f t="shared" si="30"/>
        <v>7.3486495967010927E-3</v>
      </c>
      <c r="M79" s="65">
        <f t="shared" si="30"/>
        <v>-0.20958309804066944</v>
      </c>
      <c r="N79" s="65">
        <f t="shared" si="30"/>
        <v>-0.13341316123470573</v>
      </c>
      <c r="O79" s="65">
        <f t="shared" si="30"/>
        <v>-0.50362775028204709</v>
      </c>
      <c r="P79" s="65">
        <f t="shared" si="30"/>
        <v>-2.1218233378344991</v>
      </c>
      <c r="Q79" s="65" t="str">
        <f t="shared" si="30"/>
        <v/>
      </c>
    </row>
    <row r="80" spans="1:17" ht="15.75" customHeight="1">
      <c r="A80" s="10"/>
      <c r="B80" s="2" t="s">
        <v>61</v>
      </c>
      <c r="C80" s="77">
        <f>ABS(C14/C$4)</f>
        <v>1.5053723531497918E-2</v>
      </c>
      <c r="D80" s="27"/>
      <c r="E80" s="262"/>
      <c r="F80" s="27"/>
      <c r="G80" s="6">
        <f t="shared" ref="G80:Q80" si="31">IF(G$4="","",ABS(G14/G$4))</f>
        <v>6.448937576570335E-3</v>
      </c>
      <c r="H80" s="6">
        <f t="shared" si="31"/>
        <v>5.9454381235077552E-4</v>
      </c>
      <c r="I80" s="6">
        <f t="shared" si="31"/>
        <v>3.1912898817806998E-4</v>
      </c>
      <c r="J80" s="6">
        <f t="shared" si="31"/>
        <v>1.6903555282874068E-4</v>
      </c>
      <c r="K80" s="6">
        <f t="shared" si="31"/>
        <v>2.3497378054055025E-3</v>
      </c>
      <c r="L80" s="6">
        <f t="shared" si="31"/>
        <v>5.3955800892766448E-3</v>
      </c>
      <c r="M80" s="6">
        <f t="shared" si="31"/>
        <v>2.8944945395391173E-5</v>
      </c>
      <c r="N80" s="6">
        <f t="shared" si="31"/>
        <v>1.598031737043521E-3</v>
      </c>
      <c r="O80" s="6">
        <f t="shared" si="31"/>
        <v>2.0626841063538504E-2</v>
      </c>
      <c r="P80" s="6">
        <f t="shared" si="31"/>
        <v>2.8982629581441365E-3</v>
      </c>
      <c r="Q80" s="6" t="str">
        <f t="shared" si="31"/>
        <v/>
      </c>
    </row>
    <row r="81" spans="1:17" ht="15.75" customHeight="1">
      <c r="A81" s="10"/>
      <c r="B81" s="40" t="str">
        <f>B15</f>
        <v>NCI’s Share of Profits</v>
      </c>
      <c r="C81" s="261">
        <f>MIN(BS!C62,MAX(G81:K81))</f>
        <v>0</v>
      </c>
      <c r="D81" s="27"/>
      <c r="E81" s="262"/>
      <c r="F81" s="27"/>
      <c r="G81" s="6">
        <f t="shared" ref="G81:Q81" si="32">IF(G$4="","",-G15/G$4)</f>
        <v>3.3857479903467734E-6</v>
      </c>
      <c r="H81" s="6">
        <f t="shared" si="32"/>
        <v>0</v>
      </c>
      <c r="I81" s="6">
        <f t="shared" si="32"/>
        <v>0</v>
      </c>
      <c r="J81" s="6">
        <f t="shared" si="32"/>
        <v>0</v>
      </c>
      <c r="K81" s="6">
        <f t="shared" si="32"/>
        <v>0</v>
      </c>
      <c r="L81" s="6">
        <f t="shared" si="32"/>
        <v>0</v>
      </c>
      <c r="M81" s="6">
        <f t="shared" si="32"/>
        <v>0</v>
      </c>
      <c r="N81" s="6">
        <f t="shared" si="32"/>
        <v>0</v>
      </c>
      <c r="O81" s="6">
        <f t="shared" si="32"/>
        <v>0</v>
      </c>
      <c r="P81" s="6">
        <f t="shared" si="32"/>
        <v>0</v>
      </c>
      <c r="Q81" s="6" t="str">
        <f t="shared" si="32"/>
        <v/>
      </c>
    </row>
    <row r="82" spans="1:17" ht="15.75" customHeight="1">
      <c r="A82" s="10"/>
      <c r="B82" s="41" t="s">
        <v>149</v>
      </c>
      <c r="C82" s="78">
        <f>ABS(C16/C$4)</f>
        <v>4.5161170594493753E-2</v>
      </c>
      <c r="D82" s="27"/>
      <c r="E82" s="262"/>
      <c r="F82" s="27"/>
      <c r="G82" s="65">
        <f t="shared" ref="G82:Q82" si="33">IF(G$4="","",ABS(G16/G$4))</f>
        <v>9.0379230908297303E-2</v>
      </c>
      <c r="H82" s="65">
        <f t="shared" si="33"/>
        <v>2.3167172182658839E-2</v>
      </c>
      <c r="I82" s="65">
        <f t="shared" si="33"/>
        <v>4.5747727393702461E-2</v>
      </c>
      <c r="J82" s="65">
        <f t="shared" si="33"/>
        <v>0.13732032631392624</v>
      </c>
      <c r="K82" s="65">
        <f t="shared" si="33"/>
        <v>2.6562376545707631E-2</v>
      </c>
      <c r="L82" s="65">
        <f t="shared" si="33"/>
        <v>1.9530695074244479E-3</v>
      </c>
      <c r="M82" s="65">
        <f t="shared" si="33"/>
        <v>0.20961204298606481</v>
      </c>
      <c r="N82" s="65">
        <f t="shared" si="33"/>
        <v>0.13501119297174924</v>
      </c>
      <c r="O82" s="65">
        <f t="shared" si="33"/>
        <v>0.52425459134558561</v>
      </c>
      <c r="P82" s="65">
        <f t="shared" si="33"/>
        <v>2.1189250748763548</v>
      </c>
      <c r="Q82" s="65" t="str">
        <f t="shared" si="33"/>
        <v/>
      </c>
    </row>
    <row r="83" spans="1:17" ht="15.75" customHeight="1">
      <c r="A83" s="10"/>
      <c r="B83" s="27" t="s">
        <v>50</v>
      </c>
      <c r="C83" s="261">
        <v>0</v>
      </c>
      <c r="D83" s="27"/>
      <c r="E83" s="264" t="str">
        <f>E17</f>
        <v>WCInv is by default excluded</v>
      </c>
      <c r="F83" s="27"/>
      <c r="G83" s="223"/>
      <c r="H83" s="223"/>
      <c r="I83" s="223"/>
      <c r="J83" s="223"/>
      <c r="K83" s="223"/>
      <c r="L83" s="223"/>
      <c r="M83" s="223"/>
      <c r="N83" s="223"/>
      <c r="O83" s="223"/>
      <c r="P83" s="223"/>
      <c r="Q83" s="223"/>
    </row>
    <row r="84" spans="1:17" ht="15.75" customHeight="1">
      <c r="A84" s="10"/>
      <c r="B84" s="8" t="s">
        <v>95</v>
      </c>
      <c r="C84" s="77">
        <v>0</v>
      </c>
      <c r="E84" s="264" t="str">
        <f>E18</f>
        <v>Net borrowing is excluded</v>
      </c>
      <c r="G84" s="166"/>
      <c r="H84" s="166"/>
      <c r="I84" s="166"/>
      <c r="J84" s="166"/>
      <c r="K84" s="166"/>
      <c r="L84" s="166"/>
      <c r="M84" s="166"/>
      <c r="N84" s="166"/>
      <c r="O84" s="166"/>
      <c r="P84" s="166"/>
      <c r="Q84" s="166"/>
    </row>
    <row r="85" spans="1:17" ht="15.75" customHeight="1">
      <c r="A85" s="10"/>
      <c r="B85" s="31" t="s">
        <v>135</v>
      </c>
      <c r="C85" s="78">
        <f>ABS(C19/C$4)</f>
        <v>4.5161170594493753E-2</v>
      </c>
      <c r="D85" s="75"/>
      <c r="E85" s="262"/>
      <c r="F85" s="75"/>
      <c r="G85" s="65">
        <f t="shared" ref="G85:Q85" si="34">IF(G$4="","",ABS(G19/G$4))</f>
        <v>9.0379230908297303E-2</v>
      </c>
      <c r="H85" s="65">
        <f t="shared" si="34"/>
        <v>2.3167172182658839E-2</v>
      </c>
      <c r="I85" s="65">
        <f t="shared" si="34"/>
        <v>4.5747727393702461E-2</v>
      </c>
      <c r="J85" s="65">
        <f t="shared" si="34"/>
        <v>0.13732032631392624</v>
      </c>
      <c r="K85" s="65">
        <f t="shared" si="34"/>
        <v>2.6562376545707631E-2</v>
      </c>
      <c r="L85" s="65">
        <f t="shared" si="34"/>
        <v>1.9530695074244479E-3</v>
      </c>
      <c r="M85" s="65">
        <f t="shared" si="34"/>
        <v>0.20961204298606481</v>
      </c>
      <c r="N85" s="65">
        <f t="shared" si="34"/>
        <v>0.13501119297174924</v>
      </c>
      <c r="O85" s="65">
        <f t="shared" si="34"/>
        <v>0.52425459134558561</v>
      </c>
      <c r="P85" s="65">
        <f t="shared" si="34"/>
        <v>2.1189250748763548</v>
      </c>
      <c r="Q85" s="65" t="str">
        <f t="shared" si="34"/>
        <v/>
      </c>
    </row>
    <row r="86" spans="1:17" ht="15.75" customHeight="1">
      <c r="A86" s="10"/>
      <c r="E86" s="265"/>
    </row>
    <row r="87" spans="1:17" ht="15.75" customHeight="1">
      <c r="A87" s="10"/>
      <c r="B87" s="64" t="s">
        <v>208</v>
      </c>
      <c r="E87" s="265"/>
    </row>
    <row r="88" spans="1:17" ht="15.75" customHeight="1">
      <c r="A88" s="10"/>
      <c r="B88" s="2" t="str">
        <f>"Dividend per share ("&amp;Market_currency&amp;")"</f>
        <v>Dividend per share (HKD)</v>
      </c>
      <c r="C88" s="113">
        <f>G88</f>
        <v>0</v>
      </c>
      <c r="E88" s="265"/>
      <c r="G88" s="112">
        <f>Data!C65</f>
        <v>0</v>
      </c>
      <c r="H88" s="112">
        <f>Data!D65</f>
        <v>0</v>
      </c>
      <c r="I88" s="112">
        <f>Data!E65</f>
        <v>0</v>
      </c>
      <c r="J88" s="112">
        <f>Data!F65</f>
        <v>0</v>
      </c>
      <c r="K88" s="112">
        <f>Data!G65</f>
        <v>0</v>
      </c>
      <c r="L88" s="112">
        <f>Data!H65</f>
        <v>0</v>
      </c>
      <c r="M88" s="112">
        <f>Data!I65</f>
        <v>0</v>
      </c>
      <c r="N88" s="112">
        <f>Data!J65</f>
        <v>0</v>
      </c>
      <c r="O88" s="112">
        <f>Data!K65</f>
        <v>0</v>
      </c>
      <c r="P88" s="112">
        <f>Data!L65</f>
        <v>0</v>
      </c>
      <c r="Q88" s="112" t="str">
        <f>Data!M65</f>
        <v/>
      </c>
    </row>
    <row r="89" spans="1:17" ht="15.75" customHeight="1">
      <c r="A89" s="10"/>
      <c r="B89" s="2" t="str">
        <f>"Dividend ("&amp;Market_currency&amp;")"</f>
        <v>Dividend (HKD)</v>
      </c>
      <c r="C89" s="74">
        <f>C88*Common_Shares/scaling_factor</f>
        <v>0</v>
      </c>
      <c r="E89" s="265"/>
      <c r="G89" s="74">
        <f t="shared" ref="G89:Q89" si="35">IF(G$4="","",G88*Common_Shares/scaling_factor)</f>
        <v>0</v>
      </c>
      <c r="H89" s="74">
        <f t="shared" si="35"/>
        <v>0</v>
      </c>
      <c r="I89" s="74">
        <f t="shared" si="35"/>
        <v>0</v>
      </c>
      <c r="J89" s="74">
        <f t="shared" si="35"/>
        <v>0</v>
      </c>
      <c r="K89" s="74">
        <f t="shared" si="35"/>
        <v>0</v>
      </c>
      <c r="L89" s="74">
        <f t="shared" si="35"/>
        <v>0</v>
      </c>
      <c r="M89" s="74">
        <f t="shared" si="35"/>
        <v>0</v>
      </c>
      <c r="N89" s="74">
        <f t="shared" si="35"/>
        <v>0</v>
      </c>
      <c r="O89" s="74">
        <f t="shared" si="35"/>
        <v>0</v>
      </c>
      <c r="P89" s="74">
        <f t="shared" si="35"/>
        <v>0</v>
      </c>
      <c r="Q89" s="74" t="str">
        <f t="shared" si="35"/>
        <v/>
      </c>
    </row>
    <row r="90" spans="1:17" ht="15.75" customHeight="1">
      <c r="A90" s="10"/>
      <c r="B90" s="2" t="s">
        <v>207</v>
      </c>
      <c r="C90" s="23">
        <f>C88/(C19*scaling_factor/Common_Shares)</f>
        <v>0</v>
      </c>
      <c r="E90" s="265"/>
      <c r="G90" s="167">
        <f t="shared" ref="G90:Q90" si="36">IF(G$4="","",G88/(G19*scaling_factor/Common_Shares))</f>
        <v>0</v>
      </c>
      <c r="H90" s="167">
        <f t="shared" si="36"/>
        <v>0</v>
      </c>
      <c r="I90" s="167">
        <f t="shared" si="36"/>
        <v>0</v>
      </c>
      <c r="J90" s="167">
        <f t="shared" si="36"/>
        <v>0</v>
      </c>
      <c r="K90" s="167">
        <f t="shared" si="36"/>
        <v>0</v>
      </c>
      <c r="L90" s="167">
        <f t="shared" si="36"/>
        <v>0</v>
      </c>
      <c r="M90" s="167">
        <f t="shared" si="36"/>
        <v>0</v>
      </c>
      <c r="N90" s="167">
        <f t="shared" si="36"/>
        <v>0</v>
      </c>
      <c r="O90" s="167">
        <f t="shared" si="36"/>
        <v>0</v>
      </c>
      <c r="P90" s="167">
        <f t="shared" si="36"/>
        <v>0</v>
      </c>
      <c r="Q90" s="167" t="str">
        <f t="shared" si="36"/>
        <v/>
      </c>
    </row>
    <row r="91" spans="1:17" ht="15.75" customHeight="1">
      <c r="A91" s="10"/>
      <c r="B91" s="2" t="s">
        <v>423</v>
      </c>
      <c r="C91" s="350">
        <v>0</v>
      </c>
      <c r="E91" s="265"/>
      <c r="G91" s="351"/>
      <c r="H91" s="351"/>
      <c r="I91" s="351"/>
      <c r="J91" s="351"/>
      <c r="K91" s="351"/>
      <c r="L91" s="351"/>
      <c r="M91" s="351"/>
      <c r="N91" s="351"/>
      <c r="O91" s="351"/>
      <c r="P91" s="351"/>
      <c r="Q91" s="351"/>
    </row>
    <row r="92" spans="1:17" ht="15.75" customHeight="1">
      <c r="A92" s="10"/>
      <c r="B92" s="2" t="s">
        <v>422</v>
      </c>
      <c r="C92" s="23">
        <f>(C88*(1-dividend_tax_rate))/Market_Price</f>
        <v>0</v>
      </c>
      <c r="E92" s="265"/>
      <c r="G92" s="23">
        <f t="shared" ref="G92:Q92" si="37">IF(G$4="","",(G88*(1-dividend_tax_rate))/Market_Price)</f>
        <v>0</v>
      </c>
      <c r="H92" s="23">
        <f t="shared" si="37"/>
        <v>0</v>
      </c>
      <c r="I92" s="23">
        <f t="shared" si="37"/>
        <v>0</v>
      </c>
      <c r="J92" s="23">
        <f t="shared" si="37"/>
        <v>0</v>
      </c>
      <c r="K92" s="23">
        <f t="shared" si="37"/>
        <v>0</v>
      </c>
      <c r="L92" s="23">
        <f t="shared" si="37"/>
        <v>0</v>
      </c>
      <c r="M92" s="23">
        <f t="shared" si="37"/>
        <v>0</v>
      </c>
      <c r="N92" s="23">
        <f t="shared" si="37"/>
        <v>0</v>
      </c>
      <c r="O92" s="23">
        <f t="shared" si="37"/>
        <v>0</v>
      </c>
      <c r="P92" s="23">
        <f t="shared" si="37"/>
        <v>0</v>
      </c>
      <c r="Q92" s="23" t="str">
        <f t="shared" si="37"/>
        <v/>
      </c>
    </row>
    <row r="93" spans="1:17" ht="15.75" customHeight="1">
      <c r="A93" s="10"/>
      <c r="E93" s="265"/>
    </row>
    <row r="94" spans="1:17" ht="15.75" customHeight="1">
      <c r="A94" s="10"/>
      <c r="B94" s="155" t="s">
        <v>82</v>
      </c>
      <c r="C94" s="62"/>
      <c r="D94" s="27"/>
      <c r="E94" s="262"/>
      <c r="F94" s="27"/>
      <c r="G94" s="12"/>
      <c r="H94" s="12"/>
      <c r="I94" s="12"/>
      <c r="J94" s="12"/>
      <c r="K94" s="12"/>
      <c r="L94" s="12"/>
      <c r="M94" s="12"/>
      <c r="N94" s="12"/>
      <c r="O94" s="12"/>
      <c r="P94" s="12"/>
      <c r="Q94" s="12"/>
    </row>
    <row r="95" spans="1:17" ht="15.75" customHeight="1">
      <c r="A95" s="10"/>
      <c r="B95" s="27" t="s">
        <v>139</v>
      </c>
      <c r="C95" s="77">
        <f>C4/G4-1</f>
        <v>0.19999999999999996</v>
      </c>
      <c r="D95" s="27"/>
      <c r="E95" s="262"/>
      <c r="F95" s="27"/>
      <c r="G95" s="6">
        <f t="shared" ref="G95:Q95" si="38">IF(H4="","",G4/H4-1)</f>
        <v>0.21986533492495042</v>
      </c>
      <c r="H95" s="6">
        <f t="shared" si="38"/>
        <v>0.25818926337588</v>
      </c>
      <c r="I95" s="6">
        <f t="shared" si="38"/>
        <v>0.22792054666920669</v>
      </c>
      <c r="J95" s="6">
        <f t="shared" si="38"/>
        <v>0.56042302894101814</v>
      </c>
      <c r="K95" s="6">
        <f t="shared" si="38"/>
        <v>0.17703515907565559</v>
      </c>
      <c r="L95" s="6">
        <f t="shared" si="38"/>
        <v>0.49521080735578149</v>
      </c>
      <c r="M95" s="6">
        <f t="shared" si="38"/>
        <v>0.92252130961969536</v>
      </c>
      <c r="N95" s="6">
        <f t="shared" si="38"/>
        <v>1.6122409807086915</v>
      </c>
      <c r="O95" s="6">
        <f t="shared" si="38"/>
        <v>2.2317017914340505</v>
      </c>
      <c r="P95" s="6" t="str">
        <f t="shared" si="38"/>
        <v/>
      </c>
      <c r="Q95" s="6" t="str">
        <f t="shared" si="38"/>
        <v/>
      </c>
    </row>
    <row r="96" spans="1:17" ht="15.75" customHeight="1">
      <c r="A96" s="10"/>
      <c r="B96" s="70" t="s">
        <v>159</v>
      </c>
      <c r="C96" s="77">
        <f>C13/G13-1</f>
        <v>-0.25377761904527363</v>
      </c>
      <c r="D96" s="27"/>
      <c r="E96" s="262"/>
      <c r="F96" s="27"/>
      <c r="G96" s="6">
        <f t="shared" ref="G96:Q96" si="39">IF(H5="","",G13/H13-1)</f>
        <v>3.9710827433665328</v>
      </c>
      <c r="H96" s="6">
        <f t="shared" si="39"/>
        <v>-1.6489858065519594</v>
      </c>
      <c r="I96" s="6">
        <f t="shared" si="39"/>
        <v>-0.58857588177192366</v>
      </c>
      <c r="J96" s="6">
        <f t="shared" si="39"/>
        <v>6.4204730890955943</v>
      </c>
      <c r="K96" s="6">
        <f t="shared" si="39"/>
        <v>-5.6308610400682015</v>
      </c>
      <c r="L96" s="6">
        <f t="shared" si="39"/>
        <v>-1.0524268435726911</v>
      </c>
      <c r="M96" s="6">
        <f t="shared" si="39"/>
        <v>2.0201515981654459</v>
      </c>
      <c r="N96" s="6">
        <f t="shared" si="39"/>
        <v>-0.30800610778889848</v>
      </c>
      <c r="O96" s="6">
        <f t="shared" si="39"/>
        <v>-0.23293580865998453</v>
      </c>
      <c r="P96" s="6" t="str">
        <f t="shared" si="39"/>
        <v/>
      </c>
      <c r="Q96" s="6" t="str">
        <f t="shared" si="39"/>
        <v/>
      </c>
    </row>
    <row r="97" spans="1:17" ht="15.75" customHeight="1">
      <c r="A97" s="10"/>
    </row>
    <row r="98" spans="1:17" ht="15.75" customHeight="1">
      <c r="A98" s="3"/>
      <c r="B98" s="54" t="s">
        <v>209</v>
      </c>
      <c r="C98" s="54"/>
      <c r="D98" s="56"/>
      <c r="E98" s="66" t="s">
        <v>57</v>
      </c>
      <c r="F98" s="56"/>
      <c r="G98" s="37"/>
      <c r="H98" s="37"/>
      <c r="I98" s="37"/>
      <c r="J98" s="37"/>
      <c r="K98" s="37"/>
      <c r="L98" s="37"/>
      <c r="M98" s="37"/>
      <c r="N98" s="37"/>
      <c r="O98" s="37"/>
      <c r="P98" s="37"/>
      <c r="Q98" s="37"/>
    </row>
    <row r="99" spans="1:17" ht="15.75" customHeight="1">
      <c r="A99" s="10"/>
      <c r="B99" s="64" t="s">
        <v>26</v>
      </c>
      <c r="E99" s="265"/>
      <c r="G99" s="97" t="s">
        <v>213</v>
      </c>
    </row>
    <row r="100" spans="1:17" ht="15.75" customHeight="1">
      <c r="A100" s="10"/>
      <c r="B100" s="26" t="s">
        <v>1</v>
      </c>
      <c r="C100" s="338">
        <f>BS!G32</f>
        <v>330198175</v>
      </c>
      <c r="D100" s="26"/>
      <c r="E100" s="266"/>
      <c r="F100" s="26"/>
      <c r="G100" s="328">
        <f t="shared" ref="G100:Q100" si="40">IF(G$4="","",G104+G103)</f>
        <v>330198175</v>
      </c>
      <c r="H100" s="328">
        <f t="shared" si="40"/>
        <v>0</v>
      </c>
      <c r="I100" s="328">
        <f t="shared" si="40"/>
        <v>0</v>
      </c>
      <c r="J100" s="328">
        <f t="shared" si="40"/>
        <v>0</v>
      </c>
      <c r="K100" s="328">
        <f t="shared" si="40"/>
        <v>0</v>
      </c>
      <c r="L100" s="328">
        <f t="shared" si="40"/>
        <v>0</v>
      </c>
      <c r="M100" s="328">
        <f t="shared" si="40"/>
        <v>0</v>
      </c>
      <c r="N100" s="328">
        <f t="shared" si="40"/>
        <v>0</v>
      </c>
      <c r="O100" s="328">
        <f t="shared" si="40"/>
        <v>0</v>
      </c>
      <c r="P100" s="328">
        <f t="shared" si="40"/>
        <v>0</v>
      </c>
      <c r="Q100" s="328" t="str">
        <f t="shared" si="40"/>
        <v/>
      </c>
    </row>
    <row r="101" spans="1:17" ht="15.75" customHeight="1">
      <c r="A101" s="10"/>
      <c r="B101" s="93" t="s">
        <v>204</v>
      </c>
      <c r="C101" s="339">
        <f>BS!C4</f>
        <v>3141262</v>
      </c>
      <c r="D101" s="89"/>
      <c r="E101" s="267"/>
      <c r="F101" s="89"/>
      <c r="G101" s="340">
        <f>IF(G$4="","",Data!D77)</f>
        <v>0</v>
      </c>
      <c r="H101" s="340">
        <f>IF(H$4="","",Data!E77)</f>
        <v>0</v>
      </c>
      <c r="I101" s="340">
        <f>IF(I$4="","",Data!F77)</f>
        <v>0</v>
      </c>
      <c r="J101" s="340">
        <f>IF(J$4="","",Data!G77)</f>
        <v>0</v>
      </c>
      <c r="K101" s="340">
        <f>IF(K$4="","",Data!H77)</f>
        <v>0</v>
      </c>
      <c r="L101" s="340">
        <f>IF(L$4="","",Data!I77)</f>
        <v>0</v>
      </c>
      <c r="M101" s="340">
        <f>IF(M$4="","",Data!J77)</f>
        <v>0</v>
      </c>
      <c r="N101" s="340">
        <f>IF(N$4="","",Data!K77)</f>
        <v>0</v>
      </c>
      <c r="O101" s="340">
        <f>IF(O$4="","",Data!L77)</f>
        <v>0</v>
      </c>
      <c r="P101" s="340">
        <f>IF(P$4="","",Data!M77)</f>
        <v>0</v>
      </c>
      <c r="Q101" s="340" t="str">
        <f>IF(Q$4="","",Data!N77)</f>
        <v/>
      </c>
    </row>
    <row r="102" spans="1:17" ht="15.75" customHeight="1">
      <c r="A102" s="10"/>
      <c r="B102" s="93" t="s">
        <v>205</v>
      </c>
      <c r="C102" s="339">
        <f>BS!C6+BS!C7</f>
        <v>2483059</v>
      </c>
      <c r="D102" s="89"/>
      <c r="E102" s="267"/>
      <c r="F102" s="89"/>
      <c r="G102" s="340">
        <f>IF(G$4="","",Data!D78)</f>
        <v>1734.124</v>
      </c>
      <c r="H102" s="340">
        <f>IF(H$4="","",Data!E78)</f>
        <v>1304.595</v>
      </c>
      <c r="I102" s="340">
        <f>IF(I$4="","",Data!F78)</f>
        <v>1162.7650000000001</v>
      </c>
      <c r="J102" s="340">
        <f>IF(J$4="","",Data!G78)</f>
        <v>681.69299999999998</v>
      </c>
      <c r="K102" s="340">
        <f>IF(K$4="","",Data!H78)</f>
        <v>0</v>
      </c>
      <c r="L102" s="340">
        <f>IF(L$4="","",Data!I78)</f>
        <v>0</v>
      </c>
      <c r="M102" s="340">
        <f>IF(M$4="","",Data!J78)</f>
        <v>0</v>
      </c>
      <c r="N102" s="340">
        <f>IF(N$4="","",Data!K78)</f>
        <v>0</v>
      </c>
      <c r="O102" s="340">
        <f>IF(O$4="","",Data!L78)</f>
        <v>0</v>
      </c>
      <c r="P102" s="340">
        <f>IF(P$4="","",Data!M78)</f>
        <v>0</v>
      </c>
      <c r="Q102" s="340" t="str">
        <f>IF(Q$4="","",Data!N78)</f>
        <v/>
      </c>
    </row>
    <row r="103" spans="1:17" ht="15.75" customHeight="1">
      <c r="A103" s="10"/>
      <c r="B103" s="26" t="s">
        <v>38</v>
      </c>
      <c r="C103" s="338">
        <f>BS!G30</f>
        <v>145900611</v>
      </c>
      <c r="D103" s="26"/>
      <c r="E103" s="266"/>
      <c r="F103" s="26"/>
      <c r="G103" s="328">
        <f>Data!C79</f>
        <v>145900611</v>
      </c>
      <c r="H103" s="328">
        <f>Data!D79</f>
        <v>0</v>
      </c>
      <c r="I103" s="328">
        <f>Data!E79</f>
        <v>0</v>
      </c>
      <c r="J103" s="328">
        <f>Data!F79</f>
        <v>0</v>
      </c>
      <c r="K103" s="328">
        <f>Data!G79</f>
        <v>0</v>
      </c>
      <c r="L103" s="328">
        <f>Data!H79</f>
        <v>0</v>
      </c>
      <c r="M103" s="328">
        <f>Data!I79</f>
        <v>0</v>
      </c>
      <c r="N103" s="328">
        <f>Data!J79</f>
        <v>0</v>
      </c>
      <c r="O103" s="328">
        <f>Data!K79</f>
        <v>0</v>
      </c>
      <c r="P103" s="328">
        <f>Data!L79</f>
        <v>0</v>
      </c>
      <c r="Q103" s="328" t="str">
        <f>Data!M79</f>
        <v/>
      </c>
    </row>
    <row r="104" spans="1:17" ht="15.75" customHeight="1">
      <c r="A104" s="10"/>
      <c r="B104" s="26" t="s">
        <v>28</v>
      </c>
      <c r="C104" s="338">
        <f>BS!G27</f>
        <v>184297564</v>
      </c>
      <c r="D104" s="26"/>
      <c r="E104" s="266"/>
      <c r="F104" s="26"/>
      <c r="G104" s="328">
        <f>Data!C80</f>
        <v>184297564</v>
      </c>
      <c r="H104" s="328">
        <f>Data!D80</f>
        <v>0</v>
      </c>
      <c r="I104" s="328">
        <f>Data!E80</f>
        <v>0</v>
      </c>
      <c r="J104" s="328">
        <f>Data!F80</f>
        <v>0</v>
      </c>
      <c r="K104" s="328">
        <f>Data!G80</f>
        <v>0</v>
      </c>
      <c r="L104" s="328">
        <f>Data!H80</f>
        <v>0</v>
      </c>
      <c r="M104" s="328">
        <f>Data!I80</f>
        <v>0</v>
      </c>
      <c r="N104" s="328">
        <f>Data!J80</f>
        <v>0</v>
      </c>
      <c r="O104" s="328">
        <f>Data!K80</f>
        <v>0</v>
      </c>
      <c r="P104" s="328">
        <f>Data!L80</f>
        <v>0</v>
      </c>
      <c r="Q104" s="328" t="str">
        <f>Data!M80</f>
        <v/>
      </c>
    </row>
    <row r="105" spans="1:17" ht="15.75" customHeight="1">
      <c r="A105" s="10"/>
      <c r="E105" s="265"/>
    </row>
    <row r="106" spans="1:17" ht="15.75" customHeight="1">
      <c r="A106" s="10"/>
      <c r="B106" s="91" t="s">
        <v>214</v>
      </c>
      <c r="C106" s="26"/>
      <c r="D106" s="26"/>
      <c r="E106" s="266"/>
      <c r="F106" s="26"/>
      <c r="G106" s="97" t="s">
        <v>213</v>
      </c>
      <c r="H106" s="12"/>
      <c r="I106" s="12"/>
      <c r="J106" s="12"/>
      <c r="K106" s="12"/>
      <c r="L106" s="12"/>
      <c r="M106" s="12"/>
      <c r="N106" s="12"/>
      <c r="O106" s="12"/>
      <c r="P106" s="12"/>
      <c r="Q106" s="12"/>
    </row>
    <row r="107" spans="1:17" ht="15.75" customHeight="1">
      <c r="A107" s="10"/>
      <c r="B107" s="26" t="s">
        <v>211</v>
      </c>
      <c r="C107" s="94">
        <f>C101/C$4</f>
        <v>7.7540985007674874E-3</v>
      </c>
      <c r="D107" s="26"/>
      <c r="E107" s="266"/>
      <c r="F107" s="26"/>
      <c r="G107" s="94">
        <f t="shared" ref="G107:Q107" si="41">IF(G$4="","",G101/G$4)</f>
        <v>0</v>
      </c>
      <c r="H107" s="94">
        <f t="shared" si="41"/>
        <v>0</v>
      </c>
      <c r="I107" s="94">
        <f t="shared" si="41"/>
        <v>0</v>
      </c>
      <c r="J107" s="94">
        <f t="shared" si="41"/>
        <v>0</v>
      </c>
      <c r="K107" s="94">
        <f t="shared" si="41"/>
        <v>0</v>
      </c>
      <c r="L107" s="94">
        <f t="shared" si="41"/>
        <v>0</v>
      </c>
      <c r="M107" s="94">
        <f t="shared" si="41"/>
        <v>0</v>
      </c>
      <c r="N107" s="94">
        <f t="shared" si="41"/>
        <v>0</v>
      </c>
      <c r="O107" s="94">
        <f t="shared" si="41"/>
        <v>0</v>
      </c>
      <c r="P107" s="94">
        <f t="shared" si="41"/>
        <v>0</v>
      </c>
      <c r="Q107" s="94" t="str">
        <f t="shared" si="41"/>
        <v/>
      </c>
    </row>
    <row r="108" spans="1:17" ht="15.75" customHeight="1">
      <c r="A108" s="10"/>
      <c r="B108" s="26" t="s">
        <v>212</v>
      </c>
      <c r="C108" s="94">
        <f>C102/C$4</f>
        <v>6.1293467622940134E-3</v>
      </c>
      <c r="D108" s="26"/>
      <c r="E108" s="266"/>
      <c r="F108" s="26"/>
      <c r="G108" s="94">
        <f t="shared" ref="G108:Q108" si="42">IF(G$4="","",G102/G$4)</f>
        <v>5.1367513980858339E-6</v>
      </c>
      <c r="H108" s="94">
        <f t="shared" si="42"/>
        <v>4.7140696917639193E-6</v>
      </c>
      <c r="I108" s="94">
        <f t="shared" si="42"/>
        <v>5.2863780086456616E-6</v>
      </c>
      <c r="J108" s="94">
        <f t="shared" si="42"/>
        <v>3.8056195090486048E-6</v>
      </c>
      <c r="K108" s="94">
        <f t="shared" si="42"/>
        <v>0</v>
      </c>
      <c r="L108" s="94">
        <f t="shared" si="42"/>
        <v>0</v>
      </c>
      <c r="M108" s="94">
        <f t="shared" si="42"/>
        <v>0</v>
      </c>
      <c r="N108" s="94">
        <f t="shared" si="42"/>
        <v>0</v>
      </c>
      <c r="O108" s="94">
        <f t="shared" si="42"/>
        <v>0</v>
      </c>
      <c r="P108" s="94">
        <f t="shared" si="42"/>
        <v>0</v>
      </c>
      <c r="Q108" s="94" t="str">
        <f t="shared" si="42"/>
        <v/>
      </c>
    </row>
    <row r="109" spans="1:17" ht="15.75" customHeight="1">
      <c r="A109" s="10"/>
      <c r="B109" s="26" t="s">
        <v>67</v>
      </c>
      <c r="C109" s="94">
        <f>BS!$G$38/C$4</f>
        <v>0</v>
      </c>
      <c r="D109" s="26"/>
      <c r="E109" s="266"/>
      <c r="F109" s="26"/>
      <c r="G109" s="94">
        <f>BS!$G$38/G$4</f>
        <v>0</v>
      </c>
      <c r="H109" s="201"/>
      <c r="I109" s="201"/>
      <c r="J109" s="201"/>
      <c r="K109" s="201"/>
      <c r="L109" s="201"/>
      <c r="M109" s="201"/>
      <c r="N109" s="201"/>
      <c r="O109" s="201"/>
      <c r="P109" s="201"/>
      <c r="Q109" s="201"/>
    </row>
    <row r="110" spans="1:17" ht="15.75" customHeight="1">
      <c r="A110" s="10"/>
      <c r="E110" s="265"/>
    </row>
    <row r="111" spans="1:17" ht="15.75" customHeight="1">
      <c r="A111" s="10"/>
      <c r="B111" s="64" t="s">
        <v>49</v>
      </c>
      <c r="E111" s="265"/>
    </row>
    <row r="112" spans="1:17" ht="15.75" customHeight="1">
      <c r="A112" s="10"/>
      <c r="B112" s="2" t="s">
        <v>369</v>
      </c>
      <c r="C112" s="166"/>
      <c r="E112" s="265"/>
      <c r="G112" s="292">
        <f>IF(G$4="","",Data!C$22/Data!C15)</f>
        <v>-6.6259897212232214E-3</v>
      </c>
      <c r="H112" s="292" t="e">
        <f>IF(H$4="","",Data!D$22/Data!D15)</f>
        <v>#DIV/0!</v>
      </c>
      <c r="I112" s="292" t="e">
        <f>IF(I$4="","",Data!E$22/Data!E15)</f>
        <v>#DIV/0!</v>
      </c>
      <c r="J112" s="292" t="e">
        <f>IF(J$4="","",Data!F$22/Data!F15)</f>
        <v>#DIV/0!</v>
      </c>
      <c r="K112" s="292" t="e">
        <f>IF(K$4="","",Data!G$22/Data!G15)</f>
        <v>#DIV/0!</v>
      </c>
      <c r="L112" s="292" t="e">
        <f>IF(L$4="","",Data!H$22/Data!H15)</f>
        <v>#DIV/0!</v>
      </c>
      <c r="M112" s="292" t="e">
        <f>IF(M$4="","",Data!I$22/Data!I15)</f>
        <v>#DIV/0!</v>
      </c>
      <c r="N112" s="292" t="e">
        <f>IF(N$4="","",Data!J$22/Data!J15)</f>
        <v>#DIV/0!</v>
      </c>
      <c r="O112" s="292" t="e">
        <f>IF(O$4="","",Data!K$22/Data!K15)</f>
        <v>#DIV/0!</v>
      </c>
      <c r="P112" s="292" t="e">
        <f>IF(P$4="","",Data!L$22/Data!L15)</f>
        <v>#DIV/0!</v>
      </c>
      <c r="Q112" s="292" t="str">
        <f>IF(Q$4="","",Data!M$22/Data!M15)</f>
        <v/>
      </c>
    </row>
    <row r="113" spans="1:17" ht="15.75" customHeight="1">
      <c r="A113" s="10"/>
      <c r="B113" s="2" t="s">
        <v>370</v>
      </c>
      <c r="C113" s="166"/>
      <c r="E113" s="265"/>
      <c r="G113" s="292">
        <f>IF(G$4="","",Data!C$22/G19)</f>
        <v>-7.7760782598769174E-3</v>
      </c>
      <c r="H113" s="292">
        <f>IF(H$4="","",Data!D$22/H19)</f>
        <v>0</v>
      </c>
      <c r="I113" s="292">
        <f>IF(I$4="","",Data!E$22/I19)</f>
        <v>0</v>
      </c>
      <c r="J113" s="292">
        <f>IF(J$4="","",Data!F$22/J19)</f>
        <v>0</v>
      </c>
      <c r="K113" s="292">
        <f>IF(K$4="","",Data!G$22/K19)</f>
        <v>0</v>
      </c>
      <c r="L113" s="292">
        <f>IF(L$4="","",Data!H$22/L19)</f>
        <v>0</v>
      </c>
      <c r="M113" s="292">
        <f>IF(M$4="","",Data!I$22/M19)</f>
        <v>0</v>
      </c>
      <c r="N113" s="292">
        <f>IF(N$4="","",Data!J$22/N19)</f>
        <v>0</v>
      </c>
      <c r="O113" s="292">
        <f>IF(O$4="","",Data!K$22/O19)</f>
        <v>0</v>
      </c>
      <c r="P113" s="292">
        <f>IF(P$4="","",Data!L$22/P19)</f>
        <v>0</v>
      </c>
      <c r="Q113" s="292" t="str">
        <f>IF(Q$4="","",Data!M$22/Q19)</f>
        <v/>
      </c>
    </row>
    <row r="114" spans="1:17" ht="15.75" customHeight="1">
      <c r="A114" s="10"/>
      <c r="E114" s="265"/>
    </row>
    <row r="115" spans="1:17" ht="15.75" customHeight="1">
      <c r="A115" s="10"/>
      <c r="B115" s="91" t="s">
        <v>36</v>
      </c>
      <c r="C115" s="55"/>
      <c r="D115" s="55"/>
      <c r="E115" s="268"/>
      <c r="F115" s="55"/>
      <c r="G115" s="23" t="str">
        <f>IFERROR(IF(#REF!*G117*(1/#REF!)=G119,"","Error"),"")</f>
        <v/>
      </c>
      <c r="H115" s="23" t="str">
        <f>IFERROR(IF(#REF!*H117*(1/#REF!)=H119,"","Error"),"")</f>
        <v/>
      </c>
      <c r="I115" s="23" t="str">
        <f>IFERROR(IF(#REF!*I117*(1/#REF!)=I119,"","Error"),"")</f>
        <v/>
      </c>
      <c r="J115" s="23" t="str">
        <f>IFERROR(IF(#REF!*J117*(1/#REF!)=J119,"","Error"),"")</f>
        <v/>
      </c>
      <c r="K115" s="23" t="str">
        <f>IFERROR(IF(#REF!*K117*(1/#REF!)=K119,"","Error"),"")</f>
        <v/>
      </c>
      <c r="L115" s="23" t="str">
        <f>IFERROR(IF(#REF!*L117*(1/#REF!)=L119,"","Error"),"")</f>
        <v/>
      </c>
      <c r="M115" s="23" t="str">
        <f>IFERROR(IF(#REF!*M117*(1/#REF!)=M119,"","Error"),"")</f>
        <v/>
      </c>
      <c r="N115" s="23" t="str">
        <f>IFERROR(IF(#REF!*N117*(1/#REF!)=N119,"","Error"),"")</f>
        <v/>
      </c>
      <c r="O115" s="23" t="str">
        <f>IFERROR(IF(#REF!*O117*(1/#REF!)=O119,"","Error"),"")</f>
        <v/>
      </c>
      <c r="P115" s="23" t="str">
        <f>IFERROR(IF(#REF!*P117*(1/#REF!)=P119,"","Error"),"")</f>
        <v/>
      </c>
      <c r="Q115" s="23" t="str">
        <f>IFERROR(IF(#REF!*Q117*(1/#REF!)=Q119,"","Error"),"")</f>
        <v/>
      </c>
    </row>
    <row r="116" spans="1:17" ht="15.75" customHeight="1">
      <c r="A116" s="10"/>
      <c r="B116" s="7" t="s">
        <v>215</v>
      </c>
      <c r="C116" s="23">
        <f>IF(valuation_method="DDM",C13/(C4+C12),C79)</f>
        <v>6.0214894125991673E-2</v>
      </c>
      <c r="E116" s="265"/>
      <c r="G116" s="23">
        <f t="shared" ref="G116:Q116" si="43">IF(G4="","",IF(valuation_method="DDM",G13/(G4+G12),G79))</f>
        <v>9.6831554232857997E-2</v>
      </c>
      <c r="H116" s="23">
        <f t="shared" si="43"/>
        <v>2.3761715995009616E-2</v>
      </c>
      <c r="I116" s="23">
        <f t="shared" si="43"/>
        <v>-4.606685638188053E-2</v>
      </c>
      <c r="J116" s="23">
        <f t="shared" si="43"/>
        <v>-0.13748936186675498</v>
      </c>
      <c r="K116" s="23">
        <f t="shared" si="43"/>
        <v>-2.8912114351113131E-2</v>
      </c>
      <c r="L116" s="23">
        <f t="shared" si="43"/>
        <v>7.3486495967010927E-3</v>
      </c>
      <c r="M116" s="23">
        <f t="shared" si="43"/>
        <v>-0.20958309804066944</v>
      </c>
      <c r="N116" s="23">
        <f t="shared" si="43"/>
        <v>-0.13341316123470573</v>
      </c>
      <c r="O116" s="23">
        <f t="shared" si="43"/>
        <v>-0.50362775028204709</v>
      </c>
      <c r="P116" s="23">
        <f t="shared" si="43"/>
        <v>-2.1218233378344991</v>
      </c>
      <c r="Q116" s="23" t="str">
        <f t="shared" si="43"/>
        <v/>
      </c>
    </row>
    <row r="117" spans="1:17" ht="15.75" customHeight="1">
      <c r="B117" s="7" t="s">
        <v>81</v>
      </c>
      <c r="C117" s="42">
        <f>IF(valuation_method="DDM",(C4+C12)/C100,C4/C100)</f>
        <v>1.2268689589214112</v>
      </c>
      <c r="E117" s="265"/>
      <c r="G117" s="42">
        <f t="shared" ref="G117:Q117" si="44">IF(G4="","",IF(valuation_method="DDM",(G4+G12)/G100,G4/G100))</f>
        <v>1.022390799101176</v>
      </c>
      <c r="H117" s="42" t="e">
        <f t="shared" si="44"/>
        <v>#DIV/0!</v>
      </c>
      <c r="I117" s="42" t="e">
        <f t="shared" si="44"/>
        <v>#DIV/0!</v>
      </c>
      <c r="J117" s="42" t="e">
        <f t="shared" si="44"/>
        <v>#DIV/0!</v>
      </c>
      <c r="K117" s="42" t="e">
        <f t="shared" si="44"/>
        <v>#DIV/0!</v>
      </c>
      <c r="L117" s="42" t="e">
        <f t="shared" si="44"/>
        <v>#DIV/0!</v>
      </c>
      <c r="M117" s="42" t="e">
        <f t="shared" si="44"/>
        <v>#DIV/0!</v>
      </c>
      <c r="N117" s="42" t="e">
        <f t="shared" si="44"/>
        <v>#DIV/0!</v>
      </c>
      <c r="O117" s="42" t="e">
        <f t="shared" si="44"/>
        <v>#DIV/0!</v>
      </c>
      <c r="P117" s="42" t="e">
        <f t="shared" si="44"/>
        <v>#DIV/0!</v>
      </c>
      <c r="Q117" s="42" t="str">
        <f t="shared" si="44"/>
        <v/>
      </c>
    </row>
    <row r="118" spans="1:17" ht="15.75" customHeight="1">
      <c r="B118" s="7" t="s">
        <v>89</v>
      </c>
      <c r="C118" s="15">
        <f>C100/C104</f>
        <v>1.7916578376478161</v>
      </c>
      <c r="D118" s="11"/>
      <c r="E118" s="269"/>
      <c r="F118" s="11"/>
      <c r="G118" s="15">
        <f t="shared" ref="G118:Q118" si="45">IF(G$4="","",G100/G104)</f>
        <v>1.7916578376478161</v>
      </c>
      <c r="H118" s="15" t="e">
        <f t="shared" si="45"/>
        <v>#DIV/0!</v>
      </c>
      <c r="I118" s="15" t="e">
        <f t="shared" si="45"/>
        <v>#DIV/0!</v>
      </c>
      <c r="J118" s="15" t="e">
        <f t="shared" si="45"/>
        <v>#DIV/0!</v>
      </c>
      <c r="K118" s="15" t="e">
        <f t="shared" si="45"/>
        <v>#DIV/0!</v>
      </c>
      <c r="L118" s="15" t="e">
        <f t="shared" si="45"/>
        <v>#DIV/0!</v>
      </c>
      <c r="M118" s="15" t="e">
        <f t="shared" si="45"/>
        <v>#DIV/0!</v>
      </c>
      <c r="N118" s="15" t="e">
        <f t="shared" si="45"/>
        <v>#DIV/0!</v>
      </c>
      <c r="O118" s="15" t="e">
        <f t="shared" si="45"/>
        <v>#DIV/0!</v>
      </c>
      <c r="P118" s="15" t="e">
        <f t="shared" si="45"/>
        <v>#DIV/0!</v>
      </c>
      <c r="Q118" s="15" t="str">
        <f t="shared" si="45"/>
        <v/>
      </c>
    </row>
    <row r="119" spans="1:17" ht="15.75" customHeight="1">
      <c r="A119" s="10"/>
      <c r="B119" s="70" t="s">
        <v>216</v>
      </c>
      <c r="C119" s="102">
        <f>C13/C104</f>
        <v>0.1323601282543268</v>
      </c>
      <c r="D119" s="103"/>
      <c r="E119" s="268"/>
      <c r="F119" s="103"/>
      <c r="G119" s="102">
        <f t="shared" ref="G119:Q119" si="46">IF(G$4="","",G13/G104)</f>
        <v>0.17737357071089666</v>
      </c>
      <c r="H119" s="102" t="e">
        <f t="shared" si="46"/>
        <v>#DIV/0!</v>
      </c>
      <c r="I119" s="102" t="e">
        <f t="shared" si="46"/>
        <v>#DIV/0!</v>
      </c>
      <c r="J119" s="102" t="e">
        <f t="shared" si="46"/>
        <v>#DIV/0!</v>
      </c>
      <c r="K119" s="102" t="e">
        <f t="shared" si="46"/>
        <v>#DIV/0!</v>
      </c>
      <c r="L119" s="102" t="e">
        <f t="shared" si="46"/>
        <v>#DIV/0!</v>
      </c>
      <c r="M119" s="102" t="e">
        <f t="shared" si="46"/>
        <v>#DIV/0!</v>
      </c>
      <c r="N119" s="102" t="e">
        <f t="shared" si="46"/>
        <v>#DIV/0!</v>
      </c>
      <c r="O119" s="102" t="e">
        <f t="shared" si="46"/>
        <v>#DIV/0!</v>
      </c>
      <c r="P119" s="102" t="e">
        <f t="shared" si="46"/>
        <v>#DIV/0!</v>
      </c>
      <c r="Q119" s="102" t="str">
        <f t="shared" si="46"/>
        <v/>
      </c>
    </row>
    <row r="120" spans="1:17" ht="15.75" customHeight="1">
      <c r="A120" s="10"/>
      <c r="B120" s="27"/>
      <c r="C120" s="62"/>
      <c r="D120" s="27"/>
      <c r="E120" s="67"/>
      <c r="F120" s="27"/>
      <c r="G120" s="12"/>
      <c r="H120" s="12"/>
      <c r="I120" s="12"/>
      <c r="J120" s="12"/>
      <c r="K120" s="12"/>
      <c r="L120" s="12"/>
      <c r="M120" s="12"/>
      <c r="N120" s="12"/>
      <c r="O120" s="12"/>
      <c r="P120" s="12"/>
      <c r="Q120" s="12"/>
    </row>
    <row r="121" spans="1:17" ht="15.75" customHeight="1">
      <c r="A121" s="10"/>
      <c r="B121" s="54" t="s">
        <v>217</v>
      </c>
      <c r="C121" s="54"/>
      <c r="D121" s="56"/>
      <c r="E121" s="66" t="s">
        <v>57</v>
      </c>
      <c r="F121" s="56"/>
      <c r="G121" s="37"/>
      <c r="H121" s="37"/>
      <c r="I121" s="37"/>
      <c r="J121" s="37"/>
      <c r="K121" s="37"/>
      <c r="L121" s="37"/>
      <c r="M121" s="37"/>
      <c r="N121" s="37"/>
      <c r="O121" s="37"/>
      <c r="P121" s="37"/>
      <c r="Q121" s="37"/>
    </row>
    <row r="122" spans="1:17" ht="15.75" customHeight="1">
      <c r="A122" s="10"/>
      <c r="B122" s="175" t="s">
        <v>165</v>
      </c>
      <c r="C122" s="176"/>
      <c r="D122" s="27"/>
      <c r="E122" s="262"/>
      <c r="F122" s="27"/>
      <c r="G122" s="12"/>
      <c r="H122" s="12"/>
      <c r="I122" s="12"/>
      <c r="J122" s="12"/>
      <c r="K122" s="12"/>
      <c r="L122" s="12"/>
      <c r="M122" s="12"/>
      <c r="N122" s="12"/>
      <c r="O122" s="12"/>
      <c r="P122" s="12"/>
      <c r="Q122" s="12"/>
    </row>
    <row r="123" spans="1:17" ht="15.75" customHeight="1">
      <c r="A123" s="10"/>
      <c r="B123" s="27" t="str">
        <f>"FCFE per share ("&amp;Market_currency&amp;")"</f>
        <v>FCFE per share (HKD)</v>
      </c>
      <c r="C123" s="174">
        <f>C16*$C$3/Common_Shares*Exchange_Rate</f>
        <v>2.1571722582195973</v>
      </c>
      <c r="D123" s="27"/>
      <c r="E123" s="262"/>
      <c r="F123" s="27"/>
      <c r="G123" s="174">
        <f t="shared" ref="G123:Q123" si="47">IF(G$4="","",G16*$C$3/Common_Shares*Exchange_Rate)</f>
        <v>3.5975515962816398</v>
      </c>
      <c r="H123" s="174">
        <f t="shared" si="47"/>
        <v>0.75596123587056918</v>
      </c>
      <c r="I123" s="174">
        <f t="shared" si="47"/>
        <v>-1.18645166347686</v>
      </c>
      <c r="J123" s="174">
        <f t="shared" si="47"/>
        <v>-2.9003144436266806</v>
      </c>
      <c r="K123" s="174">
        <f t="shared" si="47"/>
        <v>-0.35952975307960566</v>
      </c>
      <c r="L123" s="174">
        <f t="shared" si="47"/>
        <v>2.245929767714093E-2</v>
      </c>
      <c r="M123" s="174">
        <f t="shared" si="47"/>
        <v>-1.6121011031330754</v>
      </c>
      <c r="N123" s="174">
        <f t="shared" si="47"/>
        <v>-0.54010059627875373</v>
      </c>
      <c r="O123" s="174">
        <f t="shared" si="47"/>
        <v>-0.80284902867605801</v>
      </c>
      <c r="P123" s="174">
        <f t="shared" si="47"/>
        <v>-1.0040976831569044</v>
      </c>
      <c r="Q123" s="174" t="str">
        <f t="shared" si="47"/>
        <v/>
      </c>
    </row>
    <row r="124" spans="1:17" ht="15.75" customHeight="1">
      <c r="A124" s="10"/>
      <c r="B124" s="27" t="s">
        <v>261</v>
      </c>
      <c r="C124" s="77">
        <f>C19*Exchange_Rate*$C$3/(Market_Price*Common_Shares)</f>
        <v>2.2261839610109361E-2</v>
      </c>
      <c r="D124" s="27"/>
      <c r="E124" s="262"/>
      <c r="F124" s="27"/>
      <c r="G124" s="77">
        <f t="shared" ref="G124" si="48">IF(G$4="","",G123/Market_Price)</f>
        <v>3.7126435462142823E-2</v>
      </c>
      <c r="H124" s="77">
        <f t="shared" ref="H124" si="49">IF(H$4="","",H123/Market_Price)</f>
        <v>7.8014575425239333E-3</v>
      </c>
      <c r="I124" s="77">
        <f t="shared" ref="I124" si="50">IF(I$4="","",I123/Market_Price)</f>
        <v>-1.224408321441548E-2</v>
      </c>
      <c r="J124" s="77">
        <f t="shared" ref="J124" si="51">IF(J$4="","",J123/Market_Price)</f>
        <v>-2.993100561018246E-2</v>
      </c>
      <c r="K124" s="77">
        <f t="shared" ref="K124" si="52">IF(K$4="","",K123/Market_Price)</f>
        <v>-3.7103173692425765E-3</v>
      </c>
      <c r="L124" s="77">
        <f t="shared" ref="L124" si="53">IF(L$4="","",L123/Market_Price)</f>
        <v>2.3177809780331195E-4</v>
      </c>
      <c r="M124" s="77">
        <f t="shared" ref="M124" si="54">IF(M$4="","",M123/Market_Price)</f>
        <v>-1.6636750290331015E-2</v>
      </c>
      <c r="N124" s="77">
        <f t="shared" ref="N124" si="55">IF(N$4="","",N123/Market_Price)</f>
        <v>-5.5737935632482324E-3</v>
      </c>
      <c r="O124" s="77">
        <f t="shared" ref="O124" si="56">IF(O$4="","",O123/Market_Price)</f>
        <v>-8.2853356932513725E-3</v>
      </c>
      <c r="P124" s="77">
        <f t="shared" ref="P124" si="57">IF(P$4="","",P123/Market_Price)</f>
        <v>-1.0362205192537713E-2</v>
      </c>
      <c r="Q124" s="77" t="str">
        <f t="shared" ref="Q124" si="58">IF(Q$4="","",Q123/Market_Price)</f>
        <v/>
      </c>
    </row>
    <row r="125" spans="1:17" ht="15.75" customHeight="1">
      <c r="B125" s="2" t="s">
        <v>372</v>
      </c>
      <c r="C125" s="166"/>
      <c r="G125" s="23">
        <f>IF(G$4="","",(Data!C47*$C$3)/(Market_Price*Common_Shares))</f>
        <v>3.9886650611089695E-2</v>
      </c>
      <c r="H125" s="23">
        <f>IF(H$4="","",(Data!D47*$C$3)/(Market_Price*Common_Shares))</f>
        <v>0</v>
      </c>
      <c r="I125" s="23">
        <f>IF(I$4="","",(Data!E47*$C$3)/(Market_Price*Common_Shares))</f>
        <v>0</v>
      </c>
      <c r="J125" s="23">
        <f>IF(J$4="","",(Data!F47*$C$3)/(Market_Price*Common_Shares))</f>
        <v>0</v>
      </c>
      <c r="K125" s="23">
        <f>IF(K$4="","",(Data!G47*$C$3)/(Market_Price*Common_Shares))</f>
        <v>0</v>
      </c>
      <c r="L125" s="23">
        <f>IF(L$4="","",(Data!H47*$C$3)/(Market_Price*Common_Shares))</f>
        <v>0</v>
      </c>
      <c r="M125" s="23">
        <f>IF(M$4="","",(Data!I47*$C$3)/(Market_Price*Common_Shares))</f>
        <v>0</v>
      </c>
      <c r="N125" s="23">
        <f>IF(N$4="","",(Data!J47*$C$3)/(Market_Price*Common_Shares))</f>
        <v>0</v>
      </c>
      <c r="O125" s="23">
        <f>IF(O$4="","",(Data!K47*$C$3)/(Market_Price*Common_Shares))</f>
        <v>0</v>
      </c>
      <c r="P125" s="23">
        <f>IF(P$4="","",(Data!L47*$C$3)/(Market_Price*Common_Shares))</f>
        <v>0</v>
      </c>
      <c r="Q125" s="23"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3 G15: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S105"/>
  <sheetViews>
    <sheetView showGridLines="0" zoomScale="75" zoomScaleNormal="85" workbookViewId="0">
      <selection activeCell="H18" sqref="H18"/>
    </sheetView>
  </sheetViews>
  <sheetFormatPr defaultColWidth="8.86328125" defaultRowHeight="12.75"/>
  <cols>
    <col min="1" max="1" width="6.1328125" customWidth="1"/>
    <col min="2" max="2" width="24.73046875" customWidth="1"/>
    <col min="3" max="9" width="20.73046875" customWidth="1"/>
    <col min="10" max="10" width="5.73046875" customWidth="1"/>
  </cols>
  <sheetData>
    <row r="2" spans="2:9" ht="13.9">
      <c r="B2" s="36" t="s">
        <v>53</v>
      </c>
      <c r="C2" s="37"/>
      <c r="D2" s="37"/>
      <c r="E2" s="37"/>
      <c r="F2" s="37"/>
      <c r="G2" s="37"/>
      <c r="H2" s="37"/>
      <c r="I2" s="37"/>
    </row>
    <row r="3" spans="2:9" ht="13.15">
      <c r="B3" s="109" t="s">
        <v>158</v>
      </c>
      <c r="C3" s="107">
        <f>scaling_factor</f>
        <v>1000</v>
      </c>
      <c r="E3" s="109" t="s">
        <v>120</v>
      </c>
    </row>
    <row r="4" spans="2:9">
      <c r="B4" s="100" t="s">
        <v>549</v>
      </c>
      <c r="C4" s="333">
        <f>Normalized_FCF!C19</f>
        <v>18295236.906000003</v>
      </c>
      <c r="D4" t="str">
        <f>Reporting_currency</f>
        <v>CNY</v>
      </c>
      <c r="E4" s="100" t="s">
        <v>243</v>
      </c>
      <c r="F4" s="134">
        <f>Terminal_Growth</f>
        <v>0</v>
      </c>
      <c r="G4" s="134"/>
      <c r="H4" s="134"/>
      <c r="I4" s="134"/>
    </row>
    <row r="5" spans="2:9">
      <c r="B5" s="202" t="s">
        <v>119</v>
      </c>
      <c r="C5" s="203">
        <f>Equity_Cost</f>
        <v>7.4999999999999997E-2</v>
      </c>
      <c r="E5" s="146"/>
    </row>
    <row r="6" spans="2:9" ht="13.35" customHeight="1">
      <c r="B6" s="147" t="s">
        <v>222</v>
      </c>
      <c r="C6" s="341">
        <f>(C4*(1+Terminal_Growth))/(Equity_Cost-Terminal_Growth)</f>
        <v>243936492.08000004</v>
      </c>
      <c r="D6" t="str">
        <f>Reporting_currency</f>
        <v>CNY</v>
      </c>
      <c r="E6" s="379" t="s">
        <v>546</v>
      </c>
      <c r="F6" s="379"/>
      <c r="G6" s="361"/>
      <c r="H6" s="361"/>
      <c r="I6" s="361"/>
    </row>
    <row r="7" spans="2:9">
      <c r="B7" s="146" t="s">
        <v>218</v>
      </c>
      <c r="C7" s="333">
        <f>BS!G31</f>
        <v>50977402</v>
      </c>
      <c r="D7" t="str">
        <f>Reporting_currency</f>
        <v>CNY</v>
      </c>
      <c r="E7" s="379"/>
      <c r="F7" s="379"/>
      <c r="G7" s="361"/>
      <c r="H7" s="361"/>
      <c r="I7" s="361"/>
    </row>
    <row r="8" spans="2:9">
      <c r="B8" s="146" t="s">
        <v>219</v>
      </c>
      <c r="C8" s="333">
        <f>BS!D66</f>
        <v>56347137.668000005</v>
      </c>
      <c r="D8" t="str">
        <f>Reporting_currency</f>
        <v>CNY</v>
      </c>
      <c r="E8" s="379"/>
      <c r="F8" s="379"/>
      <c r="G8" s="361"/>
      <c r="H8" s="361"/>
      <c r="I8" s="361"/>
    </row>
    <row r="9" spans="2:9" ht="13.15">
      <c r="B9" s="202" t="s">
        <v>184</v>
      </c>
      <c r="C9" s="342">
        <f>BS!H42</f>
        <v>57918846.499999993</v>
      </c>
      <c r="D9" t="str">
        <f>Reporting_currency</f>
        <v>CNY</v>
      </c>
      <c r="E9" s="379"/>
      <c r="F9" s="379"/>
      <c r="G9" s="130" t="s">
        <v>560</v>
      </c>
      <c r="H9" s="241" t="str">
        <f>IF(H11=F17,"I","II")</f>
        <v>II</v>
      </c>
      <c r="I9" s="361"/>
    </row>
    <row r="10" spans="2:9" ht="13.15">
      <c r="B10" s="147" t="s">
        <v>221</v>
      </c>
      <c r="C10" s="341">
        <f>C6-C7+C8+C9</f>
        <v>307225074.24800003</v>
      </c>
      <c r="D10" t="str">
        <f>Reporting_currency</f>
        <v>CNY</v>
      </c>
      <c r="G10" s="100" t="s">
        <v>559</v>
      </c>
      <c r="H10" s="160">
        <f>IF(H9="II",_xlfn.CEILING.MATH(C17/2),C17+1)</f>
        <v>5</v>
      </c>
    </row>
    <row r="11" spans="2:9" ht="13.15" thickBot="1">
      <c r="B11" s="204" t="s">
        <v>161</v>
      </c>
      <c r="C11" s="205">
        <f>Exchange_Rate</f>
        <v>1.0923594000000001</v>
      </c>
      <c r="D11" t="str">
        <f>Thesis!C15</f>
        <v>CNY/HKD</v>
      </c>
      <c r="G11" s="100" t="s">
        <v>563</v>
      </c>
      <c r="H11" s="134">
        <f>Scenarios!C64</f>
        <v>0.85</v>
      </c>
    </row>
    <row r="12" spans="2:9" ht="13.5" thickTop="1">
      <c r="B12" s="147" t="s">
        <v>99</v>
      </c>
      <c r="C12" s="111">
        <f>(C10*scaling_factor)/Common_Shares*Exchange_Rate</f>
        <v>36.224587339445385</v>
      </c>
      <c r="D12" t="str">
        <f>Market_currency</f>
        <v>HKD</v>
      </c>
      <c r="G12" s="100" t="s">
        <v>562</v>
      </c>
      <c r="H12" s="134">
        <f>IF(H9="II",C16/2,C16)</f>
        <v>0.1133956324432291</v>
      </c>
    </row>
    <row r="14" spans="2:9" ht="13.9">
      <c r="B14" s="36" t="s">
        <v>223</v>
      </c>
      <c r="C14" s="37"/>
      <c r="D14" s="37"/>
      <c r="E14" s="37"/>
      <c r="F14" s="37"/>
      <c r="G14" s="37"/>
      <c r="H14" s="37"/>
      <c r="I14" s="37"/>
    </row>
    <row r="15" spans="2:9" ht="13.15">
      <c r="B15" s="119" t="s">
        <v>130</v>
      </c>
      <c r="E15" s="130" t="s">
        <v>561</v>
      </c>
    </row>
    <row r="16" spans="2:9" ht="13.35" customHeight="1">
      <c r="B16" s="118" t="s">
        <v>129</v>
      </c>
      <c r="C16" s="159">
        <f>Scenarios!C70</f>
        <v>0.2267912648864582</v>
      </c>
      <c r="E16" s="100" t="s">
        <v>550</v>
      </c>
      <c r="F16" s="333">
        <f>Normalized_FCF!C4</f>
        <v>405109891.19999999</v>
      </c>
      <c r="H16" s="100" t="s">
        <v>557</v>
      </c>
      <c r="I16" s="156">
        <f>Normalized_FCF!C75-Normalized_FCF!C76</f>
        <v>0</v>
      </c>
    </row>
    <row r="17" spans="1:19" ht="13.35" customHeight="1">
      <c r="B17" s="150" t="s">
        <v>128</v>
      </c>
      <c r="C17" s="160">
        <f>Scenarios!C69</f>
        <v>10</v>
      </c>
      <c r="E17" s="100" t="s">
        <v>551</v>
      </c>
      <c r="F17" s="156">
        <f>Normalized_FCF!C32</f>
        <v>0.91</v>
      </c>
      <c r="H17" s="100" t="s">
        <v>558</v>
      </c>
      <c r="I17" s="333">
        <f>Normalized_FCF!C11+Normalized_FCF!C12</f>
        <v>-1337038</v>
      </c>
    </row>
    <row r="18" spans="1:19" ht="13.35" customHeight="1">
      <c r="B18" s="151" t="s">
        <v>103</v>
      </c>
      <c r="C18" s="138">
        <f>(I52-C7+C8+C9)*Exchange_Rate/Common_Shares*scaling_factor</f>
        <v>193.21293660707488</v>
      </c>
      <c r="D18" t="str">
        <f>Market_currency</f>
        <v>HKD</v>
      </c>
      <c r="E18" s="100" t="s">
        <v>552</v>
      </c>
      <c r="F18" s="333">
        <f>Normalized_FCF!C7</f>
        <v>-10729203</v>
      </c>
      <c r="H18" s="100" t="s">
        <v>555</v>
      </c>
      <c r="I18" s="156">
        <f>Normalized_FCF!C41</f>
        <v>0.25</v>
      </c>
    </row>
    <row r="19" spans="1:19">
      <c r="I19" s="333"/>
    </row>
    <row r="20" spans="1:19" ht="13.15">
      <c r="A20" s="128" t="s">
        <v>560</v>
      </c>
      <c r="B20" s="128" t="s">
        <v>104</v>
      </c>
      <c r="C20" s="128" t="s">
        <v>550</v>
      </c>
      <c r="D20" s="128" t="s">
        <v>551</v>
      </c>
      <c r="E20" s="128" t="s">
        <v>552</v>
      </c>
      <c r="F20" s="128" t="s">
        <v>105</v>
      </c>
      <c r="G20" s="128" t="s">
        <v>114</v>
      </c>
      <c r="H20" s="128" t="s">
        <v>106</v>
      </c>
      <c r="I20" s="129" t="s">
        <v>107</v>
      </c>
    </row>
    <row r="21" spans="1:19">
      <c r="A21" s="370" t="str">
        <f t="shared" ref="A21:A50" si="0">IF($C$17&lt;B21,"",IF(B21&gt;=$H$10,"II","I"))</f>
        <v>I</v>
      </c>
      <c r="B21" s="122">
        <v>1</v>
      </c>
      <c r="C21" s="123">
        <f>F16*(1+G21)</f>
        <v>496985275.84326351</v>
      </c>
      <c r="D21" s="366">
        <f>$F$17</f>
        <v>0.91</v>
      </c>
      <c r="E21" s="123">
        <f>F18*(1+G21)</f>
        <v>-13162492.519593583</v>
      </c>
      <c r="F21" s="123">
        <f>(C21*(1-(D21+$I$16))+E21+$I$17)*(1-$I$18)</f>
        <v>22671858.229725089</v>
      </c>
      <c r="G21" s="366">
        <f t="shared" ref="G21:G50" si="1">IF(A21="",0,IF(A21="I",$C$16,$H$12))</f>
        <v>0.2267912648864582</v>
      </c>
      <c r="H21" s="124">
        <f t="shared" ref="H21:H50" si="2">IF($C$17&lt;B21,0,1/(1+Equity_Cost)^B21)</f>
        <v>0.93023255813953487</v>
      </c>
      <c r="I21" s="125">
        <f t="shared" ref="I21:I51" si="3">F21*H21</f>
        <v>21090100.678814035</v>
      </c>
    </row>
    <row r="22" spans="1:19">
      <c r="A22" s="370" t="str">
        <f t="shared" si="0"/>
        <v>I</v>
      </c>
      <c r="B22" s="122">
        <v>2</v>
      </c>
      <c r="C22" s="123">
        <f>IF(A22="",0,C21*(1+G22))</f>
        <v>609697195.18170261</v>
      </c>
      <c r="D22" s="366">
        <f t="shared" ref="D22:D50" si="4">IF($C$17&lt;B22,0,IF(B22&gt;=$H$10,$H$11,$F$17))</f>
        <v>0.91</v>
      </c>
      <c r="E22" s="123">
        <f>IF(A22="",0,E21*(1+G22))</f>
        <v>-16147630.847170757</v>
      </c>
      <c r="F22" s="123">
        <f>IF(A22="", 0,(C22*(1-(D22+$I$16))+E22+$I$17)*(1-$I$18))</f>
        <v>28041059.039386846</v>
      </c>
      <c r="G22" s="366">
        <f t="shared" si="1"/>
        <v>0.2267912648864582</v>
      </c>
      <c r="H22" s="124">
        <f t="shared" si="2"/>
        <v>0.86533261222282321</v>
      </c>
      <c r="I22" s="125">
        <f t="shared" si="3"/>
        <v>24264842.868047029</v>
      </c>
    </row>
    <row r="23" spans="1:19">
      <c r="A23" s="370" t="str">
        <f t="shared" si="0"/>
        <v>I</v>
      </c>
      <c r="B23" s="122">
        <v>3</v>
      </c>
      <c r="C23" s="123">
        <f t="shared" ref="C23:C50" si="5">IF(A23="",0,C22*(1+G23))</f>
        <v>747971193.27468681</v>
      </c>
      <c r="D23" s="366">
        <f t="shared" si="4"/>
        <v>0.91</v>
      </c>
      <c r="E23" s="123">
        <f t="shared" ref="E23:E50" si="6">IF(A23="",0,E22*(1+G23))</f>
        <v>-19809772.471920203</v>
      </c>
      <c r="F23" s="123">
        <f t="shared" ref="F23:F50" si="7">IF(A23="", 0,(C23*(1-(D23+$I$16))+E23+$I$17)*(1-$I$18))</f>
        <v>34627947.692101188</v>
      </c>
      <c r="G23" s="366">
        <f t="shared" si="1"/>
        <v>0.2267912648864582</v>
      </c>
      <c r="H23" s="124">
        <f t="shared" si="2"/>
        <v>0.80496056950960304</v>
      </c>
      <c r="I23" s="125">
        <f t="shared" si="3"/>
        <v>27874132.495182518</v>
      </c>
      <c r="J23" s="333"/>
      <c r="K23" s="333"/>
      <c r="L23" s="333"/>
      <c r="M23" s="333"/>
      <c r="N23" s="333"/>
      <c r="O23" s="333"/>
      <c r="P23" s="333"/>
      <c r="Q23" s="333"/>
      <c r="R23" s="333"/>
      <c r="S23" s="333"/>
    </row>
    <row r="24" spans="1:19">
      <c r="A24" s="370" t="str">
        <f t="shared" si="0"/>
        <v>I</v>
      </c>
      <c r="B24" s="122">
        <v>4</v>
      </c>
      <c r="C24" s="123">
        <f t="shared" si="5"/>
        <v>917604526.29608655</v>
      </c>
      <c r="D24" s="366">
        <f t="shared" si="4"/>
        <v>0.91</v>
      </c>
      <c r="E24" s="123">
        <f t="shared" si="6"/>
        <v>-24302455.827939928</v>
      </c>
      <c r="F24" s="123">
        <f t="shared" si="7"/>
        <v>42708685.154030874</v>
      </c>
      <c r="G24" s="366">
        <f t="shared" si="1"/>
        <v>0.2267912648864582</v>
      </c>
      <c r="H24" s="124">
        <f t="shared" si="2"/>
        <v>0.7488005297763749</v>
      </c>
      <c r="I24" s="125">
        <f t="shared" si="3"/>
        <v>31980286.069390718</v>
      </c>
      <c r="J24" s="333"/>
      <c r="K24" s="333"/>
      <c r="L24" s="333"/>
      <c r="M24" s="333"/>
      <c r="N24" s="333"/>
      <c r="O24" s="333"/>
      <c r="P24" s="333"/>
      <c r="Q24" s="333"/>
      <c r="R24" s="333"/>
      <c r="S24" s="333"/>
    </row>
    <row r="25" spans="1:19">
      <c r="A25" s="370" t="str">
        <f t="shared" si="0"/>
        <v>II</v>
      </c>
      <c r="B25" s="122">
        <v>5</v>
      </c>
      <c r="C25" s="123">
        <f t="shared" si="5"/>
        <v>1021656871.8882009</v>
      </c>
      <c r="D25" s="366">
        <f t="shared" si="4"/>
        <v>0.85</v>
      </c>
      <c r="E25" s="123">
        <f t="shared" si="6"/>
        <v>-27058248.176472813</v>
      </c>
      <c r="F25" s="123">
        <f t="shared" si="7"/>
        <v>93639933.455068007</v>
      </c>
      <c r="G25" s="366">
        <f t="shared" si="1"/>
        <v>0.1133956324432291</v>
      </c>
      <c r="H25" s="124">
        <f t="shared" si="2"/>
        <v>0.69655863235011617</v>
      </c>
      <c r="I25" s="125">
        <f t="shared" si="3"/>
        <v>65225703.980818056</v>
      </c>
      <c r="J25" s="333"/>
      <c r="K25" s="333"/>
      <c r="L25" s="333"/>
      <c r="M25" s="333"/>
      <c r="N25" s="333"/>
      <c r="O25" s="333"/>
      <c r="P25" s="333"/>
      <c r="Q25" s="333"/>
      <c r="R25" s="333"/>
      <c r="S25" s="333"/>
    </row>
    <row r="26" spans="1:19">
      <c r="A26" s="370" t="str">
        <f t="shared" si="0"/>
        <v>II</v>
      </c>
      <c r="B26" s="122">
        <v>6</v>
      </c>
      <c r="C26" s="123">
        <f t="shared" si="5"/>
        <v>1137508299.0159345</v>
      </c>
      <c r="D26" s="366">
        <f t="shared" si="4"/>
        <v>0.85</v>
      </c>
      <c r="E26" s="123">
        <f t="shared" si="6"/>
        <v>-30126535.341249797</v>
      </c>
      <c r="F26" s="123">
        <f t="shared" si="7"/>
        <v>104372003.6333553</v>
      </c>
      <c r="G26" s="366">
        <f t="shared" si="1"/>
        <v>0.1133956324432291</v>
      </c>
      <c r="H26" s="124">
        <f t="shared" si="2"/>
        <v>0.64796151846522443</v>
      </c>
      <c r="I26" s="125">
        <f t="shared" si="3"/>
        <v>67629041.959526822</v>
      </c>
    </row>
    <row r="27" spans="1:19">
      <c r="A27" s="370" t="str">
        <f t="shared" si="0"/>
        <v>II</v>
      </c>
      <c r="B27" s="122">
        <v>7</v>
      </c>
      <c r="C27" s="123">
        <f t="shared" si="5"/>
        <v>1266496771.9922681</v>
      </c>
      <c r="D27" s="366">
        <f t="shared" si="4"/>
        <v>0.85</v>
      </c>
      <c r="E27" s="123">
        <f t="shared" si="6"/>
        <v>-33542752.869594108</v>
      </c>
      <c r="F27" s="123">
        <f t="shared" si="7"/>
        <v>116321043.69693461</v>
      </c>
      <c r="G27" s="366">
        <f t="shared" si="1"/>
        <v>0.1133956324432291</v>
      </c>
      <c r="H27" s="124">
        <f t="shared" si="2"/>
        <v>0.60275490089788319</v>
      </c>
      <c r="I27" s="125">
        <f t="shared" si="3"/>
        <v>70113079.165884167</v>
      </c>
    </row>
    <row r="28" spans="1:19">
      <c r="A28" s="370" t="str">
        <f t="shared" si="0"/>
        <v>II</v>
      </c>
      <c r="B28" s="122">
        <v>8</v>
      </c>
      <c r="C28" s="123">
        <f t="shared" si="5"/>
        <v>1410111974.4396393</v>
      </c>
      <c r="D28" s="366">
        <f t="shared" si="4"/>
        <v>0.85</v>
      </c>
      <c r="E28" s="123">
        <f t="shared" si="6"/>
        <v>-37346354.545128666</v>
      </c>
      <c r="F28" s="123">
        <f t="shared" si="7"/>
        <v>129625052.71561293</v>
      </c>
      <c r="G28" s="366">
        <f t="shared" si="1"/>
        <v>0.1133956324432291</v>
      </c>
      <c r="H28" s="124">
        <f t="shared" si="2"/>
        <v>0.56070223339337966</v>
      </c>
      <c r="I28" s="125">
        <f t="shared" si="3"/>
        <v>72681056.561378747</v>
      </c>
    </row>
    <row r="29" spans="1:19">
      <c r="A29" s="370" t="str">
        <f t="shared" si="0"/>
        <v>II</v>
      </c>
      <c r="B29" s="122">
        <v>9</v>
      </c>
      <c r="C29" s="123">
        <f t="shared" si="5"/>
        <v>1570012513.5969927</v>
      </c>
      <c r="D29" s="366">
        <f t="shared" si="4"/>
        <v>0.85</v>
      </c>
      <c r="E29" s="123">
        <f t="shared" si="6"/>
        <v>-41581268.038222589</v>
      </c>
      <c r="F29" s="123">
        <f t="shared" si="7"/>
        <v>144437678.25099477</v>
      </c>
      <c r="G29" s="366">
        <f t="shared" si="1"/>
        <v>0.1133956324432291</v>
      </c>
      <c r="H29" s="124">
        <f t="shared" si="2"/>
        <v>0.52158347292407414</v>
      </c>
      <c r="I29" s="125">
        <f t="shared" si="3"/>
        <v>75336305.843243867</v>
      </c>
    </row>
    <row r="30" spans="1:19">
      <c r="A30" s="370" t="str">
        <f t="shared" si="0"/>
        <v>II</v>
      </c>
      <c r="B30" s="122">
        <v>10</v>
      </c>
      <c r="C30" s="123">
        <f t="shared" si="5"/>
        <v>1748045075.5201075</v>
      </c>
      <c r="D30" s="366">
        <f t="shared" si="4"/>
        <v>0.85</v>
      </c>
      <c r="E30" s="123">
        <f t="shared" si="6"/>
        <v>-46296402.225208268</v>
      </c>
      <c r="F30" s="123">
        <f t="shared" si="7"/>
        <v>160929990.82710591</v>
      </c>
      <c r="G30" s="366">
        <f t="shared" si="1"/>
        <v>0.1133956324432291</v>
      </c>
      <c r="H30" s="124">
        <f t="shared" si="2"/>
        <v>0.48519392830146441</v>
      </c>
      <c r="I30" s="125">
        <f t="shared" si="3"/>
        <v>78082254.430922151</v>
      </c>
    </row>
    <row r="31" spans="1:19">
      <c r="A31" s="370" t="str">
        <f t="shared" si="0"/>
        <v/>
      </c>
      <c r="B31" s="122">
        <v>11</v>
      </c>
      <c r="C31" s="123">
        <f t="shared" si="5"/>
        <v>0</v>
      </c>
      <c r="D31" s="366">
        <f t="shared" si="4"/>
        <v>0</v>
      </c>
      <c r="E31" s="123">
        <f t="shared" si="6"/>
        <v>0</v>
      </c>
      <c r="F31" s="123">
        <f t="shared" si="7"/>
        <v>0</v>
      </c>
      <c r="G31" s="366">
        <f t="shared" si="1"/>
        <v>0</v>
      </c>
      <c r="H31" s="124">
        <f t="shared" si="2"/>
        <v>0</v>
      </c>
      <c r="I31" s="125">
        <f t="shared" si="3"/>
        <v>0</v>
      </c>
    </row>
    <row r="32" spans="1:19">
      <c r="A32" s="370" t="str">
        <f t="shared" si="0"/>
        <v/>
      </c>
      <c r="B32" s="122">
        <v>12</v>
      </c>
      <c r="C32" s="123">
        <f t="shared" si="5"/>
        <v>0</v>
      </c>
      <c r="D32" s="366">
        <f t="shared" si="4"/>
        <v>0</v>
      </c>
      <c r="E32" s="123">
        <f t="shared" si="6"/>
        <v>0</v>
      </c>
      <c r="F32" s="123">
        <f t="shared" si="7"/>
        <v>0</v>
      </c>
      <c r="G32" s="366">
        <f t="shared" si="1"/>
        <v>0</v>
      </c>
      <c r="H32" s="124">
        <f t="shared" si="2"/>
        <v>0</v>
      </c>
      <c r="I32" s="125">
        <f t="shared" si="3"/>
        <v>0</v>
      </c>
    </row>
    <row r="33" spans="1:19">
      <c r="A33" s="370" t="str">
        <f t="shared" si="0"/>
        <v/>
      </c>
      <c r="B33" s="122">
        <v>13</v>
      </c>
      <c r="C33" s="123">
        <f t="shared" si="5"/>
        <v>0</v>
      </c>
      <c r="D33" s="366">
        <f t="shared" si="4"/>
        <v>0</v>
      </c>
      <c r="E33" s="123">
        <f t="shared" si="6"/>
        <v>0</v>
      </c>
      <c r="F33" s="123">
        <f t="shared" si="7"/>
        <v>0</v>
      </c>
      <c r="G33" s="366">
        <f t="shared" si="1"/>
        <v>0</v>
      </c>
      <c r="H33" s="124">
        <f t="shared" si="2"/>
        <v>0</v>
      </c>
      <c r="I33" s="125">
        <f t="shared" si="3"/>
        <v>0</v>
      </c>
      <c r="J33" s="333"/>
      <c r="K33" s="333"/>
      <c r="L33" s="333"/>
      <c r="M33" s="333"/>
      <c r="N33" s="333"/>
      <c r="O33" s="333"/>
      <c r="P33" s="333"/>
      <c r="Q33" s="333"/>
      <c r="R33" s="333"/>
      <c r="S33" s="333"/>
    </row>
    <row r="34" spans="1:19">
      <c r="A34" s="370" t="str">
        <f t="shared" si="0"/>
        <v/>
      </c>
      <c r="B34" s="122">
        <v>14</v>
      </c>
      <c r="C34" s="123">
        <f t="shared" si="5"/>
        <v>0</v>
      </c>
      <c r="D34" s="366">
        <f t="shared" si="4"/>
        <v>0</v>
      </c>
      <c r="E34" s="123">
        <f t="shared" si="6"/>
        <v>0</v>
      </c>
      <c r="F34" s="123">
        <f t="shared" si="7"/>
        <v>0</v>
      </c>
      <c r="G34" s="366">
        <f t="shared" si="1"/>
        <v>0</v>
      </c>
      <c r="H34" s="124">
        <f t="shared" si="2"/>
        <v>0</v>
      </c>
      <c r="I34" s="125">
        <f t="shared" si="3"/>
        <v>0</v>
      </c>
      <c r="J34" s="333"/>
      <c r="K34" s="333"/>
      <c r="L34" s="333"/>
      <c r="M34" s="333"/>
      <c r="N34" s="333"/>
      <c r="O34" s="333"/>
      <c r="P34" s="333"/>
      <c r="Q34" s="333"/>
      <c r="R34" s="333"/>
      <c r="S34" s="333"/>
    </row>
    <row r="35" spans="1:19">
      <c r="A35" s="370" t="str">
        <f t="shared" si="0"/>
        <v/>
      </c>
      <c r="B35" s="122">
        <v>15</v>
      </c>
      <c r="C35" s="123">
        <f t="shared" si="5"/>
        <v>0</v>
      </c>
      <c r="D35" s="366">
        <f t="shared" si="4"/>
        <v>0</v>
      </c>
      <c r="E35" s="123">
        <f t="shared" si="6"/>
        <v>0</v>
      </c>
      <c r="F35" s="123">
        <f t="shared" si="7"/>
        <v>0</v>
      </c>
      <c r="G35" s="366">
        <f t="shared" si="1"/>
        <v>0</v>
      </c>
      <c r="H35" s="124">
        <f t="shared" si="2"/>
        <v>0</v>
      </c>
      <c r="I35" s="125">
        <f t="shared" si="3"/>
        <v>0</v>
      </c>
      <c r="J35" s="333"/>
      <c r="K35" s="333"/>
      <c r="L35" s="333"/>
      <c r="M35" s="333"/>
      <c r="N35" s="333"/>
      <c r="O35" s="333"/>
      <c r="P35" s="333"/>
      <c r="Q35" s="333"/>
      <c r="R35" s="333"/>
      <c r="S35" s="333"/>
    </row>
    <row r="36" spans="1:19">
      <c r="A36" s="370" t="str">
        <f t="shared" si="0"/>
        <v/>
      </c>
      <c r="B36" s="122">
        <v>16</v>
      </c>
      <c r="C36" s="123">
        <f t="shared" si="5"/>
        <v>0</v>
      </c>
      <c r="D36" s="366">
        <f t="shared" si="4"/>
        <v>0</v>
      </c>
      <c r="E36" s="123">
        <f t="shared" si="6"/>
        <v>0</v>
      </c>
      <c r="F36" s="123">
        <f t="shared" si="7"/>
        <v>0</v>
      </c>
      <c r="G36" s="366">
        <f t="shared" si="1"/>
        <v>0</v>
      </c>
      <c r="H36" s="124">
        <f t="shared" si="2"/>
        <v>0</v>
      </c>
      <c r="I36" s="125">
        <f t="shared" si="3"/>
        <v>0</v>
      </c>
    </row>
    <row r="37" spans="1:19">
      <c r="A37" s="370" t="str">
        <f t="shared" si="0"/>
        <v/>
      </c>
      <c r="B37" s="122">
        <v>17</v>
      </c>
      <c r="C37" s="123">
        <f t="shared" si="5"/>
        <v>0</v>
      </c>
      <c r="D37" s="366">
        <f t="shared" si="4"/>
        <v>0</v>
      </c>
      <c r="E37" s="123">
        <f t="shared" si="6"/>
        <v>0</v>
      </c>
      <c r="F37" s="123">
        <f t="shared" si="7"/>
        <v>0</v>
      </c>
      <c r="G37" s="366">
        <f t="shared" si="1"/>
        <v>0</v>
      </c>
      <c r="H37" s="124">
        <f t="shared" si="2"/>
        <v>0</v>
      </c>
      <c r="I37" s="125">
        <f t="shared" si="3"/>
        <v>0</v>
      </c>
    </row>
    <row r="38" spans="1:19">
      <c r="A38" s="370" t="str">
        <f t="shared" si="0"/>
        <v/>
      </c>
      <c r="B38" s="122">
        <v>18</v>
      </c>
      <c r="C38" s="123">
        <f t="shared" si="5"/>
        <v>0</v>
      </c>
      <c r="D38" s="366">
        <f t="shared" si="4"/>
        <v>0</v>
      </c>
      <c r="E38" s="123">
        <f t="shared" si="6"/>
        <v>0</v>
      </c>
      <c r="F38" s="123">
        <f t="shared" si="7"/>
        <v>0</v>
      </c>
      <c r="G38" s="366">
        <f t="shared" si="1"/>
        <v>0</v>
      </c>
      <c r="H38" s="124">
        <f t="shared" si="2"/>
        <v>0</v>
      </c>
      <c r="I38" s="125">
        <f t="shared" si="3"/>
        <v>0</v>
      </c>
    </row>
    <row r="39" spans="1:19">
      <c r="A39" s="370" t="str">
        <f t="shared" si="0"/>
        <v/>
      </c>
      <c r="B39" s="122">
        <v>19</v>
      </c>
      <c r="C39" s="123">
        <f t="shared" si="5"/>
        <v>0</v>
      </c>
      <c r="D39" s="366">
        <f t="shared" si="4"/>
        <v>0</v>
      </c>
      <c r="E39" s="123">
        <f t="shared" si="6"/>
        <v>0</v>
      </c>
      <c r="F39" s="123">
        <f t="shared" si="7"/>
        <v>0</v>
      </c>
      <c r="G39" s="366">
        <f t="shared" si="1"/>
        <v>0</v>
      </c>
      <c r="H39" s="124">
        <f t="shared" si="2"/>
        <v>0</v>
      </c>
      <c r="I39" s="125">
        <f t="shared" si="3"/>
        <v>0</v>
      </c>
    </row>
    <row r="40" spans="1:19">
      <c r="A40" s="370" t="str">
        <f t="shared" si="0"/>
        <v/>
      </c>
      <c r="B40" s="122">
        <v>20</v>
      </c>
      <c r="C40" s="123">
        <f t="shared" si="5"/>
        <v>0</v>
      </c>
      <c r="D40" s="366">
        <f t="shared" si="4"/>
        <v>0</v>
      </c>
      <c r="E40" s="123">
        <f t="shared" si="6"/>
        <v>0</v>
      </c>
      <c r="F40" s="123">
        <f t="shared" si="7"/>
        <v>0</v>
      </c>
      <c r="G40" s="366">
        <f t="shared" si="1"/>
        <v>0</v>
      </c>
      <c r="H40" s="124">
        <f t="shared" si="2"/>
        <v>0</v>
      </c>
      <c r="I40" s="125">
        <f t="shared" si="3"/>
        <v>0</v>
      </c>
    </row>
    <row r="41" spans="1:19">
      <c r="A41" s="370" t="str">
        <f t="shared" si="0"/>
        <v/>
      </c>
      <c r="B41" s="122">
        <v>21</v>
      </c>
      <c r="C41" s="123">
        <f t="shared" si="5"/>
        <v>0</v>
      </c>
      <c r="D41" s="366">
        <f t="shared" si="4"/>
        <v>0</v>
      </c>
      <c r="E41" s="123">
        <f t="shared" si="6"/>
        <v>0</v>
      </c>
      <c r="F41" s="123">
        <f t="shared" si="7"/>
        <v>0</v>
      </c>
      <c r="G41" s="366">
        <f t="shared" si="1"/>
        <v>0</v>
      </c>
      <c r="H41" s="124">
        <f t="shared" si="2"/>
        <v>0</v>
      </c>
      <c r="I41" s="125">
        <f t="shared" si="3"/>
        <v>0</v>
      </c>
    </row>
    <row r="42" spans="1:19">
      <c r="A42" s="370" t="str">
        <f t="shared" si="0"/>
        <v/>
      </c>
      <c r="B42" s="122">
        <v>22</v>
      </c>
      <c r="C42" s="123">
        <f t="shared" si="5"/>
        <v>0</v>
      </c>
      <c r="D42" s="366">
        <f t="shared" si="4"/>
        <v>0</v>
      </c>
      <c r="E42" s="123">
        <f t="shared" si="6"/>
        <v>0</v>
      </c>
      <c r="F42" s="123">
        <f t="shared" si="7"/>
        <v>0</v>
      </c>
      <c r="G42" s="366">
        <f t="shared" si="1"/>
        <v>0</v>
      </c>
      <c r="H42" s="124">
        <f t="shared" si="2"/>
        <v>0</v>
      </c>
      <c r="I42" s="125">
        <f t="shared" si="3"/>
        <v>0</v>
      </c>
    </row>
    <row r="43" spans="1:19">
      <c r="A43" s="370" t="str">
        <f t="shared" si="0"/>
        <v/>
      </c>
      <c r="B43" s="122">
        <v>23</v>
      </c>
      <c r="C43" s="123">
        <f t="shared" si="5"/>
        <v>0</v>
      </c>
      <c r="D43" s="366">
        <f t="shared" si="4"/>
        <v>0</v>
      </c>
      <c r="E43" s="123">
        <f t="shared" si="6"/>
        <v>0</v>
      </c>
      <c r="F43" s="123">
        <f t="shared" si="7"/>
        <v>0</v>
      </c>
      <c r="G43" s="366">
        <f t="shared" si="1"/>
        <v>0</v>
      </c>
      <c r="H43" s="124">
        <f t="shared" si="2"/>
        <v>0</v>
      </c>
      <c r="I43" s="125">
        <f t="shared" si="3"/>
        <v>0</v>
      </c>
    </row>
    <row r="44" spans="1:19">
      <c r="A44" s="370" t="str">
        <f t="shared" si="0"/>
        <v/>
      </c>
      <c r="B44" s="122">
        <v>24</v>
      </c>
      <c r="C44" s="123">
        <f t="shared" si="5"/>
        <v>0</v>
      </c>
      <c r="D44" s="366">
        <f t="shared" si="4"/>
        <v>0</v>
      </c>
      <c r="E44" s="123">
        <f t="shared" si="6"/>
        <v>0</v>
      </c>
      <c r="F44" s="123">
        <f t="shared" si="7"/>
        <v>0</v>
      </c>
      <c r="G44" s="366">
        <f t="shared" si="1"/>
        <v>0</v>
      </c>
      <c r="H44" s="124">
        <f t="shared" si="2"/>
        <v>0</v>
      </c>
      <c r="I44" s="125">
        <f t="shared" si="3"/>
        <v>0</v>
      </c>
    </row>
    <row r="45" spans="1:19">
      <c r="A45" s="370" t="str">
        <f t="shared" si="0"/>
        <v/>
      </c>
      <c r="B45" s="122">
        <v>25</v>
      </c>
      <c r="C45" s="123">
        <f t="shared" si="5"/>
        <v>0</v>
      </c>
      <c r="D45" s="366">
        <f t="shared" si="4"/>
        <v>0</v>
      </c>
      <c r="E45" s="123">
        <f t="shared" si="6"/>
        <v>0</v>
      </c>
      <c r="F45" s="123">
        <f t="shared" si="7"/>
        <v>0</v>
      </c>
      <c r="G45" s="366">
        <f t="shared" si="1"/>
        <v>0</v>
      </c>
      <c r="H45" s="124">
        <f t="shared" si="2"/>
        <v>0</v>
      </c>
      <c r="I45" s="125">
        <f t="shared" si="3"/>
        <v>0</v>
      </c>
    </row>
    <row r="46" spans="1:19">
      <c r="A46" s="370" t="str">
        <f t="shared" si="0"/>
        <v/>
      </c>
      <c r="B46" s="122">
        <v>26</v>
      </c>
      <c r="C46" s="123">
        <f t="shared" si="5"/>
        <v>0</v>
      </c>
      <c r="D46" s="366">
        <f t="shared" si="4"/>
        <v>0</v>
      </c>
      <c r="E46" s="123">
        <f t="shared" si="6"/>
        <v>0</v>
      </c>
      <c r="F46" s="123">
        <f t="shared" si="7"/>
        <v>0</v>
      </c>
      <c r="G46" s="366">
        <f t="shared" si="1"/>
        <v>0</v>
      </c>
      <c r="H46" s="124">
        <f t="shared" si="2"/>
        <v>0</v>
      </c>
      <c r="I46" s="125">
        <f t="shared" si="3"/>
        <v>0</v>
      </c>
    </row>
    <row r="47" spans="1:19">
      <c r="A47" s="370" t="str">
        <f t="shared" si="0"/>
        <v/>
      </c>
      <c r="B47" s="122">
        <v>27</v>
      </c>
      <c r="C47" s="123">
        <f t="shared" si="5"/>
        <v>0</v>
      </c>
      <c r="D47" s="366">
        <f t="shared" si="4"/>
        <v>0</v>
      </c>
      <c r="E47" s="123">
        <f t="shared" si="6"/>
        <v>0</v>
      </c>
      <c r="F47" s="123">
        <f t="shared" si="7"/>
        <v>0</v>
      </c>
      <c r="G47" s="366">
        <f t="shared" si="1"/>
        <v>0</v>
      </c>
      <c r="H47" s="124">
        <f t="shared" si="2"/>
        <v>0</v>
      </c>
      <c r="I47" s="125">
        <f t="shared" si="3"/>
        <v>0</v>
      </c>
      <c r="J47" s="333"/>
      <c r="K47" s="333"/>
      <c r="L47" s="333"/>
      <c r="M47" s="333"/>
      <c r="N47" s="333"/>
      <c r="O47" s="333"/>
      <c r="P47" s="333"/>
      <c r="Q47" s="333"/>
      <c r="R47" s="333"/>
      <c r="S47" s="333"/>
    </row>
    <row r="48" spans="1:19">
      <c r="A48" s="370" t="str">
        <f t="shared" si="0"/>
        <v/>
      </c>
      <c r="B48" s="122">
        <v>28</v>
      </c>
      <c r="C48" s="123">
        <f t="shared" si="5"/>
        <v>0</v>
      </c>
      <c r="D48" s="366">
        <f t="shared" si="4"/>
        <v>0</v>
      </c>
      <c r="E48" s="123">
        <f t="shared" si="6"/>
        <v>0</v>
      </c>
      <c r="F48" s="123">
        <f t="shared" si="7"/>
        <v>0</v>
      </c>
      <c r="G48" s="366">
        <f t="shared" si="1"/>
        <v>0</v>
      </c>
      <c r="H48" s="124">
        <f t="shared" si="2"/>
        <v>0</v>
      </c>
      <c r="I48" s="125">
        <f t="shared" si="3"/>
        <v>0</v>
      </c>
      <c r="J48" s="333"/>
      <c r="K48" s="333"/>
      <c r="L48" s="333"/>
      <c r="M48" s="333"/>
      <c r="N48" s="333"/>
      <c r="O48" s="333"/>
      <c r="P48" s="333"/>
      <c r="Q48" s="333"/>
      <c r="R48" s="333"/>
      <c r="S48" s="333"/>
    </row>
    <row r="49" spans="1:19">
      <c r="A49" s="370" t="str">
        <f t="shared" si="0"/>
        <v/>
      </c>
      <c r="B49" s="122">
        <v>29</v>
      </c>
      <c r="C49" s="123">
        <f t="shared" si="5"/>
        <v>0</v>
      </c>
      <c r="D49" s="366">
        <f t="shared" si="4"/>
        <v>0</v>
      </c>
      <c r="E49" s="123">
        <f t="shared" si="6"/>
        <v>0</v>
      </c>
      <c r="F49" s="123">
        <f t="shared" si="7"/>
        <v>0</v>
      </c>
      <c r="G49" s="366">
        <f t="shared" si="1"/>
        <v>0</v>
      </c>
      <c r="H49" s="124">
        <f t="shared" si="2"/>
        <v>0</v>
      </c>
      <c r="I49" s="125">
        <f t="shared" si="3"/>
        <v>0</v>
      </c>
      <c r="J49" s="333"/>
      <c r="K49" s="333"/>
      <c r="L49" s="333"/>
      <c r="M49" s="333"/>
      <c r="N49" s="333"/>
      <c r="O49" s="333"/>
      <c r="P49" s="333"/>
      <c r="Q49" s="333"/>
      <c r="R49" s="333"/>
      <c r="S49" s="333"/>
    </row>
    <row r="50" spans="1:19">
      <c r="A50" s="370" t="str">
        <f t="shared" si="0"/>
        <v/>
      </c>
      <c r="B50" s="122">
        <v>30</v>
      </c>
      <c r="C50" s="123">
        <f t="shared" si="5"/>
        <v>0</v>
      </c>
      <c r="D50" s="366">
        <f t="shared" si="4"/>
        <v>0</v>
      </c>
      <c r="E50" s="123">
        <f t="shared" si="6"/>
        <v>0</v>
      </c>
      <c r="F50" s="123">
        <f t="shared" si="7"/>
        <v>0</v>
      </c>
      <c r="G50" s="366">
        <f t="shared" si="1"/>
        <v>0</v>
      </c>
      <c r="H50" s="124">
        <f t="shared" si="2"/>
        <v>0</v>
      </c>
      <c r="I50" s="125">
        <f t="shared" si="3"/>
        <v>0</v>
      </c>
      <c r="J50" s="333"/>
      <c r="K50" s="333"/>
      <c r="L50" s="333"/>
      <c r="M50" s="333"/>
      <c r="N50" s="333"/>
      <c r="O50" s="333"/>
      <c r="P50" s="333"/>
      <c r="Q50" s="333"/>
      <c r="R50" s="333"/>
      <c r="S50" s="333"/>
    </row>
    <row r="51" spans="1:19">
      <c r="B51" s="126" t="s">
        <v>126</v>
      </c>
      <c r="C51" s="367">
        <f>VLOOKUP(C17,B21:C50,2,FALSE)*(1+Terminal_Growth)</f>
        <v>1748045075.5201075</v>
      </c>
      <c r="D51" s="369">
        <f>H11</f>
        <v>0.85</v>
      </c>
      <c r="E51" s="367">
        <f>VLOOKUP(C17,B21:E50,4,FALSE)*(1+Terminal_Growth)</f>
        <v>-46296402.225208268</v>
      </c>
      <c r="F51" s="123">
        <f>(C51*(1-(D51+$I$16))+E51+$I$17)*(1-$I$18)/Equity_Cost</f>
        <v>2145733211.0280788</v>
      </c>
      <c r="G51" s="369">
        <f>Terminal_Growth</f>
        <v>0</v>
      </c>
      <c r="H51" s="124">
        <f>1/(1+Equity_Cost)^C17</f>
        <v>0.48519392830146441</v>
      </c>
      <c r="I51" s="125">
        <f t="shared" si="3"/>
        <v>1041096725.7456287</v>
      </c>
    </row>
    <row r="52" spans="1:19">
      <c r="F52" s="114"/>
      <c r="H52" s="127" t="s">
        <v>97</v>
      </c>
      <c r="I52" s="137">
        <f>SUM(I21:I51)</f>
        <v>1575373529.7988367</v>
      </c>
    </row>
    <row r="53" spans="1:19">
      <c r="C53" s="114"/>
    </row>
    <row r="54" spans="1:19" ht="13.15">
      <c r="B54" s="119" t="s">
        <v>124</v>
      </c>
      <c r="C54" s="136"/>
      <c r="D54" s="136"/>
      <c r="E54" s="117"/>
      <c r="F54" s="117"/>
      <c r="G54" s="117"/>
      <c r="H54" s="117"/>
      <c r="I54" s="117"/>
    </row>
    <row r="55" spans="1:19" ht="13.15">
      <c r="A55" s="133">
        <f>I52</f>
        <v>1575373529.7988367</v>
      </c>
      <c r="B55" s="131">
        <f>C78</f>
        <v>0.1</v>
      </c>
      <c r="C55" s="131">
        <f>C77</f>
        <v>0.16</v>
      </c>
      <c r="D55" s="131">
        <f>C76</f>
        <v>0.22</v>
      </c>
      <c r="E55" s="131">
        <f>C75</f>
        <v>0.28000000000000003</v>
      </c>
      <c r="F55" s="131">
        <f>C74</f>
        <v>0.34</v>
      </c>
      <c r="G55" s="131"/>
      <c r="H55" s="131"/>
      <c r="I55" s="131"/>
    </row>
    <row r="56" spans="1:19" ht="13.15">
      <c r="A56" s="141">
        <v>5</v>
      </c>
      <c r="B56" s="123">
        <f t="dataTable" ref="B56:F61" dt2D="1" dtr="1" r1="C16" r2="C17"/>
        <v>627273078.04769421</v>
      </c>
      <c r="C56" s="123">
        <v>753036401.68858671</v>
      </c>
      <c r="D56" s="123">
        <v>897517786.46091294</v>
      </c>
      <c r="E56" s="123">
        <v>1062707309.5218571</v>
      </c>
      <c r="F56" s="123">
        <v>1250729797.7362278</v>
      </c>
      <c r="G56" s="362"/>
      <c r="H56" s="362"/>
      <c r="I56" s="362"/>
    </row>
    <row r="57" spans="1:19" ht="13.15">
      <c r="A57" s="141">
        <v>10</v>
      </c>
      <c r="B57" s="123">
        <v>772277275.19728565</v>
      </c>
      <c r="C57" s="123">
        <v>1088191362.6383557</v>
      </c>
      <c r="D57" s="123">
        <v>1518046737.2508984</v>
      </c>
      <c r="E57" s="123">
        <v>2097440299.5225084</v>
      </c>
      <c r="F57" s="123">
        <v>2871373069.7991629</v>
      </c>
      <c r="G57" s="362"/>
      <c r="H57" s="362"/>
      <c r="I57" s="362"/>
    </row>
    <row r="58" spans="1:19" ht="13.15">
      <c r="A58" s="141">
        <v>15</v>
      </c>
      <c r="B58" s="123">
        <v>939444864.86067998</v>
      </c>
      <c r="C58" s="335">
        <v>1578798855.3017731</v>
      </c>
      <c r="D58" s="123">
        <v>2628802138.6030889</v>
      </c>
      <c r="E58" s="123">
        <v>4329444525.2871008</v>
      </c>
      <c r="F58" s="123">
        <v>7045940041.2313423</v>
      </c>
      <c r="G58" s="362"/>
      <c r="H58" s="362"/>
      <c r="I58" s="362"/>
      <c r="J58" s="333"/>
      <c r="K58" s="333"/>
      <c r="L58" s="333"/>
      <c r="M58" s="333"/>
      <c r="N58" s="333"/>
      <c r="O58" s="333"/>
      <c r="P58" s="333"/>
      <c r="Q58" s="333"/>
      <c r="R58" s="333"/>
      <c r="S58" s="333"/>
    </row>
    <row r="59" spans="1:19" ht="13.15">
      <c r="A59" s="142">
        <v>20</v>
      </c>
      <c r="B59" s="123">
        <v>1098935169.5458095</v>
      </c>
      <c r="C59" s="335">
        <v>2132197973.4158092</v>
      </c>
      <c r="D59" s="123">
        <v>4124655691.8272972</v>
      </c>
      <c r="E59" s="123">
        <v>7910853415.68116</v>
      </c>
      <c r="F59" s="123">
        <v>14991948928.75416</v>
      </c>
      <c r="G59" s="362"/>
      <c r="H59" s="362"/>
      <c r="I59" s="362"/>
      <c r="J59" s="333"/>
      <c r="K59" s="333"/>
      <c r="L59" s="333"/>
      <c r="M59" s="333"/>
      <c r="N59" s="333"/>
      <c r="O59" s="333"/>
      <c r="P59" s="333"/>
      <c r="Q59" s="333"/>
      <c r="R59" s="333"/>
      <c r="S59" s="333"/>
    </row>
    <row r="60" spans="1:19" ht="13.15">
      <c r="A60" s="142">
        <v>25</v>
      </c>
      <c r="B60" s="123">
        <v>1289290700.5173492</v>
      </c>
      <c r="C60" s="335">
        <v>2960458870.7841101</v>
      </c>
      <c r="D60" s="123">
        <v>6836537781.3985405</v>
      </c>
      <c r="E60" s="123">
        <v>15682589480.205647</v>
      </c>
      <c r="F60" s="123">
        <v>35486015526.689545</v>
      </c>
      <c r="G60" s="362"/>
      <c r="H60" s="362"/>
      <c r="I60" s="362"/>
      <c r="J60" s="333"/>
      <c r="K60" s="333"/>
      <c r="L60" s="333"/>
      <c r="M60" s="333"/>
      <c r="N60" s="333"/>
      <c r="O60" s="333"/>
      <c r="P60" s="333"/>
      <c r="Q60" s="333"/>
      <c r="R60" s="333"/>
      <c r="S60" s="333"/>
    </row>
    <row r="61" spans="1:19" ht="13.15">
      <c r="A61" s="142">
        <v>30</v>
      </c>
      <c r="B61" s="123">
        <v>1465040316.0218301</v>
      </c>
      <c r="C61" s="335">
        <v>3864516504.1854715</v>
      </c>
      <c r="D61" s="123">
        <v>10376623315.214977</v>
      </c>
      <c r="E61" s="123">
        <v>27800856684.843346</v>
      </c>
      <c r="F61" s="123">
        <v>73502783461.316864</v>
      </c>
      <c r="G61" s="362"/>
      <c r="H61" s="362"/>
      <c r="I61" s="362"/>
      <c r="J61" s="333"/>
      <c r="K61" s="333"/>
      <c r="L61" s="333"/>
      <c r="M61" s="333"/>
      <c r="N61" s="333"/>
      <c r="O61" s="333"/>
      <c r="P61" s="333"/>
      <c r="Q61" s="333"/>
      <c r="R61" s="333"/>
      <c r="S61" s="333"/>
    </row>
    <row r="62" spans="1:19">
      <c r="C62" s="333"/>
      <c r="D62" s="114"/>
      <c r="E62" s="114"/>
      <c r="F62" s="114"/>
      <c r="G62" s="114"/>
      <c r="H62" s="114"/>
      <c r="I62" s="114"/>
      <c r="J62" s="333"/>
      <c r="K62" s="333"/>
      <c r="L62" s="333"/>
      <c r="M62" s="333"/>
      <c r="N62" s="333"/>
      <c r="O62" s="333"/>
      <c r="P62" s="333"/>
      <c r="Q62" s="333"/>
      <c r="R62" s="333"/>
      <c r="S62" s="333"/>
    </row>
    <row r="63" spans="1:19" ht="13.15">
      <c r="B63" s="119" t="s">
        <v>125</v>
      </c>
      <c r="C63" s="333"/>
      <c r="D63" s="114"/>
      <c r="E63" s="114"/>
      <c r="F63" s="114"/>
      <c r="G63" s="114"/>
      <c r="H63" s="114"/>
      <c r="I63" s="114"/>
      <c r="J63" s="333"/>
      <c r="K63" s="333"/>
      <c r="L63" s="333"/>
      <c r="M63" s="333"/>
      <c r="N63" s="333"/>
      <c r="O63" s="333"/>
      <c r="P63" s="333"/>
      <c r="Q63" s="333"/>
      <c r="R63" s="333"/>
      <c r="S63" s="333"/>
    </row>
    <row r="64" spans="1:19" ht="13.15">
      <c r="B64" s="132">
        <f>B55</f>
        <v>0.1</v>
      </c>
      <c r="C64" s="132">
        <f>C55</f>
        <v>0.16</v>
      </c>
      <c r="D64" s="132">
        <f>D55</f>
        <v>0.22</v>
      </c>
      <c r="E64" s="132">
        <f>E55</f>
        <v>0.28000000000000003</v>
      </c>
      <c r="F64" s="132">
        <f>F55</f>
        <v>0.34</v>
      </c>
      <c r="G64" s="132"/>
      <c r="H64" s="132"/>
      <c r="I64" s="132"/>
    </row>
    <row r="65" spans="1:9" ht="13.15">
      <c r="A65" s="141">
        <v>0</v>
      </c>
      <c r="B65" s="124">
        <f>C12</f>
        <v>36.224587339445385</v>
      </c>
      <c r="C65" s="124">
        <f>C12</f>
        <v>36.224587339445385</v>
      </c>
      <c r="D65" s="124">
        <f>C12</f>
        <v>36.224587339445385</v>
      </c>
      <c r="E65" s="139">
        <f>C12</f>
        <v>36.224587339445385</v>
      </c>
      <c r="F65" s="124">
        <f>C12</f>
        <v>36.224587339445385</v>
      </c>
      <c r="G65" s="363"/>
      <c r="H65" s="363"/>
      <c r="I65" s="363"/>
    </row>
    <row r="66" spans="1:9" ht="13.15">
      <c r="A66" s="141">
        <f t="shared" ref="A66:A71" si="8">A56</f>
        <v>5</v>
      </c>
      <c r="B66" s="124">
        <f t="shared" ref="B66:F71" si="9">(B56-$C$7+$C$8+$C$9)/Common_Shares*$C$3*Exchange_Rate</f>
        <v>81.423403460756646</v>
      </c>
      <c r="C66" s="124">
        <f t="shared" si="9"/>
        <v>96.252025481532684</v>
      </c>
      <c r="D66" s="124">
        <f t="shared" si="9"/>
        <v>113.28767452293971</v>
      </c>
      <c r="E66" s="124">
        <f t="shared" si="9"/>
        <v>132.7649985022062</v>
      </c>
      <c r="F66" s="124">
        <f t="shared" si="9"/>
        <v>154.93453353372274</v>
      </c>
      <c r="G66" s="363"/>
      <c r="H66" s="363"/>
      <c r="I66" s="363"/>
    </row>
    <row r="67" spans="1:9" ht="13.15">
      <c r="A67" s="141">
        <f t="shared" si="8"/>
        <v>10</v>
      </c>
      <c r="B67" s="124">
        <f t="shared" si="9"/>
        <v>98.52069676303249</v>
      </c>
      <c r="C67" s="124">
        <f t="shared" si="9"/>
        <v>135.76979656480339</v>
      </c>
      <c r="D67" s="124">
        <f t="shared" si="9"/>
        <v>186.45359442569179</v>
      </c>
      <c r="E67" s="124">
        <f t="shared" si="9"/>
        <v>254.76928367011209</v>
      </c>
      <c r="F67" s="124">
        <f t="shared" si="9"/>
        <v>346.02288756415726</v>
      </c>
      <c r="G67" s="363"/>
      <c r="H67" s="363"/>
      <c r="I67" s="363"/>
    </row>
    <row r="68" spans="1:9" ht="13.15">
      <c r="A68" s="141">
        <f t="shared" si="8"/>
        <v>15</v>
      </c>
      <c r="B68" s="124">
        <f t="shared" si="9"/>
        <v>118.23125250757428</v>
      </c>
      <c r="C68" s="124">
        <f t="shared" si="9"/>
        <v>193.61681315637955</v>
      </c>
      <c r="D68" s="124">
        <f t="shared" si="9"/>
        <v>317.42160264419766</v>
      </c>
      <c r="E68" s="124">
        <f t="shared" si="9"/>
        <v>517.94256865060072</v>
      </c>
      <c r="F68" s="124">
        <f t="shared" si="9"/>
        <v>838.24171518152377</v>
      </c>
      <c r="G68" s="363"/>
      <c r="H68" s="363"/>
      <c r="I68" s="363"/>
    </row>
    <row r="69" spans="1:9" ht="13.15">
      <c r="A69" s="142">
        <f t="shared" si="8"/>
        <v>20</v>
      </c>
      <c r="B69" s="124">
        <f t="shared" si="9"/>
        <v>137.03658760596377</v>
      </c>
      <c r="C69" s="124">
        <f t="shared" si="9"/>
        <v>258.86752466409899</v>
      </c>
      <c r="D69" s="124">
        <f t="shared" si="9"/>
        <v>493.79613137829818</v>
      </c>
      <c r="E69" s="124">
        <f t="shared" si="9"/>
        <v>940.22274700485923</v>
      </c>
      <c r="F69" s="124">
        <f t="shared" si="9"/>
        <v>1775.1473165574289</v>
      </c>
      <c r="G69" s="363"/>
      <c r="H69" s="363"/>
      <c r="I69" s="363"/>
    </row>
    <row r="70" spans="1:9" ht="13.15">
      <c r="A70" s="142">
        <f t="shared" si="8"/>
        <v>25</v>
      </c>
      <c r="B70" s="124">
        <f t="shared" si="9"/>
        <v>159.48120927007565</v>
      </c>
      <c r="C70" s="124">
        <f t="shared" si="9"/>
        <v>356.52690123030311</v>
      </c>
      <c r="D70" s="124">
        <f t="shared" si="9"/>
        <v>813.55131362833777</v>
      </c>
      <c r="E70" s="124">
        <f t="shared" si="9"/>
        <v>1856.5800220013268</v>
      </c>
      <c r="F70" s="124">
        <f t="shared" si="9"/>
        <v>4191.5812851535111</v>
      </c>
      <c r="G70" s="363"/>
      <c r="H70" s="363"/>
      <c r="I70" s="363"/>
    </row>
    <row r="71" spans="1:9" ht="13.15">
      <c r="A71" s="142">
        <f t="shared" si="8"/>
        <v>30</v>
      </c>
      <c r="B71" s="124">
        <f t="shared" si="9"/>
        <v>180.20366271011238</v>
      </c>
      <c r="C71" s="124">
        <f t="shared" si="9"/>
        <v>463.12339170622045</v>
      </c>
      <c r="D71" s="124">
        <f t="shared" si="9"/>
        <v>1230.9590982068955</v>
      </c>
      <c r="E71" s="124">
        <f t="shared" si="9"/>
        <v>3285.4322399774537</v>
      </c>
      <c r="F71" s="124">
        <f t="shared" si="9"/>
        <v>8674.0986505807541</v>
      </c>
      <c r="G71" s="363"/>
      <c r="H71" s="363"/>
      <c r="I71" s="363"/>
    </row>
    <row r="73" spans="1:9" ht="13.15">
      <c r="B73" s="168" t="s">
        <v>113</v>
      </c>
      <c r="C73" s="168" t="s">
        <v>127</v>
      </c>
      <c r="D73" s="168" t="s">
        <v>108</v>
      </c>
      <c r="E73" s="169" t="s">
        <v>109</v>
      </c>
      <c r="F73" s="169" t="s">
        <v>115</v>
      </c>
      <c r="G73" s="169"/>
      <c r="H73" s="169"/>
      <c r="I73" s="169"/>
    </row>
    <row r="74" spans="1:9">
      <c r="B74" s="127" t="str">
        <f>Scenarios!B54</f>
        <v>Snowball Scenario</v>
      </c>
      <c r="C74" s="140">
        <f>Scenarios!C56</f>
        <v>0.34</v>
      </c>
      <c r="D74" s="143">
        <f>Scenarios!C55</f>
        <v>10</v>
      </c>
      <c r="E74" s="135">
        <f>INDEX(B$65:F$71, MATCH(D74, A$65:A$71, 0), MATCH(C74, B$64:F$64, 0))</f>
        <v>346.02288756415726</v>
      </c>
      <c r="F74" s="140">
        <f>Scenarios!C58</f>
        <v>0.05</v>
      </c>
      <c r="G74" s="364"/>
      <c r="H74" s="364"/>
      <c r="I74" s="364"/>
    </row>
    <row r="75" spans="1:9">
      <c r="B75" s="127" t="str">
        <f>Scenarios!B36</f>
        <v>Optimistic</v>
      </c>
      <c r="C75" s="140">
        <f>Scenarios!C38</f>
        <v>0.28000000000000003</v>
      </c>
      <c r="D75" s="143">
        <f>Scenarios!C37</f>
        <v>10</v>
      </c>
      <c r="E75" s="135">
        <f>INDEX(B$65:F$71, MATCH(D75, A$65:A$71, 0), MATCH(C75, B$64:F$64, 0))</f>
        <v>254.76928367011209</v>
      </c>
      <c r="F75" s="140">
        <f>Scenarios!C40*(1-F$74-F$78)</f>
        <v>0.18</v>
      </c>
      <c r="G75" s="364"/>
      <c r="H75" s="364"/>
      <c r="I75" s="364"/>
    </row>
    <row r="76" spans="1:9">
      <c r="B76" s="127" t="str">
        <f>Scenarios!B24</f>
        <v>Base</v>
      </c>
      <c r="C76" s="140">
        <f>Scenarios!C26</f>
        <v>0.22</v>
      </c>
      <c r="D76" s="143">
        <f>Scenarios!C25</f>
        <v>10</v>
      </c>
      <c r="E76" s="135">
        <f>INDEX(B$65:F$71, MATCH(D76, A$65:A$71, 0), MATCH(C76, B$64:F$64, 0))</f>
        <v>186.45359442569179</v>
      </c>
      <c r="F76" s="140">
        <f>Scenarios!C28*(1-F$74-F$78)</f>
        <v>0.53999999999999992</v>
      </c>
      <c r="G76" s="364"/>
      <c r="H76" s="364"/>
      <c r="I76" s="364"/>
    </row>
    <row r="77" spans="1:9">
      <c r="B77" s="127" t="str">
        <f>Scenarios!B30</f>
        <v>Pessimistic</v>
      </c>
      <c r="C77" s="140">
        <f>Scenarios!C32</f>
        <v>0.16</v>
      </c>
      <c r="D77" s="143">
        <f>Scenarios!C31</f>
        <v>10</v>
      </c>
      <c r="E77" s="135">
        <f>INDEX(B$65:F$71, MATCH(D77, A$65:A$71, 0), MATCH(C77, B$64:F$64, 0))</f>
        <v>135.76979656480339</v>
      </c>
      <c r="F77" s="140">
        <f>Scenarios!C34*(1-F$74-F$78)</f>
        <v>0.18</v>
      </c>
      <c r="G77" s="364"/>
      <c r="H77" s="364"/>
      <c r="I77" s="364"/>
    </row>
    <row r="78" spans="1:9">
      <c r="B78" s="127" t="str">
        <f>Scenarios!B48</f>
        <v>Devil's advocate</v>
      </c>
      <c r="C78" s="140">
        <f>Scenarios!C50</f>
        <v>0.1</v>
      </c>
      <c r="D78" s="143">
        <f>Scenarios!C49</f>
        <v>10</v>
      </c>
      <c r="E78" s="135">
        <f>INDEX(B$65:F$71, MATCH(D78, A$65:A$71, 0), MATCH(C78, B$64:F$64, 0))</f>
        <v>98.52069676303249</v>
      </c>
      <c r="F78" s="140">
        <f>Scenarios!C52</f>
        <v>0.05</v>
      </c>
      <c r="G78" s="364"/>
      <c r="H78" s="364"/>
      <c r="I78" s="364"/>
    </row>
    <row r="79" spans="1:9">
      <c r="B79" s="153"/>
      <c r="C79" s="153"/>
      <c r="D79" s="153"/>
      <c r="E79" s="153"/>
      <c r="F79" s="154"/>
      <c r="G79" s="154"/>
      <c r="H79" s="154"/>
      <c r="I79" s="154"/>
    </row>
    <row r="80" spans="1:9">
      <c r="B80" s="153" t="s">
        <v>298</v>
      </c>
      <c r="C80" s="153" t="s">
        <v>102</v>
      </c>
    </row>
    <row r="81" spans="3:3">
      <c r="C81" s="153" t="s">
        <v>101</v>
      </c>
    </row>
    <row r="82" spans="3:3">
      <c r="C82" s="153" t="s">
        <v>100</v>
      </c>
    </row>
    <row r="92" spans="3:3">
      <c r="C92" s="115"/>
    </row>
    <row r="93" spans="3:3">
      <c r="C93" s="115"/>
    </row>
    <row r="94" spans="3:3">
      <c r="C94" s="115"/>
    </row>
    <row r="101" spans="3:19">
      <c r="C101" s="333"/>
      <c r="J101" s="333"/>
      <c r="K101" s="333"/>
      <c r="L101" s="333"/>
      <c r="M101" s="333"/>
      <c r="N101" s="333"/>
      <c r="O101" s="333"/>
      <c r="P101" s="333"/>
      <c r="Q101" s="333"/>
      <c r="R101" s="333"/>
      <c r="S101" s="333"/>
    </row>
    <row r="102" spans="3:19">
      <c r="C102" s="333"/>
      <c r="J102" s="333"/>
      <c r="K102" s="333"/>
      <c r="L102" s="333"/>
      <c r="M102" s="333"/>
      <c r="N102" s="333"/>
      <c r="O102" s="333"/>
      <c r="P102" s="333"/>
      <c r="Q102" s="333"/>
      <c r="R102" s="333"/>
      <c r="S102" s="333"/>
    </row>
    <row r="103" spans="3:19">
      <c r="C103" s="333"/>
      <c r="J103" s="333"/>
      <c r="K103" s="333"/>
      <c r="L103" s="333"/>
      <c r="M103" s="333"/>
      <c r="N103" s="333"/>
      <c r="O103" s="333"/>
      <c r="P103" s="333"/>
      <c r="Q103" s="333"/>
      <c r="R103" s="333"/>
      <c r="S103" s="333"/>
    </row>
    <row r="104" spans="3:19">
      <c r="C104" s="333"/>
      <c r="J104" s="333"/>
      <c r="K104" s="333"/>
      <c r="L104" s="333"/>
      <c r="M104" s="333"/>
      <c r="N104" s="333"/>
      <c r="O104" s="333"/>
      <c r="P104" s="333"/>
      <c r="Q104" s="333"/>
      <c r="R104" s="333"/>
      <c r="S104" s="333"/>
    </row>
    <row r="105" spans="3:19">
      <c r="C105" s="333"/>
      <c r="J105" s="333"/>
      <c r="K105" s="333"/>
      <c r="L105" s="333"/>
      <c r="M105" s="333"/>
      <c r="N105" s="333"/>
      <c r="O105" s="333"/>
      <c r="P105" s="333"/>
      <c r="Q105" s="333"/>
      <c r="R105" s="333"/>
      <c r="S105" s="333"/>
    </row>
  </sheetData>
  <mergeCells count="1">
    <mergeCell ref="E6:F9"/>
  </mergeCells>
  <phoneticPr fontId="2" type="noConversion"/>
  <conditionalFormatting sqref="C21:I50">
    <cfRule type="cellIs" dxfId="1" priority="1" operator="equal">
      <formula>0</formula>
    </cfRule>
  </conditionalFormatting>
  <conditionalFormatting sqref="E65 B66:I71">
    <cfRule type="expression" dxfId="0" priority="18">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5"/>
  <sheetViews>
    <sheetView showGridLines="0" topLeftCell="A40" zoomScale="75" zoomScaleNormal="100" workbookViewId="0">
      <selection activeCell="F70" sqref="B68:F70"/>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140</v>
      </c>
      <c r="C2" s="37"/>
      <c r="D2" s="37"/>
      <c r="E2" s="37"/>
      <c r="F2" s="37"/>
      <c r="H2" s="245" t="s">
        <v>566</v>
      </c>
      <c r="I2" s="246"/>
    </row>
    <row r="3" spans="2:9" ht="13.15">
      <c r="B3" s="157" t="s">
        <v>143</v>
      </c>
      <c r="H3" s="244">
        <v>0</v>
      </c>
      <c r="I3" s="124">
        <f>-Market_Price</f>
        <v>-96.9</v>
      </c>
    </row>
    <row r="4" spans="2:9">
      <c r="B4" s="150" t="s">
        <v>141</v>
      </c>
      <c r="C4" s="120">
        <v>3</v>
      </c>
      <c r="D4" s="120"/>
      <c r="E4" s="153" t="s">
        <v>145</v>
      </c>
      <c r="F4" s="153"/>
      <c r="H4" s="244">
        <v>1</v>
      </c>
      <c r="I4" s="124">
        <f t="shared" ref="I4:I13" si="0">IF(ROW()-3 &lt; $C$81, $C$82, IF(ROW()-3 = $C$81, $C$82 + $C$60, ""))</f>
        <v>0</v>
      </c>
    </row>
    <row r="5" spans="2:9">
      <c r="H5" s="244">
        <v>2</v>
      </c>
      <c r="I5" s="124">
        <f t="shared" si="0"/>
        <v>0</v>
      </c>
    </row>
    <row r="6" spans="2:9" ht="13.15">
      <c r="B6" s="157" t="s">
        <v>92</v>
      </c>
      <c r="C6" s="107">
        <f>DCF!C3</f>
        <v>1000</v>
      </c>
      <c r="E6" s="100" t="s">
        <v>271</v>
      </c>
      <c r="F6" s="100"/>
      <c r="H6" s="244">
        <v>3</v>
      </c>
      <c r="I6" s="124">
        <f t="shared" si="0"/>
        <v>193.20915464851782</v>
      </c>
    </row>
    <row r="7" spans="2:9" ht="12.75" customHeight="1">
      <c r="B7" s="100" t="s">
        <v>267</v>
      </c>
      <c r="C7" s="333">
        <f>Normalized_FCF!G8</f>
        <v>34026555</v>
      </c>
      <c r="D7" t="str">
        <f>Reporting_currency</f>
        <v>CNY</v>
      </c>
      <c r="E7" s="38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10-year scenarios (Success Scenario, Devil’s Advocate Scenario) for 美团(3690.HK). Each scenario should include the Compound Growth Rate, the Probability Assessment, and the Business Narrative.</v>
      </c>
      <c r="F7" s="381"/>
      <c r="H7" s="244">
        <v>4</v>
      </c>
      <c r="I7" s="124" t="str">
        <f t="shared" si="0"/>
        <v/>
      </c>
    </row>
    <row r="8" spans="2:9">
      <c r="B8" s="100" t="s">
        <v>64</v>
      </c>
      <c r="C8" s="333">
        <f>Normalized_FCF!G19</f>
        <v>30511267</v>
      </c>
      <c r="D8" t="str">
        <f>Reporting_currency</f>
        <v>CNY</v>
      </c>
      <c r="E8" s="381"/>
      <c r="F8" s="381"/>
      <c r="H8" s="244">
        <v>5</v>
      </c>
      <c r="I8" s="124" t="str">
        <f t="shared" si="0"/>
        <v/>
      </c>
    </row>
    <row r="9" spans="2:9">
      <c r="B9" s="100" t="s">
        <v>55</v>
      </c>
      <c r="C9" s="333">
        <f>Normalized_FCF!C19</f>
        <v>18295236.906000003</v>
      </c>
      <c r="D9" t="str">
        <f>Reporting_currency</f>
        <v>CNY</v>
      </c>
      <c r="E9" s="381"/>
      <c r="F9" s="381"/>
      <c r="H9" s="244">
        <v>6</v>
      </c>
      <c r="I9" s="124" t="str">
        <f t="shared" si="0"/>
        <v/>
      </c>
    </row>
    <row r="10" spans="2:9">
      <c r="E10" s="381"/>
      <c r="F10" s="381"/>
      <c r="H10" s="244">
        <v>7</v>
      </c>
      <c r="I10" s="124" t="str">
        <f t="shared" si="0"/>
        <v/>
      </c>
    </row>
    <row r="11" spans="2:9" ht="13.15">
      <c r="B11" s="157" t="s">
        <v>413</v>
      </c>
      <c r="E11" s="381"/>
      <c r="F11" s="381"/>
      <c r="H11" s="244">
        <v>8</v>
      </c>
      <c r="I11" s="124" t="str">
        <f t="shared" si="0"/>
        <v/>
      </c>
    </row>
    <row r="12" spans="2:9">
      <c r="B12" s="118" t="s">
        <v>139</v>
      </c>
      <c r="C12" s="156">
        <f ca="1">(Normalized_FCF!G4/OFFSET(Normalized_FCF!G4, 0, $C$4))^(1/$C$4) - 1</f>
        <v>0.23521543663686151</v>
      </c>
      <c r="D12" s="156"/>
      <c r="E12" s="381"/>
      <c r="F12" s="381"/>
      <c r="H12" s="244">
        <v>9</v>
      </c>
      <c r="I12" s="124" t="str">
        <f t="shared" si="0"/>
        <v/>
      </c>
    </row>
    <row r="13" spans="2:9">
      <c r="B13" s="146" t="s">
        <v>147</v>
      </c>
      <c r="C13" s="156">
        <f ca="1">(Normalized_FCF!G8/OFFSET(Normalized_FCF!G8, 0, $C$4))^(1/$C$4) - 1</f>
        <v>-2.1313585392312717</v>
      </c>
      <c r="E13" s="381"/>
      <c r="F13" s="381"/>
      <c r="H13" s="244">
        <v>10</v>
      </c>
      <c r="I13" s="124" t="str">
        <f t="shared" si="0"/>
        <v/>
      </c>
    </row>
    <row r="14" spans="2:9">
      <c r="B14" s="100" t="s">
        <v>64</v>
      </c>
      <c r="C14" s="156">
        <f ca="1">(Normalized_FCF!G19/OFFSET(Normalized_FCF!G19, 0, $C$4))^(1/$C$4) - 1</f>
        <v>-2.0744527340297383</v>
      </c>
      <c r="E14" s="381"/>
      <c r="F14" s="381"/>
      <c r="H14" s="100" t="s">
        <v>565</v>
      </c>
    </row>
    <row r="16" spans="2:9" ht="13.9">
      <c r="B16" s="36" t="s">
        <v>157</v>
      </c>
      <c r="C16" s="37"/>
      <c r="D16" s="37"/>
      <c r="E16" s="37"/>
      <c r="F16" s="37"/>
    </row>
    <row r="17" spans="2:6" ht="13.15">
      <c r="B17" s="109" t="s">
        <v>146</v>
      </c>
      <c r="E17" s="157" t="s">
        <v>317</v>
      </c>
    </row>
    <row r="18" spans="2:6">
      <c r="B18" s="150" t="s">
        <v>128</v>
      </c>
      <c r="C18" s="148">
        <v>10</v>
      </c>
      <c r="E18" s="381" t="s">
        <v>548</v>
      </c>
      <c r="F18" s="382"/>
    </row>
    <row r="19" spans="2:6">
      <c r="E19" s="382"/>
      <c r="F19" s="382"/>
    </row>
    <row r="20" spans="2:6" ht="13.15">
      <c r="B20" s="157" t="s">
        <v>294</v>
      </c>
      <c r="E20" s="382"/>
      <c r="F20" s="382"/>
    </row>
    <row r="21" spans="2:6">
      <c r="B21" s="100" t="s">
        <v>269</v>
      </c>
      <c r="C21" s="158">
        <f>Market_Price</f>
        <v>96.9</v>
      </c>
      <c r="D21" t="str">
        <f>Market_currency</f>
        <v>HKD</v>
      </c>
      <c r="E21" s="382"/>
      <c r="F21" s="382"/>
    </row>
    <row r="22" spans="2:6">
      <c r="B22" s="100" t="s">
        <v>270</v>
      </c>
      <c r="C22" s="158">
        <f>IF(valuation_method="DCF",DCF!C12,#REF!)</f>
        <v>36.224587339445385</v>
      </c>
      <c r="D22" t="str">
        <f>Market_currency</f>
        <v>HKD</v>
      </c>
      <c r="E22" s="382"/>
      <c r="F22" s="382"/>
    </row>
    <row r="24" spans="2:6" ht="13.15">
      <c r="B24" s="157" t="s">
        <v>111</v>
      </c>
      <c r="E24" s="157" t="s">
        <v>144</v>
      </c>
      <c r="F24" s="157"/>
    </row>
    <row r="25" spans="2:6">
      <c r="B25" s="150" t="s">
        <v>128</v>
      </c>
      <c r="C25" s="164">
        <f>C18</f>
        <v>10</v>
      </c>
      <c r="D25" s="161"/>
      <c r="E25" s="380"/>
      <c r="F25" s="380"/>
    </row>
    <row r="26" spans="2:6">
      <c r="B26" s="118" t="s">
        <v>129</v>
      </c>
      <c r="C26" s="162">
        <v>0.22</v>
      </c>
      <c r="D26" s="162"/>
      <c r="E26" s="380"/>
      <c r="F26" s="380"/>
    </row>
    <row r="27" spans="2:6">
      <c r="B27" s="100" t="s">
        <v>109</v>
      </c>
      <c r="C27" s="158">
        <f>IF(valuation_method="DCF",DCF!E76,#REF!)</f>
        <v>186.45359442569179</v>
      </c>
      <c r="D27" s="158" t="str">
        <f>Market_currency</f>
        <v>HKD</v>
      </c>
      <c r="E27" s="380"/>
      <c r="F27" s="380"/>
    </row>
    <row r="28" spans="2:6">
      <c r="B28" s="100" t="s">
        <v>142</v>
      </c>
      <c r="C28" s="163">
        <v>0.6</v>
      </c>
      <c r="D28" s="163"/>
      <c r="E28" s="380"/>
      <c r="F28" s="380"/>
    </row>
    <row r="30" spans="2:6" ht="13.15">
      <c r="B30" s="157" t="s">
        <v>112</v>
      </c>
      <c r="E30" s="157" t="s">
        <v>144</v>
      </c>
      <c r="F30" s="157"/>
    </row>
    <row r="31" spans="2:6">
      <c r="B31" s="150" t="s">
        <v>128</v>
      </c>
      <c r="C31" s="164">
        <f>C18</f>
        <v>10</v>
      </c>
      <c r="D31" s="161"/>
      <c r="E31" s="380"/>
      <c r="F31" s="380"/>
    </row>
    <row r="32" spans="2:6">
      <c r="B32" s="118" t="s">
        <v>129</v>
      </c>
      <c r="C32" s="162">
        <v>0.16</v>
      </c>
      <c r="D32" s="162"/>
      <c r="E32" s="380"/>
      <c r="F32" s="380"/>
    </row>
    <row r="33" spans="2:6">
      <c r="B33" s="100" t="s">
        <v>109</v>
      </c>
      <c r="C33" s="158">
        <f>IF(valuation_method="DCF",DCF!E77,#REF!)</f>
        <v>135.76979656480339</v>
      </c>
      <c r="D33" t="str">
        <f>Market_currency</f>
        <v>HKD</v>
      </c>
      <c r="E33" s="380"/>
      <c r="F33" s="380"/>
    </row>
    <row r="34" spans="2:6">
      <c r="B34" s="100" t="s">
        <v>142</v>
      </c>
      <c r="C34" s="163">
        <v>0.2</v>
      </c>
      <c r="D34" s="163"/>
      <c r="E34" s="380"/>
      <c r="F34" s="380"/>
    </row>
    <row r="36" spans="2:6" ht="13.15">
      <c r="B36" s="157" t="s">
        <v>110</v>
      </c>
      <c r="E36" s="157" t="s">
        <v>144</v>
      </c>
      <c r="F36" s="157"/>
    </row>
    <row r="37" spans="2:6">
      <c r="B37" s="150" t="s">
        <v>128</v>
      </c>
      <c r="C37" s="164">
        <f>C18</f>
        <v>10</v>
      </c>
      <c r="D37" s="161"/>
      <c r="E37" s="380"/>
      <c r="F37" s="380"/>
    </row>
    <row r="38" spans="2:6">
      <c r="B38" s="118" t="s">
        <v>129</v>
      </c>
      <c r="C38" s="162">
        <v>0.28000000000000003</v>
      </c>
      <c r="D38" s="162"/>
      <c r="E38" s="380"/>
      <c r="F38" s="380"/>
    </row>
    <row r="39" spans="2:6">
      <c r="B39" s="100" t="s">
        <v>109</v>
      </c>
      <c r="C39" s="158">
        <f>IF(valuation_method="DCF",DCF!E75,#REF!)</f>
        <v>254.76928367011209</v>
      </c>
      <c r="D39" t="str">
        <f>Market_currency</f>
        <v>HKD</v>
      </c>
      <c r="E39" s="380"/>
      <c r="F39" s="380"/>
    </row>
    <row r="40" spans="2:6">
      <c r="B40" s="100" t="s">
        <v>142</v>
      </c>
      <c r="C40" s="165">
        <f>1-C28-C34</f>
        <v>0.2</v>
      </c>
      <c r="D40" s="163"/>
      <c r="E40" s="380"/>
      <c r="F40" s="380"/>
    </row>
    <row r="42" spans="2:6" ht="13.15">
      <c r="B42" s="100" t="s">
        <v>116</v>
      </c>
      <c r="C42" s="152">
        <f>C27*C28+C33*C34+C39*C40</f>
        <v>189.97997270239816</v>
      </c>
      <c r="D42" t="str">
        <f>Market_currency</f>
        <v>HKD</v>
      </c>
    </row>
    <row r="44" spans="2:6" ht="13.9">
      <c r="B44" s="36" t="s">
        <v>156</v>
      </c>
      <c r="C44" s="37"/>
      <c r="D44" s="37"/>
      <c r="E44" s="37"/>
      <c r="F44" s="37"/>
    </row>
    <row r="45" spans="2:6" ht="13.15">
      <c r="B45" s="109" t="s">
        <v>146</v>
      </c>
    </row>
    <row r="46" spans="2:6">
      <c r="B46" s="150" t="s">
        <v>128</v>
      </c>
      <c r="C46" s="164">
        <f>C18</f>
        <v>10</v>
      </c>
      <c r="E46" s="100"/>
      <c r="F46" s="100"/>
    </row>
    <row r="47" spans="2:6" ht="13.15">
      <c r="B47" s="157"/>
      <c r="E47" s="157"/>
      <c r="F47" s="157"/>
    </row>
    <row r="48" spans="2:6" ht="13.15">
      <c r="B48" s="157" t="s">
        <v>160</v>
      </c>
      <c r="E48" s="157" t="s">
        <v>144</v>
      </c>
      <c r="F48" s="157"/>
    </row>
    <row r="49" spans="2:6" ht="12.75" customHeight="1">
      <c r="B49" s="150" t="s">
        <v>128</v>
      </c>
      <c r="C49" s="164">
        <f>C46</f>
        <v>10</v>
      </c>
      <c r="D49" s="161"/>
      <c r="E49" s="380"/>
      <c r="F49" s="380"/>
    </row>
    <row r="50" spans="2:6">
      <c r="B50" s="118" t="s">
        <v>129</v>
      </c>
      <c r="C50" s="162">
        <v>0.1</v>
      </c>
      <c r="D50" s="162"/>
      <c r="E50" s="380"/>
      <c r="F50" s="380"/>
    </row>
    <row r="51" spans="2:6">
      <c r="B51" s="100" t="s">
        <v>109</v>
      </c>
      <c r="C51" s="158">
        <f>IF(valuation_method="DCF",DCF!E78,#REF!)</f>
        <v>98.52069676303249</v>
      </c>
      <c r="D51" t="str">
        <f>Market_currency</f>
        <v>HKD</v>
      </c>
      <c r="E51" s="380"/>
      <c r="F51" s="380"/>
    </row>
    <row r="52" spans="2:6">
      <c r="B52" s="100" t="s">
        <v>142</v>
      </c>
      <c r="C52" s="163">
        <v>0.05</v>
      </c>
      <c r="D52" s="163"/>
      <c r="E52" s="380"/>
      <c r="F52" s="380"/>
    </row>
    <row r="54" spans="2:6" ht="13.15">
      <c r="B54" s="157" t="s">
        <v>303</v>
      </c>
      <c r="E54" s="157" t="s">
        <v>144</v>
      </c>
      <c r="F54" s="157"/>
    </row>
    <row r="55" spans="2:6">
      <c r="B55" s="150" t="s">
        <v>128</v>
      </c>
      <c r="C55" s="164">
        <f>C46</f>
        <v>10</v>
      </c>
      <c r="D55" s="161"/>
      <c r="E55" s="380"/>
      <c r="F55" s="380"/>
    </row>
    <row r="56" spans="2:6">
      <c r="B56" s="118" t="s">
        <v>129</v>
      </c>
      <c r="C56" s="162">
        <v>0.34</v>
      </c>
      <c r="D56" s="162"/>
      <c r="E56" s="380"/>
      <c r="F56" s="380"/>
    </row>
    <row r="57" spans="2:6">
      <c r="B57" s="100" t="s">
        <v>109</v>
      </c>
      <c r="C57" s="158">
        <f>IF(valuation_method="DCF",DCF!E74,#REF!)</f>
        <v>346.02288756415726</v>
      </c>
      <c r="D57" t="str">
        <f>Market_currency</f>
        <v>HKD</v>
      </c>
      <c r="E57" s="380"/>
      <c r="F57" s="380"/>
    </row>
    <row r="58" spans="2:6">
      <c r="B58" s="100" t="s">
        <v>142</v>
      </c>
      <c r="C58" s="163">
        <v>0.05</v>
      </c>
      <c r="D58" s="163"/>
      <c r="E58" s="380"/>
      <c r="F58" s="380"/>
    </row>
    <row r="60" spans="2:6" ht="13.15">
      <c r="B60" s="100" t="s">
        <v>116</v>
      </c>
      <c r="C60" s="152">
        <f>C51*C52+C57*C58+C42*(1-C52-C58)</f>
        <v>193.20915464851782</v>
      </c>
      <c r="D60" t="str">
        <f>Market_currency</f>
        <v>HKD</v>
      </c>
      <c r="E60" s="100" t="s">
        <v>287</v>
      </c>
      <c r="F60" s="274">
        <f>Thesis!F28</f>
        <v>3</v>
      </c>
    </row>
    <row r="62" spans="2:6" ht="13.9">
      <c r="B62" s="36" t="s">
        <v>156</v>
      </c>
      <c r="C62" s="37"/>
      <c r="D62" s="37"/>
      <c r="E62" s="37"/>
      <c r="F62" s="37"/>
    </row>
    <row r="63" spans="2:6">
      <c r="E63" s="249" t="s">
        <v>299</v>
      </c>
    </row>
    <row r="64" spans="2:6">
      <c r="B64" t="s">
        <v>563</v>
      </c>
      <c r="C64" s="149">
        <v>0.85</v>
      </c>
      <c r="E64" s="100" t="s">
        <v>567</v>
      </c>
    </row>
    <row r="65" spans="2:6">
      <c r="B65" s="100" t="s">
        <v>564</v>
      </c>
      <c r="C65" s="383" t="str">
        <f>IF(DCF!H9="II","2","1")&amp;"-stage DCF"</f>
        <v>2-stage DCF</v>
      </c>
    </row>
    <row r="67" spans="2:6" ht="13.9">
      <c r="B67" s="36" t="s">
        <v>336</v>
      </c>
      <c r="C67" s="37"/>
      <c r="D67" s="37"/>
      <c r="E67" s="37"/>
      <c r="F67" s="37"/>
    </row>
    <row r="68" spans="2:6" ht="13.15">
      <c r="B68" s="109" t="s">
        <v>295</v>
      </c>
      <c r="E68" s="249" t="s">
        <v>299</v>
      </c>
    </row>
    <row r="69" spans="2:6">
      <c r="B69" s="150" t="s">
        <v>128</v>
      </c>
      <c r="C69" s="164">
        <f>C18</f>
        <v>10</v>
      </c>
      <c r="D69" s="148"/>
      <c r="E69" s="248" t="s">
        <v>373</v>
      </c>
    </row>
    <row r="70" spans="2:6">
      <c r="B70" s="118" t="s">
        <v>129</v>
      </c>
      <c r="C70" s="149">
        <v>0.2267912648864582</v>
      </c>
      <c r="D70" s="149"/>
      <c r="E70" s="248" t="s">
        <v>300</v>
      </c>
    </row>
    <row r="71" spans="2:6">
      <c r="B71" s="100" t="s">
        <v>99</v>
      </c>
      <c r="C71" s="158">
        <f>IF(valuation_method="DCF",DCF!C18,#REF!)</f>
        <v>193.21293660707488</v>
      </c>
      <c r="D71" s="158" t="str">
        <f>Market_currency</f>
        <v>HKD</v>
      </c>
      <c r="E71" s="248" t="s">
        <v>301</v>
      </c>
    </row>
    <row r="73" spans="2:6" ht="13.15">
      <c r="B73" s="109" t="s">
        <v>337</v>
      </c>
      <c r="E73" s="249" t="s">
        <v>302</v>
      </c>
    </row>
    <row r="74" spans="2:6">
      <c r="B74" s="100" t="s">
        <v>296</v>
      </c>
      <c r="C74" s="241" t="str">
        <f>IF(C60&lt;C22,"Y","N")</f>
        <v>N</v>
      </c>
      <c r="E74" s="134"/>
    </row>
    <row r="75" spans="2:6">
      <c r="B75" s="100" t="s">
        <v>285</v>
      </c>
      <c r="C75" s="241" t="str">
        <f>IF(C74="Y","N",IF(C70&gt;8%,"N","Y"))</f>
        <v>N</v>
      </c>
      <c r="E75" s="248" t="s">
        <v>286</v>
      </c>
    </row>
    <row r="76" spans="2:6">
      <c r="B76" s="100" t="s">
        <v>284</v>
      </c>
      <c r="C76" s="241" t="str">
        <f>IF(C70&gt;8%,"Y","N")</f>
        <v>Y</v>
      </c>
      <c r="E76" s="248"/>
    </row>
    <row r="77" spans="2:6">
      <c r="B77" s="100" t="s">
        <v>276</v>
      </c>
      <c r="C77" s="240" t="str">
        <f>IF(F77&gt;50%,"Y","N")</f>
        <v>N</v>
      </c>
      <c r="E77" s="134" t="s">
        <v>333</v>
      </c>
      <c r="F77" s="288">
        <f>BS!D89/C60</f>
        <v>3.8622862238382738E-2</v>
      </c>
    </row>
    <row r="79" spans="2:6" ht="13.9">
      <c r="B79" s="36" t="s">
        <v>123</v>
      </c>
      <c r="C79" s="37"/>
      <c r="D79" s="37"/>
      <c r="E79" s="37"/>
      <c r="F79" s="37"/>
    </row>
    <row r="80" spans="2:6" ht="13.15">
      <c r="B80" s="109" t="s">
        <v>121</v>
      </c>
    </row>
    <row r="81" spans="2:6">
      <c r="B81" s="243" t="s">
        <v>288</v>
      </c>
      <c r="C81" s="242">
        <f>F60</f>
        <v>3</v>
      </c>
      <c r="D81" s="134"/>
    </row>
    <row r="82" spans="2:6">
      <c r="B82" s="100" t="s">
        <v>425</v>
      </c>
      <c r="C82" s="170">
        <f>Normalized_FCF!C88*(1-dividend_tax_rate)</f>
        <v>0</v>
      </c>
      <c r="D82" t="str">
        <f>Market_currency</f>
        <v>HKD</v>
      </c>
    </row>
    <row r="84" spans="2:6" ht="13.15">
      <c r="B84" s="109" t="s">
        <v>292</v>
      </c>
    </row>
    <row r="85" spans="2:6">
      <c r="B85" s="146" t="s">
        <v>290</v>
      </c>
      <c r="C85" s="165">
        <f>Thesis!F29</f>
        <v>0.35</v>
      </c>
    </row>
    <row r="86" spans="2:6">
      <c r="B86" s="100" t="s">
        <v>117</v>
      </c>
      <c r="C86" s="116">
        <f>PV(C85, C81, -C82, 0)</f>
        <v>0</v>
      </c>
      <c r="D86" s="116"/>
      <c r="E86" s="100"/>
      <c r="F86" s="100"/>
    </row>
    <row r="87" spans="2:6">
      <c r="B87" s="100" t="s">
        <v>118</v>
      </c>
      <c r="C87" s="116">
        <f>C60/(1+C85)^C81</f>
        <v>78.528335984765647</v>
      </c>
      <c r="D87" s="116"/>
    </row>
    <row r="88" spans="2:6" ht="13.15">
      <c r="B88" s="110" t="s">
        <v>98</v>
      </c>
      <c r="C88" s="111">
        <f>C86+C87</f>
        <v>78.528335984765647</v>
      </c>
      <c r="D88" t="str">
        <f>Market_currency</f>
        <v>HKD</v>
      </c>
      <c r="E88" s="144" t="s">
        <v>122</v>
      </c>
      <c r="F88" s="288">
        <f>(1-C88/C60)</f>
        <v>0.59355789259767322</v>
      </c>
    </row>
    <row r="89" spans="2:6">
      <c r="E89" s="120"/>
    </row>
    <row r="90" spans="2:6" ht="13.15">
      <c r="B90" s="109" t="s">
        <v>293</v>
      </c>
    </row>
    <row r="91" spans="2:6">
      <c r="B91" s="146" t="s">
        <v>291</v>
      </c>
      <c r="C91" s="116">
        <f>Market_Price</f>
        <v>96.9</v>
      </c>
      <c r="D91" t="str">
        <f>Market_currency</f>
        <v>HKD</v>
      </c>
    </row>
    <row r="92" spans="2:6" ht="13.15">
      <c r="B92" s="100" t="s">
        <v>289</v>
      </c>
      <c r="C92" s="234">
        <f ca="1">IRR(OFFSET($I$3, 0, 0, $C$81 + 1, 1))</f>
        <v>0.25863935692204554</v>
      </c>
    </row>
    <row r="93" spans="2:6">
      <c r="B93" s="100"/>
    </row>
    <row r="94" spans="2:6" ht="13.15">
      <c r="B94" s="109" t="s">
        <v>389</v>
      </c>
    </row>
    <row r="95" spans="2:6">
      <c r="B95" s="146" t="s">
        <v>390</v>
      </c>
      <c r="C95" s="165">
        <f>Thesis!F30</f>
        <v>0.25</v>
      </c>
    </row>
    <row r="96" spans="2:6">
      <c r="B96" s="100" t="s">
        <v>117</v>
      </c>
      <c r="C96" s="116">
        <f>PV(C95, C81, -C82, 0)</f>
        <v>0</v>
      </c>
      <c r="D96" s="116"/>
      <c r="E96" s="100"/>
      <c r="F96" s="100"/>
    </row>
    <row r="97" spans="2:8">
      <c r="B97" s="100" t="s">
        <v>118</v>
      </c>
      <c r="C97" s="116">
        <f>C60/(1+C95)^C81</f>
        <v>98.923087180041122</v>
      </c>
      <c r="D97" s="116"/>
    </row>
    <row r="98" spans="2:8" ht="13.15">
      <c r="B98" s="110" t="s">
        <v>98</v>
      </c>
      <c r="C98" s="111">
        <f>C96+C97</f>
        <v>98.923087180041122</v>
      </c>
      <c r="D98" t="str">
        <f>Market_currency</f>
        <v>HKD</v>
      </c>
      <c r="E98" s="144" t="s">
        <v>122</v>
      </c>
      <c r="F98" s="288">
        <f>(1-C98/C60)</f>
        <v>0.48799999999999999</v>
      </c>
    </row>
    <row r="100" spans="2:8" ht="13.15">
      <c r="B100" s="109" t="s">
        <v>375</v>
      </c>
      <c r="G100" s="2"/>
      <c r="H100" s="278"/>
    </row>
    <row r="101" spans="2:8">
      <c r="B101" s="146" t="s">
        <v>380</v>
      </c>
      <c r="C101" s="134">
        <f>Thesis!F31</f>
        <v>7.4999999999999997E-2</v>
      </c>
      <c r="G101" s="2"/>
      <c r="H101" s="278"/>
    </row>
    <row r="102" spans="2:8">
      <c r="B102" s="100" t="s">
        <v>117</v>
      </c>
      <c r="C102" s="116">
        <f>PV(C101, C81, -C82, 0)</f>
        <v>0</v>
      </c>
      <c r="D102" s="116"/>
      <c r="G102" s="2"/>
      <c r="H102" s="278"/>
    </row>
    <row r="103" spans="2:8">
      <c r="B103" s="100" t="s">
        <v>118</v>
      </c>
      <c r="C103" s="116">
        <f>C60/(1+C101)^C81</f>
        <v>155.52575116033987</v>
      </c>
      <c r="D103" s="116"/>
      <c r="G103" s="2"/>
      <c r="H103" s="278"/>
    </row>
    <row r="104" spans="2:8" ht="13.15">
      <c r="B104" s="110" t="s">
        <v>376</v>
      </c>
      <c r="C104" s="111">
        <f>C102+C103</f>
        <v>155.52575116033987</v>
      </c>
      <c r="D104" t="s">
        <v>374</v>
      </c>
      <c r="E104" s="144" t="s">
        <v>122</v>
      </c>
      <c r="F104" s="288">
        <f>(1-C104/C60)</f>
        <v>0.19503943049039696</v>
      </c>
    </row>
    <row r="105" spans="2:8">
      <c r="B105" s="100"/>
    </row>
    <row r="106" spans="2:8" ht="13.15">
      <c r="B106" s="109" t="s">
        <v>395</v>
      </c>
    </row>
    <row r="107" spans="2:8">
      <c r="B107" s="146" t="s">
        <v>394</v>
      </c>
      <c r="C107" s="134">
        <f>Thesis!F32</f>
        <v>0.1174</v>
      </c>
    </row>
    <row r="108" spans="2:8">
      <c r="B108" s="100" t="s">
        <v>117</v>
      </c>
      <c r="C108" s="116">
        <f>PV(C107, C81, -C82, 0)</f>
        <v>0</v>
      </c>
      <c r="D108" s="116"/>
    </row>
    <row r="109" spans="2:8">
      <c r="B109" s="100" t="s">
        <v>118</v>
      </c>
      <c r="C109" s="116">
        <f>C60/(1+C107)^C81</f>
        <v>138.48466961992941</v>
      </c>
      <c r="D109" s="116"/>
    </row>
    <row r="110" spans="2:8" ht="13.15">
      <c r="B110" s="110" t="s">
        <v>376</v>
      </c>
      <c r="C110" s="111">
        <f>C108+C109</f>
        <v>138.48466961992941</v>
      </c>
      <c r="D110" t="s">
        <v>374</v>
      </c>
      <c r="E110" s="144" t="s">
        <v>122</v>
      </c>
      <c r="F110" s="288">
        <f>(1-C110/C71)</f>
        <v>0.28325363688479588</v>
      </c>
    </row>
    <row r="111" spans="2:8">
      <c r="B111" s="100"/>
    </row>
    <row r="112" spans="2:8" ht="14.65">
      <c r="E112" s="282" t="s">
        <v>312</v>
      </c>
      <c r="F112" s="279"/>
    </row>
    <row r="113" spans="5:6" ht="13.9">
      <c r="E113" s="275" t="s">
        <v>313</v>
      </c>
      <c r="F113" s="280" t="s">
        <v>314</v>
      </c>
    </row>
    <row r="114" spans="5:6" ht="13.9">
      <c r="E114" s="276" t="s">
        <v>313</v>
      </c>
      <c r="F114" s="280" t="s">
        <v>315</v>
      </c>
    </row>
    <row r="115" spans="5:6" ht="13.9">
      <c r="E115" s="277" t="s">
        <v>313</v>
      </c>
      <c r="F115" s="281" t="s">
        <v>316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31" sqref="D31"/>
    </sheetView>
  </sheetViews>
  <sheetFormatPr defaultRowHeight="12.75"/>
  <cols>
    <col min="1" max="1" width="2.59765625" customWidth="1"/>
    <col min="2" max="2" width="22.73046875" customWidth="1"/>
    <col min="3" max="5" width="20.73046875" customWidth="1"/>
  </cols>
  <sheetData>
    <row r="2" spans="2:5" ht="13.9">
      <c r="B2" s="36" t="s">
        <v>426</v>
      </c>
      <c r="C2" s="37"/>
      <c r="D2" s="37"/>
      <c r="E2"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427</v>
      </c>
      <c r="C1" s="33">
        <f>Thesis!C1</f>
        <v>45797</v>
      </c>
      <c r="D1" s="352" t="str">
        <f>Thesis!D1</f>
        <v>INT</v>
      </c>
      <c r="E1" s="289" t="s">
        <v>340</v>
      </c>
      <c r="F1" s="304" t="str">
        <f>Thesis!F1</f>
        <v>N</v>
      </c>
    </row>
    <row r="2" spans="1:10" ht="13.9">
      <c r="A2" s="219" t="s">
        <v>428</v>
      </c>
      <c r="B2" s="36"/>
      <c r="C2" s="36"/>
      <c r="D2" s="36"/>
      <c r="E2" s="36"/>
      <c r="F2" s="36"/>
      <c r="G2" s="22"/>
      <c r="H2" s="22"/>
      <c r="I2" s="22"/>
      <c r="J2" s="22"/>
    </row>
    <row r="4" spans="1:10">
      <c r="B4" s="45" t="s">
        <v>429</v>
      </c>
      <c r="C4" s="46"/>
      <c r="D4" s="5"/>
      <c r="E4" s="2"/>
      <c r="F4" s="2"/>
    </row>
    <row r="5" spans="1:10" ht="12.4">
      <c r="B5" s="4" t="s">
        <v>469</v>
      </c>
      <c r="C5" s="353" t="str">
        <f>Thesis!C5</f>
        <v>美团</v>
      </c>
    </row>
    <row r="6" spans="1:10">
      <c r="B6" s="4" t="s">
        <v>470</v>
      </c>
      <c r="C6" s="34">
        <f>Common_Shares</f>
        <v>9264431217</v>
      </c>
      <c r="E6" s="48"/>
    </row>
    <row r="7" spans="1:10">
      <c r="B7" s="2" t="s">
        <v>471</v>
      </c>
      <c r="C7" s="354">
        <f>Thesis!C7</f>
        <v>6</v>
      </c>
      <c r="D7" s="48"/>
      <c r="E7" s="48"/>
    </row>
    <row r="8" spans="1:10">
      <c r="B8" s="1" t="s">
        <v>472</v>
      </c>
      <c r="C8" s="33">
        <f>EOMONTH(EDATE(BS!C1,C7+2),0)</f>
        <v>46081</v>
      </c>
      <c r="E8" s="48"/>
    </row>
    <row r="9" spans="1:10">
      <c r="E9" s="34"/>
    </row>
    <row r="10" spans="1:10">
      <c r="B10" s="45" t="s">
        <v>430</v>
      </c>
      <c r="C10" s="46"/>
      <c r="E10" s="34"/>
    </row>
    <row r="11" spans="1:10">
      <c r="B11" s="1" t="s">
        <v>473</v>
      </c>
      <c r="C11" s="359" t="str">
        <f>Thesis!C11</f>
        <v>3690.HK</v>
      </c>
      <c r="D11" s="49"/>
      <c r="E11" s="34"/>
    </row>
    <row r="12" spans="1:10">
      <c r="B12" s="4" t="s">
        <v>474</v>
      </c>
      <c r="C12" s="360">
        <f>Market_Price</f>
        <v>96.9</v>
      </c>
      <c r="D12" s="50"/>
      <c r="E12" s="48"/>
    </row>
    <row r="13" spans="1:10">
      <c r="B13" s="1" t="s">
        <v>475</v>
      </c>
      <c r="C13" s="32" t="str">
        <f>Market_currency</f>
        <v>HKD</v>
      </c>
      <c r="D13" s="48"/>
      <c r="E13" s="5"/>
    </row>
    <row r="14" spans="1:10">
      <c r="B14" s="4" t="s">
        <v>476</v>
      </c>
      <c r="C14" s="35">
        <f>投资主题!C12*Common_Shares/1000000</f>
        <v>897723.38492730004</v>
      </c>
      <c r="D14" s="35" t="str">
        <f>IF(D11="","",投资主题!D12*Common_Shares/1000000)</f>
        <v/>
      </c>
      <c r="E14" s="5"/>
    </row>
    <row r="15" spans="1:10">
      <c r="B15" s="4" t="s">
        <v>477</v>
      </c>
      <c r="C15" s="32" t="str">
        <f>IF(C25=C13,C13,C25&amp;"/"&amp;C13)</f>
        <v>CNY/HKD</v>
      </c>
      <c r="D15" s="32" t="str">
        <f>IF(D11="","",IF(C25=D13,D13,C25&amp;"/"&amp;D13))</f>
        <v/>
      </c>
      <c r="E15" s="5"/>
    </row>
    <row r="16" spans="1:10">
      <c r="B16" s="4" t="s">
        <v>478</v>
      </c>
      <c r="C16" s="360">
        <f>Exchange_Rate</f>
        <v>1.0923594000000001</v>
      </c>
      <c r="D16" s="50"/>
      <c r="E16" s="5"/>
    </row>
    <row r="17" spans="2:6">
      <c r="D17" s="5"/>
      <c r="E17" s="5"/>
    </row>
    <row r="18" spans="2:6" ht="24.6" customHeight="1">
      <c r="B18" s="373" t="s">
        <v>479</v>
      </c>
      <c r="C18" s="373"/>
      <c r="D18" s="373"/>
      <c r="E18" s="373"/>
      <c r="F18" s="373"/>
    </row>
    <row r="20" spans="2:6">
      <c r="B20" s="45" t="s">
        <v>480</v>
      </c>
      <c r="C20" s="46"/>
      <c r="D20" s="5"/>
    </row>
    <row r="21" spans="2:6">
      <c r="B21" s="2" t="s">
        <v>431</v>
      </c>
      <c r="C21" s="32" t="str">
        <f>IF(Scenarios!C74="Y",Scenarios!B74,"")&amp;IF(Scenarios!C75="Y",Scenarios!B75,"")&amp;IF(Scenarios!C76="Y",Scenarios!B76,"")&amp;" "&amp;IF(Scenarios!C77="Y",Scenarios!B77,"")</f>
        <v xml:space="preserve">High Growth </v>
      </c>
      <c r="D21" s="1" t="s">
        <v>437</v>
      </c>
      <c r="E21" s="357" t="str">
        <f>valuation_method</f>
        <v>DCF</v>
      </c>
    </row>
    <row r="22" spans="2:6">
      <c r="B22" s="2" t="s">
        <v>432</v>
      </c>
      <c r="C22" s="32" t="str">
        <f>Thesis!C22</f>
        <v>TMT_01</v>
      </c>
      <c r="D22" s="1" t="str">
        <f>IF(valuation_method="DDM","终值贴现率","")</f>
        <v/>
      </c>
      <c r="E22" s="358">
        <f>Thesis!E22</f>
        <v>0</v>
      </c>
    </row>
    <row r="23" spans="2:6">
      <c r="B23" s="1" t="s">
        <v>433</v>
      </c>
      <c r="C23" s="250" t="str">
        <f>Thesis!C23</f>
        <v>N</v>
      </c>
    </row>
    <row r="24" spans="2:6">
      <c r="B24" s="1" t="s">
        <v>434</v>
      </c>
      <c r="C24" s="250" t="str">
        <f>Thesis!C24</f>
        <v>N</v>
      </c>
    </row>
    <row r="25" spans="2:6">
      <c r="B25" s="4" t="s">
        <v>435</v>
      </c>
      <c r="C25" s="32" t="str">
        <f>Reporting_currency</f>
        <v>CNY</v>
      </c>
      <c r="D25" s="32" t="str">
        <f>IF(D11="","",Market_currency&amp;"/"&amp;D13&amp;":")</f>
        <v/>
      </c>
      <c r="E25" s="296" t="str">
        <f>IF(D11="","",1/Exchange_Rate*D16)</f>
        <v/>
      </c>
    </row>
    <row r="26" spans="2:6">
      <c r="B26" s="1" t="str">
        <f>"预期股权价值 ("&amp;C13&amp;") :"</f>
        <v>预期股权价值 (HKD) :</v>
      </c>
      <c r="C26" s="301">
        <f>C132</f>
        <v>193.20915464851782</v>
      </c>
      <c r="D26" s="1" t="s">
        <v>436</v>
      </c>
      <c r="E26" s="298">
        <f ca="1">Scenarios!C92</f>
        <v>0.25863935692204554</v>
      </c>
    </row>
    <row r="27" spans="2:6">
      <c r="D27" s="5"/>
      <c r="E27" s="5"/>
    </row>
    <row r="28" spans="2:6">
      <c r="B28" s="45" t="s">
        <v>438</v>
      </c>
      <c r="C28" s="306" t="str">
        <f>C145&amp;" ("&amp;Market_currency&amp;")"</f>
        <v>3690.HK (HKD)</v>
      </c>
      <c r="D28" s="306" t="str">
        <f>IF(D11="","",D145&amp;" ("&amp;D13&amp;")")</f>
        <v/>
      </c>
      <c r="E28" s="302" t="s">
        <v>443</v>
      </c>
      <c r="F28" s="355">
        <f>Thesis!F28</f>
        <v>3</v>
      </c>
    </row>
    <row r="29" spans="2:6">
      <c r="B29" s="1" t="s">
        <v>439</v>
      </c>
      <c r="C29" s="307">
        <f>C149</f>
        <v>78.528335984765647</v>
      </c>
      <c r="D29" s="307" t="str">
        <f>D149</f>
        <v/>
      </c>
      <c r="E29" s="303" t="s">
        <v>445</v>
      </c>
      <c r="F29" s="356">
        <f>Thesis!F29</f>
        <v>0.35</v>
      </c>
    </row>
    <row r="30" spans="2:6">
      <c r="B30" s="1" t="s">
        <v>440</v>
      </c>
      <c r="C30" s="308">
        <f>C157</f>
        <v>98.923087180041122</v>
      </c>
      <c r="D30" s="308" t="str">
        <f>D157</f>
        <v/>
      </c>
      <c r="E30" s="304" t="s">
        <v>444</v>
      </c>
      <c r="F30" s="221">
        <f>Thesis!F30</f>
        <v>0.25</v>
      </c>
    </row>
    <row r="31" spans="2:6">
      <c r="B31" s="1" t="s">
        <v>441</v>
      </c>
      <c r="C31" s="308">
        <f>C165</f>
        <v>155.52575116033987</v>
      </c>
      <c r="D31" s="308" t="str">
        <f>D165</f>
        <v/>
      </c>
      <c r="E31" s="304" t="s">
        <v>481</v>
      </c>
      <c r="F31" s="221">
        <f>Thesis!F31</f>
        <v>7.4999999999999997E-2</v>
      </c>
    </row>
    <row r="32" spans="2:6">
      <c r="B32" s="1" t="s">
        <v>442</v>
      </c>
      <c r="C32" s="308">
        <f>C173</f>
        <v>138.48466961992941</v>
      </c>
      <c r="D32" s="308" t="str">
        <f>D173</f>
        <v/>
      </c>
      <c r="E32" s="304" t="s">
        <v>446</v>
      </c>
      <c r="F32" s="221">
        <f>Thesis!F32</f>
        <v>0.1174</v>
      </c>
    </row>
    <row r="33" spans="1:6">
      <c r="D33" s="5"/>
      <c r="E33" s="5"/>
    </row>
    <row r="34" spans="1:6" ht="13.9">
      <c r="A34" s="219" t="s">
        <v>447</v>
      </c>
      <c r="B34" s="36"/>
      <c r="C34" s="36"/>
      <c r="D34" s="36"/>
      <c r="E34" s="36"/>
      <c r="F34" s="36"/>
    </row>
    <row r="36" spans="1:6" ht="24.6" customHeight="1">
      <c r="B36" s="373" t="s">
        <v>482</v>
      </c>
      <c r="C36" s="373"/>
      <c r="D36" s="373"/>
      <c r="E36" s="373"/>
      <c r="F36" s="373"/>
    </row>
    <row r="37" spans="1:6" ht="24.6" customHeight="1">
      <c r="B37" s="376" t="s">
        <v>326</v>
      </c>
      <c r="C37" s="376"/>
      <c r="D37" s="376"/>
      <c r="E37" s="376"/>
      <c r="F37" s="376"/>
    </row>
    <row r="39" spans="1:6">
      <c r="B39" s="207" t="s">
        <v>483</v>
      </c>
      <c r="C39" s="108">
        <f>scaling_factor</f>
        <v>1000</v>
      </c>
    </row>
    <row r="40" spans="1:6">
      <c r="B40" s="374" t="s">
        <v>484</v>
      </c>
      <c r="C40" s="374"/>
      <c r="D40" s="374"/>
      <c r="E40" s="374"/>
      <c r="F40" s="374"/>
    </row>
    <row r="41" spans="1:6">
      <c r="B41" s="47" t="s">
        <v>226</v>
      </c>
      <c r="C41" s="343">
        <f>Normalized_FCF!C8</f>
        <v>25730687.208000004</v>
      </c>
      <c r="D41" s="1" t="str">
        <f>Reporting_currency</f>
        <v>CNY</v>
      </c>
    </row>
    <row r="42" spans="1:6">
      <c r="B42" s="47"/>
      <c r="C42" s="76"/>
    </row>
    <row r="43" spans="1:6" ht="24.6" customHeight="1">
      <c r="B43" s="374" t="s">
        <v>485</v>
      </c>
      <c r="C43" s="374"/>
      <c r="D43" s="374"/>
      <c r="E43" s="374"/>
      <c r="F43" s="374"/>
    </row>
    <row r="44" spans="1:6">
      <c r="B44" s="47" t="s">
        <v>228</v>
      </c>
      <c r="C44" s="343">
        <f>Normalized_FCF!C9</f>
        <v>0</v>
      </c>
      <c r="D44" s="1" t="str">
        <f>Reporting_currency</f>
        <v>CNY</v>
      </c>
    </row>
    <row r="45" spans="1:6">
      <c r="B45" s="52" t="s">
        <v>229</v>
      </c>
      <c r="C45" s="343">
        <f>Normalized_FCF!C10</f>
        <v>0</v>
      </c>
      <c r="D45" s="1" t="str">
        <f>Reporting_currency</f>
        <v>CNY</v>
      </c>
    </row>
    <row r="47" spans="1:6">
      <c r="B47" s="374" t="s">
        <v>486</v>
      </c>
      <c r="C47" s="374"/>
      <c r="D47" s="374"/>
      <c r="E47" s="374"/>
      <c r="F47" s="374"/>
    </row>
    <row r="48" spans="1:6">
      <c r="B48" s="47" t="s">
        <v>231</v>
      </c>
      <c r="C48" s="343">
        <f>Normalized_FCF!C11</f>
        <v>0</v>
      </c>
      <c r="D48" s="1" t="str">
        <f>Reporting_currency</f>
        <v>CNY</v>
      </c>
    </row>
    <row r="50" spans="2:6">
      <c r="B50" s="374" t="s">
        <v>487</v>
      </c>
      <c r="C50" s="374"/>
      <c r="D50" s="374"/>
      <c r="E50" s="374"/>
      <c r="F50" s="374"/>
    </row>
    <row r="51" spans="2:6">
      <c r="B51" s="47" t="s">
        <v>327</v>
      </c>
      <c r="C51" s="344">
        <f>Normalized_FCF!C46</f>
        <v>0</v>
      </c>
      <c r="D51" s="1" t="str">
        <f>Reporting_currency</f>
        <v>CNY</v>
      </c>
      <c r="E51" s="283"/>
      <c r="F51" s="283"/>
    </row>
    <row r="52" spans="2:6">
      <c r="B52" s="47" t="s">
        <v>328</v>
      </c>
      <c r="C52" s="344">
        <f>Normalized_FCF!C45</f>
        <v>-1337038</v>
      </c>
      <c r="D52" s="1" t="str">
        <f>Reporting_currency</f>
        <v>CNY</v>
      </c>
      <c r="E52" s="283"/>
      <c r="F52" s="283"/>
    </row>
    <row r="53" spans="2:6">
      <c r="B53" s="47" t="s">
        <v>232</v>
      </c>
      <c r="C53" s="343">
        <f>Normalized_FCF!C12</f>
        <v>-1337038</v>
      </c>
      <c r="D53" s="1" t="str">
        <f>Reporting_currency</f>
        <v>CNY</v>
      </c>
    </row>
    <row r="55" spans="2:6">
      <c r="B55" s="1" t="s">
        <v>488</v>
      </c>
    </row>
    <row r="56" spans="2:6">
      <c r="B56" s="47" t="s">
        <v>258</v>
      </c>
      <c r="C56" s="343">
        <f>Normalized_FCF!C15</f>
        <v>0</v>
      </c>
      <c r="D56" s="1" t="str">
        <f>Reporting_currency</f>
        <v>CNY</v>
      </c>
    </row>
    <row r="58" spans="2:6">
      <c r="B58" s="374" t="s">
        <v>235</v>
      </c>
      <c r="C58" s="374"/>
      <c r="D58" s="374"/>
      <c r="E58" s="374"/>
      <c r="F58" s="374"/>
    </row>
    <row r="59" spans="2:6">
      <c r="B59" s="47" t="s">
        <v>233</v>
      </c>
      <c r="C59" s="343">
        <f>Normalized_FCF!C14</f>
        <v>-6098412.3020000011</v>
      </c>
      <c r="D59" s="1" t="str">
        <f>Reporting_currency</f>
        <v>CNY</v>
      </c>
    </row>
    <row r="61" spans="2:6">
      <c r="B61" s="374" t="s">
        <v>489</v>
      </c>
      <c r="C61" s="375"/>
      <c r="D61" s="375"/>
      <c r="E61" s="375"/>
      <c r="F61" s="375"/>
    </row>
    <row r="62" spans="2:6">
      <c r="B62" s="47" t="s">
        <v>236</v>
      </c>
      <c r="C62" s="343">
        <f>Normalized_FCF!C17</f>
        <v>0</v>
      </c>
      <c r="D62" s="1" t="str">
        <f>Reporting_currency</f>
        <v>CNY</v>
      </c>
    </row>
    <row r="64" spans="2:6">
      <c r="B64" s="373" t="s">
        <v>490</v>
      </c>
      <c r="C64" s="373"/>
      <c r="D64" s="373"/>
      <c r="E64" s="373"/>
      <c r="F64" s="373"/>
    </row>
    <row r="65" spans="1:6">
      <c r="B65" s="373" t="s">
        <v>491</v>
      </c>
      <c r="C65" s="373"/>
      <c r="D65" s="373"/>
      <c r="E65" s="373"/>
      <c r="F65" s="373"/>
    </row>
    <row r="67" spans="1:6">
      <c r="B67" s="47" t="s">
        <v>492</v>
      </c>
      <c r="C67" s="343">
        <f>Normalized_FCF!G19</f>
        <v>30511267</v>
      </c>
      <c r="D67" s="1" t="str">
        <f>Reporting_currency</f>
        <v>CNY</v>
      </c>
    </row>
    <row r="68" spans="1:6">
      <c r="B68" s="47" t="s">
        <v>242</v>
      </c>
      <c r="C68" s="343">
        <f>Normalized_FCF!C19</f>
        <v>18295236.906000003</v>
      </c>
      <c r="D68" s="1" t="str">
        <f>Reporting_currency</f>
        <v>CNY</v>
      </c>
    </row>
    <row r="69" spans="1:6">
      <c r="B69" s="224" t="s">
        <v>368</v>
      </c>
      <c r="C69" s="92">
        <f>Normalized_FCF!C124</f>
        <v>2.2261839610109361E-2</v>
      </c>
      <c r="F69" s="311"/>
    </row>
    <row r="70" spans="1:6">
      <c r="B70" s="224" t="s">
        <v>424</v>
      </c>
      <c r="C70" s="92">
        <f>Normalized_FCF!C92</f>
        <v>0</v>
      </c>
      <c r="E70" s="47" t="s">
        <v>493</v>
      </c>
      <c r="F70" s="312">
        <f>Normalized_FCF!C90</f>
        <v>0</v>
      </c>
    </row>
    <row r="72" spans="1:6">
      <c r="B72" s="207" t="s">
        <v>503</v>
      </c>
      <c r="C72" s="319" t="s">
        <v>419</v>
      </c>
      <c r="D72" s="319" t="s">
        <v>494</v>
      </c>
    </row>
    <row r="73" spans="1:6">
      <c r="B73" s="47" t="s">
        <v>418</v>
      </c>
      <c r="C73" s="92">
        <f>Normalized_FCF!C119</f>
        <v>0.1323601282543268</v>
      </c>
      <c r="D73" s="92">
        <f>Normalized_FCF!G119</f>
        <v>0.17737357071089666</v>
      </c>
    </row>
    <row r="74" spans="1:6">
      <c r="B74" s="256" t="str">
        <f>Normalized_FCF!B116</f>
        <v>Pre-tax Profit/Sales</v>
      </c>
      <c r="C74" s="318">
        <f>Normalized_FCF!C116</f>
        <v>6.0214894125991673E-2</v>
      </c>
      <c r="D74" s="318">
        <f>Normalized_FCF!G116</f>
        <v>9.6831554232857997E-2</v>
      </c>
    </row>
    <row r="75" spans="1:6">
      <c r="B75" s="256" t="str">
        <f>Normalized_FCF!B117</f>
        <v>Sales/Total Assets</v>
      </c>
      <c r="C75" s="320">
        <f>Normalized_FCF!C117</f>
        <v>1.2268689589214112</v>
      </c>
      <c r="D75" s="320">
        <f>Normalized_FCF!G117</f>
        <v>1.022390799101176</v>
      </c>
    </row>
    <row r="76" spans="1:6">
      <c r="B76" s="256" t="str">
        <f>Normalized_FCF!B118</f>
        <v>Total Assets/Equity</v>
      </c>
      <c r="C76" s="320">
        <f>Normalized_FCF!C118</f>
        <v>1.7916578376478161</v>
      </c>
      <c r="D76" s="320">
        <f>Normalized_FCF!G118</f>
        <v>1.7916578376478161</v>
      </c>
    </row>
    <row r="78" spans="1:6" ht="13.9">
      <c r="A78" s="219" t="s">
        <v>495</v>
      </c>
      <c r="B78" s="36"/>
      <c r="C78" s="36"/>
      <c r="D78" s="36"/>
      <c r="E78" s="36"/>
      <c r="F78" s="36"/>
    </row>
    <row r="79" spans="1:6">
      <c r="A79" s="206"/>
    </row>
    <row r="80" spans="1:6">
      <c r="A80" s="17"/>
      <c r="B80" s="373" t="s">
        <v>496</v>
      </c>
      <c r="C80" s="373"/>
      <c r="D80" s="373"/>
      <c r="E80" s="373"/>
      <c r="F80" s="373"/>
    </row>
    <row r="81" spans="1:6">
      <c r="B81" s="376" t="s">
        <v>245</v>
      </c>
      <c r="C81" s="376"/>
      <c r="D81" s="376"/>
      <c r="E81" s="376"/>
      <c r="F81" s="376"/>
    </row>
    <row r="83" spans="1:6">
      <c r="B83" s="207" t="s">
        <v>483</v>
      </c>
    </row>
    <row r="84" spans="1:6">
      <c r="B84" s="1" t="s">
        <v>404</v>
      </c>
      <c r="C84" s="92">
        <f>F31</f>
        <v>7.4999999999999997E-2</v>
      </c>
    </row>
    <row r="85" spans="1:6">
      <c r="B85" s="1" t="s">
        <v>403</v>
      </c>
      <c r="C85" s="92">
        <f>IF(C23="Y",1%,0)+IF(C24="Y",1%,0)</f>
        <v>0</v>
      </c>
    </row>
    <row r="86" spans="1:6">
      <c r="B86" s="80" t="s">
        <v>241</v>
      </c>
      <c r="C86" s="233">
        <f>F31+C85</f>
        <v>7.4999999999999997E-2</v>
      </c>
    </row>
    <row r="87" spans="1:6">
      <c r="C87" s="121"/>
    </row>
    <row r="88" spans="1:6">
      <c r="B88" s="290" t="s">
        <v>502</v>
      </c>
      <c r="C88" s="121"/>
    </row>
    <row r="89" spans="1:6">
      <c r="B89" s="373" t="s">
        <v>497</v>
      </c>
      <c r="C89" s="373"/>
      <c r="D89" s="373"/>
      <c r="E89" s="373"/>
      <c r="F89" s="373"/>
    </row>
    <row r="90" spans="1:6">
      <c r="B90" s="373" t="s">
        <v>498</v>
      </c>
      <c r="C90" s="373"/>
      <c r="D90" s="373"/>
      <c r="E90" s="373"/>
      <c r="F90" s="373"/>
    </row>
    <row r="92" spans="1:6">
      <c r="B92" s="47" t="s">
        <v>244</v>
      </c>
      <c r="C92" s="233">
        <v>0</v>
      </c>
    </row>
    <row r="93" spans="1:6">
      <c r="B93" s="47" t="s">
        <v>272</v>
      </c>
      <c r="C93" s="220">
        <f>DCF!C6*scaling_factor*Exchange_Rate/Common_Shares</f>
        <v>28.762296776261294</v>
      </c>
      <c r="D93" s="1" t="str">
        <f>Market_currency</f>
        <v>HKD</v>
      </c>
    </row>
    <row r="95" spans="1:6" ht="13.9">
      <c r="A95" s="219" t="s">
        <v>499</v>
      </c>
      <c r="B95" s="36"/>
      <c r="C95" s="36"/>
      <c r="D95" s="36"/>
      <c r="E95" s="36"/>
      <c r="F95" s="36"/>
    </row>
    <row r="96" spans="1:6">
      <c r="A96" s="206"/>
    </row>
    <row r="97" spans="2:6">
      <c r="B97" s="373" t="s">
        <v>500</v>
      </c>
      <c r="C97" s="373"/>
      <c r="D97" s="373"/>
      <c r="E97" s="373"/>
      <c r="F97" s="373"/>
    </row>
    <row r="98" spans="2:6">
      <c r="B98" s="1" t="s">
        <v>246</v>
      </c>
    </row>
    <row r="100" spans="2:6">
      <c r="B100" s="207" t="s">
        <v>483</v>
      </c>
    </row>
    <row r="101" spans="2:6">
      <c r="B101" s="373" t="s">
        <v>501</v>
      </c>
      <c r="C101" s="373"/>
      <c r="D101" s="373"/>
      <c r="E101" s="373"/>
      <c r="F101" s="373"/>
    </row>
    <row r="102" spans="2:6">
      <c r="B102" s="47" t="s">
        <v>248</v>
      </c>
      <c r="C102" s="343">
        <f>DCF!C7</f>
        <v>50977402</v>
      </c>
      <c r="D102" s="1" t="str">
        <f>Reporting_currency</f>
        <v>CNY</v>
      </c>
    </row>
    <row r="103" spans="2:6">
      <c r="B103" s="47" t="s">
        <v>273</v>
      </c>
      <c r="C103" s="220">
        <f>C102*scaling_factor*Exchange_Rate/Common_Shares</f>
        <v>6.0106921793641295</v>
      </c>
      <c r="D103" s="1" t="str">
        <f>Market_currency</f>
        <v>HKD</v>
      </c>
    </row>
    <row r="104" spans="2:6">
      <c r="B104" s="293" t="s">
        <v>381</v>
      </c>
      <c r="C104" s="321">
        <f>IF(BS!G31/BS!G27&gt;300%,"nm",BS!G31/BS!G27)</f>
        <v>0.27660377540313014</v>
      </c>
    </row>
    <row r="105" spans="2:6">
      <c r="B105" s="293" t="s">
        <v>383</v>
      </c>
      <c r="C105" s="322">
        <f>IF(BS!C50&gt;30,"nm",BS!C50)</f>
        <v>1.9811908476408848</v>
      </c>
    </row>
    <row r="107" spans="2:6">
      <c r="B107" s="1" t="s">
        <v>504</v>
      </c>
    </row>
    <row r="108" spans="2:6">
      <c r="B108" s="47" t="s">
        <v>257</v>
      </c>
      <c r="C108" s="343">
        <f>BS!C66</f>
        <v>119577005</v>
      </c>
      <c r="D108" s="1" t="str">
        <f>Reporting_currency</f>
        <v>CNY</v>
      </c>
    </row>
    <row r="109" spans="2:6">
      <c r="B109" s="47" t="s">
        <v>259</v>
      </c>
      <c r="C109" s="343">
        <f>DCF!C8</f>
        <v>56347137.668000005</v>
      </c>
      <c r="D109" s="1" t="str">
        <f>Reporting_currency</f>
        <v>CNY</v>
      </c>
    </row>
    <row r="110" spans="2:6">
      <c r="B110" s="47" t="s">
        <v>274</v>
      </c>
      <c r="C110" s="220">
        <f>C109*scaling_factor*Exchange_Rate/Common_Shares</f>
        <v>6.6438320985954054</v>
      </c>
      <c r="D110" s="1" t="str">
        <f>Market_currency</f>
        <v>HKD</v>
      </c>
    </row>
    <row r="112" spans="2:6">
      <c r="B112" s="1" t="s">
        <v>505</v>
      </c>
    </row>
    <row r="113" spans="1:6">
      <c r="B113" s="47" t="s">
        <v>250</v>
      </c>
      <c r="C113" s="343">
        <f>DCF!C9</f>
        <v>57918846.499999993</v>
      </c>
      <c r="D113" s="1" t="str">
        <f>Reporting_currency</f>
        <v>CNY</v>
      </c>
    </row>
    <row r="114" spans="1:6">
      <c r="B114" s="47" t="s">
        <v>275</v>
      </c>
      <c r="C114" s="220">
        <f>C113*scaling_factor*Exchange_Rate/Common_Shares</f>
        <v>6.829150643952814</v>
      </c>
      <c r="D114" s="1" t="str">
        <f>Market_currency</f>
        <v>HKD</v>
      </c>
    </row>
    <row r="116" spans="1:6">
      <c r="B116" s="373" t="s">
        <v>506</v>
      </c>
      <c r="C116" s="373"/>
      <c r="D116" s="373"/>
      <c r="E116" s="373"/>
      <c r="F116" s="373"/>
    </row>
    <row r="118" spans="1:6">
      <c r="B118" s="47" t="s">
        <v>507</v>
      </c>
      <c r="C118" s="220">
        <f>IF(valuation_method="DCF",DCF!C12,#REF!)</f>
        <v>36.224587339445385</v>
      </c>
      <c r="D118" s="1" t="str">
        <f>Market_currency</f>
        <v>HKD</v>
      </c>
    </row>
    <row r="119" spans="1:6">
      <c r="B119" s="293" t="s">
        <v>540</v>
      </c>
      <c r="C119" s="220">
        <f>BS!D47</f>
        <v>3.4814224065804482</v>
      </c>
      <c r="D119" s="1" t="str">
        <f>Market_currency</f>
        <v>HKD</v>
      </c>
    </row>
    <row r="121" spans="1:6" ht="13.9">
      <c r="A121" s="219" t="s">
        <v>508</v>
      </c>
      <c r="B121" s="36"/>
      <c r="C121" s="36"/>
      <c r="D121" s="36"/>
      <c r="E121" s="36"/>
      <c r="F121" s="36"/>
    </row>
    <row r="123" spans="1:6">
      <c r="B123" s="374" t="s">
        <v>509</v>
      </c>
      <c r="C123" s="374"/>
      <c r="D123" s="374"/>
      <c r="E123" s="374"/>
      <c r="F123" s="374"/>
    </row>
    <row r="125" spans="1:6" ht="12.4">
      <c r="B125" s="230" t="s">
        <v>510</v>
      </c>
      <c r="C125" s="230" t="s">
        <v>511</v>
      </c>
      <c r="D125" s="230" t="s">
        <v>108</v>
      </c>
      <c r="E125" s="230" t="s">
        <v>512</v>
      </c>
      <c r="F125" s="230" t="s">
        <v>513</v>
      </c>
    </row>
    <row r="126" spans="1:6">
      <c r="B126" s="225" t="str">
        <f>DCF!B74</f>
        <v>Snowball Scenario</v>
      </c>
      <c r="C126" s="226">
        <f>DCF!C74</f>
        <v>0.34</v>
      </c>
      <c r="D126" s="227">
        <f>DCF!D74</f>
        <v>10</v>
      </c>
      <c r="E126" s="228" t="str">
        <f>ROUND(IF(valuation_method="DCF",DCF!E74,#REF!),2)&amp;" "&amp;Market_currency</f>
        <v>346.02 HKD</v>
      </c>
      <c r="F126" s="229">
        <f>DCF!F74</f>
        <v>0.05</v>
      </c>
    </row>
    <row r="127" spans="1:6">
      <c r="B127" s="215" t="str">
        <f>DCF!B75</f>
        <v>Optimistic</v>
      </c>
      <c r="C127" s="216">
        <f>DCF!C75</f>
        <v>0.28000000000000003</v>
      </c>
      <c r="D127" s="217">
        <f>DCF!D75</f>
        <v>10</v>
      </c>
      <c r="E127" s="228" t="str">
        <f>ROUND(IF(valuation_method="DCF",DCF!E75,#REF!),2)&amp;" "&amp;Market_currency</f>
        <v>254.77 HKD</v>
      </c>
      <c r="F127" s="218">
        <f>DCF!F75</f>
        <v>0.18</v>
      </c>
    </row>
    <row r="128" spans="1:6">
      <c r="B128" s="215" t="str">
        <f>DCF!B76</f>
        <v>Base</v>
      </c>
      <c r="C128" s="216">
        <f>DCF!C76</f>
        <v>0.22</v>
      </c>
      <c r="D128" s="217">
        <f>DCF!D76</f>
        <v>10</v>
      </c>
      <c r="E128" s="228" t="str">
        <f>ROUND(IF(valuation_method="DCF",DCF!E76,#REF!),2)&amp;" "&amp;Market_currency</f>
        <v>186.45 HKD</v>
      </c>
      <c r="F128" s="218">
        <f>DCF!F76</f>
        <v>0.53999999999999992</v>
      </c>
    </row>
    <row r="129" spans="1:6">
      <c r="B129" s="215" t="str">
        <f>DCF!B77</f>
        <v>Pessimistic</v>
      </c>
      <c r="C129" s="216">
        <f>DCF!C77</f>
        <v>0.16</v>
      </c>
      <c r="D129" s="217">
        <f>DCF!D77</f>
        <v>10</v>
      </c>
      <c r="E129" s="228" t="str">
        <f>ROUND(IF(valuation_method="DCF",DCF!E77,#REF!),2)&amp;" "&amp;Market_currency</f>
        <v>135.77 HKD</v>
      </c>
      <c r="F129" s="218">
        <f>DCF!F77</f>
        <v>0.18</v>
      </c>
    </row>
    <row r="130" spans="1:6">
      <c r="B130" s="215" t="str">
        <f>DCF!B78</f>
        <v>Devil's advocate</v>
      </c>
      <c r="C130" s="216">
        <f>DCF!C78</f>
        <v>0.1</v>
      </c>
      <c r="D130" s="217">
        <f>DCF!D78</f>
        <v>10</v>
      </c>
      <c r="E130" s="228" t="str">
        <f>ROUND(IF(valuation_method="DCF",DCF!E78,#REF!),2)&amp;" "&amp;Market_currency</f>
        <v>98.52 HKD</v>
      </c>
      <c r="F130" s="218">
        <f>DCF!F78</f>
        <v>0.05</v>
      </c>
    </row>
    <row r="132" spans="1:6">
      <c r="B132" s="208" t="s">
        <v>251</v>
      </c>
      <c r="C132" s="214">
        <f>Scenarios!C60</f>
        <v>193.20915464851782</v>
      </c>
      <c r="D132" s="209" t="str">
        <f>Market_currency</f>
        <v>HKD</v>
      </c>
    </row>
    <row r="134" spans="1:6">
      <c r="B134" s="377" t="s">
        <v>514</v>
      </c>
      <c r="C134" s="377"/>
      <c r="D134" s="377"/>
      <c r="E134" s="377"/>
      <c r="F134" s="377"/>
    </row>
    <row r="136" spans="1:6" ht="13.9">
      <c r="A136" s="219" t="s">
        <v>515</v>
      </c>
      <c r="B136" s="36"/>
      <c r="C136" s="36"/>
      <c r="D136" s="36"/>
      <c r="E136" s="36"/>
      <c r="F136" s="36"/>
    </row>
    <row r="138" spans="1:6">
      <c r="B138" s="378" t="s">
        <v>516</v>
      </c>
      <c r="C138" s="378"/>
      <c r="D138" s="378"/>
      <c r="E138" s="378"/>
      <c r="F138" s="378"/>
    </row>
    <row r="139" spans="1:6" ht="24.6" customHeight="1">
      <c r="B139" s="373" t="s">
        <v>517</v>
      </c>
      <c r="C139" s="373"/>
      <c r="D139" s="373"/>
      <c r="E139" s="373"/>
      <c r="F139" s="373"/>
    </row>
    <row r="140" spans="1:6">
      <c r="B140" s="207" t="s">
        <v>483</v>
      </c>
    </row>
    <row r="141" spans="1:6">
      <c r="B141" s="1" t="s">
        <v>518</v>
      </c>
      <c r="C141" s="222">
        <f>F28</f>
        <v>3</v>
      </c>
    </row>
    <row r="142" spans="1:6">
      <c r="B142" s="1" t="s">
        <v>519</v>
      </c>
      <c r="C142" s="221">
        <f>F29</f>
        <v>0.35</v>
      </c>
    </row>
    <row r="143" spans="1:6">
      <c r="B143" s="209" t="s">
        <v>520</v>
      </c>
      <c r="C143" s="210">
        <f>Scenarios!C82</f>
        <v>0</v>
      </c>
      <c r="D143" s="209" t="str">
        <f>Market_currency</f>
        <v>HKD</v>
      </c>
    </row>
    <row r="145" spans="2:4">
      <c r="B145" s="207" t="s">
        <v>521</v>
      </c>
      <c r="C145" s="238" t="str">
        <f>C11</f>
        <v>3690.HK</v>
      </c>
      <c r="D145" s="238" t="str">
        <f>IF(D11="","",D11)</f>
        <v/>
      </c>
    </row>
    <row r="146" spans="2:4">
      <c r="B146" s="1" t="s">
        <v>384</v>
      </c>
      <c r="C146" s="294">
        <f>F29</f>
        <v>0.35</v>
      </c>
    </row>
    <row r="147" spans="2:4">
      <c r="B147" s="209" t="str">
        <f>"PV("&amp;C141&amp;" yrs of Dividends)"</f>
        <v>PV(3 yrs of Dividends)</v>
      </c>
      <c r="C147" s="213">
        <f>Scenarios!C86</f>
        <v>0</v>
      </c>
    </row>
    <row r="148" spans="2:4">
      <c r="B148" s="209" t="str">
        <f>"+ PV(Equity Value realized at year "&amp;C141&amp;")"</f>
        <v>+ PV(Equity Value realized at year 3)</v>
      </c>
      <c r="C148" s="213">
        <f>Scenarios!C87</f>
        <v>78.528335984765647</v>
      </c>
    </row>
    <row r="149" spans="2:4">
      <c r="B149" s="80" t="s">
        <v>253</v>
      </c>
      <c r="C149" s="212">
        <f>Scenarios!C88</f>
        <v>78.528335984765647</v>
      </c>
      <c r="D149" s="297" t="str">
        <f>IF($D$11="","",C149*$E$25)</f>
        <v/>
      </c>
    </row>
    <row r="150" spans="2:4">
      <c r="B150" s="256" t="s">
        <v>522</v>
      </c>
      <c r="C150" s="295" t="str">
        <f>Market_currency</f>
        <v>HKD</v>
      </c>
      <c r="D150" s="295" t="str">
        <f>IF($D$11="","",D$13)</f>
        <v/>
      </c>
    </row>
    <row r="151" spans="2:4">
      <c r="B151" s="211" t="s">
        <v>523</v>
      </c>
      <c r="C151" s="92">
        <f>Scenarios!F88</f>
        <v>0.59355789259767322</v>
      </c>
    </row>
    <row r="153" spans="2:4">
      <c r="B153" s="207" t="s">
        <v>388</v>
      </c>
    </row>
    <row r="154" spans="2:4">
      <c r="B154" s="1" t="s">
        <v>387</v>
      </c>
      <c r="C154" s="294">
        <f>Scenarios!C95</f>
        <v>0.25</v>
      </c>
    </row>
    <row r="155" spans="2:4">
      <c r="B155" s="209" t="str">
        <f>"PV("&amp;C141&amp;" yrs of Dividends)"</f>
        <v>PV(3 yrs of Dividends)</v>
      </c>
      <c r="C155" s="213">
        <f>Scenarios!C96</f>
        <v>0</v>
      </c>
    </row>
    <row r="156" spans="2:4">
      <c r="B156" s="209" t="str">
        <f>"+ PV(Equity Value realized at year "&amp;C141&amp;")"</f>
        <v>+ PV(Equity Value realized at year 3)</v>
      </c>
      <c r="C156" s="213">
        <f>Scenarios!C97</f>
        <v>98.923087180041122</v>
      </c>
    </row>
    <row r="157" spans="2:4">
      <c r="B157" s="80" t="s">
        <v>253</v>
      </c>
      <c r="C157" s="212">
        <f>Scenarios!C98</f>
        <v>98.923087180041122</v>
      </c>
      <c r="D157" s="297" t="str">
        <f>IF($D$11="","",C157*$E$25)</f>
        <v/>
      </c>
    </row>
    <row r="158" spans="2:4">
      <c r="B158" s="256" t="s">
        <v>522</v>
      </c>
      <c r="C158" s="295" t="str">
        <f>Market_currency</f>
        <v>HKD</v>
      </c>
      <c r="D158" s="295" t="str">
        <f>IF($D$11="","",D$13)</f>
        <v/>
      </c>
    </row>
    <row r="159" spans="2:4">
      <c r="B159" s="211" t="s">
        <v>523</v>
      </c>
      <c r="C159" s="92">
        <f>Scenarios!F98</f>
        <v>0.48799999999999999</v>
      </c>
    </row>
    <row r="161" spans="2:4">
      <c r="B161" s="207" t="s">
        <v>378</v>
      </c>
    </row>
    <row r="162" spans="2:4">
      <c r="B162" s="1" t="s">
        <v>386</v>
      </c>
      <c r="C162" s="92">
        <f>Scenarios!C101</f>
        <v>7.4999999999999997E-2</v>
      </c>
    </row>
    <row r="163" spans="2:4">
      <c r="B163" s="209" t="str">
        <f>"PV("&amp;C141&amp;" yrs of Dividends)"</f>
        <v>PV(3 yrs of Dividends)</v>
      </c>
      <c r="C163" s="213">
        <f>Scenarios!C102</f>
        <v>0</v>
      </c>
    </row>
    <row r="164" spans="2:4">
      <c r="B164" s="209" t="str">
        <f>"+ PV(Equity Value realized at year "&amp;C141&amp;")"</f>
        <v>+ PV(Equity Value realized at year 3)</v>
      </c>
      <c r="C164" s="213">
        <f>Scenarios!C103</f>
        <v>155.52575116033987</v>
      </c>
    </row>
    <row r="165" spans="2:4">
      <c r="B165" s="80" t="s">
        <v>379</v>
      </c>
      <c r="C165" s="212">
        <f>Scenarios!C104</f>
        <v>155.52575116033987</v>
      </c>
      <c r="D165" s="297" t="str">
        <f>IF($D$11="","",C165*$E$25)</f>
        <v/>
      </c>
    </row>
    <row r="166" spans="2:4">
      <c r="B166" s="256" t="s">
        <v>522</v>
      </c>
      <c r="C166" s="295" t="str">
        <f>Market_currency</f>
        <v>HKD</v>
      </c>
      <c r="D166" s="295" t="str">
        <f>IF($D$11="","",D$13)</f>
        <v/>
      </c>
    </row>
    <row r="167" spans="2:4">
      <c r="B167" s="211" t="s">
        <v>523</v>
      </c>
      <c r="C167" s="92">
        <f>Scenarios!F104</f>
        <v>0.19503943049039696</v>
      </c>
    </row>
    <row r="169" spans="2:4">
      <c r="B169" s="207" t="s">
        <v>405</v>
      </c>
    </row>
    <row r="170" spans="2:4">
      <c r="B170" s="1" t="s">
        <v>396</v>
      </c>
      <c r="C170" s="92">
        <f>F32</f>
        <v>0.1174</v>
      </c>
    </row>
    <row r="171" spans="2:4">
      <c r="B171" s="209" t="str">
        <f>"PV("&amp;C141&amp;" yrs of Dividends)"</f>
        <v>PV(3 yrs of Dividends)</v>
      </c>
      <c r="C171" s="213">
        <f>Scenarios!C108</f>
        <v>0</v>
      </c>
    </row>
    <row r="172" spans="2:4">
      <c r="B172" s="209" t="str">
        <f>"+ PV(Equity Value realized at year "&amp;C141&amp;")"</f>
        <v>+ PV(Equity Value realized at year 3)</v>
      </c>
      <c r="C172" s="213">
        <f>Scenarios!C109</f>
        <v>138.48466961992941</v>
      </c>
    </row>
    <row r="173" spans="2:4">
      <c r="B173" s="80" t="s">
        <v>379</v>
      </c>
      <c r="C173" s="212">
        <f>Scenarios!C110</f>
        <v>138.48466961992941</v>
      </c>
      <c r="D173" s="297" t="str">
        <f>IF($D$11="","",C173*$E$25)</f>
        <v/>
      </c>
    </row>
    <row r="174" spans="2:4">
      <c r="B174" s="256" t="s">
        <v>522</v>
      </c>
      <c r="C174" s="295" t="str">
        <f>Market_currency</f>
        <v>HKD</v>
      </c>
      <c r="D174" s="295" t="str">
        <f>IF($D$11="","",D$13)</f>
        <v/>
      </c>
    </row>
    <row r="175" spans="2:4">
      <c r="B175" s="211" t="s">
        <v>523</v>
      </c>
      <c r="C175" s="92">
        <f>Scenarios!F110</f>
        <v>0.28325363688479588</v>
      </c>
    </row>
    <row r="177" spans="1:6" ht="13.9">
      <c r="A177" s="219" t="s">
        <v>354</v>
      </c>
      <c r="B177" s="36"/>
      <c r="C177" s="36"/>
      <c r="D177" s="36"/>
      <c r="E177" s="36"/>
      <c r="F177" s="36"/>
    </row>
    <row r="179" spans="1:6">
      <c r="B179" s="372" t="s">
        <v>524</v>
      </c>
      <c r="C179" s="373"/>
      <c r="D179" s="373"/>
      <c r="E179" s="373"/>
      <c r="F179" s="373"/>
    </row>
    <row r="181" spans="1:6">
      <c r="B181" s="207" t="s">
        <v>525</v>
      </c>
    </row>
    <row r="182" spans="1:6">
      <c r="B182" s="375" t="s">
        <v>526</v>
      </c>
      <c r="C182" s="375"/>
      <c r="D182" s="375"/>
      <c r="E182" s="375"/>
      <c r="F182" s="375"/>
    </row>
    <row r="183" spans="1:6">
      <c r="B183" s="211" t="s">
        <v>527</v>
      </c>
    </row>
    <row r="184" spans="1:6">
      <c r="B184" s="211" t="s">
        <v>528</v>
      </c>
    </row>
    <row r="185" spans="1:6">
      <c r="B185" s="211" t="s">
        <v>529</v>
      </c>
    </row>
    <row r="187" spans="1:6">
      <c r="B187" s="1" t="s">
        <v>530</v>
      </c>
    </row>
    <row r="188" spans="1:6" ht="24.6" customHeight="1">
      <c r="B188" s="374" t="s">
        <v>531</v>
      </c>
      <c r="C188" s="374"/>
      <c r="D188" s="374"/>
      <c r="E188" s="374"/>
      <c r="F188" s="374"/>
    </row>
    <row r="190" spans="1:6">
      <c r="B190" s="1" t="s">
        <v>532</v>
      </c>
    </row>
    <row r="191" spans="1:6">
      <c r="B191" s="371" t="s">
        <v>533</v>
      </c>
      <c r="C191" s="371"/>
      <c r="D191" s="371"/>
      <c r="E191" s="371"/>
      <c r="F191" s="371"/>
    </row>
    <row r="192" spans="1:6">
      <c r="B192" s="371" t="s">
        <v>534</v>
      </c>
      <c r="C192" s="371"/>
      <c r="D192" s="371"/>
      <c r="E192" s="371"/>
      <c r="F192" s="371"/>
    </row>
    <row r="194" spans="2:2">
      <c r="B194" s="1" t="s">
        <v>535</v>
      </c>
    </row>
    <row r="195" spans="2:2">
      <c r="B195" s="211" t="s">
        <v>536</v>
      </c>
    </row>
    <row r="196" spans="2:2">
      <c r="B196" s="211" t="s">
        <v>537</v>
      </c>
    </row>
    <row r="197" spans="2:2">
      <c r="B197" s="211" t="s">
        <v>538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2025-09-16T08:54:06Z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