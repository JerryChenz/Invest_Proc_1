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BC0ACF-D53A-423B-976E-F520A5BA186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<sst xmlns="http://schemas.openxmlformats.org/spreadsheetml/2006/main" count="766" uniqueCount="556">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</sst>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98.75</v>
      </c>
      <c r="E8" s="32"/>
    </row>
    <row r="9" spans="1:9">
      <c r="B9" s="4" t="s">
        <v>346</v>
      </c>
      <c r="C9" s="48">
        <v>9264431217</v>
      </c>
    </row>
    <row r="10" spans="1:9">
      <c r="B10" s="4" t="s">
        <v>352</v>
      </c>
      <c r="C10" s="33">
        <f>Thesis!C8*Common_Shares/1000000</f>
        <v>914862.58267875004</v>
      </c>
      <c r="D10" s="1" t="s">
        <v>530</v>
      </c>
      <c r="E10" s="307">
        <f>Scenarios!F34</f>
        <v>0.13070040463832502</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1.0902572700000002</v>
      </c>
    </row>
    <row r="17" spans="1:6">
      <c r="B17" s="1" t="s">
        <v>534</v>
      </c>
      <c r="C17" s="420">
        <v>0</v>
      </c>
      <c r="D17" s="4" t="s">
        <v>274</v>
      </c>
      <c r="E17" s="224" t="s">
        <v>555</v>
      </c>
    </row>
    <row r="18" spans="1:6">
      <c r="B18" s="1" t="str">
        <f>"Expected Equity Value ("&amp;C7&amp;") :"</f>
        <v>Expected Equity Value (HKD) :</v>
      </c>
      <c r="C18" s="255">
        <f>C125</f>
        <v>142.75119321182157</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65.783960005447739</v>
      </c>
      <c r="D22" s="38" t="s">
        <v>408</v>
      </c>
      <c r="E22" s="79">
        <v>0.29465259038036606</v>
      </c>
    </row>
    <row r="23" spans="1:6">
      <c r="B23" s="1" t="s">
        <v>313</v>
      </c>
      <c r="C23" s="259">
        <f>E141</f>
        <v>82.455562866034157</v>
      </c>
      <c r="D23" s="38" t="s">
        <v>409</v>
      </c>
      <c r="E23" s="448">
        <v>0.20075184365903009</v>
      </c>
    </row>
    <row r="24" spans="1:6">
      <c r="B24" s="1" t="s">
        <v>315</v>
      </c>
      <c r="C24" s="259">
        <f>E144</f>
        <v>102.31840134983725</v>
      </c>
      <c r="D24" s="38" t="s">
        <v>410</v>
      </c>
      <c r="E24" s="448">
        <v>0.1174</v>
      </c>
    </row>
    <row r="25" spans="1:6">
      <c r="B25" s="1" t="s">
        <v>314</v>
      </c>
      <c r="C25" s="259">
        <f>E145</f>
        <v>115.71451635411509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2.4159933083320251E-2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-5.9991252387116241</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8.0347859913779249</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6.8160086666482993</v>
      </c>
      <c r="D90" s="1" t="str">
        <f>Market_currency</f>
        <v>HKD</v>
      </c>
    </row>
    <row r="91" spans="1:6">
      <c r="A91" s="191"/>
    </row>
    <row r="92" spans="1:6">
      <c r="A92" s="191"/>
      <c r="B92" s="44" t="s">
        <v>472</v>
      </c>
      <c r="C92" s="216">
        <f>DCF!F8</f>
        <v>8.8516694193146037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3.4747227777920253</v>
      </c>
      <c r="D111" s="1" t="str">
        <f>Market_currency</f>
        <v>HKD</v>
      </c>
    </row>
    <row r="112" spans="2:6">
      <c r="B112" s="44" t="s">
        <v>323</v>
      </c>
      <c r="C112" s="216">
        <f>DCF!C11</f>
        <v>41.759164481078393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297.53 HKD</v>
      </c>
      <c r="E118" s="208">
        <f>DCF!F90</f>
        <v>0.05</v>
      </c>
      <c r="F118" s="208">
        <f>RATE(Holding_Period,Scenarios!C$58,-DCF!E90,C$18)</f>
        <v>-0.21714329361992585</v>
      </c>
    </row>
    <row r="119" spans="2:6">
      <c r="B119" s="205" t="str">
        <f>DCF!B91&amp;" ("&amp;DCF!D91&amp;"yrs)"</f>
        <v>Optimistic (10yrs)</v>
      </c>
      <c r="C119" s="198">
        <f>DCF!C91</f>
        <v>0.25</v>
      </c>
      <c r="D119" s="207" t="str">
        <f>ROUND(DCF!E91,2)&amp;" "&amp;Market_currency</f>
        <v>222.59 HKD</v>
      </c>
      <c r="E119" s="199">
        <f>DCF!F91</f>
        <v>0.13500000000000001</v>
      </c>
      <c r="F119" s="208">
        <f>RATE(Holding_Period,Scenarios!C$58,-DCF!E91,C$18)</f>
        <v>-0.13763868278665828</v>
      </c>
    </row>
    <row r="120" spans="2:6">
      <c r="B120" s="205" t="str">
        <f>DCF!B92&amp;" ("&amp;DCF!D92&amp;"yrs)"</f>
        <v>Base (10yrs)</v>
      </c>
      <c r="C120" s="198">
        <f>DCF!C92</f>
        <v>0.18</v>
      </c>
      <c r="D120" s="207" t="str">
        <f>ROUND(DCF!E92,2)&amp;" "&amp;Market_currency</f>
        <v>147.41 HKD</v>
      </c>
      <c r="E120" s="199">
        <f>DCF!F92</f>
        <v>0.53999999999999992</v>
      </c>
      <c r="F120" s="208">
        <f>RATE(Holding_Period,Scenarios!C$58,-DCF!E92,C$18)</f>
        <v>-1.0640769225023352E-2</v>
      </c>
    </row>
    <row r="121" spans="2:6">
      <c r="B121" s="205" t="str">
        <f>DCF!B93&amp;" ("&amp;DCF!D93&amp;"yrs)"</f>
        <v>Pessimistic (10yrs)</v>
      </c>
      <c r="C121" s="198">
        <f>DCF!C93</f>
        <v>0.05</v>
      </c>
      <c r="D121" s="207" t="str">
        <f>ROUND(DCF!E93,2)&amp;" "&amp;Market_currency</f>
        <v>68.26 HKD</v>
      </c>
      <c r="E121" s="199">
        <f>DCF!F93</f>
        <v>0.22499999999999998</v>
      </c>
      <c r="F121" s="208">
        <f>RATE(Holding_Period,Scenarios!C$58,-DCF!E93,C$18)</f>
        <v>0.27878637787169785</v>
      </c>
    </row>
    <row r="122" spans="2:6">
      <c r="B122" s="205" t="str">
        <f>DCF!B94&amp;" ("&amp;DCF!D94&amp;"yrs)"</f>
        <v>Devil's advocate (10yrs)</v>
      </c>
      <c r="C122" s="198">
        <f>DCF!C94</f>
        <v>0.02</v>
      </c>
      <c r="D122" s="207" t="str">
        <f>ROUND(DCF!E94,2)&amp;" "&amp;Market_currency</f>
        <v>57.31 HKD</v>
      </c>
      <c r="E122" s="199">
        <f>DCF!F94</f>
        <v>0.05</v>
      </c>
      <c r="F122" s="208">
        <f>RATE(Holding_Period,Scenarios!C$58,-DCF!E94,C$18)</f>
        <v>0.35553118928864658</v>
      </c>
    </row>
    <row r="124" spans="2:6">
      <c r="B124" s="459" t="s">
        <v>357</v>
      </c>
      <c r="C124" s="459"/>
      <c r="D124" s="459"/>
      <c r="E124" s="459"/>
      <c r="F124" s="459"/>
    </row>
    <row r="125" spans="2:6">
      <c r="B125" s="193" t="s">
        <v>218</v>
      </c>
      <c r="C125" s="197">
        <f>Scenarios!C36</f>
        <v>142.75119321182157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65.783960005447739</v>
      </c>
      <c r="E140" s="338">
        <f>Scenarios!E62</f>
        <v>65.783960005447739</v>
      </c>
      <c r="F140" s="339">
        <f>E22</f>
        <v>0.29465259038036606</v>
      </c>
    </row>
    <row r="141" spans="1:6">
      <c r="B141" s="340" t="s">
        <v>313</v>
      </c>
      <c r="C141" s="337">
        <f>Scenarios!C63</f>
        <v>0</v>
      </c>
      <c r="D141" s="337">
        <f>Scenarios!D63</f>
        <v>82.455562866034157</v>
      </c>
      <c r="E141" s="338">
        <f>Scenarios!E63</f>
        <v>82.455562866034157</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102.31840134983725</v>
      </c>
      <c r="E144" s="338">
        <f>Scenarios!E66</f>
        <v>102.31840134983725</v>
      </c>
      <c r="F144" s="339">
        <f>E24</f>
        <v>0.1174</v>
      </c>
    </row>
    <row r="145" spans="1:6">
      <c r="B145" s="340" t="s">
        <v>314</v>
      </c>
      <c r="C145" s="337">
        <f>Scenarios!C67</f>
        <v>0</v>
      </c>
      <c r="D145" s="337">
        <f>Scenarios!D67</f>
        <v>115.71451635411509</v>
      </c>
      <c r="E145" s="338">
        <f>Scenarios!E67</f>
        <v>115.71451635411509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21.695382133894341</v>
      </c>
      <c r="D47" s="134">
        <f>D46*H1/Common_Shares*Exchange_Rate</f>
        <v>3.4747227777920253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55578483.13621255</v>
      </c>
      <c r="D86" s="201">
        <f>C86*scaling_factor/Common_Shares</f>
        <v>5.9991252387116241</v>
      </c>
      <c r="E86" s="214" t="str">
        <f>Market_currency</f>
        <v>HKD</v>
      </c>
    </row>
    <row r="87" spans="2:8" ht="15" customHeight="1">
      <c r="B87" s="212" t="s">
        <v>240</v>
      </c>
      <c r="C87" s="73">
        <f>DCF!F5*Exchange_Rate</f>
        <v>74437722.160435945</v>
      </c>
      <c r="D87" s="201">
        <f>C87*scaling_factor/Common_Shares</f>
        <v>8.0347859913779249</v>
      </c>
      <c r="E87" s="214" t="str">
        <f>Market_currency</f>
        <v>HKD</v>
      </c>
    </row>
    <row r="88" spans="2:8" ht="15" customHeight="1">
      <c r="B88" s="213" t="s">
        <v>159</v>
      </c>
      <c r="C88" s="73">
        <f>DCF!F6*Exchange_Rate</f>
        <v>63146443.466639057</v>
      </c>
      <c r="D88" s="201">
        <f>C88*scaling_factor/Common_Shares</f>
        <v>6.8160086666482993</v>
      </c>
      <c r="E88" s="214" t="str">
        <f>Market_currency</f>
        <v>HKD</v>
      </c>
    </row>
    <row r="89" spans="2:8" ht="15" customHeight="1">
      <c r="B89" s="77" t="s">
        <v>244</v>
      </c>
      <c r="C89" s="162">
        <f>SUM(C86:C88)</f>
        <v>193162648.76328754</v>
      </c>
      <c r="D89" s="216">
        <f>SUM(D86:D88)</f>
        <v>20.849919896737848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2.3857933919778751</v>
      </c>
      <c r="D123" s="26"/>
      <c r="E123" s="235"/>
      <c r="F123" s="26"/>
      <c r="G123" s="159">
        <f t="shared" ref="G123:Q123" si="48">IF(G$4="","",G14*$C$3/Common_Shares*Exchange_Rate)</f>
        <v>3.6558500773611611</v>
      </c>
      <c r="H123" s="159">
        <f t="shared" si="48"/>
        <v>0.79585596393856395</v>
      </c>
      <c r="I123" s="159">
        <f t="shared" si="48"/>
        <v>-1.1509515778119608</v>
      </c>
      <c r="J123" s="159">
        <f t="shared" si="48"/>
        <v>-2.8671644259939733</v>
      </c>
      <c r="K123" s="159">
        <f t="shared" si="48"/>
        <v>-0.3588378761388834</v>
      </c>
      <c r="L123" s="159">
        <f t="shared" si="48"/>
        <v>2.2416077136880968E-2</v>
      </c>
      <c r="M123" s="159">
        <f t="shared" si="48"/>
        <v>-1.5941527499417594</v>
      </c>
      <c r="N123" s="159">
        <f t="shared" si="48"/>
        <v>-0.53598722857015069</v>
      </c>
      <c r="O123" s="159">
        <f t="shared" si="48"/>
        <v>-0.80020938636527239</v>
      </c>
      <c r="P123" s="159">
        <f t="shared" si="48"/>
        <v>-1.0014817367101834</v>
      </c>
      <c r="Q123" s="159" t="str">
        <f t="shared" si="48"/>
        <v/>
      </c>
    </row>
    <row r="124" spans="1:17" ht="15.75" customHeight="1">
      <c r="A124" s="10"/>
      <c r="B124" s="26" t="s">
        <v>226</v>
      </c>
      <c r="C124" s="74">
        <f>C19*Exchange_Rate*$C$3/(Market_Price*Common_Shares)</f>
        <v>2.4159933083320251E-2</v>
      </c>
      <c r="D124" s="26"/>
      <c r="E124" s="235"/>
      <c r="F124" s="26"/>
      <c r="G124" s="74">
        <f t="shared" ref="G124" si="49">IF(G$4="","",G123/Market_Price)</f>
        <v>3.7021266606188971E-2</v>
      </c>
      <c r="H124" s="74">
        <f t="shared" ref="H124" si="50">IF(H$4="","",H123/Market_Price)</f>
        <v>8.0593009006436848E-3</v>
      </c>
      <c r="I124" s="74">
        <f t="shared" ref="I124" si="51">IF(I$4="","",I123/Market_Price)</f>
        <v>-1.1655205851260363E-2</v>
      </c>
      <c r="J124" s="74">
        <f t="shared" ref="J124" si="52">IF(J$4="","",J123/Market_Price)</f>
        <v>-2.9034576465761755E-2</v>
      </c>
      <c r="K124" s="74">
        <f t="shared" ref="K124" si="53">IF(K$4="","",K123/Market_Price)</f>
        <v>-3.6338012773557814E-3</v>
      </c>
      <c r="L124" s="74">
        <f t="shared" ref="L124" si="54">IF(L$4="","",L123/Market_Price)</f>
        <v>2.2699824948740221E-4</v>
      </c>
      <c r="M124" s="74">
        <f t="shared" ref="M124" si="55">IF(M$4="","",M123/Market_Price)</f>
        <v>-1.6143318986751993E-2</v>
      </c>
      <c r="N124" s="74">
        <f t="shared" ref="N124" si="56">IF(N$4="","",N123/Market_Price)</f>
        <v>-5.4277187703306402E-3</v>
      </c>
      <c r="O124" s="74">
        <f t="shared" ref="O124" si="57">IF(O$4="","",O123/Market_Price)</f>
        <v>-8.1033861910407325E-3</v>
      </c>
      <c r="P124" s="74">
        <f t="shared" ref="P124" si="58">IF(P$4="","",P123/Market_Price)</f>
        <v>-1.014158720719173E-2</v>
      </c>
      <c r="Q124" s="74" t="str">
        <f t="shared" ref="Q124" si="59">IF(Q$4="","",Q123/Market_Price)</f>
        <v/>
      </c>
    </row>
    <row r="125" spans="1:17" ht="15.75" customHeight="1">
      <c r="B125" s="2" t="s">
        <v>306</v>
      </c>
      <c r="C125" s="151"/>
      <c r="G125" s="22">
        <f>IF(G$4="","",(Data!C47*$C$3)/(Market_Price*Common_Shares))</f>
        <v>3.9139407030021181E-2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8.8516694193146037</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1.0902572700000002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386874907.01434028</v>
      </c>
      <c r="D10" t="str">
        <f>Market_currency</f>
        <v>HKD</v>
      </c>
      <c r="H10" s="312" t="s">
        <v>398</v>
      </c>
      <c r="I10" s="310">
        <f>Normalized_FCF!C41</f>
        <v>0.25</v>
      </c>
      <c r="N10" s="308"/>
      <c r="O10" s="308"/>
    </row>
    <row r="11" spans="2:15" ht="13.15">
      <c r="B11" s="136" t="s">
        <v>428</v>
      </c>
      <c r="C11" s="108">
        <f>(C10*scaling_factor)/Common_Shares</f>
        <v>41.759164481078393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0.17457815320730899</v>
      </c>
      <c r="E16" s="312" t="s">
        <v>401</v>
      </c>
      <c r="F16" s="315">
        <f>Scenarios!C41</f>
        <v>0.11638543547153932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142.74679497920889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396527689.87642491</v>
      </c>
      <c r="D21" s="303">
        <f t="shared" ref="D21:D50" si="1">IF(A21="",0,IF(A21="I",$C$16,$F$16))</f>
        <v>0.17457815320730899</v>
      </c>
      <c r="E21" s="303">
        <f>$C$17</f>
        <v>0.88</v>
      </c>
      <c r="F21" s="281">
        <f>I5*(1+D21)</f>
        <v>-12602287.445126319</v>
      </c>
      <c r="G21" s="281">
        <f>C21*(1-E21)+F21+$I$6</f>
        <v>32230201.009924669</v>
      </c>
      <c r="H21" s="303">
        <f t="shared" ref="H21:H50" si="2">IF(A21="",0%,IF(A21="I",$C$18,$F$18))</f>
        <v>0</v>
      </c>
      <c r="I21" s="281">
        <f>(G21*(1-$I$10)+C21*(H21-$I$9))</f>
        <v>24172650.757443503</v>
      </c>
      <c r="J21" s="303">
        <f>I21/C4-1</f>
        <v>0.19234428962990457</v>
      </c>
      <c r="K21" s="119">
        <f t="shared" ref="K21:K50" si="3">IF($C$15&lt;B21,0,1/(1+Equity_Cost)^B21)</f>
        <v>0.93240093240093236</v>
      </c>
      <c r="L21" s="281">
        <f t="shared" ref="L21:L50" si="4">I21*K21</f>
        <v>22538602.104842424</v>
      </c>
    </row>
    <row r="22" spans="1:21">
      <c r="A22" s="306" t="str">
        <f t="shared" si="0"/>
        <v>I</v>
      </c>
      <c r="B22" s="117">
        <v>2</v>
      </c>
      <c r="C22" s="281">
        <f t="shared" ref="C22:C50" si="5">IF(A22="",0,C21*(1+D22))</f>
        <v>465752761.67061174</v>
      </c>
      <c r="D22" s="303">
        <f t="shared" si="1"/>
        <v>0.17457815320730899</v>
      </c>
      <c r="E22" s="303">
        <f t="shared" ref="E22:E50" si="6">IF($C$15&lt;B22,0,IF(B22&gt;=$F$15,$F$17,$C$17))</f>
        <v>0.88</v>
      </c>
      <c r="F22" s="281">
        <f t="shared" ref="F22:F50" si="7">IF(A22="",0,F21*(1+D22))</f>
        <v>-14802371.513484128</v>
      </c>
      <c r="G22" s="281">
        <f t="shared" ref="G22:G50" si="8">IF(A22="", 0,C22*(1-E22)+F22+$I$6)</f>
        <v>38337125.556869283</v>
      </c>
      <c r="H22" s="303">
        <f t="shared" si="2"/>
        <v>0</v>
      </c>
      <c r="I22" s="281">
        <f>IF(A22="", 0,G22*(1-$I$10)+C22*(H22-$I$9))</f>
        <v>28752844.167651962</v>
      </c>
      <c r="J22" s="303">
        <f>IF(A22="", 0,I22/I21-1)</f>
        <v>0.18947832640150475</v>
      </c>
      <c r="K22" s="119">
        <f t="shared" si="3"/>
        <v>0.86937149874212816</v>
      </c>
      <c r="L22" s="281">
        <f t="shared" si="4"/>
        <v>24996903.227130447</v>
      </c>
    </row>
    <row r="23" spans="1:21">
      <c r="A23" s="306" t="str">
        <f t="shared" si="0"/>
        <v>I</v>
      </c>
      <c r="B23" s="117">
        <v>3</v>
      </c>
      <c r="C23" s="281">
        <f t="shared" si="5"/>
        <v>547063018.65427101</v>
      </c>
      <c r="D23" s="303">
        <f t="shared" si="1"/>
        <v>0.17457815320730899</v>
      </c>
      <c r="E23" s="303">
        <f t="shared" si="6"/>
        <v>0.88</v>
      </c>
      <c r="F23" s="281">
        <f t="shared" si="7"/>
        <v>-17386542.195396665</v>
      </c>
      <c r="G23" s="281">
        <f t="shared" si="8"/>
        <v>45510185.712995857</v>
      </c>
      <c r="H23" s="303">
        <f t="shared" si="2"/>
        <v>0</v>
      </c>
      <c r="I23" s="281">
        <f t="shared" ref="I23:I50" si="9">IF(A23="", 0,G23*(1-$I$10)+C23*(H23-$I$9))</f>
        <v>34132639.284746893</v>
      </c>
      <c r="J23" s="303">
        <f t="shared" ref="J23:J50" si="10">IF(A23="", 0,I23/I22-1)</f>
        <v>0.18710479859753848</v>
      </c>
      <c r="K23" s="119">
        <f t="shared" si="3"/>
        <v>0.81060279602995633</v>
      </c>
      <c r="L23" s="281">
        <f t="shared" si="4"/>
        <v>27668012.840097759</v>
      </c>
      <c r="N23" s="279"/>
      <c r="O23" s="279"/>
      <c r="P23" s="279"/>
      <c r="Q23" s="279"/>
      <c r="R23" s="279"/>
      <c r="S23" s="279"/>
      <c r="T23" s="279"/>
      <c r="U23" s="279"/>
    </row>
    <row r="24" spans="1:21">
      <c r="A24" s="306" t="str">
        <f t="shared" si="0"/>
        <v>I</v>
      </c>
      <c r="B24" s="117">
        <v>4</v>
      </c>
      <c r="C24" s="281">
        <f t="shared" si="5"/>
        <v>642568270.13894928</v>
      </c>
      <c r="D24" s="303">
        <f t="shared" si="1"/>
        <v>0.17457815320730899</v>
      </c>
      <c r="E24" s="303">
        <f t="shared" si="6"/>
        <v>0.88</v>
      </c>
      <c r="F24" s="281">
        <f t="shared" si="7"/>
        <v>-20421852.622529965</v>
      </c>
      <c r="G24" s="281">
        <f t="shared" si="8"/>
        <v>53935505.464023948</v>
      </c>
      <c r="H24" s="303">
        <f t="shared" si="2"/>
        <v>0</v>
      </c>
      <c r="I24" s="281">
        <f t="shared" si="9"/>
        <v>40451629.098017961</v>
      </c>
      <c r="J24" s="303">
        <f t="shared" si="10"/>
        <v>0.18513041902666116</v>
      </c>
      <c r="K24" s="119">
        <f t="shared" si="3"/>
        <v>0.75580680282513402</v>
      </c>
      <c r="L24" s="281">
        <f t="shared" si="4"/>
        <v>30573616.457641114</v>
      </c>
      <c r="N24" s="279"/>
      <c r="O24" s="279"/>
      <c r="P24" s="279"/>
      <c r="Q24" s="279"/>
      <c r="R24" s="279"/>
      <c r="S24" s="279"/>
      <c r="T24" s="279"/>
      <c r="U24" s="279"/>
    </row>
    <row r="25" spans="1:21">
      <c r="A25" s="306" t="str">
        <f t="shared" si="0"/>
        <v>II</v>
      </c>
      <c r="B25" s="117">
        <v>5</v>
      </c>
      <c r="C25" s="281">
        <f t="shared" si="5"/>
        <v>717353858.07926452</v>
      </c>
      <c r="D25" s="303">
        <f t="shared" si="1"/>
        <v>0.11638543547153932</v>
      </c>
      <c r="E25" s="303">
        <f t="shared" si="6"/>
        <v>0.85</v>
      </c>
      <c r="F25" s="281">
        <f t="shared" si="7"/>
        <v>-22798658.833138712</v>
      </c>
      <c r="G25" s="281">
        <f t="shared" si="8"/>
        <v>82053585.548630983</v>
      </c>
      <c r="H25" s="303">
        <f t="shared" si="2"/>
        <v>0</v>
      </c>
      <c r="I25" s="281">
        <f t="shared" si="9"/>
        <v>61540189.161473237</v>
      </c>
      <c r="J25" s="303">
        <f t="shared" si="10"/>
        <v>0.52132783113272851</v>
      </c>
      <c r="K25" s="119">
        <f t="shared" si="3"/>
        <v>0.70471496766912267</v>
      </c>
      <c r="L25" s="281">
        <f t="shared" si="4"/>
        <v>43368292.415279306</v>
      </c>
      <c r="N25" s="279"/>
      <c r="O25" s="279"/>
      <c r="P25" s="279"/>
      <c r="Q25" s="279"/>
      <c r="R25" s="279"/>
      <c r="S25" s="279"/>
      <c r="T25" s="279"/>
      <c r="U25" s="279"/>
    </row>
    <row r="26" spans="1:21">
      <c r="A26" s="306" t="str">
        <f t="shared" si="0"/>
        <v>II</v>
      </c>
      <c r="B26" s="117">
        <v>6</v>
      </c>
      <c r="C26" s="281">
        <f t="shared" si="5"/>
        <v>800843399.23900843</v>
      </c>
      <c r="D26" s="303">
        <f t="shared" si="1"/>
        <v>0.11638543547153932</v>
      </c>
      <c r="E26" s="303">
        <f t="shared" si="6"/>
        <v>0.85</v>
      </c>
      <c r="F26" s="281">
        <f t="shared" si="7"/>
        <v>-25452090.669600613</v>
      </c>
      <c r="G26" s="281">
        <f t="shared" si="8"/>
        <v>91923584.886130661</v>
      </c>
      <c r="H26" s="303">
        <f t="shared" si="2"/>
        <v>0</v>
      </c>
      <c r="I26" s="281">
        <f t="shared" si="9"/>
        <v>68942688.664597988</v>
      </c>
      <c r="J26" s="303">
        <f t="shared" si="10"/>
        <v>0.120287239996965</v>
      </c>
      <c r="K26" s="119">
        <f t="shared" si="3"/>
        <v>0.65707689293158289</v>
      </c>
      <c r="L26" s="281">
        <f t="shared" si="4"/>
        <v>45300647.658083506</v>
      </c>
    </row>
    <row r="27" spans="1:21">
      <c r="A27" s="306" t="str">
        <f t="shared" si="0"/>
        <v>II</v>
      </c>
      <c r="B27" s="117">
        <v>7</v>
      </c>
      <c r="C27" s="281">
        <f t="shared" si="5"/>
        <v>894049907.00394821</v>
      </c>
      <c r="D27" s="303">
        <f t="shared" si="1"/>
        <v>0.11638543547153932</v>
      </c>
      <c r="E27" s="303">
        <f t="shared" si="6"/>
        <v>0.85</v>
      </c>
      <c r="F27" s="281">
        <f t="shared" si="7"/>
        <v>-28414343.325843181</v>
      </c>
      <c r="G27" s="281">
        <f t="shared" si="8"/>
        <v>102942308.39462908</v>
      </c>
      <c r="H27" s="303">
        <f t="shared" si="2"/>
        <v>0</v>
      </c>
      <c r="I27" s="281">
        <f t="shared" si="9"/>
        <v>77206731.295971811</v>
      </c>
      <c r="J27" s="303">
        <f t="shared" si="10"/>
        <v>0.11986829628269779</v>
      </c>
      <c r="K27" s="119">
        <f t="shared" si="3"/>
        <v>0.61265910762851561</v>
      </c>
      <c r="L27" s="281">
        <f t="shared" si="4"/>
        <v>47301407.098704681</v>
      </c>
    </row>
    <row r="28" spans="1:21">
      <c r="A28" s="306" t="str">
        <f t="shared" si="0"/>
        <v>II</v>
      </c>
      <c r="B28" s="117">
        <v>8</v>
      </c>
      <c r="C28" s="281">
        <f t="shared" si="5"/>
        <v>998104294.76389194</v>
      </c>
      <c r="D28" s="303">
        <f t="shared" si="1"/>
        <v>0.11638543547153932</v>
      </c>
      <c r="E28" s="303">
        <f t="shared" si="6"/>
        <v>0.85</v>
      </c>
      <c r="F28" s="281">
        <f t="shared" si="7"/>
        <v>-31721359.047459263</v>
      </c>
      <c r="G28" s="281">
        <f t="shared" si="8"/>
        <v>115243450.83700456</v>
      </c>
      <c r="H28" s="303">
        <f t="shared" si="2"/>
        <v>0</v>
      </c>
      <c r="I28" s="281">
        <f t="shared" si="9"/>
        <v>86432588.127753422</v>
      </c>
      <c r="J28" s="303">
        <f t="shared" si="10"/>
        <v>0.11949549834475337</v>
      </c>
      <c r="K28" s="119">
        <f t="shared" si="3"/>
        <v>0.5712439231967511</v>
      </c>
      <c r="L28" s="281">
        <f t="shared" si="4"/>
        <v>49374090.734146796</v>
      </c>
    </row>
    <row r="29" spans="1:21">
      <c r="A29" s="306" t="str">
        <f t="shared" si="0"/>
        <v>II</v>
      </c>
      <c r="B29" s="117">
        <v>9</v>
      </c>
      <c r="C29" s="281">
        <f t="shared" si="5"/>
        <v>1114269097.756001</v>
      </c>
      <c r="D29" s="303">
        <f t="shared" si="1"/>
        <v>0.11638543547153932</v>
      </c>
      <c r="E29" s="303">
        <f t="shared" si="6"/>
        <v>0.85</v>
      </c>
      <c r="F29" s="281">
        <f t="shared" si="7"/>
        <v>-35413263.23394686</v>
      </c>
      <c r="G29" s="281">
        <f t="shared" si="8"/>
        <v>128976267.09933332</v>
      </c>
      <c r="H29" s="303">
        <f t="shared" si="2"/>
        <v>0</v>
      </c>
      <c r="I29" s="281">
        <f t="shared" si="9"/>
        <v>96732200.324499995</v>
      </c>
      <c r="J29" s="303">
        <f t="shared" si="10"/>
        <v>0.11916352870890567</v>
      </c>
      <c r="K29" s="119">
        <f t="shared" si="3"/>
        <v>0.53262836661701729</v>
      </c>
      <c r="L29" s="281">
        <f t="shared" si="4"/>
        <v>51522313.858108543</v>
      </c>
    </row>
    <row r="30" spans="1:21">
      <c r="A30" s="306" t="str">
        <f t="shared" si="0"/>
        <v>II</v>
      </c>
      <c r="B30" s="117">
        <v>10</v>
      </c>
      <c r="C30" s="281">
        <f t="shared" si="5"/>
        <v>1243953791.9308124</v>
      </c>
      <c r="D30" s="303">
        <f t="shared" si="1"/>
        <v>0.11638543547153932</v>
      </c>
      <c r="E30" s="303">
        <f t="shared" si="6"/>
        <v>0.85</v>
      </c>
      <c r="F30" s="281">
        <f t="shared" si="7"/>
        <v>-39534851.296898015</v>
      </c>
      <c r="G30" s="281">
        <f t="shared" si="8"/>
        <v>144307383.16260388</v>
      </c>
      <c r="H30" s="303">
        <f t="shared" si="2"/>
        <v>0</v>
      </c>
      <c r="I30" s="281">
        <f t="shared" si="9"/>
        <v>108230537.37195292</v>
      </c>
      <c r="J30" s="303">
        <f t="shared" si="10"/>
        <v>0.11886772976196491</v>
      </c>
      <c r="K30" s="119">
        <f t="shared" si="3"/>
        <v>0.49662318565689262</v>
      </c>
      <c r="L30" s="281">
        <f t="shared" si="4"/>
        <v>53749794.255016632</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1243953791.9308124</v>
      </c>
      <c r="D51" s="305">
        <f>Terminal_Growth</f>
        <v>0</v>
      </c>
      <c r="E51" s="305">
        <f>F17</f>
        <v>0.85</v>
      </c>
      <c r="F51" s="281">
        <f>VLOOKUP(C15,B21:F50,5,FALSE)*(1+Terminal_Growth)</f>
        <v>-39534851.296898015</v>
      </c>
      <c r="G51" s="281">
        <f>C51*(1-E51)+F51+$I$6</f>
        <v>144307383.16260388</v>
      </c>
      <c r="H51" s="303">
        <f>F18</f>
        <v>0</v>
      </c>
      <c r="I51" s="281">
        <f>(G51*(1-$I$10)+C51*(H51-$I$9))/Equity_Cost</f>
        <v>1492834998.2338336</v>
      </c>
      <c r="J51" s="419">
        <f>(G51*(1-$I$10)+C51*(H51-$I$9))/VLOOKUP(C15,B21:I50,8,FALSE)-1</f>
        <v>0</v>
      </c>
      <c r="K51" s="119">
        <f>1/(1+Equity_Cost)^C15</f>
        <v>0.49662318565689262</v>
      </c>
      <c r="L51" s="281">
        <f>I51*K51</f>
        <v>741376472.48298812</v>
      </c>
    </row>
    <row r="52" spans="1:21" ht="13.15">
      <c r="G52" s="111"/>
      <c r="H52" s="111"/>
      <c r="I52" s="111"/>
      <c r="J52" s="464" t="s">
        <v>423</v>
      </c>
      <c r="K52" s="464"/>
      <c r="L52" s="321">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C94</f>
        <v>0.02</v>
      </c>
      <c r="C55" s="123">
        <f>C93</f>
        <v>0.05</v>
      </c>
      <c r="D55" s="123">
        <f>C92</f>
        <v>0.18</v>
      </c>
      <c r="E55" s="123">
        <f>C91</f>
        <v>0.25</v>
      </c>
      <c r="F55" s="123">
        <f>C90</f>
        <v>0.3</v>
      </c>
      <c r="G55" s="123"/>
      <c r="H55" s="123"/>
      <c r="I55" s="123"/>
      <c r="J55" s="123"/>
      <c r="K55" s="123"/>
      <c r="L55" s="123"/>
    </row>
    <row r="56" spans="1:21" ht="13.15">
      <c r="A56" s="131">
        <v>1</v>
      </c>
      <c r="B56" s="118">
        <f t="dataTable" ref="B56:F69" dt2D="1" dtr="1" r1="C16" r2="C15"/>
        <v>382728326.46792692</v>
      </c>
      <c r="C56" s="118">
        <v>390843824.49420124</v>
      </c>
      <c r="D56" s="118">
        <v>426010982.6080572</v>
      </c>
      <c r="E56" s="118">
        <v>444947144.66936404</v>
      </c>
      <c r="F56" s="118">
        <v>458472974.71315461</v>
      </c>
      <c r="G56" s="299"/>
      <c r="H56" s="299"/>
      <c r="I56" s="299"/>
      <c r="J56" s="299"/>
      <c r="K56" s="299"/>
      <c r="L56" s="299"/>
    </row>
    <row r="57" spans="1:21" ht="13.15">
      <c r="A57" s="131">
        <v>2</v>
      </c>
      <c r="B57" s="118">
        <v>387929408.1188553</v>
      </c>
      <c r="C57" s="118">
        <v>404103160.9398247</v>
      </c>
      <c r="D57" s="118">
        <v>477748057.97781849</v>
      </c>
      <c r="E57" s="118">
        <v>519798237.50756037</v>
      </c>
      <c r="F57" s="118">
        <v>550860609.30201411</v>
      </c>
      <c r="G57" s="299"/>
      <c r="H57" s="299"/>
      <c r="I57" s="299"/>
      <c r="J57" s="299"/>
      <c r="K57" s="299"/>
      <c r="L57" s="299"/>
    </row>
    <row r="58" spans="1:21" ht="13.15">
      <c r="A58" s="131">
        <v>3</v>
      </c>
      <c r="B58" s="118">
        <v>395615275.01848912</v>
      </c>
      <c r="C58" s="118">
        <v>424061104.7751348</v>
      </c>
      <c r="D58" s="118">
        <v>561789023.92537344</v>
      </c>
      <c r="E58" s="118">
        <v>646198355.19029069</v>
      </c>
      <c r="F58" s="118">
        <v>711122080.60531783</v>
      </c>
      <c r="G58" s="299"/>
      <c r="H58" s="299"/>
      <c r="I58" s="299"/>
      <c r="J58" s="299"/>
      <c r="K58" s="299"/>
      <c r="L58" s="299"/>
    </row>
    <row r="59" spans="1:21" ht="13.15">
      <c r="A59" s="131">
        <v>4</v>
      </c>
      <c r="B59" s="118">
        <v>400288875.35267508</v>
      </c>
      <c r="C59" s="118">
        <v>436568213.55502731</v>
      </c>
      <c r="D59" s="118">
        <v>621232925.06364298</v>
      </c>
      <c r="E59" s="118">
        <v>741097073.38666606</v>
      </c>
      <c r="F59" s="118">
        <v>836419995.70781839</v>
      </c>
      <c r="G59" s="299"/>
      <c r="H59" s="299"/>
      <c r="I59" s="299"/>
      <c r="J59" s="299"/>
      <c r="K59" s="299"/>
      <c r="L59" s="299"/>
    </row>
    <row r="60" spans="1:21" ht="13.15">
      <c r="A60" s="131">
        <v>5</v>
      </c>
      <c r="B60" s="118">
        <v>400544271.9172073</v>
      </c>
      <c r="C60" s="118">
        <v>448680186.85114616</v>
      </c>
      <c r="D60" s="118">
        <v>710928531.26256847</v>
      </c>
      <c r="E60" s="118">
        <v>894492183.85927308</v>
      </c>
      <c r="F60" s="118">
        <v>1046953083.6350274</v>
      </c>
      <c r="G60" s="299"/>
      <c r="H60" s="299"/>
      <c r="I60" s="299"/>
      <c r="J60" s="299"/>
      <c r="K60" s="299"/>
      <c r="L60" s="299"/>
    </row>
    <row r="61" spans="1:21" ht="13.15">
      <c r="A61" s="131">
        <v>6</v>
      </c>
      <c r="B61" s="118">
        <v>404743886.83380938</v>
      </c>
      <c r="C61" s="118">
        <v>460477743.28796923</v>
      </c>
      <c r="D61" s="118">
        <v>779227277.51527262</v>
      </c>
      <c r="E61" s="118">
        <v>1014807951.7904457</v>
      </c>
      <c r="F61" s="118">
        <v>1216884564.17243</v>
      </c>
      <c r="G61" s="299"/>
      <c r="H61" s="299"/>
      <c r="I61" s="299"/>
      <c r="J61" s="299"/>
      <c r="K61" s="299"/>
      <c r="L61" s="299"/>
    </row>
    <row r="62" spans="1:21" ht="13.15">
      <c r="A62" s="131">
        <v>7</v>
      </c>
      <c r="B62" s="118">
        <v>404781205.91325116</v>
      </c>
      <c r="C62" s="118">
        <v>472088118.05822235</v>
      </c>
      <c r="D62" s="118">
        <v>884759147.47974586</v>
      </c>
      <c r="E62" s="118">
        <v>1213502531.6492257</v>
      </c>
      <c r="F62" s="118">
        <v>1508122257.531527</v>
      </c>
      <c r="G62" s="299"/>
      <c r="H62" s="299"/>
      <c r="I62" s="299"/>
      <c r="J62" s="299"/>
      <c r="K62" s="299"/>
      <c r="L62" s="299"/>
    </row>
    <row r="63" spans="1:21" ht="13.15">
      <c r="A63" s="131">
        <v>8</v>
      </c>
      <c r="B63" s="118">
        <v>408554905.88471395</v>
      </c>
      <c r="C63" s="118">
        <v>483216376.42148089</v>
      </c>
      <c r="D63" s="118">
        <v>963231768.73050952</v>
      </c>
      <c r="E63" s="118">
        <v>1366042885.0701499</v>
      </c>
      <c r="F63" s="118">
        <v>1738586651.5640295</v>
      </c>
      <c r="G63" s="299"/>
      <c r="H63" s="299"/>
      <c r="I63" s="299"/>
      <c r="J63" s="299"/>
      <c r="K63" s="299"/>
      <c r="L63" s="299"/>
    </row>
    <row r="64" spans="1:21" ht="13.15">
      <c r="A64" s="131">
        <v>9</v>
      </c>
      <c r="B64" s="118">
        <v>408405671.5840413</v>
      </c>
      <c r="C64" s="118">
        <v>494349716.9301914</v>
      </c>
      <c r="D64" s="118">
        <v>1087206979.3063002</v>
      </c>
      <c r="E64" s="118">
        <v>1622867255.7514448</v>
      </c>
      <c r="F64" s="118">
        <v>2140488424.0667987</v>
      </c>
      <c r="G64" s="299"/>
      <c r="H64" s="299"/>
      <c r="I64" s="299"/>
      <c r="J64" s="299"/>
      <c r="K64" s="299"/>
      <c r="L64" s="299"/>
    </row>
    <row r="65" spans="1:21" ht="13.15">
      <c r="A65" s="131">
        <v>10</v>
      </c>
      <c r="B65" s="118">
        <v>411796651.88995481</v>
      </c>
      <c r="C65" s="118">
        <v>504846647.787238</v>
      </c>
      <c r="D65" s="118">
        <v>1177368989.9408953</v>
      </c>
      <c r="E65" s="118">
        <v>1816263016.106741</v>
      </c>
      <c r="F65" s="118">
        <v>2453048738.0757012</v>
      </c>
      <c r="G65" s="299"/>
      <c r="H65" s="299"/>
      <c r="I65" s="299"/>
      <c r="J65" s="299"/>
      <c r="K65" s="299"/>
      <c r="L65" s="299"/>
    </row>
    <row r="66" spans="1:21" ht="13.15">
      <c r="A66" s="131">
        <v>15</v>
      </c>
      <c r="B66" s="118">
        <v>416277448.98677123</v>
      </c>
      <c r="C66" s="281">
        <v>554851972.74938583</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421563354.57533377</v>
      </c>
      <c r="C67" s="281">
        <v>598329284.84451556</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422459089.42400682</v>
      </c>
      <c r="C68" s="281">
        <v>637854586.01263177</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424539439.20277911</v>
      </c>
      <c r="C69" s="281">
        <v>671701871.60260808</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0.05</v>
      </c>
      <c r="D72" s="124">
        <f>D55</f>
        <v>0.18</v>
      </c>
      <c r="E72" s="124">
        <f>E55</f>
        <v>0.25</v>
      </c>
      <c r="F72" s="124">
        <f>F55</f>
        <v>0.3</v>
      </c>
      <c r="G72" s="124"/>
      <c r="H72" s="124"/>
      <c r="I72" s="124"/>
      <c r="J72" s="124"/>
      <c r="K72" s="124"/>
      <c r="L72" s="124"/>
    </row>
    <row r="73" spans="1:21" ht="13.15">
      <c r="A73" s="131">
        <v>0</v>
      </c>
      <c r="B73" s="119">
        <f>C11</f>
        <v>41.759164481078393</v>
      </c>
      <c r="C73" s="119">
        <f>C11</f>
        <v>41.759164481078393</v>
      </c>
      <c r="D73" s="119">
        <f>C11</f>
        <v>41.759164481078393</v>
      </c>
      <c r="E73" s="119">
        <f>C11</f>
        <v>41.759164481078393</v>
      </c>
      <c r="F73" s="119">
        <f>C11</f>
        <v>41.759164481078393</v>
      </c>
      <c r="G73" s="300"/>
      <c r="H73" s="300"/>
      <c r="I73" s="300"/>
      <c r="J73" s="300"/>
      <c r="K73" s="300"/>
      <c r="L73" s="300"/>
    </row>
    <row r="74" spans="1:21" ht="13.15">
      <c r="A74" s="131">
        <v>1</v>
      </c>
      <c r="B74" s="119">
        <f t="shared" ref="B74:F87" si="11">(B56+FV_adjustments)/Common_Shares*scaling_factor*Exchange_Rate</f>
        <v>53.891923979239067</v>
      </c>
      <c r="C74" s="119">
        <f t="shared" si="11"/>
        <v>54.846972434516104</v>
      </c>
      <c r="D74" s="119">
        <f t="shared" si="11"/>
        <v>58.985515740716671</v>
      </c>
      <c r="E74" s="119">
        <f t="shared" si="11"/>
        <v>61.213962136363108</v>
      </c>
      <c r="F74" s="119">
        <f t="shared" si="11"/>
        <v>62.805709561824841</v>
      </c>
      <c r="G74" s="300"/>
      <c r="H74" s="300"/>
      <c r="I74" s="300"/>
      <c r="J74" s="300"/>
      <c r="K74" s="300"/>
      <c r="L74" s="300"/>
    </row>
    <row r="75" spans="1:21" ht="13.15">
      <c r="A75" s="131">
        <v>2</v>
      </c>
      <c r="B75" s="119">
        <f t="shared" si="11"/>
        <v>54.503997937042648</v>
      </c>
      <c r="C75" s="119">
        <f t="shared" si="11"/>
        <v>56.407358346679864</v>
      </c>
      <c r="D75" s="119">
        <f t="shared" si="11"/>
        <v>65.07404089992076</v>
      </c>
      <c r="E75" s="119">
        <f t="shared" si="11"/>
        <v>70.022592285674591</v>
      </c>
      <c r="F75" s="119">
        <f t="shared" si="11"/>
        <v>73.678075917546423</v>
      </c>
      <c r="G75" s="300"/>
      <c r="H75" s="300"/>
      <c r="I75" s="300"/>
      <c r="J75" s="300"/>
      <c r="K75" s="300"/>
      <c r="L75" s="300"/>
    </row>
    <row r="76" spans="1:21" ht="13.15">
      <c r="A76" s="131">
        <v>3</v>
      </c>
      <c r="B76" s="119">
        <f t="shared" si="11"/>
        <v>55.408486520022457</v>
      </c>
      <c r="C76" s="119">
        <f t="shared" si="11"/>
        <v>58.756050117500159</v>
      </c>
      <c r="D76" s="119">
        <f t="shared" si="11"/>
        <v>74.964154168181892</v>
      </c>
      <c r="E76" s="119">
        <f t="shared" si="11"/>
        <v>84.897617422628159</v>
      </c>
      <c r="F76" s="119">
        <f t="shared" si="11"/>
        <v>92.537974609298274</v>
      </c>
      <c r="G76" s="300"/>
      <c r="H76" s="300"/>
      <c r="I76" s="300"/>
      <c r="J76" s="300"/>
      <c r="K76" s="300"/>
      <c r="L76" s="300"/>
    </row>
    <row r="77" spans="1:21" ht="13.15">
      <c r="A77" s="131">
        <v>4</v>
      </c>
      <c r="B77" s="119">
        <f t="shared" si="11"/>
        <v>55.958485394434803</v>
      </c>
      <c r="C77" s="119">
        <f t="shared" si="11"/>
        <v>60.227912334895315</v>
      </c>
      <c r="D77" s="119">
        <f t="shared" si="11"/>
        <v>81.959634393048418</v>
      </c>
      <c r="E77" s="119">
        <f t="shared" si="11"/>
        <v>96.065493248337305</v>
      </c>
      <c r="F77" s="119">
        <f t="shared" si="11"/>
        <v>107.28329028563184</v>
      </c>
      <c r="G77" s="300"/>
      <c r="H77" s="300"/>
      <c r="I77" s="300"/>
      <c r="J77" s="300"/>
      <c r="K77" s="300"/>
      <c r="L77" s="300"/>
    </row>
    <row r="78" spans="1:21" ht="13.15">
      <c r="A78" s="131">
        <v>5</v>
      </c>
      <c r="B78" s="119">
        <f t="shared" si="11"/>
        <v>55.988540986050971</v>
      </c>
      <c r="C78" s="119">
        <f t="shared" si="11"/>
        <v>61.653274198007679</v>
      </c>
      <c r="D78" s="119">
        <f t="shared" si="11"/>
        <v>92.51519732561043</v>
      </c>
      <c r="E78" s="119">
        <f t="shared" si="11"/>
        <v>114.1173445123773</v>
      </c>
      <c r="F78" s="119">
        <f t="shared" si="11"/>
        <v>132.05925594523944</v>
      </c>
      <c r="G78" s="300"/>
      <c r="H78" s="300"/>
      <c r="I78" s="300"/>
      <c r="J78" s="300"/>
      <c r="K78" s="300"/>
      <c r="L78" s="300"/>
    </row>
    <row r="79" spans="1:21" ht="13.15">
      <c r="A79" s="131">
        <v>6</v>
      </c>
      <c r="B79" s="119">
        <f t="shared" si="11"/>
        <v>56.482760284222692</v>
      </c>
      <c r="C79" s="119">
        <f t="shared" si="11"/>
        <v>63.041634840146145</v>
      </c>
      <c r="D79" s="119">
        <f t="shared" si="11"/>
        <v>100.55273388773179</v>
      </c>
      <c r="E79" s="119">
        <f t="shared" si="11"/>
        <v>128.276350889573</v>
      </c>
      <c r="F79" s="119">
        <f t="shared" si="11"/>
        <v>152.05714116001684</v>
      </c>
      <c r="G79" s="300"/>
      <c r="H79" s="300"/>
      <c r="I79" s="300"/>
      <c r="J79" s="300"/>
      <c r="K79" s="300"/>
      <c r="L79" s="300"/>
    </row>
    <row r="80" spans="1:21" ht="13.15">
      <c r="A80" s="131">
        <f t="shared" ref="A80" si="12">A62</f>
        <v>7</v>
      </c>
      <c r="B80" s="119">
        <f t="shared" si="11"/>
        <v>56.487152070045063</v>
      </c>
      <c r="C80" s="119">
        <f t="shared" si="11"/>
        <v>64.407967559791715</v>
      </c>
      <c r="D80" s="119">
        <f t="shared" si="11"/>
        <v>112.97194082558839</v>
      </c>
      <c r="E80" s="119">
        <f t="shared" si="11"/>
        <v>151.65913663502954</v>
      </c>
      <c r="F80" s="119">
        <f t="shared" si="11"/>
        <v>186.33059033843355</v>
      </c>
      <c r="G80" s="300"/>
      <c r="H80" s="300"/>
      <c r="I80" s="300"/>
      <c r="J80" s="300"/>
      <c r="K80" s="300"/>
      <c r="L80" s="300"/>
    </row>
    <row r="81" spans="1:12" ht="13.15">
      <c r="A81" s="131">
        <v>8</v>
      </c>
      <c r="B81" s="119">
        <f t="shared" si="11"/>
        <v>56.931248823781694</v>
      </c>
      <c r="C81" s="119">
        <f t="shared" si="11"/>
        <v>65.717563831683492</v>
      </c>
      <c r="D81" s="119">
        <f t="shared" si="11"/>
        <v>122.20675986743196</v>
      </c>
      <c r="E81" s="119">
        <f t="shared" si="11"/>
        <v>169.61039833584076</v>
      </c>
      <c r="F81" s="119">
        <f t="shared" si="11"/>
        <v>213.45211298615038</v>
      </c>
      <c r="G81" s="300"/>
      <c r="H81" s="300"/>
      <c r="I81" s="300"/>
      <c r="J81" s="300"/>
      <c r="K81" s="300"/>
      <c r="L81" s="300"/>
    </row>
    <row r="82" spans="1:12" ht="13.15">
      <c r="A82" s="131">
        <f t="shared" ref="A82" si="13">A64</f>
        <v>9</v>
      </c>
      <c r="B82" s="119">
        <f t="shared" si="11"/>
        <v>56.913686625150092</v>
      </c>
      <c r="C82" s="119">
        <f t="shared" si="11"/>
        <v>67.027758180877186</v>
      </c>
      <c r="D82" s="119">
        <f t="shared" si="11"/>
        <v>136.79641696176199</v>
      </c>
      <c r="E82" s="119">
        <f t="shared" si="11"/>
        <v>199.83401710853511</v>
      </c>
      <c r="F82" s="119">
        <f t="shared" si="11"/>
        <v>260.74873800647413</v>
      </c>
      <c r="G82" s="300"/>
      <c r="H82" s="300"/>
      <c r="I82" s="300"/>
      <c r="J82" s="300"/>
      <c r="K82" s="300"/>
      <c r="L82" s="300"/>
    </row>
    <row r="83" spans="1:12" ht="13.15">
      <c r="A83" s="131">
        <f t="shared" ref="A83:A87" si="14">A65</f>
        <v>10</v>
      </c>
      <c r="B83" s="119">
        <f t="shared" si="11"/>
        <v>57.312744143561488</v>
      </c>
      <c r="C83" s="119">
        <f t="shared" si="11"/>
        <v>68.263058536778402</v>
      </c>
      <c r="D83" s="119">
        <f t="shared" si="11"/>
        <v>147.40686732506188</v>
      </c>
      <c r="E83" s="119">
        <f t="shared" si="11"/>
        <v>222.59322690520702</v>
      </c>
      <c r="F83" s="119">
        <f t="shared" si="11"/>
        <v>297.53147692264008</v>
      </c>
      <c r="G83" s="300"/>
      <c r="H83" s="300"/>
      <c r="I83" s="300"/>
      <c r="J83" s="300"/>
      <c r="K83" s="300"/>
      <c r="L83" s="300"/>
    </row>
    <row r="84" spans="1:12" ht="13.15">
      <c r="A84" s="131">
        <f t="shared" si="14"/>
        <v>15</v>
      </c>
      <c r="B84" s="119">
        <f t="shared" si="11"/>
        <v>57.840053537497596</v>
      </c>
      <c r="C84" s="119">
        <f t="shared" si="11"/>
        <v>74.147787755627121</v>
      </c>
      <c r="D84" s="119">
        <f t="shared" si="11"/>
        <v>234.24038757462068</v>
      </c>
      <c r="E84" s="119">
        <f t="shared" si="11"/>
        <v>441.83212745896844</v>
      </c>
      <c r="F84" s="119">
        <f t="shared" si="11"/>
        <v>692.604899541186</v>
      </c>
      <c r="G84" s="300"/>
      <c r="H84" s="300"/>
      <c r="I84" s="300"/>
      <c r="J84" s="300"/>
      <c r="K84" s="300"/>
      <c r="L84" s="300"/>
    </row>
    <row r="85" spans="1:12" ht="13.15">
      <c r="A85" s="132">
        <f t="shared" si="14"/>
        <v>20</v>
      </c>
      <c r="B85" s="119">
        <f t="shared" si="11"/>
        <v>58.462109750283652</v>
      </c>
      <c r="C85" s="119">
        <f t="shared" si="11"/>
        <v>79.264287029192204</v>
      </c>
      <c r="D85" s="119">
        <f t="shared" si="11"/>
        <v>349.53734918244089</v>
      </c>
      <c r="E85" s="119">
        <f t="shared" si="11"/>
        <v>810.93743541140805</v>
      </c>
      <c r="F85" s="119">
        <f t="shared" si="11"/>
        <v>1476.4859413911174</v>
      </c>
      <c r="G85" s="300"/>
      <c r="H85" s="300"/>
      <c r="I85" s="300"/>
      <c r="J85" s="300"/>
      <c r="K85" s="300"/>
      <c r="L85" s="300"/>
    </row>
    <row r="86" spans="1:12" ht="13.15">
      <c r="A86" s="132">
        <f t="shared" si="14"/>
        <v>25</v>
      </c>
      <c r="B86" s="119">
        <f t="shared" si="11"/>
        <v>58.567521664721113</v>
      </c>
      <c r="C86" s="119">
        <f t="shared" si="11"/>
        <v>83.915705549997256</v>
      </c>
      <c r="D86" s="119">
        <f t="shared" si="11"/>
        <v>533.68454523821788</v>
      </c>
      <c r="E86" s="119">
        <f t="shared" si="11"/>
        <v>1559.5376745812177</v>
      </c>
      <c r="F86" s="119">
        <f t="shared" si="11"/>
        <v>3349.4599025092016</v>
      </c>
      <c r="G86" s="300"/>
      <c r="H86" s="300"/>
      <c r="I86" s="300"/>
      <c r="J86" s="300"/>
      <c r="K86" s="300"/>
      <c r="L86" s="300"/>
    </row>
    <row r="87" spans="1:12" ht="13.15">
      <c r="A87" s="132">
        <f t="shared" si="14"/>
        <v>30</v>
      </c>
      <c r="B87" s="119">
        <f t="shared" si="11"/>
        <v>58.812341494165956</v>
      </c>
      <c r="C87" s="119">
        <f t="shared" si="11"/>
        <v>87.898923550096725</v>
      </c>
      <c r="D87" s="119">
        <f t="shared" si="11"/>
        <v>773.22901505820948</v>
      </c>
      <c r="E87" s="119">
        <f t="shared" si="11"/>
        <v>2798.2388625248782</v>
      </c>
      <c r="F87" s="119">
        <f t="shared" si="11"/>
        <v>7010.6191934527815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297.53147692264008</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222.59322690520702</v>
      </c>
      <c r="F91" s="130">
        <f>Scenarios!F22*(1-F$90-F$94)</f>
        <v>0.13500000000000001</v>
      </c>
      <c r="G91" s="301"/>
      <c r="H91" s="301"/>
      <c r="I91" s="301"/>
      <c r="J91" s="301"/>
      <c r="K91" s="301"/>
      <c r="L91" s="301"/>
    </row>
    <row r="92" spans="1:12">
      <c r="B92" s="120" t="str">
        <f>Scenarios!B23</f>
        <v>Base</v>
      </c>
      <c r="C92" s="130">
        <f>Scenarios!C23</f>
        <v>0.18</v>
      </c>
      <c r="D92" s="133">
        <f>Scenarios!D23</f>
        <v>10</v>
      </c>
      <c r="E92" s="127">
        <f>INDEX(B$73:F$87, MATCH(D92, A$73:A$87, 0), MATCH(C92, B$72:F$72, 0))</f>
        <v>147.40686732506188</v>
      </c>
      <c r="F92" s="130">
        <f>Scenarios!F23*(1-F$90-F$94)</f>
        <v>0.53999999999999992</v>
      </c>
      <c r="G92" s="301"/>
      <c r="H92" s="301"/>
      <c r="I92" s="301"/>
      <c r="J92" s="301"/>
      <c r="K92" s="301"/>
      <c r="L92" s="301"/>
    </row>
    <row r="93" spans="1:12">
      <c r="B93" s="120" t="str">
        <f>Scenarios!B24</f>
        <v>Pessimistic</v>
      </c>
      <c r="C93" s="130">
        <f>Scenarios!C24</f>
        <v>0.05</v>
      </c>
      <c r="D93" s="133">
        <f>Scenarios!D24</f>
        <v>10</v>
      </c>
      <c r="E93" s="127">
        <f>INDEX(B$73:F$87, MATCH(D93, A$73:A$87, 0), MATCH(C93, B$72:F$72, 0))</f>
        <v>68.263058536778402</v>
      </c>
      <c r="F93" s="130">
        <f>Scenarios!F24*(1-F$90-F$94)</f>
        <v>0.22499999999999998</v>
      </c>
      <c r="G93" s="301"/>
      <c r="H93" s="301"/>
      <c r="I93" s="301"/>
      <c r="J93" s="301"/>
      <c r="K93" s="301"/>
      <c r="L93" s="301"/>
    </row>
    <row r="94" spans="1:12">
      <c r="B94" s="120" t="str">
        <f>Scenarios!B30</f>
        <v>Devil's advocate</v>
      </c>
      <c r="C94" s="130">
        <f>Scenarios!C30</f>
        <v>0.02</v>
      </c>
      <c r="D94" s="133">
        <f>Scenarios!D30</f>
        <v>10</v>
      </c>
      <c r="E94" s="127">
        <f>INDEX(B$73:F$87, MATCH(D94, A$73:A$87, 0), MATCH(C94, B$72:F$72, 0))</f>
        <v>57.312744143561488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222.59322690520702</v>
      </c>
      <c r="F22" s="332">
        <f>1-F23-F24</f>
        <v>0.15000000000000002</v>
      </c>
      <c r="G22" s="332">
        <f>F22*(1-F$29-F$30)</f>
        <v>0.13500000000000001</v>
      </c>
    </row>
    <row r="23" spans="2:7">
      <c r="B23" s="306" t="s">
        <v>440</v>
      </c>
      <c r="C23" s="328">
        <v>0.18</v>
      </c>
      <c r="D23" s="329">
        <f>C18</f>
        <v>10</v>
      </c>
      <c r="E23" s="330">
        <f>DCF!E92</f>
        <v>147.40686732506188</v>
      </c>
      <c r="F23" s="331">
        <v>0.6</v>
      </c>
      <c r="G23" s="332">
        <f t="shared" ref="G23:G24" si="0">F23*(1-F$29-F$30)</f>
        <v>0.53999999999999992</v>
      </c>
    </row>
    <row r="24" spans="2:7">
      <c r="B24" s="306" t="s">
        <v>449</v>
      </c>
      <c r="C24" s="328">
        <v>0.05</v>
      </c>
      <c r="D24" s="329">
        <f>C18</f>
        <v>10</v>
      </c>
      <c r="E24" s="330">
        <f>DCF!E93</f>
        <v>68.263058536778402</v>
      </c>
      <c r="F24" s="331">
        <v>0.25</v>
      </c>
      <c r="G24" s="332">
        <f t="shared" si="0"/>
        <v>0.22499999999999998</v>
      </c>
    </row>
    <row r="25" spans="2:7">
      <c r="B25" s="141" t="s">
        <v>454</v>
      </c>
      <c r="C25" s="446">
        <f>E23*F23+E24*F24+E22*F22</f>
        <v>138.89886906501278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297.53147692264008</v>
      </c>
      <c r="F29" s="331">
        <v>0.05</v>
      </c>
      <c r="G29" s="332">
        <f>F29</f>
        <v>0.05</v>
      </c>
    </row>
    <row r="30" spans="2:7">
      <c r="B30" s="319" t="s">
        <v>450</v>
      </c>
      <c r="C30" s="328">
        <v>0.02</v>
      </c>
      <c r="D30" s="329">
        <f>C18</f>
        <v>10</v>
      </c>
      <c r="E30" s="330">
        <f>DCF!E94</f>
        <v>57.312744143561488</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98.75</v>
      </c>
      <c r="D34" t="str">
        <f>Market_currency</f>
        <v>HKD</v>
      </c>
      <c r="E34" s="97" t="s">
        <v>457</v>
      </c>
      <c r="F34" s="334">
        <f>RATE(Holding_Period,$C$33,-C34,$C$36)</f>
        <v>0.13070040463832502</v>
      </c>
    </row>
    <row r="35" spans="2:7">
      <c r="B35" s="97" t="s">
        <v>437</v>
      </c>
      <c r="C35" s="324">
        <f>DCF!C11</f>
        <v>41.759164481078393</v>
      </c>
      <c r="D35" s="97" t="str">
        <f>Market_currency</f>
        <v>HKD</v>
      </c>
      <c r="E35" s="97" t="s">
        <v>457</v>
      </c>
      <c r="F35" s="334">
        <f>RATE(Holding_Period,$C$33,-C35,$C$36)</f>
        <v>0.50640812274830771</v>
      </c>
    </row>
    <row r="36" spans="2:7">
      <c r="B36" s="97" t="s">
        <v>438</v>
      </c>
      <c r="C36" s="325">
        <f>E22*G22+E23*G23+E24*G24+E30*G30+E29*G29</f>
        <v>142.75119321182157</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0.17457815320730899</v>
      </c>
      <c r="D46" s="138"/>
      <c r="E46" s="221" t="s">
        <v>252</v>
      </c>
    </row>
    <row r="47" spans="2:7">
      <c r="B47" s="97" t="s">
        <v>96</v>
      </c>
      <c r="C47" s="146">
        <f>DCF!I18</f>
        <v>142.74679497920889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0.14605776265421239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65.783960005447739</v>
      </c>
      <c r="E62" s="336">
        <f>C62+D62</f>
        <v>65.783960005447739</v>
      </c>
      <c r="F62" s="305">
        <f>Thesis!E22</f>
        <v>0.29465259038036606</v>
      </c>
      <c r="G62" s="445">
        <f>(1-E62/C36)</f>
        <v>0.53917050691244239</v>
      </c>
    </row>
    <row r="63" spans="2:7" ht="13.15">
      <c r="B63" s="306" t="s">
        <v>313</v>
      </c>
      <c r="C63" s="119">
        <f>PV(F63, Holding_Period, -C58, 0)</f>
        <v>0</v>
      </c>
      <c r="D63" s="119">
        <f>C36/(1+F63)^Holding_Period</f>
        <v>82.455562866034157</v>
      </c>
      <c r="E63" s="336">
        <f>C63+D63</f>
        <v>82.455562866034157</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102.31840134983725</v>
      </c>
      <c r="E66" s="336">
        <f>C66+D66</f>
        <v>102.31840134983725</v>
      </c>
      <c r="F66" s="305">
        <f>Thesis!E24</f>
        <v>0.1174</v>
      </c>
      <c r="G66" s="445">
        <f>(1-E66/C36)</f>
        <v>0.28323960698519746</v>
      </c>
    </row>
    <row r="67" spans="2:7" ht="13.15">
      <c r="B67" s="306" t="s">
        <v>314</v>
      </c>
      <c r="C67" s="119">
        <f>PV(F67, Holding_Period, -C58, 0)</f>
        <v>0</v>
      </c>
      <c r="D67" s="119">
        <f>C36/(1+F67)^Holding_Period</f>
        <v>115.71451635411509</v>
      </c>
      <c r="E67" s="336">
        <f>C67+D67</f>
        <v>115.71451635411509</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98.75</v>
      </c>
    </row>
    <row r="9" spans="1:10">
      <c r="B9" s="355" t="s">
        <v>361</v>
      </c>
      <c r="C9" s="357">
        <f>Common_Shares</f>
        <v>9264431217</v>
      </c>
    </row>
    <row r="10" spans="1:10">
      <c r="B10" s="355" t="s">
        <v>367</v>
      </c>
      <c r="C10" s="361">
        <f>投资主题!C8*Common_Shares/1000000</f>
        <v>914862.58267875004</v>
      </c>
      <c r="D10" s="347" t="s">
        <v>531</v>
      </c>
      <c r="E10" s="364">
        <f>Scenarios!F34</f>
        <v>0.13070040463832502</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1.0902572700000002</v>
      </c>
    </row>
    <row r="17" spans="1:6">
      <c r="B17" s="347" t="s">
        <v>537</v>
      </c>
      <c r="C17" s="429">
        <f>Terminal_Growth</f>
        <v>0</v>
      </c>
      <c r="D17" s="355" t="s">
        <v>339</v>
      </c>
      <c r="E17" s="348" t="str">
        <f>Reporting_currency</f>
        <v>CNY</v>
      </c>
    </row>
    <row r="18" spans="1:6">
      <c r="B18" s="347" t="str">
        <f>"预期股权价值 ("&amp;C7&amp;") :"</f>
        <v>预期股权价值 (HKD) :</v>
      </c>
      <c r="C18" s="363">
        <f>C125</f>
        <v>142.75119321182157</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65.783960005447739</v>
      </c>
      <c r="D22" s="369" t="s">
        <v>443</v>
      </c>
      <c r="E22" s="370">
        <f>Thesis!E22</f>
        <v>0.29465259038036606</v>
      </c>
    </row>
    <row r="23" spans="1:6">
      <c r="B23" s="347" t="s">
        <v>341</v>
      </c>
      <c r="C23" s="371">
        <f>E141</f>
        <v>82.455562866034157</v>
      </c>
      <c r="D23" s="369" t="s">
        <v>444</v>
      </c>
      <c r="E23" s="372">
        <f>Thesis!E23</f>
        <v>0.20075184365903009</v>
      </c>
    </row>
    <row r="24" spans="1:6">
      <c r="B24" s="347" t="s">
        <v>343</v>
      </c>
      <c r="C24" s="371">
        <f>E144</f>
        <v>102.31840134983725</v>
      </c>
      <c r="D24" s="369" t="s">
        <v>446</v>
      </c>
      <c r="E24" s="372">
        <f>Thesis!E24</f>
        <v>0.1174</v>
      </c>
    </row>
    <row r="25" spans="1:6">
      <c r="B25" s="347" t="s">
        <v>342</v>
      </c>
      <c r="C25" s="371">
        <f>E145</f>
        <v>115.71451635411509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2.4159933083320251E-2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-5.9991252387116241</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8.0347859913779249</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6.8160086666482993</v>
      </c>
      <c r="D90" s="347" t="str">
        <f>Market_currency</f>
        <v>HKD</v>
      </c>
    </row>
    <row r="92" spans="1:6">
      <c r="B92" s="376" t="s">
        <v>483</v>
      </c>
      <c r="C92" s="391">
        <f>DCF!F8</f>
        <v>8.8516694193146037</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3.4747227777920253</v>
      </c>
      <c r="D111" s="347" t="str">
        <f>Market_currency</f>
        <v>HKD</v>
      </c>
    </row>
    <row r="112" spans="1:6">
      <c r="A112" s="389"/>
      <c r="B112" s="376" t="s">
        <v>377</v>
      </c>
      <c r="C112" s="398">
        <f>DCF!C11</f>
        <v>41.759164481078393</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297.53 HKD</v>
      </c>
      <c r="F118" s="403">
        <f>DCF!F90</f>
        <v>0.05</v>
      </c>
    </row>
    <row r="119" spans="1:6">
      <c r="A119" s="389"/>
      <c r="B119" s="404" t="str">
        <f>DCF!B91</f>
        <v>Optimistic</v>
      </c>
      <c r="C119" s="405">
        <f>DCF!C91</f>
        <v>0.25</v>
      </c>
      <c r="D119" s="406">
        <f>DCF!D91</f>
        <v>10</v>
      </c>
      <c r="E119" s="402" t="str">
        <f>ROUND(DCF!E91,2)&amp;" "&amp;Market_currency</f>
        <v>222.59 HKD</v>
      </c>
      <c r="F119" s="407">
        <f>DCF!F91</f>
        <v>0.13500000000000001</v>
      </c>
    </row>
    <row r="120" spans="1:6">
      <c r="B120" s="404" t="str">
        <f>DCF!B92</f>
        <v>Base</v>
      </c>
      <c r="C120" s="405">
        <f>DCF!C92</f>
        <v>0.18</v>
      </c>
      <c r="D120" s="406">
        <f>DCF!D92</f>
        <v>10</v>
      </c>
      <c r="E120" s="402" t="str">
        <f>ROUND(DCF!E92,2)&amp;" "&amp;Market_currency</f>
        <v>147.41 HKD</v>
      </c>
      <c r="F120" s="407">
        <f>DCF!F92</f>
        <v>0.53999999999999992</v>
      </c>
    </row>
    <row r="121" spans="1:6">
      <c r="B121" s="404" t="str">
        <f>DCF!B93</f>
        <v>Pessimistic</v>
      </c>
      <c r="C121" s="405">
        <f>DCF!C93</f>
        <v>0.05</v>
      </c>
      <c r="D121" s="406">
        <f>DCF!D93</f>
        <v>10</v>
      </c>
      <c r="E121" s="402" t="str">
        <f>ROUND(DCF!E93,2)&amp;" "&amp;Market_currency</f>
        <v>68.26 HKD</v>
      </c>
      <c r="F121" s="407">
        <f>DCF!F93</f>
        <v>0.22499999999999998</v>
      </c>
    </row>
    <row r="122" spans="1:6">
      <c r="B122" s="404" t="str">
        <f>DCF!B94</f>
        <v>Devil's advocate</v>
      </c>
      <c r="C122" s="405">
        <f>DCF!C94</f>
        <v>0.02</v>
      </c>
      <c r="D122" s="406">
        <f>DCF!D94</f>
        <v>10</v>
      </c>
      <c r="E122" s="402" t="str">
        <f>ROUND(DCF!E94,2)&amp;" "&amp;Market_currency</f>
        <v>57.31 HKD</v>
      </c>
      <c r="F122" s="407">
        <f>DCF!F94</f>
        <v>0.05</v>
      </c>
    </row>
    <row r="124" spans="1:6">
      <c r="B124" s="466" t="s">
        <v>521</v>
      </c>
      <c r="C124" s="466"/>
      <c r="D124" s="466"/>
      <c r="E124" s="466"/>
      <c r="F124" s="466"/>
    </row>
    <row r="125" spans="1:6">
      <c r="B125" s="376" t="s">
        <v>218</v>
      </c>
      <c r="C125" s="408">
        <f>Scenarios!C36</f>
        <v>142.75119321182157</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65.783960005447739</v>
      </c>
      <c r="E140" s="414">
        <f>Scenarios!E62</f>
        <v>65.783960005447739</v>
      </c>
      <c r="F140" s="415">
        <f>E22</f>
        <v>0.29465259038036606</v>
      </c>
    </row>
    <row r="141" spans="1:6">
      <c r="B141" s="412" t="s">
        <v>313</v>
      </c>
      <c r="C141" s="413">
        <f>Scenarios!C63</f>
        <v>0</v>
      </c>
      <c r="D141" s="413">
        <f>Scenarios!D63</f>
        <v>82.455562866034157</v>
      </c>
      <c r="E141" s="414">
        <f>Scenarios!E63</f>
        <v>82.455562866034157</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102.31840134983725</v>
      </c>
      <c r="E144" s="414">
        <f>Scenarios!E66</f>
        <v>102.31840134983725</v>
      </c>
      <c r="F144" s="415">
        <f>E24</f>
        <v>0.1174</v>
      </c>
    </row>
    <row r="145" spans="1:6">
      <c r="B145" s="412" t="s">
        <v>314</v>
      </c>
      <c r="C145" s="413">
        <f>Scenarios!C67</f>
        <v>0</v>
      </c>
      <c r="D145" s="413">
        <f>Scenarios!D67</f>
        <v>115.71451635411509</v>
      </c>
      <c r="E145" s="414">
        <f>Scenarios!E67</f>
        <v>115.71451635411509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