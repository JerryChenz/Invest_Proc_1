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6C0338B-D913-4F35-9BE0-4A6094F57BF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6" i="4"/>
  <c r="D6" i="4"/>
  <c r="E6" i="4"/>
  <c r="F6" i="4"/>
  <c r="G6" i="4"/>
  <c r="H6" i="4"/>
  <c r="I6" i="4"/>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<sst xmlns="http://schemas.openxmlformats.org/spreadsheetml/2006/main" count="768" uniqueCount="559">
  <si>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</si>
  <si>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</si>
  <si>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</si>
  <si>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</si>
  <si>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</si>
  <si>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</si>
  <si>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</si>
  <si>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</si>
  <si>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</si>
  <si>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</si>
  <si>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</si>
  <si>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</si>
  <si>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</si>
  <si>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</si>
  <si>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</si>
  <si>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</si>
  <si>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</si>
  <si>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</si>
  <si>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</si>
  <si>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</si>
  <si>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</si>
  <si>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</si>
  <si>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</si>
  <si>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</si>
  <si>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</si>
  <si>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</si>
  <si>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</si>
  <si>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</si>
  <si>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</si>
  <si>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</si>
  <si>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</si>
  <si>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</si>
  <si>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</si>
  <si>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</si>
  <si>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</si>
  <si>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</si>
  <si>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</si>
  <si>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</si>
  <si>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</si>
  <si>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</si>
  <si>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</si>
  <si>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</si>
  <si>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</si>
  <si>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</si>
  <si>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</si>
  <si>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</si>
  <si>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</si>
  <si>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</si>
  <si>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</si>
  <si>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</si>
  <si>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</si>
  <si>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</si>
  <si>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</si>
  <si>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</si>
  <si>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</si>
  <si>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</si>
  <si>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</si>
  <si>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</si>
  <si>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</si>
  <si>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</si>
  <si>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</si>
  <si>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</si>
  <si>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</si>
  <si>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</si>
  <si>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</si>
  <si>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</si>
  <si>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</si>
  <si>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</si>
  <si>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</si>
  <si>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</si>
  <si>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</si>
  <si>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</si>
  <si>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</si>
  <si>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</si>
  <si>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</si>
  <si>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</si>
  <si>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</si>
  <si>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</si>
  <si>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</si>
  <si>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</si>
  <si>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</si>
  <si>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</si>
  <si>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</si>
  <si>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</si>
  <si>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</si>
  <si>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</si>
  <si>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</si>
  <si>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</si>
  <si>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</si>
  <si>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</si>
  <si>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</si>
  <si>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</si>
  <si>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</si>
  <si>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</si>
  <si>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</si>
  <si>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</si>
  <si>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</si>
  <si>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</si>
  <si>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</si>
  <si>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</si>
  <si>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</si>
  <si>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</si>
  <si>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</si>
  <si>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</si>
  <si>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</si>
  <si>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</si>
  <si>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</si>
  <si>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</si>
  <si>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</si>
  <si>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</si>
  <si>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</si>
  <si>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</si>
  <si>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</si>
  <si>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</si>
  <si>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</si>
  <si>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</si>
  <si>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</si>
  <si>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</si>
  <si>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</si>
  <si>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</si>
  <si>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</si>
  <si>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</si>
  <si>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</si>
  <si>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</si>
  <si>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</si>
  <si>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</si>
  <si>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</si>
  <si>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</si>
  <si>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</si>
  <si>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</si>
  <si>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</si>
  <si>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</si>
  <si>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</si>
  <si>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</si>
  <si>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</si>
  <si>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</si>
  <si>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</si>
  <si>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</si>
  <si>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</si>
  <si>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</si>
  <si>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</si>
  <si>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</si>
  <si>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</si>
  <si>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</si>
  <si>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</si>
  <si>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</si>
  <si>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</si>
  <si>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</si>
  <si>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</si>
  <si>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</si>
  <si>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</si>
  <si>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</si>
  <si>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</si>
  <si>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</si>
  <si>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</si>
  <si>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</si>
  <si>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</si>
  <si>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</si>
  <si>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</si>
  <si>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</si>
  <si>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</si>
  <si>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</si>
  <si>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</si>
  <si>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</si>
  <si>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</si>
  <si>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</si>
  <si>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</si>
  <si>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</si>
  <si>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</si>
  <si>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</si>
  <si>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</si>
  <si>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</si>
  <si>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</si>
  <si>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</si>
  <si>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</si>
  <si>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</si>
  <si>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</si>
  <si>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</si>
  <si>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</si>
  <si>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</si>
  <si>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</si>
  <si>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</si>
  <si>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</si>
  <si>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</si>
  <si>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</si>
  <si>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</si>
  <si>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</si>
  <si>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</si>
  <si>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</si>
  <si>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</si>
  <si>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</si>
  <si>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</si>
  <si>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</si>
  <si>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</si>
  <si>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</si>
  <si>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</si>
  <si>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</si>
  <si>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</si>
  <si>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</si>
  <si>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</si>
  <si>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</si>
  <si>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</si>
  <si>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</si>
  <si>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</si>
  <si>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</si>
  <si>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</si>
  <si>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</si>
  <si>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</si>
  <si>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</si>
  <si>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</si>
  <si>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</si>
  <si>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</si>
  <si>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</si>
  <si>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</si>
  <si>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</si>
  <si>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</si>
  <si>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</si>
  <si>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</si>
  <si>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</si>
  <si>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</si>
  <si>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</si>
  <si>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</si>
  <si>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</si>
  <si>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</si>
  <si>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</si>
  <si>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</si>
  <si>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</si>
  <si>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</si>
  <si>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</si>
  <si>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</si>
  <si>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</si>
  <si>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</si>
  <si>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</si>
  <si>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</si>
  <si>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</si>
  <si>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</si>
  <si>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</si>
  <si>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</si>
  <si>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</si>
  <si>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</si>
  <si>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</si>
  <si>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</si>
  <si>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</si>
  <si>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</si>
  <si>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</si>
  <si>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</si>
  <si>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</si>
  <si>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</si>
  <si>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</si>
  <si>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</si>
  <si>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</si>
  <si>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</si>
  <si>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</si>
  <si>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</si>
  <si>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</si>
  <si>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</si>
  <si>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</si>
  <si>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</si>
  <si>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</si>
  <si>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</si>
  <si>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</si>
  <si>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</si>
  <si>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</si>
  <si>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</si>
  <si>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</si>
  <si>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</si>
  <si>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</si>
  <si>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</si>
  <si>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</si>
  <si>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</si>
  <si>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</si>
  <si>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</si>
  <si>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</si>
  <si>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</si>
  <si>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</si>
  <si>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</si>
  <si>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</si>
  <si>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</si>
  <si>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</si>
  <si>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</si>
  <si>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</si>
  <si>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</si>
  <si>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</si>
  <si>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</si>
  <si>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</si>
  <si>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</si>
  <si>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</si>
  <si>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</si>
  <si>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</si>
  <si>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</si>
  <si>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</si>
  <si>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</si>
  <si>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</si>
  <si>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</si>
  <si>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</si>
  <si>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</si>
  <si>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</si>
  <si>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</si>
  <si>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</si>
  <si>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</si>
  <si>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</si>
  <si>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</si>
  <si>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</si>
  <si>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</si>
  <si>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</si>
  <si>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</si>
  <si>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</si>
  <si>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</si>
  <si>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</si>
  <si>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</si>
  <si>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</si>
  <si>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</si>
  <si>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</si>
  <si>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</si>
  <si>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</si>
  <si>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</si>
  <si>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</si>
  <si>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</si>
  <si>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</si>
  <si>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</si>
  <si>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</si>
  <si>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</si>
  <si>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</si>
  <si>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</si>
  <si>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</si>
  <si>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</si>
  <si>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</si>
  <si>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</si>
  <si>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</si>
  <si>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</si>
  <si>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</si>
  <si>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</si>
  <si>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</si>
  <si>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</si>
  <si>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</si>
  <si>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</si>
  <si>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</si>
  <si>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</si>
  <si>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</si>
  <si>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</si>
  <si>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</si>
  <si>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</si>
  <si>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</si>
  <si>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</si>
  <si>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</si>
  <si>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</si>
  <si>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</si>
  <si>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</si>
  <si>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</si>
  <si>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</si>
  <si>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</si>
  <si>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</si>
  <si>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</si>
  <si>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</si>
  <si>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</si>
  <si>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</si>
  <si>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</si>
  <si>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</si>
  <si>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</si>
  <si>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</si>
  <si>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</si>
  <si>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</si>
  <si>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</si>
  <si>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</si>
  <si>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</si>
  <si>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</si>
  <si>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</si>
  <si>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</si>
  <si>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</si>
  <si>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</si>
  <si>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</si>
  <si>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</si>
  <si>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</si>
  <si>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</si>
  <si>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</si>
  <si>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</si>
  <si>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</si>
  <si>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</si>
  <si>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</si>
  <si>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</si>
  <si>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</si>
  <si>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</si>
  <si>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</si>
  <si>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</si>
  <si>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</si>
  <si>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</si>
  <si>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</si>
  <si>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</si>
  <si>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</si>
  <si>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</si>
  <si>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</si>
  <si>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</si>
  <si>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</si>
  <si>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</si>
  <si>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</si>
  <si>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</si>
  <si>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</si>
  <si>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</si>
  <si>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</si>
  <si>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</si>
  <si>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</si>
  <si>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</si>
  <si>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</si>
  <si>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</si>
  <si>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</si>
  <si>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</si>
  <si>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</si>
  <si>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</si>
  <si>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</si>
  <si>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</si>
  <si>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</si>
  <si>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</si>
  <si>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</si>
  <si>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</si>
  <si>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</si>
  <si>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</si>
  <si>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</si>
  <si>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</si>
  <si>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</si>
  <si>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</si>
  <si>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</si>
  <si>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</si>
  <si>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</si>
  <si>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</si>
  <si>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</si>
  <si>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</si>
  <si>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</si>
  <si>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</si>
  <si>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</si>
  <si>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</si>
  <si>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</si>
  <si>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</si>
  <si>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</si>
  <si>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</si>
  <si>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</si>
  <si>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</si>
  <si>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</si>
  <si>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</si>
  <si>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</si>
  <si>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</si>
  <si>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</si>
  <si>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</si>
  <si>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</si>
  <si>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</si>
  <si>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</si>
  <si>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</si>
  <si>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</si>
  <si>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</si>
  <si>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</si>
  <si>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</si>
  <si>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</si>
  <si>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</si>
  <si>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</si>
  <si>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</si>
  <si>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</si>
  <si>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</si>
  <si>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</si>
  <si>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</si>
  <si>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</si>
  <si>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</si>
  <si>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</si>
  <si>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</si>
  <si>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</si>
  <si>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</si>
  <si>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</si>
  <si>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</si>
  <si>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</si>
  <si>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</si>
  <si>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</si>
  <si>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</si>
  <si>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</si>
  <si>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</si>
  <si>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</si>
  <si>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</si>
  <si>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</si>
  <si>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</si>
  <si>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</si>
  <si>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</si>
  <si>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</si>
  <si>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</si>
  <si>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</si>
  <si>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</si>
  <si>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</si>
  <si>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</si>
  <si>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</si>
  <si>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</si>
  <si>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</si>
  <si>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</si>
  <si>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</si>
  <si>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</si>
  <si>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</si>
  <si>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</si>
  <si>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</si>
  <si>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</si>
  <si>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</si>
  <si>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</si>
  <si>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</si>
  <si>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</si>
  <si>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</si>
  <si>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</si>
  <si>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</si>
  <si>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</si>
  <si>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</si>
  <si>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</si>
  <si>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</si>
  <si>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</si>
  <si>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</si>
  <si>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</si>
  <si>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</si>
  <si>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</si>
  <si>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</si>
  <si>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</si>
  <si>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</si>
  <si>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</si>
  <si>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</si>
  <si>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</si>
  <si>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</si>
  <si>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</si>
  <si>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</si>
  <si>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</si>
  <si>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</si>
  <si>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</si>
  <si>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</si>
  <si>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</si>
  <si>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</si>
  <si>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</si>
  <si>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</si>
  <si>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</si>
  <si>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</si>
  <si>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</si>
  <si>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</si>
  <si>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</si>
  <si>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</si>
  <si>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</si>
  <si>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</si>
  <si>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</si>
  <si>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</si>
  <si>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</si>
  <si>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</si>
  <si>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</si>
  <si>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</si>
  <si>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</si>
  <si>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</si>
  <si>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</si>
  <si>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</si>
  <si>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</si>
  <si>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</si>
  <si>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</si>
  <si>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</si>
  <si>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</si>
  <si>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</si>
  <si>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</si>
  <si>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</si>
  <si>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</si>
  <si>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</si>
  <si>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腾讯音乐</t>
  </si>
  <si>
    <t>1698.hk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</si>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</sst>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46103</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39.76</v>
      </c>
      <c r="E8" s="32"/>
    </row>
    <row r="9" spans="1:9">
      <c r="B9" s="4" t="s">
        <v>345</v>
      </c>
      <c r="C9" s="48">
        <v>3108803728</v>
      </c>
    </row>
    <row r="10" spans="1:9">
      <c r="B10" s="4" t="s">
        <v>351</v>
      </c>
      <c r="C10" s="33">
        <f>Thesis!C8*Common_Shares/1000000</f>
        <v>123606.03622528</v>
      </c>
      <c r="D10" s="1" t="s">
        <v>527</v>
      </c>
      <c r="E10" s="303">
        <f>Scenarios!F34</f>
        <v>0.21825042499925634</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1.146258</v>
      </c>
    </row>
    <row r="17" spans="1:6">
      <c r="B17" s="1" t="s">
        <v>531</v>
      </c>
      <c r="C17" s="456">
        <v>0.02</v>
      </c>
      <c r="D17" s="4" t="s">
        <v>273</v>
      </c>
      <c r="E17" s="224" t="s">
        <v>558</v>
      </c>
    </row>
    <row r="18" spans="1:6">
      <c r="B18" s="1" t="str">
        <f>"Expected Equity Value ("&amp;C7&amp;") :"</f>
        <v>Expected Equity Value (HKD) :</v>
      </c>
      <c r="C18" s="252">
        <f>C125</f>
        <v>71.362209945117357</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32.739549360544991</v>
      </c>
      <c r="D22" s="38" t="s">
        <v>405</v>
      </c>
      <c r="E22" s="79">
        <v>0.3</v>
      </c>
    </row>
    <row r="23" spans="1:6">
      <c r="B23" s="1" t="s">
        <v>312</v>
      </c>
      <c r="C23" s="256">
        <f>E141</f>
        <v>41.596695570091057</v>
      </c>
      <c r="D23" s="38" t="s">
        <v>406</v>
      </c>
      <c r="E23" s="443">
        <v>0.2</v>
      </c>
    </row>
    <row r="24" spans="1:6">
      <c r="B24" s="1" t="s">
        <v>314</v>
      </c>
      <c r="C24" s="256">
        <f>E144</f>
        <v>51.492195290550455</v>
      </c>
      <c r="D24" s="38" t="s">
        <v>407</v>
      </c>
      <c r="E24" s="443">
        <v>0.1174</v>
      </c>
    </row>
    <row r="25" spans="1:6">
      <c r="B25" s="1" t="s">
        <v>313</v>
      </c>
      <c r="C25" s="256">
        <f>E145</f>
        <v>58.217364194647452</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9207.3202704130126</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-650.63867420757288</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72.408389576888965</v>
      </c>
      <c r="D44" s="1" t="str">
        <f>Reporting_currency</f>
        <v>CNY</v>
      </c>
      <c r="E44" s="244"/>
      <c r="F44" s="244"/>
    </row>
    <row r="45" spans="2:6">
      <c r="B45" s="44" t="s">
        <v>267</v>
      </c>
      <c r="C45" s="286">
        <f>Normalized_FCF!C45</f>
        <v>-18.96</v>
      </c>
      <c r="D45" s="1" t="str">
        <f>Reporting_currency</f>
        <v>CNY</v>
      </c>
      <c r="E45" s="244"/>
      <c r="F45" s="244"/>
    </row>
    <row r="46" spans="2:6">
      <c r="B46" s="44" t="s">
        <v>202</v>
      </c>
      <c r="C46" s="285">
        <f>Normalized_FCF!C10</f>
        <v>53.448389576888964</v>
      </c>
      <c r="D46" s="1" t="str">
        <f>Reporting_currency</f>
        <v>CNY</v>
      </c>
    </row>
    <row r="48" spans="2:6">
      <c r="B48" s="1" t="s">
        <v>210</v>
      </c>
    </row>
    <row r="49" spans="2:6">
      <c r="B49" s="44" t="s">
        <v>222</v>
      </c>
      <c r="C49" s="285">
        <f>Normalized_FCF!C13</f>
        <v>-538.69335586775105</v>
      </c>
      <c r="D49" s="1" t="str">
        <f>Reporting_currency</f>
        <v>CNY</v>
      </c>
    </row>
    <row r="51" spans="2:6">
      <c r="B51" s="463" t="s">
        <v>205</v>
      </c>
      <c r="C51" s="463"/>
      <c r="D51" s="463"/>
      <c r="E51" s="463"/>
      <c r="F51" s="463"/>
    </row>
    <row r="52" spans="2:6">
      <c r="B52" s="44" t="s">
        <v>203</v>
      </c>
      <c r="C52" s="285">
        <f>Normalized_FCF!C12</f>
        <v>-2315.1921649974752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7662.219886375362</v>
      </c>
      <c r="D60" s="1" t="str">
        <f>Reporting_currency</f>
        <v>CNY</v>
      </c>
    </row>
    <row r="61" spans="2:6">
      <c r="B61" s="44" t="s">
        <v>212</v>
      </c>
      <c r="C61" s="285">
        <f>Normalized_FCF!C19</f>
        <v>6406.883139124674</v>
      </c>
      <c r="D61" s="1" t="str">
        <f>Reporting_currency</f>
        <v>CNY</v>
      </c>
    </row>
    <row r="62" spans="2:6">
      <c r="B62" s="204" t="s">
        <v>301</v>
      </c>
      <c r="C62" s="89">
        <f>Normalized_FCF!C124</f>
        <v>5.9414097220154873E-2</v>
      </c>
      <c r="F62" s="257"/>
    </row>
    <row r="63" spans="2:6">
      <c r="B63" s="204" t="s">
        <v>331</v>
      </c>
      <c r="C63" s="89">
        <f>Normalized_FCF!C92</f>
        <v>3.5714285714285713E-3</v>
      </c>
      <c r="E63" s="44" t="s">
        <v>321</v>
      </c>
      <c r="F63" s="258">
        <f>Normalized_FCF!C90</f>
        <v>6.8902478754484062E-2</v>
      </c>
    </row>
    <row r="65" spans="1:6">
      <c r="B65" s="192" t="s">
        <v>324</v>
      </c>
      <c r="C65" s="264" t="s">
        <v>326</v>
      </c>
      <c r="D65" s="264" t="s">
        <v>327</v>
      </c>
    </row>
    <row r="66" spans="1:6">
      <c r="B66" s="44" t="s">
        <v>325</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-316</v>
      </c>
      <c r="D78" s="1" t="str">
        <f>Reporting_currency</f>
        <v>CNY</v>
      </c>
    </row>
    <row r="79" spans="1:6">
      <c r="A79" s="191"/>
      <c r="B79" s="44" t="s">
        <v>233</v>
      </c>
      <c r="C79" s="201">
        <f>C78*scaling_factor*Exchange_Rate/Common_Shares</f>
        <v>-0.11651347582274901</v>
      </c>
      <c r="D79" s="1" t="str">
        <f>Market_currency</f>
        <v>HKD</v>
      </c>
    </row>
    <row r="80" spans="1:6">
      <c r="A80" s="191"/>
      <c r="B80" s="229" t="s">
        <v>308</v>
      </c>
      <c r="C80" s="337">
        <f>IF(BS!G31/BS!G27&gt;300%,"nm",BS!G31/BS!G27)</f>
        <v>3.8049367850692354E-3</v>
      </c>
    </row>
    <row r="81" spans="1:6">
      <c r="A81" s="191"/>
      <c r="B81" s="229" t="s">
        <v>310</v>
      </c>
      <c r="C81" s="338">
        <f>IF(BS!C50&gt;30,"nm",BS!C50)</f>
        <v>3.432051788351935E-2</v>
      </c>
    </row>
    <row r="82" spans="1:6">
      <c r="A82" s="191"/>
    </row>
    <row r="83" spans="1:6">
      <c r="A83" s="191"/>
      <c r="B83" s="1" t="s">
        <v>465</v>
      </c>
    </row>
    <row r="84" spans="1:6">
      <c r="A84" s="191"/>
      <c r="B84" s="1" t="s">
        <v>223</v>
      </c>
      <c r="C84" s="285">
        <f>DCF!F5</f>
        <v>25989.935070518506</v>
      </c>
      <c r="D84" s="1" t="str">
        <f>Reporting_currency</f>
        <v>CNY</v>
      </c>
    </row>
    <row r="85" spans="1:6">
      <c r="A85" s="191"/>
      <c r="B85" s="229" t="s">
        <v>221</v>
      </c>
      <c r="C85" s="291">
        <f>BS!C66</f>
        <v>38058</v>
      </c>
      <c r="D85" s="339" t="str">
        <f>Reporting_currency</f>
        <v>CNY</v>
      </c>
    </row>
    <row r="86" spans="1:6">
      <c r="A86" s="191"/>
      <c r="B86" s="44" t="s">
        <v>234</v>
      </c>
      <c r="C86" s="201">
        <f>C84*scaling_factor*Exchange_Rate/Common_Shares</f>
        <v>9.5828407325116292</v>
      </c>
      <c r="D86" s="1" t="str">
        <f>Market_currency</f>
        <v>HKD</v>
      </c>
    </row>
    <row r="87" spans="1:6">
      <c r="A87" s="191"/>
    </row>
    <row r="88" spans="1:6">
      <c r="A88" s="191"/>
      <c r="B88" s="1" t="s">
        <v>215</v>
      </c>
    </row>
    <row r="89" spans="1:6">
      <c r="A89" s="191"/>
      <c r="B89" s="1" t="s">
        <v>216</v>
      </c>
      <c r="C89" s="285">
        <f>DCF!F6</f>
        <v>16734</v>
      </c>
      <c r="D89" s="1" t="str">
        <f>Reporting_currency</f>
        <v>CNY</v>
      </c>
    </row>
    <row r="90" spans="1:6">
      <c r="A90" s="191"/>
      <c r="B90" s="44" t="s">
        <v>235</v>
      </c>
      <c r="C90" s="201">
        <f>C89*scaling_factor*Exchange_Rate/Common_Shares</f>
        <v>6.1700522291705129</v>
      </c>
      <c r="D90" s="1" t="str">
        <f>Market_currency</f>
        <v>HKD</v>
      </c>
    </row>
    <row r="91" spans="1:6">
      <c r="A91" s="191"/>
    </row>
    <row r="92" spans="1:6">
      <c r="A92" s="191"/>
      <c r="B92" s="44" t="s">
        <v>468</v>
      </c>
      <c r="C92" s="216">
        <f>DCF!F8</f>
        <v>15.636379485859393</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11.529266532132771</v>
      </c>
      <c r="D111" s="1" t="str">
        <f>Market_currency</f>
        <v>HKD</v>
      </c>
    </row>
    <row r="112" spans="2:6">
      <c r="B112" s="44" t="s">
        <v>322</v>
      </c>
      <c r="C112" s="216">
        <f>DCF!C11</f>
        <v>61.53258130648463</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0.12</v>
      </c>
      <c r="D118" s="207" t="str">
        <f>ROUND(DCF!E90,2)&amp;" "&amp;Market_currency</f>
        <v>88.84 HKD</v>
      </c>
      <c r="E118" s="208">
        <f>DCF!F90</f>
        <v>0.15</v>
      </c>
      <c r="F118" s="208">
        <f>RATE(Holding_Period,Scenarios!C$58,-DCF!E90,C$18)</f>
        <v>-6.8695657356826673E-2</v>
      </c>
    </row>
    <row r="119" spans="2:6">
      <c r="B119" s="205" t="str">
        <f>DCF!B91&amp;" ("&amp;DCF!D91&amp;"yrs)"</f>
        <v>Optimistic (10yrs)</v>
      </c>
      <c r="C119" s="198">
        <f>DCF!C91</f>
        <v>0.11</v>
      </c>
      <c r="D119" s="207" t="str">
        <f>ROUND(DCF!E91,2)&amp;" "&amp;Market_currency</f>
        <v>83.51 HKD</v>
      </c>
      <c r="E119" s="199">
        <f>DCF!F91</f>
        <v>0.15999999999999995</v>
      </c>
      <c r="F119" s="208">
        <f>RATE(Holding_Period,Scenarios!C$58,-DCF!E91,C$18)</f>
        <v>-4.9248714075829279E-2</v>
      </c>
    </row>
    <row r="120" spans="2:6">
      <c r="B120" s="205" t="str">
        <f>DCF!B92&amp;" ("&amp;DCF!D92&amp;"yrs)"</f>
        <v>Base (10yrs)</v>
      </c>
      <c r="C120" s="198">
        <f>DCF!C92</f>
        <v>0.08</v>
      </c>
      <c r="D120" s="207" t="str">
        <f>ROUND(DCF!E92,2)&amp;" "&amp;Market_currency</f>
        <v>69.71 HKD</v>
      </c>
      <c r="E120" s="199">
        <f>DCF!F92</f>
        <v>0.44</v>
      </c>
      <c r="F120" s="208">
        <f>RATE(Holding_Period,Scenarios!C$58,-DCF!E92,C$18)</f>
        <v>9.8637924579023841E-3</v>
      </c>
    </row>
    <row r="121" spans="2:6">
      <c r="B121" s="205" t="str">
        <f>DCF!B93&amp;" ("&amp;DCF!D93&amp;"yrs)"</f>
        <v>Pessimistic (10yrs)</v>
      </c>
      <c r="C121" s="198">
        <f>DCF!C93</f>
        <v>0.05</v>
      </c>
      <c r="D121" s="207" t="str">
        <f>ROUND(DCF!E93,2)&amp;" "&amp;Market_currency</f>
        <v>58.71 HKD</v>
      </c>
      <c r="E121" s="199">
        <f>DCF!F93</f>
        <v>0.19999999999999998</v>
      </c>
      <c r="F121" s="208">
        <f>RATE(Holding_Period,Scenarios!C$58,-DCF!E93,C$18)</f>
        <v>6.9457483513191184E-2</v>
      </c>
    </row>
    <row r="122" spans="2:6">
      <c r="B122" s="205" t="str">
        <f>DCF!B94&amp;" ("&amp;DCF!D94&amp;"yrs)"</f>
        <v>Devil's advocate (10yrs)</v>
      </c>
      <c r="C122" s="198">
        <f>DCF!C94</f>
        <v>0</v>
      </c>
      <c r="D122" s="207" t="str">
        <f>ROUND(DCF!E94,2)&amp;" "&amp;Market_currency</f>
        <v>45.2 HKD</v>
      </c>
      <c r="E122" s="199">
        <f>DCF!F94</f>
        <v>0.05</v>
      </c>
      <c r="F122" s="208">
        <f>RATE(Holding_Period,Scenarios!C$58,-DCF!E94,C$18)</f>
        <v>0.16712560833375617</v>
      </c>
    </row>
    <row r="124" spans="2:6">
      <c r="B124" s="463" t="s">
        <v>356</v>
      </c>
      <c r="C124" s="463"/>
      <c r="D124" s="463"/>
      <c r="E124" s="463"/>
      <c r="F124" s="463"/>
    </row>
    <row r="125" spans="2:6">
      <c r="B125" s="193" t="s">
        <v>217</v>
      </c>
      <c r="C125" s="197">
        <f>Scenarios!C36</f>
        <v>71.362209945117357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32.481661331414358</v>
      </c>
      <c r="E140" s="334">
        <f>Scenarios!E62</f>
        <v>32.739549360544991</v>
      </c>
      <c r="F140" s="335">
        <f>E22</f>
        <v>0.3</v>
      </c>
    </row>
    <row r="141" spans="1:6">
      <c r="B141" s="336" t="s">
        <v>312</v>
      </c>
      <c r="C141" s="333">
        <f>Scenarios!C63</f>
        <v>0.29912037037037031</v>
      </c>
      <c r="D141" s="333">
        <f>Scenarios!D63</f>
        <v>41.29757519972069</v>
      </c>
      <c r="E141" s="334">
        <f>Scenarios!E63</f>
        <v>41.596695570091057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51.149605646667169</v>
      </c>
      <c r="E144" s="334">
        <f>Scenarios!E66</f>
        <v>51.492195290550455</v>
      </c>
      <c r="F144" s="335">
        <f>E24</f>
        <v>0.1174</v>
      </c>
    </row>
    <row r="145" spans="1:6">
      <c r="B145" s="336" t="s">
        <v>313</v>
      </c>
      <c r="C145" s="333">
        <f>Scenarios!C67</f>
        <v>0.37095728225856828</v>
      </c>
      <c r="D145" s="333">
        <f>Scenarios!D67</f>
        <v>57.846406912388886</v>
      </c>
      <c r="E145" s="334">
        <f>Scenarios!E67</f>
        <v>58.217364194647452</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39</v>
      </c>
      <c r="C5" s="287">
        <v>18367</v>
      </c>
      <c r="D5" s="287">
        <v>16376</v>
      </c>
      <c r="E5" s="287">
        <v>17957</v>
      </c>
      <c r="F5" s="287">
        <v>19566</v>
      </c>
      <c r="G5" s="287">
        <v>21840</v>
      </c>
      <c r="H5" s="287">
        <v>19851</v>
      </c>
      <c r="I5" s="287">
        <v>16761</v>
      </c>
      <c r="J5" s="287"/>
      <c r="K5" s="287"/>
      <c r="L5" s="287"/>
      <c r="M5" s="287"/>
    </row>
    <row r="6" spans="2:13">
      <c r="B6" s="38" t="s">
        <v>50</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57</v>
      </c>
      <c r="C7" s="288">
        <v>941</v>
      </c>
      <c r="D7" s="288">
        <v>865</v>
      </c>
      <c r="E7" s="288">
        <v>897</v>
      </c>
      <c r="F7" s="288">
        <v>1144</v>
      </c>
      <c r="G7" s="288">
        <v>2678</v>
      </c>
      <c r="H7" s="288">
        <v>2475</v>
      </c>
      <c r="I7" s="288">
        <v>2041</v>
      </c>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129</v>
      </c>
      <c r="D12" s="287">
        <v>94</v>
      </c>
      <c r="E12" s="287">
        <v>141</v>
      </c>
      <c r="F12" s="287">
        <v>108</v>
      </c>
      <c r="G12" s="287">
        <v>121</v>
      </c>
      <c r="H12" s="287">
        <v>97</v>
      </c>
      <c r="I12" s="287">
        <v>64</v>
      </c>
      <c r="J12" s="287"/>
      <c r="K12" s="287"/>
      <c r="L12" s="287"/>
      <c r="M12" s="287"/>
    </row>
    <row r="13" spans="2:13">
      <c r="B13" s="38" t="s">
        <v>63</v>
      </c>
      <c r="C13" s="287">
        <v>1054</v>
      </c>
      <c r="D13" s="287">
        <v>1196</v>
      </c>
      <c r="E13" s="287">
        <v>1052</v>
      </c>
      <c r="F13" s="287">
        <v>711</v>
      </c>
      <c r="G13" s="287">
        <v>530</v>
      </c>
      <c r="H13" s="287">
        <v>622</v>
      </c>
      <c r="I13" s="287">
        <v>615</v>
      </c>
      <c r="J13" s="287"/>
      <c r="K13" s="287"/>
      <c r="L13" s="287"/>
      <c r="M13" s="287"/>
    </row>
    <row r="14" spans="2:13">
      <c r="B14" s="38" t="s">
        <v>46</v>
      </c>
      <c r="C14" s="287">
        <v>1924</v>
      </c>
      <c r="D14" s="287">
        <v>1603</v>
      </c>
      <c r="E14" s="287">
        <v>825</v>
      </c>
      <c r="F14" s="287">
        <v>534</v>
      </c>
      <c r="G14" s="287">
        <v>417</v>
      </c>
      <c r="H14" s="287">
        <v>637</v>
      </c>
      <c r="I14" s="287">
        <v>564</v>
      </c>
      <c r="J14" s="287"/>
      <c r="K14" s="287"/>
      <c r="L14" s="287"/>
      <c r="M14" s="287"/>
    </row>
    <row r="15" spans="2:13">
      <c r="B15" s="41" t="s">
        <v>38</v>
      </c>
      <c r="C15" s="289">
        <v>11353</v>
      </c>
      <c r="D15" s="289">
        <v>7109</v>
      </c>
      <c r="E15" s="289">
        <v>5220</v>
      </c>
      <c r="F15" s="289">
        <v>3839</v>
      </c>
      <c r="G15" s="289">
        <v>3215</v>
      </c>
      <c r="H15" s="289">
        <v>4176</v>
      </c>
      <c r="I15" s="289">
        <v>3977</v>
      </c>
      <c r="J15" s="289"/>
      <c r="K15" s="289"/>
      <c r="L15" s="289"/>
      <c r="M15" s="289"/>
    </row>
    <row r="16" spans="2:13">
      <c r="B16" s="27" t="s">
        <v>40</v>
      </c>
      <c r="C16" s="287">
        <v>297</v>
      </c>
      <c r="D16" s="287">
        <v>465</v>
      </c>
      <c r="E16" s="287">
        <v>300</v>
      </c>
      <c r="F16" s="287">
        <v>162</v>
      </c>
      <c r="G16" s="287">
        <v>186</v>
      </c>
      <c r="H16" s="287">
        <v>21</v>
      </c>
      <c r="I16" s="287">
        <v>5</v>
      </c>
      <c r="J16" s="287"/>
      <c r="K16" s="287"/>
      <c r="L16" s="287"/>
      <c r="M16" s="287"/>
    </row>
    <row r="18" spans="2:13">
      <c r="B18" s="16" t="s">
        <v>47</v>
      </c>
      <c r="C18" s="9"/>
    </row>
    <row r="19" spans="2:13">
      <c r="B19" s="26" t="s">
        <v>43</v>
      </c>
      <c r="C19" s="287"/>
      <c r="D19" s="287"/>
      <c r="E19" s="287">
        <v>1004</v>
      </c>
      <c r="F19" s="287">
        <v>1160</v>
      </c>
      <c r="G19" s="287">
        <v>1001</v>
      </c>
      <c r="H19" s="287">
        <v>824</v>
      </c>
      <c r="I19" s="287">
        <v>583</v>
      </c>
      <c r="J19" s="287"/>
      <c r="K19" s="287"/>
      <c r="L19" s="287"/>
      <c r="M19" s="287"/>
    </row>
    <row r="20" spans="2:13">
      <c r="B20" s="26" t="s">
        <v>49</v>
      </c>
      <c r="C20" s="287"/>
      <c r="D20" s="287"/>
      <c r="E20" s="287">
        <v>1164</v>
      </c>
      <c r="F20" s="287">
        <v>1053</v>
      </c>
      <c r="G20" s="287">
        <v>2758</v>
      </c>
      <c r="H20" s="287">
        <v>501</v>
      </c>
      <c r="I20" s="287">
        <v>286</v>
      </c>
      <c r="J20" s="287"/>
      <c r="K20" s="287"/>
      <c r="L20" s="287"/>
      <c r="M20" s="287"/>
    </row>
    <row r="21" spans="2:13">
      <c r="B21" s="26" t="s">
        <v>48</v>
      </c>
      <c r="C21" s="287"/>
      <c r="D21" s="287"/>
      <c r="E21" s="287">
        <v>-786</v>
      </c>
      <c r="F21" s="287">
        <v>-875</v>
      </c>
      <c r="G21" s="287">
        <v>-579</v>
      </c>
      <c r="H21" s="287">
        <v>505</v>
      </c>
      <c r="I21" s="287">
        <v>-1148</v>
      </c>
      <c r="J21" s="287"/>
      <c r="K21" s="287"/>
      <c r="L21" s="287"/>
      <c r="M21" s="287"/>
    </row>
    <row r="22" spans="2:13">
      <c r="B22" s="26" t="s">
        <v>285</v>
      </c>
      <c r="C22" s="287">
        <v>10231</v>
      </c>
      <c r="D22" s="287">
        <v>10275</v>
      </c>
      <c r="E22" s="287">
        <v>7337</v>
      </c>
      <c r="F22" s="287">
        <v>7481</v>
      </c>
      <c r="G22" s="287">
        <v>5239</v>
      </c>
      <c r="H22" s="287">
        <v>4885</v>
      </c>
      <c r="I22" s="287">
        <v>6200</v>
      </c>
      <c r="J22" s="287"/>
      <c r="K22" s="287"/>
      <c r="L22" s="287"/>
      <c r="M22" s="287"/>
    </row>
    <row r="23" spans="2:13">
      <c r="B23" s="26" t="s">
        <v>287</v>
      </c>
      <c r="C23" s="287">
        <v>-10227</v>
      </c>
      <c r="D23" s="287">
        <v>-6818</v>
      </c>
      <c r="E23" s="287">
        <v>-1863</v>
      </c>
      <c r="F23" s="287">
        <v>-1446</v>
      </c>
      <c r="G23" s="287">
        <v>-5999</v>
      </c>
      <c r="H23" s="287">
        <v>-14206</v>
      </c>
      <c r="I23" s="287">
        <v>-8102</v>
      </c>
      <c r="J23" s="287"/>
      <c r="K23" s="287"/>
      <c r="L23" s="287"/>
      <c r="M23" s="287"/>
    </row>
    <row r="24" spans="2:13">
      <c r="B24" s="26" t="s">
        <v>286</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25</v>
      </c>
      <c r="C27" s="94" t="s">
        <v>546</v>
      </c>
    </row>
    <row r="28" spans="2:13">
      <c r="B28" s="25" t="s">
        <v>21</v>
      </c>
      <c r="C28" s="270">
        <f>BS!C4</f>
        <v>3903</v>
      </c>
      <c r="D28" s="287">
        <v>3508</v>
      </c>
      <c r="E28" s="287">
        <v>2918</v>
      </c>
      <c r="F28" s="287">
        <v>2670</v>
      </c>
      <c r="G28" s="287">
        <v>3610</v>
      </c>
      <c r="H28" s="287">
        <v>2800</v>
      </c>
      <c r="I28" s="287">
        <v>2198</v>
      </c>
      <c r="J28" s="287"/>
      <c r="K28" s="287"/>
      <c r="L28" s="287"/>
      <c r="M28" s="287"/>
    </row>
    <row r="29" spans="2:13">
      <c r="B29" s="25" t="s">
        <v>29</v>
      </c>
      <c r="C29" s="270">
        <f>BS!C6</f>
        <v>41</v>
      </c>
      <c r="D29" s="287">
        <v>2</v>
      </c>
      <c r="E29" s="287">
        <v>8</v>
      </c>
      <c r="F29" s="287">
        <v>8</v>
      </c>
      <c r="G29" s="287">
        <v>24</v>
      </c>
      <c r="H29" s="287">
        <v>18</v>
      </c>
      <c r="I29" s="287">
        <v>26</v>
      </c>
      <c r="J29" s="287"/>
      <c r="K29" s="287"/>
      <c r="L29" s="287"/>
      <c r="M29" s="287"/>
    </row>
    <row r="30" spans="2:13">
      <c r="B30" s="28" t="s">
        <v>37</v>
      </c>
      <c r="C30" s="271">
        <f>BS!C33+BS!C42</f>
        <v>19472</v>
      </c>
      <c r="D30" s="289">
        <v>20718</v>
      </c>
      <c r="E30" s="289">
        <v>18334</v>
      </c>
      <c r="F30" s="289">
        <v>17882</v>
      </c>
      <c r="G30" s="289">
        <v>16199</v>
      </c>
      <c r="H30" s="289">
        <v>15542</v>
      </c>
      <c r="I30" s="289">
        <v>9000</v>
      </c>
      <c r="J30" s="289"/>
      <c r="K30" s="289"/>
      <c r="L30" s="289"/>
      <c r="M30" s="289"/>
    </row>
    <row r="31" spans="2:13">
      <c r="B31" s="28" t="s">
        <v>27</v>
      </c>
      <c r="C31" s="271">
        <f>BS!G27</f>
        <v>83050</v>
      </c>
      <c r="D31" s="289">
        <v>69726</v>
      </c>
      <c r="E31" s="289">
        <v>57202</v>
      </c>
      <c r="F31" s="289">
        <v>49127</v>
      </c>
      <c r="G31" s="289">
        <v>51055</v>
      </c>
      <c r="H31" s="289">
        <v>52731</v>
      </c>
      <c r="I31" s="289">
        <v>43678</v>
      </c>
      <c r="J31" s="289"/>
      <c r="K31" s="289"/>
      <c r="L31" s="289"/>
      <c r="M31" s="289"/>
    </row>
    <row r="32" spans="2:13">
      <c r="B32" s="25" t="s">
        <v>142</v>
      </c>
      <c r="C32" s="270">
        <f>BS!G28</f>
        <v>2763</v>
      </c>
      <c r="D32" s="287">
        <v>1863</v>
      </c>
      <c r="E32" s="287">
        <v>1295</v>
      </c>
      <c r="F32" s="287">
        <v>1028</v>
      </c>
      <c r="G32" s="287">
        <v>738</v>
      </c>
      <c r="H32" s="287">
        <v>486</v>
      </c>
      <c r="I32" s="287">
        <v>88</v>
      </c>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39</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54</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57</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60</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126</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138</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64</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46</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38</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40</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64</v>
      </c>
    </row>
    <row r="51" spans="2:13">
      <c r="B51" s="38" t="s">
        <v>36</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63</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134</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304</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33</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54</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138</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81</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82</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37</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27</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3903</v>
      </c>
      <c r="D4" s="231">
        <v>0.6</v>
      </c>
      <c r="E4" s="24"/>
      <c r="F4" s="4" t="s">
        <v>73</v>
      </c>
      <c r="G4" s="18">
        <f>15763+8470</f>
        <v>24233</v>
      </c>
      <c r="H4" s="231">
        <v>0.9</v>
      </c>
    </row>
    <row r="5" spans="2:8" ht="15" customHeight="1">
      <c r="B5" s="1" t="s">
        <v>30</v>
      </c>
      <c r="C5" s="18">
        <v>0</v>
      </c>
      <c r="D5" s="231">
        <v>0.6</v>
      </c>
      <c r="E5" s="24"/>
      <c r="F5" s="1" t="s">
        <v>26</v>
      </c>
      <c r="G5" s="18">
        <v>15</v>
      </c>
      <c r="H5" s="231">
        <v>0.7</v>
      </c>
    </row>
    <row r="6" spans="2:8" ht="15" customHeight="1">
      <c r="B6" s="4" t="s">
        <v>8</v>
      </c>
      <c r="C6" s="18">
        <v>41</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4183</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83</v>
      </c>
      <c r="D11" s="231">
        <v>0.05</v>
      </c>
      <c r="H11" s="232"/>
    </row>
    <row r="12" spans="2:8" ht="15" customHeight="1">
      <c r="B12" s="77" t="s">
        <v>68</v>
      </c>
      <c r="C12" s="78">
        <f>SUM(C4:C11)</f>
        <v>8210</v>
      </c>
      <c r="D12" s="19">
        <f>C4*D4+C5*D5+C9*D9+C6*D6+C8*D8+C7*D7+C10*D10+C11*D11</f>
        <v>2784.75</v>
      </c>
      <c r="F12" s="77" t="s">
        <v>66</v>
      </c>
      <c r="G12" s="78">
        <f>SUM(G4:G10)</f>
        <v>24248</v>
      </c>
      <c r="H12" s="19">
        <f>G4*H4+G5*H5+G6*H6+G7*H7+G8*H8+G9*H9+G10*H10</f>
        <v>21820.2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365</v>
      </c>
      <c r="D15" s="231">
        <v>0.4</v>
      </c>
      <c r="F15" s="4" t="s">
        <v>74</v>
      </c>
      <c r="G15" s="18">
        <v>13810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1659+26231</f>
        <v>27890</v>
      </c>
      <c r="H17" s="231">
        <v>0.6</v>
      </c>
    </row>
    <row r="18" spans="2:8" ht="15" customHeight="1">
      <c r="B18" s="4" t="s">
        <v>143</v>
      </c>
      <c r="C18" s="18">
        <v>0</v>
      </c>
      <c r="D18" s="231">
        <v>0.6</v>
      </c>
      <c r="F18" s="4" t="s">
        <v>150</v>
      </c>
      <c r="G18" s="18">
        <v>0</v>
      </c>
      <c r="H18" s="231">
        <v>0.1</v>
      </c>
    </row>
    <row r="19" spans="2:8" ht="15" customHeight="1">
      <c r="B19" s="4" t="s">
        <v>23</v>
      </c>
      <c r="C19" s="18">
        <f>1201+2290+287</f>
        <v>3778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2899</v>
      </c>
      <c r="D21" s="231">
        <v>0.05</v>
      </c>
      <c r="F21" s="1" t="s">
        <v>149</v>
      </c>
      <c r="G21" s="18">
        <v>0</v>
      </c>
      <c r="H21" s="231">
        <v>0.1</v>
      </c>
    </row>
    <row r="22" spans="2:8" ht="15" customHeight="1">
      <c r="B22" s="4" t="s">
        <v>17</v>
      </c>
      <c r="C22" s="18">
        <v>498</v>
      </c>
      <c r="D22" s="231">
        <v>0.9</v>
      </c>
      <c r="H22" s="232"/>
    </row>
    <row r="23" spans="2:8" ht="15" customHeight="1">
      <c r="B23" s="4" t="s">
        <v>18</v>
      </c>
      <c r="C23" s="18">
        <f>20521+303</f>
        <v>20824</v>
      </c>
      <c r="D23" s="231">
        <v>0</v>
      </c>
      <c r="H23" s="232"/>
    </row>
    <row r="24" spans="2:8" ht="15" customHeight="1">
      <c r="B24" s="77" t="s">
        <v>69</v>
      </c>
      <c r="C24" s="78">
        <f>SUM(C15:C23)</f>
        <v>28364</v>
      </c>
      <c r="D24" s="19">
        <f>C15*D15+C16*D16+C18*D18+C17*D17+C19*D19+C20*D20+C21*D21+C22*D22+C23*D23</f>
        <v>1116.95</v>
      </c>
      <c r="F24" s="77" t="s">
        <v>67</v>
      </c>
      <c r="G24" s="78">
        <f>SUM(G15:G21)</f>
        <v>41700</v>
      </c>
      <c r="H24" s="19">
        <f>G15*H15+G16*H16+G17*H17+G18*H18+G19*H19+G20*H20+G21*H21</f>
        <v>27782</v>
      </c>
    </row>
    <row r="26" spans="2:8" ht="15" customHeight="1">
      <c r="B26" s="16" t="s">
        <v>168</v>
      </c>
      <c r="C26" s="164" t="s">
        <v>112</v>
      </c>
      <c r="F26" s="166" t="s">
        <v>164</v>
      </c>
      <c r="G26" s="167" t="s">
        <v>112</v>
      </c>
      <c r="H26" s="168" t="s">
        <v>32</v>
      </c>
    </row>
    <row r="27" spans="2:8" ht="15" customHeight="1">
      <c r="B27" s="4" t="s">
        <v>3</v>
      </c>
      <c r="C27" s="18">
        <v>0</v>
      </c>
      <c r="F27" s="169" t="s">
        <v>27</v>
      </c>
      <c r="G27" s="82">
        <f>G32-G30</f>
        <v>83050</v>
      </c>
      <c r="H27" s="170">
        <f>H32-G30</f>
        <v>34031.899999999994</v>
      </c>
    </row>
    <row r="28" spans="2:8" ht="15" customHeight="1">
      <c r="B28" s="4" t="s">
        <v>4</v>
      </c>
      <c r="C28" s="18">
        <v>116</v>
      </c>
      <c r="F28" s="171" t="s">
        <v>208</v>
      </c>
      <c r="G28" s="287">
        <v>2763</v>
      </c>
      <c r="H28" s="170"/>
    </row>
    <row r="29" spans="2:8" ht="15" customHeight="1">
      <c r="B29" s="4" t="s">
        <v>5</v>
      </c>
      <c r="C29" s="18">
        <v>0</v>
      </c>
      <c r="F29" s="172" t="s">
        <v>71</v>
      </c>
      <c r="G29" s="14">
        <f>G27-G28</f>
        <v>80287</v>
      </c>
      <c r="H29" s="170">
        <f>H27-G28</f>
        <v>31268.899999999994</v>
      </c>
    </row>
    <row r="30" spans="2:8" ht="15" customHeight="1">
      <c r="B30" s="2" t="s">
        <v>6</v>
      </c>
      <c r="C30" s="18">
        <v>0</v>
      </c>
      <c r="F30" s="169" t="s">
        <v>20</v>
      </c>
      <c r="G30" s="82">
        <f>C33+C42</f>
        <v>19472</v>
      </c>
      <c r="H30" s="170"/>
    </row>
    <row r="31" spans="2:8" ht="15" customHeight="1">
      <c r="B31" s="77" t="s">
        <v>171</v>
      </c>
      <c r="C31" s="78">
        <f>SUM(C27:C30)</f>
        <v>116</v>
      </c>
      <c r="F31" s="172" t="s">
        <v>72</v>
      </c>
      <c r="G31" s="173">
        <f>C31+C40</f>
        <v>316</v>
      </c>
      <c r="H31" s="170"/>
    </row>
    <row r="32" spans="2:8" ht="15" customHeight="1">
      <c r="B32" s="4" t="s">
        <v>7</v>
      </c>
      <c r="C32" s="20">
        <f>C33-C31</f>
        <v>14473</v>
      </c>
      <c r="F32" s="174" t="s">
        <v>70</v>
      </c>
      <c r="G32" s="175">
        <f>G35+G40</f>
        <v>102522</v>
      </c>
      <c r="H32" s="170">
        <f>H35+H40</f>
        <v>53503.899999999994</v>
      </c>
    </row>
    <row r="33" spans="2:8" ht="15" customHeight="1">
      <c r="B33" s="80" t="s">
        <v>2</v>
      </c>
      <c r="C33" s="81">
        <v>14589</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36574</v>
      </c>
      <c r="H35" s="182">
        <f>D12+D24</f>
        <v>3901.7</v>
      </c>
    </row>
    <row r="36" spans="2:8" ht="15" customHeight="1">
      <c r="B36" s="4" t="s">
        <v>11</v>
      </c>
      <c r="C36" s="18">
        <v>0</v>
      </c>
      <c r="F36" s="172" t="s">
        <v>165</v>
      </c>
      <c r="G36" s="173">
        <f>C4+C15</f>
        <v>4268</v>
      </c>
      <c r="H36" s="177"/>
    </row>
    <row r="37" spans="2:8" ht="15" customHeight="1">
      <c r="B37" s="4" t="s">
        <v>12</v>
      </c>
      <c r="C37" s="18">
        <v>200</v>
      </c>
      <c r="F37" s="172" t="s">
        <v>166</v>
      </c>
      <c r="G37" s="173">
        <f>C6</f>
        <v>41</v>
      </c>
      <c r="H37" s="177"/>
    </row>
    <row r="38" spans="2:8" ht="15" customHeight="1">
      <c r="B38" s="4" t="s">
        <v>13</v>
      </c>
      <c r="C38" s="18">
        <v>0</v>
      </c>
      <c r="F38" s="172" t="s">
        <v>167</v>
      </c>
      <c r="G38" s="173">
        <f>C7+C17</f>
        <v>0</v>
      </c>
      <c r="H38" s="177"/>
    </row>
    <row r="39" spans="2:8" ht="15" customHeight="1">
      <c r="B39" s="2" t="s">
        <v>14</v>
      </c>
      <c r="C39" s="18">
        <v>0</v>
      </c>
      <c r="F39" s="172" t="s">
        <v>75</v>
      </c>
      <c r="G39" s="173">
        <f>C7+C17+C19+C20</f>
        <v>3778</v>
      </c>
      <c r="H39" s="170">
        <f>C7*D7+C17*D17+C19*D19+C20*D20</f>
        <v>377.8</v>
      </c>
    </row>
    <row r="40" spans="2:8" ht="15" customHeight="1">
      <c r="B40" s="77" t="s">
        <v>172</v>
      </c>
      <c r="C40" s="78">
        <f>SUM(C36:C39)</f>
        <v>200</v>
      </c>
      <c r="F40" s="181" t="s">
        <v>114</v>
      </c>
      <c r="G40" s="175">
        <f>G12+G24</f>
        <v>65948</v>
      </c>
      <c r="H40" s="182">
        <f>H12+H24</f>
        <v>49602.2</v>
      </c>
    </row>
    <row r="41" spans="2:8" ht="15" customHeight="1">
      <c r="B41" s="4" t="s">
        <v>15</v>
      </c>
      <c r="C41" s="20">
        <f>C42-C40</f>
        <v>4683</v>
      </c>
      <c r="F41" s="172" t="s">
        <v>159</v>
      </c>
      <c r="G41" s="173">
        <f>C70</f>
        <v>38058</v>
      </c>
      <c r="H41" s="182">
        <f>H40-H42</f>
        <v>32868.199999999997</v>
      </c>
    </row>
    <row r="42" spans="2:8" ht="15" customHeight="1">
      <c r="B42" s="80" t="s">
        <v>19</v>
      </c>
      <c r="C42" s="81">
        <v>4883</v>
      </c>
      <c r="F42" s="183" t="s">
        <v>160</v>
      </c>
      <c r="G42" s="184">
        <f>C82</f>
        <v>27890</v>
      </c>
      <c r="H42" s="185">
        <f>D82</f>
        <v>16734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80287</v>
      </c>
      <c r="D46" s="73">
        <f>H29</f>
        <v>31268.899999999994</v>
      </c>
      <c r="F46" s="223"/>
    </row>
    <row r="47" spans="2:8" ht="15" customHeight="1">
      <c r="B47" s="1" t="str">
        <f>"Equity per share ("&amp;Market_currency&amp;")"</f>
        <v>Equity per share (HKD)</v>
      </c>
      <c r="C47" s="134">
        <f>C46*H1/Common_Shares*Exchange_Rate</f>
        <v>29.602903270193195</v>
      </c>
      <c r="D47" s="134">
        <f>D46*H1/Common_Shares*Exchange_Rate</f>
        <v>11.529266532132771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3.432051788351935E-2</v>
      </c>
      <c r="D50" s="92">
        <f>G31/Normalized_FCF!G8</f>
        <v>3.265137425087828E-2</v>
      </c>
      <c r="F50" s="223"/>
    </row>
    <row r="51" spans="2:8" ht="15" customHeight="1">
      <c r="B51" s="1" t="s">
        <v>145</v>
      </c>
      <c r="C51" s="163"/>
      <c r="D51" s="89">
        <f>G29/G32</f>
        <v>0.78311972064532487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0.25174496282640707</v>
      </c>
      <c r="D54" s="89">
        <f>Normalized_FCF!G8/G35</f>
        <v>0.26461420681358344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3.6850627182458399E-2</v>
      </c>
      <c r="F59" s="223"/>
    </row>
    <row r="60" spans="2:8" ht="15" customHeight="1">
      <c r="F60" s="223"/>
    </row>
    <row r="61" spans="2:8" ht="15" customHeight="1">
      <c r="B61" s="143" t="s">
        <v>230</v>
      </c>
      <c r="C61" s="210" t="s">
        <v>113</v>
      </c>
      <c r="D61" s="179" t="s">
        <v>90</v>
      </c>
      <c r="F61" s="223"/>
    </row>
    <row r="62" spans="2:8" ht="15" customHeight="1">
      <c r="B62" s="1" t="s">
        <v>209</v>
      </c>
      <c r="C62" s="89">
        <f>IF(G28&lt;=0,0,G28/G29)</f>
        <v>3.4414039632817271E-2</v>
      </c>
      <c r="D62" s="89">
        <f>G28/G29</f>
        <v>3.4414039632817271E-2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38058</v>
      </c>
      <c r="D66" s="73">
        <f>C66-D75</f>
        <v>25989.935070518506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38058</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-1972.1208441146666</v>
      </c>
      <c r="D73" s="285">
        <f>(Normalized_FCF!C26+Normalized_FCF!C35-Normalized_FCF!C89)/12</f>
        <v>-2011.3441549135823</v>
      </c>
      <c r="F73" s="1" t="s">
        <v>277</v>
      </c>
    </row>
    <row r="74" spans="2:6" ht="15" customHeight="1">
      <c r="B74" s="227" t="s">
        <v>258</v>
      </c>
      <c r="C74" s="228">
        <f>-$C$66/C73</f>
        <v>19.298006059605932</v>
      </c>
      <c r="D74" s="228">
        <f>-$C$66/D73</f>
        <v>18.921674794950825</v>
      </c>
      <c r="F74" s="223" t="s">
        <v>256</v>
      </c>
    </row>
    <row r="75" spans="2:6" ht="15" customHeight="1">
      <c r="B75" s="77" t="s">
        <v>257</v>
      </c>
      <c r="C75" s="261"/>
      <c r="D75" s="262">
        <f>MAX(-D73*D76,G5)</f>
        <v>12068.064929481494</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27890</v>
      </c>
      <c r="D79" s="73">
        <f>G7*H7+G17*H17</f>
        <v>16734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27890</v>
      </c>
      <c r="D82" s="78">
        <f>SUM(D79:D81)</f>
        <v>16734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-362.21752800000002</v>
      </c>
      <c r="D86" s="201">
        <f>C86*scaling_factor/Common_Shares</f>
        <v>-0.11651347582274901</v>
      </c>
      <c r="E86" s="214" t="str">
        <f>Market_currency</f>
        <v>HKD</v>
      </c>
    </row>
    <row r="87" spans="2:8" ht="15" customHeight="1">
      <c r="B87" s="212" t="s">
        <v>239</v>
      </c>
      <c r="C87" s="73">
        <f>DCF!F5*Exchange_Rate</f>
        <v>29791.170994062402</v>
      </c>
      <c r="D87" s="201">
        <f>C87*scaling_factor/Common_Shares</f>
        <v>9.5828407325116292</v>
      </c>
      <c r="E87" s="214" t="str">
        <f>Market_currency</f>
        <v>HKD</v>
      </c>
    </row>
    <row r="88" spans="2:8" ht="15" customHeight="1">
      <c r="B88" s="213" t="s">
        <v>158</v>
      </c>
      <c r="C88" s="73">
        <f>DCF!F6*Exchange_Rate</f>
        <v>19181.481371999998</v>
      </c>
      <c r="D88" s="201">
        <f>C88*scaling_factor/Common_Shares</f>
        <v>6.1700522291705129</v>
      </c>
      <c r="E88" s="214" t="str">
        <f>Market_currency</f>
        <v>HKD</v>
      </c>
    </row>
    <row r="89" spans="2:8" ht="15" customHeight="1">
      <c r="B89" s="77" t="s">
        <v>243</v>
      </c>
      <c r="C89" s="162">
        <f>SUM(C86:C88)</f>
        <v>48610.4348380624</v>
      </c>
      <c r="D89" s="216">
        <f>SUM(D86:D88)</f>
        <v>15.636379485859393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42</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44</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41</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126</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64</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136</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59</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207</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128</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397</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58</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42</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42</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271</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268</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64</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83</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86</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44</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41</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126</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64</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136</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59</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128</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76</v>
      </c>
      <c r="C82" s="85">
        <f>MAX(AVERAGE(G82:J82),C81)</f>
        <v>1.9775049365010421E-2</v>
      </c>
      <c r="D82" s="26"/>
      <c r="E82" s="235" t="s">
        <v>547</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181</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3.5714285714285713E-3</v>
      </c>
      <c r="E92" s="237"/>
      <c r="G92" s="22">
        <f t="shared" ref="G92:Q92" si="38">IF(G$4="","",(G88*(1-dividend_tax_rate))/Market_Price)</f>
        <v>3.5714285714285713E-3</v>
      </c>
      <c r="H92" s="22">
        <f t="shared" si="38"/>
        <v>1.9366197183098592E-3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136</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178</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179</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37</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27</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186</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79</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87</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190</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2.3623045054733578</v>
      </c>
      <c r="D123" s="26"/>
      <c r="E123" s="234"/>
      <c r="F123" s="26"/>
      <c r="G123" s="159">
        <f t="shared" ref="G123:Q123" si="48">IF(G$4="","",G14*$C$3/Common_Shares*Exchange_Rate)</f>
        <v>2.8251641502524762</v>
      </c>
      <c r="H123" s="159">
        <f t="shared" si="48"/>
        <v>2.0523508122817531</v>
      </c>
      <c r="I123" s="159">
        <f t="shared" si="48"/>
        <v>1.4175507664392515</v>
      </c>
      <c r="J123" s="159">
        <f t="shared" si="48"/>
        <v>0.97246561521528552</v>
      </c>
      <c r="K123" s="159">
        <f t="shared" si="48"/>
        <v>0.79681251817846965</v>
      </c>
      <c r="L123" s="159">
        <f t="shared" si="48"/>
        <v>1.16817079208277</v>
      </c>
      <c r="M123" s="159">
        <f t="shared" si="48"/>
        <v>1.2871842648643612</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5.9414097220154873E-2</v>
      </c>
      <c r="D124" s="26"/>
      <c r="E124" s="234"/>
      <c r="F124" s="26"/>
      <c r="G124" s="74">
        <f t="shared" ref="G124" si="49">IF(G$4="","",G123/Market_Price)</f>
        <v>7.1055436374559272E-2</v>
      </c>
      <c r="H124" s="74">
        <f t="shared" ref="H124" si="50">IF(H$4="","",H123/Market_Price)</f>
        <v>5.1618481194209087E-2</v>
      </c>
      <c r="I124" s="74">
        <f t="shared" ref="I124" si="51">IF(I$4="","",I123/Market_Price)</f>
        <v>3.5652685272616988E-2</v>
      </c>
      <c r="J124" s="74">
        <f t="shared" ref="J124" si="52">IF(J$4="","",J123/Market_Price)</f>
        <v>2.4458390724730522E-2</v>
      </c>
      <c r="K124" s="74">
        <f t="shared" ref="K124" si="53">IF(K$4="","",K123/Market_Price)</f>
        <v>2.0040556292215031E-2</v>
      </c>
      <c r="L124" s="74">
        <f t="shared" ref="L124" si="54">IF(L$4="","",L123/Market_Price)</f>
        <v>2.9380553120794014E-2</v>
      </c>
      <c r="M124" s="74">
        <f t="shared" ref="M124" si="55">IF(M$4="","",M123/Market_Price)</f>
        <v>3.2373849719928606E-2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9.1848265236079751E-2</v>
      </c>
      <c r="H125" s="22">
        <f>IF(H$4="","",(Data!D47*$C$3)/(Market_Price*Common_Shares))</f>
        <v>5.7513372462194221E-2</v>
      </c>
      <c r="I125" s="22">
        <f>IF(I$4="","",(Data!E47*$C$3)/(Market_Price*Common_Shares))</f>
        <v>4.2230947285504833E-2</v>
      </c>
      <c r="J125" s="22">
        <f>IF(J$4="","",(Data!F47*$C$3)/(Market_Price*Common_Shares))</f>
        <v>3.1058353760354988E-2</v>
      </c>
      <c r="K125" s="22">
        <f>IF(K$4="","",(Data!G47*$C$3)/(Market_Price*Common_Shares))</f>
        <v>2.6010056613581998E-2</v>
      </c>
      <c r="L125" s="22">
        <f>IF(L$4="","",(Data!H47*$C$3)/(Market_Price*Common_Shares))</f>
        <v>3.3784757828403865E-2</v>
      </c>
      <c r="M125" s="22">
        <f>IF(M$4="","",(Data!I47*$C$3)/(Market_Price*Common_Shares))</f>
        <v>3.2174804090891324E-2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6406.883139124674</v>
      </c>
      <c r="D4" t="str">
        <f>Reporting_currency</f>
        <v>CNY</v>
      </c>
      <c r="E4" s="135" t="s">
        <v>430</v>
      </c>
      <c r="F4" s="275">
        <f>-BS!G31</f>
        <v>-316</v>
      </c>
      <c r="G4" t="str">
        <f>Reporting_currency</f>
        <v>CNY</v>
      </c>
      <c r="H4" s="308" t="s">
        <v>393</v>
      </c>
      <c r="I4" s="305">
        <f>Normalized_FCF!C4</f>
        <v>32902</v>
      </c>
      <c r="J4" s="305"/>
    </row>
    <row r="5" spans="2:15">
      <c r="B5" s="187" t="s">
        <v>104</v>
      </c>
      <c r="C5" s="188">
        <f>Equity_Cost</f>
        <v>7.2499999999999995E-2</v>
      </c>
      <c r="E5" s="135" t="s">
        <v>431</v>
      </c>
      <c r="F5" s="275">
        <f>BS!D66</f>
        <v>25989.935070518506</v>
      </c>
      <c r="G5" t="str">
        <f>Reporting_currency</f>
        <v>CNY</v>
      </c>
      <c r="H5" s="308" t="s">
        <v>394</v>
      </c>
      <c r="I5" s="305">
        <f>Normalized_FCF!C7</f>
        <v>-4054</v>
      </c>
      <c r="J5" s="305"/>
    </row>
    <row r="6" spans="2:15" ht="13.25" customHeight="1">
      <c r="B6" s="136" t="s">
        <v>193</v>
      </c>
      <c r="C6" s="283">
        <f>(C4*(1+Terminal_Growth))/(Equity_Cost-Terminal_Growth)</f>
        <v>124476.58670299369</v>
      </c>
      <c r="D6" t="str">
        <f>Reporting_currency</f>
        <v>CNY</v>
      </c>
      <c r="E6" s="187" t="s">
        <v>432</v>
      </c>
      <c r="F6" s="284">
        <f>BS!H42</f>
        <v>16734</v>
      </c>
      <c r="G6" t="str">
        <f>Reporting_currency</f>
        <v>CNY</v>
      </c>
      <c r="H6" s="308" t="s">
        <v>415</v>
      </c>
      <c r="I6" s="305">
        <f>I7+I8</f>
        <v>53.448389576888964</v>
      </c>
      <c r="J6" s="305"/>
      <c r="N6" s="135"/>
    </row>
    <row r="7" spans="2:15" ht="12.75" customHeight="1">
      <c r="B7" s="318" t="s">
        <v>429</v>
      </c>
      <c r="C7" s="275">
        <f>F7</f>
        <v>42407.935070518506</v>
      </c>
      <c r="E7" s="140" t="s">
        <v>423</v>
      </c>
      <c r="F7" s="283">
        <f>SUM(F4:F6)</f>
        <v>42407.935070518506</v>
      </c>
      <c r="G7" t="str">
        <f>Reporting_currency</f>
        <v>CNY</v>
      </c>
      <c r="H7" s="312" t="s">
        <v>416</v>
      </c>
      <c r="I7" s="313">
        <f>Normalized_FCF!C9</f>
        <v>0</v>
      </c>
      <c r="J7" s="313"/>
      <c r="N7" s="304"/>
      <c r="O7" s="304"/>
    </row>
    <row r="8" spans="2:15" ht="13.15">
      <c r="B8" s="136" t="s">
        <v>425</v>
      </c>
      <c r="C8" s="283">
        <f>C6+C7</f>
        <v>166884.52177351218</v>
      </c>
      <c r="D8" t="str">
        <f>Reporting_currency</f>
        <v>CNY</v>
      </c>
      <c r="E8" s="140" t="s">
        <v>463</v>
      </c>
      <c r="F8" s="108">
        <f>FV_adjustments*scaling_factor/Common_Shares*Exchange_Rate</f>
        <v>15.636379485859393</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1.146258</v>
      </c>
      <c r="D9" t="str">
        <f>Thesis!E15</f>
        <v>CNY/HKD</v>
      </c>
      <c r="F9" s="322"/>
      <c r="H9" s="308" t="str">
        <f>Normalized_FCF!B79</f>
        <v>NCI’s Share of Profits</v>
      </c>
      <c r="I9" s="144">
        <f>Normalized_FCF!C79</f>
        <v>1.6372662934403717E-2</v>
      </c>
      <c r="J9" s="306"/>
      <c r="N9" s="304"/>
      <c r="O9" s="304"/>
    </row>
    <row r="10" spans="2:15" ht="13.5" thickTop="1">
      <c r="B10" s="107" t="s">
        <v>426</v>
      </c>
      <c r="C10" s="283">
        <f>C8*Exchange_Rate</f>
        <v>191292.71815906253</v>
      </c>
      <c r="D10" t="str">
        <f>Market_currency</f>
        <v>HKD</v>
      </c>
      <c r="H10" s="308" t="s">
        <v>396</v>
      </c>
      <c r="I10" s="306">
        <f>Normalized_FCF!C41</f>
        <v>0.25</v>
      </c>
      <c r="N10" s="304"/>
      <c r="O10" s="304"/>
    </row>
    <row r="11" spans="2:15" ht="13.15">
      <c r="B11" s="136" t="s">
        <v>424</v>
      </c>
      <c r="C11" s="108">
        <f>(C10*scaling_factor)/Common_Shares</f>
        <v>61.53258130648463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548</v>
      </c>
      <c r="C17" s="306">
        <f>Normalized_FCF!C77</f>
        <v>0.28146521974317368</v>
      </c>
      <c r="E17" s="308" t="s">
        <v>549</v>
      </c>
      <c r="F17" s="311">
        <f>Scenarios!C40</f>
        <v>0.28146521974317368</v>
      </c>
      <c r="H17" s="106" t="s">
        <v>411</v>
      </c>
    </row>
    <row r="18" spans="1:21" ht="13.25" customHeight="1">
      <c r="B18" s="308" t="s">
        <v>422</v>
      </c>
      <c r="C18" s="306">
        <f>Normalized_FCF!C81-Normalized_FCF!C82</f>
        <v>-1.9775049365010421E-2</v>
      </c>
      <c r="E18" s="308" t="s">
        <v>422</v>
      </c>
      <c r="F18" s="144">
        <f>IF(F14="II",C18/2,C18)</f>
        <v>-1.9775049365010421E-2</v>
      </c>
      <c r="H18" s="140" t="s">
        <v>96</v>
      </c>
      <c r="I18" s="129">
        <f>(L52+FV_adjustments)*Exchange_Rate/Common_Shares*scaling_factor</f>
        <v>50.996771039524212</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419</v>
      </c>
      <c r="K52" s="468"/>
      <c r="L52" s="317">
        <f>SUM(L21:L51)</f>
        <v>95902.071859540272</v>
      </c>
    </row>
    <row r="53" spans="1:21">
      <c r="C53" s="111"/>
    </row>
    <row r="54" spans="1:21" ht="13.15">
      <c r="B54" s="115" t="s">
        <v>107</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61.53258130648463</v>
      </c>
      <c r="C73" s="119">
        <f>C11</f>
        <v>61.53258130648463</v>
      </c>
      <c r="D73" s="119">
        <f>C11</f>
        <v>61.53258130648463</v>
      </c>
      <c r="E73" s="119">
        <f>C11</f>
        <v>61.53258130648463</v>
      </c>
      <c r="F73" s="119">
        <f>C11</f>
        <v>61.53258130648463</v>
      </c>
      <c r="G73" s="296"/>
      <c r="H73" s="296"/>
      <c r="I73" s="296"/>
      <c r="J73" s="296"/>
      <c r="K73" s="296"/>
      <c r="L73" s="296"/>
    </row>
    <row r="74" spans="1:21" ht="13.15">
      <c r="A74" s="131">
        <v>1</v>
      </c>
      <c r="B74" s="119">
        <f t="shared" ref="B74:F87" si="11">(B56+FV_adjustments)/Common_Shares*scaling_factor*Exchange_Rate</f>
        <v>45.456846721899055</v>
      </c>
      <c r="C74" s="119">
        <f t="shared" si="11"/>
        <v>46.947870083701027</v>
      </c>
      <c r="D74" s="119">
        <f t="shared" si="11"/>
        <v>47.842484100782222</v>
      </c>
      <c r="E74" s="119">
        <f t="shared" si="11"/>
        <v>48.737098117863411</v>
      </c>
      <c r="F74" s="119">
        <f t="shared" si="11"/>
        <v>49.03530279022381</v>
      </c>
      <c r="G74" s="296"/>
      <c r="H74" s="296"/>
      <c r="I74" s="296"/>
      <c r="J74" s="296"/>
      <c r="K74" s="296"/>
      <c r="L74" s="296"/>
    </row>
    <row r="75" spans="1:21" ht="13.15">
      <c r="A75" s="131">
        <v>2</v>
      </c>
      <c r="B75" s="119">
        <f t="shared" si="11"/>
        <v>45.419943549715533</v>
      </c>
      <c r="C75" s="119">
        <f t="shared" si="11"/>
        <v>48.368864904322876</v>
      </c>
      <c r="D75" s="119">
        <f t="shared" si="11"/>
        <v>50.204948832580506</v>
      </c>
      <c r="E75" s="119">
        <f t="shared" si="11"/>
        <v>52.09108109745808</v>
      </c>
      <c r="F75" s="119">
        <f t="shared" si="11"/>
        <v>52.73091370499948</v>
      </c>
      <c r="G75" s="296"/>
      <c r="H75" s="296"/>
      <c r="I75" s="296"/>
      <c r="J75" s="296"/>
      <c r="K75" s="296"/>
      <c r="L75" s="296"/>
    </row>
    <row r="76" spans="1:21" ht="13.15">
      <c r="A76" s="131">
        <v>3</v>
      </c>
      <c r="B76" s="119">
        <f t="shared" si="11"/>
        <v>45.385534997563063</v>
      </c>
      <c r="C76" s="119">
        <f t="shared" si="11"/>
        <v>49.760048644791802</v>
      </c>
      <c r="D76" s="119">
        <f t="shared" si="11"/>
        <v>52.58393429676898</v>
      </c>
      <c r="E76" s="119">
        <f t="shared" si="11"/>
        <v>55.562336209206386</v>
      </c>
      <c r="F76" s="119">
        <f t="shared" si="11"/>
        <v>56.590199695254704</v>
      </c>
      <c r="G76" s="296"/>
      <c r="H76" s="296"/>
      <c r="I76" s="296"/>
      <c r="J76" s="296"/>
      <c r="K76" s="296"/>
      <c r="L76" s="296"/>
    </row>
    <row r="77" spans="1:21" ht="13.15">
      <c r="A77" s="131">
        <v>4</v>
      </c>
      <c r="B77" s="119">
        <f t="shared" si="11"/>
        <v>45.35345243145354</v>
      </c>
      <c r="C77" s="119">
        <f t="shared" si="11"/>
        <v>51.122046712383749</v>
      </c>
      <c r="D77" s="119">
        <f t="shared" si="11"/>
        <v>54.979556022944806</v>
      </c>
      <c r="E77" s="119">
        <f t="shared" si="11"/>
        <v>59.154963877309541</v>
      </c>
      <c r="F77" s="119">
        <f t="shared" si="11"/>
        <v>60.620409773656419</v>
      </c>
      <c r="G77" s="296"/>
      <c r="H77" s="296"/>
      <c r="I77" s="296"/>
      <c r="J77" s="296"/>
      <c r="K77" s="296"/>
      <c r="L77" s="296"/>
    </row>
    <row r="78" spans="1:21" ht="13.15">
      <c r="A78" s="131">
        <v>5</v>
      </c>
      <c r="B78" s="119">
        <f t="shared" si="11"/>
        <v>45.323538616899214</v>
      </c>
      <c r="C78" s="119">
        <f t="shared" si="11"/>
        <v>52.455471393942304</v>
      </c>
      <c r="D78" s="119">
        <f t="shared" si="11"/>
        <v>57.391930348604369</v>
      </c>
      <c r="E78" s="119">
        <f t="shared" si="11"/>
        <v>62.87320789744426</v>
      </c>
      <c r="F78" s="119">
        <f t="shared" si="11"/>
        <v>64.82911400471464</v>
      </c>
      <c r="G78" s="296"/>
      <c r="H78" s="296"/>
      <c r="I78" s="296"/>
      <c r="J78" s="296"/>
      <c r="K78" s="296"/>
      <c r="L78" s="296"/>
    </row>
    <row r="79" spans="1:21" ht="13.15">
      <c r="A79" s="131">
        <v>6</v>
      </c>
      <c r="B79" s="119">
        <f t="shared" si="11"/>
        <v>45.295646948317071</v>
      </c>
      <c r="C79" s="119">
        <f t="shared" si="11"/>
        <v>53.760922131132503</v>
      </c>
      <c r="D79" s="119">
        <f t="shared" si="11"/>
        <v>59.821174424793014</v>
      </c>
      <c r="E79" s="119">
        <f t="shared" si="11"/>
        <v>66.721460449751547</v>
      </c>
      <c r="F79" s="119">
        <f t="shared" si="11"/>
        <v>69.224217723861685</v>
      </c>
      <c r="G79" s="296"/>
      <c r="H79" s="296"/>
      <c r="I79" s="296"/>
      <c r="J79" s="296"/>
      <c r="K79" s="296"/>
      <c r="L79" s="296"/>
    </row>
    <row r="80" spans="1:21" ht="13.15">
      <c r="A80" s="131">
        <f t="shared" ref="A80" si="12">A62</f>
        <v>7</v>
      </c>
      <c r="B80" s="119">
        <f t="shared" si="11"/>
        <v>45.26964073052487</v>
      </c>
      <c r="C80" s="119">
        <f t="shared" si="11"/>
        <v>55.038985789920126</v>
      </c>
      <c r="D80" s="119">
        <f t="shared" si="11"/>
        <v>62.267406221794161</v>
      </c>
      <c r="E80" s="119">
        <f t="shared" si="11"/>
        <v>70.704267287104528</v>
      </c>
      <c r="F80" s="119">
        <f t="shared" si="11"/>
        <v>73.813976386280984</v>
      </c>
      <c r="G80" s="296"/>
      <c r="H80" s="296"/>
      <c r="I80" s="296"/>
      <c r="J80" s="296"/>
      <c r="K80" s="296"/>
      <c r="L80" s="296"/>
    </row>
    <row r="81" spans="1:12" ht="13.15">
      <c r="A81" s="131">
        <v>8</v>
      </c>
      <c r="B81" s="119">
        <f t="shared" si="11"/>
        <v>45.2453925088072</v>
      </c>
      <c r="C81" s="119">
        <f t="shared" si="11"/>
        <v>56.290236924397497</v>
      </c>
      <c r="D81" s="119">
        <f t="shared" si="11"/>
        <v>64.730744534858275</v>
      </c>
      <c r="E81" s="119">
        <f t="shared" si="11"/>
        <v>74.826333104784553</v>
      </c>
      <c r="F81" s="119">
        <f t="shared" si="11"/>
        <v>78.607011073376185</v>
      </c>
      <c r="G81" s="296"/>
      <c r="H81" s="296"/>
      <c r="I81" s="296"/>
      <c r="J81" s="296"/>
      <c r="K81" s="296"/>
      <c r="L81" s="296"/>
    </row>
    <row r="82" spans="1:12" ht="13.15">
      <c r="A82" s="131">
        <f t="shared" ref="A82" si="13">A64</f>
        <v>9</v>
      </c>
      <c r="B82" s="119">
        <f t="shared" si="11"/>
        <v>45.222783444268586</v>
      </c>
      <c r="C82" s="119">
        <f t="shared" si="11"/>
        <v>57.515238035074645</v>
      </c>
      <c r="D82" s="119">
        <f t="shared" si="11"/>
        <v>67.211308989971769</v>
      </c>
      <c r="E82" s="119">
        <f t="shared" si="11"/>
        <v>79.092527097907904</v>
      </c>
      <c r="F82" s="119">
        <f t="shared" si="11"/>
        <v>83.612324686007071</v>
      </c>
      <c r="G82" s="296"/>
      <c r="H82" s="296"/>
      <c r="I82" s="296"/>
      <c r="J82" s="296"/>
      <c r="K82" s="296"/>
      <c r="L82" s="296"/>
    </row>
    <row r="83" spans="1:12" ht="13.15">
      <c r="A83" s="131">
        <f t="shared" ref="A83:A87" si="14">A65</f>
        <v>10</v>
      </c>
      <c r="B83" s="119">
        <f t="shared" si="11"/>
        <v>45.201702731412063</v>
      </c>
      <c r="C83" s="119">
        <f t="shared" si="11"/>
        <v>58.714539821751586</v>
      </c>
      <c r="D83" s="119">
        <f t="shared" si="11"/>
        <v>69.70922004966647</v>
      </c>
      <c r="E83" s="119">
        <f t="shared" si="11"/>
        <v>83.507888713168455</v>
      </c>
      <c r="F83" s="119">
        <f t="shared" si="11"/>
        <v>88.839318854908313</v>
      </c>
      <c r="G83" s="296"/>
      <c r="H83" s="296"/>
      <c r="I83" s="296"/>
      <c r="J83" s="296"/>
      <c r="K83" s="296"/>
      <c r="L83" s="296"/>
    </row>
    <row r="84" spans="1:12" ht="13.15">
      <c r="A84" s="131">
        <f t="shared" si="14"/>
        <v>15</v>
      </c>
      <c r="B84" s="119">
        <f t="shared" si="11"/>
        <v>45.115843159310067</v>
      </c>
      <c r="C84" s="119">
        <f t="shared" si="11"/>
        <v>64.344038099547745</v>
      </c>
      <c r="D84" s="119">
        <f t="shared" si="11"/>
        <v>82.463249904189496</v>
      </c>
      <c r="E84" s="119">
        <f t="shared" si="11"/>
        <v>108.01127717383231</v>
      </c>
      <c r="F84" s="119">
        <f t="shared" si="11"/>
        <v>118.65875824909251</v>
      </c>
      <c r="G84" s="296"/>
      <c r="H84" s="296"/>
      <c r="I84" s="296"/>
      <c r="J84" s="296"/>
      <c r="K84" s="296"/>
      <c r="L84" s="296"/>
    </row>
    <row r="85" spans="1:12" ht="13.15">
      <c r="A85" s="132">
        <f t="shared" si="14"/>
        <v>20</v>
      </c>
      <c r="B85" s="119">
        <f t="shared" si="11"/>
        <v>45.055336633732111</v>
      </c>
      <c r="C85" s="119">
        <f t="shared" si="11"/>
        <v>69.407291717115626</v>
      </c>
      <c r="D85" s="119">
        <f t="shared" si="11"/>
        <v>95.669505620983898</v>
      </c>
      <c r="E85" s="119">
        <f t="shared" si="11"/>
        <v>137.10870065307813</v>
      </c>
      <c r="F85" s="119">
        <f t="shared" si="11"/>
        <v>155.69296813323894</v>
      </c>
      <c r="G85" s="296"/>
      <c r="H85" s="296"/>
      <c r="I85" s="296"/>
      <c r="J85" s="296"/>
      <c r="K85" s="296"/>
      <c r="L85" s="296"/>
    </row>
    <row r="86" spans="1:12" ht="13.15">
      <c r="A86" s="132">
        <f t="shared" si="14"/>
        <v>25</v>
      </c>
      <c r="B86" s="119">
        <f t="shared" si="11"/>
        <v>45.012696779515672</v>
      </c>
      <c r="C86" s="119">
        <f t="shared" si="11"/>
        <v>73.961256552122265</v>
      </c>
      <c r="D86" s="119">
        <f t="shared" si="11"/>
        <v>109.34402199319665</v>
      </c>
      <c r="E86" s="119">
        <f t="shared" si="11"/>
        <v>171.66147503731224</v>
      </c>
      <c r="F86" s="119">
        <f t="shared" si="11"/>
        <v>201.68755185470573</v>
      </c>
      <c r="G86" s="296"/>
      <c r="H86" s="296"/>
      <c r="I86" s="296"/>
      <c r="J86" s="296"/>
      <c r="K86" s="296"/>
      <c r="L86" s="296"/>
    </row>
    <row r="87" spans="1:12" ht="13.15">
      <c r="A87" s="132">
        <f t="shared" si="14"/>
        <v>30</v>
      </c>
      <c r="B87" s="119">
        <f t="shared" si="11"/>
        <v>44.982647836030125</v>
      </c>
      <c r="C87" s="119">
        <f t="shared" si="11"/>
        <v>78.05715955933502</v>
      </c>
      <c r="D87" s="119">
        <f t="shared" si="11"/>
        <v>123.50340236746243</v>
      </c>
      <c r="E87" s="119">
        <f t="shared" si="11"/>
        <v>212.69240062766045</v>
      </c>
      <c r="F87" s="119">
        <f t="shared" si="11"/>
        <v>258.81045898108715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88.839318854908313</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83.507888713168455</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69.70922004966647</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58.714539821751586</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45.201702731412063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9678</v>
      </c>
      <c r="D7" s="469"/>
      <c r="E7" s="469"/>
      <c r="F7" s="469"/>
      <c r="G7" s="469"/>
    </row>
    <row r="8" spans="2:7">
      <c r="B8" s="97" t="s">
        <v>62</v>
      </c>
      <c r="C8" s="447">
        <f>Normalized_FCF!G19</f>
        <v>7662.219886375362</v>
      </c>
      <c r="D8" s="469"/>
      <c r="E8" s="469"/>
      <c r="F8" s="469"/>
      <c r="G8" s="469"/>
    </row>
    <row r="9" spans="2:7">
      <c r="B9" s="97" t="s">
        <v>53</v>
      </c>
      <c r="C9" s="447">
        <f>Normalized_FCF!C19</f>
        <v>6406.883139124674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8.8839846355660779E-2</v>
      </c>
      <c r="D12" s="469"/>
      <c r="E12" s="469"/>
      <c r="F12" s="469"/>
      <c r="G12" s="469"/>
    </row>
    <row r="13" spans="2:7">
      <c r="B13" s="135" t="s">
        <v>126</v>
      </c>
      <c r="C13" s="249">
        <f ca="1">(Normalized_FCF!G8/OFFSET(Normalized_FCF!G8, 0, $C$4))^(1/$C$4) - 1</f>
        <v>0.42336141371279012</v>
      </c>
      <c r="D13" s="469"/>
      <c r="E13" s="469"/>
      <c r="F13" s="469"/>
      <c r="G13" s="469"/>
    </row>
    <row r="14" spans="2:7">
      <c r="B14" s="97" t="s">
        <v>62</v>
      </c>
      <c r="C14" s="249">
        <f ca="1">(Normalized_FCF!G19/OFFSET(Normalized_FCF!G19, 0, $C$4))^(1/$C$4) - 1</f>
        <v>0.41173288969918787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0.11</v>
      </c>
      <c r="D22" s="325">
        <f>C18</f>
        <v>10</v>
      </c>
      <c r="E22" s="326">
        <f>DCF!E91</f>
        <v>83.507888713168455</v>
      </c>
      <c r="F22" s="328">
        <f>1-F23-F24</f>
        <v>0.19999999999999996</v>
      </c>
      <c r="G22" s="328">
        <f>F22*(1-F$29-F$30)</f>
        <v>0.15999999999999995</v>
      </c>
    </row>
    <row r="23" spans="2:7">
      <c r="B23" s="302" t="s">
        <v>436</v>
      </c>
      <c r="C23" s="324">
        <v>0.08</v>
      </c>
      <c r="D23" s="325">
        <f>C18</f>
        <v>10</v>
      </c>
      <c r="E23" s="326">
        <f>DCF!E92</f>
        <v>69.70922004966647</v>
      </c>
      <c r="F23" s="327">
        <v>0.55000000000000004</v>
      </c>
      <c r="G23" s="328">
        <f t="shared" ref="G23:G24" si="0">F23*(1-F$29-F$30)</f>
        <v>0.44</v>
      </c>
    </row>
    <row r="24" spans="2:7">
      <c r="B24" s="302" t="s">
        <v>445</v>
      </c>
      <c r="C24" s="324">
        <v>0.05</v>
      </c>
      <c r="D24" s="325">
        <f>C18</f>
        <v>10</v>
      </c>
      <c r="E24" s="326">
        <f>DCF!E93</f>
        <v>58.714539821751586</v>
      </c>
      <c r="F24" s="327">
        <v>0.25</v>
      </c>
      <c r="G24" s="328">
        <f t="shared" si="0"/>
        <v>0.19999999999999998</v>
      </c>
    </row>
    <row r="25" spans="2:7">
      <c r="B25" s="141" t="s">
        <v>450</v>
      </c>
      <c r="C25" s="441">
        <f>E23*F23+E24*F24+E22*F22</f>
        <v>69.720283725388143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0.12</v>
      </c>
      <c r="D29" s="325">
        <f>C18</f>
        <v>10</v>
      </c>
      <c r="E29" s="326">
        <f>DCF!E90</f>
        <v>88.839318854908313</v>
      </c>
      <c r="F29" s="327">
        <v>0.15</v>
      </c>
      <c r="G29" s="328">
        <f>F29</f>
        <v>0.15</v>
      </c>
    </row>
    <row r="30" spans="2:7">
      <c r="B30" s="315" t="s">
        <v>446</v>
      </c>
      <c r="C30" s="324">
        <v>0</v>
      </c>
      <c r="D30" s="325">
        <f>C18</f>
        <v>10</v>
      </c>
      <c r="E30" s="326">
        <f>DCF!E94</f>
        <v>45.201702731412063</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39.76</v>
      </c>
      <c r="D34" t="str">
        <f>Market_currency</f>
        <v>HKD</v>
      </c>
      <c r="E34" s="97" t="s">
        <v>453</v>
      </c>
      <c r="F34" s="330">
        <f>RATE(Holding_Period,$C$33,-C34,$C$36)</f>
        <v>0.21825042499925634</v>
      </c>
    </row>
    <row r="35" spans="2:7">
      <c r="B35" s="97" t="s">
        <v>433</v>
      </c>
      <c r="C35" s="320">
        <f>DCF!C11</f>
        <v>61.53258130648463</v>
      </c>
      <c r="D35" s="97" t="str">
        <f>Market_currency</f>
        <v>HKD</v>
      </c>
      <c r="E35" s="97" t="s">
        <v>453</v>
      </c>
      <c r="F35" s="330">
        <f>RATE(Holding_Period,$C$33,-C35,$C$36)</f>
        <v>5.2839525330907737E-2</v>
      </c>
    </row>
    <row r="36" spans="2:7">
      <c r="B36" s="97" t="s">
        <v>434</v>
      </c>
      <c r="C36" s="321">
        <f>E22*G22+E23*G23+E24*G24+E30*G30+E29*G29</f>
        <v>71.362209945117357</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0.28146521974317368</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50.996771039524212</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0.21911288198452497</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32.481661331414358</v>
      </c>
      <c r="E62" s="332">
        <f>C62+D62</f>
        <v>32.739549360544991</v>
      </c>
      <c r="F62" s="301">
        <f>Thesis!E22</f>
        <v>0.3</v>
      </c>
      <c r="G62" s="440">
        <f>(1-E62/C36)</f>
        <v>0.54122007452229903</v>
      </c>
    </row>
    <row r="63" spans="2:7" ht="13.15">
      <c r="B63" s="302" t="s">
        <v>312</v>
      </c>
      <c r="C63" s="119">
        <f>PV(F63, Holding_Period, -C58, 0)</f>
        <v>0.29912037037037031</v>
      </c>
      <c r="D63" s="119">
        <f>C36/(1+F63)^Holding_Period</f>
        <v>41.29757519972069</v>
      </c>
      <c r="E63" s="332">
        <f>C63+D63</f>
        <v>41.596695570091057</v>
      </c>
      <c r="F63" s="301">
        <f>Thesis!E23</f>
        <v>0.2</v>
      </c>
      <c r="G63" s="440">
        <f>(1-E63/C36)</f>
        <v>0.41710471687911721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51.149605646667169</v>
      </c>
      <c r="E66" s="332">
        <f>C66+D66</f>
        <v>51.492195290550455</v>
      </c>
      <c r="F66" s="301">
        <f>Thesis!E24</f>
        <v>0.1174</v>
      </c>
      <c r="G66" s="440">
        <f>(1-E66/C36)</f>
        <v>0.27843889181470649</v>
      </c>
    </row>
    <row r="67" spans="2:7" ht="13.15">
      <c r="B67" s="302" t="s">
        <v>313</v>
      </c>
      <c r="C67" s="119">
        <f>PV(F67, Holding_Period, -C58, 0)</f>
        <v>0.37095728225856828</v>
      </c>
      <c r="D67" s="119">
        <f>C36/(1+F67)^Holding_Period</f>
        <v>57.846406912388886</v>
      </c>
      <c r="E67" s="332">
        <f>C67+D67</f>
        <v>58.217364194647452</v>
      </c>
      <c r="F67" s="301">
        <f>Thesis!E25</f>
        <v>7.2499999999999995E-2</v>
      </c>
      <c r="G67" s="440">
        <f>(1-E67/C36)</f>
        <v>0.18419897254554241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46103</v>
      </c>
    </row>
    <row r="4" spans="1:10">
      <c r="B4" s="422" t="s">
        <v>533</v>
      </c>
      <c r="C4" s="423" t="str">
        <f>Thesis!C4</f>
        <v>腾讯音乐</v>
      </c>
      <c r="D4" s="349"/>
      <c r="E4" s="434" t="s">
        <v>539</v>
      </c>
      <c r="F4" s="437" t="str">
        <f>Thesis!F4</f>
        <v>INT</v>
      </c>
    </row>
    <row r="5" spans="1:10">
      <c r="B5" s="343" t="s">
        <v>363</v>
      </c>
      <c r="C5" s="355" t="str">
        <f>Thesis!C5</f>
        <v>1698.hk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39.76</v>
      </c>
    </row>
    <row r="9" spans="1:10">
      <c r="B9" s="351" t="s">
        <v>360</v>
      </c>
      <c r="C9" s="353">
        <f>Common_Shares</f>
        <v>3108803728</v>
      </c>
    </row>
    <row r="10" spans="1:10">
      <c r="B10" s="351" t="s">
        <v>366</v>
      </c>
      <c r="C10" s="357">
        <f>投资主题!C8*Common_Shares/1000000</f>
        <v>123606.03622528</v>
      </c>
      <c r="D10" s="343" t="s">
        <v>528</v>
      </c>
      <c r="E10" s="360">
        <f>Scenarios!F34</f>
        <v>0.21825042499925634</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1.146258</v>
      </c>
    </row>
    <row r="17" spans="1:6">
      <c r="B17" s="343" t="s">
        <v>534</v>
      </c>
      <c r="C17" s="424">
        <f>Terminal_Growth</f>
        <v>0.02</v>
      </c>
      <c r="D17" s="351" t="s">
        <v>338</v>
      </c>
      <c r="E17" s="344" t="str">
        <f>Reporting_currency</f>
        <v>CNY</v>
      </c>
    </row>
    <row r="18" spans="1:6">
      <c r="B18" s="343" t="str">
        <f>"预期股权价值 ("&amp;C7&amp;") :"</f>
        <v>预期股权价值 (HKD) :</v>
      </c>
      <c r="C18" s="359">
        <f>C125</f>
        <v>71.362209945117357</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32.739549360544991</v>
      </c>
      <c r="D22" s="365" t="s">
        <v>439</v>
      </c>
      <c r="E22" s="366">
        <f>Thesis!E22</f>
        <v>0.3</v>
      </c>
    </row>
    <row r="23" spans="1:6">
      <c r="B23" s="343" t="s">
        <v>340</v>
      </c>
      <c r="C23" s="367">
        <f>E141</f>
        <v>41.596695570091057</v>
      </c>
      <c r="D23" s="365" t="s">
        <v>440</v>
      </c>
      <c r="E23" s="368">
        <f>Thesis!E23</f>
        <v>0.2</v>
      </c>
    </row>
    <row r="24" spans="1:6">
      <c r="B24" s="343" t="s">
        <v>342</v>
      </c>
      <c r="C24" s="367">
        <f>E144</f>
        <v>51.492195290550455</v>
      </c>
      <c r="D24" s="365" t="s">
        <v>442</v>
      </c>
      <c r="E24" s="368">
        <f>Thesis!E24</f>
        <v>0.1174</v>
      </c>
    </row>
    <row r="25" spans="1:6">
      <c r="B25" s="343" t="s">
        <v>341</v>
      </c>
      <c r="C25" s="367">
        <f>E145</f>
        <v>58.217364194647452</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9207.3202704130126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-650.63867420757288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72.408389576888965</v>
      </c>
      <c r="D44" s="343" t="str">
        <f>Reporting_currency</f>
        <v>CNY</v>
      </c>
      <c r="E44" s="371"/>
      <c r="F44" s="371"/>
    </row>
    <row r="45" spans="2:6">
      <c r="B45" s="372" t="s">
        <v>267</v>
      </c>
      <c r="C45" s="376">
        <f>Normalized_FCF!C45</f>
        <v>-18.96</v>
      </c>
      <c r="D45" s="343" t="str">
        <f>Reporting_currency</f>
        <v>CNY</v>
      </c>
      <c r="E45" s="371"/>
      <c r="F45" s="371"/>
    </row>
    <row r="46" spans="2:6">
      <c r="B46" s="372" t="s">
        <v>202</v>
      </c>
      <c r="C46" s="373">
        <f>Normalized_FCF!C10</f>
        <v>53.448389576888964</v>
      </c>
      <c r="D46" s="343" t="str">
        <f>Reporting_currency</f>
        <v>CNY</v>
      </c>
    </row>
    <row r="48" spans="2:6">
      <c r="B48" s="343" t="s">
        <v>504</v>
      </c>
    </row>
    <row r="49" spans="2:6">
      <c r="B49" s="372" t="s">
        <v>222</v>
      </c>
      <c r="C49" s="373">
        <f>Normalized_FCF!C13</f>
        <v>-538.69335586775105</v>
      </c>
      <c r="D49" s="343" t="str">
        <f>Reporting_currency</f>
        <v>CNY</v>
      </c>
    </row>
    <row r="51" spans="2:6">
      <c r="B51" s="470" t="s">
        <v>505</v>
      </c>
      <c r="C51" s="470"/>
      <c r="D51" s="470"/>
      <c r="E51" s="470"/>
      <c r="F51" s="470"/>
    </row>
    <row r="52" spans="2:6">
      <c r="B52" s="372" t="s">
        <v>495</v>
      </c>
      <c r="C52" s="373">
        <f>Normalized_FCF!C12</f>
        <v>-2315.1921649974752</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7662.219886375362</v>
      </c>
      <c r="D60" s="343" t="str">
        <f>Reporting_currency</f>
        <v>CNY</v>
      </c>
    </row>
    <row r="61" spans="2:6">
      <c r="B61" s="372" t="s">
        <v>212</v>
      </c>
      <c r="C61" s="373">
        <f>Normalized_FCF!C19</f>
        <v>6406.883139124674</v>
      </c>
      <c r="D61" s="343" t="str">
        <f>Reporting_currency</f>
        <v>CNY</v>
      </c>
    </row>
    <row r="62" spans="2:6">
      <c r="B62" s="377" t="s">
        <v>301</v>
      </c>
      <c r="C62" s="378">
        <f>Normalized_FCF!C124</f>
        <v>5.9414097220154873E-2</v>
      </c>
      <c r="F62" s="379"/>
    </row>
    <row r="63" spans="2:6">
      <c r="B63" s="377" t="s">
        <v>331</v>
      </c>
      <c r="C63" s="378">
        <f>Normalized_FCF!C92</f>
        <v>3.5714285714285713E-3</v>
      </c>
      <c r="E63" s="372" t="s">
        <v>372</v>
      </c>
      <c r="F63" s="380">
        <f>Normalized_FCF!C90</f>
        <v>6.8902478754484062E-2</v>
      </c>
    </row>
    <row r="65" spans="1:6">
      <c r="B65" s="369" t="s">
        <v>375</v>
      </c>
      <c r="C65" s="381" t="s">
        <v>326</v>
      </c>
      <c r="D65" s="381" t="s">
        <v>373</v>
      </c>
    </row>
    <row r="66" spans="1:6">
      <c r="B66" s="372" t="s">
        <v>325</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-316</v>
      </c>
      <c r="D78" s="343" t="str">
        <f>Reporting_currency</f>
        <v>CNY</v>
      </c>
    </row>
    <row r="79" spans="1:6">
      <c r="B79" s="372" t="s">
        <v>233</v>
      </c>
      <c r="C79" s="387">
        <f>C78*scaling_factor*Exchange_Rate/Common_Shares</f>
        <v>-0.11651347582274901</v>
      </c>
      <c r="D79" s="343" t="str">
        <f>Market_currency</f>
        <v>HKD</v>
      </c>
    </row>
    <row r="80" spans="1:6">
      <c r="B80" s="382" t="s">
        <v>308</v>
      </c>
      <c r="C80" s="388">
        <f>IF(BS!G31/BS!G27&gt;300%,"nm",BS!G31/BS!G27)</f>
        <v>3.8049367850692354E-3</v>
      </c>
    </row>
    <row r="81" spans="1:6">
      <c r="B81" s="382" t="s">
        <v>310</v>
      </c>
      <c r="C81" s="389">
        <f>IF(BS!C50&gt;30,"nm",BS!C50)</f>
        <v>3.432051788351935E-2</v>
      </c>
    </row>
    <row r="83" spans="1:6">
      <c r="B83" s="343" t="s">
        <v>511</v>
      </c>
    </row>
    <row r="84" spans="1:6">
      <c r="B84" s="343" t="s">
        <v>223</v>
      </c>
      <c r="C84" s="373">
        <f>DCF!F5</f>
        <v>25989.935070518506</v>
      </c>
      <c r="D84" s="343" t="str">
        <f>Reporting_currency</f>
        <v>CNY</v>
      </c>
    </row>
    <row r="85" spans="1:6">
      <c r="B85" s="382" t="s">
        <v>480</v>
      </c>
      <c r="C85" s="390">
        <f>BS!C66</f>
        <v>38058</v>
      </c>
      <c r="D85" s="391" t="str">
        <f>Reporting_currency</f>
        <v>CNY</v>
      </c>
    </row>
    <row r="86" spans="1:6">
      <c r="B86" s="372" t="s">
        <v>234</v>
      </c>
      <c r="C86" s="387">
        <f>C84*scaling_factor*Exchange_Rate/Common_Shares</f>
        <v>9.5828407325116292</v>
      </c>
      <c r="D86" s="343" t="str">
        <f>Market_currency</f>
        <v>HKD</v>
      </c>
    </row>
    <row r="88" spans="1:6">
      <c r="B88" s="343" t="s">
        <v>512</v>
      </c>
    </row>
    <row r="89" spans="1:6">
      <c r="B89" s="343" t="s">
        <v>216</v>
      </c>
      <c r="C89" s="373">
        <f>DCF!F6</f>
        <v>16734</v>
      </c>
      <c r="D89" s="343" t="str">
        <f>Reporting_currency</f>
        <v>CNY</v>
      </c>
    </row>
    <row r="90" spans="1:6">
      <c r="B90" s="372" t="s">
        <v>235</v>
      </c>
      <c r="C90" s="387">
        <f>C89*scaling_factor*Exchange_Rate/Common_Shares</f>
        <v>6.1700522291705129</v>
      </c>
      <c r="D90" s="343" t="str">
        <f>Market_currency</f>
        <v>HKD</v>
      </c>
    </row>
    <row r="92" spans="1:6">
      <c r="B92" s="372" t="s">
        <v>479</v>
      </c>
      <c r="C92" s="387">
        <f>DCF!F8</f>
        <v>15.636379485859393</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11.529266532132771</v>
      </c>
      <c r="D111" s="343" t="str">
        <f>Market_currency</f>
        <v>HKD</v>
      </c>
    </row>
    <row r="112" spans="1:6">
      <c r="A112" s="385"/>
      <c r="B112" s="372" t="s">
        <v>376</v>
      </c>
      <c r="C112" s="394">
        <f>DCF!C11</f>
        <v>61.53258130648463</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0.12</v>
      </c>
      <c r="D118" s="397">
        <f>DCF!D90</f>
        <v>10</v>
      </c>
      <c r="E118" s="398" t="str">
        <f>ROUND(DCF!E90,2)&amp;" "&amp;Market_currency</f>
        <v>88.84 HKD</v>
      </c>
      <c r="F118" s="399">
        <f>DCF!F90</f>
        <v>0.15</v>
      </c>
    </row>
    <row r="119" spans="1:6">
      <c r="A119" s="385"/>
      <c r="B119" s="400" t="str">
        <f>DCF!B91</f>
        <v>Optimistic</v>
      </c>
      <c r="C119" s="401">
        <f>DCF!C91</f>
        <v>0.11</v>
      </c>
      <c r="D119" s="402">
        <f>DCF!D91</f>
        <v>10</v>
      </c>
      <c r="E119" s="398" t="str">
        <f>ROUND(DCF!E91,2)&amp;" "&amp;Market_currency</f>
        <v>83.51 HKD</v>
      </c>
      <c r="F119" s="403">
        <f>DCF!F91</f>
        <v>0.15999999999999995</v>
      </c>
    </row>
    <row r="120" spans="1:6">
      <c r="B120" s="400" t="str">
        <f>DCF!B92</f>
        <v>Base</v>
      </c>
      <c r="C120" s="401">
        <f>DCF!C92</f>
        <v>0.08</v>
      </c>
      <c r="D120" s="402">
        <f>DCF!D92</f>
        <v>10</v>
      </c>
      <c r="E120" s="398" t="str">
        <f>ROUND(DCF!E92,2)&amp;" "&amp;Market_currency</f>
        <v>69.71 HKD</v>
      </c>
      <c r="F120" s="403">
        <f>DCF!F92</f>
        <v>0.44</v>
      </c>
    </row>
    <row r="121" spans="1:6">
      <c r="B121" s="400" t="str">
        <f>DCF!B93</f>
        <v>Pessimistic</v>
      </c>
      <c r="C121" s="401">
        <f>DCF!C93</f>
        <v>0.05</v>
      </c>
      <c r="D121" s="402">
        <f>DCF!D93</f>
        <v>10</v>
      </c>
      <c r="E121" s="398" t="str">
        <f>ROUND(DCF!E93,2)&amp;" "&amp;Market_currency</f>
        <v>58.71 HKD</v>
      </c>
      <c r="F121" s="403">
        <f>DCF!F93</f>
        <v>0.19999999999999998</v>
      </c>
    </row>
    <row r="122" spans="1:6">
      <c r="B122" s="400" t="str">
        <f>DCF!B94</f>
        <v>Devil's advocate</v>
      </c>
      <c r="C122" s="401">
        <f>DCF!C94</f>
        <v>0</v>
      </c>
      <c r="D122" s="402">
        <f>DCF!D94</f>
        <v>10</v>
      </c>
      <c r="E122" s="398" t="str">
        <f>ROUND(DCF!E94,2)&amp;" "&amp;Market_currency</f>
        <v>45.2 HKD</v>
      </c>
      <c r="F122" s="403">
        <f>DCF!F94</f>
        <v>0.05</v>
      </c>
    </row>
    <row r="124" spans="1:6">
      <c r="B124" s="470" t="s">
        <v>518</v>
      </c>
      <c r="C124" s="470"/>
      <c r="D124" s="470"/>
      <c r="E124" s="470"/>
      <c r="F124" s="470"/>
    </row>
    <row r="125" spans="1:6">
      <c r="B125" s="372" t="s">
        <v>217</v>
      </c>
      <c r="C125" s="404">
        <f>Scenarios!C36</f>
        <v>71.362209945117357</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32.481661331414358</v>
      </c>
      <c r="E140" s="410">
        <f>Scenarios!E62</f>
        <v>32.739549360544991</v>
      </c>
      <c r="F140" s="411">
        <f>E22</f>
        <v>0.3</v>
      </c>
    </row>
    <row r="141" spans="1:6">
      <c r="B141" s="408" t="s">
        <v>312</v>
      </c>
      <c r="C141" s="409">
        <f>Scenarios!C63</f>
        <v>0.29912037037037031</v>
      </c>
      <c r="D141" s="409">
        <f>Scenarios!D63</f>
        <v>41.29757519972069</v>
      </c>
      <c r="E141" s="410">
        <f>Scenarios!E63</f>
        <v>41.596695570091057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51.149605646667169</v>
      </c>
      <c r="E144" s="410">
        <f>Scenarios!E66</f>
        <v>51.492195290550455</v>
      </c>
      <c r="F144" s="411">
        <f>E24</f>
        <v>0.1174</v>
      </c>
    </row>
    <row r="145" spans="1:6">
      <c r="B145" s="408" t="s">
        <v>313</v>
      </c>
      <c r="C145" s="409">
        <f>Scenarios!C67</f>
        <v>0.37095728225856828</v>
      </c>
      <c r="D145" s="409">
        <f>Scenarios!D67</f>
        <v>57.846406912388886</v>
      </c>
      <c r="E145" s="410">
        <f>Scenarios!E67</f>
        <v>58.217364194647452</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