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02F8D53-0B35-4051-AC02-1811B7CDCC5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I6" i="4"/>
  <c r="H6" i="4"/>
  <c r="G6" i="4"/>
  <c r="F6" i="4"/>
  <c r="E6" i="4"/>
  <c r="G4" i="3"/>
  <c r="C23" i="3"/>
  <c r="G17" i="3"/>
  <c r="C19" i="3"/>
  <c r="D6" i="4"/>
  <c r="C6" i="4"/>
  <c r="E83" i="2" l="1"/>
  <c r="E84" i="2"/>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E116" i="2" s="1"/>
  <c r="C40" i="9" s="1"/>
  <c r="F17" i="8" s="1"/>
  <c r="C12" i="2"/>
  <c r="C14" i="2" s="1"/>
  <c r="C19" i="2"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<sst xmlns="http://schemas.openxmlformats.org/spreadsheetml/2006/main" count="768" uniqueCount="559">
  <si>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</si>
  <si>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</si>
  <si>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</si>
  <si>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</si>
  <si>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</si>
  <si>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</si>
  <si>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</si>
  <si>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</si>
  <si>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</si>
  <si>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</si>
  <si>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</si>
  <si>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</si>
  <si>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</si>
  <si>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</si>
  <si>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</si>
  <si>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</si>
  <si>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</si>
  <si>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</si>
  <si>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</si>
  <si>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</si>
  <si>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</si>
  <si>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</si>
  <si>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</si>
  <si>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</si>
  <si>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</si>
  <si>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</si>
  <si>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</si>
  <si>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</si>
  <si>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</si>
  <si>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</si>
  <si>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</si>
  <si>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</si>
  <si>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</si>
  <si>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</si>
  <si>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</si>
  <si>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</si>
  <si>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</si>
  <si>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</si>
  <si>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</si>
  <si>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</si>
  <si>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</si>
  <si>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</si>
  <si>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</si>
  <si>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</si>
  <si>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</si>
  <si>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</si>
  <si>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</si>
  <si>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</si>
  <si>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</si>
  <si>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</si>
  <si>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</si>
  <si>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</si>
  <si>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</si>
  <si>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</si>
  <si>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</si>
  <si>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</si>
  <si>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</si>
  <si>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</si>
  <si>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</si>
  <si>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</si>
  <si>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</si>
  <si>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</si>
  <si>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</si>
  <si>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</si>
  <si>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</si>
  <si>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</si>
  <si>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</si>
  <si>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</si>
  <si>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</si>
  <si>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</si>
  <si>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</si>
  <si>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</si>
  <si>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</si>
  <si>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</si>
  <si>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</si>
  <si>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</si>
  <si>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</si>
  <si>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</si>
  <si>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</si>
  <si>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</si>
  <si>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</si>
  <si>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</si>
  <si>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</si>
  <si>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</si>
  <si>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</si>
  <si>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</si>
  <si>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</si>
  <si>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</si>
  <si>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</si>
  <si>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</si>
  <si>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</si>
  <si>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</si>
  <si>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</si>
  <si>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</si>
  <si>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</si>
  <si>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</si>
  <si>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</si>
  <si>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</si>
  <si>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</si>
  <si>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</si>
  <si>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</si>
  <si>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</si>
  <si>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</si>
  <si>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</si>
  <si>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</si>
  <si>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</si>
  <si>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</si>
  <si>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</si>
  <si>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</si>
  <si>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</si>
  <si>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</si>
  <si>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</si>
  <si>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</si>
  <si>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</si>
  <si>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</si>
  <si>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</si>
  <si>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</si>
  <si>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</si>
  <si>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</si>
  <si>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</si>
  <si>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</si>
  <si>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</si>
  <si>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</si>
  <si>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</si>
  <si>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</si>
  <si>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</si>
  <si>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</si>
  <si>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</si>
  <si>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</si>
  <si>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</si>
  <si>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</si>
  <si>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</si>
  <si>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</si>
  <si>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</si>
  <si>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</si>
  <si>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</si>
  <si>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</si>
  <si>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</si>
  <si>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</si>
  <si>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</si>
  <si>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</si>
  <si>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</si>
  <si>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</si>
  <si>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</si>
  <si>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</si>
  <si>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</si>
  <si>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</si>
  <si>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</si>
  <si>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</si>
  <si>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</si>
  <si>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</si>
  <si>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</si>
  <si>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</si>
  <si>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</si>
  <si>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</si>
  <si>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</si>
  <si>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</si>
  <si>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</si>
  <si>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</si>
  <si>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</si>
  <si>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</si>
  <si>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</si>
  <si>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</si>
  <si>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</si>
  <si>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</si>
  <si>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</si>
  <si>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</si>
  <si>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</si>
  <si>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</si>
  <si>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</si>
  <si>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</si>
  <si>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</si>
  <si>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</si>
  <si>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</si>
  <si>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</si>
  <si>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</si>
  <si>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</si>
  <si>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</si>
  <si>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</si>
  <si>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</si>
  <si>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</si>
  <si>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</si>
  <si>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</si>
  <si>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</si>
  <si>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</si>
  <si>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</si>
  <si>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</si>
  <si>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</si>
  <si>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</si>
  <si>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</si>
  <si>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</si>
  <si>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</si>
  <si>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</si>
  <si>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</si>
  <si>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</si>
  <si>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</si>
  <si>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</si>
  <si>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</si>
  <si>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</si>
  <si>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</si>
  <si>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</si>
  <si>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</si>
  <si>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</si>
  <si>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</si>
  <si>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</si>
  <si>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</si>
  <si>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</si>
  <si>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</si>
  <si>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</si>
  <si>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</si>
  <si>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</si>
  <si>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</si>
  <si>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</si>
  <si>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</si>
  <si>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</si>
  <si>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</si>
  <si>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</si>
  <si>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</si>
  <si>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</si>
  <si>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</si>
  <si>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</si>
  <si>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</si>
  <si>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</si>
  <si>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</si>
  <si>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</si>
  <si>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</si>
  <si>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</si>
  <si>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</si>
  <si>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</si>
  <si>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</si>
  <si>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</si>
  <si>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</si>
  <si>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</si>
  <si>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</si>
  <si>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</si>
  <si>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</si>
  <si>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</si>
  <si>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</si>
  <si>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</si>
  <si>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</si>
  <si>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</si>
  <si>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</si>
  <si>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</si>
  <si>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</si>
  <si>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</si>
  <si>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</si>
  <si>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</si>
  <si>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</si>
  <si>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</si>
  <si>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</si>
  <si>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</si>
  <si>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</si>
  <si>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</si>
  <si>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</si>
  <si>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</si>
  <si>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</si>
  <si>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</si>
  <si>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</si>
  <si>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</si>
  <si>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</si>
  <si>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</si>
  <si>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</si>
  <si>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</si>
  <si>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</si>
  <si>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</si>
  <si>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</si>
  <si>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</si>
  <si>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</si>
  <si>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</si>
  <si>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</si>
  <si>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</si>
  <si>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</si>
  <si>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</si>
  <si>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</si>
  <si>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</si>
  <si>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</si>
  <si>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</si>
  <si>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</si>
  <si>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</si>
  <si>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</si>
  <si>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</si>
  <si>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</si>
  <si>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</si>
  <si>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</si>
  <si>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</si>
  <si>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</si>
  <si>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</si>
  <si>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</si>
  <si>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</si>
  <si>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</si>
  <si>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</si>
  <si>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</si>
  <si>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</si>
  <si>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</si>
  <si>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</si>
  <si>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</si>
  <si>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</si>
  <si>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</si>
  <si>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</si>
  <si>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</si>
  <si>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</si>
  <si>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</si>
  <si>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</si>
  <si>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</si>
  <si>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</si>
  <si>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</si>
  <si>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</si>
  <si>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</si>
  <si>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</si>
  <si>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</si>
  <si>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</si>
  <si>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</si>
  <si>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</si>
  <si>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</si>
  <si>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</si>
  <si>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</si>
  <si>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</si>
  <si>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</si>
  <si>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</si>
  <si>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</si>
  <si>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</si>
  <si>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</si>
  <si>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</si>
  <si>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</si>
  <si>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</si>
  <si>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</si>
  <si>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</si>
  <si>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</si>
  <si>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</si>
  <si>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</si>
  <si>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</si>
  <si>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</si>
  <si>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</si>
  <si>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</si>
  <si>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</si>
  <si>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</si>
  <si>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</si>
  <si>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</si>
  <si>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</si>
  <si>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</si>
  <si>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</si>
  <si>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</si>
  <si>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</si>
  <si>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</si>
  <si>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</si>
  <si>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</si>
  <si>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</si>
  <si>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</si>
  <si>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</si>
  <si>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</si>
  <si>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</si>
  <si>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</si>
  <si>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</si>
  <si>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</si>
  <si>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</si>
  <si>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</si>
  <si>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</si>
  <si>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</si>
  <si>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</si>
  <si>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</si>
  <si>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</si>
  <si>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</si>
  <si>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</si>
  <si>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</si>
  <si>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</si>
  <si>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</si>
  <si>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</si>
  <si>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</si>
  <si>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</si>
  <si>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</si>
  <si>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</si>
  <si>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</si>
  <si>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</si>
  <si>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</si>
  <si>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</si>
  <si>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</si>
  <si>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</si>
  <si>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</si>
  <si>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</si>
  <si>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</si>
  <si>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</si>
  <si>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</si>
  <si>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</si>
  <si>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</si>
  <si>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</si>
  <si>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</si>
  <si>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</si>
  <si>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</si>
  <si>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</si>
  <si>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</si>
  <si>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</si>
  <si>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</si>
  <si>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</si>
  <si>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</si>
  <si>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</si>
  <si>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</si>
  <si>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</si>
  <si>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</si>
  <si>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</si>
  <si>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</si>
  <si>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</si>
  <si>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</si>
  <si>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</si>
  <si>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</si>
  <si>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</si>
  <si>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</si>
  <si>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</si>
  <si>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</si>
  <si>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</si>
  <si>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</si>
  <si>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</si>
  <si>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</si>
  <si>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</si>
  <si>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</si>
  <si>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</si>
  <si>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</si>
  <si>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</si>
  <si>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</si>
  <si>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</si>
  <si>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</si>
  <si>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</si>
  <si>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</si>
  <si>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</si>
  <si>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</si>
  <si>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</si>
  <si>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</si>
  <si>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</si>
  <si>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</si>
  <si>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</si>
  <si>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</si>
  <si>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</si>
  <si>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</si>
  <si>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</si>
  <si>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</si>
  <si>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</si>
  <si>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</si>
  <si>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</si>
  <si>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</si>
  <si>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</si>
  <si>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</si>
  <si>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</si>
  <si>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</si>
  <si>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</si>
  <si>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</si>
  <si>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</si>
  <si>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</si>
  <si>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</si>
  <si>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</si>
  <si>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</si>
  <si>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</si>
  <si>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</si>
  <si>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</si>
  <si>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</si>
  <si>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</si>
  <si>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</si>
  <si>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</si>
  <si>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</si>
  <si>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</si>
  <si>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</si>
  <si>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</si>
  <si>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</si>
  <si>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</si>
  <si>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</si>
  <si>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</si>
  <si>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</si>
  <si>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</si>
  <si>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</si>
  <si>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</si>
  <si>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</si>
  <si>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</si>
  <si>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</si>
  <si>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</si>
  <si>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</si>
  <si>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</si>
  <si>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</si>
  <si>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</si>
  <si>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</si>
  <si>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</si>
  <si>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</si>
  <si>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</si>
  <si>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</si>
  <si>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</si>
  <si>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</si>
  <si>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</si>
  <si>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</si>
  <si>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</si>
  <si>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</si>
  <si>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</si>
  <si>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</si>
  <si>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</si>
  <si>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</si>
  <si>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</si>
  <si>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</si>
  <si>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</si>
  <si>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</si>
  <si>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</si>
  <si>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</si>
  <si>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</si>
  <si>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</si>
  <si>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</si>
  <si>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</si>
  <si>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</si>
  <si>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</si>
  <si>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</si>
  <si>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</si>
  <si>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</si>
  <si>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</si>
  <si>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</si>
  <si>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</si>
  <si>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</si>
  <si>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</si>
  <si>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</si>
  <si>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</si>
  <si>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</si>
  <si>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</si>
  <si>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</si>
  <si>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</si>
  <si>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</si>
  <si>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</si>
  <si>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</si>
  <si>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</si>
  <si>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</si>
  <si>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</si>
  <si>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</si>
  <si>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</si>
  <si>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</si>
  <si>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</si>
  <si>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</si>
  <si>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</si>
  <si>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</si>
  <si>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</si>
  <si>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</si>
  <si>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</si>
  <si>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</si>
  <si>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</si>
  <si>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</si>
  <si>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</si>
  <si>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</si>
  <si>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</si>
  <si>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</si>
  <si>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</si>
  <si>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</si>
  <si>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</si>
  <si>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</si>
  <si>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</si>
  <si>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</si>
  <si>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</si>
  <si>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</si>
  <si>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</si>
  <si>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</si>
  <si>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</si>
  <si>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</si>
  <si>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</si>
  <si>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</si>
  <si>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</si>
  <si>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1698.hk</t>
  </si>
  <si>
    <t>腾讯音乐</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</si>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</sst>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2" sqref="C2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46103</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39.24</v>
      </c>
      <c r="E8" s="32"/>
    </row>
    <row r="9" spans="1:9">
      <c r="B9" s="4" t="s">
        <v>346</v>
      </c>
      <c r="C9" s="48">
        <v>3108803728</v>
      </c>
    </row>
    <row r="10" spans="1:9">
      <c r="B10" s="4" t="s">
        <v>352</v>
      </c>
      <c r="C10" s="33">
        <f>Thesis!C8*Common_Shares/1000000</f>
        <v>121989.45828672001</v>
      </c>
      <c r="D10" s="1" t="s">
        <v>528</v>
      </c>
      <c r="E10" s="303">
        <f>Scenarios!F34</f>
        <v>0.21952005351229451</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1.1347130000000001</v>
      </c>
    </row>
    <row r="17" spans="1:6">
      <c r="B17" s="1" t="s">
        <v>532</v>
      </c>
      <c r="C17" s="456">
        <v>0.02</v>
      </c>
      <c r="D17" s="4" t="s">
        <v>274</v>
      </c>
      <c r="E17" s="224" t="s">
        <v>558</v>
      </c>
    </row>
    <row r="18" spans="1:6">
      <c r="B18" s="1" t="str">
        <f>"Expected Equity Value ("&amp;C7&amp;") :"</f>
        <v>Expected Equity Value (HKD) :</v>
      </c>
      <c r="C18" s="252">
        <f>C125</f>
        <v>70.643456650644055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32.412397201021413</v>
      </c>
      <c r="D22" s="38" t="s">
        <v>406</v>
      </c>
      <c r="E22" s="79">
        <v>0.3</v>
      </c>
    </row>
    <row r="23" spans="1:6">
      <c r="B23" s="1" t="s">
        <v>313</v>
      </c>
      <c r="C23" s="256">
        <f>E141</f>
        <v>41.180750376530121</v>
      </c>
      <c r="D23" s="38" t="s">
        <v>407</v>
      </c>
      <c r="E23" s="443">
        <v>0.2</v>
      </c>
    </row>
    <row r="24" spans="1:6">
      <c r="B24" s="1" t="s">
        <v>315</v>
      </c>
      <c r="C24" s="256">
        <f>E144</f>
        <v>50.977021396723089</v>
      </c>
      <c r="D24" s="38" t="s">
        <v>408</v>
      </c>
      <c r="E24" s="443">
        <v>0.1174</v>
      </c>
    </row>
    <row r="25" spans="1:6">
      <c r="B25" s="1" t="s">
        <v>314</v>
      </c>
      <c r="C25" s="256">
        <f>E145</f>
        <v>57.634740764491653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9207.3202704130126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-650.63867420757288</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72.408389576888965</v>
      </c>
      <c r="D44" s="1" t="str">
        <f>Reporting_currency</f>
        <v>CNY</v>
      </c>
      <c r="E44" s="244"/>
      <c r="F44" s="244"/>
    </row>
    <row r="45" spans="2:6">
      <c r="B45" s="44" t="s">
        <v>268</v>
      </c>
      <c r="C45" s="286">
        <f>Normalized_FCF!C45</f>
        <v>-18.96</v>
      </c>
      <c r="D45" s="1" t="str">
        <f>Reporting_currency</f>
        <v>CNY</v>
      </c>
      <c r="E45" s="244"/>
      <c r="F45" s="244"/>
    </row>
    <row r="46" spans="2:6">
      <c r="B46" s="44" t="s">
        <v>203</v>
      </c>
      <c r="C46" s="285">
        <f>Normalized_FCF!C10</f>
        <v>53.448389576888964</v>
      </c>
      <c r="D46" s="1" t="str">
        <f>Reporting_currency</f>
        <v>CNY</v>
      </c>
    </row>
    <row r="48" spans="2:6">
      <c r="B48" s="1" t="s">
        <v>211</v>
      </c>
    </row>
    <row r="49" spans="2:6">
      <c r="B49" s="44" t="s">
        <v>223</v>
      </c>
      <c r="C49" s="285">
        <f>Normalized_FCF!C13</f>
        <v>-538.69335586775105</v>
      </c>
      <c r="D49" s="1" t="str">
        <f>Reporting_currency</f>
        <v>CNY</v>
      </c>
    </row>
    <row r="51" spans="2:6">
      <c r="B51" s="463" t="s">
        <v>206</v>
      </c>
      <c r="C51" s="463"/>
      <c r="D51" s="463"/>
      <c r="E51" s="463"/>
      <c r="F51" s="463"/>
    </row>
    <row r="52" spans="2:6">
      <c r="B52" s="44" t="s">
        <v>204</v>
      </c>
      <c r="C52" s="285">
        <f>Normalized_FCF!C12</f>
        <v>-2315.1921649974752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7662.219886375362</v>
      </c>
      <c r="D60" s="1" t="str">
        <f>Reporting_currency</f>
        <v>CNY</v>
      </c>
    </row>
    <row r="61" spans="2:6">
      <c r="B61" s="44" t="s">
        <v>213</v>
      </c>
      <c r="C61" s="285">
        <f>Normalized_FCF!C19</f>
        <v>6406.883139124674</v>
      </c>
      <c r="D61" s="1" t="str">
        <f>Reporting_currency</f>
        <v>CNY</v>
      </c>
    </row>
    <row r="62" spans="2:6">
      <c r="B62" s="204" t="s">
        <v>302</v>
      </c>
      <c r="C62" s="89">
        <f>Normalized_FCF!C124</f>
        <v>5.9595096900573741E-2</v>
      </c>
      <c r="F62" s="257"/>
    </row>
    <row r="63" spans="2:6">
      <c r="B63" s="204" t="s">
        <v>332</v>
      </c>
      <c r="C63" s="89">
        <f>Normalized_FCF!C92</f>
        <v>3.6187563710499485E-3</v>
      </c>
      <c r="E63" s="44" t="s">
        <v>322</v>
      </c>
      <c r="F63" s="258">
        <f>Normalized_FCF!C90</f>
        <v>6.8902478754484062E-2</v>
      </c>
    </row>
    <row r="65" spans="1:6">
      <c r="B65" s="192" t="s">
        <v>325</v>
      </c>
      <c r="C65" s="264" t="s">
        <v>327</v>
      </c>
      <c r="D65" s="264" t="s">
        <v>328</v>
      </c>
    </row>
    <row r="66" spans="1:6">
      <c r="B66" s="44" t="s">
        <v>326</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-316</v>
      </c>
      <c r="D78" s="1" t="str">
        <f>Reporting_currency</f>
        <v>CNY</v>
      </c>
    </row>
    <row r="79" spans="1:6">
      <c r="A79" s="191"/>
      <c r="B79" s="44" t="s">
        <v>234</v>
      </c>
      <c r="C79" s="201">
        <f>C78*scaling_factor*Exchange_Rate/Common_Shares</f>
        <v>-0.1153399633339606</v>
      </c>
      <c r="D79" s="1" t="str">
        <f>Market_currency</f>
        <v>HKD</v>
      </c>
    </row>
    <row r="80" spans="1:6">
      <c r="A80" s="191"/>
      <c r="B80" s="229" t="s">
        <v>309</v>
      </c>
      <c r="C80" s="337">
        <f>IF(BS!G31/BS!G27&gt;300%,"nm",BS!G31/BS!G27)</f>
        <v>3.8049367850692354E-3</v>
      </c>
    </row>
    <row r="81" spans="1:6">
      <c r="A81" s="191"/>
      <c r="B81" s="229" t="s">
        <v>311</v>
      </c>
      <c r="C81" s="338">
        <f>IF(BS!C50&gt;30,"nm",BS!C50)</f>
        <v>3.432051788351935E-2</v>
      </c>
    </row>
    <row r="82" spans="1:6">
      <c r="A82" s="191"/>
    </row>
    <row r="83" spans="1:6">
      <c r="A83" s="191"/>
      <c r="B83" s="1" t="s">
        <v>466</v>
      </c>
    </row>
    <row r="84" spans="1:6">
      <c r="A84" s="191"/>
      <c r="B84" s="1" t="s">
        <v>224</v>
      </c>
      <c r="C84" s="285">
        <f>DCF!F5</f>
        <v>25989.935070518506</v>
      </c>
      <c r="D84" s="1" t="str">
        <f>Reporting_currency</f>
        <v>CNY</v>
      </c>
    </row>
    <row r="85" spans="1:6">
      <c r="A85" s="191"/>
      <c r="B85" s="229" t="s">
        <v>222</v>
      </c>
      <c r="C85" s="291">
        <f>BS!C66</f>
        <v>38058</v>
      </c>
      <c r="D85" s="339" t="str">
        <f>Reporting_currency</f>
        <v>CNY</v>
      </c>
    </row>
    <row r="86" spans="1:6">
      <c r="A86" s="191"/>
      <c r="B86" s="44" t="s">
        <v>235</v>
      </c>
      <c r="C86" s="201">
        <f>C84*scaling_factor*Exchange_Rate/Common_Shares</f>
        <v>9.4863232850810792</v>
      </c>
      <c r="D86" s="1" t="str">
        <f>Market_currency</f>
        <v>HKD</v>
      </c>
    </row>
    <row r="87" spans="1:6">
      <c r="A87" s="191"/>
    </row>
    <row r="88" spans="1:6">
      <c r="A88" s="191"/>
      <c r="B88" s="1" t="s">
        <v>216</v>
      </c>
    </row>
    <row r="89" spans="1:6">
      <c r="A89" s="191"/>
      <c r="B89" s="1" t="s">
        <v>217</v>
      </c>
      <c r="C89" s="285">
        <f>DCF!F6</f>
        <v>16734</v>
      </c>
      <c r="D89" s="1" t="str">
        <f>Reporting_currency</f>
        <v>CNY</v>
      </c>
    </row>
    <row r="90" spans="1:6">
      <c r="A90" s="191"/>
      <c r="B90" s="44" t="s">
        <v>236</v>
      </c>
      <c r="C90" s="201">
        <f>C89*scaling_factor*Exchange_Rate/Common_Shares</f>
        <v>6.1079080583243561</v>
      </c>
      <c r="D90" s="1" t="str">
        <f>Market_currency</f>
        <v>HKD</v>
      </c>
    </row>
    <row r="91" spans="1:6">
      <c r="A91" s="191"/>
    </row>
    <row r="92" spans="1:6">
      <c r="A92" s="191"/>
      <c r="B92" s="44" t="s">
        <v>469</v>
      </c>
      <c r="C92" s="216">
        <f>DCF!F8</f>
        <v>15.478891380071477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11.413144871814177</v>
      </c>
      <c r="D111" s="1" t="str">
        <f>Market_currency</f>
        <v>HKD</v>
      </c>
    </row>
    <row r="112" spans="2:6">
      <c r="B112" s="44" t="s">
        <v>323</v>
      </c>
      <c r="C112" s="216">
        <f>DCF!C11</f>
        <v>60.912831083425452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0.12</v>
      </c>
      <c r="D118" s="207" t="str">
        <f>ROUND(DCF!E90,2)&amp;" "&amp;Market_currency</f>
        <v>87.94 HKD</v>
      </c>
      <c r="E118" s="208">
        <f>DCF!F90</f>
        <v>0.15</v>
      </c>
      <c r="F118" s="208">
        <f>RATE(Holding_Period,Scenarios!C$58,-DCF!E90,C$18)</f>
        <v>-6.8678134846943142E-2</v>
      </c>
    </row>
    <row r="119" spans="2:6">
      <c r="B119" s="205" t="str">
        <f>DCF!B91&amp;" ("&amp;DCF!D91&amp;"yrs)"</f>
        <v>Optimistic (10yrs)</v>
      </c>
      <c r="C119" s="198">
        <f>DCF!C91</f>
        <v>0.11</v>
      </c>
      <c r="D119" s="207" t="str">
        <f>ROUND(DCF!E91,2)&amp;" "&amp;Market_currency</f>
        <v>82.67 HKD</v>
      </c>
      <c r="E119" s="199">
        <f>DCF!F91</f>
        <v>0.15999999999999995</v>
      </c>
      <c r="F119" s="208">
        <f>RATE(Holding_Period,Scenarios!C$58,-DCF!E91,C$18)</f>
        <v>-4.9230468332552721E-2</v>
      </c>
    </row>
    <row r="120" spans="2:6">
      <c r="B120" s="205" t="str">
        <f>DCF!B92&amp;" ("&amp;DCF!D92&amp;"yrs)"</f>
        <v>Base (10yrs)</v>
      </c>
      <c r="C120" s="198">
        <f>DCF!C92</f>
        <v>0.08</v>
      </c>
      <c r="D120" s="207" t="str">
        <f>ROUND(DCF!E92,2)&amp;" "&amp;Market_currency</f>
        <v>69.01 HKD</v>
      </c>
      <c r="E120" s="199">
        <f>DCF!F92</f>
        <v>0.44</v>
      </c>
      <c r="F120" s="208">
        <f>RATE(Holding_Period,Scenarios!C$58,-DCF!E92,C$18)</f>
        <v>9.8843575792919528E-3</v>
      </c>
    </row>
    <row r="121" spans="2:6">
      <c r="B121" s="205" t="str">
        <f>DCF!B93&amp;" ("&amp;DCF!D93&amp;"yrs)"</f>
        <v>Pessimistic (10yrs)</v>
      </c>
      <c r="C121" s="198">
        <f>DCF!C93</f>
        <v>0.05</v>
      </c>
      <c r="D121" s="207" t="str">
        <f>ROUND(DCF!E93,2)&amp;" "&amp;Market_currency</f>
        <v>58.12 HKD</v>
      </c>
      <c r="E121" s="199">
        <f>DCF!F93</f>
        <v>0.19999999999999998</v>
      </c>
      <c r="F121" s="208">
        <f>RATE(Holding_Period,Scenarios!C$58,-DCF!E93,C$18)</f>
        <v>6.9480577660854359E-2</v>
      </c>
    </row>
    <row r="122" spans="2:6">
      <c r="B122" s="205" t="str">
        <f>DCF!B94&amp;" ("&amp;DCF!D94&amp;"yrs)"</f>
        <v>Devil's advocate (10yrs)</v>
      </c>
      <c r="C122" s="198">
        <f>DCF!C94</f>
        <v>0</v>
      </c>
      <c r="D122" s="207" t="str">
        <f>ROUND(DCF!E94,2)&amp;" "&amp;Market_currency</f>
        <v>44.75 HKD</v>
      </c>
      <c r="E122" s="199">
        <f>DCF!F94</f>
        <v>0.05</v>
      </c>
      <c r="F122" s="208">
        <f>RATE(Holding_Period,Scenarios!C$58,-DCF!E94,C$18)</f>
        <v>0.1671532834959375</v>
      </c>
    </row>
    <row r="124" spans="2:6">
      <c r="B124" s="463" t="s">
        <v>357</v>
      </c>
      <c r="C124" s="463"/>
      <c r="D124" s="463"/>
      <c r="E124" s="463"/>
      <c r="F124" s="463"/>
    </row>
    <row r="125" spans="2:6">
      <c r="B125" s="193" t="s">
        <v>218</v>
      </c>
      <c r="C125" s="197">
        <f>Scenarios!C36</f>
        <v>70.643456650644055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32.15450917189078</v>
      </c>
      <c r="E140" s="334">
        <f>Scenarios!E62</f>
        <v>32.412397201021413</v>
      </c>
      <c r="F140" s="335">
        <f>E22</f>
        <v>0.3</v>
      </c>
    </row>
    <row r="141" spans="1:6">
      <c r="B141" s="336" t="s">
        <v>313</v>
      </c>
      <c r="C141" s="333">
        <f>Scenarios!C63</f>
        <v>0.29912037037037031</v>
      </c>
      <c r="D141" s="333">
        <f>Scenarios!D63</f>
        <v>40.881630006159753</v>
      </c>
      <c r="E141" s="334">
        <f>Scenarios!E63</f>
        <v>41.180750376530121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50.634431752839802</v>
      </c>
      <c r="E144" s="334">
        <f>Scenarios!E66</f>
        <v>50.977021396723089</v>
      </c>
      <c r="F144" s="335">
        <f>E24</f>
        <v>0.1174</v>
      </c>
    </row>
    <row r="145" spans="1:6">
      <c r="B145" s="336" t="s">
        <v>314</v>
      </c>
      <c r="C145" s="333">
        <f>Scenarios!C67</f>
        <v>0.37095728225856828</v>
      </c>
      <c r="D145" s="333">
        <f>Scenarios!D67</f>
        <v>57.263783482233087</v>
      </c>
      <c r="E145" s="334">
        <f>Scenarios!E67</f>
        <v>57.634740764491653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9" sqref="D1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40</v>
      </c>
      <c r="C5" s="287">
        <v>18367</v>
      </c>
      <c r="D5" s="287">
        <v>16376</v>
      </c>
      <c r="E5" s="287">
        <v>17957</v>
      </c>
      <c r="F5" s="287">
        <v>19566</v>
      </c>
      <c r="G5" s="287">
        <v>21840</v>
      </c>
      <c r="H5" s="287">
        <v>19851</v>
      </c>
      <c r="I5" s="287">
        <v>16761</v>
      </c>
      <c r="J5" s="287"/>
      <c r="K5" s="287"/>
      <c r="L5" s="287"/>
      <c r="M5" s="287"/>
    </row>
    <row r="6" spans="2:13">
      <c r="B6" s="38" t="s">
        <v>51</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58</v>
      </c>
      <c r="C7" s="288">
        <v>941</v>
      </c>
      <c r="D7" s="288">
        <v>865</v>
      </c>
      <c r="E7" s="288">
        <v>897</v>
      </c>
      <c r="F7" s="288">
        <v>1144</v>
      </c>
      <c r="G7" s="288">
        <v>2678</v>
      </c>
      <c r="H7" s="288">
        <v>2475</v>
      </c>
      <c r="I7" s="288">
        <v>2041</v>
      </c>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129</v>
      </c>
      <c r="D12" s="287">
        <v>94</v>
      </c>
      <c r="E12" s="287">
        <v>141</v>
      </c>
      <c r="F12" s="287">
        <v>108</v>
      </c>
      <c r="G12" s="287">
        <v>121</v>
      </c>
      <c r="H12" s="287">
        <v>97</v>
      </c>
      <c r="I12" s="287">
        <v>64</v>
      </c>
      <c r="J12" s="287"/>
      <c r="K12" s="287"/>
      <c r="L12" s="287"/>
      <c r="M12" s="287"/>
    </row>
    <row r="13" spans="2:13">
      <c r="B13" s="38" t="s">
        <v>64</v>
      </c>
      <c r="C13" s="287">
        <v>1054</v>
      </c>
      <c r="D13" s="287">
        <v>1196</v>
      </c>
      <c r="E13" s="287">
        <v>1052</v>
      </c>
      <c r="F13" s="287">
        <v>711</v>
      </c>
      <c r="G13" s="287">
        <v>530</v>
      </c>
      <c r="H13" s="287">
        <v>622</v>
      </c>
      <c r="I13" s="287">
        <v>615</v>
      </c>
      <c r="J13" s="287"/>
      <c r="K13" s="287"/>
      <c r="L13" s="287"/>
      <c r="M13" s="287"/>
    </row>
    <row r="14" spans="2:13">
      <c r="B14" s="38" t="s">
        <v>47</v>
      </c>
      <c r="C14" s="287">
        <v>1924</v>
      </c>
      <c r="D14" s="287">
        <v>1603</v>
      </c>
      <c r="E14" s="287">
        <v>825</v>
      </c>
      <c r="F14" s="287">
        <v>534</v>
      </c>
      <c r="G14" s="287">
        <v>417</v>
      </c>
      <c r="H14" s="287">
        <v>637</v>
      </c>
      <c r="I14" s="287">
        <v>564</v>
      </c>
      <c r="J14" s="287"/>
      <c r="K14" s="287"/>
      <c r="L14" s="287"/>
      <c r="M14" s="287"/>
    </row>
    <row r="15" spans="2:13">
      <c r="B15" s="41" t="s">
        <v>39</v>
      </c>
      <c r="C15" s="289">
        <v>11353</v>
      </c>
      <c r="D15" s="289">
        <v>7109</v>
      </c>
      <c r="E15" s="289">
        <v>5220</v>
      </c>
      <c r="F15" s="289">
        <v>3839</v>
      </c>
      <c r="G15" s="289">
        <v>3215</v>
      </c>
      <c r="H15" s="289">
        <v>4176</v>
      </c>
      <c r="I15" s="289">
        <v>3977</v>
      </c>
      <c r="J15" s="289"/>
      <c r="K15" s="289"/>
      <c r="L15" s="289"/>
      <c r="M15" s="289"/>
    </row>
    <row r="16" spans="2:13">
      <c r="B16" s="27" t="s">
        <v>41</v>
      </c>
      <c r="C16" s="287">
        <v>297</v>
      </c>
      <c r="D16" s="287">
        <v>465</v>
      </c>
      <c r="E16" s="287">
        <v>300</v>
      </c>
      <c r="F16" s="287">
        <v>162</v>
      </c>
      <c r="G16" s="287">
        <v>186</v>
      </c>
      <c r="H16" s="287">
        <v>21</v>
      </c>
      <c r="I16" s="287">
        <v>5</v>
      </c>
      <c r="J16" s="287"/>
      <c r="K16" s="287"/>
      <c r="L16" s="287"/>
      <c r="M16" s="287"/>
    </row>
    <row r="18" spans="2:13">
      <c r="B18" s="16" t="s">
        <v>48</v>
      </c>
      <c r="C18" s="9"/>
    </row>
    <row r="19" spans="2:13">
      <c r="B19" s="26" t="s">
        <v>44</v>
      </c>
      <c r="C19" s="287"/>
      <c r="D19" s="287"/>
      <c r="E19" s="287">
        <v>1004</v>
      </c>
      <c r="F19" s="287">
        <v>1160</v>
      </c>
      <c r="G19" s="287">
        <v>1001</v>
      </c>
      <c r="H19" s="287">
        <v>824</v>
      </c>
      <c r="I19" s="287">
        <v>583</v>
      </c>
      <c r="J19" s="287"/>
      <c r="K19" s="287"/>
      <c r="L19" s="287"/>
      <c r="M19" s="287"/>
    </row>
    <row r="20" spans="2:13">
      <c r="B20" s="26" t="s">
        <v>50</v>
      </c>
      <c r="C20" s="287"/>
      <c r="D20" s="287"/>
      <c r="E20" s="287">
        <v>1164</v>
      </c>
      <c r="F20" s="287">
        <v>1053</v>
      </c>
      <c r="G20" s="287">
        <v>2758</v>
      </c>
      <c r="H20" s="287">
        <v>501</v>
      </c>
      <c r="I20" s="287">
        <v>286</v>
      </c>
      <c r="J20" s="287"/>
      <c r="K20" s="287"/>
      <c r="L20" s="287"/>
      <c r="M20" s="287"/>
    </row>
    <row r="21" spans="2:13">
      <c r="B21" s="26" t="s">
        <v>49</v>
      </c>
      <c r="C21" s="287"/>
      <c r="D21" s="287"/>
      <c r="E21" s="287">
        <v>-786</v>
      </c>
      <c r="F21" s="287">
        <v>-875</v>
      </c>
      <c r="G21" s="287">
        <v>-579</v>
      </c>
      <c r="H21" s="287">
        <v>505</v>
      </c>
      <c r="I21" s="287">
        <v>-1148</v>
      </c>
      <c r="J21" s="287"/>
      <c r="K21" s="287"/>
      <c r="L21" s="287"/>
      <c r="M21" s="287"/>
    </row>
    <row r="22" spans="2:13">
      <c r="B22" s="26" t="s">
        <v>286</v>
      </c>
      <c r="C22" s="287">
        <v>10231</v>
      </c>
      <c r="D22" s="287">
        <v>10275</v>
      </c>
      <c r="E22" s="287">
        <v>7337</v>
      </c>
      <c r="F22" s="287">
        <v>7481</v>
      </c>
      <c r="G22" s="287">
        <v>5239</v>
      </c>
      <c r="H22" s="287">
        <v>4885</v>
      </c>
      <c r="I22" s="287">
        <v>6200</v>
      </c>
      <c r="J22" s="287"/>
      <c r="K22" s="287"/>
      <c r="L22" s="287"/>
      <c r="M22" s="287"/>
    </row>
    <row r="23" spans="2:13">
      <c r="B23" s="26" t="s">
        <v>288</v>
      </c>
      <c r="C23" s="287">
        <v>-10227</v>
      </c>
      <c r="D23" s="287">
        <v>-6818</v>
      </c>
      <c r="E23" s="287">
        <v>-1863</v>
      </c>
      <c r="F23" s="287">
        <v>-1446</v>
      </c>
      <c r="G23" s="287">
        <v>-5999</v>
      </c>
      <c r="H23" s="287">
        <v>-14206</v>
      </c>
      <c r="I23" s="287">
        <v>-8102</v>
      </c>
      <c r="J23" s="287"/>
      <c r="K23" s="287"/>
      <c r="L23" s="287"/>
      <c r="M23" s="287"/>
    </row>
    <row r="24" spans="2:13">
      <c r="B24" s="26" t="s">
        <v>287</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26</v>
      </c>
      <c r="C27" s="94" t="s">
        <v>547</v>
      </c>
    </row>
    <row r="28" spans="2:13">
      <c r="B28" s="25" t="s">
        <v>22</v>
      </c>
      <c r="C28" s="270">
        <f>BS!C4</f>
        <v>3903</v>
      </c>
      <c r="D28" s="287">
        <v>3508</v>
      </c>
      <c r="E28" s="287">
        <v>2918</v>
      </c>
      <c r="F28" s="287">
        <v>2670</v>
      </c>
      <c r="G28" s="287">
        <v>3610</v>
      </c>
      <c r="H28" s="287">
        <v>2800</v>
      </c>
      <c r="I28" s="287">
        <v>2198</v>
      </c>
      <c r="J28" s="287"/>
      <c r="K28" s="287"/>
      <c r="L28" s="287"/>
      <c r="M28" s="287"/>
    </row>
    <row r="29" spans="2:13">
      <c r="B29" s="25" t="s">
        <v>30</v>
      </c>
      <c r="C29" s="270">
        <f>BS!C6</f>
        <v>41</v>
      </c>
      <c r="D29" s="287">
        <v>2</v>
      </c>
      <c r="E29" s="287">
        <v>8</v>
      </c>
      <c r="F29" s="287">
        <v>8</v>
      </c>
      <c r="G29" s="287">
        <v>24</v>
      </c>
      <c r="H29" s="287">
        <v>18</v>
      </c>
      <c r="I29" s="287">
        <v>26</v>
      </c>
      <c r="J29" s="287"/>
      <c r="K29" s="287"/>
      <c r="L29" s="287"/>
      <c r="M29" s="287"/>
    </row>
    <row r="30" spans="2:13">
      <c r="B30" s="28" t="s">
        <v>38</v>
      </c>
      <c r="C30" s="271">
        <f>BS!C33+BS!C42</f>
        <v>19472</v>
      </c>
      <c r="D30" s="289">
        <v>20718</v>
      </c>
      <c r="E30" s="289">
        <v>18334</v>
      </c>
      <c r="F30" s="289">
        <v>17882</v>
      </c>
      <c r="G30" s="289">
        <v>16199</v>
      </c>
      <c r="H30" s="289">
        <v>15542</v>
      </c>
      <c r="I30" s="289">
        <v>9000</v>
      </c>
      <c r="J30" s="289"/>
      <c r="K30" s="289"/>
      <c r="L30" s="289"/>
      <c r="M30" s="289"/>
    </row>
    <row r="31" spans="2:13">
      <c r="B31" s="28" t="s">
        <v>28</v>
      </c>
      <c r="C31" s="271">
        <f>BS!G27</f>
        <v>83050</v>
      </c>
      <c r="D31" s="289">
        <v>69726</v>
      </c>
      <c r="E31" s="289">
        <v>57202</v>
      </c>
      <c r="F31" s="289">
        <v>49127</v>
      </c>
      <c r="G31" s="289">
        <v>51055</v>
      </c>
      <c r="H31" s="289">
        <v>52731</v>
      </c>
      <c r="I31" s="289">
        <v>43678</v>
      </c>
      <c r="J31" s="289"/>
      <c r="K31" s="289"/>
      <c r="L31" s="289"/>
      <c r="M31" s="289"/>
    </row>
    <row r="32" spans="2:13">
      <c r="B32" s="25" t="s">
        <v>143</v>
      </c>
      <c r="C32" s="270">
        <f>BS!G28</f>
        <v>2763</v>
      </c>
      <c r="D32" s="287">
        <v>1863</v>
      </c>
      <c r="E32" s="287">
        <v>1295</v>
      </c>
      <c r="F32" s="287">
        <v>1028</v>
      </c>
      <c r="G32" s="287">
        <v>738</v>
      </c>
      <c r="H32" s="287">
        <v>486</v>
      </c>
      <c r="I32" s="287">
        <v>88</v>
      </c>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40</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55</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58</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61</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127</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139</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65</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47</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39</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41</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65</v>
      </c>
    </row>
    <row r="51" spans="2:13">
      <c r="B51" s="38" t="s">
        <v>37</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64</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135</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-1004</v>
      </c>
      <c r="F61" s="270">
        <f t="shared" si="29"/>
        <v>-1160</v>
      </c>
      <c r="G61" s="270">
        <f t="shared" si="29"/>
        <v>-1001</v>
      </c>
      <c r="H61" s="270">
        <f t="shared" si="29"/>
        <v>-824</v>
      </c>
      <c r="I61" s="270">
        <f t="shared" si="29"/>
        <v>-583</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-1164</v>
      </c>
      <c r="F62" s="270">
        <f t="shared" si="30"/>
        <v>-1053</v>
      </c>
      <c r="G62" s="270">
        <f t="shared" si="30"/>
        <v>-2758</v>
      </c>
      <c r="H62" s="270">
        <f t="shared" si="30"/>
        <v>-501</v>
      </c>
      <c r="I62" s="270">
        <f t="shared" si="30"/>
        <v>-286</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786</v>
      </c>
      <c r="F63" s="270">
        <f t="shared" si="31"/>
        <v>875</v>
      </c>
      <c r="G63" s="270">
        <f t="shared" si="31"/>
        <v>579</v>
      </c>
      <c r="H63" s="270">
        <f t="shared" si="31"/>
        <v>-505</v>
      </c>
      <c r="I63" s="270">
        <f t="shared" si="31"/>
        <v>1148</v>
      </c>
      <c r="J63" s="270" t="str">
        <f t="shared" si="31"/>
        <v/>
      </c>
      <c r="K63" s="270" t="str">
        <f t="shared" si="31"/>
        <v/>
      </c>
      <c r="L63" s="270" t="str">
        <f t="shared" si="31"/>
        <v/>
      </c>
      <c r="M63" s="270" t="str">
        <f t="shared" si="31"/>
        <v/>
      </c>
    </row>
    <row r="64" spans="2:13">
      <c r="B64" s="26" t="s">
        <v>305</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34</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55</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139</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82</v>
      </c>
      <c r="C77" s="260">
        <f t="shared" ref="C77:H78" si="40">IF(C$4="","",C28)</f>
        <v>3903</v>
      </c>
      <c r="D77" s="282">
        <f t="shared" si="40"/>
        <v>3508</v>
      </c>
      <c r="E77" s="282">
        <f t="shared" si="40"/>
        <v>2918</v>
      </c>
      <c r="F77" s="282">
        <f t="shared" si="40"/>
        <v>2670</v>
      </c>
      <c r="G77" s="282">
        <f t="shared" si="40"/>
        <v>3610</v>
      </c>
      <c r="H77" s="282">
        <f t="shared" si="40"/>
        <v>2800</v>
      </c>
      <c r="I77" s="291"/>
      <c r="J77" s="291"/>
      <c r="K77" s="291"/>
      <c r="L77" s="291"/>
      <c r="M77" s="291"/>
    </row>
    <row r="78" spans="2:13">
      <c r="B78" s="90" t="s">
        <v>83</v>
      </c>
      <c r="C78" s="260">
        <f t="shared" si="40"/>
        <v>41</v>
      </c>
      <c r="D78" s="282">
        <f t="shared" si="40"/>
        <v>2</v>
      </c>
      <c r="E78" s="282">
        <f t="shared" si="40"/>
        <v>8</v>
      </c>
      <c r="F78" s="282">
        <f t="shared" si="40"/>
        <v>8</v>
      </c>
      <c r="G78" s="282">
        <f t="shared" si="40"/>
        <v>24</v>
      </c>
      <c r="H78" s="282">
        <f t="shared" si="40"/>
        <v>18</v>
      </c>
      <c r="I78" s="291"/>
      <c r="J78" s="291"/>
      <c r="K78" s="291"/>
      <c r="L78" s="291"/>
      <c r="M78" s="291"/>
    </row>
    <row r="79" spans="2:13">
      <c r="B79" s="25" t="s">
        <v>38</v>
      </c>
      <c r="C79" s="259">
        <f t="shared" ref="C79:M79" si="41">IF(C$4="","",C30)</f>
        <v>19472</v>
      </c>
      <c r="D79" s="270">
        <f t="shared" si="41"/>
        <v>20718</v>
      </c>
      <c r="E79" s="270">
        <f t="shared" si="41"/>
        <v>18334</v>
      </c>
      <c r="F79" s="270">
        <f t="shared" si="41"/>
        <v>17882</v>
      </c>
      <c r="G79" s="270">
        <f t="shared" si="41"/>
        <v>16199</v>
      </c>
      <c r="H79" s="270">
        <f t="shared" si="41"/>
        <v>15542</v>
      </c>
      <c r="I79" s="270">
        <f t="shared" si="41"/>
        <v>9000</v>
      </c>
      <c r="J79" s="270" t="str">
        <f t="shared" si="41"/>
        <v/>
      </c>
      <c r="K79" s="270" t="str">
        <f t="shared" si="41"/>
        <v/>
      </c>
      <c r="L79" s="270" t="str">
        <f t="shared" si="41"/>
        <v/>
      </c>
      <c r="M79" s="270" t="str">
        <f t="shared" si="41"/>
        <v/>
      </c>
    </row>
    <row r="80" spans="2:13">
      <c r="B80" s="25" t="s">
        <v>28</v>
      </c>
      <c r="C80" s="259">
        <f t="shared" ref="C80:M80" si="42">IF(C$4="","",C31)</f>
        <v>83050</v>
      </c>
      <c r="D80" s="270">
        <f t="shared" si="42"/>
        <v>69726</v>
      </c>
      <c r="E80" s="270">
        <f t="shared" si="42"/>
        <v>57202</v>
      </c>
      <c r="F80" s="270">
        <f t="shared" si="42"/>
        <v>49127</v>
      </c>
      <c r="G80" s="270">
        <f t="shared" si="42"/>
        <v>51055</v>
      </c>
      <c r="H80" s="270">
        <f t="shared" si="42"/>
        <v>52731</v>
      </c>
      <c r="I80" s="270">
        <f t="shared" si="42"/>
        <v>43678</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19" sqref="C1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3903</v>
      </c>
      <c r="D4" s="231">
        <v>0.6</v>
      </c>
      <c r="E4" s="24"/>
      <c r="F4" s="4" t="s">
        <v>74</v>
      </c>
      <c r="G4" s="18">
        <f>15763+8470</f>
        <v>24233</v>
      </c>
      <c r="H4" s="231">
        <v>0.9</v>
      </c>
    </row>
    <row r="5" spans="2:8" ht="15" customHeight="1">
      <c r="B5" s="1" t="s">
        <v>31</v>
      </c>
      <c r="C5" s="18">
        <v>0</v>
      </c>
      <c r="D5" s="231">
        <v>0.6</v>
      </c>
      <c r="E5" s="24"/>
      <c r="F5" s="1" t="s">
        <v>27</v>
      </c>
      <c r="G5" s="18">
        <v>15</v>
      </c>
      <c r="H5" s="231">
        <v>0.7</v>
      </c>
    </row>
    <row r="6" spans="2:8" ht="15" customHeight="1">
      <c r="B6" s="4" t="s">
        <v>8</v>
      </c>
      <c r="C6" s="18">
        <v>41</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4183</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83</v>
      </c>
      <c r="D11" s="231">
        <v>0.05</v>
      </c>
      <c r="H11" s="232"/>
    </row>
    <row r="12" spans="2:8" ht="15" customHeight="1">
      <c r="B12" s="77" t="s">
        <v>69</v>
      </c>
      <c r="C12" s="78">
        <f>SUM(C4:C11)</f>
        <v>8210</v>
      </c>
      <c r="D12" s="19">
        <f>C4*D4+C5*D5+C9*D9+C6*D6+C8*D8+C7*D7+C10*D10+C11*D11</f>
        <v>2784.75</v>
      </c>
      <c r="F12" s="77" t="s">
        <v>67</v>
      </c>
      <c r="G12" s="78">
        <f>SUM(G4:G10)</f>
        <v>24248</v>
      </c>
      <c r="H12" s="19">
        <f>G4*H4+G5*H5+G6*H6+G7*H7+G8*H8+G9*H9+G10*H10</f>
        <v>21820.2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365</v>
      </c>
      <c r="D15" s="231">
        <v>0.4</v>
      </c>
      <c r="F15" s="4" t="s">
        <v>75</v>
      </c>
      <c r="G15" s="18">
        <v>13810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1659+26231</f>
        <v>27890</v>
      </c>
      <c r="H17" s="231">
        <v>0.6</v>
      </c>
    </row>
    <row r="18" spans="2:8" ht="15" customHeight="1">
      <c r="B18" s="4" t="s">
        <v>144</v>
      </c>
      <c r="C18" s="18">
        <v>0</v>
      </c>
      <c r="D18" s="231">
        <v>0.6</v>
      </c>
      <c r="F18" s="4" t="s">
        <v>151</v>
      </c>
      <c r="G18" s="18">
        <v>0</v>
      </c>
      <c r="H18" s="231">
        <v>0.1</v>
      </c>
    </row>
    <row r="19" spans="2:8" ht="15" customHeight="1">
      <c r="B19" s="4" t="s">
        <v>24</v>
      </c>
      <c r="C19" s="18">
        <f>1201+2290+287</f>
        <v>3778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2899</v>
      </c>
      <c r="D21" s="231">
        <v>0.05</v>
      </c>
      <c r="F21" s="1" t="s">
        <v>150</v>
      </c>
      <c r="G21" s="18">
        <v>0</v>
      </c>
      <c r="H21" s="231">
        <v>0.1</v>
      </c>
    </row>
    <row r="22" spans="2:8" ht="15" customHeight="1">
      <c r="B22" s="4" t="s">
        <v>18</v>
      </c>
      <c r="C22" s="18">
        <v>498</v>
      </c>
      <c r="D22" s="231">
        <v>0.9</v>
      </c>
      <c r="H22" s="232"/>
    </row>
    <row r="23" spans="2:8" ht="15" customHeight="1">
      <c r="B23" s="4" t="s">
        <v>19</v>
      </c>
      <c r="C23" s="18">
        <f>20521+303</f>
        <v>20824</v>
      </c>
      <c r="D23" s="231">
        <v>0</v>
      </c>
      <c r="H23" s="232"/>
    </row>
    <row r="24" spans="2:8" ht="15" customHeight="1">
      <c r="B24" s="77" t="s">
        <v>70</v>
      </c>
      <c r="C24" s="78">
        <f>SUM(C15:C23)</f>
        <v>28364</v>
      </c>
      <c r="D24" s="19">
        <f>C15*D15+C16*D16+C18*D18+C17*D17+C19*D19+C20*D20+C21*D21+C22*D22+C23*D23</f>
        <v>1116.95</v>
      </c>
      <c r="F24" s="77" t="s">
        <v>68</v>
      </c>
      <c r="G24" s="78">
        <f>SUM(G15:G21)</f>
        <v>41700</v>
      </c>
      <c r="H24" s="19">
        <f>G15*H15+G16*H16+G17*H17+G18*H18+G19*H19+G20*H20+G21*H21</f>
        <v>27782</v>
      </c>
    </row>
    <row r="26" spans="2:8" ht="15" customHeight="1">
      <c r="B26" s="16" t="s">
        <v>169</v>
      </c>
      <c r="C26" s="164" t="s">
        <v>113</v>
      </c>
      <c r="F26" s="166" t="s">
        <v>165</v>
      </c>
      <c r="G26" s="167" t="s">
        <v>113</v>
      </c>
      <c r="H26" s="168" t="s">
        <v>33</v>
      </c>
    </row>
    <row r="27" spans="2:8" ht="15" customHeight="1">
      <c r="B27" s="4" t="s">
        <v>3</v>
      </c>
      <c r="C27" s="18">
        <v>0</v>
      </c>
      <c r="F27" s="169" t="s">
        <v>28</v>
      </c>
      <c r="G27" s="82">
        <f>G32-G30</f>
        <v>83050</v>
      </c>
      <c r="H27" s="170">
        <f>H32-G30</f>
        <v>34031.899999999994</v>
      </c>
    </row>
    <row r="28" spans="2:8" ht="15" customHeight="1">
      <c r="B28" s="4" t="s">
        <v>4</v>
      </c>
      <c r="C28" s="18">
        <v>116</v>
      </c>
      <c r="F28" s="171" t="s">
        <v>209</v>
      </c>
      <c r="G28" s="287">
        <v>2763</v>
      </c>
      <c r="H28" s="170"/>
    </row>
    <row r="29" spans="2:8" ht="15" customHeight="1">
      <c r="B29" s="4" t="s">
        <v>5</v>
      </c>
      <c r="C29" s="18">
        <v>0</v>
      </c>
      <c r="F29" s="172" t="s">
        <v>72</v>
      </c>
      <c r="G29" s="14">
        <f>G27-G28</f>
        <v>80287</v>
      </c>
      <c r="H29" s="170">
        <f>H27-G28</f>
        <v>31268.899999999994</v>
      </c>
    </row>
    <row r="30" spans="2:8" ht="15" customHeight="1">
      <c r="B30" s="2" t="s">
        <v>6</v>
      </c>
      <c r="C30" s="18">
        <v>0</v>
      </c>
      <c r="F30" s="169" t="s">
        <v>21</v>
      </c>
      <c r="G30" s="82">
        <f>C33+C42</f>
        <v>19472</v>
      </c>
      <c r="H30" s="170"/>
    </row>
    <row r="31" spans="2:8" ht="15" customHeight="1">
      <c r="B31" s="77" t="s">
        <v>172</v>
      </c>
      <c r="C31" s="78">
        <f>SUM(C27:C30)</f>
        <v>116</v>
      </c>
      <c r="F31" s="172" t="s">
        <v>73</v>
      </c>
      <c r="G31" s="173">
        <f>C31+C40</f>
        <v>316</v>
      </c>
      <c r="H31" s="170"/>
    </row>
    <row r="32" spans="2:8" ht="15" customHeight="1">
      <c r="B32" s="4" t="s">
        <v>7</v>
      </c>
      <c r="C32" s="20">
        <f>C33-C31</f>
        <v>14473</v>
      </c>
      <c r="F32" s="174" t="s">
        <v>71</v>
      </c>
      <c r="G32" s="175">
        <f>G35+G40</f>
        <v>102522</v>
      </c>
      <c r="H32" s="170">
        <f>H35+H40</f>
        <v>53503.899999999994</v>
      </c>
    </row>
    <row r="33" spans="2:8" ht="15" customHeight="1">
      <c r="B33" s="80" t="s">
        <v>2</v>
      </c>
      <c r="C33" s="81">
        <v>14589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36574</v>
      </c>
      <c r="H35" s="182">
        <f>D12+D24</f>
        <v>3901.7</v>
      </c>
    </row>
    <row r="36" spans="2:8" ht="15" customHeight="1">
      <c r="B36" s="4" t="s">
        <v>11</v>
      </c>
      <c r="C36" s="18">
        <v>0</v>
      </c>
      <c r="F36" s="172" t="s">
        <v>166</v>
      </c>
      <c r="G36" s="173">
        <f>C4+C15</f>
        <v>4268</v>
      </c>
      <c r="H36" s="177"/>
    </row>
    <row r="37" spans="2:8" ht="15" customHeight="1">
      <c r="B37" s="4" t="s">
        <v>12</v>
      </c>
      <c r="C37" s="18">
        <v>200</v>
      </c>
      <c r="F37" s="172" t="s">
        <v>167</v>
      </c>
      <c r="G37" s="173">
        <f>C6</f>
        <v>41</v>
      </c>
      <c r="H37" s="177"/>
    </row>
    <row r="38" spans="2:8" ht="15" customHeight="1">
      <c r="B38" s="4" t="s">
        <v>13</v>
      </c>
      <c r="C38" s="18">
        <v>0</v>
      </c>
      <c r="F38" s="172" t="s">
        <v>168</v>
      </c>
      <c r="G38" s="173">
        <f>C7+C17</f>
        <v>0</v>
      </c>
      <c r="H38" s="177"/>
    </row>
    <row r="39" spans="2:8" ht="15" customHeight="1">
      <c r="B39" s="2" t="s">
        <v>14</v>
      </c>
      <c r="C39" s="18">
        <v>0</v>
      </c>
      <c r="F39" s="172" t="s">
        <v>76</v>
      </c>
      <c r="G39" s="173">
        <f>C7+C17+C19+C20</f>
        <v>3778</v>
      </c>
      <c r="H39" s="170">
        <f>C7*D7+C17*D17+C19*D19+C20*D20</f>
        <v>377.8</v>
      </c>
    </row>
    <row r="40" spans="2:8" ht="15" customHeight="1">
      <c r="B40" s="77" t="s">
        <v>173</v>
      </c>
      <c r="C40" s="78">
        <f>SUM(C36:C39)</f>
        <v>200</v>
      </c>
      <c r="F40" s="181" t="s">
        <v>115</v>
      </c>
      <c r="G40" s="175">
        <f>G12+G24</f>
        <v>65948</v>
      </c>
      <c r="H40" s="182">
        <f>H12+H24</f>
        <v>49602.2</v>
      </c>
    </row>
    <row r="41" spans="2:8" ht="15" customHeight="1">
      <c r="B41" s="4" t="s">
        <v>15</v>
      </c>
      <c r="C41" s="20">
        <f>C42-C40</f>
        <v>4683</v>
      </c>
      <c r="F41" s="172" t="s">
        <v>160</v>
      </c>
      <c r="G41" s="173">
        <f>C70</f>
        <v>38058</v>
      </c>
      <c r="H41" s="182">
        <f>H40-H42</f>
        <v>32868.199999999997</v>
      </c>
    </row>
    <row r="42" spans="2:8" ht="15" customHeight="1">
      <c r="B42" s="80" t="s">
        <v>20</v>
      </c>
      <c r="C42" s="81">
        <v>4883</v>
      </c>
      <c r="F42" s="183" t="s">
        <v>161</v>
      </c>
      <c r="G42" s="184">
        <f>C82</f>
        <v>27890</v>
      </c>
      <c r="H42" s="185">
        <f>D82</f>
        <v>16734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80287</v>
      </c>
      <c r="D46" s="73">
        <f>H29</f>
        <v>31268.899999999994</v>
      </c>
      <c r="F46" s="223"/>
    </row>
    <row r="47" spans="2:8" ht="15" customHeight="1">
      <c r="B47" s="1" t="str">
        <f>"Equity per share ("&amp;Market_currency&amp;")"</f>
        <v>Equity per share (HKD)</v>
      </c>
      <c r="C47" s="134">
        <f>C46*H1/Common_Shares*Exchange_Rate</f>
        <v>29.304745684157261</v>
      </c>
      <c r="D47" s="134">
        <f>D46*H1/Common_Shares*Exchange_Rate</f>
        <v>11.413144871814177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3.432051788351935E-2</v>
      </c>
      <c r="D50" s="92">
        <f>G31/Normalized_FCF!G8</f>
        <v>3.265137425087828E-2</v>
      </c>
      <c r="F50" s="223"/>
    </row>
    <row r="51" spans="2:8" ht="15" customHeight="1">
      <c r="B51" s="1" t="s">
        <v>146</v>
      </c>
      <c r="C51" s="163"/>
      <c r="D51" s="89">
        <f>G29/G32</f>
        <v>0.78311972064532487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0.25174496282640707</v>
      </c>
      <c r="D54" s="89">
        <f>Normalized_FCF!G8/G35</f>
        <v>0.26461420681358344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3.6850627182458399E-2</v>
      </c>
      <c r="F59" s="223"/>
    </row>
    <row r="60" spans="2:8" ht="15" customHeight="1">
      <c r="F60" s="223"/>
    </row>
    <row r="61" spans="2:8" ht="15" customHeight="1">
      <c r="B61" s="143" t="s">
        <v>231</v>
      </c>
      <c r="C61" s="210" t="s">
        <v>114</v>
      </c>
      <c r="D61" s="179" t="s">
        <v>91</v>
      </c>
      <c r="F61" s="223"/>
    </row>
    <row r="62" spans="2:8" ht="15" customHeight="1">
      <c r="B62" s="1" t="s">
        <v>210</v>
      </c>
      <c r="C62" s="89">
        <f>IF(G28&lt;=0,0,G28/G29)</f>
        <v>3.4414039632817271E-2</v>
      </c>
      <c r="D62" s="89">
        <f>G28/G29</f>
        <v>3.4414039632817271E-2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38058</v>
      </c>
      <c r="D66" s="73">
        <f>C66-D75</f>
        <v>25989.935070518506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38058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-1972.1208441146666</v>
      </c>
      <c r="D73" s="285">
        <f>(Normalized_FCF!C26+Normalized_FCF!C35-Normalized_FCF!C89)/12</f>
        <v>-2011.3441549135823</v>
      </c>
      <c r="F73" s="1" t="s">
        <v>278</v>
      </c>
    </row>
    <row r="74" spans="2:6" ht="15" customHeight="1">
      <c r="B74" s="227" t="s">
        <v>259</v>
      </c>
      <c r="C74" s="228">
        <f>-$C$66/C73</f>
        <v>19.298006059605932</v>
      </c>
      <c r="D74" s="228">
        <f>-$C$66/D73</f>
        <v>18.921674794950825</v>
      </c>
      <c r="F74" s="223" t="s">
        <v>257</v>
      </c>
    </row>
    <row r="75" spans="2:6" ht="15" customHeight="1">
      <c r="B75" s="77" t="s">
        <v>258</v>
      </c>
      <c r="C75" s="261"/>
      <c r="D75" s="262">
        <f>MAX(-D73*D76,G5)</f>
        <v>12068.064929481494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27890</v>
      </c>
      <c r="D79" s="73">
        <f>G7*H7+G17*H17</f>
        <v>16734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27890</v>
      </c>
      <c r="D82" s="78">
        <f>SUM(D79:D81)</f>
        <v>16734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-358.56930800000004</v>
      </c>
      <c r="D86" s="201">
        <f>C86*scaling_factor/Common_Shares</f>
        <v>-0.11533996333396061</v>
      </c>
      <c r="E86" s="214" t="str">
        <f>Market_currency</f>
        <v>HKD</v>
      </c>
    </row>
    <row r="87" spans="2:8" ht="15" customHeight="1">
      <c r="B87" s="212" t="s">
        <v>240</v>
      </c>
      <c r="C87" s="73">
        <f>DCF!F5*Exchange_Rate</f>
        <v>29491.117193673268</v>
      </c>
      <c r="D87" s="201">
        <f>C87*scaling_factor/Common_Shares</f>
        <v>9.4863232850810792</v>
      </c>
      <c r="E87" s="214" t="str">
        <f>Market_currency</f>
        <v>HKD</v>
      </c>
    </row>
    <row r="88" spans="2:8" ht="15" customHeight="1">
      <c r="B88" s="213" t="s">
        <v>159</v>
      </c>
      <c r="C88" s="73">
        <f>DCF!F6*Exchange_Rate</f>
        <v>18988.287342</v>
      </c>
      <c r="D88" s="201">
        <f>C88*scaling_factor/Common_Shares</f>
        <v>6.1079080583243561</v>
      </c>
      <c r="E88" s="214" t="str">
        <f>Market_currency</f>
        <v>HKD</v>
      </c>
    </row>
    <row r="89" spans="2:8" ht="15" customHeight="1">
      <c r="B89" s="77" t="s">
        <v>244</v>
      </c>
      <c r="C89" s="162">
        <f>SUM(C86:C88)</f>
        <v>48120.835227673269</v>
      </c>
      <c r="D89" s="216">
        <f>SUM(D86:D88)</f>
        <v>15.478891380071474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85" zoomScaleNormal="100" workbookViewId="0">
      <pane xSplit="2" ySplit="1" topLeftCell="C9" activePane="bottomRight" state="frozen"/>
      <selection activeCell="C17" sqref="C17"/>
      <selection pane="topRight" activeCell="C17" sqref="C17"/>
      <selection pane="bottomLeft" activeCell="C17" sqref="C17"/>
      <selection pane="bottomRight" activeCell="E27" sqref="E2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43</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45</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42</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127</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65</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137</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60</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208</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129</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1004</v>
      </c>
      <c r="J15" s="266">
        <f>IF(Data!F61="","",-Data!F61)</f>
        <v>1160</v>
      </c>
      <c r="K15" s="266">
        <f>IF(Data!G61="","",-Data!G61)</f>
        <v>1001</v>
      </c>
      <c r="L15" s="266">
        <f>IF(Data!H61="","",-Data!H61)</f>
        <v>824</v>
      </c>
      <c r="M15" s="266">
        <f>IF(Data!I61="","",-Data!I61)</f>
        <v>583</v>
      </c>
      <c r="N15" s="266" t="str">
        <f>IF(Data!J61="","",-Data!J61)</f>
        <v/>
      </c>
      <c r="O15" s="266" t="str">
        <f>IF(Data!K61="","",-Data!K61)</f>
        <v/>
      </c>
      <c r="P15" s="266" t="str">
        <f>IF(Data!L61="","",-Data!L61)</f>
        <v/>
      </c>
      <c r="Q15" s="266" t="str">
        <f>IF(Data!M61="","",-Data!M61)</f>
        <v/>
      </c>
    </row>
    <row r="16" spans="1:17" ht="15.75" customHeight="1">
      <c r="A16" s="10"/>
      <c r="B16" s="2" t="s">
        <v>398</v>
      </c>
      <c r="C16" s="266">
        <f>-C4*C82</f>
        <v>-650.63867420757288</v>
      </c>
      <c r="E16" s="237"/>
      <c r="G16" s="266">
        <f>Data!C62</f>
        <v>0</v>
      </c>
      <c r="H16" s="266">
        <f>Data!D62</f>
        <v>0</v>
      </c>
      <c r="I16" s="266">
        <f>Data!E62</f>
        <v>-1164</v>
      </c>
      <c r="J16" s="266">
        <f>Data!F62</f>
        <v>-1053</v>
      </c>
      <c r="K16" s="266">
        <f>Data!G62</f>
        <v>-2758</v>
      </c>
      <c r="L16" s="266">
        <f>Data!H62</f>
        <v>-501</v>
      </c>
      <c r="M16" s="266">
        <f>Data!I62</f>
        <v>-286</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59</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43</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43</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272</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269</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65</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84</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87</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45</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42</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127</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65</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137</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60</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129</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3.6177572787546845E-2</v>
      </c>
      <c r="J81" s="6">
        <f t="shared" si="33"/>
        <v>4.0932989872613713E-2</v>
      </c>
      <c r="K81" s="6">
        <f t="shared" si="33"/>
        <v>3.2038151325054408E-2</v>
      </c>
      <c r="L81" s="6">
        <f t="shared" si="33"/>
        <v>2.826467258944191E-2</v>
      </c>
      <c r="M81" s="6">
        <f t="shared" si="33"/>
        <v>2.2922072815915705E-2</v>
      </c>
      <c r="N81" s="6" t="str">
        <f t="shared" si="33"/>
        <v/>
      </c>
      <c r="O81" s="6" t="str">
        <f t="shared" si="33"/>
        <v/>
      </c>
      <c r="P81" s="6" t="str">
        <f t="shared" si="33"/>
        <v/>
      </c>
      <c r="Q81" s="6" t="str">
        <f t="shared" si="33"/>
        <v/>
      </c>
    </row>
    <row r="82" spans="1:17" ht="15.75" customHeight="1">
      <c r="A82" s="10"/>
      <c r="B82" s="2" t="s">
        <v>77</v>
      </c>
      <c r="C82" s="85">
        <f>MAX(AVERAGE(G82:J82),C81)</f>
        <v>1.9775049365010421E-2</v>
      </c>
      <c r="D82" s="26"/>
      <c r="E82" s="235" t="s">
        <v>548</v>
      </c>
      <c r="F82" s="26"/>
      <c r="G82" s="6">
        <f t="shared" ref="G82:Q82" si="34">IF(G$4="","",-G16/G$4)</f>
        <v>0</v>
      </c>
      <c r="H82" s="6">
        <f t="shared" si="34"/>
        <v>0</v>
      </c>
      <c r="I82" s="6">
        <f t="shared" si="34"/>
        <v>4.1942923032574228E-2</v>
      </c>
      <c r="J82" s="6">
        <f t="shared" si="34"/>
        <v>3.7157274427467447E-2</v>
      </c>
      <c r="K82" s="6">
        <f t="shared" si="34"/>
        <v>8.8272948406093968E-2</v>
      </c>
      <c r="L82" s="6">
        <f t="shared" si="34"/>
        <v>1.7185195348677667E-2</v>
      </c>
      <c r="M82" s="6">
        <f t="shared" si="34"/>
        <v>1.1244790437996383E-2</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182</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3.6187563710499485E-3</v>
      </c>
      <c r="E92" s="237"/>
      <c r="G92" s="22">
        <f t="shared" ref="G92:Q92" si="38">IF(G$4="","",(G88*(1-dividend_tax_rate))/Market_Price)</f>
        <v>3.6187563710499485E-3</v>
      </c>
      <c r="H92" s="22">
        <f t="shared" si="38"/>
        <v>1.9622833843017328E-3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137</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179</v>
      </c>
      <c r="C101" s="281">
        <f>BS!C4</f>
        <v>3903</v>
      </c>
      <c r="D101" s="86"/>
      <c r="E101" s="239"/>
      <c r="F101" s="86"/>
      <c r="G101" s="282">
        <f>IF(G$4="","",Data!D77)</f>
        <v>3508</v>
      </c>
      <c r="H101" s="282">
        <f>IF(H$4="","",Data!E77)</f>
        <v>2918</v>
      </c>
      <c r="I101" s="282">
        <f>IF(I$4="","",Data!F77)</f>
        <v>2670</v>
      </c>
      <c r="J101" s="282">
        <f>IF(J$4="","",Data!G77)</f>
        <v>3610</v>
      </c>
      <c r="K101" s="282">
        <f>IF(K$4="","",Data!H77)</f>
        <v>2800</v>
      </c>
      <c r="L101" s="282">
        <f>IF(L$4="","",Data!I77)</f>
        <v>0</v>
      </c>
      <c r="M101" s="282">
        <f>IF(M$4="","",Data!J77)</f>
        <v>0</v>
      </c>
      <c r="N101" s="282" t="str">
        <f>IF(N$4="","",Data!K77)</f>
        <v/>
      </c>
      <c r="O101" s="282" t="str">
        <f>IF(O$4="","",Data!L77)</f>
        <v/>
      </c>
      <c r="P101" s="282" t="str">
        <f>IF(P$4="","",Data!M77)</f>
        <v/>
      </c>
      <c r="Q101" s="282" t="str">
        <f>IF(Q$4="","",Data!N77)</f>
        <v/>
      </c>
    </row>
    <row r="102" spans="1:17" ht="15.75" customHeight="1">
      <c r="A102" s="10"/>
      <c r="B102" s="90" t="s">
        <v>180</v>
      </c>
      <c r="C102" s="281">
        <f>BS!C6+BS!C7</f>
        <v>41</v>
      </c>
      <c r="D102" s="86"/>
      <c r="E102" s="239"/>
      <c r="F102" s="86"/>
      <c r="G102" s="282">
        <f>IF(G$4="","",Data!D78)</f>
        <v>2</v>
      </c>
      <c r="H102" s="282">
        <f>IF(H$4="","",Data!E78)</f>
        <v>8</v>
      </c>
      <c r="I102" s="282">
        <f>IF(I$4="","",Data!F78)</f>
        <v>8</v>
      </c>
      <c r="J102" s="282">
        <f>IF(J$4="","",Data!G78)</f>
        <v>24</v>
      </c>
      <c r="K102" s="282">
        <f>IF(K$4="","",Data!H78)</f>
        <v>18</v>
      </c>
      <c r="L102" s="282">
        <f>IF(L$4="","",Data!I78)</f>
        <v>0</v>
      </c>
      <c r="M102" s="282">
        <f>IF(M$4="","",Data!J78)</f>
        <v>0</v>
      </c>
      <c r="N102" s="282" t="str">
        <f>IF(N$4="","",Data!K78)</f>
        <v/>
      </c>
      <c r="O102" s="282" t="str">
        <f>IF(O$4="","",Data!L78)</f>
        <v/>
      </c>
      <c r="P102" s="282" t="str">
        <f>IF(P$4="","",Data!M78)</f>
        <v/>
      </c>
      <c r="Q102" s="282" t="str">
        <f>IF(Q$4="","",Data!N78)</f>
        <v/>
      </c>
    </row>
    <row r="103" spans="1:17" ht="15.75" customHeight="1">
      <c r="A103" s="10"/>
      <c r="B103" s="25" t="s">
        <v>38</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28</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0</v>
      </c>
      <c r="M107" s="91">
        <f t="shared" si="42"/>
        <v>0</v>
      </c>
      <c r="N107" s="91" t="str">
        <f t="shared" si="42"/>
        <v/>
      </c>
      <c r="O107" s="91" t="str">
        <f t="shared" si="42"/>
        <v/>
      </c>
      <c r="P107" s="91" t="str">
        <f t="shared" si="42"/>
        <v/>
      </c>
      <c r="Q107" s="91" t="str">
        <f t="shared" si="42"/>
        <v/>
      </c>
    </row>
    <row r="108" spans="1:17" ht="15.75" customHeight="1">
      <c r="A108" s="10"/>
      <c r="B108" s="25" t="s">
        <v>187</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0</v>
      </c>
      <c r="M108" s="91">
        <f t="shared" si="43"/>
        <v>0</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80</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88</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191</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2.3385116023785137</v>
      </c>
      <c r="D123" s="26"/>
      <c r="E123" s="234"/>
      <c r="F123" s="26"/>
      <c r="G123" s="159">
        <f t="shared" ref="G123:Q123" si="48">IF(G$4="","",G14*$C$3/Common_Shares*Exchange_Rate)</f>
        <v>2.7967093694660696</v>
      </c>
      <c r="H123" s="159">
        <f t="shared" si="48"/>
        <v>2.0316797328844509</v>
      </c>
      <c r="I123" s="159">
        <f t="shared" si="48"/>
        <v>1.4032733318664581</v>
      </c>
      <c r="J123" s="159">
        <f t="shared" si="48"/>
        <v>0.96267103534961784</v>
      </c>
      <c r="K123" s="159">
        <f t="shared" si="48"/>
        <v>0.78878709936144031</v>
      </c>
      <c r="L123" s="159">
        <f t="shared" si="48"/>
        <v>1.1564050885547723</v>
      </c>
      <c r="M123" s="159">
        <f t="shared" si="48"/>
        <v>1.2742198691193729</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5.9595096900573741E-2</v>
      </c>
      <c r="D124" s="26"/>
      <c r="E124" s="234"/>
      <c r="F124" s="26"/>
      <c r="G124" s="74">
        <f t="shared" ref="G124" si="49">IF(G$4="","",G123/Market_Price)</f>
        <v>7.1271900343172004E-2</v>
      </c>
      <c r="H124" s="74">
        <f t="shared" ref="H124" si="50">IF(H$4="","",H123/Market_Price)</f>
        <v>5.1775732234568064E-2</v>
      </c>
      <c r="I124" s="74">
        <f t="shared" ref="I124" si="51">IF(I$4="","",I123/Market_Price)</f>
        <v>3.5761297957860809E-2</v>
      </c>
      <c r="J124" s="74">
        <f t="shared" ref="J124" si="52">IF(J$4="","",J123/Market_Price)</f>
        <v>2.4532901002793522E-2</v>
      </c>
      <c r="K124" s="74">
        <f t="shared" ref="K124" si="53">IF(K$4="","",K123/Market_Price)</f>
        <v>2.0101608036733953E-2</v>
      </c>
      <c r="L124" s="74">
        <f t="shared" ref="L124" si="54">IF(L$4="","",L123/Market_Price)</f>
        <v>2.9470058321987059E-2</v>
      </c>
      <c r="M124" s="74">
        <f t="shared" ref="M124" si="55">IF(M$4="","",M123/Market_Price)</f>
        <v>3.2472473728832128E-2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9.3065418598025765E-2</v>
      </c>
      <c r="H125" s="22">
        <f>IF(H$4="","",(Data!D47*$C$3)/(Market_Price*Common_Shares))</f>
        <v>5.8275527245077528E-2</v>
      </c>
      <c r="I125" s="22">
        <f>IF(I$4="","",(Data!E47*$C$3)/(Market_Price*Common_Shares))</f>
        <v>4.2790582672570639E-2</v>
      </c>
      <c r="J125" s="22">
        <f>IF(J$4="","",(Data!F47*$C$3)/(Market_Price*Common_Shares))</f>
        <v>3.1469932352490168E-2</v>
      </c>
      <c r="K125" s="22">
        <f>IF(K$4="","",(Data!G47*$C$3)/(Market_Price*Common_Shares))</f>
        <v>2.6354736262895521E-2</v>
      </c>
      <c r="L125" s="22">
        <f>IF(L$4="","",(Data!H47*$C$3)/(Market_Price*Common_Shares))</f>
        <v>3.4232466138056514E-2</v>
      </c>
      <c r="M125" s="22">
        <f>IF(M$4="","",(Data!I47*$C$3)/(Market_Price*Common_Shares))</f>
        <v>3.260117764153514E-2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21" sqref="F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6406.883139124674</v>
      </c>
      <c r="D4" t="str">
        <f>Reporting_currency</f>
        <v>CNY</v>
      </c>
      <c r="E4" s="135" t="s">
        <v>431</v>
      </c>
      <c r="F4" s="275">
        <f>-BS!G31</f>
        <v>-316</v>
      </c>
      <c r="G4" t="str">
        <f>Reporting_currency</f>
        <v>CNY</v>
      </c>
      <c r="H4" s="308" t="s">
        <v>394</v>
      </c>
      <c r="I4" s="305">
        <f>Normalized_FCF!C4</f>
        <v>32902</v>
      </c>
      <c r="J4" s="305"/>
    </row>
    <row r="5" spans="2:15">
      <c r="B5" s="187" t="s">
        <v>105</v>
      </c>
      <c r="C5" s="188">
        <f>Equity_Cost</f>
        <v>7.2499999999999995E-2</v>
      </c>
      <c r="E5" s="135" t="s">
        <v>432</v>
      </c>
      <c r="F5" s="275">
        <f>BS!D66</f>
        <v>25989.935070518506</v>
      </c>
      <c r="G5" t="str">
        <f>Reporting_currency</f>
        <v>CNY</v>
      </c>
      <c r="H5" s="308" t="s">
        <v>395</v>
      </c>
      <c r="I5" s="305">
        <f>Normalized_FCF!C7</f>
        <v>-4054</v>
      </c>
      <c r="J5" s="305"/>
    </row>
    <row r="6" spans="2:15" ht="13.25" customHeight="1">
      <c r="B6" s="136" t="s">
        <v>194</v>
      </c>
      <c r="C6" s="283">
        <f>(C4*(1+Terminal_Growth))/(Equity_Cost-Terminal_Growth)</f>
        <v>124476.58670299369</v>
      </c>
      <c r="D6" t="str">
        <f>Reporting_currency</f>
        <v>CNY</v>
      </c>
      <c r="E6" s="187" t="s">
        <v>433</v>
      </c>
      <c r="F6" s="284">
        <f>BS!H42</f>
        <v>16734</v>
      </c>
      <c r="G6" t="str">
        <f>Reporting_currency</f>
        <v>CNY</v>
      </c>
      <c r="H6" s="308" t="s">
        <v>416</v>
      </c>
      <c r="I6" s="305">
        <f>I7+I8</f>
        <v>53.448389576888964</v>
      </c>
      <c r="J6" s="305"/>
      <c r="N6" s="135"/>
    </row>
    <row r="7" spans="2:15" ht="12.75" customHeight="1">
      <c r="B7" s="318" t="s">
        <v>430</v>
      </c>
      <c r="C7" s="275">
        <f>F7</f>
        <v>42407.935070518506</v>
      </c>
      <c r="E7" s="140" t="s">
        <v>424</v>
      </c>
      <c r="F7" s="283">
        <f>SUM(F4:F6)</f>
        <v>42407.935070518506</v>
      </c>
      <c r="G7" t="str">
        <f>Reporting_currency</f>
        <v>CNY</v>
      </c>
      <c r="H7" s="312" t="s">
        <v>417</v>
      </c>
      <c r="I7" s="313">
        <f>Normalized_FCF!C9</f>
        <v>0</v>
      </c>
      <c r="J7" s="313"/>
      <c r="N7" s="304"/>
      <c r="O7" s="304"/>
    </row>
    <row r="8" spans="2:15" ht="13.15">
      <c r="B8" s="136" t="s">
        <v>426</v>
      </c>
      <c r="C8" s="283">
        <f>C6+C7</f>
        <v>166884.52177351218</v>
      </c>
      <c r="D8" t="str">
        <f>Reporting_currency</f>
        <v>CNY</v>
      </c>
      <c r="E8" s="140" t="s">
        <v>464</v>
      </c>
      <c r="F8" s="108">
        <f>FV_adjustments*scaling_factor/Common_Shares*Exchange_Rate</f>
        <v>15.478891380071477</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1.1347130000000001</v>
      </c>
      <c r="D9" t="str">
        <f>Thesis!E15</f>
        <v>CNY/HKD</v>
      </c>
      <c r="F9" s="322"/>
      <c r="H9" s="308" t="str">
        <f>Normalized_FCF!B79</f>
        <v>NCI’s Share of Profits</v>
      </c>
      <c r="I9" s="144">
        <f>Normalized_FCF!C79</f>
        <v>1.6372662934403717E-2</v>
      </c>
      <c r="J9" s="306"/>
      <c r="N9" s="304"/>
      <c r="O9" s="304"/>
    </row>
    <row r="10" spans="2:15" ht="13.5" thickTop="1">
      <c r="B10" s="107" t="s">
        <v>427</v>
      </c>
      <c r="C10" s="283">
        <f>C8*Exchange_Rate</f>
        <v>189366.03635518733</v>
      </c>
      <c r="D10" t="str">
        <f>Market_currency</f>
        <v>HKD</v>
      </c>
      <c r="H10" s="308" t="s">
        <v>397</v>
      </c>
      <c r="I10" s="306">
        <f>Normalized_FCF!C41</f>
        <v>0.25</v>
      </c>
      <c r="N10" s="304"/>
      <c r="O10" s="304"/>
    </row>
    <row r="11" spans="2:15" ht="13.15">
      <c r="B11" s="136" t="s">
        <v>425</v>
      </c>
      <c r="C11" s="108">
        <f>(C10*scaling_factor)/Common_Shares</f>
        <v>60.912831083425452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10</v>
      </c>
      <c r="E15" s="308" t="str">
        <f>IF(F14="II","Change year","Terminal Year")</f>
        <v>Terminal Year</v>
      </c>
      <c r="F15" s="310">
        <f>IF(F14="II",_xlfn.CEILING.MATH(C15/2),C15+1)</f>
        <v>11</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549</v>
      </c>
      <c r="C17" s="306">
        <f>Normalized_FCF!C77</f>
        <v>0.28146521974317368</v>
      </c>
      <c r="E17" s="308" t="s">
        <v>550</v>
      </c>
      <c r="F17" s="311">
        <f>Scenarios!C40</f>
        <v>0.28146521974317368</v>
      </c>
      <c r="H17" s="106" t="s">
        <v>412</v>
      </c>
    </row>
    <row r="18" spans="1:21" ht="13.25" customHeight="1">
      <c r="B18" s="308" t="s">
        <v>423</v>
      </c>
      <c r="C18" s="306">
        <f>Normalized_FCF!C81-Normalized_FCF!C82</f>
        <v>-1.9775049365010421E-2</v>
      </c>
      <c r="E18" s="308" t="s">
        <v>423</v>
      </c>
      <c r="F18" s="144">
        <f>IF(F14="II",C18/2,C18)</f>
        <v>-1.9775049365010421E-2</v>
      </c>
      <c r="H18" s="140" t="s">
        <v>97</v>
      </c>
      <c r="I18" s="129">
        <f>(L52+FV_adjustments)*Exchange_Rate/Common_Shares*scaling_factor</f>
        <v>50.483136481116496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-1.9775049365010421E-2</v>
      </c>
      <c r="H21" s="277">
        <f>(F21*(1-$I$10)+C21*(G21-$I$9))</f>
        <v>5893.5649559544136</v>
      </c>
      <c r="I21" s="299">
        <f>H21/C4-1</f>
        <v>-8.0119798039642642E-2</v>
      </c>
      <c r="J21" s="299">
        <f>H21/C21</f>
        <v>0.17495120250796614</v>
      </c>
      <c r="K21" s="119">
        <f t="shared" ref="K21:K50" si="3">IF($C$15&lt;B21,0,1/(1+Equity_Cost)^B21)</f>
        <v>0.93240093240093236</v>
      </c>
      <c r="L21" s="277">
        <f t="shared" ref="L21:L51" si="4">H21*K21</f>
        <v>5495.1654600973552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-1.9775049365010421E-2</v>
      </c>
      <c r="H22" s="277">
        <f t="shared" ref="H22:H50" si="8">IF(A22="", 0,F22*(1-$I$10)+C22*(G22-$I$9))</f>
        <v>6034.1613532486008</v>
      </c>
      <c r="I22" s="299">
        <f t="shared" ref="I22:I50" si="9">IF(A22="", 0,H22/H21-1)</f>
        <v>2.3855917147759476E-2</v>
      </c>
      <c r="J22" s="299">
        <f>IF(A22="", 0,H22/C22)</f>
        <v>0.17495120250796614</v>
      </c>
      <c r="K22" s="119">
        <f t="shared" si="3"/>
        <v>0.86937149874212816</v>
      </c>
      <c r="L22" s="277">
        <f t="shared" si="4"/>
        <v>5245.9278993255639</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-1.9775049365010421E-2</v>
      </c>
      <c r="H23" s="277">
        <f t="shared" si="8"/>
        <v>6178.1118065479104</v>
      </c>
      <c r="I23" s="299">
        <f t="shared" si="9"/>
        <v>2.3855917147759254E-2</v>
      </c>
      <c r="J23" s="299">
        <f t="shared" ref="J23:J50" si="10">IF(A23="", 0,H23/C23)</f>
        <v>0.17495120250796614</v>
      </c>
      <c r="K23" s="119">
        <f t="shared" si="3"/>
        <v>0.81060279602995633</v>
      </c>
      <c r="L23" s="277">
        <f t="shared" si="4"/>
        <v>5007.9947045734207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-1.9775049365010421E-2</v>
      </c>
      <c r="H24" s="277">
        <f t="shared" si="8"/>
        <v>6325.4963299345109</v>
      </c>
      <c r="I24" s="299">
        <f t="shared" si="9"/>
        <v>2.3855917147759254E-2</v>
      </c>
      <c r="J24" s="299">
        <f t="shared" si="10"/>
        <v>0.17495120250796611</v>
      </c>
      <c r="K24" s="119">
        <f t="shared" si="3"/>
        <v>0.75580680282513402</v>
      </c>
      <c r="L24" s="277">
        <f t="shared" si="4"/>
        <v>4780.8531574099216</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-1.9775049365010421E-2</v>
      </c>
      <c r="H25" s="277">
        <f t="shared" si="8"/>
        <v>6476.3968462998864</v>
      </c>
      <c r="I25" s="299">
        <f t="shared" si="9"/>
        <v>2.3855917147759698E-2</v>
      </c>
      <c r="J25" s="299">
        <f t="shared" si="10"/>
        <v>0.17495120250796614</v>
      </c>
      <c r="K25" s="119">
        <f t="shared" si="3"/>
        <v>0.70471496766912267</v>
      </c>
      <c r="L25" s="277">
        <f t="shared" si="4"/>
        <v>4564.0137941526327</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-1.9775049365010421E-2</v>
      </c>
      <c r="H26" s="277">
        <f t="shared" si="8"/>
        <v>6630.8972328812279</v>
      </c>
      <c r="I26" s="299">
        <f t="shared" si="9"/>
        <v>2.3855917147759476E-2</v>
      </c>
      <c r="J26" s="299">
        <f t="shared" si="10"/>
        <v>0.17495120250796614</v>
      </c>
      <c r="K26" s="119">
        <f t="shared" si="3"/>
        <v>0.65707689293158289</v>
      </c>
      <c r="L26" s="277">
        <f t="shared" si="4"/>
        <v>4357.0093511302275</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-1.9775049365010421E-2</v>
      </c>
      <c r="H27" s="277">
        <f t="shared" si="8"/>
        <v>6789.0833678841482</v>
      </c>
      <c r="I27" s="299">
        <f t="shared" si="9"/>
        <v>2.3855917147759254E-2</v>
      </c>
      <c r="J27" s="299">
        <f t="shared" si="10"/>
        <v>0.17495120250796611</v>
      </c>
      <c r="K27" s="119">
        <f t="shared" si="3"/>
        <v>0.61265910762851561</v>
      </c>
      <c r="L27" s="277">
        <f t="shared" si="4"/>
        <v>4159.3937577834995</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-1.9775049365010421E-2</v>
      </c>
      <c r="H28" s="277">
        <f t="shared" si="8"/>
        <v>6951.0431782176247</v>
      </c>
      <c r="I28" s="299">
        <f t="shared" si="9"/>
        <v>2.3855917147759476E-2</v>
      </c>
      <c r="J28" s="299">
        <f t="shared" si="10"/>
        <v>0.17495120250796611</v>
      </c>
      <c r="K28" s="119">
        <f t="shared" si="3"/>
        <v>0.5712439231967511</v>
      </c>
      <c r="L28" s="277">
        <f t="shared" si="4"/>
        <v>3970.7411754350496</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-1.9775049365010421E-2</v>
      </c>
      <c r="H29" s="277">
        <f t="shared" si="8"/>
        <v>7116.8666883676842</v>
      </c>
      <c r="I29" s="299">
        <f t="shared" si="9"/>
        <v>2.3855917147759698E-2</v>
      </c>
      <c r="J29" s="299">
        <f t="shared" si="10"/>
        <v>0.17495120250796614</v>
      </c>
      <c r="K29" s="119">
        <f t="shared" si="3"/>
        <v>0.53262836661701729</v>
      </c>
      <c r="L29" s="277">
        <f t="shared" si="4"/>
        <v>3790.6450796563408</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-1.9775049365010421E-2</v>
      </c>
      <c r="H30" s="277">
        <f t="shared" si="8"/>
        <v>7286.646070437032</v>
      </c>
      <c r="I30" s="299">
        <f t="shared" si="9"/>
        <v>2.3855917147759254E-2</v>
      </c>
      <c r="J30" s="299">
        <f t="shared" si="10"/>
        <v>0.17495120250796611</v>
      </c>
      <c r="K30" s="119">
        <f t="shared" si="3"/>
        <v>0.49662318565689262</v>
      </c>
      <c r="L30" s="277">
        <f t="shared" si="4"/>
        <v>3618.7173842547172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42482.583059166755</v>
      </c>
      <c r="D51" s="301">
        <f>Terminal_Growth</f>
        <v>0.02</v>
      </c>
      <c r="E51" s="301">
        <f>F17</f>
        <v>0.28146521974317368</v>
      </c>
      <c r="F51" s="277">
        <f>C51*E51</f>
        <v>11957.369576005998</v>
      </c>
      <c r="G51" s="299">
        <f>F18</f>
        <v>-1.9775049365010421E-2</v>
      </c>
      <c r="H51" s="277">
        <f>(F51*(1-$I$10)+C51*(G51-$I$9))/Equity_Cost</f>
        <v>102515.57230132102</v>
      </c>
      <c r="I51" s="415">
        <f>(F51*(1-$I$10)+C51*(G51-$I$9))/VLOOKUP(C15,B21:H50,COLUMN(H20)-1,FALSE)-1</f>
        <v>2.0000000000000018E-2</v>
      </c>
      <c r="J51" s="454"/>
      <c r="K51" s="119">
        <f>1/(1+Equity_Cost)^C15</f>
        <v>0.49662318565689262</v>
      </c>
      <c r="L51" s="277">
        <f t="shared" si="4"/>
        <v>50911.610095721546</v>
      </c>
    </row>
    <row r="52" spans="1:21" ht="13.15">
      <c r="G52" s="111"/>
      <c r="H52" s="111"/>
      <c r="I52" s="111"/>
      <c r="J52" s="468" t="s">
        <v>420</v>
      </c>
      <c r="K52" s="468"/>
      <c r="L52" s="317">
        <f>SUM(L21:L51)</f>
        <v>95902.071859540272</v>
      </c>
    </row>
    <row r="53" spans="1:21">
      <c r="C53" s="111"/>
    </row>
    <row r="54" spans="1:21" ht="13.15">
      <c r="B54" s="115" t="s">
        <v>108</v>
      </c>
      <c r="C54" s="128"/>
      <c r="D54" s="128"/>
      <c r="E54" s="113"/>
      <c r="F54" s="113"/>
      <c r="G54" s="113"/>
      <c r="H54" s="113"/>
      <c r="I54" s="113"/>
      <c r="J54" s="113"/>
      <c r="K54" s="113"/>
      <c r="L54" s="113"/>
    </row>
    <row r="55" spans="1:21" ht="13.15">
      <c r="A55" s="125">
        <f>L52</f>
        <v>95902.071859540272</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80877.062331605935</v>
      </c>
      <c r="C56" s="118">
        <v>84920.915448186221</v>
      </c>
      <c r="D56" s="118">
        <v>87347.227318134406</v>
      </c>
      <c r="E56" s="118">
        <v>89773.539188082563</v>
      </c>
      <c r="F56" s="118">
        <v>90582.309811398634</v>
      </c>
      <c r="G56" s="295"/>
      <c r="H56" s="295"/>
      <c r="I56" s="295"/>
      <c r="J56" s="295"/>
      <c r="K56" s="295"/>
      <c r="L56" s="295"/>
    </row>
    <row r="57" spans="1:21" ht="13.15">
      <c r="A57" s="131">
        <v>2</v>
      </c>
      <c r="B57" s="118">
        <v>80776.976034054125</v>
      </c>
      <c r="C57" s="118">
        <v>88774.841872968304</v>
      </c>
      <c r="D57" s="118">
        <v>93754.545012303643</v>
      </c>
      <c r="E57" s="118">
        <v>98869.985878629072</v>
      </c>
      <c r="F57" s="118">
        <v>100605.29677340202</v>
      </c>
      <c r="G57" s="295"/>
      <c r="H57" s="295"/>
      <c r="I57" s="295"/>
      <c r="J57" s="295"/>
      <c r="K57" s="295"/>
      <c r="L57" s="295"/>
    </row>
    <row r="58" spans="1:21" ht="13.15">
      <c r="A58" s="131">
        <v>3</v>
      </c>
      <c r="B58" s="118">
        <v>80683.655476896238</v>
      </c>
      <c r="C58" s="118">
        <v>92547.916694433254</v>
      </c>
      <c r="D58" s="118">
        <v>100206.66912391459</v>
      </c>
      <c r="E58" s="118">
        <v>108284.49014576804</v>
      </c>
      <c r="F58" s="118">
        <v>111072.19224887405</v>
      </c>
      <c r="G58" s="295"/>
      <c r="H58" s="295"/>
      <c r="I58" s="295"/>
      <c r="J58" s="295"/>
      <c r="K58" s="295"/>
      <c r="L58" s="295"/>
    </row>
    <row r="59" spans="1:21" ht="13.15">
      <c r="A59" s="131">
        <v>4</v>
      </c>
      <c r="B59" s="118">
        <v>80596.643302390061</v>
      </c>
      <c r="C59" s="118">
        <v>96241.836100063287</v>
      </c>
      <c r="D59" s="118">
        <v>106703.9129845578</v>
      </c>
      <c r="E59" s="118">
        <v>118028.17288378603</v>
      </c>
      <c r="F59" s="118">
        <v>122002.65652162806</v>
      </c>
      <c r="G59" s="295"/>
      <c r="H59" s="295"/>
      <c r="I59" s="295"/>
      <c r="J59" s="295"/>
      <c r="K59" s="295"/>
      <c r="L59" s="295"/>
    </row>
    <row r="60" spans="1:21" ht="13.15">
      <c r="A60" s="131">
        <v>5</v>
      </c>
      <c r="B60" s="118">
        <v>80515.513069750275</v>
      </c>
      <c r="C60" s="118">
        <v>99858.260692987795</v>
      </c>
      <c r="D60" s="118">
        <v>113246.59211695376</v>
      </c>
      <c r="E60" s="118">
        <v>128112.54382942703</v>
      </c>
      <c r="F60" s="118">
        <v>133417.22061065788</v>
      </c>
      <c r="G60" s="295"/>
      <c r="H60" s="295"/>
      <c r="I60" s="295"/>
      <c r="J60" s="295"/>
      <c r="K60" s="295"/>
      <c r="L60" s="295"/>
    </row>
    <row r="61" spans="1:21" ht="13.15">
      <c r="A61" s="131">
        <v>6</v>
      </c>
      <c r="B61" s="118">
        <v>80439.867165191026</v>
      </c>
      <c r="C61" s="118">
        <v>103398.8162385083</v>
      </c>
      <c r="D61" s="118">
        <v>119835.02425027557</v>
      </c>
      <c r="E61" s="118">
        <v>138549.51515778276</v>
      </c>
      <c r="F61" s="118">
        <v>145337.32483416691</v>
      </c>
      <c r="G61" s="295"/>
      <c r="H61" s="295"/>
      <c r="I61" s="295"/>
      <c r="J61" s="295"/>
      <c r="K61" s="295"/>
      <c r="L61" s="295"/>
    </row>
    <row r="62" spans="1:21" ht="13.15">
      <c r="A62" s="131">
        <v>7</v>
      </c>
      <c r="B62" s="118">
        <v>80369.334853247667</v>
      </c>
      <c r="C62" s="118">
        <v>106865.09439496195</v>
      </c>
      <c r="D62" s="118">
        <v>126469.52933557864</v>
      </c>
      <c r="E62" s="118">
        <v>149351.41555356351</v>
      </c>
      <c r="F62" s="118">
        <v>157785.35908156098</v>
      </c>
      <c r="G62" s="295"/>
      <c r="H62" s="295"/>
      <c r="I62" s="295"/>
      <c r="J62" s="295"/>
      <c r="K62" s="295"/>
      <c r="L62" s="295"/>
    </row>
    <row r="63" spans="1:21" ht="13.15">
      <c r="A63" s="131">
        <v>8</v>
      </c>
      <c r="B63" s="118">
        <v>80303.570459827286</v>
      </c>
      <c r="C63" s="118">
        <v>110258.65342925221</v>
      </c>
      <c r="D63" s="118">
        <v>133150.42956133839</v>
      </c>
      <c r="E63" s="118">
        <v>160531.00477437157</v>
      </c>
      <c r="F63" s="118">
        <v>170784.70486904934</v>
      </c>
      <c r="G63" s="295"/>
      <c r="H63" s="295"/>
      <c r="I63" s="295"/>
      <c r="J63" s="295"/>
      <c r="K63" s="295"/>
      <c r="L63" s="295"/>
    </row>
    <row r="64" spans="1:21" ht="13.15">
      <c r="A64" s="131">
        <v>9</v>
      </c>
      <c r="B64" s="118">
        <v>80242.251678083339</v>
      </c>
      <c r="C64" s="118">
        <v>113581.01891736855</v>
      </c>
      <c r="D64" s="118">
        <v>139878.04936909641</v>
      </c>
      <c r="E64" s="118">
        <v>172101.48872317988</v>
      </c>
      <c r="F64" s="118">
        <v>184359.77925784842</v>
      </c>
      <c r="G64" s="295"/>
      <c r="H64" s="295"/>
      <c r="I64" s="295"/>
      <c r="J64" s="295"/>
      <c r="K64" s="295"/>
      <c r="L64" s="295"/>
    </row>
    <row r="65" spans="1:21" ht="13.15">
      <c r="A65" s="131">
        <v>10</v>
      </c>
      <c r="B65" s="118">
        <v>80185.077988811594</v>
      </c>
      <c r="C65" s="118">
        <v>116833.68443020975</v>
      </c>
      <c r="D65" s="118">
        <v>146652.7154692164</v>
      </c>
      <c r="E65" s="118">
        <v>184076.53504782065</v>
      </c>
      <c r="F65" s="118">
        <v>198536.08071748007</v>
      </c>
      <c r="G65" s="295"/>
      <c r="H65" s="295"/>
      <c r="I65" s="295"/>
      <c r="J65" s="295"/>
      <c r="K65" s="295"/>
      <c r="L65" s="295"/>
    </row>
    <row r="66" spans="1:21" ht="13.15">
      <c r="A66" s="131">
        <v>15</v>
      </c>
      <c r="B66" s="118">
        <v>79952.215441431166</v>
      </c>
      <c r="C66" s="277">
        <v>132101.63041861926</v>
      </c>
      <c r="D66" s="118">
        <v>181243.33604396001</v>
      </c>
      <c r="E66" s="118">
        <v>250532.97451881587</v>
      </c>
      <c r="F66" s="118">
        <v>279410.35540564789</v>
      </c>
      <c r="G66" s="295"/>
      <c r="H66" s="295"/>
      <c r="I66" s="295"/>
      <c r="J66" s="295"/>
      <c r="K66" s="295"/>
      <c r="L66" s="295"/>
      <c r="M66" s="275"/>
      <c r="N66" s="275"/>
      <c r="O66" s="275"/>
      <c r="P66" s="275"/>
      <c r="Q66" s="275"/>
      <c r="R66" s="275"/>
      <c r="S66" s="275"/>
      <c r="T66" s="275"/>
      <c r="U66" s="275"/>
    </row>
    <row r="67" spans="1:21" ht="13.15">
      <c r="A67" s="132">
        <v>20</v>
      </c>
      <c r="B67" s="118">
        <v>79788.113718882625</v>
      </c>
      <c r="C67" s="277">
        <v>145833.84578558247</v>
      </c>
      <c r="D67" s="118">
        <v>217060.45313739951</v>
      </c>
      <c r="E67" s="118">
        <v>329449.0462823055</v>
      </c>
      <c r="F67" s="118">
        <v>379852.0445815305</v>
      </c>
      <c r="G67" s="295"/>
      <c r="H67" s="295"/>
      <c r="I67" s="295"/>
      <c r="J67" s="295"/>
      <c r="K67" s="295"/>
      <c r="L67" s="295"/>
      <c r="M67" s="275"/>
      <c r="N67" s="275"/>
      <c r="O67" s="275"/>
      <c r="P67" s="275"/>
      <c r="Q67" s="275"/>
      <c r="R67" s="275"/>
      <c r="S67" s="275"/>
      <c r="T67" s="275"/>
      <c r="U67" s="275"/>
    </row>
    <row r="68" spans="1:21" ht="13.15">
      <c r="A68" s="132">
        <v>25</v>
      </c>
      <c r="B68" s="118">
        <v>79672.468778782364</v>
      </c>
      <c r="C68" s="277">
        <v>158184.80242557934</v>
      </c>
      <c r="D68" s="118">
        <v>254147.55523529719</v>
      </c>
      <c r="E68" s="118">
        <v>423160.75326140609</v>
      </c>
      <c r="F68" s="118">
        <v>504595.45604832424</v>
      </c>
      <c r="G68" s="295"/>
      <c r="H68" s="295"/>
      <c r="I68" s="295"/>
      <c r="J68" s="295"/>
      <c r="K68" s="295"/>
      <c r="L68" s="295"/>
      <c r="M68" s="275"/>
      <c r="N68" s="275"/>
      <c r="O68" s="275"/>
      <c r="P68" s="275"/>
      <c r="Q68" s="275"/>
      <c r="R68" s="275"/>
      <c r="S68" s="275"/>
      <c r="T68" s="275"/>
      <c r="U68" s="275"/>
    </row>
    <row r="69" spans="1:21" ht="13.15">
      <c r="A69" s="132">
        <v>30</v>
      </c>
      <c r="B69" s="118">
        <v>79590.972058558531</v>
      </c>
      <c r="C69" s="277">
        <v>169293.43463433982</v>
      </c>
      <c r="D69" s="118">
        <v>292549.6728158833</v>
      </c>
      <c r="E69" s="118">
        <v>534442.06553016673</v>
      </c>
      <c r="F69" s="118">
        <v>659520.35657568579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60.912831083425452</v>
      </c>
      <c r="C73" s="119">
        <f>C11</f>
        <v>60.912831083425452</v>
      </c>
      <c r="D73" s="119">
        <f>C11</f>
        <v>60.912831083425452</v>
      </c>
      <c r="E73" s="119">
        <f>C11</f>
        <v>60.912831083425452</v>
      </c>
      <c r="F73" s="119">
        <f>C11</f>
        <v>60.912831083425452</v>
      </c>
      <c r="G73" s="296"/>
      <c r="H73" s="296"/>
      <c r="I73" s="296"/>
      <c r="J73" s="296"/>
      <c r="K73" s="296"/>
      <c r="L73" s="296"/>
    </row>
    <row r="74" spans="1:21" ht="13.15">
      <c r="A74" s="131">
        <v>1</v>
      </c>
      <c r="B74" s="119">
        <f t="shared" ref="B74:F87" si="11">(B56+FV_adjustments)/Common_Shares*scaling_factor*Exchange_Rate</f>
        <v>44.999009746798933</v>
      </c>
      <c r="C74" s="119">
        <f t="shared" si="11"/>
        <v>46.475015665135288</v>
      </c>
      <c r="D74" s="119">
        <f t="shared" si="11"/>
        <v>47.360619216137124</v>
      </c>
      <c r="E74" s="119">
        <f t="shared" si="11"/>
        <v>48.246222767138939</v>
      </c>
      <c r="F74" s="119">
        <f t="shared" si="11"/>
        <v>48.54142395080622</v>
      </c>
      <c r="G74" s="296"/>
      <c r="H74" s="296"/>
      <c r="I74" s="296"/>
      <c r="J74" s="296"/>
      <c r="K74" s="296"/>
      <c r="L74" s="296"/>
    </row>
    <row r="75" spans="1:21" ht="13.15">
      <c r="A75" s="131">
        <v>2</v>
      </c>
      <c r="B75" s="119">
        <f t="shared" si="11"/>
        <v>44.962478259805707</v>
      </c>
      <c r="C75" s="119">
        <f t="shared" si="11"/>
        <v>47.881698363002855</v>
      </c>
      <c r="D75" s="119">
        <f t="shared" si="11"/>
        <v>49.699289431056471</v>
      </c>
      <c r="E75" s="119">
        <f t="shared" si="11"/>
        <v>51.566424753711601</v>
      </c>
      <c r="F75" s="119">
        <f t="shared" si="11"/>
        <v>52.199813028952541</v>
      </c>
      <c r="G75" s="296"/>
      <c r="H75" s="296"/>
      <c r="I75" s="296"/>
      <c r="J75" s="296"/>
      <c r="K75" s="296"/>
      <c r="L75" s="296"/>
    </row>
    <row r="76" spans="1:21" ht="13.15">
      <c r="A76" s="131">
        <v>3</v>
      </c>
      <c r="B76" s="119">
        <f t="shared" si="11"/>
        <v>44.928416267271224</v>
      </c>
      <c r="C76" s="119">
        <f t="shared" si="11"/>
        <v>49.258870235041016</v>
      </c>
      <c r="D76" s="119">
        <f t="shared" si="11"/>
        <v>52.054313983143089</v>
      </c>
      <c r="E76" s="119">
        <f t="shared" si="11"/>
        <v>55.002717718835733</v>
      </c>
      <c r="F76" s="119">
        <f t="shared" si="11"/>
        <v>56.020228663007416</v>
      </c>
      <c r="G76" s="296"/>
      <c r="H76" s="296"/>
      <c r="I76" s="296"/>
      <c r="J76" s="296"/>
      <c r="K76" s="296"/>
      <c r="L76" s="296"/>
    </row>
    <row r="77" spans="1:21" ht="13.15">
      <c r="A77" s="131">
        <v>4</v>
      </c>
      <c r="B77" s="119">
        <f t="shared" si="11"/>
        <v>44.896656833672651</v>
      </c>
      <c r="C77" s="119">
        <f t="shared" si="11"/>
        <v>50.607150389483962</v>
      </c>
      <c r="D77" s="119">
        <f t="shared" si="11"/>
        <v>54.425807238391158</v>
      </c>
      <c r="E77" s="119">
        <f t="shared" si="11"/>
        <v>58.559160787635548</v>
      </c>
      <c r="F77" s="119">
        <f t="shared" si="11"/>
        <v>60.009846854281498</v>
      </c>
      <c r="G77" s="296"/>
      <c r="H77" s="296"/>
      <c r="I77" s="296"/>
      <c r="J77" s="296"/>
      <c r="K77" s="296"/>
      <c r="L77" s="296"/>
    </row>
    <row r="78" spans="1:21" ht="13.15">
      <c r="A78" s="131">
        <v>5</v>
      </c>
      <c r="B78" s="119">
        <f t="shared" si="11"/>
        <v>44.867044308172815</v>
      </c>
      <c r="C78" s="119">
        <f t="shared" si="11"/>
        <v>51.927144946281253</v>
      </c>
      <c r="D78" s="119">
        <f t="shared" si="11"/>
        <v>56.813884362557047</v>
      </c>
      <c r="E78" s="119">
        <f t="shared" si="11"/>
        <v>62.239955012687084</v>
      </c>
      <c r="F78" s="119">
        <f t="shared" si="11"/>
        <v>64.176161422325322</v>
      </c>
      <c r="G78" s="296"/>
      <c r="H78" s="296"/>
      <c r="I78" s="296"/>
      <c r="J78" s="296"/>
      <c r="K78" s="296"/>
      <c r="L78" s="296"/>
    </row>
    <row r="79" spans="1:21" ht="13.15">
      <c r="A79" s="131">
        <v>6</v>
      </c>
      <c r="B79" s="119">
        <f t="shared" si="11"/>
        <v>44.839433561786016</v>
      </c>
      <c r="C79" s="119">
        <f t="shared" si="11"/>
        <v>53.219447309579316</v>
      </c>
      <c r="D79" s="119">
        <f t="shared" si="11"/>
        <v>59.218661326752063</v>
      </c>
      <c r="E79" s="119">
        <f t="shared" si="11"/>
        <v>66.049448336516676</v>
      </c>
      <c r="F79" s="119">
        <f t="shared" si="11"/>
        <v>68.526998080795309</v>
      </c>
      <c r="G79" s="296"/>
      <c r="H79" s="296"/>
      <c r="I79" s="296"/>
      <c r="J79" s="296"/>
      <c r="K79" s="296"/>
      <c r="L79" s="296"/>
    </row>
    <row r="80" spans="1:21" ht="13.15">
      <c r="A80" s="131">
        <f t="shared" ref="A80" si="12">A62</f>
        <v>7</v>
      </c>
      <c r="B80" s="119">
        <f t="shared" si="11"/>
        <v>44.813689276110679</v>
      </c>
      <c r="C80" s="119">
        <f t="shared" si="11"/>
        <v>54.484638434486513</v>
      </c>
      <c r="D80" s="119">
        <f t="shared" si="11"/>
        <v>61.640254913074301</v>
      </c>
      <c r="E80" s="119">
        <f t="shared" si="11"/>
        <v>69.99214072761302</v>
      </c>
      <c r="F80" s="119">
        <f t="shared" si="11"/>
        <v>73.070529136726691</v>
      </c>
      <c r="G80" s="296"/>
      <c r="H80" s="296"/>
      <c r="I80" s="296"/>
      <c r="J80" s="296"/>
      <c r="K80" s="296"/>
      <c r="L80" s="296"/>
    </row>
    <row r="81" spans="1:12" ht="13.15">
      <c r="A81" s="131">
        <v>8</v>
      </c>
      <c r="B81" s="119">
        <f t="shared" si="11"/>
        <v>44.789685280142997</v>
      </c>
      <c r="C81" s="119">
        <f t="shared" si="11"/>
        <v>55.723287088241797</v>
      </c>
      <c r="D81" s="119">
        <f t="shared" si="11"/>
        <v>64.078782720279946</v>
      </c>
      <c r="E81" s="119">
        <f t="shared" si="11"/>
        <v>74.072689496020445</v>
      </c>
      <c r="F81" s="119">
        <f t="shared" si="11"/>
        <v>77.815288840822845</v>
      </c>
      <c r="G81" s="296"/>
      <c r="H81" s="296"/>
      <c r="I81" s="296"/>
      <c r="J81" s="296"/>
      <c r="K81" s="296"/>
      <c r="L81" s="296"/>
    </row>
    <row r="82" spans="1:12" ht="13.15">
      <c r="A82" s="131">
        <f t="shared" ref="A82" si="13">A64</f>
        <v>9</v>
      </c>
      <c r="B82" s="119">
        <f t="shared" si="11"/>
        <v>44.767303931921383</v>
      </c>
      <c r="C82" s="119">
        <f t="shared" si="11"/>
        <v>56.935950105904304</v>
      </c>
      <c r="D82" s="119">
        <f t="shared" si="11"/>
        <v>66.534363169493986</v>
      </c>
      <c r="E82" s="119">
        <f t="shared" si="11"/>
        <v>78.295914794791727</v>
      </c>
      <c r="F82" s="119">
        <f t="shared" si="11"/>
        <v>82.770189417594594</v>
      </c>
      <c r="G82" s="296"/>
      <c r="H82" s="296"/>
      <c r="I82" s="296"/>
      <c r="J82" s="296"/>
      <c r="K82" s="296"/>
      <c r="L82" s="296"/>
    </row>
    <row r="83" spans="1:12" ht="13.15">
      <c r="A83" s="131">
        <f t="shared" ref="A83:A87" si="14">A65</f>
        <v>10</v>
      </c>
      <c r="B83" s="119">
        <f t="shared" si="11"/>
        <v>44.746435541971159</v>
      </c>
      <c r="C83" s="119">
        <f t="shared" si="11"/>
        <v>58.12317264067881</v>
      </c>
      <c r="D83" s="119">
        <f t="shared" si="11"/>
        <v>69.007115509961281</v>
      </c>
      <c r="E83" s="119">
        <f t="shared" si="11"/>
        <v>82.666805313799799</v>
      </c>
      <c r="F83" s="119">
        <f t="shared" si="11"/>
        <v>87.944537805458793</v>
      </c>
      <c r="G83" s="296"/>
      <c r="H83" s="296"/>
      <c r="I83" s="296"/>
      <c r="J83" s="296"/>
      <c r="K83" s="296"/>
      <c r="L83" s="296"/>
    </row>
    <row r="84" spans="1:12" ht="13.15">
      <c r="A84" s="131">
        <f t="shared" si="14"/>
        <v>15</v>
      </c>
      <c r="B84" s="119">
        <f t="shared" si="11"/>
        <v>44.661440739196763</v>
      </c>
      <c r="C84" s="119">
        <f t="shared" si="11"/>
        <v>63.695971154881477</v>
      </c>
      <c r="D84" s="119">
        <f t="shared" si="11"/>
        <v>81.632688006131772</v>
      </c>
      <c r="E84" s="119">
        <f t="shared" si="11"/>
        <v>106.92339800965472</v>
      </c>
      <c r="F84" s="119">
        <f t="shared" si="11"/>
        <v>117.4636386826548</v>
      </c>
      <c r="G84" s="296"/>
      <c r="H84" s="296"/>
      <c r="I84" s="296"/>
      <c r="J84" s="296"/>
      <c r="K84" s="296"/>
      <c r="L84" s="296"/>
    </row>
    <row r="85" spans="1:12" ht="13.15">
      <c r="A85" s="132">
        <f t="shared" si="14"/>
        <v>20</v>
      </c>
      <c r="B85" s="119">
        <f t="shared" si="11"/>
        <v>44.601543629507553</v>
      </c>
      <c r="C85" s="119">
        <f t="shared" si="11"/>
        <v>68.708228170449786</v>
      </c>
      <c r="D85" s="119">
        <f t="shared" si="11"/>
        <v>94.705931589313678</v>
      </c>
      <c r="E85" s="119">
        <f t="shared" si="11"/>
        <v>135.72775504655695</v>
      </c>
      <c r="F85" s="119">
        <f t="shared" si="11"/>
        <v>154.12484357742494</v>
      </c>
      <c r="G85" s="296"/>
      <c r="H85" s="296"/>
      <c r="I85" s="296"/>
      <c r="J85" s="296"/>
      <c r="K85" s="296"/>
      <c r="L85" s="296"/>
    </row>
    <row r="86" spans="1:12" ht="13.15">
      <c r="A86" s="132">
        <f t="shared" si="14"/>
        <v>25</v>
      </c>
      <c r="B86" s="119">
        <f t="shared" si="11"/>
        <v>44.559333239789446</v>
      </c>
      <c r="C86" s="119">
        <f t="shared" si="11"/>
        <v>73.216325910945287</v>
      </c>
      <c r="D86" s="119">
        <f t="shared" si="11"/>
        <v>108.24271955176422</v>
      </c>
      <c r="E86" s="119">
        <f t="shared" si="11"/>
        <v>169.93251722039341</v>
      </c>
      <c r="F86" s="119">
        <f t="shared" si="11"/>
        <v>199.6561742886058</v>
      </c>
      <c r="G86" s="296"/>
      <c r="H86" s="296"/>
      <c r="I86" s="296"/>
      <c r="J86" s="296"/>
      <c r="K86" s="296"/>
      <c r="L86" s="296"/>
    </row>
    <row r="87" spans="1:12" ht="13.15">
      <c r="A87" s="132">
        <f t="shared" si="14"/>
        <v>30</v>
      </c>
      <c r="B87" s="119">
        <f t="shared" si="11"/>
        <v>44.529586946363956</v>
      </c>
      <c r="C87" s="119">
        <f t="shared" si="11"/>
        <v>77.270975378188623</v>
      </c>
      <c r="D87" s="119">
        <f t="shared" si="11"/>
        <v>122.25948801281247</v>
      </c>
      <c r="E87" s="119">
        <f t="shared" si="11"/>
        <v>210.55018328632337</v>
      </c>
      <c r="F87" s="119">
        <f t="shared" si="11"/>
        <v>256.20374500488231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87.944537805458793</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82.666805313799799</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69.007115509961281</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58.12317264067881</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44.746435541971159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81"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9678</v>
      </c>
      <c r="D7" s="469"/>
      <c r="E7" s="469"/>
      <c r="F7" s="469"/>
      <c r="G7" s="469"/>
    </row>
    <row r="8" spans="2:7">
      <c r="B8" s="97" t="s">
        <v>63</v>
      </c>
      <c r="C8" s="447">
        <f>Normalized_FCF!G19</f>
        <v>7662.219886375362</v>
      </c>
      <c r="D8" s="469"/>
      <c r="E8" s="469"/>
      <c r="F8" s="469"/>
      <c r="G8" s="469"/>
    </row>
    <row r="9" spans="2:7">
      <c r="B9" s="97" t="s">
        <v>54</v>
      </c>
      <c r="C9" s="447">
        <f>Normalized_FCF!C19</f>
        <v>6406.883139124674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8.8839846355660779E-2</v>
      </c>
      <c r="D12" s="469"/>
      <c r="E12" s="469"/>
      <c r="F12" s="469"/>
      <c r="G12" s="469"/>
    </row>
    <row r="13" spans="2:7">
      <c r="B13" s="135" t="s">
        <v>127</v>
      </c>
      <c r="C13" s="249">
        <f ca="1">(Normalized_FCF!G8/OFFSET(Normalized_FCF!G8, 0, $C$4))^(1/$C$4) - 1</f>
        <v>0.42336141371279012</v>
      </c>
      <c r="D13" s="469"/>
      <c r="E13" s="469"/>
      <c r="F13" s="469"/>
      <c r="G13" s="469"/>
    </row>
    <row r="14" spans="2:7">
      <c r="B14" s="97" t="s">
        <v>63</v>
      </c>
      <c r="C14" s="249">
        <f ca="1">(Normalized_FCF!G19/OFFSET(Normalized_FCF!G19, 0, $C$4))^(1/$C$4) - 1</f>
        <v>0.41173288969918787</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0.11</v>
      </c>
      <c r="D22" s="325">
        <f>C18</f>
        <v>10</v>
      </c>
      <c r="E22" s="326">
        <f>DCF!E91</f>
        <v>82.666805313799799</v>
      </c>
      <c r="F22" s="328">
        <f>1-F23-F24</f>
        <v>0.19999999999999996</v>
      </c>
      <c r="G22" s="328">
        <f>F22*(1-F$29-F$30)</f>
        <v>0.15999999999999995</v>
      </c>
    </row>
    <row r="23" spans="2:7">
      <c r="B23" s="302" t="s">
        <v>437</v>
      </c>
      <c r="C23" s="324">
        <v>0.08</v>
      </c>
      <c r="D23" s="325">
        <f>C18</f>
        <v>10</v>
      </c>
      <c r="E23" s="326">
        <f>DCF!E92</f>
        <v>69.007115509961281</v>
      </c>
      <c r="F23" s="327">
        <v>0.55000000000000004</v>
      </c>
      <c r="G23" s="328">
        <f t="shared" ref="G23:G24" si="0">F23*(1-F$29-F$30)</f>
        <v>0.44</v>
      </c>
    </row>
    <row r="24" spans="2:7">
      <c r="B24" s="302" t="s">
        <v>446</v>
      </c>
      <c r="C24" s="324">
        <v>0.05</v>
      </c>
      <c r="D24" s="325">
        <f>C18</f>
        <v>10</v>
      </c>
      <c r="E24" s="326">
        <f>DCF!E93</f>
        <v>58.12317264067881</v>
      </c>
      <c r="F24" s="327">
        <v>0.25</v>
      </c>
      <c r="G24" s="328">
        <f t="shared" si="0"/>
        <v>0.19999999999999998</v>
      </c>
    </row>
    <row r="25" spans="2:7">
      <c r="B25" s="141" t="s">
        <v>451</v>
      </c>
      <c r="C25" s="441">
        <f>E23*F23+E24*F24+E22*F22</f>
        <v>69.01806775340836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0.12</v>
      </c>
      <c r="D29" s="325">
        <f>C18</f>
        <v>10</v>
      </c>
      <c r="E29" s="326">
        <f>DCF!E90</f>
        <v>87.944537805458793</v>
      </c>
      <c r="F29" s="327">
        <v>0.15</v>
      </c>
      <c r="G29" s="328">
        <f>F29</f>
        <v>0.15</v>
      </c>
    </row>
    <row r="30" spans="2:7">
      <c r="B30" s="315" t="s">
        <v>447</v>
      </c>
      <c r="C30" s="324">
        <v>0</v>
      </c>
      <c r="D30" s="325">
        <f>C18</f>
        <v>10</v>
      </c>
      <c r="E30" s="326">
        <f>DCF!E94</f>
        <v>44.746435541971159</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39.24</v>
      </c>
      <c r="D34" t="str">
        <f>Market_currency</f>
        <v>HKD</v>
      </c>
      <c r="E34" s="97" t="s">
        <v>454</v>
      </c>
      <c r="F34" s="330">
        <f>RATE(Holding_Period,$C$33,-C34,$C$36)</f>
        <v>0.21952005351229451</v>
      </c>
    </row>
    <row r="35" spans="2:7">
      <c r="B35" s="97" t="s">
        <v>434</v>
      </c>
      <c r="C35" s="320">
        <f>DCF!C11</f>
        <v>60.912831083425452</v>
      </c>
      <c r="D35" s="97" t="str">
        <f>Market_currency</f>
        <v>HKD</v>
      </c>
      <c r="E35" s="97" t="s">
        <v>454</v>
      </c>
      <c r="F35" s="330">
        <f>RATE(Holding_Period,$C$33,-C35,$C$36)</f>
        <v>5.2861894506899848E-2</v>
      </c>
    </row>
    <row r="36" spans="2:7">
      <c r="B36" s="97" t="s">
        <v>435</v>
      </c>
      <c r="C36" s="321">
        <f>E22*G22+E23*G23+E24*G24+E30*G30+E29*G29</f>
        <v>70.643456650644055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0.28146521974317368</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50.483136481116496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0.21911288198452494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32.15450917189078</v>
      </c>
      <c r="E62" s="332">
        <f>C62+D62</f>
        <v>32.412397201021413</v>
      </c>
      <c r="F62" s="301">
        <f>Thesis!E22</f>
        <v>0.3</v>
      </c>
      <c r="G62" s="440">
        <f>(1-E62/C36)</f>
        <v>0.54118330645523538</v>
      </c>
    </row>
    <row r="63" spans="2:7" ht="13.15">
      <c r="B63" s="302" t="s">
        <v>313</v>
      </c>
      <c r="C63" s="119">
        <f>PV(F63, Holding_Period, -C58, 0)</f>
        <v>0.29912037037037031</v>
      </c>
      <c r="D63" s="119">
        <f>C36/(1+F63)^Holding_Period</f>
        <v>40.881630006159753</v>
      </c>
      <c r="E63" s="332">
        <f>C63+D63</f>
        <v>41.180750376530121</v>
      </c>
      <c r="F63" s="301">
        <f>Thesis!E23</f>
        <v>0.2</v>
      </c>
      <c r="G63" s="440">
        <f>(1-E63/C36)</f>
        <v>0.41706207016195496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50.634431752839802</v>
      </c>
      <c r="E66" s="332">
        <f>C66+D66</f>
        <v>50.977021396723089</v>
      </c>
      <c r="F66" s="301">
        <f>Thesis!E24</f>
        <v>0.1174</v>
      </c>
      <c r="G66" s="440">
        <f>(1-E66/C36)</f>
        <v>0.27839004751959096</v>
      </c>
    </row>
    <row r="67" spans="2:7" ht="13.15">
      <c r="B67" s="302" t="s">
        <v>314</v>
      </c>
      <c r="C67" s="119">
        <f>PV(F67, Holding_Period, -C58, 0)</f>
        <v>0.37095728225856828</v>
      </c>
      <c r="D67" s="119">
        <f>C36/(1+F67)^Holding_Period</f>
        <v>57.263783482233087</v>
      </c>
      <c r="E67" s="332">
        <f>C67+D67</f>
        <v>57.634740764491653</v>
      </c>
      <c r="F67" s="301">
        <f>Thesis!E25</f>
        <v>7.2499999999999995E-2</v>
      </c>
      <c r="G67" s="440">
        <f>(1-E67/C36)</f>
        <v>0.18414608376944142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46103</v>
      </c>
    </row>
    <row r="4" spans="1:10">
      <c r="B4" s="422" t="s">
        <v>534</v>
      </c>
      <c r="C4" s="423" t="str">
        <f>Thesis!C4</f>
        <v>腾讯音乐</v>
      </c>
      <c r="D4" s="349"/>
      <c r="E4" s="434" t="s">
        <v>540</v>
      </c>
      <c r="F4" s="437" t="str">
        <f>Thesis!F4</f>
        <v>INT</v>
      </c>
    </row>
    <row r="5" spans="1:10">
      <c r="B5" s="343" t="s">
        <v>364</v>
      </c>
      <c r="C5" s="355" t="str">
        <f>Thesis!C5</f>
        <v>1698.hk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39.24</v>
      </c>
    </row>
    <row r="9" spans="1:10">
      <c r="B9" s="351" t="s">
        <v>361</v>
      </c>
      <c r="C9" s="353">
        <f>Common_Shares</f>
        <v>3108803728</v>
      </c>
    </row>
    <row r="10" spans="1:10">
      <c r="B10" s="351" t="s">
        <v>367</v>
      </c>
      <c r="C10" s="357">
        <f>投资主题!C8*Common_Shares/1000000</f>
        <v>121989.45828672001</v>
      </c>
      <c r="D10" s="343" t="s">
        <v>529</v>
      </c>
      <c r="E10" s="360">
        <f>Scenarios!F34</f>
        <v>0.21952005351229451</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1.1347130000000001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70.643456650644055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32.412397201021413</v>
      </c>
      <c r="D22" s="365" t="s">
        <v>440</v>
      </c>
      <c r="E22" s="366">
        <f>Thesis!E22</f>
        <v>0.3</v>
      </c>
    </row>
    <row r="23" spans="1:6">
      <c r="B23" s="343" t="s">
        <v>341</v>
      </c>
      <c r="C23" s="367">
        <f>E141</f>
        <v>41.180750376530121</v>
      </c>
      <c r="D23" s="365" t="s">
        <v>441</v>
      </c>
      <c r="E23" s="368">
        <f>Thesis!E23</f>
        <v>0.2</v>
      </c>
    </row>
    <row r="24" spans="1:6">
      <c r="B24" s="343" t="s">
        <v>343</v>
      </c>
      <c r="C24" s="367">
        <f>E144</f>
        <v>50.977021396723089</v>
      </c>
      <c r="D24" s="365" t="s">
        <v>443</v>
      </c>
      <c r="E24" s="368">
        <f>Thesis!E24</f>
        <v>0.1174</v>
      </c>
    </row>
    <row r="25" spans="1:6">
      <c r="B25" s="343" t="s">
        <v>342</v>
      </c>
      <c r="C25" s="367">
        <f>E145</f>
        <v>57.634740764491653</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9207.3202704130126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-650.63867420757288</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72.408389576888965</v>
      </c>
      <c r="D44" s="343" t="str">
        <f>Reporting_currency</f>
        <v>CNY</v>
      </c>
      <c r="E44" s="371"/>
      <c r="F44" s="371"/>
    </row>
    <row r="45" spans="2:6">
      <c r="B45" s="372" t="s">
        <v>268</v>
      </c>
      <c r="C45" s="376">
        <f>Normalized_FCF!C45</f>
        <v>-18.96</v>
      </c>
      <c r="D45" s="343" t="str">
        <f>Reporting_currency</f>
        <v>CNY</v>
      </c>
      <c r="E45" s="371"/>
      <c r="F45" s="371"/>
    </row>
    <row r="46" spans="2:6">
      <c r="B46" s="372" t="s">
        <v>203</v>
      </c>
      <c r="C46" s="373">
        <f>Normalized_FCF!C10</f>
        <v>53.448389576888964</v>
      </c>
      <c r="D46" s="343" t="str">
        <f>Reporting_currency</f>
        <v>CNY</v>
      </c>
    </row>
    <row r="48" spans="2:6">
      <c r="B48" s="343" t="s">
        <v>505</v>
      </c>
    </row>
    <row r="49" spans="2:6">
      <c r="B49" s="372" t="s">
        <v>223</v>
      </c>
      <c r="C49" s="373">
        <f>Normalized_FCF!C13</f>
        <v>-538.69335586775105</v>
      </c>
      <c r="D49" s="343" t="str">
        <f>Reporting_currency</f>
        <v>CNY</v>
      </c>
    </row>
    <row r="51" spans="2:6">
      <c r="B51" s="470" t="s">
        <v>506</v>
      </c>
      <c r="C51" s="470"/>
      <c r="D51" s="470"/>
      <c r="E51" s="470"/>
      <c r="F51" s="470"/>
    </row>
    <row r="52" spans="2:6">
      <c r="B52" s="372" t="s">
        <v>496</v>
      </c>
      <c r="C52" s="373">
        <f>Normalized_FCF!C12</f>
        <v>-2315.1921649974752</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7662.219886375362</v>
      </c>
      <c r="D60" s="343" t="str">
        <f>Reporting_currency</f>
        <v>CNY</v>
      </c>
    </row>
    <row r="61" spans="2:6">
      <c r="B61" s="372" t="s">
        <v>213</v>
      </c>
      <c r="C61" s="373">
        <f>Normalized_FCF!C19</f>
        <v>6406.883139124674</v>
      </c>
      <c r="D61" s="343" t="str">
        <f>Reporting_currency</f>
        <v>CNY</v>
      </c>
    </row>
    <row r="62" spans="2:6">
      <c r="B62" s="377" t="s">
        <v>302</v>
      </c>
      <c r="C62" s="378">
        <f>Normalized_FCF!C124</f>
        <v>5.9595096900573741E-2</v>
      </c>
      <c r="F62" s="379"/>
    </row>
    <row r="63" spans="2:6">
      <c r="B63" s="377" t="s">
        <v>332</v>
      </c>
      <c r="C63" s="378">
        <f>Normalized_FCF!C92</f>
        <v>3.6187563710499485E-3</v>
      </c>
      <c r="E63" s="372" t="s">
        <v>373</v>
      </c>
      <c r="F63" s="380">
        <f>Normalized_FCF!C90</f>
        <v>6.8902478754484062E-2</v>
      </c>
    </row>
    <row r="65" spans="1:6">
      <c r="B65" s="369" t="s">
        <v>376</v>
      </c>
      <c r="C65" s="381" t="s">
        <v>327</v>
      </c>
      <c r="D65" s="381" t="s">
        <v>374</v>
      </c>
    </row>
    <row r="66" spans="1:6">
      <c r="B66" s="372" t="s">
        <v>326</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-316</v>
      </c>
      <c r="D78" s="343" t="str">
        <f>Reporting_currency</f>
        <v>CNY</v>
      </c>
    </row>
    <row r="79" spans="1:6">
      <c r="B79" s="372" t="s">
        <v>234</v>
      </c>
      <c r="C79" s="387">
        <f>C78*scaling_factor*Exchange_Rate/Common_Shares</f>
        <v>-0.1153399633339606</v>
      </c>
      <c r="D79" s="343" t="str">
        <f>Market_currency</f>
        <v>HKD</v>
      </c>
    </row>
    <row r="80" spans="1:6">
      <c r="B80" s="382" t="s">
        <v>309</v>
      </c>
      <c r="C80" s="388">
        <f>IF(BS!G31/BS!G27&gt;300%,"nm",BS!G31/BS!G27)</f>
        <v>3.8049367850692354E-3</v>
      </c>
    </row>
    <row r="81" spans="1:6">
      <c r="B81" s="382" t="s">
        <v>311</v>
      </c>
      <c r="C81" s="389">
        <f>IF(BS!C50&gt;30,"nm",BS!C50)</f>
        <v>3.432051788351935E-2</v>
      </c>
    </row>
    <row r="83" spans="1:6">
      <c r="B83" s="343" t="s">
        <v>512</v>
      </c>
    </row>
    <row r="84" spans="1:6">
      <c r="B84" s="343" t="s">
        <v>224</v>
      </c>
      <c r="C84" s="373">
        <f>DCF!F5</f>
        <v>25989.935070518506</v>
      </c>
      <c r="D84" s="343" t="str">
        <f>Reporting_currency</f>
        <v>CNY</v>
      </c>
    </row>
    <row r="85" spans="1:6">
      <c r="B85" s="382" t="s">
        <v>481</v>
      </c>
      <c r="C85" s="390">
        <f>BS!C66</f>
        <v>38058</v>
      </c>
      <c r="D85" s="391" t="str">
        <f>Reporting_currency</f>
        <v>CNY</v>
      </c>
    </row>
    <row r="86" spans="1:6">
      <c r="B86" s="372" t="s">
        <v>235</v>
      </c>
      <c r="C86" s="387">
        <f>C84*scaling_factor*Exchange_Rate/Common_Shares</f>
        <v>9.4863232850810792</v>
      </c>
      <c r="D86" s="343" t="str">
        <f>Market_currency</f>
        <v>HKD</v>
      </c>
    </row>
    <row r="88" spans="1:6">
      <c r="B88" s="343" t="s">
        <v>513</v>
      </c>
    </row>
    <row r="89" spans="1:6">
      <c r="B89" s="343" t="s">
        <v>217</v>
      </c>
      <c r="C89" s="373">
        <f>DCF!F6</f>
        <v>16734</v>
      </c>
      <c r="D89" s="343" t="str">
        <f>Reporting_currency</f>
        <v>CNY</v>
      </c>
    </row>
    <row r="90" spans="1:6">
      <c r="B90" s="372" t="s">
        <v>236</v>
      </c>
      <c r="C90" s="387">
        <f>C89*scaling_factor*Exchange_Rate/Common_Shares</f>
        <v>6.1079080583243561</v>
      </c>
      <c r="D90" s="343" t="str">
        <f>Market_currency</f>
        <v>HKD</v>
      </c>
    </row>
    <row r="92" spans="1:6">
      <c r="B92" s="372" t="s">
        <v>480</v>
      </c>
      <c r="C92" s="387">
        <f>DCF!F8</f>
        <v>15.478891380071477</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11.413144871814177</v>
      </c>
      <c r="D111" s="343" t="str">
        <f>Market_currency</f>
        <v>HKD</v>
      </c>
    </row>
    <row r="112" spans="1:6">
      <c r="A112" s="385"/>
      <c r="B112" s="372" t="s">
        <v>377</v>
      </c>
      <c r="C112" s="394">
        <f>DCF!C11</f>
        <v>60.912831083425452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0.12</v>
      </c>
      <c r="D118" s="397">
        <f>DCF!D90</f>
        <v>10</v>
      </c>
      <c r="E118" s="398" t="str">
        <f>ROUND(DCF!E90,2)&amp;" "&amp;Market_currency</f>
        <v>87.94 HKD</v>
      </c>
      <c r="F118" s="399">
        <f>DCF!F90</f>
        <v>0.15</v>
      </c>
    </row>
    <row r="119" spans="1:6">
      <c r="A119" s="385"/>
      <c r="B119" s="400" t="str">
        <f>DCF!B91</f>
        <v>Optimistic</v>
      </c>
      <c r="C119" s="401">
        <f>DCF!C91</f>
        <v>0.11</v>
      </c>
      <c r="D119" s="402">
        <f>DCF!D91</f>
        <v>10</v>
      </c>
      <c r="E119" s="398" t="str">
        <f>ROUND(DCF!E91,2)&amp;" "&amp;Market_currency</f>
        <v>82.67 HKD</v>
      </c>
      <c r="F119" s="403">
        <f>DCF!F91</f>
        <v>0.15999999999999995</v>
      </c>
    </row>
    <row r="120" spans="1:6">
      <c r="B120" s="400" t="str">
        <f>DCF!B92</f>
        <v>Base</v>
      </c>
      <c r="C120" s="401">
        <f>DCF!C92</f>
        <v>0.08</v>
      </c>
      <c r="D120" s="402">
        <f>DCF!D92</f>
        <v>10</v>
      </c>
      <c r="E120" s="398" t="str">
        <f>ROUND(DCF!E92,2)&amp;" "&amp;Market_currency</f>
        <v>69.01 HKD</v>
      </c>
      <c r="F120" s="403">
        <f>DCF!F92</f>
        <v>0.44</v>
      </c>
    </row>
    <row r="121" spans="1:6">
      <c r="B121" s="400" t="str">
        <f>DCF!B93</f>
        <v>Pessimistic</v>
      </c>
      <c r="C121" s="401">
        <f>DCF!C93</f>
        <v>0.05</v>
      </c>
      <c r="D121" s="402">
        <f>DCF!D93</f>
        <v>10</v>
      </c>
      <c r="E121" s="398" t="str">
        <f>ROUND(DCF!E93,2)&amp;" "&amp;Market_currency</f>
        <v>58.12 HKD</v>
      </c>
      <c r="F121" s="403">
        <f>DCF!F93</f>
        <v>0.19999999999999998</v>
      </c>
    </row>
    <row r="122" spans="1:6">
      <c r="B122" s="400" t="str">
        <f>DCF!B94</f>
        <v>Devil's advocate</v>
      </c>
      <c r="C122" s="401">
        <f>DCF!C94</f>
        <v>0</v>
      </c>
      <c r="D122" s="402">
        <f>DCF!D94</f>
        <v>10</v>
      </c>
      <c r="E122" s="398" t="str">
        <f>ROUND(DCF!E94,2)&amp;" "&amp;Market_currency</f>
        <v>44.75 HKD</v>
      </c>
      <c r="F122" s="403">
        <f>DCF!F94</f>
        <v>0.05</v>
      </c>
    </row>
    <row r="124" spans="1:6">
      <c r="B124" s="470" t="s">
        <v>519</v>
      </c>
      <c r="C124" s="470"/>
      <c r="D124" s="470"/>
      <c r="E124" s="470"/>
      <c r="F124" s="470"/>
    </row>
    <row r="125" spans="1:6">
      <c r="B125" s="372" t="s">
        <v>218</v>
      </c>
      <c r="C125" s="404">
        <f>Scenarios!C36</f>
        <v>70.643456650644055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32.15450917189078</v>
      </c>
      <c r="E140" s="410">
        <f>Scenarios!E62</f>
        <v>32.412397201021413</v>
      </c>
      <c r="F140" s="411">
        <f>E22</f>
        <v>0.3</v>
      </c>
    </row>
    <row r="141" spans="1:6">
      <c r="B141" s="408" t="s">
        <v>313</v>
      </c>
      <c r="C141" s="409">
        <f>Scenarios!C63</f>
        <v>0.29912037037037031</v>
      </c>
      <c r="D141" s="409">
        <f>Scenarios!D63</f>
        <v>40.881630006159753</v>
      </c>
      <c r="E141" s="410">
        <f>Scenarios!E63</f>
        <v>41.180750376530121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50.634431752839802</v>
      </c>
      <c r="E144" s="410">
        <f>Scenarios!E66</f>
        <v>50.977021396723089</v>
      </c>
      <c r="F144" s="411">
        <f>E24</f>
        <v>0.1174</v>
      </c>
    </row>
    <row r="145" spans="1:6">
      <c r="B145" s="408" t="s">
        <v>314</v>
      </c>
      <c r="C145" s="409">
        <f>Scenarios!C67</f>
        <v>0.37095728225856828</v>
      </c>
      <c r="D145" s="409">
        <f>Scenarios!D67</f>
        <v>57.263783482233087</v>
      </c>
      <c r="E145" s="410">
        <f>Scenarios!E67</f>
        <v>57.634740764491653</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