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7C00FE9-A348-4239-98B9-FD8CCD4ACD9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G4" i="3"/>
  <c r="C23" i="3"/>
  <c r="G17" i="3"/>
  <c r="C19" i="3"/>
  <c r="D6" i="4"/>
  <c r="C6" i="4"/>
  <c r="E83" i="2" l="1"/>
  <c r="E84" i="2"/>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<sst xmlns="http://schemas.openxmlformats.org/spreadsheetml/2006/main" count="768" uniqueCount="559">
  <si>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</si>
  <si>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</si>
  <si>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</si>
  <si>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</si>
  <si>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</si>
  <si>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</si>
  <si>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</si>
  <si>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</si>
  <si>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</si>
  <si>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</si>
  <si>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</si>
  <si>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</si>
  <si>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</si>
  <si>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</si>
  <si>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</si>
  <si>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</si>
  <si>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</si>
  <si>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</si>
  <si>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</si>
  <si>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</si>
  <si>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</si>
  <si>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</si>
  <si>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</si>
  <si>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</si>
  <si>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</si>
  <si>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</si>
  <si>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</si>
  <si>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</si>
  <si>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</si>
  <si>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</si>
  <si>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</si>
  <si>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</si>
  <si>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</si>
  <si>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</si>
  <si>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</si>
  <si>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</si>
  <si>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</si>
  <si>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</si>
  <si>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</si>
  <si>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</si>
  <si>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</si>
  <si>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</si>
  <si>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</si>
  <si>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</si>
  <si>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</si>
  <si>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</si>
  <si>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</si>
  <si>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</si>
  <si>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</si>
  <si>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</si>
  <si>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</si>
  <si>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</si>
  <si>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</si>
  <si>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</si>
  <si>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</si>
  <si>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</si>
  <si>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</si>
  <si>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</si>
  <si>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</si>
  <si>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</si>
  <si>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</si>
  <si>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</si>
  <si>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</si>
  <si>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</si>
  <si>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</si>
  <si>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</si>
  <si>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</si>
  <si>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</si>
  <si>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</si>
  <si>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</si>
  <si>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</si>
  <si>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</si>
  <si>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</si>
  <si>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</si>
  <si>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</si>
  <si>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</si>
  <si>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</si>
  <si>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</si>
  <si>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</si>
  <si>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</si>
  <si>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</si>
  <si>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</si>
  <si>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</si>
  <si>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</si>
  <si>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</si>
  <si>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</si>
  <si>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</si>
  <si>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</si>
  <si>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</si>
  <si>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</si>
  <si>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</si>
  <si>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</si>
  <si>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</si>
  <si>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</si>
  <si>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</si>
  <si>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</si>
  <si>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</si>
  <si>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</si>
  <si>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</si>
  <si>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</si>
  <si>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</si>
  <si>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</si>
  <si>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</si>
  <si>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</si>
  <si>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</si>
  <si>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</si>
  <si>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</si>
  <si>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</si>
  <si>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</si>
  <si>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</si>
  <si>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</si>
  <si>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</si>
  <si>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</si>
  <si>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</si>
  <si>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</si>
  <si>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</si>
  <si>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</si>
  <si>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</si>
  <si>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</si>
  <si>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</si>
  <si>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</si>
  <si>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</si>
  <si>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</si>
  <si>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</si>
  <si>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</si>
  <si>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</si>
  <si>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</si>
  <si>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</si>
  <si>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</si>
  <si>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</si>
  <si>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</si>
  <si>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</si>
  <si>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</si>
  <si>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</si>
  <si>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</si>
  <si>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</si>
  <si>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</si>
  <si>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</si>
  <si>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</si>
  <si>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</si>
  <si>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</si>
  <si>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</si>
  <si>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</si>
  <si>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</si>
  <si>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</si>
  <si>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</si>
  <si>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</si>
  <si>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</si>
  <si>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</si>
  <si>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</si>
  <si>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</si>
  <si>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</si>
  <si>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</si>
  <si>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</si>
  <si>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</si>
  <si>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</si>
  <si>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</si>
  <si>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</si>
  <si>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</si>
  <si>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</si>
  <si>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</si>
  <si>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</si>
  <si>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</si>
  <si>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</si>
  <si>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</si>
  <si>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</si>
  <si>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</si>
  <si>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</si>
  <si>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</si>
  <si>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</si>
  <si>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</si>
  <si>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</si>
  <si>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</si>
  <si>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</si>
  <si>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</si>
  <si>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</si>
  <si>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</si>
  <si>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</si>
  <si>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</si>
  <si>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</si>
  <si>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</si>
  <si>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</si>
  <si>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</si>
  <si>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</si>
  <si>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</si>
  <si>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</si>
  <si>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</si>
  <si>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</si>
  <si>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</si>
  <si>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</si>
  <si>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</si>
  <si>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</si>
  <si>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</si>
  <si>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</si>
  <si>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</si>
  <si>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</si>
  <si>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</si>
  <si>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</si>
  <si>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</si>
  <si>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</si>
  <si>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</si>
  <si>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</si>
  <si>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</si>
  <si>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</si>
  <si>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</si>
  <si>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</si>
  <si>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</si>
  <si>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</si>
  <si>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</si>
  <si>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</si>
  <si>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</si>
  <si>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</si>
  <si>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</si>
  <si>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</si>
  <si>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</si>
  <si>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</si>
  <si>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</si>
  <si>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</si>
  <si>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</si>
  <si>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</si>
  <si>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</si>
  <si>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</si>
  <si>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</si>
  <si>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</si>
  <si>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</si>
  <si>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</si>
  <si>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</si>
  <si>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</si>
  <si>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</si>
  <si>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</si>
  <si>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</si>
  <si>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</si>
  <si>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</si>
  <si>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</si>
  <si>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</si>
  <si>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</si>
  <si>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</si>
  <si>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</si>
  <si>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</si>
  <si>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</si>
  <si>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</si>
  <si>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</si>
  <si>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</si>
  <si>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</si>
  <si>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</si>
  <si>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</si>
  <si>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</si>
  <si>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</si>
  <si>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</si>
  <si>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</si>
  <si>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</si>
  <si>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</si>
  <si>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</si>
  <si>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</si>
  <si>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</si>
  <si>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</si>
  <si>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</si>
  <si>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</si>
  <si>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</si>
  <si>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</si>
  <si>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</si>
  <si>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</si>
  <si>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</si>
  <si>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</si>
  <si>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</si>
  <si>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</si>
  <si>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</si>
  <si>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</si>
  <si>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</si>
  <si>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</si>
  <si>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</si>
  <si>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</si>
  <si>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</si>
  <si>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</si>
  <si>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</si>
  <si>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</si>
  <si>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</si>
  <si>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</si>
  <si>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</si>
  <si>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</si>
  <si>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</si>
  <si>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</si>
  <si>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</si>
  <si>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</si>
  <si>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</si>
  <si>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</si>
  <si>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</si>
  <si>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</si>
  <si>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</si>
  <si>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</si>
  <si>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</si>
  <si>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</si>
  <si>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</si>
  <si>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</si>
  <si>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</si>
  <si>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</si>
  <si>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</si>
  <si>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</si>
  <si>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</si>
  <si>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</si>
  <si>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</si>
  <si>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</si>
  <si>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</si>
  <si>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</si>
  <si>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</si>
  <si>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</si>
  <si>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</si>
  <si>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</si>
  <si>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</si>
  <si>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</si>
  <si>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</si>
  <si>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</si>
  <si>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</si>
  <si>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</si>
  <si>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</si>
  <si>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</si>
  <si>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</si>
  <si>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</si>
  <si>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</si>
  <si>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</si>
  <si>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</si>
  <si>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</si>
  <si>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</si>
  <si>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</si>
  <si>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</si>
  <si>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</si>
  <si>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</si>
  <si>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</si>
  <si>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</si>
  <si>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</si>
  <si>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</si>
  <si>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</si>
  <si>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</si>
  <si>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</si>
  <si>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</si>
  <si>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</si>
  <si>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</si>
  <si>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</si>
  <si>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</si>
  <si>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</si>
  <si>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</si>
  <si>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</si>
  <si>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</si>
  <si>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</si>
  <si>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</si>
  <si>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</si>
  <si>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</si>
  <si>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</si>
  <si>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</si>
  <si>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</si>
  <si>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</si>
  <si>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</si>
  <si>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</si>
  <si>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</si>
  <si>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</si>
  <si>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</si>
  <si>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</si>
  <si>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</si>
  <si>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</si>
  <si>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</si>
  <si>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</si>
  <si>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</si>
  <si>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</si>
  <si>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</si>
  <si>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</si>
  <si>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</si>
  <si>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</si>
  <si>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</si>
  <si>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</si>
  <si>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</si>
  <si>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</si>
  <si>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</si>
  <si>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</si>
  <si>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</si>
  <si>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</si>
  <si>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</si>
  <si>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</si>
  <si>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</si>
  <si>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</si>
  <si>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</si>
  <si>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</si>
  <si>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</si>
  <si>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</si>
  <si>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</si>
  <si>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</si>
  <si>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</si>
  <si>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</si>
  <si>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</si>
  <si>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</si>
  <si>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</si>
  <si>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</si>
  <si>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</si>
  <si>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</si>
  <si>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</si>
  <si>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</si>
  <si>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</si>
  <si>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</si>
  <si>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</si>
  <si>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</si>
  <si>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</si>
  <si>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</si>
  <si>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</si>
  <si>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</si>
  <si>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</si>
  <si>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</si>
  <si>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</si>
  <si>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</si>
  <si>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</si>
  <si>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</si>
  <si>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</si>
  <si>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</si>
  <si>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</si>
  <si>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</si>
  <si>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</si>
  <si>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</si>
  <si>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</si>
  <si>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</si>
  <si>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</si>
  <si>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</si>
  <si>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</si>
  <si>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</si>
  <si>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</si>
  <si>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</si>
  <si>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</si>
  <si>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</si>
  <si>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</si>
  <si>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</si>
  <si>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</si>
  <si>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</si>
  <si>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</si>
  <si>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</si>
  <si>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</si>
  <si>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</si>
  <si>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</si>
  <si>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</si>
  <si>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</si>
  <si>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</si>
  <si>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</si>
  <si>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</si>
  <si>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</si>
  <si>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</si>
  <si>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</si>
  <si>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</si>
  <si>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</si>
  <si>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</si>
  <si>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</si>
  <si>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</si>
  <si>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</si>
  <si>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</si>
  <si>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</si>
  <si>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</si>
  <si>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</si>
  <si>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</si>
  <si>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</si>
  <si>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</si>
  <si>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</si>
  <si>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</si>
  <si>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</si>
  <si>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</si>
  <si>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</si>
  <si>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</si>
  <si>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</si>
  <si>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</si>
  <si>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</si>
  <si>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</si>
  <si>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</si>
  <si>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</si>
  <si>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</si>
  <si>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</si>
  <si>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</si>
  <si>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</si>
  <si>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</si>
  <si>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</si>
  <si>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</si>
  <si>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</si>
  <si>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</si>
  <si>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</si>
  <si>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</si>
  <si>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</si>
  <si>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</si>
  <si>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</si>
  <si>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</si>
  <si>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</si>
  <si>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</si>
  <si>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</si>
  <si>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</si>
  <si>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</si>
  <si>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</si>
  <si>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</si>
  <si>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</si>
  <si>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</si>
  <si>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</si>
  <si>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</si>
  <si>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</si>
  <si>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</si>
  <si>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</si>
  <si>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</si>
  <si>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</si>
  <si>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</si>
  <si>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</si>
  <si>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</si>
  <si>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</si>
  <si>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</si>
  <si>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</si>
  <si>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</si>
  <si>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</si>
  <si>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</si>
  <si>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</si>
  <si>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</si>
  <si>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</si>
  <si>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</si>
  <si>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</si>
  <si>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</si>
  <si>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</si>
  <si>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</si>
  <si>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</si>
  <si>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</si>
  <si>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</si>
  <si>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</si>
  <si>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</si>
  <si>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</si>
  <si>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</si>
  <si>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</si>
  <si>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</si>
  <si>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</si>
  <si>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</si>
  <si>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</si>
  <si>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</si>
  <si>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</si>
  <si>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</si>
  <si>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</si>
  <si>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</si>
  <si>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</si>
  <si>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</si>
  <si>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</si>
  <si>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</si>
  <si>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</si>
  <si>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</si>
  <si>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</si>
  <si>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</si>
  <si>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</si>
  <si>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</si>
  <si>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</si>
  <si>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</si>
  <si>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</si>
  <si>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</si>
  <si>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</si>
  <si>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</si>
  <si>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</si>
  <si>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</si>
  <si>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</si>
  <si>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</si>
  <si>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</si>
  <si>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</si>
  <si>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</si>
  <si>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1698.hk</t>
  </si>
  <si>
    <t>腾讯音乐</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</si>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</sst>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8" sqref="B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46101</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40.56</v>
      </c>
      <c r="E8" s="32"/>
    </row>
    <row r="9" spans="1:9">
      <c r="B9" s="4" t="s">
        <v>346</v>
      </c>
      <c r="C9" s="48">
        <v>3108803728</v>
      </c>
    </row>
    <row r="10" spans="1:9">
      <c r="B10" s="4" t="s">
        <v>352</v>
      </c>
      <c r="C10" s="33">
        <f>Thesis!C8*Common_Shares/1000000</f>
        <v>126093.07920768001</v>
      </c>
      <c r="D10" s="1" t="s">
        <v>528</v>
      </c>
      <c r="E10" s="303">
        <f>Scenarios!F34</f>
        <v>0.27360139854124743</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1.1399999999999999</v>
      </c>
    </row>
    <row r="17" spans="1:6">
      <c r="B17" s="1" t="s">
        <v>532</v>
      </c>
      <c r="C17" s="456">
        <v>0.02</v>
      </c>
      <c r="D17" s="4" t="s">
        <v>274</v>
      </c>
      <c r="E17" s="224" t="s">
        <v>558</v>
      </c>
    </row>
    <row r="18" spans="1:6">
      <c r="B18" s="1" t="str">
        <f>"Expected Equity Value ("&amp;C7&amp;") :"</f>
        <v>Expected Equity Value (HKD) :</v>
      </c>
      <c r="C18" s="252">
        <f>C125</f>
        <v>83.238038787288104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38.618382143756079</v>
      </c>
      <c r="D22" s="38" t="s">
        <v>406</v>
      </c>
      <c r="E22" s="79">
        <v>0.29465259038036601</v>
      </c>
    </row>
    <row r="23" spans="1:6">
      <c r="B23" s="1" t="s">
        <v>313</v>
      </c>
      <c r="C23" s="256">
        <f>E141</f>
        <v>48.378502156057706</v>
      </c>
      <c r="D23" s="38" t="s">
        <v>407</v>
      </c>
      <c r="E23" s="443">
        <v>0.20075184365903001</v>
      </c>
    </row>
    <row r="24" spans="1:6">
      <c r="B24" s="1" t="s">
        <v>315</v>
      </c>
      <c r="C24" s="256">
        <f>E144</f>
        <v>60.004319038841288</v>
      </c>
      <c r="D24" s="38" t="s">
        <v>408</v>
      </c>
      <c r="E24" s="443">
        <v>0.1174</v>
      </c>
    </row>
    <row r="25" spans="1:6">
      <c r="B25" s="1" t="s">
        <v>314</v>
      </c>
      <c r="C25" s="256">
        <f>E145</f>
        <v>67.843944259284271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9345.3202704130126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71.994389576888963</v>
      </c>
      <c r="D44" s="1" t="str">
        <f>Reporting_currency</f>
        <v>CNY</v>
      </c>
      <c r="E44" s="244"/>
      <c r="F44" s="244"/>
    </row>
    <row r="45" spans="2:6">
      <c r="B45" s="44" t="s">
        <v>268</v>
      </c>
      <c r="C45" s="286">
        <f>Normalized_FCF!C45</f>
        <v>-18.96</v>
      </c>
      <c r="D45" s="1" t="str">
        <f>Reporting_currency</f>
        <v>CNY</v>
      </c>
      <c r="E45" s="244"/>
      <c r="F45" s="244"/>
    </row>
    <row r="46" spans="2:6">
      <c r="B46" s="44" t="s">
        <v>203</v>
      </c>
      <c r="C46" s="285">
        <f>Normalized_FCF!C10</f>
        <v>53.034389576888962</v>
      </c>
      <c r="D46" s="1" t="str">
        <f>Reporting_currency</f>
        <v>CNY</v>
      </c>
    </row>
    <row r="48" spans="2:6">
      <c r="B48" s="1" t="s">
        <v>211</v>
      </c>
    </row>
    <row r="49" spans="2:6">
      <c r="B49" s="44" t="s">
        <v>223</v>
      </c>
      <c r="C49" s="285">
        <f>Normalized_FCF!C13</f>
        <v>-538.69335586775105</v>
      </c>
      <c r="D49" s="1" t="str">
        <f>Reporting_currency</f>
        <v>CNY</v>
      </c>
    </row>
    <row r="51" spans="2:6">
      <c r="B51" s="461" t="s">
        <v>206</v>
      </c>
      <c r="C51" s="461"/>
      <c r="D51" s="461"/>
      <c r="E51" s="461"/>
      <c r="F51" s="461"/>
    </row>
    <row r="52" spans="2:6">
      <c r="B52" s="44" t="s">
        <v>204</v>
      </c>
      <c r="C52" s="285">
        <f>Normalized_FCF!C12</f>
        <v>-2349.5886649974755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7660.3089609457529</v>
      </c>
      <c r="D60" s="1" t="str">
        <f>Reporting_currency</f>
        <v>CNY</v>
      </c>
    </row>
    <row r="61" spans="2:6">
      <c r="B61" s="44" t="s">
        <v>213</v>
      </c>
      <c r="C61" s="285">
        <f>Normalized_FCF!C19</f>
        <v>6510.0726391246753</v>
      </c>
      <c r="D61" s="1" t="str">
        <f>Reporting_currency</f>
        <v>CNY</v>
      </c>
    </row>
    <row r="62" spans="2:6">
      <c r="B62" s="204" t="s">
        <v>302</v>
      </c>
      <c r="C62" s="89">
        <f>Normalized_FCF!C124</f>
        <v>5.8857178008784046E-2</v>
      </c>
      <c r="F62" s="257"/>
    </row>
    <row r="63" spans="2:6">
      <c r="B63" s="204" t="s">
        <v>332</v>
      </c>
      <c r="C63" s="89">
        <f>Normalized_FCF!C92</f>
        <v>3.500986193293885E-3</v>
      </c>
      <c r="E63" s="44" t="s">
        <v>322</v>
      </c>
      <c r="F63" s="258">
        <f>Normalized_FCF!C90</f>
        <v>6.7810323148000395E-2</v>
      </c>
    </row>
    <row r="65" spans="1:6">
      <c r="B65" s="192" t="s">
        <v>325</v>
      </c>
      <c r="C65" s="264" t="s">
        <v>327</v>
      </c>
      <c r="D65" s="264" t="s">
        <v>328</v>
      </c>
    </row>
    <row r="66" spans="1:6">
      <c r="B66" s="44" t="s">
        <v>326</v>
      </c>
      <c r="C66" s="89">
        <f>Normalized_FCF!E119</f>
        <v>0.11316501697760267</v>
      </c>
      <c r="D66" s="89">
        <f>Normalized_FCF!G119</f>
        <v>0.11898024034853405</v>
      </c>
    </row>
    <row r="67" spans="1:6">
      <c r="B67" s="229" t="str">
        <f>Normalized_FCF!B116</f>
        <v>Pre-tax Profit/Sales</v>
      </c>
      <c r="C67" s="263">
        <f>Normalized_FCF!E116</f>
        <v>0.28564691082578264</v>
      </c>
      <c r="D67" s="263">
        <f>Normalized_FCF!G116</f>
        <v>0.30032548054664621</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-316</v>
      </c>
      <c r="D78" s="1" t="str">
        <f>Reporting_currency</f>
        <v>CNY</v>
      </c>
    </row>
    <row r="79" spans="1:6">
      <c r="A79" s="191"/>
      <c r="B79" s="44" t="s">
        <v>234</v>
      </c>
      <c r="C79" s="201">
        <f>C78*scaling_factor*Exchange_Rate/Common_Shares</f>
        <v>-0.11587737004926801</v>
      </c>
      <c r="D79" s="1" t="str">
        <f>Market_currency</f>
        <v>HKD</v>
      </c>
    </row>
    <row r="80" spans="1:6">
      <c r="A80" s="191"/>
      <c r="B80" s="229" t="s">
        <v>309</v>
      </c>
      <c r="C80" s="337">
        <f>IF(BS!G31/BS!G27&gt;300%,"nm",BS!G31/BS!G27)</f>
        <v>3.8049367850692354E-3</v>
      </c>
    </row>
    <row r="81" spans="1:6">
      <c r="A81" s="191"/>
      <c r="B81" s="229" t="s">
        <v>311</v>
      </c>
      <c r="C81" s="338">
        <f>IF(BS!C50&gt;30,"nm",BS!C50)</f>
        <v>3.3813715405821454E-2</v>
      </c>
    </row>
    <row r="82" spans="1:6">
      <c r="A82" s="191"/>
    </row>
    <row r="83" spans="1:6">
      <c r="A83" s="191"/>
      <c r="B83" s="1" t="s">
        <v>466</v>
      </c>
    </row>
    <row r="84" spans="1:6">
      <c r="A84" s="191"/>
      <c r="B84" s="1" t="s">
        <v>224</v>
      </c>
      <c r="C84" s="285">
        <f>DCF!F5</f>
        <v>26058.935070518506</v>
      </c>
      <c r="D84" s="1" t="str">
        <f>Reporting_currency</f>
        <v>CNY</v>
      </c>
    </row>
    <row r="85" spans="1:6">
      <c r="A85" s="191"/>
      <c r="B85" s="229" t="s">
        <v>222</v>
      </c>
      <c r="C85" s="291">
        <f>BS!C66</f>
        <v>38058</v>
      </c>
      <c r="D85" s="339" t="str">
        <f>Reporting_currency</f>
        <v>CNY</v>
      </c>
    </row>
    <row r="86" spans="1:6">
      <c r="A86" s="191"/>
      <c r="B86" s="44" t="s">
        <v>235</v>
      </c>
      <c r="C86" s="201">
        <f>C84*scaling_factor*Exchange_Rate/Common_Shares</f>
        <v>9.5558255134693706</v>
      </c>
      <c r="D86" s="1" t="str">
        <f>Market_currency</f>
        <v>HKD</v>
      </c>
    </row>
    <row r="87" spans="1:6">
      <c r="A87" s="191"/>
    </row>
    <row r="88" spans="1:6">
      <c r="A88" s="191"/>
      <c r="B88" s="1" t="s">
        <v>216</v>
      </c>
    </row>
    <row r="89" spans="1:6">
      <c r="A89" s="191"/>
      <c r="B89" s="1" t="s">
        <v>217</v>
      </c>
      <c r="C89" s="285">
        <f>DCF!F6</f>
        <v>16734</v>
      </c>
      <c r="D89" s="1" t="str">
        <f>Reporting_currency</f>
        <v>CNY</v>
      </c>
    </row>
    <row r="90" spans="1:6">
      <c r="A90" s="191"/>
      <c r="B90" s="44" t="s">
        <v>236</v>
      </c>
      <c r="C90" s="201">
        <f>C89*scaling_factor*Exchange_Rate/Common_Shares</f>
        <v>6.136366805077377</v>
      </c>
      <c r="D90" s="1" t="str">
        <f>Market_currency</f>
        <v>HKD</v>
      </c>
    </row>
    <row r="91" spans="1:6">
      <c r="A91" s="191"/>
    </row>
    <row r="92" spans="1:6">
      <c r="A92" s="191"/>
      <c r="B92" s="44" t="s">
        <v>469</v>
      </c>
      <c r="C92" s="216">
        <f>DCF!F8</f>
        <v>15.576314948497481</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11.46632245675176</v>
      </c>
      <c r="D111" s="1" t="str">
        <f>Market_currency</f>
        <v>HKD</v>
      </c>
    </row>
    <row r="112" spans="2:6">
      <c r="B112" s="44" t="s">
        <v>323</v>
      </c>
      <c r="C112" s="216">
        <f>DCF!C11</f>
        <v>61.957116526345246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0.15</v>
      </c>
      <c r="D118" s="207" t="str">
        <f>ROUND(DCF!E90,2)&amp;" "&amp;Market_currency</f>
        <v>176.68 HKD</v>
      </c>
      <c r="E118" s="208">
        <f>DCF!F90</f>
        <v>0.15</v>
      </c>
      <c r="F118" s="208">
        <f>RATE(Holding_Period,Scenarios!C$58,-DCF!E90,C$18)</f>
        <v>-0.2208258089424035</v>
      </c>
    </row>
    <row r="119" spans="2:6">
      <c r="B119" s="205" t="str">
        <f>DCF!B91&amp;" ("&amp;DCF!D91&amp;"yrs)"</f>
        <v>Optimistic (15yrs)</v>
      </c>
      <c r="C119" s="198">
        <f>DCF!C91</f>
        <v>0.08</v>
      </c>
      <c r="D119" s="207" t="str">
        <f>ROUND(DCF!E91,2)&amp;" "&amp;Market_currency</f>
        <v>90.74 HKD</v>
      </c>
      <c r="E119" s="199">
        <f>DCF!F91</f>
        <v>0.15999999999999995</v>
      </c>
      <c r="F119" s="208">
        <f>RATE(Holding_Period,Scenarios!C$58,-DCF!E91,C$18)</f>
        <v>-2.6751397706007488E-2</v>
      </c>
    </row>
    <row r="120" spans="2:6">
      <c r="B120" s="205" t="str">
        <f>DCF!B92&amp;" ("&amp;DCF!D92&amp;"yrs)"</f>
        <v>Base (15yrs)</v>
      </c>
      <c r="C120" s="198">
        <f>DCF!C92</f>
        <v>0.04</v>
      </c>
      <c r="D120" s="207" t="str">
        <f>ROUND(DCF!E92,2)&amp;" "&amp;Market_currency</f>
        <v>64.99 HKD</v>
      </c>
      <c r="E120" s="199">
        <f>DCF!F92</f>
        <v>0.44</v>
      </c>
      <c r="F120" s="208">
        <f>RATE(Holding_Period,Scenarios!C$58,-DCF!E92,C$18)</f>
        <v>8.8015310712306213E-2</v>
      </c>
    </row>
    <row r="121" spans="2:6">
      <c r="B121" s="205" t="str">
        <f>DCF!B93&amp;" ("&amp;DCF!D93&amp;"yrs)"</f>
        <v>Pessimistic (15yrs)</v>
      </c>
      <c r="C121" s="198">
        <f>DCF!C93</f>
        <v>0.02</v>
      </c>
      <c r="D121" s="207" t="str">
        <f>ROUND(DCF!E93,2)&amp;" "&amp;Market_currency</f>
        <v>55.93 HKD</v>
      </c>
      <c r="E121" s="199">
        <f>DCF!F93</f>
        <v>0.19999999999999998</v>
      </c>
      <c r="F121" s="208">
        <f>RATE(Holding_Period,Scenarios!C$58,-DCF!E93,C$18)</f>
        <v>0.14395214407005177</v>
      </c>
    </row>
    <row r="122" spans="2:6">
      <c r="B122" s="205" t="str">
        <f>DCF!B94&amp;" ("&amp;DCF!D94&amp;"yrs)"</f>
        <v>Devil's advocate (15yrs)</v>
      </c>
      <c r="C122" s="198">
        <f>DCF!C94</f>
        <v>0</v>
      </c>
      <c r="D122" s="207" t="str">
        <f>ROUND(DCF!E94,2)&amp;" "&amp;Market_currency</f>
        <v>48.73 HKD</v>
      </c>
      <c r="E122" s="199">
        <f>DCF!F94</f>
        <v>0.05</v>
      </c>
      <c r="F122" s="208">
        <f>RATE(Holding_Period,Scenarios!C$58,-DCF!E94,C$18)</f>
        <v>0.19781548386391307</v>
      </c>
    </row>
    <row r="124" spans="2:6">
      <c r="B124" s="461" t="s">
        <v>357</v>
      </c>
      <c r="C124" s="461"/>
      <c r="D124" s="461"/>
      <c r="E124" s="461"/>
      <c r="F124" s="461"/>
    </row>
    <row r="125" spans="2:6">
      <c r="B125" s="193" t="s">
        <v>218</v>
      </c>
      <c r="C125" s="197">
        <f>Scenarios!C36</f>
        <v>83.238038787288104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0.25983892380763701</v>
      </c>
      <c r="D140" s="333">
        <f>Scenarios!D62</f>
        <v>38.358543219948444</v>
      </c>
      <c r="E140" s="334">
        <f>Scenarios!E62</f>
        <v>38.618382143756079</v>
      </c>
      <c r="F140" s="335">
        <f>E22</f>
        <v>0.29465259038036601</v>
      </c>
    </row>
    <row r="141" spans="1:6">
      <c r="B141" s="336" t="s">
        <v>313</v>
      </c>
      <c r="C141" s="333">
        <f>Scenarios!C63</f>
        <v>0.29876856051220924</v>
      </c>
      <c r="D141" s="333">
        <f>Scenarios!D63</f>
        <v>48.079733595545498</v>
      </c>
      <c r="E141" s="334">
        <f>Scenarios!E63</f>
        <v>48.378502156057706</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59.661729394958002</v>
      </c>
      <c r="E144" s="334">
        <f>Scenarios!E66</f>
        <v>60.004319038841288</v>
      </c>
      <c r="F144" s="335">
        <f>E24</f>
        <v>0.1174</v>
      </c>
    </row>
    <row r="145" spans="1:6">
      <c r="B145" s="336" t="s">
        <v>314</v>
      </c>
      <c r="C145" s="333">
        <f>Scenarios!C67</f>
        <v>0.37095728225856828</v>
      </c>
      <c r="D145" s="333">
        <f>Scenarios!D67</f>
        <v>67.472986977025698</v>
      </c>
      <c r="E145" s="334">
        <f>Scenarios!E67</f>
        <v>67.843944259284271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21" sqref="C21:E2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32902</v>
      </c>
      <c r="D4" s="287">
        <v>28401</v>
      </c>
      <c r="E4" s="287"/>
      <c r="F4" s="287"/>
      <c r="G4" s="287"/>
      <c r="H4" s="287"/>
      <c r="I4" s="287"/>
      <c r="J4" s="287"/>
      <c r="K4" s="287"/>
      <c r="L4" s="287"/>
      <c r="M4" s="287"/>
    </row>
    <row r="5" spans="2:13">
      <c r="B5" s="38" t="s">
        <v>40</v>
      </c>
      <c r="C5" s="287">
        <v>18367</v>
      </c>
      <c r="D5" s="287">
        <v>16376</v>
      </c>
      <c r="E5" s="287"/>
      <c r="F5" s="287"/>
      <c r="G5" s="287"/>
      <c r="H5" s="287"/>
      <c r="I5" s="287"/>
      <c r="J5" s="287"/>
      <c r="K5" s="287"/>
      <c r="L5" s="287"/>
      <c r="M5" s="287"/>
    </row>
    <row r="6" spans="2:13">
      <c r="B6" s="38" t="s">
        <v>51</v>
      </c>
      <c r="C6" s="287">
        <f>3916+C7</f>
        <v>4857</v>
      </c>
      <c r="D6" s="287">
        <f>3811+D7</f>
        <v>4676</v>
      </c>
      <c r="E6" s="287"/>
      <c r="F6" s="287"/>
      <c r="G6" s="287"/>
      <c r="H6" s="287"/>
      <c r="I6" s="287"/>
      <c r="J6" s="287"/>
      <c r="K6" s="287"/>
      <c r="L6" s="287"/>
      <c r="M6" s="287"/>
    </row>
    <row r="7" spans="2:13">
      <c r="B7" s="66" t="s">
        <v>58</v>
      </c>
      <c r="C7" s="288">
        <v>941</v>
      </c>
      <c r="D7" s="288">
        <v>865</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129</v>
      </c>
      <c r="D12" s="287">
        <v>94</v>
      </c>
      <c r="E12" s="287"/>
      <c r="F12" s="287"/>
      <c r="G12" s="287"/>
      <c r="H12" s="287"/>
      <c r="I12" s="287"/>
      <c r="J12" s="287"/>
      <c r="K12" s="287"/>
      <c r="L12" s="287"/>
      <c r="M12" s="287"/>
    </row>
    <row r="13" spans="2:13">
      <c r="B13" s="38" t="s">
        <v>64</v>
      </c>
      <c r="C13" s="287">
        <v>1054</v>
      </c>
      <c r="D13" s="287">
        <v>1196</v>
      </c>
      <c r="E13" s="287"/>
      <c r="F13" s="287"/>
      <c r="G13" s="287"/>
      <c r="H13" s="287"/>
      <c r="I13" s="287"/>
      <c r="J13" s="287"/>
      <c r="K13" s="287"/>
      <c r="L13" s="287"/>
      <c r="M13" s="287"/>
    </row>
    <row r="14" spans="2:13">
      <c r="B14" s="38" t="s">
        <v>47</v>
      </c>
      <c r="C14" s="287">
        <v>1924</v>
      </c>
      <c r="D14" s="287">
        <v>1603</v>
      </c>
      <c r="E14" s="287"/>
      <c r="F14" s="287"/>
      <c r="G14" s="287"/>
      <c r="H14" s="287"/>
      <c r="I14" s="287"/>
      <c r="J14" s="287"/>
      <c r="K14" s="287"/>
      <c r="L14" s="287"/>
      <c r="M14" s="287"/>
    </row>
    <row r="15" spans="2:13">
      <c r="B15" s="41" t="s">
        <v>39</v>
      </c>
      <c r="C15" s="289">
        <v>11353</v>
      </c>
      <c r="D15" s="289">
        <v>7109</v>
      </c>
      <c r="E15" s="289"/>
      <c r="F15" s="289"/>
      <c r="G15" s="289"/>
      <c r="H15" s="289"/>
      <c r="I15" s="289"/>
      <c r="J15" s="289"/>
      <c r="K15" s="289"/>
      <c r="L15" s="289"/>
      <c r="M15" s="289"/>
    </row>
    <row r="16" spans="2:13">
      <c r="B16" s="27" t="s">
        <v>41</v>
      </c>
      <c r="C16" s="287">
        <v>297</v>
      </c>
      <c r="D16" s="287">
        <v>465</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c r="F22" s="287"/>
      <c r="G22" s="287"/>
      <c r="H22" s="287"/>
      <c r="I22" s="287"/>
      <c r="J22" s="287"/>
      <c r="K22" s="287"/>
      <c r="L22" s="287"/>
      <c r="M22" s="287"/>
    </row>
    <row r="23" spans="2:13">
      <c r="B23" s="26" t="s">
        <v>288</v>
      </c>
      <c r="C23" s="287">
        <v>65893</v>
      </c>
      <c r="D23" s="287">
        <v>-294294</v>
      </c>
      <c r="E23" s="287"/>
      <c r="F23" s="287"/>
      <c r="G23" s="287"/>
      <c r="H23" s="287"/>
      <c r="I23" s="287"/>
      <c r="J23" s="287"/>
      <c r="K23" s="287"/>
      <c r="L23" s="287"/>
      <c r="M23" s="287"/>
    </row>
    <row r="24" spans="2:13">
      <c r="B24" s="26" t="s">
        <v>287</v>
      </c>
      <c r="C24" s="287">
        <v>-298236</v>
      </c>
      <c r="D24" s="287">
        <v>-403493</v>
      </c>
      <c r="E24" s="287"/>
      <c r="F24" s="287"/>
      <c r="G24" s="287"/>
      <c r="H24" s="287"/>
      <c r="I24" s="287"/>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26</v>
      </c>
      <c r="C27" s="94" t="s">
        <v>547</v>
      </c>
    </row>
    <row r="28" spans="2:13">
      <c r="B28" s="25" t="s">
        <v>22</v>
      </c>
      <c r="C28" s="270">
        <f>BS!C4</f>
        <v>3903</v>
      </c>
      <c r="D28" s="287">
        <v>715301</v>
      </c>
      <c r="E28" s="287"/>
      <c r="F28" s="287"/>
      <c r="G28" s="287"/>
      <c r="H28" s="287"/>
      <c r="I28" s="287"/>
      <c r="J28" s="287"/>
      <c r="K28" s="287"/>
      <c r="L28" s="287"/>
      <c r="M28" s="287"/>
    </row>
    <row r="29" spans="2:13">
      <c r="B29" s="25" t="s">
        <v>30</v>
      </c>
      <c r="C29" s="270">
        <f>BS!C6</f>
        <v>41</v>
      </c>
      <c r="D29" s="287">
        <v>23</v>
      </c>
      <c r="E29" s="287"/>
      <c r="F29" s="287"/>
      <c r="G29" s="287"/>
      <c r="H29" s="287"/>
      <c r="I29" s="287"/>
      <c r="J29" s="287"/>
      <c r="K29" s="287"/>
      <c r="L29" s="287"/>
      <c r="M29" s="287"/>
    </row>
    <row r="30" spans="2:13">
      <c r="B30" s="28" t="s">
        <v>38</v>
      </c>
      <c r="C30" s="271">
        <f>BS!C33+BS!C42</f>
        <v>19472</v>
      </c>
      <c r="D30" s="289">
        <v>2524058</v>
      </c>
      <c r="E30" s="289"/>
      <c r="F30" s="289"/>
      <c r="G30" s="289"/>
      <c r="H30" s="289"/>
      <c r="I30" s="289"/>
      <c r="J30" s="289"/>
      <c r="K30" s="289"/>
      <c r="L30" s="289"/>
      <c r="M30" s="289"/>
    </row>
    <row r="31" spans="2:13">
      <c r="B31" s="28" t="s">
        <v>28</v>
      </c>
      <c r="C31" s="271">
        <f>BS!G27</f>
        <v>83050</v>
      </c>
      <c r="D31" s="289">
        <v>3112637</v>
      </c>
      <c r="E31" s="289"/>
      <c r="F31" s="289"/>
      <c r="G31" s="289"/>
      <c r="H31" s="289"/>
      <c r="I31" s="289"/>
      <c r="J31" s="289"/>
      <c r="K31" s="289"/>
      <c r="L31" s="289"/>
      <c r="M31" s="289"/>
    </row>
    <row r="32" spans="2:13">
      <c r="B32" s="25" t="s">
        <v>143</v>
      </c>
      <c r="C32" s="270">
        <f>BS!G28</f>
        <v>2763</v>
      </c>
      <c r="D32" s="287">
        <v>1863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32902</v>
      </c>
      <c r="D36" s="270">
        <f t="shared" si="1"/>
        <v>28401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-18367</v>
      </c>
      <c r="D37" s="270">
        <f t="shared" si="2"/>
        <v>-16376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14535</v>
      </c>
      <c r="D38" s="267">
        <f t="shared" ref="D38" si="3">IF(D36="","",D36+D37)</f>
        <v>12025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-4857</v>
      </c>
      <c r="D39" s="270">
        <f t="shared" si="13"/>
        <v>-4676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-941</v>
      </c>
      <c r="D40" s="282">
        <f t="shared" si="14"/>
        <v>-865</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-3916</v>
      </c>
      <c r="D41" s="282">
        <f t="shared" ref="D41:M41" si="15">IF(D$4="","",D39-D40)</f>
        <v>-3811</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9678</v>
      </c>
      <c r="D43" s="271">
        <f t="shared" ref="D43:M43" si="17">IF(D$4="","",D38+D39+D42)</f>
        <v>7349</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2674</v>
      </c>
      <c r="D44" s="290">
        <f t="shared" si="18"/>
        <v>261</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925</v>
      </c>
      <c r="D45" s="285">
        <f t="shared" si="19"/>
        <v>1102</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-1924</v>
      </c>
      <c r="D46" s="270">
        <f t="shared" ref="D46:M46" si="20">IF(D$4="","",-D14)</f>
        <v>-1603</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11353</v>
      </c>
      <c r="D47" s="271">
        <f t="shared" si="21"/>
        <v>7109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-297</v>
      </c>
      <c r="D48" s="270">
        <f t="shared" si="22"/>
        <v>-465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-129</v>
      </c>
      <c r="D51" s="270">
        <f t="shared" si="23"/>
        <v>-94</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1054</v>
      </c>
      <c r="D52" s="270">
        <f t="shared" ref="D52:M52" si="24">IF(D$4="","",D13)</f>
        <v>1196</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2674</v>
      </c>
      <c r="D58" s="285">
        <f t="shared" ref="D58:M58" si="28">IF(D$4="","",D44-D55-D56-D57)</f>
        <v>261</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626674</v>
      </c>
      <c r="D64" s="270">
        <f t="shared" ref="D64:M64" si="32">IF(D$4="","",D22+D23+D24)</f>
        <v>92756</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0.14199999999999999</v>
      </c>
      <c r="D65" s="70">
        <f t="shared" ref="D65:M65" si="33">IF(D$4="","",D25)</f>
        <v>7.6999999999999999E-2</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0.15848033519946481</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0.20873180873180863</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9.245210727969349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102522</v>
      </c>
      <c r="D76" s="285">
        <f t="shared" ref="D76:M76" si="39">IF(D$4="","",D79+D80)</f>
        <v>5636695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3903</v>
      </c>
      <c r="D77" s="282">
        <f t="shared" si="40"/>
        <v>715301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41</v>
      </c>
      <c r="D78" s="282">
        <f t="shared" si="40"/>
        <v>23</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19472</v>
      </c>
      <c r="D79" s="270">
        <f t="shared" si="41"/>
        <v>2524058</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83050</v>
      </c>
      <c r="D80" s="270">
        <f t="shared" si="42"/>
        <v>3112637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19" sqref="C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3903</v>
      </c>
      <c r="D4" s="231">
        <v>0.6</v>
      </c>
      <c r="E4" s="24"/>
      <c r="F4" s="4" t="s">
        <v>74</v>
      </c>
      <c r="G4" s="18">
        <f>15763+8470</f>
        <v>24233</v>
      </c>
      <c r="H4" s="231">
        <v>0.9</v>
      </c>
    </row>
    <row r="5" spans="2:8" ht="15" customHeight="1">
      <c r="B5" s="1" t="s">
        <v>31</v>
      </c>
      <c r="C5" s="18">
        <v>0</v>
      </c>
      <c r="D5" s="231">
        <v>0.6</v>
      </c>
      <c r="E5" s="24"/>
      <c r="F5" s="1" t="s">
        <v>27</v>
      </c>
      <c r="G5" s="18">
        <v>15</v>
      </c>
      <c r="H5" s="231">
        <v>0.7</v>
      </c>
    </row>
    <row r="6" spans="2:8" ht="15" customHeight="1">
      <c r="B6" s="4" t="s">
        <v>8</v>
      </c>
      <c r="C6" s="18">
        <v>41</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4183</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83</v>
      </c>
      <c r="D11" s="231">
        <v>0.05</v>
      </c>
      <c r="H11" s="232"/>
    </row>
    <row r="12" spans="2:8" ht="15" customHeight="1">
      <c r="B12" s="77" t="s">
        <v>69</v>
      </c>
      <c r="C12" s="78">
        <f>SUM(C4:C11)</f>
        <v>8210</v>
      </c>
      <c r="D12" s="19">
        <f>C4*D4+C5*D5+C9*D9+C6*D6+C8*D8+C7*D7+C10*D10+C11*D11</f>
        <v>2784.75</v>
      </c>
      <c r="F12" s="77" t="s">
        <v>67</v>
      </c>
      <c r="G12" s="78">
        <f>SUM(G4:G10)</f>
        <v>24248</v>
      </c>
      <c r="H12" s="19">
        <f>G4*H4+G5*H5+G6*H6+G7*H7+G8*H8+G9*H9+G10*H10</f>
        <v>21820.2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365</v>
      </c>
      <c r="D15" s="231">
        <v>0.4</v>
      </c>
      <c r="F15" s="4" t="s">
        <v>75</v>
      </c>
      <c r="G15" s="18">
        <v>13810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1659+26231</f>
        <v>27890</v>
      </c>
      <c r="H17" s="231">
        <v>0.6</v>
      </c>
    </row>
    <row r="18" spans="2:8" ht="15" customHeight="1">
      <c r="B18" s="4" t="s">
        <v>144</v>
      </c>
      <c r="C18" s="18">
        <v>0</v>
      </c>
      <c r="D18" s="231">
        <v>0.6</v>
      </c>
      <c r="F18" s="4" t="s">
        <v>151</v>
      </c>
      <c r="G18" s="18">
        <v>0</v>
      </c>
      <c r="H18" s="231">
        <v>0.1</v>
      </c>
    </row>
    <row r="19" spans="2:8" ht="15" customHeight="1">
      <c r="B19" s="4" t="s">
        <v>24</v>
      </c>
      <c r="C19" s="18">
        <f>1201+2290+287</f>
        <v>3778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2899</v>
      </c>
      <c r="D21" s="231">
        <v>0.05</v>
      </c>
      <c r="F21" s="1" t="s">
        <v>150</v>
      </c>
      <c r="G21" s="18">
        <v>0</v>
      </c>
      <c r="H21" s="231">
        <v>0.1</v>
      </c>
    </row>
    <row r="22" spans="2:8" ht="15" customHeight="1">
      <c r="B22" s="4" t="s">
        <v>18</v>
      </c>
      <c r="C22" s="18">
        <v>498</v>
      </c>
      <c r="D22" s="231">
        <v>0.9</v>
      </c>
      <c r="H22" s="232"/>
    </row>
    <row r="23" spans="2:8" ht="15" customHeight="1">
      <c r="B23" s="4" t="s">
        <v>19</v>
      </c>
      <c r="C23" s="18">
        <f>20521+303</f>
        <v>20824</v>
      </c>
      <c r="D23" s="231">
        <v>0</v>
      </c>
      <c r="H23" s="232"/>
    </row>
    <row r="24" spans="2:8" ht="15" customHeight="1">
      <c r="B24" s="77" t="s">
        <v>70</v>
      </c>
      <c r="C24" s="78">
        <f>SUM(C15:C23)</f>
        <v>28364</v>
      </c>
      <c r="D24" s="19">
        <f>C15*D15+C16*D16+C18*D18+C17*D17+C19*D19+C20*D20+C21*D21+C22*D22+C23*D23</f>
        <v>1116.95</v>
      </c>
      <c r="F24" s="77" t="s">
        <v>68</v>
      </c>
      <c r="G24" s="78">
        <f>SUM(G15:G21)</f>
        <v>41700</v>
      </c>
      <c r="H24" s="19">
        <f>G15*H15+G16*H16+G17*H17+G18*H18+G19*H19+G20*H20+G21*H21</f>
        <v>27782</v>
      </c>
    </row>
    <row r="26" spans="2:8" ht="15" customHeight="1">
      <c r="B26" s="16" t="s">
        <v>169</v>
      </c>
      <c r="C26" s="164" t="s">
        <v>113</v>
      </c>
      <c r="F26" s="166" t="s">
        <v>165</v>
      </c>
      <c r="G26" s="167" t="s">
        <v>113</v>
      </c>
      <c r="H26" s="168" t="s">
        <v>33</v>
      </c>
    </row>
    <row r="27" spans="2:8" ht="15" customHeight="1">
      <c r="B27" s="4" t="s">
        <v>3</v>
      </c>
      <c r="C27" s="18">
        <v>0</v>
      </c>
      <c r="F27" s="169" t="s">
        <v>28</v>
      </c>
      <c r="G27" s="82">
        <f>G32-G30</f>
        <v>83050</v>
      </c>
      <c r="H27" s="170">
        <f>H32-G30</f>
        <v>34031.899999999994</v>
      </c>
    </row>
    <row r="28" spans="2:8" ht="15" customHeight="1">
      <c r="B28" s="4" t="s">
        <v>4</v>
      </c>
      <c r="C28" s="18">
        <v>116</v>
      </c>
      <c r="F28" s="171" t="s">
        <v>209</v>
      </c>
      <c r="G28" s="287">
        <v>2763</v>
      </c>
      <c r="H28" s="170"/>
    </row>
    <row r="29" spans="2:8" ht="15" customHeight="1">
      <c r="B29" s="4" t="s">
        <v>5</v>
      </c>
      <c r="C29" s="18">
        <v>0</v>
      </c>
      <c r="F29" s="172" t="s">
        <v>72</v>
      </c>
      <c r="G29" s="14">
        <f>G27-G28</f>
        <v>80287</v>
      </c>
      <c r="H29" s="170">
        <f>H27-G28</f>
        <v>31268.899999999994</v>
      </c>
    </row>
    <row r="30" spans="2:8" ht="15" customHeight="1">
      <c r="B30" s="2" t="s">
        <v>6</v>
      </c>
      <c r="C30" s="18">
        <v>0</v>
      </c>
      <c r="F30" s="169" t="s">
        <v>21</v>
      </c>
      <c r="G30" s="82">
        <f>C33+C42</f>
        <v>19472</v>
      </c>
      <c r="H30" s="170"/>
    </row>
    <row r="31" spans="2:8" ht="15" customHeight="1">
      <c r="B31" s="77" t="s">
        <v>172</v>
      </c>
      <c r="C31" s="78">
        <f>SUM(C27:C30)</f>
        <v>116</v>
      </c>
      <c r="F31" s="172" t="s">
        <v>73</v>
      </c>
      <c r="G31" s="173">
        <f>C31+C40</f>
        <v>316</v>
      </c>
      <c r="H31" s="170"/>
    </row>
    <row r="32" spans="2:8" ht="15" customHeight="1">
      <c r="B32" s="4" t="s">
        <v>7</v>
      </c>
      <c r="C32" s="20">
        <f>C33-C31</f>
        <v>14473</v>
      </c>
      <c r="F32" s="174" t="s">
        <v>71</v>
      </c>
      <c r="G32" s="175">
        <f>G35+G40</f>
        <v>102522</v>
      </c>
      <c r="H32" s="170">
        <f>H35+H40</f>
        <v>53503.899999999994</v>
      </c>
    </row>
    <row r="33" spans="2:8" ht="15" customHeight="1">
      <c r="B33" s="80" t="s">
        <v>2</v>
      </c>
      <c r="C33" s="81">
        <v>14589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36574</v>
      </c>
      <c r="H35" s="182">
        <f>D12+D24</f>
        <v>3901.7</v>
      </c>
    </row>
    <row r="36" spans="2:8" ht="15" customHeight="1">
      <c r="B36" s="4" t="s">
        <v>11</v>
      </c>
      <c r="C36" s="18">
        <v>0</v>
      </c>
      <c r="F36" s="172" t="s">
        <v>166</v>
      </c>
      <c r="G36" s="173">
        <f>C4+C15</f>
        <v>4268</v>
      </c>
      <c r="H36" s="177"/>
    </row>
    <row r="37" spans="2:8" ht="15" customHeight="1">
      <c r="B37" s="4" t="s">
        <v>12</v>
      </c>
      <c r="C37" s="18">
        <v>200</v>
      </c>
      <c r="F37" s="172" t="s">
        <v>167</v>
      </c>
      <c r="G37" s="173">
        <f>C6</f>
        <v>41</v>
      </c>
      <c r="H37" s="177"/>
    </row>
    <row r="38" spans="2:8" ht="15" customHeight="1">
      <c r="B38" s="4" t="s">
        <v>13</v>
      </c>
      <c r="C38" s="18">
        <v>0</v>
      </c>
      <c r="F38" s="172" t="s">
        <v>168</v>
      </c>
      <c r="G38" s="173">
        <f>C7+C17</f>
        <v>0</v>
      </c>
      <c r="H38" s="177"/>
    </row>
    <row r="39" spans="2:8" ht="15" customHeight="1">
      <c r="B39" s="2" t="s">
        <v>14</v>
      </c>
      <c r="C39" s="18">
        <v>0</v>
      </c>
      <c r="F39" s="172" t="s">
        <v>76</v>
      </c>
      <c r="G39" s="173">
        <f>C7+C17+C19+C20</f>
        <v>3778</v>
      </c>
      <c r="H39" s="170">
        <f>C7*D7+C17*D17+C19*D19+C20*D20</f>
        <v>377.8</v>
      </c>
    </row>
    <row r="40" spans="2:8" ht="15" customHeight="1">
      <c r="B40" s="77" t="s">
        <v>173</v>
      </c>
      <c r="C40" s="78">
        <f>SUM(C36:C39)</f>
        <v>200</v>
      </c>
      <c r="F40" s="181" t="s">
        <v>115</v>
      </c>
      <c r="G40" s="175">
        <f>G12+G24</f>
        <v>65948</v>
      </c>
      <c r="H40" s="182">
        <f>H12+H24</f>
        <v>49602.2</v>
      </c>
    </row>
    <row r="41" spans="2:8" ht="15" customHeight="1">
      <c r="B41" s="4" t="s">
        <v>15</v>
      </c>
      <c r="C41" s="20">
        <f>C42-C40</f>
        <v>4683</v>
      </c>
      <c r="F41" s="172" t="s">
        <v>160</v>
      </c>
      <c r="G41" s="173">
        <f>C70</f>
        <v>38058</v>
      </c>
      <c r="H41" s="182">
        <f>H40-H42</f>
        <v>32868.199999999997</v>
      </c>
    </row>
    <row r="42" spans="2:8" ht="15" customHeight="1">
      <c r="B42" s="80" t="s">
        <v>20</v>
      </c>
      <c r="C42" s="81">
        <v>4883</v>
      </c>
      <c r="F42" s="183" t="s">
        <v>161</v>
      </c>
      <c r="G42" s="184">
        <f>C82</f>
        <v>27890</v>
      </c>
      <c r="H42" s="185">
        <f>D82</f>
        <v>16734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80287</v>
      </c>
      <c r="D46" s="73">
        <f>H29</f>
        <v>31268.899999999994</v>
      </c>
      <c r="F46" s="223"/>
    </row>
    <row r="47" spans="2:8" ht="15" customHeight="1">
      <c r="B47" s="1" t="str">
        <f>"Equity per share ("&amp;Market_currency&amp;")"</f>
        <v>Equity per share (HKD)</v>
      </c>
      <c r="C47" s="134">
        <f>C46*H1/Common_Shares*Exchange_Rate</f>
        <v>29.441286104891081</v>
      </c>
      <c r="D47" s="134">
        <f>D46*H1/Common_Shares*Exchange_Rate</f>
        <v>11.46632245675176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3.3813715405821454E-2</v>
      </c>
      <c r="D50" s="92">
        <f>G31/Normalized_FCF!G8</f>
        <v>3.265137425087828E-2</v>
      </c>
      <c r="F50" s="223"/>
    </row>
    <row r="51" spans="2:8" ht="15" customHeight="1">
      <c r="B51" s="1" t="s">
        <v>146</v>
      </c>
      <c r="C51" s="163"/>
      <c r="D51" s="89">
        <f>G29/G32</f>
        <v>0.78311972064532487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0.25551813502523685</v>
      </c>
      <c r="D54" s="89">
        <f>Normalized_FCF!G8/G35</f>
        <v>0.26461420681358344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3.6850627182458399E-2</v>
      </c>
      <c r="F59" s="223"/>
    </row>
    <row r="60" spans="2:8" ht="15" customHeight="1">
      <c r="F60" s="223"/>
    </row>
    <row r="61" spans="2:8" ht="15" customHeight="1">
      <c r="B61" s="143" t="s">
        <v>231</v>
      </c>
      <c r="C61" s="210" t="s">
        <v>114</v>
      </c>
      <c r="D61" s="179" t="s">
        <v>91</v>
      </c>
      <c r="F61" s="223"/>
    </row>
    <row r="62" spans="2:8" ht="15" customHeight="1">
      <c r="B62" s="1" t="s">
        <v>210</v>
      </c>
      <c r="C62" s="89">
        <f>IF(G28&lt;=0,0,G28/G29)</f>
        <v>3.4414039632817271E-2</v>
      </c>
      <c r="D62" s="89">
        <f>G28/G29</f>
        <v>3.4414039632817271E-2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38058</v>
      </c>
      <c r="D66" s="73">
        <f>C66-D75</f>
        <v>26058.935070518506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38058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-1972.1208441146666</v>
      </c>
      <c r="D73" s="285">
        <f>(Normalized_FCF!C26+Normalized_FCF!C35-Normalized_FCF!C89)/12</f>
        <v>-1999.8441549135823</v>
      </c>
      <c r="F73" s="1" t="s">
        <v>278</v>
      </c>
    </row>
    <row r="74" spans="2:6" ht="15" customHeight="1">
      <c r="B74" s="227" t="s">
        <v>259</v>
      </c>
      <c r="C74" s="228">
        <f>-$C$66/C73</f>
        <v>19.298006059605932</v>
      </c>
      <c r="D74" s="228">
        <f>-$C$66/D73</f>
        <v>19.030482903626343</v>
      </c>
      <c r="F74" s="223" t="s">
        <v>257</v>
      </c>
    </row>
    <row r="75" spans="2:6" ht="15" customHeight="1">
      <c r="B75" s="77" t="s">
        <v>258</v>
      </c>
      <c r="C75" s="261"/>
      <c r="D75" s="262">
        <f>MAX(-D73*D76,G5)</f>
        <v>11999.064929481494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27890</v>
      </c>
      <c r="D79" s="73">
        <f>G7*H7+G17*H17</f>
        <v>16734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27890</v>
      </c>
      <c r="D82" s="78">
        <f>SUM(D79:D81)</f>
        <v>16734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-360.23999999999995</v>
      </c>
      <c r="D86" s="201">
        <f>C86*scaling_factor/Common_Shares</f>
        <v>-0.11587737004926801</v>
      </c>
      <c r="E86" s="214" t="str">
        <f>Market_currency</f>
        <v>HKD</v>
      </c>
    </row>
    <row r="87" spans="2:8" ht="15" customHeight="1">
      <c r="B87" s="212" t="s">
        <v>240</v>
      </c>
      <c r="C87" s="73">
        <f>DCF!F5*Exchange_Rate</f>
        <v>29707.185980391096</v>
      </c>
      <c r="D87" s="201">
        <f>C87*scaling_factor/Common_Shares</f>
        <v>9.5558255134693706</v>
      </c>
      <c r="E87" s="214" t="str">
        <f>Market_currency</f>
        <v>HKD</v>
      </c>
    </row>
    <row r="88" spans="2:8" ht="15" customHeight="1">
      <c r="B88" s="213" t="s">
        <v>159</v>
      </c>
      <c r="C88" s="73">
        <f>DCF!F6*Exchange_Rate</f>
        <v>19076.759999999998</v>
      </c>
      <c r="D88" s="201">
        <f>C88*scaling_factor/Common_Shares</f>
        <v>6.136366805077377</v>
      </c>
      <c r="E88" s="214" t="str">
        <f>Market_currency</f>
        <v>HKD</v>
      </c>
    </row>
    <row r="89" spans="2:8" ht="15" customHeight="1">
      <c r="B89" s="77" t="s">
        <v>244</v>
      </c>
      <c r="C89" s="162">
        <f>SUM(C86:C88)</f>
        <v>48423.705980391096</v>
      </c>
      <c r="D89" s="216">
        <f>SUM(D86:D88)</f>
        <v>15.57631494849748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H117" sqref="H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32902</v>
      </c>
      <c r="D4" s="54"/>
      <c r="E4" s="235"/>
      <c r="F4" s="54"/>
      <c r="G4" s="270">
        <f>Data!C36</f>
        <v>32902</v>
      </c>
      <c r="H4" s="270">
        <f>Data!D36</f>
        <v>28401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-19640.679729586987</v>
      </c>
      <c r="E5" s="237"/>
      <c r="G5" s="270">
        <f t="shared" ref="G5:Q5" si="1">G26</f>
        <v>-19308</v>
      </c>
      <c r="H5" s="270">
        <f t="shared" si="1"/>
        <v>-17241</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13261.320270413013</v>
      </c>
      <c r="E6" s="237"/>
      <c r="G6" s="267">
        <f>IF(G4="","",G4+G5)</f>
        <v>13594</v>
      </c>
      <c r="H6" s="267">
        <f t="shared" ref="H6:Q6" si="2">IF(H4="","",H4+H5)</f>
        <v>11160</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-3916</v>
      </c>
      <c r="E7" s="237"/>
      <c r="G7" s="266">
        <f t="shared" ref="G7:Q7" si="3">G35</f>
        <v>-3916</v>
      </c>
      <c r="H7" s="266">
        <f t="shared" si="3"/>
        <v>-3811</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9345.3202704130126</v>
      </c>
      <c r="D8" s="56"/>
      <c r="E8" s="241"/>
      <c r="F8" s="56"/>
      <c r="G8" s="267">
        <f>IF(G$4="","",G6+G7)</f>
        <v>9678</v>
      </c>
      <c r="H8" s="267">
        <f t="shared" ref="H8:Q8" si="4">IF(H$4="","",H6+H7)</f>
        <v>7349</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53.034389576888962</v>
      </c>
      <c r="E10" s="237"/>
      <c r="G10" s="266">
        <f>G48</f>
        <v>203.30896094575371</v>
      </c>
      <c r="H10" s="266">
        <f t="shared" ref="H10:Q10" si="6">H48</f>
        <v>283.07923841662375</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9398.3546599899018</v>
      </c>
      <c r="E11" s="237"/>
      <c r="G11" s="267">
        <f t="shared" ref="G11:Q11" si="7">IF(G$4="","",SUM(G8:G10))</f>
        <v>9881.3089609457529</v>
      </c>
      <c r="H11" s="267">
        <f t="shared" si="7"/>
        <v>7632.0792384166234</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-2349.5886649974755</v>
      </c>
      <c r="E12" s="237"/>
      <c r="G12" s="266">
        <f>Data!C46</f>
        <v>-1924</v>
      </c>
      <c r="H12" s="266">
        <f>Data!D46</f>
        <v>-1603</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-538.69335586775105</v>
      </c>
      <c r="D13" s="57"/>
      <c r="E13" s="242"/>
      <c r="F13" s="57"/>
      <c r="G13" s="270">
        <f>Data!C48</f>
        <v>-297</v>
      </c>
      <c r="H13" s="270">
        <f>Data!D48</f>
        <v>-465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6510.0726391246753</v>
      </c>
      <c r="D14" s="58"/>
      <c r="E14" s="243"/>
      <c r="F14" s="58"/>
      <c r="G14" s="267">
        <f t="shared" ref="G14:Q14" si="8">IF(G$4="","",SUM(G11:G13))</f>
        <v>7660.3089609457529</v>
      </c>
      <c r="H14" s="267">
        <f t="shared" si="8"/>
        <v>5564.0792384166234</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6510.0726391246753</v>
      </c>
      <c r="D19" s="26"/>
      <c r="E19" s="234"/>
      <c r="F19" s="26"/>
      <c r="G19" s="271">
        <f t="shared" ref="G19:Q19" si="9">IF(G$4="","",G14+G17)</f>
        <v>7660.3089609457529</v>
      </c>
      <c r="H19" s="271">
        <f t="shared" si="9"/>
        <v>5564.0792384166234</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-18669.136984613218</v>
      </c>
      <c r="D23" s="55"/>
      <c r="E23" s="236"/>
      <c r="F23" s="55"/>
      <c r="G23" s="270">
        <f>Data!C37</f>
        <v>-18367</v>
      </c>
      <c r="H23" s="270">
        <f>Data!D37</f>
        <v>-16376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-971.54274497376855</v>
      </c>
      <c r="D24" s="26"/>
      <c r="E24" s="234"/>
      <c r="F24" s="26"/>
      <c r="G24" s="270">
        <f>Data!C40</f>
        <v>-941</v>
      </c>
      <c r="H24" s="270">
        <f>Data!D40</f>
        <v>-865</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-19640.679729586987</v>
      </c>
      <c r="D26" s="9"/>
      <c r="E26" s="240"/>
      <c r="F26" s="9"/>
      <c r="G26" s="267">
        <f>IF(G$4="","",SUM(G23:G25))</f>
        <v>-19308</v>
      </c>
      <c r="H26" s="267">
        <f t="shared" ref="H26:Q26" si="10">IF(H$4="","",SUM(H23:H25))</f>
        <v>-17241</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0.56741647877372858</v>
      </c>
      <c r="D29" s="25"/>
      <c r="E29" s="235"/>
      <c r="F29" s="25"/>
      <c r="G29" s="13">
        <f t="shared" ref="G29:Q29" si="11">IF(G$4="","",ABS(G23/G$4))</f>
        <v>0.55823354203391895</v>
      </c>
      <c r="H29" s="13">
        <f t="shared" si="11"/>
        <v>0.57659941551353822</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0.59694485835471967</v>
      </c>
      <c r="E32" s="237"/>
      <c r="G32" s="29">
        <f t="shared" ref="G32:Q32" si="14">IF(G$4="","",ABS(G26/G$4))</f>
        <v>0.58683362713512854</v>
      </c>
      <c r="H32" s="29">
        <f t="shared" si="14"/>
        <v>0.60705608957431079</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-3916</v>
      </c>
      <c r="D35" s="55"/>
      <c r="E35" s="236"/>
      <c r="F35" s="55"/>
      <c r="G35" s="267">
        <f>IF(G4="","",Data!C41)</f>
        <v>-3916</v>
      </c>
      <c r="H35" s="267">
        <f>IF(H4="","",Data!D41)</f>
        <v>-3811</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0.11902012035742508</v>
      </c>
      <c r="E38" s="237"/>
      <c r="G38" s="29">
        <f t="shared" ref="G38:Q38" si="15">IF(G$4="","",ABS(G35/G$4))</f>
        <v>0.11902012035742508</v>
      </c>
      <c r="H38" s="29">
        <f t="shared" si="15"/>
        <v>0.13418541600647865</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0.19471104563214178</v>
      </c>
      <c r="H41" s="6">
        <f t="shared" si="16"/>
        <v>0.21003450697041817</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-18.96</v>
      </c>
      <c r="E45" s="237"/>
      <c r="G45" s="266">
        <f>Data!C51</f>
        <v>-129</v>
      </c>
      <c r="H45" s="266">
        <f>Data!D51</f>
        <v>-94</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71.994389576888963</v>
      </c>
      <c r="E46" s="237"/>
      <c r="G46" s="274">
        <f t="shared" ref="G46:Q46" si="17">IFERROR(IF(G$4="","",($C$46/$C$47)*G47),0)</f>
        <v>332.30896094575371</v>
      </c>
      <c r="H46" s="274">
        <f t="shared" si="17"/>
        <v>377.07923841662375</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228.34800000000001</v>
      </c>
      <c r="D47" s="246"/>
      <c r="E47" s="247"/>
      <c r="F47" s="246"/>
      <c r="G47" s="278">
        <f>Data!C52</f>
        <v>1054</v>
      </c>
      <c r="H47" s="278">
        <f>Data!D52</f>
        <v>1196</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53.034389576888962</v>
      </c>
      <c r="E48" s="237"/>
      <c r="G48" s="267">
        <f>IF(G$4="","",(G45+G46))</f>
        <v>203.30896094575371</v>
      </c>
      <c r="H48" s="267">
        <f t="shared" ref="H48:Q48" si="18">IF(H$4="","",(H45+H46))</f>
        <v>283.07923841662375</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84</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87</v>
      </c>
      <c r="C53" s="40">
        <f>-C8/C45</f>
        <v>492.89663873486353</v>
      </c>
      <c r="E53" s="237"/>
      <c r="G53" s="40">
        <f t="shared" ref="G53:Q53" si="19">IF(G4="","",-G8/G45)</f>
        <v>75.023255813953483</v>
      </c>
      <c r="H53" s="40">
        <f t="shared" si="19"/>
        <v>78.180851063829792</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2674</v>
      </c>
      <c r="H60" s="266">
        <f>Data!D58</f>
        <v>261</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2674</v>
      </c>
      <c r="H61" s="267">
        <f t="shared" si="21"/>
        <v>261</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0.59694485835471967</v>
      </c>
      <c r="D71" s="26"/>
      <c r="E71" s="234"/>
      <c r="F71" s="26"/>
      <c r="G71" s="6">
        <f t="shared" ref="G71:Q71" si="23">IF(G$4="","",ABS(G5/G$4))</f>
        <v>0.58683362713512854</v>
      </c>
      <c r="H71" s="6">
        <f t="shared" si="23"/>
        <v>0.60705608957431079</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0.40305514164528028</v>
      </c>
      <c r="D72" s="26"/>
      <c r="E72" s="234"/>
      <c r="F72" s="26"/>
      <c r="G72" s="62">
        <f t="shared" ref="G72:Q72" si="24">IF(G$4="","",ABS(G6/G$4))</f>
        <v>0.41316637286487146</v>
      </c>
      <c r="H72" s="62">
        <f t="shared" si="24"/>
        <v>0.39294391042568921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0.11902012035742508</v>
      </c>
      <c r="D73" s="26"/>
      <c r="E73" s="234"/>
      <c r="F73" s="26"/>
      <c r="G73" s="6">
        <f t="shared" ref="G73:Q73" si="25">IF(G$4="","",ABS(G7/G$4))</f>
        <v>0.11902012035742508</v>
      </c>
      <c r="H73" s="6">
        <f t="shared" si="25"/>
        <v>0.13418541600647865</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0.28403502128785524</v>
      </c>
      <c r="D74" s="26"/>
      <c r="E74" s="234"/>
      <c r="F74" s="26"/>
      <c r="G74" s="62">
        <f t="shared" ref="G74:Q74" si="26">IF(G$4="","",ABS(G8/G$4))</f>
        <v>0.29414625250744636</v>
      </c>
      <c r="H74" s="62">
        <f t="shared" si="26"/>
        <v>0.25875849441921062</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1.61188953792745E-3</v>
      </c>
      <c r="D76" s="26"/>
      <c r="E76" s="234"/>
      <c r="F76" s="26"/>
      <c r="G76" s="6">
        <f t="shared" ref="G76:Q76" si="28">IF(G$4="","",ABS(G10/G$4))</f>
        <v>6.1792280391998571E-3</v>
      </c>
      <c r="H76" s="6">
        <f t="shared" si="28"/>
        <v>9.9672278587593314E-3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0.2856469108257827</v>
      </c>
      <c r="D77" s="26"/>
      <c r="E77" s="234"/>
      <c r="F77" s="26"/>
      <c r="G77" s="62">
        <f t="shared" ref="G77:Q77" si="29">IF(G$4="","",G11/G$4)</f>
        <v>0.30032548054664621</v>
      </c>
      <c r="H77" s="62">
        <f t="shared" si="29"/>
        <v>0.26872572227796993</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7.1411727706445674E-2</v>
      </c>
      <c r="D78" s="26"/>
      <c r="E78" s="234"/>
      <c r="F78" s="26"/>
      <c r="G78" s="6">
        <f t="shared" ref="G78:Q78" si="30">IF(G$4="","",ABS(G12/G$4))</f>
        <v>5.8476688347212938E-2</v>
      </c>
      <c r="H78" s="6">
        <f t="shared" si="30"/>
        <v>5.6441674588922928E-2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0.1978625201849333</v>
      </c>
      <c r="D80" s="26"/>
      <c r="E80" s="234"/>
      <c r="F80" s="26"/>
      <c r="G80" s="62">
        <f t="shared" ref="G80:Q80" si="32">IF(G$4="","",ABS(G14/G$4))</f>
        <v>0.2328219853183926</v>
      </c>
      <c r="H80" s="62">
        <f t="shared" si="32"/>
        <v>0.19591138475464326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0.1978625201849333</v>
      </c>
      <c r="D85" s="72"/>
      <c r="E85" s="234"/>
      <c r="F85" s="72"/>
      <c r="G85" s="62">
        <f t="shared" ref="G85:Q85" si="35">IF(G$4="","",ABS(G19/G$4))</f>
        <v>0.2328219853183926</v>
      </c>
      <c r="H85" s="62">
        <f t="shared" si="35"/>
        <v>0.19591138475464326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6.7810323148000395E-2</v>
      </c>
      <c r="E90" s="237"/>
      <c r="G90" s="152">
        <f t="shared" ref="G90:Q90" si="37">IF(G$4="","",G88/(G19*scaling_factor/Common_Shares))</f>
        <v>5.7628240796373555E-2</v>
      </c>
      <c r="H90" s="152">
        <f t="shared" si="37"/>
        <v>4.3022012591632332E-2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3.500986193293885E-3</v>
      </c>
      <c r="E92" s="237"/>
      <c r="G92" s="22">
        <f t="shared" ref="G92:Q92" si="38">IF(G$4="","",(G88*(1-dividend_tax_rate))/Market_Price)</f>
        <v>3.500986193293885E-3</v>
      </c>
      <c r="H92" s="22">
        <f t="shared" si="38"/>
        <v>1.8984220907297829E-3</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0.15848033519946481</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-4.8875538945766017E-2</v>
      </c>
      <c r="D96" s="26"/>
      <c r="E96" s="234"/>
      <c r="F96" s="26"/>
      <c r="G96" s="6">
        <f t="shared" ref="G96:Q96" si="40">IF(H5="","",G11/H11-1)</f>
        <v>0.29470733364604884</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102522</v>
      </c>
      <c r="D100" s="25"/>
      <c r="E100" s="238"/>
      <c r="F100" s="25"/>
      <c r="G100" s="270">
        <f t="shared" ref="G100:Q100" si="41">IF(G$4="","",G104+G103)</f>
        <v>102522</v>
      </c>
      <c r="H100" s="270">
        <f t="shared" si="41"/>
        <v>5636695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3903</v>
      </c>
      <c r="D101" s="86"/>
      <c r="E101" s="239"/>
      <c r="F101" s="86"/>
      <c r="G101" s="282">
        <f>IF(G$4="","",Data!D77)</f>
        <v>715301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41</v>
      </c>
      <c r="D102" s="86"/>
      <c r="E102" s="239"/>
      <c r="F102" s="86"/>
      <c r="G102" s="282">
        <f>IF(G$4="","",Data!D78)</f>
        <v>23</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19472</v>
      </c>
      <c r="D103" s="25"/>
      <c r="E103" s="238"/>
      <c r="F103" s="25"/>
      <c r="G103" s="270">
        <f>Data!C79</f>
        <v>19472</v>
      </c>
      <c r="H103" s="270">
        <f>Data!D79</f>
        <v>2524058</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83050</v>
      </c>
      <c r="D104" s="25"/>
      <c r="E104" s="238"/>
      <c r="F104" s="25"/>
      <c r="G104" s="270">
        <f>Data!C80</f>
        <v>83050</v>
      </c>
      <c r="H104" s="270">
        <f>Data!D80</f>
        <v>3112637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0.11862500759832229</v>
      </c>
      <c r="D107" s="25"/>
      <c r="E107" s="238"/>
      <c r="F107" s="25"/>
      <c r="G107" s="91">
        <f t="shared" ref="G107:Q107" si="42">IF(G$4="","",G101/G$4)</f>
        <v>21.740350130691144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1.2461248556318765E-3</v>
      </c>
      <c r="D108" s="25"/>
      <c r="E108" s="238"/>
      <c r="F108" s="25"/>
      <c r="G108" s="91">
        <f t="shared" ref="G108:Q108" si="43">IF(G$4="","",G102/G$4)</f>
        <v>6.9904565072032097E-4</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75.664317801462175</v>
      </c>
      <c r="H112" s="251">
        <f>IF(H$4="","",Data!D$22/Data!D15)</f>
        <v>111.20312280208186</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112.13868844970771</v>
      </c>
      <c r="H113" s="251">
        <f>IF(H$4="","",Data!D$22/H19)</f>
        <v>142.07975230506705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0.2856469108257827</v>
      </c>
      <c r="E116" s="22">
        <f>E119/E117/E118</f>
        <v>0.28564691082578264</v>
      </c>
      <c r="G116" s="22">
        <f t="shared" ref="G116:Q116" si="44">IF(G4="","",G77)</f>
        <v>0.30032548054664621</v>
      </c>
      <c r="H116" s="22">
        <f t="shared" si="44"/>
        <v>0.26872572227796993</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0.32092624022161098</v>
      </c>
      <c r="E117" s="452">
        <f>C117</f>
        <v>0.32092624022161098</v>
      </c>
      <c r="G117" s="40">
        <f t="shared" ref="G117:Q117" si="45">IF(G4="","",G4/G100)</f>
        <v>0.32092624022161098</v>
      </c>
      <c r="H117" s="40">
        <f t="shared" si="45"/>
        <v>5.0385908763912182E-3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1.2344611679711017</v>
      </c>
      <c r="D118" s="11"/>
      <c r="E118" s="15">
        <f>C100/C104</f>
        <v>1.2344611679711017</v>
      </c>
      <c r="F118" s="11"/>
      <c r="G118" s="15">
        <f t="shared" ref="G118:Q118" si="46">IF(G$4="","",G100/G104)</f>
        <v>1.2344611679711017</v>
      </c>
      <c r="H118" s="15">
        <f t="shared" si="46"/>
        <v>1.810906636398655</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0.11316501697760267</v>
      </c>
      <c r="D119" s="100"/>
      <c r="E119" s="453">
        <f>C119</f>
        <v>0.11316501697760267</v>
      </c>
      <c r="F119" s="100"/>
      <c r="G119" s="99">
        <f t="shared" ref="G119:Q119" si="47">IF(G$4="","",G11/G104)</f>
        <v>0.11898024034853405</v>
      </c>
      <c r="H119" s="99">
        <f t="shared" si="47"/>
        <v>2.4519657250159986E-3</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2.3872471400362811</v>
      </c>
      <c r="D123" s="26"/>
      <c r="E123" s="234"/>
      <c r="F123" s="26"/>
      <c r="G123" s="159">
        <f t="shared" ref="G123:Q123" si="48">IF(G$4="","",G14*$C$3/Common_Shares*Exchange_Rate)</f>
        <v>2.809039418225427</v>
      </c>
      <c r="H123" s="159">
        <f t="shared" si="48"/>
        <v>2.0403508509286472</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5.8857178008784046E-2</v>
      </c>
      <c r="D124" s="26"/>
      <c r="E124" s="234"/>
      <c r="F124" s="26"/>
      <c r="G124" s="74">
        <f t="shared" ref="G124" si="49">IF(G$4="","",G123/Market_Price)</f>
        <v>6.9256395912855692E-2</v>
      </c>
      <c r="H124" s="74">
        <f t="shared" ref="H124" si="50">IF(H$4="","",H123/Market_Price)</f>
        <v>5.0304508158990312E-2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9.0036662371462794E-2</v>
      </c>
      <c r="H125" s="22">
        <f>IF(H$4="","",(Data!D47*$C$3)/(Market_Price*Common_Shares))</f>
        <v>5.6378986417575001E-2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6510.0726391246753</v>
      </c>
      <c r="D4" t="str">
        <f>Reporting_currency</f>
        <v>CNY</v>
      </c>
      <c r="E4" s="135" t="s">
        <v>431</v>
      </c>
      <c r="F4" s="275">
        <f>-BS!G31</f>
        <v>-316</v>
      </c>
      <c r="G4" t="str">
        <f>Reporting_currency</f>
        <v>CNY</v>
      </c>
      <c r="H4" s="308" t="s">
        <v>394</v>
      </c>
      <c r="I4" s="305">
        <f>Normalized_FCF!C4</f>
        <v>32902</v>
      </c>
      <c r="J4" s="305"/>
    </row>
    <row r="5" spans="2:15">
      <c r="B5" s="187" t="s">
        <v>105</v>
      </c>
      <c r="C5" s="188">
        <f>Equity_Cost</f>
        <v>7.2499999999999995E-2</v>
      </c>
      <c r="E5" s="135" t="s">
        <v>432</v>
      </c>
      <c r="F5" s="275">
        <f>BS!D66</f>
        <v>26058.935070518506</v>
      </c>
      <c r="G5" t="str">
        <f>Reporting_currency</f>
        <v>CNY</v>
      </c>
      <c r="H5" s="308" t="s">
        <v>395</v>
      </c>
      <c r="I5" s="305">
        <f>Normalized_FCF!C7</f>
        <v>-3916</v>
      </c>
      <c r="J5" s="305"/>
    </row>
    <row r="6" spans="2:15" ht="13.25" customHeight="1">
      <c r="B6" s="136" t="s">
        <v>194</v>
      </c>
      <c r="C6" s="283">
        <f>(C4*(1+Terminal_Growth))/(Equity_Cost-Terminal_Growth)</f>
        <v>126481.41127442229</v>
      </c>
      <c r="D6" t="str">
        <f>Reporting_currency</f>
        <v>CNY</v>
      </c>
      <c r="E6" s="187" t="s">
        <v>433</v>
      </c>
      <c r="F6" s="284">
        <f>BS!H42</f>
        <v>16734</v>
      </c>
      <c r="G6" t="str">
        <f>Reporting_currency</f>
        <v>CNY</v>
      </c>
      <c r="H6" s="308" t="s">
        <v>416</v>
      </c>
      <c r="I6" s="305">
        <f>I7+I8</f>
        <v>53.034389576888962</v>
      </c>
      <c r="J6" s="305"/>
      <c r="N6" s="135"/>
    </row>
    <row r="7" spans="2:15" ht="12.75" customHeight="1">
      <c r="B7" s="318" t="s">
        <v>430</v>
      </c>
      <c r="C7" s="275">
        <f>F7</f>
        <v>42476.935070518506</v>
      </c>
      <c r="E7" s="140" t="s">
        <v>424</v>
      </c>
      <c r="F7" s="283">
        <f>SUM(F4:F6)</f>
        <v>42476.935070518506</v>
      </c>
      <c r="G7" t="str">
        <f>Reporting_currency</f>
        <v>CNY</v>
      </c>
      <c r="H7" s="312" t="s">
        <v>417</v>
      </c>
      <c r="I7" s="313">
        <f>Normalized_FCF!C9</f>
        <v>0</v>
      </c>
      <c r="J7" s="313"/>
      <c r="N7" s="304"/>
      <c r="O7" s="304"/>
    </row>
    <row r="8" spans="2:15" ht="13.15">
      <c r="B8" s="136" t="s">
        <v>426</v>
      </c>
      <c r="C8" s="283">
        <f>C6+C7</f>
        <v>168958.3463449408</v>
      </c>
      <c r="D8" t="str">
        <f>Reporting_currency</f>
        <v>CNY</v>
      </c>
      <c r="E8" s="140" t="s">
        <v>464</v>
      </c>
      <c r="F8" s="108">
        <f>FV_adjustments*scaling_factor/Common_Shares*Exchange_Rate</f>
        <v>15.576314948497481</v>
      </c>
      <c r="G8" s="294" t="str">
        <f>Market_currency</f>
        <v>HKD</v>
      </c>
      <c r="H8" s="314" t="str">
        <f>Normalized_FCF!B10</f>
        <v>Net Interest Income</v>
      </c>
      <c r="I8" s="313">
        <f>Normalized_FCF!C10</f>
        <v>53.034389576888962</v>
      </c>
      <c r="J8" s="313"/>
      <c r="N8" s="304"/>
      <c r="O8" s="304"/>
    </row>
    <row r="9" spans="2:15" ht="13.15" thickBot="1">
      <c r="B9" s="189" t="str">
        <f>"*"&amp;Thesis!E15</f>
        <v>*CNY/HKD</v>
      </c>
      <c r="C9" s="190">
        <f>Exchange_Rate</f>
        <v>1.1399999999999999</v>
      </c>
      <c r="D9" t="str">
        <f>Thesis!E15</f>
        <v>CNY/HKD</v>
      </c>
      <c r="F9" s="322"/>
      <c r="H9" s="308" t="str">
        <f>Normalized_FCF!B79</f>
        <v>NCI’s Share of Profits</v>
      </c>
      <c r="I9" s="144">
        <f>Normalized_FCF!C79</f>
        <v>1.6372662934403717E-2</v>
      </c>
      <c r="J9" s="306"/>
      <c r="N9" s="304"/>
      <c r="O9" s="304"/>
    </row>
    <row r="10" spans="2:15" ht="13.5" thickTop="1">
      <c r="B10" s="107" t="s">
        <v>427</v>
      </c>
      <c r="C10" s="283">
        <f>C8*Exchange_Rate</f>
        <v>192612.5148332325</v>
      </c>
      <c r="D10" t="str">
        <f>Market_currency</f>
        <v>HKD</v>
      </c>
      <c r="H10" s="308" t="s">
        <v>397</v>
      </c>
      <c r="I10" s="306">
        <f>Normalized_FCF!C41</f>
        <v>0.25</v>
      </c>
      <c r="N10" s="304"/>
      <c r="O10" s="304"/>
    </row>
    <row r="11" spans="2:15" ht="13.15">
      <c r="B11" s="136" t="s">
        <v>425</v>
      </c>
      <c r="C11" s="108">
        <f>(C10*scaling_factor)/Common_Shares</f>
        <v>61.957116526345246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549</v>
      </c>
      <c r="C17" s="306">
        <f>Normalized_FCF!C77</f>
        <v>0.2856469108257827</v>
      </c>
      <c r="E17" s="308" t="s">
        <v>550</v>
      </c>
      <c r="F17" s="311">
        <f>Scenarios!C40</f>
        <v>0.28564691082578264</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57.518430380279121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33686.907385995582</v>
      </c>
      <c r="D21" s="299">
        <f t="shared" ref="D21:D50" si="1">IF(A21="",0,IF(A21="I",$C$16,$F$16))</f>
        <v>2.38559171477595E-2</v>
      </c>
      <c r="E21" s="299">
        <f>$C$17</f>
        <v>0.2856469108257827</v>
      </c>
      <c r="F21" s="277">
        <f>C21*E21</f>
        <v>9622.5610300838798</v>
      </c>
      <c r="G21" s="299">
        <f t="shared" ref="G21:G50" si="2">IF(A21="",0%,IF(A21="I",$C$18,$F$18))</f>
        <v>0</v>
      </c>
      <c r="H21" s="277">
        <f>(F21*(1-$I$10)+C21*(G21-$I$9))</f>
        <v>6665.3763926295287</v>
      </c>
      <c r="I21" s="299">
        <f>H21/C4-1</f>
        <v>2.3855917147759254E-2</v>
      </c>
      <c r="J21" s="299">
        <f>H21/C21</f>
        <v>0.19786252018493328</v>
      </c>
      <c r="K21" s="119">
        <f t="shared" ref="K21:K50" si="3">IF($C$15&lt;B21,0,1/(1+Equity_Cost)^B21)</f>
        <v>0.93240093240093236</v>
      </c>
      <c r="L21" s="277">
        <f t="shared" ref="L21:L51" si="4">H21*K21</f>
        <v>6214.803163290936</v>
      </c>
    </row>
    <row r="22" spans="1:21">
      <c r="A22" s="302" t="str">
        <f t="shared" si="0"/>
        <v>I</v>
      </c>
      <c r="B22" s="117">
        <v>2</v>
      </c>
      <c r="C22" s="277">
        <f t="shared" ref="C22:C50" si="5">IF(A22="",0,C21*(1+D22))</f>
        <v>34490.539457560139</v>
      </c>
      <c r="D22" s="299">
        <f t="shared" si="1"/>
        <v>2.38559171477595E-2</v>
      </c>
      <c r="E22" s="299">
        <f t="shared" ref="E22:E50" si="6">IF($C$15&lt;B22,0,IF(B22&gt;=$F$15,$F$17,$C$17))</f>
        <v>0.2856469108257827</v>
      </c>
      <c r="F22" s="277">
        <f t="shared" ref="F22:F50" si="7">IF(A22="", 0,C22*E22)</f>
        <v>9852.1160487668203</v>
      </c>
      <c r="G22" s="299">
        <f t="shared" si="2"/>
        <v>0</v>
      </c>
      <c r="H22" s="277">
        <f t="shared" ref="H22:H50" si="8">IF(A22="", 0,F22*(1-$I$10)+C22*(G22-$I$9))</f>
        <v>6824.3850596107313</v>
      </c>
      <c r="I22" s="299">
        <f t="shared" ref="I22:I50" si="9">IF(A22="", 0,H22/H21-1)</f>
        <v>2.3855917147759476E-2</v>
      </c>
      <c r="J22" s="299">
        <f>IF(A22="", 0,H22/C22)</f>
        <v>0.1978625201849333</v>
      </c>
      <c r="K22" s="119">
        <f t="shared" si="3"/>
        <v>0.86937149874212816</v>
      </c>
      <c r="L22" s="277">
        <f t="shared" si="4"/>
        <v>5932.9258672671695</v>
      </c>
    </row>
    <row r="23" spans="1:21">
      <c r="A23" s="302" t="str">
        <f t="shared" si="0"/>
        <v>I</v>
      </c>
      <c r="B23" s="117">
        <v>3</v>
      </c>
      <c r="C23" s="277">
        <f t="shared" si="5"/>
        <v>35313.342909241219</v>
      </c>
      <c r="D23" s="299">
        <f t="shared" si="1"/>
        <v>2.38559171477595E-2</v>
      </c>
      <c r="E23" s="299">
        <f t="shared" si="6"/>
        <v>0.2856469108257827</v>
      </c>
      <c r="F23" s="277">
        <f t="shared" si="7"/>
        <v>10087.147312956313</v>
      </c>
      <c r="G23" s="299">
        <f t="shared" si="2"/>
        <v>0</v>
      </c>
      <c r="H23" s="277">
        <f t="shared" si="8"/>
        <v>6987.1870241772122</v>
      </c>
      <c r="I23" s="299">
        <f t="shared" si="9"/>
        <v>2.3855917147759476E-2</v>
      </c>
      <c r="J23" s="299">
        <f t="shared" ref="J23:J50" si="10">IF(A23="", 0,H23/C23)</f>
        <v>0.1978625201849333</v>
      </c>
      <c r="K23" s="119">
        <f t="shared" si="3"/>
        <v>0.81060279602995633</v>
      </c>
      <c r="L23" s="277">
        <f t="shared" si="4"/>
        <v>5663.8333381822786</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0.2856469108257827</v>
      </c>
      <c r="F24" s="277">
        <f t="shared" si="7"/>
        <v>10327.785463511442</v>
      </c>
      <c r="G24" s="299">
        <f t="shared" si="2"/>
        <v>0</v>
      </c>
      <c r="H24" s="277">
        <f t="shared" si="8"/>
        <v>7153.8727789218829</v>
      </c>
      <c r="I24" s="299">
        <f t="shared" si="9"/>
        <v>2.3855917147759254E-2</v>
      </c>
      <c r="J24" s="299">
        <f t="shared" si="10"/>
        <v>0.1978625201849333</v>
      </c>
      <c r="K24" s="119">
        <f t="shared" si="3"/>
        <v>0.75580680282513402</v>
      </c>
      <c r="L24" s="277">
        <f t="shared" si="4"/>
        <v>5406.9457128547047</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0.2856469108257827</v>
      </c>
      <c r="F25" s="277">
        <f t="shared" si="7"/>
        <v>10574.164257848806</v>
      </c>
      <c r="G25" s="299">
        <f t="shared" si="2"/>
        <v>0</v>
      </c>
      <c r="H25" s="277">
        <f t="shared" si="8"/>
        <v>7324.5349752214561</v>
      </c>
      <c r="I25" s="299">
        <f t="shared" si="9"/>
        <v>2.3855917147759698E-2</v>
      </c>
      <c r="J25" s="299">
        <f t="shared" si="10"/>
        <v>0.1978625201849333</v>
      </c>
      <c r="K25" s="119">
        <f t="shared" si="3"/>
        <v>0.70471496766912267</v>
      </c>
      <c r="L25" s="277">
        <f t="shared" si="4"/>
        <v>5161.7094282545468</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0.2856469108257827</v>
      </c>
      <c r="F26" s="277">
        <f t="shared" si="7"/>
        <v>10826.420644290847</v>
      </c>
      <c r="G26" s="299">
        <f t="shared" si="2"/>
        <v>0</v>
      </c>
      <c r="H26" s="277">
        <f t="shared" si="8"/>
        <v>7499.2684747362055</v>
      </c>
      <c r="I26" s="299">
        <f t="shared" si="9"/>
        <v>2.3855917147759476E-2</v>
      </c>
      <c r="J26" s="299">
        <f t="shared" si="10"/>
        <v>0.1978625201849333</v>
      </c>
      <c r="K26" s="119">
        <f t="shared" si="3"/>
        <v>0.65707689293158289</v>
      </c>
      <c r="L26" s="277">
        <f t="shared" si="4"/>
        <v>4927.5960286394366</v>
      </c>
    </row>
    <row r="27" spans="1:21">
      <c r="A27" s="302" t="str">
        <f t="shared" si="0"/>
        <v>I</v>
      </c>
      <c r="B27" s="117">
        <v>7</v>
      </c>
      <c r="C27" s="277">
        <f t="shared" si="5"/>
        <v>38805.582759998571</v>
      </c>
      <c r="D27" s="299">
        <f t="shared" si="1"/>
        <v>2.38559171477595E-2</v>
      </c>
      <c r="E27" s="299">
        <f t="shared" si="6"/>
        <v>0.2856469108257827</v>
      </c>
      <c r="F27" s="277">
        <f t="shared" si="7"/>
        <v>11084.694838187843</v>
      </c>
      <c r="G27" s="299">
        <f t="shared" si="2"/>
        <v>0</v>
      </c>
      <c r="H27" s="277">
        <f t="shared" si="8"/>
        <v>7678.1704021383166</v>
      </c>
      <c r="I27" s="299">
        <f t="shared" si="9"/>
        <v>2.3855917147759476E-2</v>
      </c>
      <c r="J27" s="299">
        <f t="shared" si="10"/>
        <v>0.19786252018493328</v>
      </c>
      <c r="K27" s="119">
        <f t="shared" si="3"/>
        <v>0.61265910762851561</v>
      </c>
      <c r="L27" s="277">
        <f t="shared" si="4"/>
        <v>4704.1010267937418</v>
      </c>
    </row>
    <row r="28" spans="1:21">
      <c r="A28" s="302" t="str">
        <f t="shared" si="0"/>
        <v>I</v>
      </c>
      <c r="B28" s="117">
        <v>8</v>
      </c>
      <c r="C28" s="277">
        <f t="shared" si="5"/>
        <v>39731.32552719162</v>
      </c>
      <c r="D28" s="299">
        <f t="shared" si="1"/>
        <v>2.38559171477595E-2</v>
      </c>
      <c r="E28" s="299">
        <f t="shared" si="6"/>
        <v>0.2856469108257827</v>
      </c>
      <c r="F28" s="277">
        <f t="shared" si="7"/>
        <v>11349.130399855849</v>
      </c>
      <c r="G28" s="299">
        <f t="shared" si="2"/>
        <v>0</v>
      </c>
      <c r="H28" s="277">
        <f t="shared" si="8"/>
        <v>7861.3401990981074</v>
      </c>
      <c r="I28" s="299">
        <f t="shared" si="9"/>
        <v>2.3855917147759476E-2</v>
      </c>
      <c r="J28" s="299">
        <f t="shared" si="10"/>
        <v>0.1978625201849333</v>
      </c>
      <c r="K28" s="119">
        <f t="shared" si="3"/>
        <v>0.5712439231967511</v>
      </c>
      <c r="L28" s="277">
        <f t="shared" si="4"/>
        <v>4490.7428169171317</v>
      </c>
    </row>
    <row r="29" spans="1:21">
      <c r="A29" s="302" t="str">
        <f t="shared" si="0"/>
        <v>I</v>
      </c>
      <c r="B29" s="117">
        <v>9</v>
      </c>
      <c r="C29" s="277">
        <f t="shared" si="5"/>
        <v>40679.152737138967</v>
      </c>
      <c r="D29" s="299">
        <f t="shared" si="1"/>
        <v>2.38559171477595E-2</v>
      </c>
      <c r="E29" s="299">
        <f t="shared" si="6"/>
        <v>0.2856469108257827</v>
      </c>
      <c r="F29" s="277">
        <f t="shared" si="7"/>
        <v>11619.874314373928</v>
      </c>
      <c r="G29" s="299">
        <f t="shared" si="2"/>
        <v>0</v>
      </c>
      <c r="H29" s="277">
        <f t="shared" si="8"/>
        <v>8048.8796795581438</v>
      </c>
      <c r="I29" s="299">
        <f t="shared" si="9"/>
        <v>2.3855917147759698E-2</v>
      </c>
      <c r="J29" s="299">
        <f t="shared" si="10"/>
        <v>0.1978625201849333</v>
      </c>
      <c r="K29" s="119">
        <f t="shared" si="3"/>
        <v>0.53262836661701729</v>
      </c>
      <c r="L29" s="277">
        <f t="shared" si="4"/>
        <v>4287.0616368199553</v>
      </c>
    </row>
    <row r="30" spans="1:21">
      <c r="A30" s="302" t="str">
        <f t="shared" si="0"/>
        <v>I</v>
      </c>
      <c r="B30" s="117">
        <v>10</v>
      </c>
      <c r="C30" s="277">
        <f t="shared" si="5"/>
        <v>41649.591234477208</v>
      </c>
      <c r="D30" s="299">
        <f t="shared" si="1"/>
        <v>2.38559171477595E-2</v>
      </c>
      <c r="E30" s="299">
        <f t="shared" si="6"/>
        <v>0.2856469108257827</v>
      </c>
      <c r="F30" s="277">
        <f t="shared" si="7"/>
        <v>11897.077073285012</v>
      </c>
      <c r="G30" s="299">
        <f t="shared" si="2"/>
        <v>0</v>
      </c>
      <c r="H30" s="277">
        <f t="shared" si="8"/>
        <v>8240.8930863259684</v>
      </c>
      <c r="I30" s="299">
        <f t="shared" si="9"/>
        <v>2.3855917147759476E-2</v>
      </c>
      <c r="J30" s="299">
        <f t="shared" si="10"/>
        <v>0.19786252018493333</v>
      </c>
      <c r="K30" s="119">
        <f t="shared" si="3"/>
        <v>0.49662318565689262</v>
      </c>
      <c r="L30" s="277">
        <f t="shared" si="4"/>
        <v>4092.6185771890641</v>
      </c>
    </row>
    <row r="31" spans="1:21">
      <c r="A31" s="302" t="str">
        <f t="shared" si="0"/>
        <v>I</v>
      </c>
      <c r="B31" s="117">
        <v>11</v>
      </c>
      <c r="C31" s="277">
        <f t="shared" si="5"/>
        <v>42643.180432204943</v>
      </c>
      <c r="D31" s="299">
        <f t="shared" si="1"/>
        <v>2.38559171477595E-2</v>
      </c>
      <c r="E31" s="299">
        <f t="shared" si="6"/>
        <v>0.2856469108257827</v>
      </c>
      <c r="F31" s="277">
        <f t="shared" si="7"/>
        <v>12180.892758245807</v>
      </c>
      <c r="G31" s="299">
        <f t="shared" si="2"/>
        <v>0</v>
      </c>
      <c r="H31" s="277">
        <f t="shared" si="8"/>
        <v>8437.4871490169044</v>
      </c>
      <c r="I31" s="299">
        <f t="shared" si="9"/>
        <v>2.3855917147759476E-2</v>
      </c>
      <c r="J31" s="299">
        <f t="shared" si="10"/>
        <v>0.19786252018493333</v>
      </c>
      <c r="K31" s="119">
        <f t="shared" si="3"/>
        <v>0.46305192135840806</v>
      </c>
      <c r="L31" s="277">
        <f t="shared" si="4"/>
        <v>3906.994635789154</v>
      </c>
    </row>
    <row r="32" spans="1:21">
      <c r="A32" s="302" t="str">
        <f t="shared" si="0"/>
        <v>I</v>
      </c>
      <c r="B32" s="117">
        <v>12</v>
      </c>
      <c r="C32" s="277">
        <f t="shared" si="5"/>
        <v>43660.472611512581</v>
      </c>
      <c r="D32" s="299">
        <f t="shared" si="1"/>
        <v>2.38559171477595E-2</v>
      </c>
      <c r="E32" s="299">
        <f t="shared" si="6"/>
        <v>0.2856469108257827</v>
      </c>
      <c r="F32" s="277">
        <f t="shared" si="7"/>
        <v>12471.479126672262</v>
      </c>
      <c r="G32" s="299">
        <f t="shared" si="2"/>
        <v>0</v>
      </c>
      <c r="H32" s="277">
        <f t="shared" si="8"/>
        <v>8638.7711433791374</v>
      </c>
      <c r="I32" s="299">
        <f t="shared" si="9"/>
        <v>2.3855917147759476E-2</v>
      </c>
      <c r="J32" s="299">
        <f t="shared" si="10"/>
        <v>0.19786252018493333</v>
      </c>
      <c r="K32" s="119">
        <f t="shared" si="3"/>
        <v>0.43175004322462285</v>
      </c>
      <c r="L32" s="277">
        <f t="shared" si="4"/>
        <v>3729.7898145615673</v>
      </c>
    </row>
    <row r="33" spans="1:21">
      <c r="A33" s="302" t="str">
        <f t="shared" si="0"/>
        <v>I</v>
      </c>
      <c r="B33" s="117">
        <v>13</v>
      </c>
      <c r="C33" s="277">
        <f t="shared" si="5"/>
        <v>44702.033228764849</v>
      </c>
      <c r="D33" s="299">
        <f t="shared" si="1"/>
        <v>2.38559171477595E-2</v>
      </c>
      <c r="E33" s="299">
        <f t="shared" si="6"/>
        <v>0.2856469108257827</v>
      </c>
      <c r="F33" s="277">
        <f t="shared" si="7"/>
        <v>12768.997699428168</v>
      </c>
      <c r="G33" s="299">
        <f t="shared" si="2"/>
        <v>0</v>
      </c>
      <c r="H33" s="277">
        <f t="shared" si="8"/>
        <v>8844.8569520340443</v>
      </c>
      <c r="I33" s="299">
        <f t="shared" si="9"/>
        <v>2.3855917147759254E-2</v>
      </c>
      <c r="J33" s="299">
        <f t="shared" si="10"/>
        <v>0.1978625201849333</v>
      </c>
      <c r="K33" s="119">
        <f t="shared" si="3"/>
        <v>0.40256414286678116</v>
      </c>
      <c r="L33" s="277">
        <f t="shared" si="4"/>
        <v>3560.6222576748755</v>
      </c>
      <c r="N33" s="275"/>
      <c r="O33" s="275"/>
      <c r="P33" s="275"/>
      <c r="Q33" s="275"/>
      <c r="R33" s="275"/>
      <c r="S33" s="275"/>
      <c r="T33" s="275"/>
      <c r="U33" s="275"/>
    </row>
    <row r="34" spans="1:21">
      <c r="A34" s="302" t="str">
        <f t="shared" si="0"/>
        <v>I</v>
      </c>
      <c r="B34" s="117">
        <v>14</v>
      </c>
      <c r="C34" s="277">
        <f t="shared" si="5"/>
        <v>45768.441229806653</v>
      </c>
      <c r="D34" s="299">
        <f t="shared" si="1"/>
        <v>2.38559171477595E-2</v>
      </c>
      <c r="E34" s="299">
        <f t="shared" si="6"/>
        <v>0.2856469108257827</v>
      </c>
      <c r="F34" s="277">
        <f t="shared" si="7"/>
        <v>13073.613850605658</v>
      </c>
      <c r="G34" s="299">
        <f t="shared" si="2"/>
        <v>0</v>
      </c>
      <c r="H34" s="277">
        <f t="shared" si="8"/>
        <v>9055.859126665553</v>
      </c>
      <c r="I34" s="299">
        <f t="shared" si="9"/>
        <v>2.3855917147759476E-2</v>
      </c>
      <c r="J34" s="299">
        <f t="shared" si="10"/>
        <v>0.1978625201849333</v>
      </c>
      <c r="K34" s="119">
        <f t="shared" si="3"/>
        <v>0.37535118216016894</v>
      </c>
      <c r="L34" s="277">
        <f t="shared" si="4"/>
        <v>3399.1274286698704</v>
      </c>
      <c r="N34" s="275"/>
      <c r="O34" s="275"/>
      <c r="P34" s="275"/>
      <c r="Q34" s="275"/>
      <c r="R34" s="275"/>
      <c r="S34" s="275"/>
      <c r="T34" s="275"/>
      <c r="U34" s="275"/>
    </row>
    <row r="35" spans="1:21">
      <c r="A35" s="302" t="str">
        <f t="shared" si="0"/>
        <v>I</v>
      </c>
      <c r="B35" s="117">
        <v>15</v>
      </c>
      <c r="C35" s="277">
        <f t="shared" si="5"/>
        <v>46860.289371767016</v>
      </c>
      <c r="D35" s="299">
        <f t="shared" si="1"/>
        <v>2.38559171477595E-2</v>
      </c>
      <c r="E35" s="299">
        <f t="shared" si="6"/>
        <v>0.2856469108257827</v>
      </c>
      <c r="F35" s="277">
        <f t="shared" si="7"/>
        <v>13385.496899447506</v>
      </c>
      <c r="G35" s="299">
        <f t="shared" si="2"/>
        <v>0</v>
      </c>
      <c r="H35" s="277">
        <f t="shared" si="8"/>
        <v>9271.8949516930661</v>
      </c>
      <c r="I35" s="299">
        <f t="shared" si="9"/>
        <v>2.3855917147759254E-2</v>
      </c>
      <c r="J35" s="299">
        <f t="shared" si="10"/>
        <v>0.19786252018493328</v>
      </c>
      <c r="K35" s="119">
        <f t="shared" si="3"/>
        <v>0.34997779222393377</v>
      </c>
      <c r="L35" s="277">
        <f t="shared" si="4"/>
        <v>3244.9573249257764</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47797.495159202357</v>
      </c>
      <c r="D51" s="301">
        <f>Terminal_Growth</f>
        <v>0.02</v>
      </c>
      <c r="E51" s="301">
        <f>F17</f>
        <v>0.28564691082578264</v>
      </c>
      <c r="F51" s="277">
        <f>C51*E51</f>
        <v>13653.206837436453</v>
      </c>
      <c r="G51" s="299">
        <f>F18</f>
        <v>0</v>
      </c>
      <c r="H51" s="277">
        <f>(F51*(1-$I$10)+C51*(G51-$I$9))/Equity_Cost</f>
        <v>130445.97035485417</v>
      </c>
      <c r="I51" s="415">
        <f>(F51*(1-$I$10)+C51*(G51-$I$9))/VLOOKUP(C15,B21:H50,COLUMN(H20)-1,FALSE)-1</f>
        <v>2.0000000000000018E-2</v>
      </c>
      <c r="J51" s="454"/>
      <c r="K51" s="119">
        <f>1/(1+Equity_Cost)^C15</f>
        <v>0.34997779222393377</v>
      </c>
      <c r="L51" s="277">
        <f t="shared" si="4"/>
        <v>45653.19270930058</v>
      </c>
    </row>
    <row r="52" spans="1:21" ht="13.15">
      <c r="G52" s="111"/>
      <c r="H52" s="111"/>
      <c r="I52" s="111"/>
      <c r="J52" s="468" t="s">
        <v>420</v>
      </c>
      <c r="K52" s="468"/>
      <c r="L52" s="317">
        <f>SUM(L21:L51)</f>
        <v>114377.02176713079</v>
      </c>
    </row>
    <row r="53" spans="1:21">
      <c r="C53" s="111"/>
    </row>
    <row r="54" spans="1:21" ht="13.15">
      <c r="B54" s="115" t="s">
        <v>108</v>
      </c>
      <c r="C54" s="128"/>
      <c r="D54" s="128"/>
      <c r="E54" s="113"/>
      <c r="F54" s="113"/>
      <c r="G54" s="113"/>
      <c r="H54" s="113"/>
      <c r="I54" s="113"/>
      <c r="J54" s="113"/>
      <c r="K54" s="113"/>
      <c r="L54" s="113"/>
    </row>
    <row r="55" spans="1:21" ht="13.15">
      <c r="A55" s="125">
        <f>L52</f>
        <v>114377.02176713079</v>
      </c>
      <c r="B55" s="123">
        <f>C94</f>
        <v>0</v>
      </c>
      <c r="C55" s="123">
        <f>C93</f>
        <v>0.02</v>
      </c>
      <c r="D55" s="123">
        <f>C92</f>
        <v>0.04</v>
      </c>
      <c r="E55" s="123">
        <f>C91</f>
        <v>0.08</v>
      </c>
      <c r="F55" s="123">
        <f>C90</f>
        <v>0.15</v>
      </c>
      <c r="G55" s="123"/>
      <c r="H55" s="123"/>
      <c r="I55" s="123"/>
      <c r="J55" s="123"/>
      <c r="K55" s="123"/>
      <c r="L55" s="123"/>
    </row>
    <row r="56" spans="1:21" ht="13.15">
      <c r="A56" s="131">
        <v>1</v>
      </c>
      <c r="B56" s="118">
        <f t="dataTable" ref="B56:F69" dt2D="1" dtr="1" r1="C16" r2="C15"/>
        <v>91468.587518607266</v>
      </c>
      <c r="C56" s="118">
        <v>93297.959268979408</v>
      </c>
      <c r="D56" s="118">
        <v>95127.331019351579</v>
      </c>
      <c r="E56" s="118">
        <v>98786.074520095892</v>
      </c>
      <c r="F56" s="118">
        <v>105188.87564639836</v>
      </c>
      <c r="G56" s="295"/>
      <c r="H56" s="295"/>
      <c r="I56" s="295"/>
      <c r="J56" s="295"/>
      <c r="K56" s="295"/>
      <c r="L56" s="295"/>
    </row>
    <row r="57" spans="1:21" ht="13.15">
      <c r="A57" s="131">
        <v>2</v>
      </c>
      <c r="B57" s="118">
        <v>91355.394086463377</v>
      </c>
      <c r="C57" s="118">
        <v>94922.324052462645</v>
      </c>
      <c r="D57" s="118">
        <v>98557.482335492125</v>
      </c>
      <c r="E57" s="118">
        <v>106032.48385264167</v>
      </c>
      <c r="F57" s="118">
        <v>119770.43405906898</v>
      </c>
      <c r="G57" s="295"/>
      <c r="H57" s="295"/>
      <c r="I57" s="295"/>
      <c r="J57" s="295"/>
      <c r="K57" s="295"/>
      <c r="L57" s="295"/>
    </row>
    <row r="58" spans="1:21" ht="13.15">
      <c r="A58" s="131">
        <v>3</v>
      </c>
      <c r="B58" s="118">
        <v>91249.852424790719</v>
      </c>
      <c r="C58" s="118">
        <v>96467.174475915221</v>
      </c>
      <c r="D58" s="118">
        <v>101883.6896723557</v>
      </c>
      <c r="E58" s="118">
        <v>113329.56737632416</v>
      </c>
      <c r="F58" s="118">
        <v>135405.67151787665</v>
      </c>
      <c r="G58" s="295"/>
      <c r="H58" s="295"/>
      <c r="I58" s="295"/>
      <c r="J58" s="295"/>
      <c r="K58" s="295"/>
      <c r="L58" s="295"/>
    </row>
    <row r="59" spans="1:21" ht="13.15">
      <c r="A59" s="131">
        <v>4</v>
      </c>
      <c r="B59" s="118">
        <v>91151.445281039982</v>
      </c>
      <c r="C59" s="118">
        <v>97936.40285066732</v>
      </c>
      <c r="D59" s="118">
        <v>105109.10284749611</v>
      </c>
      <c r="E59" s="118">
        <v>120677.67945611634</v>
      </c>
      <c r="F59" s="118">
        <v>152170.72800051421</v>
      </c>
      <c r="G59" s="295"/>
      <c r="H59" s="295"/>
      <c r="I59" s="295"/>
      <c r="J59" s="295"/>
      <c r="K59" s="295"/>
      <c r="L59" s="295"/>
    </row>
    <row r="60" spans="1:21" ht="13.15">
      <c r="A60" s="131">
        <v>5</v>
      </c>
      <c r="B60" s="118">
        <v>91059.690368451906</v>
      </c>
      <c r="C60" s="118">
        <v>99333.710955326649</v>
      </c>
      <c r="D60" s="118">
        <v>108236.77622945048</v>
      </c>
      <c r="E60" s="118">
        <v>128077.1769350679</v>
      </c>
      <c r="F60" s="118">
        <v>170147.24544110463</v>
      </c>
      <c r="G60" s="295"/>
      <c r="H60" s="295"/>
      <c r="I60" s="295"/>
      <c r="J60" s="295"/>
      <c r="K60" s="295"/>
      <c r="L60" s="295"/>
    </row>
    <row r="61" spans="1:21" ht="13.15">
      <c r="A61" s="131">
        <v>6</v>
      </c>
      <c r="B61" s="118">
        <v>90974.138002402397</v>
      </c>
      <c r="C61" s="118">
        <v>100662.61936255509</v>
      </c>
      <c r="D61" s="118">
        <v>111269.67163013348</v>
      </c>
      <c r="E61" s="118">
        <v>135528.41915163447</v>
      </c>
      <c r="F61" s="118">
        <v>189422.76530747191</v>
      </c>
      <c r="G61" s="295"/>
      <c r="H61" s="295"/>
      <c r="I61" s="295"/>
      <c r="J61" s="295"/>
      <c r="K61" s="295"/>
      <c r="L61" s="295"/>
    </row>
    <row r="62" spans="1:21" ht="13.15">
      <c r="A62" s="131">
        <v>7</v>
      </c>
      <c r="B62" s="118">
        <v>90894.368896528758</v>
      </c>
      <c r="C62" s="118">
        <v>101926.47630928988</v>
      </c>
      <c r="D62" s="118">
        <v>114210.66110958369</v>
      </c>
      <c r="E62" s="118">
        <v>143031.76795712812</v>
      </c>
      <c r="F62" s="118">
        <v>210091.15490777261</v>
      </c>
      <c r="G62" s="295"/>
      <c r="H62" s="295"/>
      <c r="I62" s="295"/>
      <c r="J62" s="295"/>
      <c r="K62" s="295"/>
      <c r="L62" s="295"/>
    </row>
    <row r="63" spans="1:21" ht="13.15">
      <c r="A63" s="131">
        <v>8</v>
      </c>
      <c r="B63" s="118">
        <v>90819.992107835351</v>
      </c>
      <c r="C63" s="118">
        <v>103128.46613275789</v>
      </c>
      <c r="D63" s="118">
        <v>117062.52969571718</v>
      </c>
      <c r="E63" s="118">
        <v>150587.58773328952</v>
      </c>
      <c r="F63" s="118">
        <v>232253.06450250058</v>
      </c>
      <c r="G63" s="295"/>
      <c r="H63" s="295"/>
      <c r="I63" s="295"/>
      <c r="J63" s="295"/>
      <c r="K63" s="295"/>
      <c r="L63" s="295"/>
    </row>
    <row r="64" spans="1:21" ht="13.15">
      <c r="A64" s="131">
        <v>9</v>
      </c>
      <c r="B64" s="118">
        <v>90750.643120708643</v>
      </c>
      <c r="C64" s="118">
        <v>104271.61729353867</v>
      </c>
      <c r="D64" s="118">
        <v>119827.97802166484</v>
      </c>
      <c r="E64" s="118">
        <v>158196.24540998353</v>
      </c>
      <c r="F64" s="118">
        <v>256016.4174478965</v>
      </c>
      <c r="G64" s="295"/>
      <c r="H64" s="295"/>
      <c r="I64" s="295"/>
      <c r="J64" s="295"/>
      <c r="K64" s="295"/>
      <c r="L64" s="295"/>
    </row>
    <row r="65" spans="1:21" ht="13.15">
      <c r="A65" s="131">
        <v>10</v>
      </c>
      <c r="B65" s="118">
        <v>90685.982060450653</v>
      </c>
      <c r="C65" s="118">
        <v>105358.81000588962</v>
      </c>
      <c r="D65" s="118">
        <v>122509.62488318986</v>
      </c>
      <c r="E65" s="118">
        <v>165858.11048301807</v>
      </c>
      <c r="F65" s="118">
        <v>281496.93575764506</v>
      </c>
      <c r="G65" s="295"/>
      <c r="H65" s="295"/>
      <c r="I65" s="295"/>
      <c r="J65" s="295"/>
      <c r="K65" s="295"/>
      <c r="L65" s="295"/>
    </row>
    <row r="66" spans="1:21" ht="13.15">
      <c r="A66" s="131">
        <v>15</v>
      </c>
      <c r="B66" s="118">
        <v>90422.624222259867</v>
      </c>
      <c r="C66" s="277">
        <v>110046.71223527062</v>
      </c>
      <c r="D66" s="118">
        <v>134747.07269924192</v>
      </c>
      <c r="E66" s="118">
        <v>204978.66103406638</v>
      </c>
      <c r="F66" s="118">
        <v>439327.71873727965</v>
      </c>
      <c r="G66" s="295"/>
      <c r="H66" s="295"/>
      <c r="I66" s="295"/>
      <c r="J66" s="295"/>
      <c r="K66" s="295"/>
      <c r="L66" s="295"/>
      <c r="M66" s="275"/>
      <c r="N66" s="275"/>
      <c r="O66" s="275"/>
      <c r="P66" s="275"/>
      <c r="Q66" s="275"/>
      <c r="R66" s="275"/>
      <c r="S66" s="275"/>
      <c r="T66" s="275"/>
      <c r="U66" s="275"/>
    </row>
    <row r="67" spans="1:21" ht="13.15">
      <c r="A67" s="132">
        <v>20</v>
      </c>
      <c r="B67" s="118">
        <v>90237.032011833828</v>
      </c>
      <c r="C67" s="277">
        <v>113694.19207382732</v>
      </c>
      <c r="D67" s="118">
        <v>145239.38104522601</v>
      </c>
      <c r="E67" s="118">
        <v>245486.32804220889</v>
      </c>
      <c r="F67" s="118">
        <v>663042.36028814327</v>
      </c>
      <c r="G67" s="295"/>
      <c r="H67" s="295"/>
      <c r="I67" s="295"/>
      <c r="J67" s="295"/>
      <c r="K67" s="295"/>
      <c r="L67" s="295"/>
      <c r="M67" s="275"/>
      <c r="N67" s="275"/>
      <c r="O67" s="275"/>
      <c r="P67" s="275"/>
      <c r="Q67" s="275"/>
      <c r="R67" s="275"/>
      <c r="S67" s="275"/>
      <c r="T67" s="275"/>
      <c r="U67" s="275"/>
    </row>
    <row r="68" spans="1:21" ht="13.15">
      <c r="A68" s="132">
        <v>25</v>
      </c>
      <c r="B68" s="118">
        <v>90106.242403263823</v>
      </c>
      <c r="C68" s="277">
        <v>116532.15850778905</v>
      </c>
      <c r="D68" s="118">
        <v>154235.41813416887</v>
      </c>
      <c r="E68" s="118">
        <v>287430.29517276818</v>
      </c>
      <c r="F68" s="118">
        <v>980142.9910991129</v>
      </c>
      <c r="G68" s="295"/>
      <c r="H68" s="295"/>
      <c r="I68" s="295"/>
      <c r="J68" s="295"/>
      <c r="K68" s="295"/>
      <c r="L68" s="295"/>
      <c r="M68" s="275"/>
      <c r="N68" s="275"/>
      <c r="O68" s="275"/>
      <c r="P68" s="275"/>
      <c r="Q68" s="275"/>
      <c r="R68" s="275"/>
      <c r="S68" s="275"/>
      <c r="T68" s="275"/>
      <c r="U68" s="275"/>
    </row>
    <row r="69" spans="1:21" ht="13.15">
      <c r="A69" s="132">
        <v>30</v>
      </c>
      <c r="B69" s="118">
        <v>90014.073008488951</v>
      </c>
      <c r="C69" s="277">
        <v>118740.27310657469</v>
      </c>
      <c r="D69" s="118">
        <v>161948.56195695899</v>
      </c>
      <c r="E69" s="118">
        <v>330861.49002029671</v>
      </c>
      <c r="F69" s="118">
        <v>1429612.0529524167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0.08</v>
      </c>
      <c r="F72" s="124">
        <f>F55</f>
        <v>0.15</v>
      </c>
      <c r="G72" s="124"/>
      <c r="H72" s="124"/>
      <c r="I72" s="124"/>
      <c r="J72" s="124"/>
      <c r="K72" s="124"/>
      <c r="L72" s="124"/>
    </row>
    <row r="73" spans="1:21" ht="13.15">
      <c r="A73" s="131">
        <v>0</v>
      </c>
      <c r="B73" s="119">
        <f>C11</f>
        <v>61.957116526345246</v>
      </c>
      <c r="C73" s="119">
        <f>C11</f>
        <v>61.957116526345246</v>
      </c>
      <c r="D73" s="119">
        <f>C11</f>
        <v>61.957116526345246</v>
      </c>
      <c r="E73" s="119">
        <f>C11</f>
        <v>61.957116526345246</v>
      </c>
      <c r="F73" s="119">
        <f>C11</f>
        <v>61.957116526345246</v>
      </c>
      <c r="G73" s="296"/>
      <c r="H73" s="296"/>
      <c r="I73" s="296"/>
      <c r="J73" s="296"/>
      <c r="K73" s="296"/>
      <c r="L73" s="296"/>
    </row>
    <row r="74" spans="1:21" ht="13.15">
      <c r="A74" s="131">
        <v>1</v>
      </c>
      <c r="B74" s="119">
        <f t="shared" ref="B74:F87" si="11">(B56+FV_adjustments)/Common_Shares*scaling_factor*Exchange_Rate</f>
        <v>49.117895213616194</v>
      </c>
      <c r="C74" s="119">
        <f t="shared" si="11"/>
        <v>49.788726818918555</v>
      </c>
      <c r="D74" s="119">
        <f t="shared" si="11"/>
        <v>50.459558424220937</v>
      </c>
      <c r="E74" s="119">
        <f t="shared" si="11"/>
        <v>51.801221634825708</v>
      </c>
      <c r="F74" s="119">
        <f t="shared" si="11"/>
        <v>54.149132253383996</v>
      </c>
      <c r="G74" s="296"/>
      <c r="H74" s="296"/>
      <c r="I74" s="296"/>
      <c r="J74" s="296"/>
      <c r="K74" s="296"/>
      <c r="L74" s="296"/>
    </row>
    <row r="75" spans="1:21" ht="13.15">
      <c r="A75" s="131">
        <v>2</v>
      </c>
      <c r="B75" s="119">
        <f t="shared" si="11"/>
        <v>49.076387121136179</v>
      </c>
      <c r="C75" s="119">
        <f t="shared" si="11"/>
        <v>50.384382259142264</v>
      </c>
      <c r="D75" s="119">
        <f t="shared" si="11"/>
        <v>51.717396757719044</v>
      </c>
      <c r="E75" s="119">
        <f t="shared" si="11"/>
        <v>54.458483836584804</v>
      </c>
      <c r="F75" s="119">
        <f t="shared" si="11"/>
        <v>59.496197570093024</v>
      </c>
      <c r="G75" s="296"/>
      <c r="H75" s="296"/>
      <c r="I75" s="296"/>
      <c r="J75" s="296"/>
      <c r="K75" s="296"/>
      <c r="L75" s="296"/>
    </row>
    <row r="76" spans="1:21" ht="13.15">
      <c r="A76" s="131">
        <v>3</v>
      </c>
      <c r="B76" s="119">
        <f t="shared" si="11"/>
        <v>49.037684937005622</v>
      </c>
      <c r="C76" s="119">
        <f t="shared" si="11"/>
        <v>50.950879740753592</v>
      </c>
      <c r="D76" s="119">
        <f t="shared" si="11"/>
        <v>52.937118778080858</v>
      </c>
      <c r="E76" s="119">
        <f t="shared" si="11"/>
        <v>57.134328291503074</v>
      </c>
      <c r="F76" s="119">
        <f t="shared" si="11"/>
        <v>65.229647560037421</v>
      </c>
      <c r="G76" s="296"/>
      <c r="H76" s="296"/>
      <c r="I76" s="296"/>
      <c r="J76" s="296"/>
      <c r="K76" s="296"/>
      <c r="L76" s="296"/>
    </row>
    <row r="77" spans="1:21" ht="13.15">
      <c r="A77" s="131">
        <v>4</v>
      </c>
      <c r="B77" s="119">
        <f t="shared" si="11"/>
        <v>49.001598984436328</v>
      </c>
      <c r="C77" s="119">
        <f t="shared" si="11"/>
        <v>51.489646576411928</v>
      </c>
      <c r="D77" s="119">
        <f t="shared" si="11"/>
        <v>54.119879525098362</v>
      </c>
      <c r="E77" s="119">
        <f t="shared" si="11"/>
        <v>59.828884945406791</v>
      </c>
      <c r="F77" s="119">
        <f t="shared" si="11"/>
        <v>71.37740279401045</v>
      </c>
      <c r="G77" s="296"/>
      <c r="H77" s="296"/>
      <c r="I77" s="296"/>
      <c r="J77" s="296"/>
      <c r="K77" s="296"/>
      <c r="L77" s="296"/>
    </row>
    <row r="78" spans="1:21" ht="13.15">
      <c r="A78" s="131">
        <v>5</v>
      </c>
      <c r="B78" s="119">
        <f t="shared" si="11"/>
        <v>48.967952408614146</v>
      </c>
      <c r="C78" s="119">
        <f t="shared" si="11"/>
        <v>52.002040210324736</v>
      </c>
      <c r="D78" s="119">
        <f t="shared" si="11"/>
        <v>55.266799037357771</v>
      </c>
      <c r="E78" s="119">
        <f t="shared" si="11"/>
        <v>62.542284652834297</v>
      </c>
      <c r="F78" s="119">
        <f t="shared" si="11"/>
        <v>77.96940141318899</v>
      </c>
      <c r="G78" s="296"/>
      <c r="H78" s="296"/>
      <c r="I78" s="296"/>
      <c r="J78" s="296"/>
      <c r="K78" s="296"/>
      <c r="L78" s="296"/>
    </row>
    <row r="79" spans="1:21" ht="13.15">
      <c r="A79" s="131">
        <v>6</v>
      </c>
      <c r="B79" s="119">
        <f t="shared" si="11"/>
        <v>48.936580309945448</v>
      </c>
      <c r="C79" s="119">
        <f t="shared" si="11"/>
        <v>52.489351638381684</v>
      </c>
      <c r="D79" s="119">
        <f t="shared" si="11"/>
        <v>56.37896341288203</v>
      </c>
      <c r="E79" s="119">
        <f t="shared" si="11"/>
        <v>65.274659183390668</v>
      </c>
      <c r="F79" s="119">
        <f t="shared" si="11"/>
        <v>85.037744920932838</v>
      </c>
      <c r="G79" s="296"/>
      <c r="H79" s="296"/>
      <c r="I79" s="296"/>
      <c r="J79" s="296"/>
      <c r="K79" s="296"/>
      <c r="L79" s="296"/>
    </row>
    <row r="80" spans="1:21" ht="13.15">
      <c r="A80" s="131">
        <f t="shared" ref="A80" si="12">A62</f>
        <v>7</v>
      </c>
      <c r="B80" s="119">
        <f t="shared" si="11"/>
        <v>48.907328935895386</v>
      </c>
      <c r="C80" s="119">
        <f t="shared" si="11"/>
        <v>52.952808660869422</v>
      </c>
      <c r="D80" s="119">
        <f t="shared" si="11"/>
        <v>57.45742583763284</v>
      </c>
      <c r="E80" s="119">
        <f t="shared" si="11"/>
        <v>68.026141228146756</v>
      </c>
      <c r="F80" s="119">
        <f t="shared" si="11"/>
        <v>92.616854509655909</v>
      </c>
      <c r="G80" s="296"/>
      <c r="H80" s="296"/>
      <c r="I80" s="296"/>
      <c r="J80" s="296"/>
      <c r="K80" s="296"/>
      <c r="L80" s="296"/>
    </row>
    <row r="81" spans="1:12" ht="13.15">
      <c r="A81" s="131">
        <v>8</v>
      </c>
      <c r="B81" s="119">
        <f t="shared" si="11"/>
        <v>48.880054927457095</v>
      </c>
      <c r="C81" s="119">
        <f t="shared" si="11"/>
        <v>53.393578975962647</v>
      </c>
      <c r="D81" s="119">
        <f t="shared" si="11"/>
        <v>58.503207582845725</v>
      </c>
      <c r="E81" s="119">
        <f t="shared" si="11"/>
        <v>70.796864406082932</v>
      </c>
      <c r="F81" s="119">
        <f t="shared" si="11"/>
        <v>100.74363868404424</v>
      </c>
      <c r="G81" s="296"/>
      <c r="H81" s="296"/>
      <c r="I81" s="296"/>
      <c r="J81" s="296"/>
      <c r="K81" s="296"/>
      <c r="L81" s="296"/>
    </row>
    <row r="82" spans="1:12" ht="13.15">
      <c r="A82" s="131">
        <f t="shared" ref="A82" si="13">A64</f>
        <v>9</v>
      </c>
      <c r="B82" s="119">
        <f t="shared" si="11"/>
        <v>48.854624616558922</v>
      </c>
      <c r="C82" s="119">
        <f t="shared" si="11"/>
        <v>53.812773121785568</v>
      </c>
      <c r="D82" s="119">
        <f t="shared" si="11"/>
        <v>59.517298972143088</v>
      </c>
      <c r="E82" s="119">
        <f t="shared" si="11"/>
        <v>73.58696327057811</v>
      </c>
      <c r="F82" s="119">
        <f t="shared" si="11"/>
        <v>109.45767299690819</v>
      </c>
      <c r="G82" s="296"/>
      <c r="H82" s="296"/>
      <c r="I82" s="296"/>
      <c r="J82" s="296"/>
      <c r="K82" s="296"/>
      <c r="L82" s="296"/>
    </row>
    <row r="83" spans="1:12" ht="13.15">
      <c r="A83" s="131">
        <f t="shared" ref="A83:A87" si="14">A65</f>
        <v>10</v>
      </c>
      <c r="B83" s="119">
        <f t="shared" si="11"/>
        <v>48.830913370966222</v>
      </c>
      <c r="C83" s="119">
        <f t="shared" si="11"/>
        <v>54.211447274456326</v>
      </c>
      <c r="D83" s="119">
        <f t="shared" si="11"/>
        <v>60.50066031934054</v>
      </c>
      <c r="E83" s="119">
        <f t="shared" si="11"/>
        <v>76.396573315943897</v>
      </c>
      <c r="F83" s="119">
        <f t="shared" si="11"/>
        <v>118.80139277293947</v>
      </c>
      <c r="G83" s="296"/>
      <c r="H83" s="296"/>
      <c r="I83" s="296"/>
      <c r="J83" s="296"/>
      <c r="K83" s="296"/>
      <c r="L83" s="296"/>
    </row>
    <row r="84" spans="1:12" ht="13.15">
      <c r="A84" s="131">
        <f t="shared" si="14"/>
        <v>15</v>
      </c>
      <c r="B84" s="119">
        <f t="shared" si="11"/>
        <v>48.73433990998074</v>
      </c>
      <c r="C84" s="119">
        <f t="shared" si="11"/>
        <v>55.930503544673947</v>
      </c>
      <c r="D84" s="119">
        <f t="shared" si="11"/>
        <v>64.988139018831902</v>
      </c>
      <c r="E84" s="119">
        <f t="shared" si="11"/>
        <v>90.742100254978439</v>
      </c>
      <c r="F84" s="119">
        <f t="shared" si="11"/>
        <v>176.67802582514463</v>
      </c>
      <c r="G84" s="296"/>
      <c r="H84" s="296"/>
      <c r="I84" s="296"/>
      <c r="J84" s="296"/>
      <c r="K84" s="296"/>
      <c r="L84" s="296"/>
    </row>
    <row r="85" spans="1:12" ht="13.15">
      <c r="A85" s="132">
        <f t="shared" si="14"/>
        <v>20</v>
      </c>
      <c r="B85" s="119">
        <f t="shared" si="11"/>
        <v>48.666283146544664</v>
      </c>
      <c r="C85" s="119">
        <f t="shared" si="11"/>
        <v>57.268036364293195</v>
      </c>
      <c r="D85" s="119">
        <f t="shared" si="11"/>
        <v>68.835674135536408</v>
      </c>
      <c r="E85" s="119">
        <f t="shared" si="11"/>
        <v>105.59628354527925</v>
      </c>
      <c r="F85" s="119">
        <f t="shared" si="11"/>
        <v>258.71430526953952</v>
      </c>
      <c r="G85" s="296"/>
      <c r="H85" s="296"/>
      <c r="I85" s="296"/>
      <c r="J85" s="296"/>
      <c r="K85" s="296"/>
      <c r="L85" s="296"/>
    </row>
    <row r="86" spans="1:12" ht="13.15">
      <c r="A86" s="132">
        <f t="shared" si="14"/>
        <v>25</v>
      </c>
      <c r="B86" s="119">
        <f t="shared" si="11"/>
        <v>48.618322526700155</v>
      </c>
      <c r="C86" s="119">
        <f t="shared" si="11"/>
        <v>58.308720182823507</v>
      </c>
      <c r="D86" s="119">
        <f t="shared" si="11"/>
        <v>72.134525777094538</v>
      </c>
      <c r="E86" s="119">
        <f t="shared" si="11"/>
        <v>120.97715886338734</v>
      </c>
      <c r="F86" s="119">
        <f t="shared" si="11"/>
        <v>374.99527722947317</v>
      </c>
      <c r="G86" s="296"/>
      <c r="H86" s="296"/>
      <c r="I86" s="296"/>
      <c r="J86" s="296"/>
      <c r="K86" s="296"/>
      <c r="L86" s="296"/>
    </row>
    <row r="87" spans="1:12" ht="13.15">
      <c r="A87" s="132">
        <f t="shared" si="14"/>
        <v>30</v>
      </c>
      <c r="B87" s="119">
        <f t="shared" si="11"/>
        <v>48.584523960037039</v>
      </c>
      <c r="C87" s="119">
        <f t="shared" si="11"/>
        <v>59.118436994452232</v>
      </c>
      <c r="D87" s="119">
        <f t="shared" si="11"/>
        <v>74.962939767590342</v>
      </c>
      <c r="E87" s="119">
        <f t="shared" si="11"/>
        <v>136.90340138563079</v>
      </c>
      <c r="F87" s="119">
        <f t="shared" si="11"/>
        <v>539.81582408413328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0.15</v>
      </c>
      <c r="D90" s="133">
        <f>Scenarios!D29</f>
        <v>15</v>
      </c>
      <c r="E90" s="127">
        <f>INDEX(B$73:F$87, MATCH(D90, A$73:A$87, 0), MATCH(C90, B$72:F$72, 0))</f>
        <v>176.67802582514463</v>
      </c>
      <c r="F90" s="130">
        <f>Scenarios!F29</f>
        <v>0.15</v>
      </c>
      <c r="G90" s="297"/>
      <c r="H90" s="297"/>
      <c r="I90" s="297"/>
      <c r="J90" s="297"/>
      <c r="K90" s="297"/>
      <c r="L90" s="297"/>
    </row>
    <row r="91" spans="1:12">
      <c r="B91" s="120" t="str">
        <f>Scenarios!B22</f>
        <v>Optimistic</v>
      </c>
      <c r="C91" s="130">
        <f>Scenarios!C22</f>
        <v>0.08</v>
      </c>
      <c r="D91" s="133">
        <f>Scenarios!D22</f>
        <v>15</v>
      </c>
      <c r="E91" s="127">
        <f>INDEX(B$73:F$87, MATCH(D91, A$73:A$87, 0), MATCH(C91, B$72:F$72, 0))</f>
        <v>90.742100254978439</v>
      </c>
      <c r="F91" s="130">
        <f>Scenarios!F22*(1-F$90-F$94)</f>
        <v>0.15999999999999995</v>
      </c>
      <c r="G91" s="297"/>
      <c r="H91" s="297"/>
      <c r="I91" s="297"/>
      <c r="J91" s="297"/>
      <c r="K91" s="297"/>
      <c r="L91" s="297"/>
    </row>
    <row r="92" spans="1:12">
      <c r="B92" s="120" t="str">
        <f>Scenarios!B23</f>
        <v>Base</v>
      </c>
      <c r="C92" s="130">
        <f>Scenarios!C23</f>
        <v>0.04</v>
      </c>
      <c r="D92" s="133">
        <f>Scenarios!D23</f>
        <v>15</v>
      </c>
      <c r="E92" s="127">
        <f>INDEX(B$73:F$87, MATCH(D92, A$73:A$87, 0), MATCH(C92, B$72:F$72, 0))</f>
        <v>64.988139018831902</v>
      </c>
      <c r="F92" s="130">
        <f>Scenarios!F23*(1-F$90-F$94)</f>
        <v>0.44</v>
      </c>
      <c r="G92" s="297"/>
      <c r="H92" s="297"/>
      <c r="I92" s="297"/>
      <c r="J92" s="297"/>
      <c r="K92" s="297"/>
      <c r="L92" s="297"/>
    </row>
    <row r="93" spans="1:12">
      <c r="B93" s="120" t="str">
        <f>Scenarios!B24</f>
        <v>Pessimistic</v>
      </c>
      <c r="C93" s="130">
        <f>Scenarios!C24</f>
        <v>0.02</v>
      </c>
      <c r="D93" s="133">
        <f>Scenarios!D24</f>
        <v>15</v>
      </c>
      <c r="E93" s="127">
        <f>INDEX(B$73:F$87, MATCH(D93, A$73:A$87, 0), MATCH(C93, B$72:F$72, 0))</f>
        <v>55.930503544673947</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48.73433990998074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30" sqref="C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9678</v>
      </c>
      <c r="D7" s="469"/>
      <c r="E7" s="469"/>
      <c r="F7" s="469"/>
      <c r="G7" s="469"/>
    </row>
    <row r="8" spans="2:7">
      <c r="B8" s="97" t="s">
        <v>63</v>
      </c>
      <c r="C8" s="447">
        <f>Normalized_FCF!G19</f>
        <v>7660.3089609457529</v>
      </c>
      <c r="D8" s="469"/>
      <c r="E8" s="469"/>
      <c r="F8" s="469"/>
      <c r="G8" s="469"/>
    </row>
    <row r="9" spans="2:7">
      <c r="B9" s="97" t="s">
        <v>54</v>
      </c>
      <c r="C9" s="447">
        <f>Normalized_FCF!C19</f>
        <v>6510.0726391246753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0.08</v>
      </c>
      <c r="D22" s="325">
        <f>C18</f>
        <v>15</v>
      </c>
      <c r="E22" s="326">
        <f>DCF!E91</f>
        <v>90.742100254978439</v>
      </c>
      <c r="F22" s="328">
        <f>1-F23-F24</f>
        <v>0.19999999999999996</v>
      </c>
      <c r="G22" s="328">
        <f>F22*(1-F$29-F$30)</f>
        <v>0.15999999999999995</v>
      </c>
    </row>
    <row r="23" spans="2:7">
      <c r="B23" s="302" t="s">
        <v>437</v>
      </c>
      <c r="C23" s="324">
        <v>0.04</v>
      </c>
      <c r="D23" s="325">
        <f>C18</f>
        <v>15</v>
      </c>
      <c r="E23" s="326">
        <f>DCF!E92</f>
        <v>64.988139018831902</v>
      </c>
      <c r="F23" s="327">
        <v>0.55000000000000004</v>
      </c>
      <c r="G23" s="328">
        <f t="shared" ref="G23:G24" si="0">F23*(1-F$29-F$30)</f>
        <v>0.44</v>
      </c>
    </row>
    <row r="24" spans="2:7">
      <c r="B24" s="302" t="s">
        <v>446</v>
      </c>
      <c r="C24" s="324">
        <v>0.02</v>
      </c>
      <c r="D24" s="325">
        <f>C18</f>
        <v>15</v>
      </c>
      <c r="E24" s="326">
        <f>DCF!E93</f>
        <v>55.930503544673947</v>
      </c>
      <c r="F24" s="327">
        <v>0.25</v>
      </c>
      <c r="G24" s="328">
        <f t="shared" si="0"/>
        <v>0.19999999999999998</v>
      </c>
    </row>
    <row r="25" spans="2:7">
      <c r="B25" s="141" t="s">
        <v>451</v>
      </c>
      <c r="C25" s="441">
        <f>E23*F23+E24*F24+E22*F22</f>
        <v>67.874522397521716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0.15</v>
      </c>
      <c r="D29" s="325">
        <f>C18</f>
        <v>15</v>
      </c>
      <c r="E29" s="326">
        <f>DCF!E90</f>
        <v>176.67802582514463</v>
      </c>
      <c r="F29" s="327">
        <v>0.15</v>
      </c>
      <c r="G29" s="328">
        <f>F29</f>
        <v>0.15</v>
      </c>
    </row>
    <row r="30" spans="2:7">
      <c r="B30" s="315" t="s">
        <v>447</v>
      </c>
      <c r="C30" s="324">
        <v>0</v>
      </c>
      <c r="D30" s="325">
        <f>C18</f>
        <v>15</v>
      </c>
      <c r="E30" s="326">
        <f>DCF!E94</f>
        <v>48.73433990998074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40.56</v>
      </c>
      <c r="D34" t="str">
        <f>Market_currency</f>
        <v>HKD</v>
      </c>
      <c r="E34" s="97" t="s">
        <v>454</v>
      </c>
      <c r="F34" s="330">
        <f>RATE(Holding_Period,$C$33,-C34,$C$36)</f>
        <v>0.27360139854124743</v>
      </c>
    </row>
    <row r="35" spans="2:7">
      <c r="B35" s="97" t="s">
        <v>434</v>
      </c>
      <c r="C35" s="320">
        <f>DCF!C11</f>
        <v>61.957116526345246</v>
      </c>
      <c r="D35" s="97" t="str">
        <f>Market_currency</f>
        <v>HKD</v>
      </c>
      <c r="E35" s="97" t="s">
        <v>454</v>
      </c>
      <c r="F35" s="330">
        <f>RATE(Holding_Period,$C$33,-C35,$C$36)</f>
        <v>0.1055109003969992</v>
      </c>
    </row>
    <row r="36" spans="2:7">
      <c r="B36" s="97" t="s">
        <v>435</v>
      </c>
      <c r="C36" s="321">
        <f>E22*G22+E23*G23+E24*G24+E30*G30+E29*G29</f>
        <v>83.238038787288104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0.28564691082578264</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57.518430380279121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0.18712976873833137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0.25983892380763701</v>
      </c>
      <c r="D62" s="119">
        <f>C36/(1+F62)^Holding_Period</f>
        <v>38.358543219948444</v>
      </c>
      <c r="E62" s="332">
        <f>C62+D62</f>
        <v>38.618382143756079</v>
      </c>
      <c r="F62" s="301">
        <f>Thesis!E22</f>
        <v>0.29465259038036601</v>
      </c>
      <c r="G62" s="440">
        <f>(1-E62/C36)</f>
        <v>0.53604887012722635</v>
      </c>
    </row>
    <row r="63" spans="2:7" ht="13.15">
      <c r="B63" s="302" t="s">
        <v>313</v>
      </c>
      <c r="C63" s="119">
        <f>PV(F63, Holding_Period, -C58, 0)</f>
        <v>0.29876856051220924</v>
      </c>
      <c r="D63" s="119">
        <f>C36/(1+F63)^Holding_Period</f>
        <v>48.079733595545498</v>
      </c>
      <c r="E63" s="332">
        <f>C63+D63</f>
        <v>48.378502156057706</v>
      </c>
      <c r="F63" s="301">
        <f>Thesis!E23</f>
        <v>0.20075184365903001</v>
      </c>
      <c r="G63" s="440">
        <f>(1-E63/C36)</f>
        <v>0.41879334423427161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59.661729394958002</v>
      </c>
      <c r="E66" s="332">
        <f>C66+D66</f>
        <v>60.004319038841288</v>
      </c>
      <c r="F66" s="301">
        <f>Thesis!E24</f>
        <v>0.1174</v>
      </c>
      <c r="G66" s="440">
        <f>(1-E66/C36)</f>
        <v>0.27912382471936625</v>
      </c>
    </row>
    <row r="67" spans="2:7" ht="13.15">
      <c r="B67" s="302" t="s">
        <v>314</v>
      </c>
      <c r="C67" s="119">
        <f>PV(F67, Holding_Period, -C58, 0)</f>
        <v>0.37095728225856828</v>
      </c>
      <c r="D67" s="119">
        <f>C36/(1+F67)^Holding_Period</f>
        <v>67.472986977025698</v>
      </c>
      <c r="E67" s="332">
        <f>C67+D67</f>
        <v>67.843944259284271</v>
      </c>
      <c r="F67" s="301">
        <f>Thesis!E25</f>
        <v>7.2499999999999995E-2</v>
      </c>
      <c r="G67" s="440">
        <f>(1-E67/C36)</f>
        <v>0.18494062032555691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46101</v>
      </c>
    </row>
    <row r="4" spans="1:10">
      <c r="B4" s="422" t="s">
        <v>534</v>
      </c>
      <c r="C4" s="423" t="str">
        <f>Thesis!C4</f>
        <v>腾讯音乐</v>
      </c>
      <c r="D4" s="349"/>
      <c r="E4" s="434" t="s">
        <v>540</v>
      </c>
      <c r="F4" s="437" t="str">
        <f>Thesis!F4</f>
        <v>INT</v>
      </c>
    </row>
    <row r="5" spans="1:10">
      <c r="B5" s="343" t="s">
        <v>364</v>
      </c>
      <c r="C5" s="355" t="str">
        <f>Thesis!C5</f>
        <v>1698.hk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40.56</v>
      </c>
    </row>
    <row r="9" spans="1:10">
      <c r="B9" s="351" t="s">
        <v>361</v>
      </c>
      <c r="C9" s="353">
        <f>Common_Shares</f>
        <v>3108803728</v>
      </c>
    </row>
    <row r="10" spans="1:10">
      <c r="B10" s="351" t="s">
        <v>367</v>
      </c>
      <c r="C10" s="357">
        <f>投资主题!C8*Common_Shares/1000000</f>
        <v>126093.07920768001</v>
      </c>
      <c r="D10" s="343" t="s">
        <v>529</v>
      </c>
      <c r="E10" s="360">
        <f>Scenarios!F34</f>
        <v>0.27360139854124743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1.1399999999999999</v>
      </c>
    </row>
    <row r="17" spans="1:6">
      <c r="B17" s="343" t="s">
        <v>535</v>
      </c>
      <c r="C17" s="424">
        <f>Terminal_Growth</f>
        <v>0.02</v>
      </c>
      <c r="D17" s="351" t="s">
        <v>339</v>
      </c>
      <c r="E17" s="344" t="str">
        <f>Reporting_currency</f>
        <v>CNY</v>
      </c>
    </row>
    <row r="18" spans="1:6">
      <c r="B18" s="343" t="str">
        <f>"预期股权价值 ("&amp;C7&amp;") :"</f>
        <v>预期股权价值 (HKD) :</v>
      </c>
      <c r="C18" s="359">
        <f>C125</f>
        <v>83.238038787288104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38.618382143756079</v>
      </c>
      <c r="D22" s="365" t="s">
        <v>440</v>
      </c>
      <c r="E22" s="366">
        <f>Thesis!E22</f>
        <v>0.29465259038036601</v>
      </c>
    </row>
    <row r="23" spans="1:6">
      <c r="B23" s="343" t="s">
        <v>341</v>
      </c>
      <c r="C23" s="367">
        <f>E141</f>
        <v>48.378502156057706</v>
      </c>
      <c r="D23" s="365" t="s">
        <v>441</v>
      </c>
      <c r="E23" s="368">
        <f>Thesis!E23</f>
        <v>0.20075184365903001</v>
      </c>
    </row>
    <row r="24" spans="1:6">
      <c r="B24" s="343" t="s">
        <v>343</v>
      </c>
      <c r="C24" s="367">
        <f>E144</f>
        <v>60.004319038841288</v>
      </c>
      <c r="D24" s="365" t="s">
        <v>443</v>
      </c>
      <c r="E24" s="368">
        <f>Thesis!E24</f>
        <v>0.1174</v>
      </c>
    </row>
    <row r="25" spans="1:6">
      <c r="B25" s="343" t="s">
        <v>342</v>
      </c>
      <c r="C25" s="367">
        <f>E145</f>
        <v>67.843944259284271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9345.3202704130126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71.994389576888963</v>
      </c>
      <c r="D44" s="343" t="str">
        <f>Reporting_currency</f>
        <v>CNY</v>
      </c>
      <c r="E44" s="371"/>
      <c r="F44" s="371"/>
    </row>
    <row r="45" spans="2:6">
      <c r="B45" s="372" t="s">
        <v>268</v>
      </c>
      <c r="C45" s="376">
        <f>Normalized_FCF!C45</f>
        <v>-18.96</v>
      </c>
      <c r="D45" s="343" t="str">
        <f>Reporting_currency</f>
        <v>CNY</v>
      </c>
      <c r="E45" s="371"/>
      <c r="F45" s="371"/>
    </row>
    <row r="46" spans="2:6">
      <c r="B46" s="372" t="s">
        <v>203</v>
      </c>
      <c r="C46" s="373">
        <f>Normalized_FCF!C10</f>
        <v>53.034389576888962</v>
      </c>
      <c r="D46" s="343" t="str">
        <f>Reporting_currency</f>
        <v>CNY</v>
      </c>
    </row>
    <row r="48" spans="2:6">
      <c r="B48" s="343" t="s">
        <v>505</v>
      </c>
    </row>
    <row r="49" spans="2:6">
      <c r="B49" s="372" t="s">
        <v>223</v>
      </c>
      <c r="C49" s="373">
        <f>Normalized_FCF!C13</f>
        <v>-538.69335586775105</v>
      </c>
      <c r="D49" s="343" t="str">
        <f>Reporting_currency</f>
        <v>CNY</v>
      </c>
    </row>
    <row r="51" spans="2:6">
      <c r="B51" s="470" t="s">
        <v>506</v>
      </c>
      <c r="C51" s="470"/>
      <c r="D51" s="470"/>
      <c r="E51" s="470"/>
      <c r="F51" s="470"/>
    </row>
    <row r="52" spans="2:6">
      <c r="B52" s="372" t="s">
        <v>496</v>
      </c>
      <c r="C52" s="373">
        <f>Normalized_FCF!C12</f>
        <v>-2349.5886649974755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7660.3089609457529</v>
      </c>
      <c r="D60" s="343" t="str">
        <f>Reporting_currency</f>
        <v>CNY</v>
      </c>
    </row>
    <row r="61" spans="2:6">
      <c r="B61" s="372" t="s">
        <v>213</v>
      </c>
      <c r="C61" s="373">
        <f>Normalized_FCF!C19</f>
        <v>6510.0726391246753</v>
      </c>
      <c r="D61" s="343" t="str">
        <f>Reporting_currency</f>
        <v>CNY</v>
      </c>
    </row>
    <row r="62" spans="2:6">
      <c r="B62" s="377" t="s">
        <v>302</v>
      </c>
      <c r="C62" s="378">
        <f>Normalized_FCF!C124</f>
        <v>5.8857178008784046E-2</v>
      </c>
      <c r="F62" s="379"/>
    </row>
    <row r="63" spans="2:6">
      <c r="B63" s="377" t="s">
        <v>332</v>
      </c>
      <c r="C63" s="378">
        <f>Normalized_FCF!C92</f>
        <v>3.500986193293885E-3</v>
      </c>
      <c r="E63" s="372" t="s">
        <v>373</v>
      </c>
      <c r="F63" s="380">
        <f>Normalized_FCF!C90</f>
        <v>6.7810323148000395E-2</v>
      </c>
    </row>
    <row r="65" spans="1:6">
      <c r="B65" s="369" t="s">
        <v>376</v>
      </c>
      <c r="C65" s="381" t="s">
        <v>327</v>
      </c>
      <c r="D65" s="381" t="s">
        <v>374</v>
      </c>
    </row>
    <row r="66" spans="1:6">
      <c r="B66" s="372" t="s">
        <v>326</v>
      </c>
      <c r="C66" s="378">
        <f>Normalized_FCF!E119</f>
        <v>0.11316501697760267</v>
      </c>
      <c r="D66" s="378">
        <f>Normalized_FCF!G119</f>
        <v>0.11898024034853405</v>
      </c>
    </row>
    <row r="67" spans="1:6">
      <c r="B67" s="382" t="str">
        <f>Normalized_FCF!B116</f>
        <v>Pre-tax Profit/Sales</v>
      </c>
      <c r="C67" s="383">
        <f>Normalized_FCF!E116</f>
        <v>0.28564691082578264</v>
      </c>
      <c r="D67" s="383">
        <f>Normalized_FCF!G116</f>
        <v>0.30032548054664621</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-316</v>
      </c>
      <c r="D78" s="343" t="str">
        <f>Reporting_currency</f>
        <v>CNY</v>
      </c>
    </row>
    <row r="79" spans="1:6">
      <c r="B79" s="372" t="s">
        <v>234</v>
      </c>
      <c r="C79" s="387">
        <f>C78*scaling_factor*Exchange_Rate/Common_Shares</f>
        <v>-0.11587737004926801</v>
      </c>
      <c r="D79" s="343" t="str">
        <f>Market_currency</f>
        <v>HKD</v>
      </c>
    </row>
    <row r="80" spans="1:6">
      <c r="B80" s="382" t="s">
        <v>309</v>
      </c>
      <c r="C80" s="388">
        <f>IF(BS!G31/BS!G27&gt;300%,"nm",BS!G31/BS!G27)</f>
        <v>3.8049367850692354E-3</v>
      </c>
    </row>
    <row r="81" spans="1:6">
      <c r="B81" s="382" t="s">
        <v>311</v>
      </c>
      <c r="C81" s="389">
        <f>IF(BS!C50&gt;30,"nm",BS!C50)</f>
        <v>3.3813715405821454E-2</v>
      </c>
    </row>
    <row r="83" spans="1:6">
      <c r="B83" s="343" t="s">
        <v>512</v>
      </c>
    </row>
    <row r="84" spans="1:6">
      <c r="B84" s="343" t="s">
        <v>224</v>
      </c>
      <c r="C84" s="373">
        <f>DCF!F5</f>
        <v>26058.935070518506</v>
      </c>
      <c r="D84" s="343" t="str">
        <f>Reporting_currency</f>
        <v>CNY</v>
      </c>
    </row>
    <row r="85" spans="1:6">
      <c r="B85" s="382" t="s">
        <v>481</v>
      </c>
      <c r="C85" s="390">
        <f>BS!C66</f>
        <v>38058</v>
      </c>
      <c r="D85" s="391" t="str">
        <f>Reporting_currency</f>
        <v>CNY</v>
      </c>
    </row>
    <row r="86" spans="1:6">
      <c r="B86" s="372" t="s">
        <v>235</v>
      </c>
      <c r="C86" s="387">
        <f>C84*scaling_factor*Exchange_Rate/Common_Shares</f>
        <v>9.5558255134693706</v>
      </c>
      <c r="D86" s="343" t="str">
        <f>Market_currency</f>
        <v>HKD</v>
      </c>
    </row>
    <row r="88" spans="1:6">
      <c r="B88" s="343" t="s">
        <v>513</v>
      </c>
    </row>
    <row r="89" spans="1:6">
      <c r="B89" s="343" t="s">
        <v>217</v>
      </c>
      <c r="C89" s="373">
        <f>DCF!F6</f>
        <v>16734</v>
      </c>
      <c r="D89" s="343" t="str">
        <f>Reporting_currency</f>
        <v>CNY</v>
      </c>
    </row>
    <row r="90" spans="1:6">
      <c r="B90" s="372" t="s">
        <v>236</v>
      </c>
      <c r="C90" s="387">
        <f>C89*scaling_factor*Exchange_Rate/Common_Shares</f>
        <v>6.136366805077377</v>
      </c>
      <c r="D90" s="343" t="str">
        <f>Market_currency</f>
        <v>HKD</v>
      </c>
    </row>
    <row r="92" spans="1:6">
      <c r="B92" s="372" t="s">
        <v>480</v>
      </c>
      <c r="C92" s="387">
        <f>DCF!F8</f>
        <v>15.576314948497481</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11.46632245675176</v>
      </c>
      <c r="D111" s="343" t="str">
        <f>Market_currency</f>
        <v>HKD</v>
      </c>
    </row>
    <row r="112" spans="1:6">
      <c r="A112" s="385"/>
      <c r="B112" s="372" t="s">
        <v>377</v>
      </c>
      <c r="C112" s="394">
        <f>DCF!C11</f>
        <v>61.957116526345246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0.15</v>
      </c>
      <c r="D118" s="397">
        <f>DCF!D90</f>
        <v>15</v>
      </c>
      <c r="E118" s="398" t="str">
        <f>ROUND(DCF!E90,2)&amp;" "&amp;Market_currency</f>
        <v>176.68 HKD</v>
      </c>
      <c r="F118" s="399">
        <f>DCF!F90</f>
        <v>0.15</v>
      </c>
    </row>
    <row r="119" spans="1:6">
      <c r="A119" s="385"/>
      <c r="B119" s="400" t="str">
        <f>DCF!B91</f>
        <v>Optimistic</v>
      </c>
      <c r="C119" s="401">
        <f>DCF!C91</f>
        <v>0.08</v>
      </c>
      <c r="D119" s="402">
        <f>DCF!D91</f>
        <v>15</v>
      </c>
      <c r="E119" s="398" t="str">
        <f>ROUND(DCF!E91,2)&amp;" "&amp;Market_currency</f>
        <v>90.74 HKD</v>
      </c>
      <c r="F119" s="403">
        <f>DCF!F91</f>
        <v>0.15999999999999995</v>
      </c>
    </row>
    <row r="120" spans="1:6">
      <c r="B120" s="400" t="str">
        <f>DCF!B92</f>
        <v>Base</v>
      </c>
      <c r="C120" s="401">
        <f>DCF!C92</f>
        <v>0.04</v>
      </c>
      <c r="D120" s="402">
        <f>DCF!D92</f>
        <v>15</v>
      </c>
      <c r="E120" s="398" t="str">
        <f>ROUND(DCF!E92,2)&amp;" "&amp;Market_currency</f>
        <v>64.99 HKD</v>
      </c>
      <c r="F120" s="403">
        <f>DCF!F92</f>
        <v>0.44</v>
      </c>
    </row>
    <row r="121" spans="1:6">
      <c r="B121" s="400" t="str">
        <f>DCF!B93</f>
        <v>Pessimistic</v>
      </c>
      <c r="C121" s="401">
        <f>DCF!C93</f>
        <v>0.02</v>
      </c>
      <c r="D121" s="402">
        <f>DCF!D93</f>
        <v>15</v>
      </c>
      <c r="E121" s="398" t="str">
        <f>ROUND(DCF!E93,2)&amp;" "&amp;Market_currency</f>
        <v>55.93 HKD</v>
      </c>
      <c r="F121" s="403">
        <f>DCF!F93</f>
        <v>0.19999999999999998</v>
      </c>
    </row>
    <row r="122" spans="1:6">
      <c r="B122" s="400" t="str">
        <f>DCF!B94</f>
        <v>Devil's advocate</v>
      </c>
      <c r="C122" s="401">
        <f>DCF!C94</f>
        <v>0</v>
      </c>
      <c r="D122" s="402">
        <f>DCF!D94</f>
        <v>15</v>
      </c>
      <c r="E122" s="398" t="str">
        <f>ROUND(DCF!E94,2)&amp;" "&amp;Market_currency</f>
        <v>48.73 HKD</v>
      </c>
      <c r="F122" s="403">
        <f>DCF!F94</f>
        <v>0.05</v>
      </c>
    </row>
    <row r="124" spans="1:6">
      <c r="B124" s="470" t="s">
        <v>519</v>
      </c>
      <c r="C124" s="470"/>
      <c r="D124" s="470"/>
      <c r="E124" s="470"/>
      <c r="F124" s="470"/>
    </row>
    <row r="125" spans="1:6">
      <c r="B125" s="372" t="s">
        <v>218</v>
      </c>
      <c r="C125" s="404">
        <f>Scenarios!C36</f>
        <v>83.238038787288104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0.25983892380763701</v>
      </c>
      <c r="D140" s="409">
        <f>Scenarios!D62</f>
        <v>38.358543219948444</v>
      </c>
      <c r="E140" s="410">
        <f>Scenarios!E62</f>
        <v>38.618382143756079</v>
      </c>
      <c r="F140" s="411">
        <f>E22</f>
        <v>0.29465259038036601</v>
      </c>
    </row>
    <row r="141" spans="1:6">
      <c r="B141" s="408" t="s">
        <v>313</v>
      </c>
      <c r="C141" s="409">
        <f>Scenarios!C63</f>
        <v>0.29876856051220924</v>
      </c>
      <c r="D141" s="409">
        <f>Scenarios!D63</f>
        <v>48.079733595545498</v>
      </c>
      <c r="E141" s="410">
        <f>Scenarios!E63</f>
        <v>48.378502156057706</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59.661729394958002</v>
      </c>
      <c r="E144" s="410">
        <f>Scenarios!E66</f>
        <v>60.004319038841288</v>
      </c>
      <c r="F144" s="411">
        <f>E24</f>
        <v>0.1174</v>
      </c>
    </row>
    <row r="145" spans="1:6">
      <c r="B145" s="408" t="s">
        <v>314</v>
      </c>
      <c r="C145" s="409">
        <f>Scenarios!C67</f>
        <v>0.37095728225856828</v>
      </c>
      <c r="D145" s="409">
        <f>Scenarios!D67</f>
        <v>67.472986977025698</v>
      </c>
      <c r="E145" s="410">
        <f>Scenarios!E67</f>
        <v>67.843944259284271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2026-03-20T09:36:57Z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