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1EFD5BA-C598-41F5-A2A0-8D4BAD4F537F}"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G17" i="3"/>
  <c r="C19" i="3"/>
  <c r="C23" i="3"/>
  <c r="G4" i="3"/>
  <c r="C6" i="4"/>
  <c r="D6" i="4"/>
  <c r="E6" i="4"/>
  <c r="F6" i="4"/>
  <c r="G6" i="4"/>
  <c r="H6" i="4"/>
  <c r="I6" i="4"/>
  <c r="C25" i="4"/>
  <c r="D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<sst xmlns="http://schemas.openxmlformats.org/spreadsheetml/2006/main" count="768" uniqueCount="559">
  <si>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</si>
  <si>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</si>
  <si>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</si>
  <si>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</si>
  <si>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</si>
  <si>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</si>
  <si>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</si>
  <si>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</si>
  <si>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</si>
  <si>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</si>
  <si>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</si>
  <si>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</si>
  <si>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</si>
  <si>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</si>
  <si>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</si>
  <si>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</si>
  <si>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</si>
  <si>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</si>
  <si>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</si>
  <si>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</si>
  <si>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</si>
  <si>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</si>
  <si>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</si>
  <si>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</si>
  <si>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</si>
  <si>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</si>
  <si>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</si>
  <si>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</si>
  <si>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</si>
  <si>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</si>
  <si>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</si>
  <si>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</si>
  <si>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</si>
  <si>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</si>
  <si>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</si>
  <si>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</si>
  <si>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</si>
  <si>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</si>
  <si>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</si>
  <si>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</si>
  <si>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</si>
  <si>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</si>
  <si>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</si>
  <si>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</si>
  <si>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</si>
  <si>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</si>
  <si>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</si>
  <si>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</si>
  <si>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</si>
  <si>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</si>
  <si>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</si>
  <si>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</si>
  <si>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</si>
  <si>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</si>
  <si>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</si>
  <si>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</si>
  <si>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</si>
  <si>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</si>
  <si>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</si>
  <si>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</si>
  <si>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</si>
  <si>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</si>
  <si>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</si>
  <si>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</si>
  <si>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</si>
  <si>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</si>
  <si>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</si>
  <si>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</si>
  <si>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</si>
  <si>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</si>
  <si>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</si>
  <si>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</si>
  <si>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</si>
  <si>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</si>
  <si>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</si>
  <si>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</si>
  <si>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</si>
  <si>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</si>
  <si>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</si>
  <si>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</si>
  <si>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</si>
  <si>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</si>
  <si>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</si>
  <si>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</si>
  <si>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</si>
  <si>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</si>
  <si>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</si>
  <si>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</si>
  <si>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</si>
  <si>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</si>
  <si>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</si>
  <si>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</si>
  <si>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</si>
  <si>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</si>
  <si>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</si>
  <si>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</si>
  <si>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</si>
  <si>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</si>
  <si>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</si>
  <si>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</si>
  <si>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</si>
  <si>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</si>
  <si>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</si>
  <si>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</si>
  <si>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</si>
  <si>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</si>
  <si>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</si>
  <si>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</si>
  <si>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</si>
  <si>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</si>
  <si>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</si>
  <si>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</si>
  <si>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</si>
  <si>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</si>
  <si>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</si>
  <si>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</si>
  <si>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</si>
  <si>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</si>
  <si>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</si>
  <si>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</si>
  <si>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</si>
  <si>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</si>
  <si>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</si>
  <si>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</si>
  <si>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</si>
  <si>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</si>
  <si>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</si>
  <si>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</si>
  <si>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</si>
  <si>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</si>
  <si>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</si>
  <si>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</si>
  <si>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</si>
  <si>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</si>
  <si>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</si>
  <si>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</si>
  <si>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</si>
  <si>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</si>
  <si>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</si>
  <si>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</si>
  <si>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</si>
  <si>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</si>
  <si>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</si>
  <si>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</si>
  <si>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</si>
  <si>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</si>
  <si>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</si>
  <si>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</si>
  <si>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</si>
  <si>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</si>
  <si>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</si>
  <si>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</si>
  <si>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</si>
  <si>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</si>
  <si>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</si>
  <si>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</si>
  <si>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</si>
  <si>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</si>
  <si>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</si>
  <si>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</si>
  <si>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</si>
  <si>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</si>
  <si>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</si>
  <si>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</si>
  <si>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</si>
  <si>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</si>
  <si>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</si>
  <si>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</si>
  <si>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</si>
  <si>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</si>
  <si>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</si>
  <si>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</si>
  <si>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</si>
  <si>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</si>
  <si>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</si>
  <si>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</si>
  <si>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</si>
  <si>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</si>
  <si>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</si>
  <si>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</si>
  <si>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</si>
  <si>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</si>
  <si>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</si>
  <si>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</si>
  <si>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</si>
  <si>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</si>
  <si>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</si>
  <si>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</si>
  <si>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</si>
  <si>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</si>
  <si>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</si>
  <si>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</si>
  <si>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</si>
  <si>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</si>
  <si>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</si>
  <si>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</si>
  <si>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</si>
  <si>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</si>
  <si>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</si>
  <si>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</si>
  <si>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</si>
  <si>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</si>
  <si>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</si>
  <si>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</si>
  <si>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</si>
  <si>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</si>
  <si>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</si>
  <si>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</si>
  <si>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</si>
  <si>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</si>
  <si>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</si>
  <si>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</si>
  <si>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</si>
  <si>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</si>
  <si>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</si>
  <si>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</si>
  <si>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</si>
  <si>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</si>
  <si>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</si>
  <si>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</si>
  <si>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</si>
  <si>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</si>
  <si>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</si>
  <si>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</si>
  <si>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</si>
  <si>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</si>
  <si>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</si>
  <si>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</si>
  <si>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</si>
  <si>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</si>
  <si>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</si>
  <si>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</si>
  <si>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</si>
  <si>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</si>
  <si>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</si>
  <si>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</si>
  <si>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</si>
  <si>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</si>
  <si>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</si>
  <si>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</si>
  <si>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</si>
  <si>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</si>
  <si>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</si>
  <si>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</si>
  <si>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</si>
  <si>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</si>
  <si>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</si>
  <si>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</si>
  <si>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</si>
  <si>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</si>
  <si>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</si>
  <si>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</si>
  <si>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</si>
  <si>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</si>
  <si>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</si>
  <si>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</si>
  <si>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</si>
  <si>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</si>
  <si>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</si>
  <si>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</si>
  <si>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</si>
  <si>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</si>
  <si>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</si>
  <si>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</si>
  <si>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</si>
  <si>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</si>
  <si>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</si>
  <si>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</si>
  <si>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</si>
  <si>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</si>
  <si>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</si>
  <si>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</si>
  <si>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</si>
  <si>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</si>
  <si>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</si>
  <si>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</si>
  <si>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</si>
  <si>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</si>
  <si>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</si>
  <si>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</si>
  <si>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</si>
  <si>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</si>
  <si>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</si>
  <si>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</si>
  <si>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</si>
  <si>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</si>
  <si>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</si>
  <si>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</si>
  <si>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</si>
  <si>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</si>
  <si>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</si>
  <si>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</si>
  <si>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</si>
  <si>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</si>
  <si>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</si>
  <si>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</si>
  <si>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</si>
  <si>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</si>
  <si>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</si>
  <si>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</si>
  <si>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</si>
  <si>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</si>
  <si>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</si>
  <si>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</si>
  <si>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</si>
  <si>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</si>
  <si>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</si>
  <si>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</si>
  <si>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</si>
  <si>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</si>
  <si>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</si>
  <si>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</si>
  <si>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</si>
  <si>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</si>
  <si>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</si>
  <si>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</si>
  <si>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</si>
  <si>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</si>
  <si>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</si>
  <si>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</si>
  <si>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</si>
  <si>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</si>
  <si>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</si>
  <si>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</si>
  <si>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</si>
  <si>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</si>
  <si>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</si>
  <si>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</si>
  <si>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</si>
  <si>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</si>
  <si>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</si>
  <si>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</si>
  <si>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</si>
  <si>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</si>
  <si>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</si>
  <si>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</si>
  <si>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</si>
  <si>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</si>
  <si>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</si>
  <si>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</si>
  <si>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</si>
  <si>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</si>
  <si>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</si>
  <si>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</si>
  <si>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</si>
  <si>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</si>
  <si>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</si>
  <si>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</si>
  <si>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</si>
  <si>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</si>
  <si>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</si>
  <si>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</si>
  <si>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</si>
  <si>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</si>
  <si>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</si>
  <si>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</si>
  <si>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</si>
  <si>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</si>
  <si>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</si>
  <si>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</si>
  <si>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</si>
  <si>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</si>
  <si>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</si>
  <si>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</si>
  <si>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</si>
  <si>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</si>
  <si>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</si>
  <si>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</si>
  <si>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</si>
  <si>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</si>
  <si>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</si>
  <si>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</si>
  <si>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</si>
  <si>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</si>
  <si>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</si>
  <si>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</si>
  <si>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</si>
  <si>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</si>
  <si>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</si>
  <si>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</si>
  <si>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</si>
  <si>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</si>
  <si>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</si>
  <si>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</si>
  <si>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</si>
  <si>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</si>
  <si>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</si>
  <si>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</si>
  <si>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</si>
  <si>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</si>
  <si>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</si>
  <si>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</si>
  <si>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</si>
  <si>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</si>
  <si>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</si>
  <si>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</si>
  <si>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</si>
  <si>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</si>
  <si>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</si>
  <si>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</si>
  <si>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</si>
  <si>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</si>
  <si>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</si>
  <si>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</si>
  <si>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</si>
  <si>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</si>
  <si>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</si>
  <si>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</si>
  <si>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</si>
  <si>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</si>
  <si>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</si>
  <si>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</si>
  <si>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</si>
  <si>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</si>
  <si>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</si>
  <si>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</si>
  <si>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</si>
  <si>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</si>
  <si>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</si>
  <si>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</si>
  <si>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</si>
  <si>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</si>
  <si>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</si>
  <si>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</si>
  <si>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</si>
  <si>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</si>
  <si>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</si>
  <si>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</si>
  <si>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</si>
  <si>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</si>
  <si>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</si>
  <si>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</si>
  <si>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</si>
  <si>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</si>
  <si>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</si>
  <si>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</si>
  <si>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</si>
  <si>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</si>
  <si>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</si>
  <si>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</si>
  <si>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</si>
  <si>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</si>
  <si>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</si>
  <si>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</si>
  <si>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</si>
  <si>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</si>
  <si>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</si>
  <si>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</si>
  <si>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</si>
  <si>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</si>
  <si>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</si>
  <si>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</si>
  <si>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</si>
  <si>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</si>
  <si>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</si>
  <si>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</si>
  <si>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</si>
  <si>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</si>
  <si>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</si>
  <si>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</si>
  <si>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</si>
  <si>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</si>
  <si>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</si>
  <si>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</si>
  <si>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</si>
  <si>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</si>
  <si>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</si>
  <si>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</si>
  <si>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</si>
  <si>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</si>
  <si>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</si>
  <si>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</si>
  <si>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</si>
  <si>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</si>
  <si>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</si>
  <si>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</si>
  <si>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</si>
  <si>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</si>
  <si>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</si>
  <si>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</si>
  <si>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</si>
  <si>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</si>
  <si>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</si>
  <si>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</si>
  <si>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</si>
  <si>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</si>
  <si>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</si>
  <si>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</si>
  <si>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</si>
  <si>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</si>
  <si>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</si>
  <si>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</si>
  <si>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</si>
  <si>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</si>
  <si>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</si>
  <si>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</si>
  <si>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</si>
  <si>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</si>
  <si>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</si>
  <si>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</si>
  <si>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</si>
  <si>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</si>
  <si>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</si>
  <si>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</si>
  <si>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</si>
  <si>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</si>
  <si>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</si>
  <si>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</si>
  <si>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</si>
  <si>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</si>
  <si>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</si>
  <si>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</si>
  <si>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</si>
  <si>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</si>
  <si>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</si>
  <si>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</si>
  <si>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</si>
  <si>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</si>
  <si>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</si>
  <si>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</si>
  <si>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</si>
  <si>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</si>
  <si>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</si>
  <si>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</si>
  <si>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</si>
  <si>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</si>
  <si>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</si>
  <si>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</si>
  <si>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</si>
  <si>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</si>
  <si>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</si>
  <si>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</si>
  <si>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</si>
  <si>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</si>
  <si>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</si>
  <si>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</si>
  <si>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</si>
  <si>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</si>
  <si>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</si>
  <si>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</si>
  <si>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</si>
  <si>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</si>
  <si>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</si>
  <si>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</si>
  <si>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</si>
  <si>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</si>
  <si>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</si>
  <si>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</si>
  <si>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</si>
  <si>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</si>
  <si>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</si>
  <si>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</si>
  <si>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</si>
  <si>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</si>
  <si>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</si>
  <si>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腾讯音乐</t>
  </si>
  <si>
    <t>1698.hk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</si>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</sst>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E24" sqref="E2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46103</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36.840000000000003</v>
      </c>
      <c r="E8" s="32"/>
    </row>
    <row r="9" spans="1:9">
      <c r="B9" s="4" t="s">
        <v>345</v>
      </c>
      <c r="C9" s="48">
        <v>3108803728</v>
      </c>
    </row>
    <row r="10" spans="1:9">
      <c r="B10" s="4" t="s">
        <v>351</v>
      </c>
      <c r="C10" s="33">
        <f>Thesis!C8*Common_Shares/1000000</f>
        <v>114528.32933952</v>
      </c>
      <c r="D10" s="1" t="s">
        <v>527</v>
      </c>
      <c r="E10" s="303">
        <f>Scenarios!F34</f>
        <v>0.2486391565252648</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1.143294</v>
      </c>
    </row>
    <row r="17" spans="1:6">
      <c r="B17" s="1" t="s">
        <v>531</v>
      </c>
      <c r="C17" s="456">
        <v>0.02</v>
      </c>
      <c r="D17" s="4" t="s">
        <v>273</v>
      </c>
      <c r="E17" s="224" t="s">
        <v>558</v>
      </c>
    </row>
    <row r="18" spans="1:6">
      <c r="B18" s="1" t="str">
        <f>"Expected Equity Value ("&amp;C7&amp;") :"</f>
        <v>Expected Equity Value (HKD) :</v>
      </c>
      <c r="C18" s="252">
        <f>C125</f>
        <v>71.17768116514172</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32.655558108849206</v>
      </c>
      <c r="D22" s="38" t="s">
        <v>405</v>
      </c>
      <c r="E22" s="79">
        <v>0.3</v>
      </c>
    </row>
    <row r="23" spans="1:6">
      <c r="B23" s="1" t="s">
        <v>312</v>
      </c>
      <c r="C23" s="256">
        <f>E141</f>
        <v>41.489908081679232</v>
      </c>
      <c r="D23" s="38" t="s">
        <v>406</v>
      </c>
      <c r="E23" s="443">
        <v>0.2</v>
      </c>
    </row>
    <row r="24" spans="1:6">
      <c r="B24" s="1" t="s">
        <v>314</v>
      </c>
      <c r="C24" s="256">
        <f>E144</f>
        <v>51.359932369692579</v>
      </c>
      <c r="D24" s="38" t="s">
        <v>407</v>
      </c>
      <c r="E24" s="443">
        <v>0.1174</v>
      </c>
    </row>
    <row r="25" spans="1:6">
      <c r="B25" s="1" t="s">
        <v>313</v>
      </c>
      <c r="C25" s="256">
        <f>E145</f>
        <v>58.067784649651202</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1000000</v>
      </c>
    </row>
    <row r="33" spans="2:6" ht="24.5" customHeight="1">
      <c r="B33" s="463" t="s">
        <v>195</v>
      </c>
      <c r="C33" s="463"/>
      <c r="D33" s="463"/>
      <c r="E33" s="463"/>
      <c r="F33" s="463"/>
    </row>
    <row r="34" spans="2:6">
      <c r="B34" s="44" t="s">
        <v>196</v>
      </c>
      <c r="C34" s="285">
        <f>Normalized_FCF!C8</f>
        <v>9207.3202704130126</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-650.63867420757288</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72.408389576888965</v>
      </c>
      <c r="D44" s="1" t="str">
        <f>Reporting_currency</f>
        <v>CNY</v>
      </c>
      <c r="E44" s="244"/>
      <c r="F44" s="244"/>
    </row>
    <row r="45" spans="2:6">
      <c r="B45" s="44" t="s">
        <v>267</v>
      </c>
      <c r="C45" s="286">
        <f>Normalized_FCF!C45</f>
        <v>-18.96</v>
      </c>
      <c r="D45" s="1" t="str">
        <f>Reporting_currency</f>
        <v>CNY</v>
      </c>
      <c r="E45" s="244"/>
      <c r="F45" s="244"/>
    </row>
    <row r="46" spans="2:6">
      <c r="B46" s="44" t="s">
        <v>202</v>
      </c>
      <c r="C46" s="285">
        <f>Normalized_FCF!C10</f>
        <v>53.448389576888964</v>
      </c>
      <c r="D46" s="1" t="str">
        <f>Reporting_currency</f>
        <v>CNY</v>
      </c>
    </row>
    <row r="48" spans="2:6">
      <c r="B48" s="1" t="s">
        <v>210</v>
      </c>
    </row>
    <row r="49" spans="2:6">
      <c r="B49" s="44" t="s">
        <v>222</v>
      </c>
      <c r="C49" s="285">
        <f>Normalized_FCF!C13</f>
        <v>-538.69335586775105</v>
      </c>
      <c r="D49" s="1" t="str">
        <f>Reporting_currency</f>
        <v>CNY</v>
      </c>
    </row>
    <row r="51" spans="2:6">
      <c r="B51" s="463" t="s">
        <v>205</v>
      </c>
      <c r="C51" s="463"/>
      <c r="D51" s="463"/>
      <c r="E51" s="463"/>
      <c r="F51" s="463"/>
    </row>
    <row r="52" spans="2:6">
      <c r="B52" s="44" t="s">
        <v>203</v>
      </c>
      <c r="C52" s="285">
        <f>Normalized_FCF!C12</f>
        <v>-2315.1921649974752</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7662.219886375362</v>
      </c>
      <c r="D60" s="1" t="str">
        <f>Reporting_currency</f>
        <v>CNY</v>
      </c>
    </row>
    <row r="61" spans="2:6">
      <c r="B61" s="44" t="s">
        <v>212</v>
      </c>
      <c r="C61" s="285">
        <f>Normalized_FCF!C19</f>
        <v>6406.883139124674</v>
      </c>
      <c r="D61" s="1" t="str">
        <f>Reporting_currency</f>
        <v>CNY</v>
      </c>
    </row>
    <row r="62" spans="2:6">
      <c r="B62" s="204" t="s">
        <v>301</v>
      </c>
      <c r="C62" s="89">
        <f>Normalized_FCF!C124</f>
        <v>6.3957547393776598E-2</v>
      </c>
      <c r="F62" s="257"/>
    </row>
    <row r="63" spans="2:6">
      <c r="B63" s="204" t="s">
        <v>331</v>
      </c>
      <c r="C63" s="89">
        <f>Normalized_FCF!C92</f>
        <v>3.8545059717698146E-3</v>
      </c>
      <c r="E63" s="44" t="s">
        <v>321</v>
      </c>
      <c r="F63" s="258">
        <f>Normalized_FCF!C90</f>
        <v>6.8902478754484062E-2</v>
      </c>
    </row>
    <row r="65" spans="1:6">
      <c r="B65" s="192" t="s">
        <v>324</v>
      </c>
      <c r="C65" s="264" t="s">
        <v>326</v>
      </c>
      <c r="D65" s="264" t="s">
        <v>327</v>
      </c>
    </row>
    <row r="66" spans="1:6">
      <c r="B66" s="44" t="s">
        <v>325</v>
      </c>
      <c r="C66" s="89">
        <f>Normalized_FCF!E119</f>
        <v>0.11150835231775919</v>
      </c>
      <c r="D66" s="89">
        <f>Normalized_FCF!G119</f>
        <v>0.11900324968543483</v>
      </c>
    </row>
    <row r="67" spans="1:6">
      <c r="B67" s="229" t="str">
        <f>Normalized_FCF!B116</f>
        <v>Pre-tax Profit/Sales</v>
      </c>
      <c r="C67" s="263">
        <f>Normalized_FCF!E116</f>
        <v>0.28146521974317368</v>
      </c>
      <c r="D67" s="263">
        <f>Normalized_FCF!G116</f>
        <v>0.30038355985579485</v>
      </c>
    </row>
    <row r="68" spans="1:6">
      <c r="B68" s="229" t="str">
        <f>Normalized_FCF!B117</f>
        <v>Sales/Total Assets</v>
      </c>
      <c r="C68" s="265">
        <f>Normalized_FCF!E117</f>
        <v>0.32092624022161098</v>
      </c>
      <c r="D68" s="265">
        <f>Normalized_FCF!G117</f>
        <v>0.32092624022161098</v>
      </c>
    </row>
    <row r="69" spans="1:6">
      <c r="B69" s="229" t="str">
        <f>Normalized_FCF!B118</f>
        <v>Total Assets/Equity</v>
      </c>
      <c r="C69" s="265">
        <f>Normalized_FCF!E118</f>
        <v>1.2344611679711017</v>
      </c>
      <c r="D69" s="265">
        <f>Normalized_FCF!G118</f>
        <v>1.2344611679711017</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-316</v>
      </c>
      <c r="D78" s="1" t="str">
        <f>Reporting_currency</f>
        <v>CNY</v>
      </c>
    </row>
    <row r="79" spans="1:6">
      <c r="A79" s="191"/>
      <c r="B79" s="44" t="s">
        <v>233</v>
      </c>
      <c r="C79" s="201">
        <f>C78*scaling_factor*Exchange_Rate/Common_Shares</f>
        <v>-0.11621219466062091</v>
      </c>
      <c r="D79" s="1" t="str">
        <f>Market_currency</f>
        <v>HKD</v>
      </c>
    </row>
    <row r="80" spans="1:6">
      <c r="A80" s="191"/>
      <c r="B80" s="229" t="s">
        <v>308</v>
      </c>
      <c r="C80" s="337">
        <f>IF(BS!G31/BS!G27&gt;300%,"nm",BS!G31/BS!G27)</f>
        <v>3.8049367850692354E-3</v>
      </c>
    </row>
    <row r="81" spans="1:6">
      <c r="A81" s="191"/>
      <c r="B81" s="229" t="s">
        <v>310</v>
      </c>
      <c r="C81" s="338">
        <f>IF(BS!C50&gt;30,"nm",BS!C50)</f>
        <v>3.432051788351935E-2</v>
      </c>
    </row>
    <row r="82" spans="1:6">
      <c r="A82" s="191"/>
    </row>
    <row r="83" spans="1:6">
      <c r="A83" s="191"/>
      <c r="B83" s="1" t="s">
        <v>465</v>
      </c>
    </row>
    <row r="84" spans="1:6">
      <c r="A84" s="191"/>
      <c r="B84" s="1" t="s">
        <v>223</v>
      </c>
      <c r="C84" s="285">
        <f>DCF!F5</f>
        <v>25989.935070518506</v>
      </c>
      <c r="D84" s="1" t="str">
        <f>Reporting_currency</f>
        <v>CNY</v>
      </c>
    </row>
    <row r="85" spans="1:6">
      <c r="A85" s="191"/>
      <c r="B85" s="229" t="s">
        <v>221</v>
      </c>
      <c r="C85" s="291">
        <f>BS!C66</f>
        <v>38058</v>
      </c>
      <c r="D85" s="339" t="str">
        <f>Reporting_currency</f>
        <v>CNY</v>
      </c>
    </row>
    <row r="86" spans="1:6">
      <c r="A86" s="191"/>
      <c r="B86" s="44" t="s">
        <v>234</v>
      </c>
      <c r="C86" s="201">
        <f>C84*scaling_factor*Exchange_Rate/Common_Shares</f>
        <v>9.5580613722531496</v>
      </c>
      <c r="D86" s="1" t="str">
        <f>Market_currency</f>
        <v>HKD</v>
      </c>
    </row>
    <row r="87" spans="1:6">
      <c r="A87" s="191"/>
    </row>
    <row r="88" spans="1:6">
      <c r="A88" s="191"/>
      <c r="B88" s="1" t="s">
        <v>215</v>
      </c>
    </row>
    <row r="89" spans="1:6">
      <c r="A89" s="191"/>
      <c r="B89" s="1" t="s">
        <v>216</v>
      </c>
      <c r="C89" s="285">
        <f>DCF!F6</f>
        <v>16734</v>
      </c>
      <c r="D89" s="1" t="str">
        <f>Reporting_currency</f>
        <v>CNY</v>
      </c>
    </row>
    <row r="90" spans="1:6">
      <c r="A90" s="191"/>
      <c r="B90" s="44" t="s">
        <v>235</v>
      </c>
      <c r="C90" s="201">
        <f>C89*scaling_factor*Exchange_Rate/Common_Shares</f>
        <v>6.1540976754773116</v>
      </c>
      <c r="D90" s="1" t="str">
        <f>Market_currency</f>
        <v>HKD</v>
      </c>
    </row>
    <row r="91" spans="1:6">
      <c r="A91" s="191"/>
    </row>
    <row r="92" spans="1:6">
      <c r="A92" s="191"/>
      <c r="B92" s="44" t="s">
        <v>468</v>
      </c>
      <c r="C92" s="216">
        <f>DCF!F8</f>
        <v>15.595946853069842</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11.499454093745218</v>
      </c>
      <c r="D111" s="1" t="str">
        <f>Market_currency</f>
        <v>HKD</v>
      </c>
    </row>
    <row r="112" spans="2:6">
      <c r="B112" s="44" t="s">
        <v>322</v>
      </c>
      <c r="C112" s="216">
        <f>DCF!C11</f>
        <v>61.373470032240597</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0.12</v>
      </c>
      <c r="D118" s="207" t="str">
        <f>ROUND(DCF!E90,2)&amp;" "&amp;Market_currency</f>
        <v>88.61 HKD</v>
      </c>
      <c r="E118" s="208">
        <f>DCF!F90</f>
        <v>0.15</v>
      </c>
      <c r="F118" s="208">
        <f>RATE(Holding_Period,Scenarios!C$58,-DCF!E90,C$18)</f>
        <v>-6.8691192485189095E-2</v>
      </c>
    </row>
    <row r="119" spans="2:6">
      <c r="B119" s="205" t="str">
        <f>DCF!B91&amp;" ("&amp;DCF!D91&amp;"yrs)"</f>
        <v>Optimistic (10yrs)</v>
      </c>
      <c r="C119" s="198">
        <f>DCF!C91</f>
        <v>0.11</v>
      </c>
      <c r="D119" s="207" t="str">
        <f>ROUND(DCF!E91,2)&amp;" "&amp;Market_currency</f>
        <v>83.29 HKD</v>
      </c>
      <c r="E119" s="199">
        <f>DCF!F91</f>
        <v>0.15999999999999995</v>
      </c>
      <c r="F119" s="208">
        <f>RATE(Holding_Period,Scenarios!C$58,-DCF!E91,C$18)</f>
        <v>-4.9244064919553375E-2</v>
      </c>
    </row>
    <row r="120" spans="2:6">
      <c r="B120" s="205" t="str">
        <f>DCF!B92&amp;" ("&amp;DCF!D92&amp;"yrs)"</f>
        <v>Base (10yrs)</v>
      </c>
      <c r="C120" s="198">
        <f>DCF!C92</f>
        <v>0.08</v>
      </c>
      <c r="D120" s="207" t="str">
        <f>ROUND(DCF!E92,2)&amp;" "&amp;Market_currency</f>
        <v>69.53 HKD</v>
      </c>
      <c r="E120" s="199">
        <f>DCF!F92</f>
        <v>0.44</v>
      </c>
      <c r="F120" s="208">
        <f>RATE(Holding_Period,Scenarios!C$58,-DCF!E92,C$18)</f>
        <v>9.8690326066035779E-3</v>
      </c>
    </row>
    <row r="121" spans="2:6">
      <c r="B121" s="205" t="str">
        <f>DCF!B93&amp;" ("&amp;DCF!D93&amp;"yrs)"</f>
        <v>Pessimistic (10yrs)</v>
      </c>
      <c r="C121" s="198">
        <f>DCF!C93</f>
        <v>0.05</v>
      </c>
      <c r="D121" s="207" t="str">
        <f>ROUND(DCF!E93,2)&amp;" "&amp;Market_currency</f>
        <v>58.56 HKD</v>
      </c>
      <c r="E121" s="199">
        <f>DCF!F93</f>
        <v>0.19999999999999998</v>
      </c>
      <c r="F121" s="208">
        <f>RATE(Holding_Period,Scenarios!C$58,-DCF!E93,C$18)</f>
        <v>6.9463368073310022E-2</v>
      </c>
    </row>
    <row r="122" spans="2:6">
      <c r="B122" s="205" t="str">
        <f>DCF!B94&amp;" ("&amp;DCF!D94&amp;"yrs)"</f>
        <v>Devil's advocate (10yrs)</v>
      </c>
      <c r="C122" s="198">
        <f>DCF!C94</f>
        <v>0</v>
      </c>
      <c r="D122" s="207" t="str">
        <f>ROUND(DCF!E94,2)&amp;" "&amp;Market_currency</f>
        <v>45.08 HKD</v>
      </c>
      <c r="E122" s="199">
        <f>DCF!F94</f>
        <v>0.05</v>
      </c>
      <c r="F122" s="208">
        <f>RATE(Holding_Period,Scenarios!C$58,-DCF!E94,C$18)</f>
        <v>0.16713266016268385</v>
      </c>
    </row>
    <row r="124" spans="2:6">
      <c r="B124" s="463" t="s">
        <v>356</v>
      </c>
      <c r="C124" s="463"/>
      <c r="D124" s="463"/>
      <c r="E124" s="463"/>
      <c r="F124" s="463"/>
    </row>
    <row r="125" spans="2:6">
      <c r="B125" s="193" t="s">
        <v>217</v>
      </c>
      <c r="C125" s="197">
        <f>Scenarios!C36</f>
        <v>71.17768116514172</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0.14199999999999999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0.25788802913063269</v>
      </c>
      <c r="D140" s="333">
        <f>Scenarios!D62</f>
        <v>32.397670079718573</v>
      </c>
      <c r="E140" s="334">
        <f>Scenarios!E62</f>
        <v>32.655558108849206</v>
      </c>
      <c r="F140" s="335">
        <f>E22</f>
        <v>0.3</v>
      </c>
    </row>
    <row r="141" spans="1:6">
      <c r="B141" s="336" t="s">
        <v>312</v>
      </c>
      <c r="C141" s="333">
        <f>Scenarios!C63</f>
        <v>0.29912037037037031</v>
      </c>
      <c r="D141" s="333">
        <f>Scenarios!D63</f>
        <v>41.190787711308865</v>
      </c>
      <c r="E141" s="334">
        <f>Scenarios!E63</f>
        <v>41.489908081679232</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0.34258964388328816</v>
      </c>
      <c r="D144" s="333">
        <f>Scenarios!D66</f>
        <v>51.017342725809293</v>
      </c>
      <c r="E144" s="334">
        <f>Scenarios!E66</f>
        <v>51.359932369692579</v>
      </c>
      <c r="F144" s="335">
        <f>E24</f>
        <v>0.1174</v>
      </c>
    </row>
    <row r="145" spans="1:6">
      <c r="B145" s="336" t="s">
        <v>313</v>
      </c>
      <c r="C145" s="333">
        <f>Scenarios!C67</f>
        <v>0.37095728225856828</v>
      </c>
      <c r="D145" s="333">
        <f>Scenarios!D67</f>
        <v>57.696827367392636</v>
      </c>
      <c r="E145" s="334">
        <f>Scenarios!E67</f>
        <v>58.067784649651202</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1000000</v>
      </c>
    </row>
    <row r="4" spans="2:13">
      <c r="B4" s="31" t="s">
        <v>0</v>
      </c>
      <c r="C4" s="287">
        <v>32902</v>
      </c>
      <c r="D4" s="287">
        <v>28401</v>
      </c>
      <c r="E4" s="287">
        <v>27752</v>
      </c>
      <c r="F4" s="287">
        <v>28339</v>
      </c>
      <c r="G4" s="287">
        <v>31244</v>
      </c>
      <c r="H4" s="287">
        <v>29153</v>
      </c>
      <c r="I4" s="287">
        <v>25434</v>
      </c>
      <c r="J4" s="287"/>
      <c r="K4" s="287"/>
      <c r="L4" s="287"/>
      <c r="M4" s="287"/>
    </row>
    <row r="5" spans="2:13">
      <c r="B5" s="38" t="s">
        <v>39</v>
      </c>
      <c r="C5" s="287">
        <v>18367</v>
      </c>
      <c r="D5" s="287">
        <v>16376</v>
      </c>
      <c r="E5" s="287">
        <v>17957</v>
      </c>
      <c r="F5" s="287">
        <v>19566</v>
      </c>
      <c r="G5" s="287">
        <v>21840</v>
      </c>
      <c r="H5" s="287">
        <v>19851</v>
      </c>
      <c r="I5" s="287">
        <v>16761</v>
      </c>
      <c r="J5" s="287"/>
      <c r="K5" s="287"/>
      <c r="L5" s="287"/>
      <c r="M5" s="287"/>
    </row>
    <row r="6" spans="2:13">
      <c r="B6" s="38" t="s">
        <v>50</v>
      </c>
      <c r="C6" s="287">
        <f>3916+C7</f>
        <v>4857</v>
      </c>
      <c r="D6" s="287">
        <f>3811+D7</f>
        <v>4676</v>
      </c>
      <c r="E6" s="287">
        <f>4121+E7</f>
        <v>5018</v>
      </c>
      <c r="F6" s="287">
        <f>4413+F7</f>
        <v>5557</v>
      </c>
      <c r="G6" s="287">
        <f>4009+G7</f>
        <v>6687</v>
      </c>
      <c r="H6" s="287">
        <f>3101+H7</f>
        <v>5576</v>
      </c>
      <c r="I6" s="287">
        <f>2703+I7</f>
        <v>4744</v>
      </c>
      <c r="J6" s="287"/>
      <c r="K6" s="287"/>
      <c r="L6" s="287"/>
      <c r="M6" s="287"/>
    </row>
    <row r="7" spans="2:13">
      <c r="B7" s="66" t="s">
        <v>57</v>
      </c>
      <c r="C7" s="288">
        <v>941</v>
      </c>
      <c r="D7" s="288">
        <v>865</v>
      </c>
      <c r="E7" s="288">
        <v>897</v>
      </c>
      <c r="F7" s="288">
        <v>1144</v>
      </c>
      <c r="G7" s="288">
        <v>2678</v>
      </c>
      <c r="H7" s="288">
        <v>2475</v>
      </c>
      <c r="I7" s="288">
        <v>2041</v>
      </c>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129</v>
      </c>
      <c r="D12" s="287">
        <v>94</v>
      </c>
      <c r="E12" s="287">
        <v>141</v>
      </c>
      <c r="F12" s="287">
        <v>108</v>
      </c>
      <c r="G12" s="287">
        <v>121</v>
      </c>
      <c r="H12" s="287">
        <v>97</v>
      </c>
      <c r="I12" s="287">
        <v>64</v>
      </c>
      <c r="J12" s="287"/>
      <c r="K12" s="287"/>
      <c r="L12" s="287"/>
      <c r="M12" s="287"/>
    </row>
    <row r="13" spans="2:13">
      <c r="B13" s="38" t="s">
        <v>63</v>
      </c>
      <c r="C13" s="287">
        <v>1054</v>
      </c>
      <c r="D13" s="287">
        <v>1196</v>
      </c>
      <c r="E13" s="287">
        <v>1052</v>
      </c>
      <c r="F13" s="287">
        <v>711</v>
      </c>
      <c r="G13" s="287">
        <v>530</v>
      </c>
      <c r="H13" s="287">
        <v>622</v>
      </c>
      <c r="I13" s="287">
        <v>615</v>
      </c>
      <c r="J13" s="287"/>
      <c r="K13" s="287"/>
      <c r="L13" s="287"/>
      <c r="M13" s="287"/>
    </row>
    <row r="14" spans="2:13">
      <c r="B14" s="38" t="s">
        <v>46</v>
      </c>
      <c r="C14" s="287">
        <v>1924</v>
      </c>
      <c r="D14" s="287">
        <v>1603</v>
      </c>
      <c r="E14" s="287">
        <v>825</v>
      </c>
      <c r="F14" s="287">
        <v>534</v>
      </c>
      <c r="G14" s="287">
        <v>417</v>
      </c>
      <c r="H14" s="287">
        <v>637</v>
      </c>
      <c r="I14" s="287">
        <v>564</v>
      </c>
      <c r="J14" s="287"/>
      <c r="K14" s="287"/>
      <c r="L14" s="287"/>
      <c r="M14" s="287"/>
    </row>
    <row r="15" spans="2:13">
      <c r="B15" s="41" t="s">
        <v>38</v>
      </c>
      <c r="C15" s="289">
        <v>11353</v>
      </c>
      <c r="D15" s="289">
        <v>7109</v>
      </c>
      <c r="E15" s="289">
        <v>5220</v>
      </c>
      <c r="F15" s="289">
        <v>3839</v>
      </c>
      <c r="G15" s="289">
        <v>3215</v>
      </c>
      <c r="H15" s="289">
        <v>4176</v>
      </c>
      <c r="I15" s="289">
        <v>3977</v>
      </c>
      <c r="J15" s="289"/>
      <c r="K15" s="289"/>
      <c r="L15" s="289"/>
      <c r="M15" s="289"/>
    </row>
    <row r="16" spans="2:13">
      <c r="B16" s="27" t="s">
        <v>40</v>
      </c>
      <c r="C16" s="287">
        <v>297</v>
      </c>
      <c r="D16" s="287">
        <v>465</v>
      </c>
      <c r="E16" s="287">
        <v>300</v>
      </c>
      <c r="F16" s="287">
        <v>162</v>
      </c>
      <c r="G16" s="287">
        <v>186</v>
      </c>
      <c r="H16" s="287">
        <v>21</v>
      </c>
      <c r="I16" s="287">
        <v>5</v>
      </c>
      <c r="J16" s="287"/>
      <c r="K16" s="287"/>
      <c r="L16" s="287"/>
      <c r="M16" s="287"/>
    </row>
    <row r="18" spans="2:13">
      <c r="B18" s="16" t="s">
        <v>47</v>
      </c>
      <c r="C18" s="9"/>
    </row>
    <row r="19" spans="2:13">
      <c r="B19" s="26" t="s">
        <v>43</v>
      </c>
      <c r="C19" s="287"/>
      <c r="D19" s="287"/>
      <c r="E19" s="287">
        <v>1004</v>
      </c>
      <c r="F19" s="287">
        <v>1160</v>
      </c>
      <c r="G19" s="287">
        <v>1001</v>
      </c>
      <c r="H19" s="287">
        <v>824</v>
      </c>
      <c r="I19" s="287">
        <v>583</v>
      </c>
      <c r="J19" s="287"/>
      <c r="K19" s="287"/>
      <c r="L19" s="287"/>
      <c r="M19" s="287"/>
    </row>
    <row r="20" spans="2:13">
      <c r="B20" s="26" t="s">
        <v>49</v>
      </c>
      <c r="C20" s="287"/>
      <c r="D20" s="287"/>
      <c r="E20" s="287">
        <v>1164</v>
      </c>
      <c r="F20" s="287">
        <v>1053</v>
      </c>
      <c r="G20" s="287">
        <v>2758</v>
      </c>
      <c r="H20" s="287">
        <v>501</v>
      </c>
      <c r="I20" s="287">
        <v>286</v>
      </c>
      <c r="J20" s="287"/>
      <c r="K20" s="287"/>
      <c r="L20" s="287"/>
      <c r="M20" s="287"/>
    </row>
    <row r="21" spans="2:13">
      <c r="B21" s="26" t="s">
        <v>48</v>
      </c>
      <c r="C21" s="287"/>
      <c r="D21" s="287"/>
      <c r="E21" s="287">
        <v>-786</v>
      </c>
      <c r="F21" s="287">
        <v>-875</v>
      </c>
      <c r="G21" s="287">
        <v>-579</v>
      </c>
      <c r="H21" s="287">
        <v>505</v>
      </c>
      <c r="I21" s="287">
        <v>-1148</v>
      </c>
      <c r="J21" s="287"/>
      <c r="K21" s="287"/>
      <c r="L21" s="287"/>
      <c r="M21" s="287"/>
    </row>
    <row r="22" spans="2:13">
      <c r="B22" s="26" t="s">
        <v>285</v>
      </c>
      <c r="C22" s="287">
        <v>10231</v>
      </c>
      <c r="D22" s="287">
        <v>10275</v>
      </c>
      <c r="E22" s="287">
        <v>7337</v>
      </c>
      <c r="F22" s="287">
        <v>7481</v>
      </c>
      <c r="G22" s="287">
        <v>5239</v>
      </c>
      <c r="H22" s="287">
        <v>4885</v>
      </c>
      <c r="I22" s="287">
        <v>6200</v>
      </c>
      <c r="J22" s="287"/>
      <c r="K22" s="287"/>
      <c r="L22" s="287"/>
      <c r="M22" s="287"/>
    </row>
    <row r="23" spans="2:13">
      <c r="B23" s="26" t="s">
        <v>287</v>
      </c>
      <c r="C23" s="287">
        <v>-10227</v>
      </c>
      <c r="D23" s="287">
        <v>-6818</v>
      </c>
      <c r="E23" s="287">
        <v>-1863</v>
      </c>
      <c r="F23" s="287">
        <v>-1446</v>
      </c>
      <c r="G23" s="287">
        <v>-5999</v>
      </c>
      <c r="H23" s="287">
        <v>-14206</v>
      </c>
      <c r="I23" s="287">
        <v>-8102</v>
      </c>
      <c r="J23" s="287"/>
      <c r="K23" s="287"/>
      <c r="L23" s="287"/>
      <c r="M23" s="287"/>
    </row>
    <row r="24" spans="2:13">
      <c r="B24" s="26" t="s">
        <v>286</v>
      </c>
      <c r="C24" s="287">
        <v>-4649</v>
      </c>
      <c r="D24" s="287">
        <v>-3830</v>
      </c>
      <c r="E24" s="287">
        <v>-1538</v>
      </c>
      <c r="F24" s="287">
        <v>-3419</v>
      </c>
      <c r="G24" s="287">
        <v>-3710</v>
      </c>
      <c r="H24" s="287">
        <v>-5292</v>
      </c>
      <c r="I24" s="287">
        <v>-31</v>
      </c>
      <c r="J24" s="287"/>
      <c r="K24" s="287"/>
      <c r="L24" s="287"/>
      <c r="M24" s="287"/>
    </row>
    <row r="25" spans="2:13">
      <c r="B25" s="23" t="str">
        <f>"Dividend per share ("&amp;Market_currency&amp;")"</f>
        <v>Dividend per share (HKD)</v>
      </c>
      <c r="C25" s="37">
        <f>0.102+0.04</f>
        <v>0.14199999999999999</v>
      </c>
      <c r="D25" s="37">
        <f>0.063+0.014</f>
        <v>7.6999999999999999E-2</v>
      </c>
      <c r="E25" s="37"/>
      <c r="F25" s="37"/>
      <c r="G25" s="37"/>
      <c r="H25" s="37"/>
      <c r="I25" s="37"/>
      <c r="J25" s="37"/>
      <c r="K25" s="37"/>
      <c r="L25" s="37"/>
      <c r="M25" s="37"/>
    </row>
    <row r="27" spans="2:13">
      <c r="B27" s="16" t="s">
        <v>25</v>
      </c>
      <c r="C27" s="94" t="s">
        <v>546</v>
      </c>
    </row>
    <row r="28" spans="2:13">
      <c r="B28" s="25" t="s">
        <v>21</v>
      </c>
      <c r="C28" s="270">
        <f>BS!C4</f>
        <v>3903</v>
      </c>
      <c r="D28" s="287">
        <v>3508</v>
      </c>
      <c r="E28" s="287">
        <v>2918</v>
      </c>
      <c r="F28" s="287">
        <v>2670</v>
      </c>
      <c r="G28" s="287">
        <v>3610</v>
      </c>
      <c r="H28" s="287">
        <v>2800</v>
      </c>
      <c r="I28" s="287">
        <v>2198</v>
      </c>
      <c r="J28" s="287"/>
      <c r="K28" s="287"/>
      <c r="L28" s="287"/>
      <c r="M28" s="287"/>
    </row>
    <row r="29" spans="2:13">
      <c r="B29" s="25" t="s">
        <v>29</v>
      </c>
      <c r="C29" s="270">
        <f>BS!C6</f>
        <v>41</v>
      </c>
      <c r="D29" s="287">
        <v>2</v>
      </c>
      <c r="E29" s="287">
        <v>8</v>
      </c>
      <c r="F29" s="287">
        <v>8</v>
      </c>
      <c r="G29" s="287">
        <v>24</v>
      </c>
      <c r="H29" s="287">
        <v>18</v>
      </c>
      <c r="I29" s="287">
        <v>26</v>
      </c>
      <c r="J29" s="287"/>
      <c r="K29" s="287"/>
      <c r="L29" s="287"/>
      <c r="M29" s="287"/>
    </row>
    <row r="30" spans="2:13">
      <c r="B30" s="28" t="s">
        <v>37</v>
      </c>
      <c r="C30" s="271">
        <f>BS!C33+BS!C42</f>
        <v>19472</v>
      </c>
      <c r="D30" s="289">
        <v>20718</v>
      </c>
      <c r="E30" s="289">
        <v>18334</v>
      </c>
      <c r="F30" s="289">
        <v>17882</v>
      </c>
      <c r="G30" s="289">
        <v>16199</v>
      </c>
      <c r="H30" s="289">
        <v>15542</v>
      </c>
      <c r="I30" s="289">
        <v>9000</v>
      </c>
      <c r="J30" s="289"/>
      <c r="K30" s="289"/>
      <c r="L30" s="289"/>
      <c r="M30" s="289"/>
    </row>
    <row r="31" spans="2:13">
      <c r="B31" s="28" t="s">
        <v>27</v>
      </c>
      <c r="C31" s="271">
        <f>BS!G27</f>
        <v>83050</v>
      </c>
      <c r="D31" s="289">
        <v>69726</v>
      </c>
      <c r="E31" s="289">
        <v>57202</v>
      </c>
      <c r="F31" s="289">
        <v>49127</v>
      </c>
      <c r="G31" s="289">
        <v>51055</v>
      </c>
      <c r="H31" s="289">
        <v>52731</v>
      </c>
      <c r="I31" s="289">
        <v>43678</v>
      </c>
      <c r="J31" s="289"/>
      <c r="K31" s="289"/>
      <c r="L31" s="289"/>
      <c r="M31" s="289"/>
    </row>
    <row r="32" spans="2:13">
      <c r="B32" s="25" t="s">
        <v>142</v>
      </c>
      <c r="C32" s="270">
        <f>BS!G28</f>
        <v>2763</v>
      </c>
      <c r="D32" s="287">
        <v>1863</v>
      </c>
      <c r="E32" s="287">
        <v>1295</v>
      </c>
      <c r="F32" s="287">
        <v>1028</v>
      </c>
      <c r="G32" s="287">
        <v>738</v>
      </c>
      <c r="H32" s="287">
        <v>486</v>
      </c>
      <c r="I32" s="287">
        <v>88</v>
      </c>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32902</v>
      </c>
      <c r="D36" s="270">
        <f t="shared" si="1"/>
        <v>28401</v>
      </c>
      <c r="E36" s="270">
        <f t="shared" si="1"/>
        <v>27752</v>
      </c>
      <c r="F36" s="270">
        <f t="shared" si="1"/>
        <v>28339</v>
      </c>
      <c r="G36" s="270">
        <f t="shared" si="1"/>
        <v>31244</v>
      </c>
      <c r="H36" s="270">
        <f t="shared" si="1"/>
        <v>29153</v>
      </c>
      <c r="I36" s="270">
        <f t="shared" si="1"/>
        <v>25434</v>
      </c>
      <c r="J36" s="270" t="str">
        <f t="shared" si="1"/>
        <v/>
      </c>
      <c r="K36" s="270" t="str">
        <f t="shared" si="1"/>
        <v/>
      </c>
      <c r="L36" s="270" t="str">
        <f t="shared" si="1"/>
        <v/>
      </c>
      <c r="M36" s="270" t="str">
        <f t="shared" si="1"/>
        <v/>
      </c>
    </row>
    <row r="37" spans="2:13">
      <c r="B37" s="38" t="s">
        <v>39</v>
      </c>
      <c r="C37" s="270">
        <f t="shared" ref="C37:M37" si="2">IF(C$4="","",-C5)</f>
        <v>-18367</v>
      </c>
      <c r="D37" s="270">
        <f t="shared" si="2"/>
        <v>-16376</v>
      </c>
      <c r="E37" s="270">
        <f t="shared" si="2"/>
        <v>-17957</v>
      </c>
      <c r="F37" s="270">
        <f t="shared" si="2"/>
        <v>-19566</v>
      </c>
      <c r="G37" s="270">
        <f t="shared" si="2"/>
        <v>-21840</v>
      </c>
      <c r="H37" s="270">
        <f t="shared" si="2"/>
        <v>-19851</v>
      </c>
      <c r="I37" s="270">
        <f t="shared" si="2"/>
        <v>-16761</v>
      </c>
      <c r="J37" s="270" t="str">
        <f t="shared" si="2"/>
        <v/>
      </c>
      <c r="K37" s="270" t="str">
        <f t="shared" si="2"/>
        <v/>
      </c>
      <c r="L37" s="270" t="str">
        <f t="shared" si="2"/>
        <v/>
      </c>
      <c r="M37" s="270" t="str">
        <f t="shared" si="2"/>
        <v/>
      </c>
    </row>
    <row r="38" spans="2:13">
      <c r="B38" s="30" t="s">
        <v>54</v>
      </c>
      <c r="C38" s="267">
        <f>IF(C36="","",C36+C37)</f>
        <v>14535</v>
      </c>
      <c r="D38" s="267">
        <f t="shared" ref="D38" si="3">IF(D36="","",D36+D37)</f>
        <v>12025</v>
      </c>
      <c r="E38" s="267">
        <f t="shared" ref="E38" si="4">IF(E36="","",E36+E37)</f>
        <v>9795</v>
      </c>
      <c r="F38" s="267">
        <f t="shared" ref="F38" si="5">IF(F36="","",F36+F37)</f>
        <v>8773</v>
      </c>
      <c r="G38" s="267">
        <f t="shared" ref="G38" si="6">IF(G36="","",G36+G37)</f>
        <v>9404</v>
      </c>
      <c r="H38" s="267">
        <f t="shared" ref="H38" si="7">IF(H36="","",H36+H37)</f>
        <v>9302</v>
      </c>
      <c r="I38" s="267">
        <f t="shared" ref="I38" si="8">IF(I36="","",I36+I37)</f>
        <v>8673</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-4857</v>
      </c>
      <c r="D39" s="270">
        <f t="shared" si="13"/>
        <v>-4676</v>
      </c>
      <c r="E39" s="270">
        <f t="shared" si="13"/>
        <v>-5018</v>
      </c>
      <c r="F39" s="270">
        <f t="shared" si="13"/>
        <v>-5557</v>
      </c>
      <c r="G39" s="270">
        <f t="shared" si="13"/>
        <v>-6687</v>
      </c>
      <c r="H39" s="270">
        <f t="shared" si="13"/>
        <v>-5576</v>
      </c>
      <c r="I39" s="270">
        <f t="shared" si="13"/>
        <v>-4744</v>
      </c>
      <c r="J39" s="270" t="str">
        <f t="shared" si="13"/>
        <v/>
      </c>
      <c r="K39" s="270" t="str">
        <f t="shared" si="13"/>
        <v/>
      </c>
      <c r="L39" s="270" t="str">
        <f t="shared" si="13"/>
        <v/>
      </c>
      <c r="M39" s="270" t="str">
        <f t="shared" si="13"/>
        <v/>
      </c>
    </row>
    <row r="40" spans="2:13">
      <c r="B40" s="66" t="s">
        <v>57</v>
      </c>
      <c r="C40" s="282">
        <f t="shared" ref="C40:M40" si="14">IF(C$4="","",-C7)</f>
        <v>-941</v>
      </c>
      <c r="D40" s="282">
        <f t="shared" si="14"/>
        <v>-865</v>
      </c>
      <c r="E40" s="282">
        <f t="shared" si="14"/>
        <v>-897</v>
      </c>
      <c r="F40" s="282">
        <f t="shared" si="14"/>
        <v>-1144</v>
      </c>
      <c r="G40" s="282">
        <f t="shared" si="14"/>
        <v>-2678</v>
      </c>
      <c r="H40" s="282">
        <f t="shared" si="14"/>
        <v>-2475</v>
      </c>
      <c r="I40" s="282">
        <f t="shared" si="14"/>
        <v>-2041</v>
      </c>
      <c r="J40" s="282" t="str">
        <f t="shared" si="14"/>
        <v/>
      </c>
      <c r="K40" s="282" t="str">
        <f t="shared" si="14"/>
        <v/>
      </c>
      <c r="L40" s="282" t="str">
        <f t="shared" si="14"/>
        <v/>
      </c>
      <c r="M40" s="282" t="str">
        <f t="shared" si="14"/>
        <v/>
      </c>
    </row>
    <row r="41" spans="2:13">
      <c r="B41" s="66" t="s">
        <v>60</v>
      </c>
      <c r="C41" s="282">
        <f>IF(C$4="","",C39-C40)</f>
        <v>-3916</v>
      </c>
      <c r="D41" s="282">
        <f t="shared" ref="D41:M41" si="15">IF(D$4="","",D39-D40)</f>
        <v>-3811</v>
      </c>
      <c r="E41" s="282">
        <f t="shared" si="15"/>
        <v>-4121</v>
      </c>
      <c r="F41" s="282">
        <f t="shared" si="15"/>
        <v>-4413</v>
      </c>
      <c r="G41" s="282">
        <f t="shared" si="15"/>
        <v>-4009</v>
      </c>
      <c r="H41" s="282">
        <f t="shared" si="15"/>
        <v>-3101</v>
      </c>
      <c r="I41" s="282">
        <f t="shared" si="15"/>
        <v>-2703</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t="str">
        <f t="shared" si="16"/>
        <v/>
      </c>
      <c r="K42" s="270" t="str">
        <f t="shared" si="16"/>
        <v/>
      </c>
      <c r="L42" s="270" t="str">
        <f t="shared" si="16"/>
        <v/>
      </c>
      <c r="M42" s="270" t="str">
        <f t="shared" si="16"/>
        <v/>
      </c>
    </row>
    <row r="43" spans="2:13">
      <c r="B43" s="41" t="s">
        <v>126</v>
      </c>
      <c r="C43" s="271">
        <f>IF(C$4="","",C38+C39+C42)</f>
        <v>9678</v>
      </c>
      <c r="D43" s="271">
        <f t="shared" ref="D43:M43" si="17">IF(D$4="","",D38+D39+D42)</f>
        <v>7349</v>
      </c>
      <c r="E43" s="271">
        <f t="shared" si="17"/>
        <v>4777</v>
      </c>
      <c r="F43" s="271">
        <f t="shared" si="17"/>
        <v>3216</v>
      </c>
      <c r="G43" s="271">
        <f t="shared" si="17"/>
        <v>2717</v>
      </c>
      <c r="H43" s="271">
        <f t="shared" si="17"/>
        <v>3726</v>
      </c>
      <c r="I43" s="271">
        <f t="shared" si="17"/>
        <v>3929</v>
      </c>
      <c r="J43" s="271" t="str">
        <f t="shared" si="17"/>
        <v/>
      </c>
      <c r="K43" s="271" t="str">
        <f t="shared" si="17"/>
        <v/>
      </c>
      <c r="L43" s="271" t="str">
        <f t="shared" si="17"/>
        <v/>
      </c>
      <c r="M43" s="271" t="str">
        <f t="shared" si="17"/>
        <v/>
      </c>
    </row>
    <row r="44" spans="2:13">
      <c r="B44" s="41" t="s">
        <v>138</v>
      </c>
      <c r="C44" s="290">
        <f t="shared" ref="C44:M44" si="18">IF(C$4="","",C47-C46-C45-C43)</f>
        <v>2674</v>
      </c>
      <c r="D44" s="290">
        <f t="shared" si="18"/>
        <v>261</v>
      </c>
      <c r="E44" s="290">
        <f t="shared" si="18"/>
        <v>357</v>
      </c>
      <c r="F44" s="290">
        <f t="shared" si="18"/>
        <v>554</v>
      </c>
      <c r="G44" s="290">
        <f t="shared" si="18"/>
        <v>506</v>
      </c>
      <c r="H44" s="290">
        <f t="shared" si="18"/>
        <v>562</v>
      </c>
      <c r="I44" s="290">
        <f t="shared" si="18"/>
        <v>61</v>
      </c>
      <c r="J44" s="290" t="str">
        <f t="shared" si="18"/>
        <v/>
      </c>
      <c r="K44" s="290" t="str">
        <f t="shared" si="18"/>
        <v/>
      </c>
      <c r="L44" s="290" t="str">
        <f t="shared" si="18"/>
        <v/>
      </c>
      <c r="M44" s="290" t="str">
        <f t="shared" si="18"/>
        <v/>
      </c>
    </row>
    <row r="45" spans="2:13">
      <c r="B45" s="38" t="s">
        <v>64</v>
      </c>
      <c r="C45" s="285">
        <f t="shared" ref="C45:M45" si="19">IF(C$4="","",C51+C52)</f>
        <v>925</v>
      </c>
      <c r="D45" s="285">
        <f t="shared" si="19"/>
        <v>1102</v>
      </c>
      <c r="E45" s="285">
        <f t="shared" si="19"/>
        <v>911</v>
      </c>
      <c r="F45" s="285">
        <f t="shared" si="19"/>
        <v>603</v>
      </c>
      <c r="G45" s="285">
        <f t="shared" si="19"/>
        <v>409</v>
      </c>
      <c r="H45" s="285">
        <f t="shared" si="19"/>
        <v>525</v>
      </c>
      <c r="I45" s="285">
        <f t="shared" si="19"/>
        <v>551</v>
      </c>
      <c r="J45" s="285" t="str">
        <f t="shared" si="19"/>
        <v/>
      </c>
      <c r="K45" s="285" t="str">
        <f t="shared" si="19"/>
        <v/>
      </c>
      <c r="L45" s="285" t="str">
        <f t="shared" si="19"/>
        <v/>
      </c>
      <c r="M45" s="285" t="str">
        <f t="shared" si="19"/>
        <v/>
      </c>
    </row>
    <row r="46" spans="2:13">
      <c r="B46" s="38" t="s">
        <v>46</v>
      </c>
      <c r="C46" s="270">
        <f>IF(C$4="","",-C14)</f>
        <v>-1924</v>
      </c>
      <c r="D46" s="270">
        <f t="shared" ref="D46:M46" si="20">IF(D$4="","",-D14)</f>
        <v>-1603</v>
      </c>
      <c r="E46" s="270">
        <f t="shared" si="20"/>
        <v>-825</v>
      </c>
      <c r="F46" s="270">
        <f t="shared" si="20"/>
        <v>-534</v>
      </c>
      <c r="G46" s="270">
        <f t="shared" si="20"/>
        <v>-417</v>
      </c>
      <c r="H46" s="270">
        <f t="shared" si="20"/>
        <v>-637</v>
      </c>
      <c r="I46" s="270">
        <f t="shared" si="20"/>
        <v>-564</v>
      </c>
      <c r="J46" s="270" t="str">
        <f t="shared" si="20"/>
        <v/>
      </c>
      <c r="K46" s="270" t="str">
        <f t="shared" si="20"/>
        <v/>
      </c>
      <c r="L46" s="270" t="str">
        <f t="shared" si="20"/>
        <v/>
      </c>
      <c r="M46" s="270" t="str">
        <f t="shared" si="20"/>
        <v/>
      </c>
    </row>
    <row r="47" spans="2:13">
      <c r="B47" s="41" t="s">
        <v>38</v>
      </c>
      <c r="C47" s="271">
        <f t="shared" ref="C47:M47" si="21">IF(C$4="","",C15)</f>
        <v>11353</v>
      </c>
      <c r="D47" s="271">
        <f t="shared" si="21"/>
        <v>7109</v>
      </c>
      <c r="E47" s="271">
        <f t="shared" si="21"/>
        <v>5220</v>
      </c>
      <c r="F47" s="271">
        <f t="shared" si="21"/>
        <v>3839</v>
      </c>
      <c r="G47" s="271">
        <f t="shared" si="21"/>
        <v>3215</v>
      </c>
      <c r="H47" s="271">
        <f t="shared" si="21"/>
        <v>4176</v>
      </c>
      <c r="I47" s="271">
        <f t="shared" si="21"/>
        <v>3977</v>
      </c>
      <c r="J47" s="271" t="str">
        <f t="shared" si="21"/>
        <v/>
      </c>
      <c r="K47" s="271" t="str">
        <f t="shared" si="21"/>
        <v/>
      </c>
      <c r="L47" s="271" t="str">
        <f t="shared" si="21"/>
        <v/>
      </c>
      <c r="M47" s="271" t="str">
        <f t="shared" si="21"/>
        <v/>
      </c>
    </row>
    <row r="48" spans="2:13">
      <c r="B48" s="27" t="s">
        <v>40</v>
      </c>
      <c r="C48" s="270">
        <f t="shared" ref="C48:M48" si="22">IF(C$4="","",MIN(-C16,0))</f>
        <v>-297</v>
      </c>
      <c r="D48" s="270">
        <f t="shared" si="22"/>
        <v>-465</v>
      </c>
      <c r="E48" s="270">
        <f t="shared" si="22"/>
        <v>-300</v>
      </c>
      <c r="F48" s="270">
        <f t="shared" si="22"/>
        <v>-162</v>
      </c>
      <c r="G48" s="270">
        <f t="shared" si="22"/>
        <v>-186</v>
      </c>
      <c r="H48" s="270">
        <f t="shared" si="22"/>
        <v>-21</v>
      </c>
      <c r="I48" s="270">
        <f t="shared" si="22"/>
        <v>-5</v>
      </c>
      <c r="J48" s="270" t="str">
        <f t="shared" si="22"/>
        <v/>
      </c>
      <c r="K48" s="270" t="str">
        <f t="shared" si="22"/>
        <v/>
      </c>
      <c r="L48" s="270" t="str">
        <f t="shared" si="22"/>
        <v/>
      </c>
      <c r="M48" s="270" t="str">
        <f t="shared" si="22"/>
        <v/>
      </c>
    </row>
    <row r="50" spans="2:13">
      <c r="B50" s="16" t="s">
        <v>64</v>
      </c>
    </row>
    <row r="51" spans="2:13">
      <c r="B51" s="38" t="s">
        <v>36</v>
      </c>
      <c r="C51" s="270">
        <f t="shared" ref="C51:M51" si="23">IF(C$4="","",-C12)</f>
        <v>-129</v>
      </c>
      <c r="D51" s="270">
        <f t="shared" si="23"/>
        <v>-94</v>
      </c>
      <c r="E51" s="270">
        <f t="shared" si="23"/>
        <v>-141</v>
      </c>
      <c r="F51" s="270">
        <f t="shared" si="23"/>
        <v>-108</v>
      </c>
      <c r="G51" s="270">
        <f t="shared" si="23"/>
        <v>-121</v>
      </c>
      <c r="H51" s="270">
        <f t="shared" si="23"/>
        <v>-97</v>
      </c>
      <c r="I51" s="270">
        <f t="shared" si="23"/>
        <v>-64</v>
      </c>
      <c r="J51" s="270" t="str">
        <f t="shared" si="23"/>
        <v/>
      </c>
      <c r="K51" s="270" t="str">
        <f t="shared" si="23"/>
        <v/>
      </c>
      <c r="L51" s="270" t="str">
        <f t="shared" si="23"/>
        <v/>
      </c>
      <c r="M51" s="270" t="str">
        <f t="shared" si="23"/>
        <v/>
      </c>
    </row>
    <row r="52" spans="2:13">
      <c r="B52" s="38" t="s">
        <v>63</v>
      </c>
      <c r="C52" s="270">
        <f>IF(C$4="","",C13)</f>
        <v>1054</v>
      </c>
      <c r="D52" s="270">
        <f t="shared" ref="D52:M52" si="24">IF(D$4="","",D13)</f>
        <v>1196</v>
      </c>
      <c r="E52" s="270">
        <f t="shared" si="24"/>
        <v>1052</v>
      </c>
      <c r="F52" s="270">
        <f t="shared" si="24"/>
        <v>711</v>
      </c>
      <c r="G52" s="270">
        <f t="shared" si="24"/>
        <v>530</v>
      </c>
      <c r="H52" s="270">
        <f t="shared" si="24"/>
        <v>622</v>
      </c>
      <c r="I52" s="270">
        <f t="shared" si="24"/>
        <v>615</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t="str">
        <f t="shared" si="27"/>
        <v/>
      </c>
      <c r="K57" s="285" t="str">
        <f t="shared" si="27"/>
        <v/>
      </c>
      <c r="L57" s="285" t="str">
        <f t="shared" si="27"/>
        <v/>
      </c>
      <c r="M57" s="285" t="str">
        <f t="shared" si="27"/>
        <v/>
      </c>
    </row>
    <row r="58" spans="2:13">
      <c r="B58" s="38" t="s">
        <v>134</v>
      </c>
      <c r="C58" s="285">
        <f>IF(C$4="","",C44-C55-C56-C57)</f>
        <v>2674</v>
      </c>
      <c r="D58" s="285">
        <f t="shared" ref="D58:M58" si="28">IF(D$4="","",D44-D55-D56-D57)</f>
        <v>261</v>
      </c>
      <c r="E58" s="285">
        <f t="shared" si="28"/>
        <v>357</v>
      </c>
      <c r="F58" s="285">
        <f t="shared" si="28"/>
        <v>554</v>
      </c>
      <c r="G58" s="285">
        <f t="shared" si="28"/>
        <v>506</v>
      </c>
      <c r="H58" s="285">
        <f t="shared" si="28"/>
        <v>562</v>
      </c>
      <c r="I58" s="285">
        <f t="shared" si="28"/>
        <v>61</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f t="shared" si="29"/>
        <v>-1004</v>
      </c>
      <c r="F61" s="270">
        <f t="shared" si="29"/>
        <v>-1160</v>
      </c>
      <c r="G61" s="270">
        <f t="shared" si="29"/>
        <v>-1001</v>
      </c>
      <c r="H61" s="270">
        <f t="shared" si="29"/>
        <v>-824</v>
      </c>
      <c r="I61" s="270">
        <f t="shared" si="29"/>
        <v>-583</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f t="shared" si="30"/>
        <v>-1164</v>
      </c>
      <c r="F62" s="270">
        <f t="shared" si="30"/>
        <v>-1053</v>
      </c>
      <c r="G62" s="270">
        <f t="shared" si="30"/>
        <v>-2758</v>
      </c>
      <c r="H62" s="270">
        <f t="shared" si="30"/>
        <v>-501</v>
      </c>
      <c r="I62" s="270">
        <f t="shared" si="30"/>
        <v>-286</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786</v>
      </c>
      <c r="F63" s="270">
        <f t="shared" si="31"/>
        <v>875</v>
      </c>
      <c r="G63" s="270">
        <f t="shared" si="31"/>
        <v>579</v>
      </c>
      <c r="H63" s="270">
        <f t="shared" si="31"/>
        <v>-505</v>
      </c>
      <c r="I63" s="270">
        <f t="shared" si="31"/>
        <v>1148</v>
      </c>
      <c r="J63" s="270" t="str">
        <f t="shared" si="31"/>
        <v/>
      </c>
      <c r="K63" s="270" t="str">
        <f t="shared" si="31"/>
        <v/>
      </c>
      <c r="L63" s="270" t="str">
        <f t="shared" si="31"/>
        <v/>
      </c>
      <c r="M63" s="270" t="str">
        <f t="shared" si="31"/>
        <v/>
      </c>
    </row>
    <row r="64" spans="2:13">
      <c r="B64" s="26" t="s">
        <v>304</v>
      </c>
      <c r="C64" s="270">
        <f>IF(C$4="","",C22+C23+C24)</f>
        <v>-4645</v>
      </c>
      <c r="D64" s="270">
        <f t="shared" ref="D64:M64" si="32">IF(D$4="","",D22+D23+D24)</f>
        <v>-373</v>
      </c>
      <c r="E64" s="270">
        <f t="shared" si="32"/>
        <v>3936</v>
      </c>
      <c r="F64" s="270">
        <f t="shared" si="32"/>
        <v>2616</v>
      </c>
      <c r="G64" s="270">
        <f t="shared" si="32"/>
        <v>-4470</v>
      </c>
      <c r="H64" s="270">
        <f t="shared" si="32"/>
        <v>-14613</v>
      </c>
      <c r="I64" s="270">
        <f t="shared" si="32"/>
        <v>-1933</v>
      </c>
      <c r="J64" s="270" t="str">
        <f t="shared" si="32"/>
        <v/>
      </c>
      <c r="K64" s="270" t="str">
        <f t="shared" si="32"/>
        <v/>
      </c>
      <c r="L64" s="270" t="str">
        <f t="shared" si="32"/>
        <v/>
      </c>
      <c r="M64" s="270" t="str">
        <f t="shared" si="32"/>
        <v/>
      </c>
    </row>
    <row r="65" spans="2:13">
      <c r="B65" s="23" t="s">
        <v>33</v>
      </c>
      <c r="C65" s="70">
        <f>IF(C$4="","",C25)</f>
        <v>0.14199999999999999</v>
      </c>
      <c r="D65" s="70">
        <f t="shared" ref="D65:M65" si="33">IF(D$4="","",D25)</f>
        <v>7.6999999999999999E-2</v>
      </c>
      <c r="E65" s="70">
        <f t="shared" si="33"/>
        <v>0</v>
      </c>
      <c r="F65" s="70">
        <f t="shared" si="33"/>
        <v>0</v>
      </c>
      <c r="G65" s="70">
        <f t="shared" si="33"/>
        <v>0</v>
      </c>
      <c r="H65" s="70">
        <f t="shared" si="33"/>
        <v>0</v>
      </c>
      <c r="I65" s="70">
        <f t="shared" si="33"/>
        <v>0</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0.15848033519946481</v>
      </c>
      <c r="D68" s="89">
        <f t="shared" si="34"/>
        <v>2.3385701931392333E-2</v>
      </c>
      <c r="E68" s="89">
        <f t="shared" si="34"/>
        <v>-2.071350435795194E-2</v>
      </c>
      <c r="F68" s="89">
        <f t="shared" si="34"/>
        <v>-9.2977851747535478E-2</v>
      </c>
      <c r="G68" s="89">
        <f t="shared" si="34"/>
        <v>7.1725036874421111E-2</v>
      </c>
      <c r="H68" s="89">
        <f t="shared" si="34"/>
        <v>0.14622159314303684</v>
      </c>
      <c r="I68" s="89" t="str">
        <f t="shared" si="34"/>
        <v/>
      </c>
      <c r="J68" s="89" t="str">
        <f t="shared" si="34"/>
        <v/>
      </c>
      <c r="K68" s="89" t="str">
        <f t="shared" si="34"/>
        <v/>
      </c>
      <c r="L68" s="89" t="str">
        <f t="shared" si="34"/>
        <v/>
      </c>
      <c r="M68" s="89" t="str">
        <f t="shared" si="34"/>
        <v/>
      </c>
    </row>
    <row r="69" spans="2:13">
      <c r="B69" s="30" t="s">
        <v>54</v>
      </c>
      <c r="C69" s="89">
        <f>IF(D$36="","",C38/D38-1)</f>
        <v>0.20873180873180863</v>
      </c>
      <c r="D69" s="89">
        <f t="shared" ref="D69:M69" si="35">IF(E$36="","",D38/E38-1)</f>
        <v>0.22766717713118934</v>
      </c>
      <c r="E69" s="89">
        <f t="shared" si="35"/>
        <v>0.11649378775789354</v>
      </c>
      <c r="F69" s="89">
        <f t="shared" si="35"/>
        <v>-6.7099106763079508E-2</v>
      </c>
      <c r="G69" s="89">
        <f t="shared" si="35"/>
        <v>1.0965383788432703E-2</v>
      </c>
      <c r="H69" s="89">
        <f t="shared" si="35"/>
        <v>7.2523924824166919E-2</v>
      </c>
      <c r="I69" s="89" t="str">
        <f t="shared" si="35"/>
        <v/>
      </c>
      <c r="J69" s="89" t="str">
        <f t="shared" si="35"/>
        <v/>
      </c>
      <c r="K69" s="89" t="str">
        <f t="shared" si="35"/>
        <v/>
      </c>
      <c r="L69" s="89" t="str">
        <f t="shared" si="35"/>
        <v/>
      </c>
      <c r="M69" s="89" t="str">
        <f t="shared" si="35"/>
        <v/>
      </c>
    </row>
    <row r="70" spans="2:13">
      <c r="B70" s="77" t="str">
        <f>B43</f>
        <v>Operating EBIT</v>
      </c>
      <c r="C70" s="98">
        <f>IF(D$36="","",C43/D43-1)</f>
        <v>0.31691386583208603</v>
      </c>
      <c r="D70" s="98">
        <f t="shared" ref="D70:M70" si="36">IF(E$36="","",D43/E43-1)</f>
        <v>0.53841323006070763</v>
      </c>
      <c r="E70" s="98">
        <f t="shared" si="36"/>
        <v>0.48538557213930345</v>
      </c>
      <c r="F70" s="98">
        <f t="shared" si="36"/>
        <v>0.18365844681634158</v>
      </c>
      <c r="G70" s="98">
        <f t="shared" si="36"/>
        <v>-0.2707997852925389</v>
      </c>
      <c r="H70" s="98">
        <f t="shared" si="36"/>
        <v>-5.1667090862814957E-2</v>
      </c>
      <c r="I70" s="98" t="str">
        <f t="shared" si="36"/>
        <v/>
      </c>
      <c r="J70" s="98" t="str">
        <f t="shared" si="36"/>
        <v/>
      </c>
      <c r="K70" s="98" t="str">
        <f t="shared" si="36"/>
        <v/>
      </c>
      <c r="L70" s="98" t="str">
        <f t="shared" si="36"/>
        <v/>
      </c>
      <c r="M70" s="98" t="str">
        <f t="shared" si="36"/>
        <v/>
      </c>
    </row>
    <row r="71" spans="2:13">
      <c r="B71" s="41" t="s">
        <v>138</v>
      </c>
      <c r="C71" s="98">
        <f>IF(D$36="","",C44/D44-1)</f>
        <v>9.245210727969349</v>
      </c>
      <c r="D71" s="98">
        <f t="shared" ref="D71:M71" si="37">IF(E$36="","",D44/E44-1)</f>
        <v>-0.26890756302521013</v>
      </c>
      <c r="E71" s="98">
        <f t="shared" si="37"/>
        <v>-0.35559566787003605</v>
      </c>
      <c r="F71" s="98">
        <f t="shared" si="37"/>
        <v>9.486166007905128E-2</v>
      </c>
      <c r="G71" s="98">
        <f t="shared" si="37"/>
        <v>-9.9644128113879016E-2</v>
      </c>
      <c r="H71" s="98">
        <f t="shared" si="37"/>
        <v>8.2131147540983598</v>
      </c>
      <c r="I71" s="98" t="str">
        <f t="shared" si="37"/>
        <v/>
      </c>
      <c r="J71" s="98" t="str">
        <f t="shared" si="37"/>
        <v/>
      </c>
      <c r="K71" s="98" t="str">
        <f t="shared" si="37"/>
        <v/>
      </c>
      <c r="L71" s="98" t="str">
        <f t="shared" si="37"/>
        <v/>
      </c>
      <c r="M71" s="98" t="str">
        <f t="shared" si="37"/>
        <v/>
      </c>
    </row>
    <row r="72" spans="2:13">
      <c r="B72" s="77" t="str">
        <f>B47</f>
        <v>Reported Net Income</v>
      </c>
      <c r="C72" s="98">
        <f>IF(D$36="","",C47/D47-1)</f>
        <v>0.59698973132648758</v>
      </c>
      <c r="D72" s="98">
        <f t="shared" ref="D72:M72" si="38">IF(E$36="","",D47/E47-1)</f>
        <v>0.36187739463601543</v>
      </c>
      <c r="E72" s="98">
        <f t="shared" si="38"/>
        <v>0.3597290961187809</v>
      </c>
      <c r="F72" s="98">
        <f t="shared" si="38"/>
        <v>0.19409020217729389</v>
      </c>
      <c r="G72" s="98">
        <f t="shared" si="38"/>
        <v>-0.23012452107279691</v>
      </c>
      <c r="H72" s="98">
        <f t="shared" si="38"/>
        <v>5.0037716872014082E-2</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102522</v>
      </c>
      <c r="D76" s="285">
        <f t="shared" ref="D76:M76" si="39">IF(D$4="","",D79+D80)</f>
        <v>90444</v>
      </c>
      <c r="E76" s="285">
        <f t="shared" si="39"/>
        <v>75536</v>
      </c>
      <c r="F76" s="285">
        <f t="shared" si="39"/>
        <v>67009</v>
      </c>
      <c r="G76" s="285">
        <f t="shared" si="39"/>
        <v>67254</v>
      </c>
      <c r="H76" s="285">
        <f t="shared" si="39"/>
        <v>68273</v>
      </c>
      <c r="I76" s="285">
        <f t="shared" si="39"/>
        <v>52678</v>
      </c>
      <c r="J76" s="285" t="str">
        <f t="shared" si="39"/>
        <v/>
      </c>
      <c r="K76" s="285" t="str">
        <f t="shared" si="39"/>
        <v/>
      </c>
      <c r="L76" s="285" t="str">
        <f t="shared" si="39"/>
        <v/>
      </c>
      <c r="M76" s="285" t="str">
        <f t="shared" si="39"/>
        <v/>
      </c>
    </row>
    <row r="77" spans="2:13">
      <c r="B77" s="90" t="s">
        <v>81</v>
      </c>
      <c r="C77" s="260">
        <f t="shared" ref="C77:H78" si="40">IF(C$4="","",C28)</f>
        <v>3903</v>
      </c>
      <c r="D77" s="282">
        <f t="shared" si="40"/>
        <v>3508</v>
      </c>
      <c r="E77" s="282">
        <f t="shared" si="40"/>
        <v>2918</v>
      </c>
      <c r="F77" s="282">
        <f t="shared" si="40"/>
        <v>2670</v>
      </c>
      <c r="G77" s="282">
        <f t="shared" si="40"/>
        <v>3610</v>
      </c>
      <c r="H77" s="282">
        <f t="shared" si="40"/>
        <v>2800</v>
      </c>
      <c r="I77" s="291"/>
      <c r="J77" s="291"/>
      <c r="K77" s="291"/>
      <c r="L77" s="291"/>
      <c r="M77" s="291"/>
    </row>
    <row r="78" spans="2:13">
      <c r="B78" s="90" t="s">
        <v>82</v>
      </c>
      <c r="C78" s="260">
        <f t="shared" si="40"/>
        <v>41</v>
      </c>
      <c r="D78" s="282">
        <f t="shared" si="40"/>
        <v>2</v>
      </c>
      <c r="E78" s="282">
        <f t="shared" si="40"/>
        <v>8</v>
      </c>
      <c r="F78" s="282">
        <f t="shared" si="40"/>
        <v>8</v>
      </c>
      <c r="G78" s="282">
        <f t="shared" si="40"/>
        <v>24</v>
      </c>
      <c r="H78" s="282">
        <f t="shared" si="40"/>
        <v>18</v>
      </c>
      <c r="I78" s="291"/>
      <c r="J78" s="291"/>
      <c r="K78" s="291"/>
      <c r="L78" s="291"/>
      <c r="M78" s="291"/>
    </row>
    <row r="79" spans="2:13">
      <c r="B79" s="25" t="s">
        <v>37</v>
      </c>
      <c r="C79" s="259">
        <f t="shared" ref="C79:M79" si="41">IF(C$4="","",C30)</f>
        <v>19472</v>
      </c>
      <c r="D79" s="270">
        <f t="shared" si="41"/>
        <v>20718</v>
      </c>
      <c r="E79" s="270">
        <f t="shared" si="41"/>
        <v>18334</v>
      </c>
      <c r="F79" s="270">
        <f t="shared" si="41"/>
        <v>17882</v>
      </c>
      <c r="G79" s="270">
        <f t="shared" si="41"/>
        <v>16199</v>
      </c>
      <c r="H79" s="270">
        <f t="shared" si="41"/>
        <v>15542</v>
      </c>
      <c r="I79" s="270">
        <f t="shared" si="41"/>
        <v>9000</v>
      </c>
      <c r="J79" s="270" t="str">
        <f t="shared" si="41"/>
        <v/>
      </c>
      <c r="K79" s="270" t="str">
        <f t="shared" si="41"/>
        <v/>
      </c>
      <c r="L79" s="270" t="str">
        <f t="shared" si="41"/>
        <v/>
      </c>
      <c r="M79" s="270" t="str">
        <f t="shared" si="41"/>
        <v/>
      </c>
    </row>
    <row r="80" spans="2:13">
      <c r="B80" s="25" t="s">
        <v>27</v>
      </c>
      <c r="C80" s="259">
        <f t="shared" ref="C80:M80" si="42">IF(C$4="","",C31)</f>
        <v>83050</v>
      </c>
      <c r="D80" s="270">
        <f t="shared" si="42"/>
        <v>69726</v>
      </c>
      <c r="E80" s="270">
        <f t="shared" si="42"/>
        <v>57202</v>
      </c>
      <c r="F80" s="270">
        <f t="shared" si="42"/>
        <v>49127</v>
      </c>
      <c r="G80" s="270">
        <f t="shared" si="42"/>
        <v>51055</v>
      </c>
      <c r="H80" s="270">
        <f t="shared" si="42"/>
        <v>52731</v>
      </c>
      <c r="I80" s="270">
        <f t="shared" si="42"/>
        <v>43678</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3903</v>
      </c>
      <c r="D4" s="231">
        <v>0.6</v>
      </c>
      <c r="E4" s="24"/>
      <c r="F4" s="4" t="s">
        <v>73</v>
      </c>
      <c r="G4" s="18">
        <f>15763+8470</f>
        <v>24233</v>
      </c>
      <c r="H4" s="231">
        <v>0.9</v>
      </c>
    </row>
    <row r="5" spans="2:8" ht="15" customHeight="1">
      <c r="B5" s="1" t="s">
        <v>30</v>
      </c>
      <c r="C5" s="18">
        <v>0</v>
      </c>
      <c r="D5" s="231">
        <v>0.6</v>
      </c>
      <c r="E5" s="24"/>
      <c r="F5" s="1" t="s">
        <v>26</v>
      </c>
      <c r="G5" s="18">
        <v>15</v>
      </c>
      <c r="H5" s="231">
        <v>0.7</v>
      </c>
    </row>
    <row r="6" spans="2:8" ht="15" customHeight="1">
      <c r="B6" s="4" t="s">
        <v>8</v>
      </c>
      <c r="C6" s="18">
        <v>41</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4183</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83</v>
      </c>
      <c r="D11" s="231">
        <v>0.05</v>
      </c>
      <c r="H11" s="232"/>
    </row>
    <row r="12" spans="2:8" ht="15" customHeight="1">
      <c r="B12" s="77" t="s">
        <v>68</v>
      </c>
      <c r="C12" s="78">
        <f>SUM(C4:C11)</f>
        <v>8210</v>
      </c>
      <c r="D12" s="19">
        <f>C4*D4+C5*D5+C9*D9+C6*D6+C8*D8+C7*D7+C10*D10+C11*D11</f>
        <v>2784.75</v>
      </c>
      <c r="F12" s="77" t="s">
        <v>66</v>
      </c>
      <c r="G12" s="78">
        <f>SUM(G4:G10)</f>
        <v>24248</v>
      </c>
      <c r="H12" s="19">
        <f>G4*H4+G5*H5+G6*H6+G7*H7+G8*H8+G9*H9+G10*H10</f>
        <v>21820.2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365</v>
      </c>
      <c r="D15" s="231">
        <v>0.4</v>
      </c>
      <c r="F15" s="4" t="s">
        <v>74</v>
      </c>
      <c r="G15" s="18">
        <v>13810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1659+26231</f>
        <v>27890</v>
      </c>
      <c r="H17" s="231">
        <v>0.6</v>
      </c>
    </row>
    <row r="18" spans="2:8" ht="15" customHeight="1">
      <c r="B18" s="4" t="s">
        <v>143</v>
      </c>
      <c r="C18" s="18">
        <v>0</v>
      </c>
      <c r="D18" s="231">
        <v>0.6</v>
      </c>
      <c r="F18" s="4" t="s">
        <v>150</v>
      </c>
      <c r="G18" s="18">
        <v>0</v>
      </c>
      <c r="H18" s="231">
        <v>0.1</v>
      </c>
    </row>
    <row r="19" spans="2:8" ht="15" customHeight="1">
      <c r="B19" s="4" t="s">
        <v>23</v>
      </c>
      <c r="C19" s="18">
        <f>1201+2290+287</f>
        <v>3778</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2899</v>
      </c>
      <c r="D21" s="231">
        <v>0.05</v>
      </c>
      <c r="F21" s="1" t="s">
        <v>149</v>
      </c>
      <c r="G21" s="18">
        <v>0</v>
      </c>
      <c r="H21" s="231">
        <v>0.1</v>
      </c>
    </row>
    <row r="22" spans="2:8" ht="15" customHeight="1">
      <c r="B22" s="4" t="s">
        <v>17</v>
      </c>
      <c r="C22" s="18">
        <v>498</v>
      </c>
      <c r="D22" s="231">
        <v>0.9</v>
      </c>
      <c r="H22" s="232"/>
    </row>
    <row r="23" spans="2:8" ht="15" customHeight="1">
      <c r="B23" s="4" t="s">
        <v>18</v>
      </c>
      <c r="C23" s="18">
        <f>20521+303</f>
        <v>20824</v>
      </c>
      <c r="D23" s="231">
        <v>0</v>
      </c>
      <c r="H23" s="232"/>
    </row>
    <row r="24" spans="2:8" ht="15" customHeight="1">
      <c r="B24" s="77" t="s">
        <v>69</v>
      </c>
      <c r="C24" s="78">
        <f>SUM(C15:C23)</f>
        <v>28364</v>
      </c>
      <c r="D24" s="19">
        <f>C15*D15+C16*D16+C18*D18+C17*D17+C19*D19+C20*D20+C21*D21+C22*D22+C23*D23</f>
        <v>1116.95</v>
      </c>
      <c r="F24" s="77" t="s">
        <v>67</v>
      </c>
      <c r="G24" s="78">
        <f>SUM(G15:G21)</f>
        <v>41700</v>
      </c>
      <c r="H24" s="19">
        <f>G15*H15+G16*H16+G17*H17+G18*H18+G19*H19+G20*H20+G21*H21</f>
        <v>27782</v>
      </c>
    </row>
    <row r="26" spans="2:8" ht="15" customHeight="1">
      <c r="B26" s="16" t="s">
        <v>168</v>
      </c>
      <c r="C26" s="164" t="s">
        <v>112</v>
      </c>
      <c r="F26" s="166" t="s">
        <v>164</v>
      </c>
      <c r="G26" s="167" t="s">
        <v>112</v>
      </c>
      <c r="H26" s="168" t="s">
        <v>32</v>
      </c>
    </row>
    <row r="27" spans="2:8" ht="15" customHeight="1">
      <c r="B27" s="4" t="s">
        <v>3</v>
      </c>
      <c r="C27" s="18">
        <v>0</v>
      </c>
      <c r="F27" s="169" t="s">
        <v>27</v>
      </c>
      <c r="G27" s="82">
        <f>G32-G30</f>
        <v>83050</v>
      </c>
      <c r="H27" s="170">
        <f>H32-G30</f>
        <v>34031.899999999994</v>
      </c>
    </row>
    <row r="28" spans="2:8" ht="15" customHeight="1">
      <c r="B28" s="4" t="s">
        <v>4</v>
      </c>
      <c r="C28" s="18">
        <v>116</v>
      </c>
      <c r="F28" s="171" t="s">
        <v>208</v>
      </c>
      <c r="G28" s="287">
        <v>2763</v>
      </c>
      <c r="H28" s="170"/>
    </row>
    <row r="29" spans="2:8" ht="15" customHeight="1">
      <c r="B29" s="4" t="s">
        <v>5</v>
      </c>
      <c r="C29" s="18">
        <v>0</v>
      </c>
      <c r="F29" s="172" t="s">
        <v>71</v>
      </c>
      <c r="G29" s="14">
        <f>G27-G28</f>
        <v>80287</v>
      </c>
      <c r="H29" s="170">
        <f>H27-G28</f>
        <v>31268.899999999994</v>
      </c>
    </row>
    <row r="30" spans="2:8" ht="15" customHeight="1">
      <c r="B30" s="2" t="s">
        <v>6</v>
      </c>
      <c r="C30" s="18">
        <v>0</v>
      </c>
      <c r="F30" s="169" t="s">
        <v>20</v>
      </c>
      <c r="G30" s="82">
        <f>C33+C42</f>
        <v>19472</v>
      </c>
      <c r="H30" s="170"/>
    </row>
    <row r="31" spans="2:8" ht="15" customHeight="1">
      <c r="B31" s="77" t="s">
        <v>171</v>
      </c>
      <c r="C31" s="78">
        <f>SUM(C27:C30)</f>
        <v>116</v>
      </c>
      <c r="F31" s="172" t="s">
        <v>72</v>
      </c>
      <c r="G31" s="173">
        <f>C31+C40</f>
        <v>316</v>
      </c>
      <c r="H31" s="170"/>
    </row>
    <row r="32" spans="2:8" ht="15" customHeight="1">
      <c r="B32" s="4" t="s">
        <v>7</v>
      </c>
      <c r="C32" s="20">
        <f>C33-C31</f>
        <v>14473</v>
      </c>
      <c r="F32" s="174" t="s">
        <v>70</v>
      </c>
      <c r="G32" s="175">
        <f>G35+G40</f>
        <v>102522</v>
      </c>
      <c r="H32" s="170">
        <f>H35+H40</f>
        <v>53503.899999999994</v>
      </c>
    </row>
    <row r="33" spans="2:8" ht="15" customHeight="1">
      <c r="B33" s="80" t="s">
        <v>2</v>
      </c>
      <c r="C33" s="81">
        <v>14589</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36574</v>
      </c>
      <c r="H35" s="182">
        <f>D12+D24</f>
        <v>3901.7</v>
      </c>
    </row>
    <row r="36" spans="2:8" ht="15" customHeight="1">
      <c r="B36" s="4" t="s">
        <v>11</v>
      </c>
      <c r="C36" s="18">
        <v>0</v>
      </c>
      <c r="F36" s="172" t="s">
        <v>165</v>
      </c>
      <c r="G36" s="173">
        <f>C4+C15</f>
        <v>4268</v>
      </c>
      <c r="H36" s="177"/>
    </row>
    <row r="37" spans="2:8" ht="15" customHeight="1">
      <c r="B37" s="4" t="s">
        <v>12</v>
      </c>
      <c r="C37" s="18">
        <v>200</v>
      </c>
      <c r="F37" s="172" t="s">
        <v>166</v>
      </c>
      <c r="G37" s="173">
        <f>C6</f>
        <v>41</v>
      </c>
      <c r="H37" s="177"/>
    </row>
    <row r="38" spans="2:8" ht="15" customHeight="1">
      <c r="B38" s="4" t="s">
        <v>13</v>
      </c>
      <c r="C38" s="18">
        <v>0</v>
      </c>
      <c r="F38" s="172" t="s">
        <v>167</v>
      </c>
      <c r="G38" s="173">
        <f>C7+C17</f>
        <v>0</v>
      </c>
      <c r="H38" s="177"/>
    </row>
    <row r="39" spans="2:8" ht="15" customHeight="1">
      <c r="B39" s="2" t="s">
        <v>14</v>
      </c>
      <c r="C39" s="18">
        <v>0</v>
      </c>
      <c r="F39" s="172" t="s">
        <v>75</v>
      </c>
      <c r="G39" s="173">
        <f>C7+C17+C19+C20</f>
        <v>3778</v>
      </c>
      <c r="H39" s="170">
        <f>C7*D7+C17*D17+C19*D19+C20*D20</f>
        <v>377.8</v>
      </c>
    </row>
    <row r="40" spans="2:8" ht="15" customHeight="1">
      <c r="B40" s="77" t="s">
        <v>172</v>
      </c>
      <c r="C40" s="78">
        <f>SUM(C36:C39)</f>
        <v>200</v>
      </c>
      <c r="F40" s="181" t="s">
        <v>114</v>
      </c>
      <c r="G40" s="175">
        <f>G12+G24</f>
        <v>65948</v>
      </c>
      <c r="H40" s="182">
        <f>H12+H24</f>
        <v>49602.2</v>
      </c>
    </row>
    <row r="41" spans="2:8" ht="15" customHeight="1">
      <c r="B41" s="4" t="s">
        <v>15</v>
      </c>
      <c r="C41" s="20">
        <f>C42-C40</f>
        <v>4683</v>
      </c>
      <c r="F41" s="172" t="s">
        <v>159</v>
      </c>
      <c r="G41" s="173">
        <f>C70</f>
        <v>38058</v>
      </c>
      <c r="H41" s="182">
        <f>H40-H42</f>
        <v>32868.199999999997</v>
      </c>
    </row>
    <row r="42" spans="2:8" ht="15" customHeight="1">
      <c r="B42" s="80" t="s">
        <v>19</v>
      </c>
      <c r="C42" s="81">
        <v>4883</v>
      </c>
      <c r="F42" s="183" t="s">
        <v>160</v>
      </c>
      <c r="G42" s="184">
        <f>C82</f>
        <v>27890</v>
      </c>
      <c r="H42" s="185">
        <f>D82</f>
        <v>16734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80287</v>
      </c>
      <c r="D46" s="73">
        <f>H29</f>
        <v>31268.899999999994</v>
      </c>
      <c r="F46" s="223"/>
    </row>
    <row r="47" spans="2:8" ht="15" customHeight="1">
      <c r="B47" s="1" t="str">
        <f>"Equity per share ("&amp;Market_currency&amp;")"</f>
        <v>Equity per share (HKD)</v>
      </c>
      <c r="C47" s="134">
        <f>C46*H1/Common_Shares*Exchange_Rate</f>
        <v>29.526355926320477</v>
      </c>
      <c r="D47" s="134">
        <f>D46*H1/Common_Shares*Exchange_Rate</f>
        <v>11.499454093745218</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3.432051788351935E-2</v>
      </c>
      <c r="D50" s="92">
        <f>G31/Normalized_FCF!G8</f>
        <v>3.265137425087828E-2</v>
      </c>
      <c r="F50" s="223"/>
    </row>
    <row r="51" spans="2:8" ht="15" customHeight="1">
      <c r="B51" s="1" t="s">
        <v>145</v>
      </c>
      <c r="C51" s="163"/>
      <c r="D51" s="89">
        <f>G29/G32</f>
        <v>0.78311972064532487</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0.25174496282640707</v>
      </c>
      <c r="D54" s="89">
        <f>Normalized_FCF!G8/G35</f>
        <v>0.26461420681358344</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3.6850627182458399E-2</v>
      </c>
      <c r="F59" s="223"/>
    </row>
    <row r="60" spans="2:8" ht="15" customHeight="1">
      <c r="F60" s="223"/>
    </row>
    <row r="61" spans="2:8" ht="15" customHeight="1">
      <c r="B61" s="143" t="s">
        <v>230</v>
      </c>
      <c r="C61" s="210" t="s">
        <v>113</v>
      </c>
      <c r="D61" s="179" t="s">
        <v>90</v>
      </c>
      <c r="F61" s="223"/>
    </row>
    <row r="62" spans="2:8" ht="15" customHeight="1">
      <c r="B62" s="1" t="s">
        <v>209</v>
      </c>
      <c r="C62" s="89">
        <f>IF(G28&lt;=0,0,G28/G29)</f>
        <v>3.4414039632817271E-2</v>
      </c>
      <c r="D62" s="89">
        <f>G28/G29</f>
        <v>3.4414039632817271E-2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38058</v>
      </c>
      <c r="D66" s="73">
        <f>C66-D75</f>
        <v>25989.935070518506</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38058</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-1972.1208441146666</v>
      </c>
      <c r="D73" s="285">
        <f>(Normalized_FCF!C26+Normalized_FCF!C35-Normalized_FCF!C89)/12</f>
        <v>-2011.3441549135823</v>
      </c>
      <c r="F73" s="1" t="s">
        <v>277</v>
      </c>
    </row>
    <row r="74" spans="2:6" ht="15" customHeight="1">
      <c r="B74" s="227" t="s">
        <v>258</v>
      </c>
      <c r="C74" s="228">
        <f>-$C$66/C73</f>
        <v>19.298006059605932</v>
      </c>
      <c r="D74" s="228">
        <f>-$C$66/D73</f>
        <v>18.921674794950825</v>
      </c>
      <c r="F74" s="223" t="s">
        <v>256</v>
      </c>
    </row>
    <row r="75" spans="2:6" ht="15" customHeight="1">
      <c r="B75" s="77" t="s">
        <v>257</v>
      </c>
      <c r="C75" s="261"/>
      <c r="D75" s="262">
        <f>MAX(-D73*D76,G5)</f>
        <v>12068.064929481494</v>
      </c>
      <c r="F75" s="223" t="s">
        <v>278</v>
      </c>
    </row>
    <row r="76" spans="2:6" ht="15" customHeight="1">
      <c r="B76" s="229" t="s">
        <v>259</v>
      </c>
      <c r="C76" s="230"/>
      <c r="D76" s="248">
        <f>IF(D74&lt;=3,1,IF(D74&gt;18,6,2))</f>
        <v>6</v>
      </c>
      <c r="F76" s="223" t="s">
        <v>260</v>
      </c>
    </row>
    <row r="77" spans="2:6" ht="15" customHeight="1">
      <c r="F77" s="223"/>
    </row>
    <row r="78" spans="2:6" ht="15" customHeight="1">
      <c r="B78" s="16" t="s">
        <v>158</v>
      </c>
      <c r="C78" s="209" t="s">
        <v>112</v>
      </c>
      <c r="D78" s="165" t="s">
        <v>32</v>
      </c>
      <c r="F78" s="223"/>
    </row>
    <row r="79" spans="2:6" ht="15" customHeight="1">
      <c r="B79" s="102" t="s">
        <v>147</v>
      </c>
      <c r="C79" s="19">
        <f>G7+G17</f>
        <v>27890</v>
      </c>
      <c r="D79" s="73">
        <f>G7*H7+G17*H17</f>
        <v>16734</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27890</v>
      </c>
      <c r="D82" s="78">
        <f>SUM(D79:D81)</f>
        <v>16734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-361.28090400000002</v>
      </c>
      <c r="D86" s="201">
        <f>C86*scaling_factor/Common_Shares</f>
        <v>-0.11621219466062091</v>
      </c>
      <c r="E86" s="214" t="str">
        <f>Market_currency</f>
        <v>HKD</v>
      </c>
    </row>
    <row r="87" spans="2:8" ht="15" customHeight="1">
      <c r="B87" s="212" t="s">
        <v>239</v>
      </c>
      <c r="C87" s="73">
        <f>DCF!F5*Exchange_Rate</f>
        <v>29714.136826513386</v>
      </c>
      <c r="D87" s="201">
        <f>C87*scaling_factor/Common_Shares</f>
        <v>9.5580613722531496</v>
      </c>
      <c r="E87" s="214" t="str">
        <f>Market_currency</f>
        <v>HKD</v>
      </c>
    </row>
    <row r="88" spans="2:8" ht="15" customHeight="1">
      <c r="B88" s="213" t="s">
        <v>158</v>
      </c>
      <c r="C88" s="73">
        <f>DCF!F6*Exchange_Rate</f>
        <v>19131.881796000001</v>
      </c>
      <c r="D88" s="201">
        <f>C88*scaling_factor/Common_Shares</f>
        <v>6.1540976754773116</v>
      </c>
      <c r="E88" s="214" t="str">
        <f>Market_currency</f>
        <v>HKD</v>
      </c>
    </row>
    <row r="89" spans="2:8" ht="15" customHeight="1">
      <c r="B89" s="77" t="s">
        <v>243</v>
      </c>
      <c r="C89" s="162">
        <f>SUM(C86:C88)</f>
        <v>48484.737718513388</v>
      </c>
      <c r="D89" s="216">
        <f>SUM(D86:D88)</f>
        <v>15.59594685306984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2" activePane="bottomRight" state="frozen"/>
      <selection activeCell="C17" sqref="C17"/>
      <selection pane="topRight" activeCell="C17" sqref="C17"/>
      <selection pane="bottomLeft" activeCell="C17" sqref="C17"/>
      <selection pane="bottomRight" activeCell="G23" sqref="G2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32902</v>
      </c>
      <c r="D4" s="54"/>
      <c r="E4" s="235"/>
      <c r="F4" s="54"/>
      <c r="G4" s="270">
        <f>Data!C36</f>
        <v>32902</v>
      </c>
      <c r="H4" s="270">
        <f>Data!D36</f>
        <v>28401</v>
      </c>
      <c r="I4" s="270">
        <f>Data!E36</f>
        <v>27752</v>
      </c>
      <c r="J4" s="270">
        <f>Data!F36</f>
        <v>28339</v>
      </c>
      <c r="K4" s="270">
        <f>Data!G36</f>
        <v>31244</v>
      </c>
      <c r="L4" s="270">
        <f>Data!H36</f>
        <v>29153</v>
      </c>
      <c r="M4" s="270">
        <f>Data!I36</f>
        <v>25434</v>
      </c>
      <c r="N4" s="270" t="str">
        <f>Data!J36</f>
        <v/>
      </c>
      <c r="O4" s="270" t="str">
        <f>Data!K36</f>
        <v/>
      </c>
      <c r="P4" s="270" t="str">
        <f>Data!L36</f>
        <v/>
      </c>
      <c r="Q4" s="270" t="str">
        <f>Data!M36</f>
        <v/>
      </c>
    </row>
    <row r="5" spans="1:17" ht="15.75" customHeight="1">
      <c r="A5" s="10"/>
      <c r="B5" s="2" t="s">
        <v>42</v>
      </c>
      <c r="C5" s="266">
        <f>C26</f>
        <v>-19640.679729586987</v>
      </c>
      <c r="E5" s="237"/>
      <c r="G5" s="270">
        <f t="shared" ref="G5:Q5" si="1">G26</f>
        <v>-19308</v>
      </c>
      <c r="H5" s="270">
        <f t="shared" si="1"/>
        <v>-17241</v>
      </c>
      <c r="I5" s="270">
        <f t="shared" si="1"/>
        <v>-18854</v>
      </c>
      <c r="J5" s="270">
        <f t="shared" si="1"/>
        <v>-20710</v>
      </c>
      <c r="K5" s="270">
        <f t="shared" si="1"/>
        <v>-24518</v>
      </c>
      <c r="L5" s="270">
        <f t="shared" si="1"/>
        <v>-22326</v>
      </c>
      <c r="M5" s="270">
        <f t="shared" si="1"/>
        <v>-18802</v>
      </c>
      <c r="N5" s="270" t="str">
        <f t="shared" si="1"/>
        <v/>
      </c>
      <c r="O5" s="270" t="str">
        <f t="shared" si="1"/>
        <v/>
      </c>
      <c r="P5" s="270" t="str">
        <f t="shared" si="1"/>
        <v/>
      </c>
      <c r="Q5" s="270" t="str">
        <f t="shared" si="1"/>
        <v/>
      </c>
    </row>
    <row r="6" spans="1:17" ht="15.75" customHeight="1">
      <c r="A6" s="10"/>
      <c r="B6" s="30" t="s">
        <v>44</v>
      </c>
      <c r="C6" s="267">
        <f>C4+C5</f>
        <v>13261.320270413013</v>
      </c>
      <c r="E6" s="237"/>
      <c r="G6" s="267">
        <f>IF(G4="","",G4+G5)</f>
        <v>13594</v>
      </c>
      <c r="H6" s="267">
        <f t="shared" ref="H6:Q6" si="2">IF(H4="","",H4+H5)</f>
        <v>11160</v>
      </c>
      <c r="I6" s="267">
        <f t="shared" si="2"/>
        <v>8898</v>
      </c>
      <c r="J6" s="267">
        <f t="shared" si="2"/>
        <v>7629</v>
      </c>
      <c r="K6" s="267">
        <f t="shared" si="2"/>
        <v>6726</v>
      </c>
      <c r="L6" s="267">
        <f t="shared" si="2"/>
        <v>6827</v>
      </c>
      <c r="M6" s="267">
        <f t="shared" si="2"/>
        <v>6632</v>
      </c>
      <c r="N6" s="267" t="str">
        <f t="shared" si="2"/>
        <v/>
      </c>
      <c r="O6" s="267" t="str">
        <f t="shared" si="2"/>
        <v/>
      </c>
      <c r="P6" s="267" t="str">
        <f t="shared" si="2"/>
        <v/>
      </c>
      <c r="Q6" s="267" t="str">
        <f t="shared" si="2"/>
        <v/>
      </c>
    </row>
    <row r="7" spans="1:17" ht="15.75" customHeight="1">
      <c r="A7" s="10"/>
      <c r="B7" s="8" t="s">
        <v>41</v>
      </c>
      <c r="C7" s="266">
        <f>C35</f>
        <v>-4054</v>
      </c>
      <c r="E7" s="237"/>
      <c r="G7" s="266">
        <f t="shared" ref="G7:Q7" si="3">G35</f>
        <v>-3916</v>
      </c>
      <c r="H7" s="266">
        <f t="shared" si="3"/>
        <v>-3811</v>
      </c>
      <c r="I7" s="266">
        <f t="shared" si="3"/>
        <v>-4121</v>
      </c>
      <c r="J7" s="266">
        <f t="shared" si="3"/>
        <v>-4413</v>
      </c>
      <c r="K7" s="266">
        <f t="shared" si="3"/>
        <v>-4009</v>
      </c>
      <c r="L7" s="266">
        <f t="shared" si="3"/>
        <v>-3101</v>
      </c>
      <c r="M7" s="266">
        <f t="shared" si="3"/>
        <v>-2703</v>
      </c>
      <c r="N7" s="266" t="str">
        <f t="shared" si="3"/>
        <v/>
      </c>
      <c r="O7" s="266" t="str">
        <f t="shared" si="3"/>
        <v/>
      </c>
      <c r="P7" s="266" t="str">
        <f t="shared" si="3"/>
        <v/>
      </c>
      <c r="Q7" s="266" t="str">
        <f t="shared" si="3"/>
        <v/>
      </c>
    </row>
    <row r="8" spans="1:17" ht="15.75" customHeight="1">
      <c r="A8" s="10"/>
      <c r="B8" s="28" t="s">
        <v>126</v>
      </c>
      <c r="C8" s="268">
        <f>C6+C7</f>
        <v>9207.3202704130126</v>
      </c>
      <c r="D8" s="56"/>
      <c r="E8" s="241"/>
      <c r="F8" s="56"/>
      <c r="G8" s="267">
        <f>IF(G$4="","",G6+G7)</f>
        <v>9678</v>
      </c>
      <c r="H8" s="267">
        <f t="shared" ref="H8:Q8" si="4">IF(H$4="","",H6+H7)</f>
        <v>7349</v>
      </c>
      <c r="I8" s="267">
        <f t="shared" si="4"/>
        <v>4777</v>
      </c>
      <c r="J8" s="267">
        <f t="shared" si="4"/>
        <v>3216</v>
      </c>
      <c r="K8" s="267">
        <f t="shared" si="4"/>
        <v>2717</v>
      </c>
      <c r="L8" s="267">
        <f t="shared" si="4"/>
        <v>3726</v>
      </c>
      <c r="M8" s="267">
        <f t="shared" si="4"/>
        <v>3929</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t="str">
        <f t="shared" si="5"/>
        <v/>
      </c>
      <c r="O9" s="270" t="str">
        <f t="shared" si="5"/>
        <v/>
      </c>
      <c r="P9" s="270" t="str">
        <f t="shared" si="5"/>
        <v/>
      </c>
      <c r="Q9" s="270" t="str">
        <f t="shared" si="5"/>
        <v/>
      </c>
    </row>
    <row r="10" spans="1:17" ht="15.75" customHeight="1">
      <c r="A10" s="10"/>
      <c r="B10" s="2" t="s">
        <v>64</v>
      </c>
      <c r="C10" s="266">
        <f>C48</f>
        <v>53.448389576888964</v>
      </c>
      <c r="E10" s="237"/>
      <c r="G10" s="266">
        <f>G48</f>
        <v>205.21988637536117</v>
      </c>
      <c r="H10" s="266">
        <f t="shared" ref="H10:Q10" si="6">H48</f>
        <v>285.24761300278175</v>
      </c>
      <c r="I10" s="266">
        <f t="shared" si="6"/>
        <v>192.5856930425806</v>
      </c>
      <c r="J10" s="266">
        <f t="shared" si="6"/>
        <v>117.45572980349314</v>
      </c>
      <c r="K10" s="266">
        <f t="shared" si="6"/>
        <v>47.061233186851439</v>
      </c>
      <c r="L10" s="266">
        <f t="shared" si="6"/>
        <v>100.23412649475773</v>
      </c>
      <c r="M10" s="266">
        <f t="shared" si="6"/>
        <v>131.01444983002571</v>
      </c>
      <c r="N10" s="266" t="str">
        <f t="shared" si="6"/>
        <v/>
      </c>
      <c r="O10" s="266" t="str">
        <f t="shared" si="6"/>
        <v/>
      </c>
      <c r="P10" s="266" t="str">
        <f t="shared" si="6"/>
        <v/>
      </c>
      <c r="Q10" s="266" t="str">
        <f t="shared" si="6"/>
        <v/>
      </c>
    </row>
    <row r="11" spans="1:17" ht="15.75" customHeight="1">
      <c r="A11" s="10"/>
      <c r="B11" s="67" t="s">
        <v>136</v>
      </c>
      <c r="C11" s="267">
        <f>SUM(C8:C10)</f>
        <v>9260.7686599899007</v>
      </c>
      <c r="E11" s="237"/>
      <c r="G11" s="267">
        <f t="shared" ref="G11:Q11" si="7">IF(G$4="","",SUM(G8:G10))</f>
        <v>9883.219886375362</v>
      </c>
      <c r="H11" s="267">
        <f t="shared" si="7"/>
        <v>7634.2476130027817</v>
      </c>
      <c r="I11" s="267">
        <f t="shared" si="7"/>
        <v>4969.5856930425807</v>
      </c>
      <c r="J11" s="267">
        <f t="shared" si="7"/>
        <v>3333.4557298034933</v>
      </c>
      <c r="K11" s="267">
        <f t="shared" si="7"/>
        <v>2764.0612331868515</v>
      </c>
      <c r="L11" s="267">
        <f t="shared" si="7"/>
        <v>3826.2341264947577</v>
      </c>
      <c r="M11" s="267">
        <f t="shared" si="7"/>
        <v>4060.0144498300256</v>
      </c>
      <c r="N11" s="267" t="str">
        <f t="shared" si="7"/>
        <v/>
      </c>
      <c r="O11" s="267" t="str">
        <f t="shared" si="7"/>
        <v/>
      </c>
      <c r="P11" s="267" t="str">
        <f t="shared" si="7"/>
        <v/>
      </c>
      <c r="Q11" s="267" t="str">
        <f t="shared" si="7"/>
        <v/>
      </c>
    </row>
    <row r="12" spans="1:17" ht="15.75" customHeight="1">
      <c r="A12" s="10"/>
      <c r="B12" s="2" t="s">
        <v>59</v>
      </c>
      <c r="C12" s="266">
        <f>-C11*C41</f>
        <v>-2315.1921649974752</v>
      </c>
      <c r="E12" s="237"/>
      <c r="G12" s="266">
        <f>Data!C46</f>
        <v>-1924</v>
      </c>
      <c r="H12" s="266">
        <f>Data!D46</f>
        <v>-1603</v>
      </c>
      <c r="I12" s="266">
        <f>Data!E46</f>
        <v>-825</v>
      </c>
      <c r="J12" s="266">
        <f>Data!F46</f>
        <v>-534</v>
      </c>
      <c r="K12" s="266">
        <f>Data!G46</f>
        <v>-417</v>
      </c>
      <c r="L12" s="266">
        <f>Data!H46</f>
        <v>-637</v>
      </c>
      <c r="M12" s="266">
        <f>Data!I46</f>
        <v>-564</v>
      </c>
      <c r="N12" s="266" t="str">
        <f>Data!J46</f>
        <v/>
      </c>
      <c r="O12" s="266" t="str">
        <f>Data!K46</f>
        <v/>
      </c>
      <c r="P12" s="266" t="str">
        <f>Data!L46</f>
        <v/>
      </c>
      <c r="Q12" s="266" t="str">
        <f>Data!M46</f>
        <v/>
      </c>
    </row>
    <row r="13" spans="1:17" ht="15.75" customHeight="1">
      <c r="A13" s="10"/>
      <c r="B13" s="38" t="s">
        <v>207</v>
      </c>
      <c r="C13" s="266">
        <f>-C4*C79</f>
        <v>-538.69335586775105</v>
      </c>
      <c r="D13" s="57"/>
      <c r="E13" s="242"/>
      <c r="F13" s="57"/>
      <c r="G13" s="270">
        <f>Data!C48</f>
        <v>-297</v>
      </c>
      <c r="H13" s="270">
        <f>Data!D48</f>
        <v>-465</v>
      </c>
      <c r="I13" s="270">
        <f>Data!E48</f>
        <v>-300</v>
      </c>
      <c r="J13" s="270">
        <f>Data!F48</f>
        <v>-162</v>
      </c>
      <c r="K13" s="270">
        <f>Data!G48</f>
        <v>-186</v>
      </c>
      <c r="L13" s="270">
        <f>Data!H48</f>
        <v>-21</v>
      </c>
      <c r="M13" s="270">
        <f>Data!I48</f>
        <v>-5</v>
      </c>
      <c r="N13" s="270" t="str">
        <f>Data!J48</f>
        <v/>
      </c>
      <c r="O13" s="270" t="str">
        <f>Data!K48</f>
        <v/>
      </c>
      <c r="P13" s="270" t="str">
        <f>Data!L48</f>
        <v/>
      </c>
      <c r="Q13" s="270" t="str">
        <f>Data!M48</f>
        <v/>
      </c>
    </row>
    <row r="14" spans="1:17" ht="15.75" customHeight="1">
      <c r="A14" s="10"/>
      <c r="B14" s="39" t="s">
        <v>128</v>
      </c>
      <c r="C14" s="269">
        <f>SUM(C11:C13)</f>
        <v>6406.883139124674</v>
      </c>
      <c r="D14" s="58"/>
      <c r="E14" s="243"/>
      <c r="F14" s="58"/>
      <c r="G14" s="267">
        <f t="shared" ref="G14:Q14" si="8">IF(G$4="","",SUM(G11:G13))</f>
        <v>7662.219886375362</v>
      </c>
      <c r="H14" s="267">
        <f t="shared" si="8"/>
        <v>5566.2476130027817</v>
      </c>
      <c r="I14" s="267">
        <f t="shared" si="8"/>
        <v>3844.5856930425807</v>
      </c>
      <c r="J14" s="267">
        <f t="shared" si="8"/>
        <v>2637.4557298034933</v>
      </c>
      <c r="K14" s="267">
        <f t="shared" si="8"/>
        <v>2161.0612331868515</v>
      </c>
      <c r="L14" s="267">
        <f t="shared" si="8"/>
        <v>3168.2341264947577</v>
      </c>
      <c r="M14" s="267">
        <f t="shared" si="8"/>
        <v>3491.0144498300256</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1004</v>
      </c>
      <c r="J15" s="266">
        <f>IF(Data!F61="","",-Data!F61)</f>
        <v>1160</v>
      </c>
      <c r="K15" s="266">
        <f>IF(Data!G61="","",-Data!G61)</f>
        <v>1001</v>
      </c>
      <c r="L15" s="266">
        <f>IF(Data!H61="","",-Data!H61)</f>
        <v>824</v>
      </c>
      <c r="M15" s="266">
        <f>IF(Data!I61="","",-Data!I61)</f>
        <v>583</v>
      </c>
      <c r="N15" s="266" t="str">
        <f>IF(Data!J61="","",-Data!J61)</f>
        <v/>
      </c>
      <c r="O15" s="266" t="str">
        <f>IF(Data!K61="","",-Data!K61)</f>
        <v/>
      </c>
      <c r="P15" s="266" t="str">
        <f>IF(Data!L61="","",-Data!L61)</f>
        <v/>
      </c>
      <c r="Q15" s="266" t="str">
        <f>IF(Data!M61="","",-Data!M61)</f>
        <v/>
      </c>
    </row>
    <row r="16" spans="1:17" ht="15.75" customHeight="1">
      <c r="A16" s="10"/>
      <c r="B16" s="2" t="s">
        <v>397</v>
      </c>
      <c r="C16" s="266">
        <f>-C4*C82</f>
        <v>-650.63867420757288</v>
      </c>
      <c r="E16" s="237"/>
      <c r="G16" s="266">
        <f>Data!C62</f>
        <v>0</v>
      </c>
      <c r="H16" s="266">
        <f>Data!D62</f>
        <v>0</v>
      </c>
      <c r="I16" s="266">
        <f>Data!E62</f>
        <v>-1164</v>
      </c>
      <c r="J16" s="266">
        <f>Data!F62</f>
        <v>-1053</v>
      </c>
      <c r="K16" s="266">
        <f>Data!G62</f>
        <v>-2758</v>
      </c>
      <c r="L16" s="266">
        <f>Data!H62</f>
        <v>-501</v>
      </c>
      <c r="M16" s="266">
        <f>Data!I62</f>
        <v>-286</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6406.883139124674</v>
      </c>
      <c r="D19" s="26"/>
      <c r="E19" s="234"/>
      <c r="F19" s="26"/>
      <c r="G19" s="271">
        <f t="shared" ref="G19:Q19" si="9">IF(G$4="","",G14+G17)</f>
        <v>7662.219886375362</v>
      </c>
      <c r="H19" s="271">
        <f t="shared" si="9"/>
        <v>5566.2476130027817</v>
      </c>
      <c r="I19" s="271">
        <f t="shared" si="9"/>
        <v>3844.5856930425807</v>
      </c>
      <c r="J19" s="271">
        <f t="shared" si="9"/>
        <v>2637.4557298034933</v>
      </c>
      <c r="K19" s="271">
        <f t="shared" si="9"/>
        <v>2161.0612331868515</v>
      </c>
      <c r="L19" s="271">
        <f t="shared" si="9"/>
        <v>3168.2341264947577</v>
      </c>
      <c r="M19" s="271">
        <f t="shared" si="9"/>
        <v>3491.0144498300256</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-18669.136984613218</v>
      </c>
      <c r="D23" s="55"/>
      <c r="E23" s="236"/>
      <c r="F23" s="55"/>
      <c r="G23" s="270">
        <f>Data!C37</f>
        <v>-18367</v>
      </c>
      <c r="H23" s="270">
        <f>Data!D37</f>
        <v>-16376</v>
      </c>
      <c r="I23" s="270">
        <f>Data!E37</f>
        <v>-17957</v>
      </c>
      <c r="J23" s="270">
        <f>Data!F37</f>
        <v>-19566</v>
      </c>
      <c r="K23" s="270">
        <f>Data!G37</f>
        <v>-21840</v>
      </c>
      <c r="L23" s="270">
        <f>Data!H37</f>
        <v>-19851</v>
      </c>
      <c r="M23" s="270">
        <f>Data!I37</f>
        <v>-16761</v>
      </c>
      <c r="N23" s="270" t="str">
        <f>Data!J37</f>
        <v/>
      </c>
      <c r="O23" s="270" t="str">
        <f>Data!K37</f>
        <v/>
      </c>
      <c r="P23" s="270" t="str">
        <f>Data!L37</f>
        <v/>
      </c>
      <c r="Q23" s="270" t="str">
        <f>Data!M37</f>
        <v/>
      </c>
    </row>
    <row r="24" spans="1:17" ht="15.75" customHeight="1">
      <c r="A24" s="10"/>
      <c r="B24" s="65" t="s">
        <v>58</v>
      </c>
      <c r="C24" s="266">
        <f>-C4*C30</f>
        <v>-971.54274497376855</v>
      </c>
      <c r="D24" s="26"/>
      <c r="E24" s="234"/>
      <c r="F24" s="26"/>
      <c r="G24" s="270">
        <f>Data!C40</f>
        <v>-941</v>
      </c>
      <c r="H24" s="270">
        <f>Data!D40</f>
        <v>-865</v>
      </c>
      <c r="I24" s="270">
        <f>Data!E40</f>
        <v>-897</v>
      </c>
      <c r="J24" s="270">
        <f>Data!F40</f>
        <v>-1144</v>
      </c>
      <c r="K24" s="270">
        <f>Data!G40</f>
        <v>-2678</v>
      </c>
      <c r="L24" s="270">
        <f>Data!H40</f>
        <v>-2475</v>
      </c>
      <c r="M24" s="270">
        <f>Data!I40</f>
        <v>-2041</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t="str">
        <f>Data!J42</f>
        <v/>
      </c>
      <c r="O25" s="270" t="str">
        <f>Data!K42</f>
        <v/>
      </c>
      <c r="P25" s="270" t="str">
        <f>Data!L42</f>
        <v/>
      </c>
      <c r="Q25" s="270" t="str">
        <f>Data!M42</f>
        <v/>
      </c>
    </row>
    <row r="26" spans="1:17" ht="15.75" customHeight="1">
      <c r="A26" s="10"/>
      <c r="B26" s="67" t="s">
        <v>42</v>
      </c>
      <c r="C26" s="267">
        <f>SUM(C23:C25)</f>
        <v>-19640.679729586987</v>
      </c>
      <c r="D26" s="9"/>
      <c r="E26" s="240"/>
      <c r="F26" s="9"/>
      <c r="G26" s="267">
        <f>IF(G$4="","",SUM(G23:G25))</f>
        <v>-19308</v>
      </c>
      <c r="H26" s="267">
        <f t="shared" ref="H26:Q26" si="10">IF(H$4="","",SUM(H23:H25))</f>
        <v>-17241</v>
      </c>
      <c r="I26" s="267">
        <f t="shared" si="10"/>
        <v>-18854</v>
      </c>
      <c r="J26" s="267">
        <f t="shared" si="10"/>
        <v>-20710</v>
      </c>
      <c r="K26" s="267">
        <f t="shared" si="10"/>
        <v>-24518</v>
      </c>
      <c r="L26" s="267">
        <f t="shared" si="10"/>
        <v>-22326</v>
      </c>
      <c r="M26" s="267">
        <f t="shared" si="10"/>
        <v>-18802</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0.56741647877372858</v>
      </c>
      <c r="D29" s="25"/>
      <c r="E29" s="235"/>
      <c r="F29" s="25"/>
      <c r="G29" s="13">
        <f t="shared" ref="G29:Q29" si="11">IF(G$4="","",ABS(G23/G$4))</f>
        <v>0.55823354203391895</v>
      </c>
      <c r="H29" s="13">
        <f t="shared" si="11"/>
        <v>0.57659941551353822</v>
      </c>
      <c r="I29" s="13">
        <f t="shared" si="11"/>
        <v>0.64705246468722977</v>
      </c>
      <c r="J29" s="13">
        <f t="shared" si="11"/>
        <v>0.69042662055824133</v>
      </c>
      <c r="K29" s="13">
        <f t="shared" si="11"/>
        <v>0.69901421072845982</v>
      </c>
      <c r="L29" s="13">
        <f t="shared" si="11"/>
        <v>0.68092477618083902</v>
      </c>
      <c r="M29" s="13">
        <f t="shared" si="11"/>
        <v>0.65899976409530547</v>
      </c>
      <c r="N29" s="13" t="str">
        <f t="shared" si="11"/>
        <v/>
      </c>
      <c r="O29" s="13" t="str">
        <f t="shared" si="11"/>
        <v/>
      </c>
      <c r="P29" s="13" t="str">
        <f t="shared" si="11"/>
        <v/>
      </c>
      <c r="Q29" s="13" t="str">
        <f t="shared" si="11"/>
        <v/>
      </c>
    </row>
    <row r="30" spans="1:17" ht="15.75" customHeight="1">
      <c r="A30" s="10"/>
      <c r="B30" s="65" t="str">
        <f>B24</f>
        <v>Selling Expenses</v>
      </c>
      <c r="C30" s="60">
        <f>AVERAGE(G30:H30)</f>
        <v>2.9528379580991082E-2</v>
      </c>
      <c r="D30" s="25"/>
      <c r="E30" s="235"/>
      <c r="F30" s="25"/>
      <c r="G30" s="13">
        <f t="shared" ref="G30:Q30" si="12">IF(G$4="","",ABS(G24/G$4))</f>
        <v>2.8600085101209653E-2</v>
      </c>
      <c r="H30" s="13">
        <f t="shared" si="12"/>
        <v>3.0456674060772508E-2</v>
      </c>
      <c r="I30" s="13">
        <f t="shared" si="12"/>
        <v>3.2321994811184779E-2</v>
      </c>
      <c r="J30" s="13">
        <f t="shared" si="12"/>
        <v>4.0368396908853521E-2</v>
      </c>
      <c r="K30" s="13">
        <f t="shared" si="12"/>
        <v>8.5712456791704E-2</v>
      </c>
      <c r="L30" s="13">
        <f t="shared" si="12"/>
        <v>8.4896923129695059E-2</v>
      </c>
      <c r="M30" s="13">
        <f t="shared" si="12"/>
        <v>8.0246913580246909E-2</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t="str">
        <f t="shared" si="13"/>
        <v/>
      </c>
      <c r="O31" s="13" t="str">
        <f t="shared" si="13"/>
        <v/>
      </c>
      <c r="P31" s="13" t="str">
        <f t="shared" si="13"/>
        <v/>
      </c>
      <c r="Q31" s="13" t="str">
        <f t="shared" si="13"/>
        <v/>
      </c>
    </row>
    <row r="32" spans="1:17" ht="15.75" customHeight="1">
      <c r="A32" s="10"/>
      <c r="B32" s="67" t="s">
        <v>42</v>
      </c>
      <c r="C32" s="68">
        <f>ABS(C26/$C$4)</f>
        <v>0.59694485835471967</v>
      </c>
      <c r="E32" s="237"/>
      <c r="G32" s="29">
        <f t="shared" ref="G32:Q32" si="14">IF(G$4="","",ABS(G26/G$4))</f>
        <v>0.58683362713512854</v>
      </c>
      <c r="H32" s="29">
        <f t="shared" si="14"/>
        <v>0.60705608957431079</v>
      </c>
      <c r="I32" s="29">
        <f t="shared" si="14"/>
        <v>0.67937445949841457</v>
      </c>
      <c r="J32" s="29">
        <f t="shared" si="14"/>
        <v>0.73079501746709485</v>
      </c>
      <c r="K32" s="29">
        <f t="shared" si="14"/>
        <v>0.78472666752016385</v>
      </c>
      <c r="L32" s="29">
        <f t="shared" si="14"/>
        <v>0.76582169931053412</v>
      </c>
      <c r="M32" s="29">
        <f t="shared" si="14"/>
        <v>0.73924667767555241</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AVERAGE(G35:K35)</f>
        <v>-4054</v>
      </c>
      <c r="D35" s="55"/>
      <c r="E35" s="236"/>
      <c r="F35" s="55"/>
      <c r="G35" s="267">
        <f>IF(G4="","",Data!C41)</f>
        <v>-3916</v>
      </c>
      <c r="H35" s="267">
        <f>IF(H4="","",Data!D41)</f>
        <v>-3811</v>
      </c>
      <c r="I35" s="267">
        <f>IF(I4="","",Data!E41)</f>
        <v>-4121</v>
      </c>
      <c r="J35" s="267">
        <f>IF(J4="","",Data!F41)</f>
        <v>-4413</v>
      </c>
      <c r="K35" s="267">
        <f>IF(K4="","",Data!G41)</f>
        <v>-4009</v>
      </c>
      <c r="L35" s="267">
        <f>IF(L4="","",Data!H41)</f>
        <v>-3101</v>
      </c>
      <c r="M35" s="267">
        <f>IF(M4="","",Data!I41)</f>
        <v>-2703</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0.123214394261747</v>
      </c>
      <c r="E38" s="237"/>
      <c r="G38" s="29">
        <f t="shared" ref="G38:Q38" si="15">IF(G$4="","",ABS(G35/G$4))</f>
        <v>0.11902012035742508</v>
      </c>
      <c r="H38" s="29">
        <f t="shared" si="15"/>
        <v>0.13418541600647865</v>
      </c>
      <c r="I38" s="29">
        <f t="shared" si="15"/>
        <v>0.1484938022484866</v>
      </c>
      <c r="J38" s="29">
        <f t="shared" si="15"/>
        <v>0.15572179681710716</v>
      </c>
      <c r="K38" s="29">
        <f t="shared" si="15"/>
        <v>0.12831263602611701</v>
      </c>
      <c r="L38" s="29">
        <f t="shared" si="15"/>
        <v>0.10636984186876136</v>
      </c>
      <c r="M38" s="29">
        <f t="shared" si="15"/>
        <v>0.10627506487379099</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0.19467339815563089</v>
      </c>
      <c r="H41" s="6">
        <f t="shared" si="16"/>
        <v>0.20997485034016225</v>
      </c>
      <c r="I41" s="6">
        <f t="shared" si="16"/>
        <v>0.16600981469239978</v>
      </c>
      <c r="J41" s="6">
        <f t="shared" si="16"/>
        <v>0.16019411784163073</v>
      </c>
      <c r="K41" s="6">
        <f t="shared" si="16"/>
        <v>0.15086496456491877</v>
      </c>
      <c r="L41" s="6">
        <f t="shared" si="16"/>
        <v>0.16648223264465015</v>
      </c>
      <c r="M41" s="6">
        <f t="shared" si="16"/>
        <v>0.13891576174651599</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-18.96</v>
      </c>
      <c r="E45" s="237"/>
      <c r="G45" s="266">
        <f>Data!C51</f>
        <v>-129</v>
      </c>
      <c r="H45" s="266">
        <f>Data!D51</f>
        <v>-94</v>
      </c>
      <c r="I45" s="266">
        <f>Data!E51</f>
        <v>-141</v>
      </c>
      <c r="J45" s="266">
        <f>Data!F51</f>
        <v>-108</v>
      </c>
      <c r="K45" s="266">
        <f>Data!G51</f>
        <v>-121</v>
      </c>
      <c r="L45" s="266">
        <f>Data!H51</f>
        <v>-97</v>
      </c>
      <c r="M45" s="266">
        <f>Data!I51</f>
        <v>-64</v>
      </c>
      <c r="N45" s="266" t="str">
        <f>Data!J51</f>
        <v/>
      </c>
      <c r="O45" s="266" t="str">
        <f>Data!K51</f>
        <v/>
      </c>
      <c r="P45" s="266" t="str">
        <f>Data!L51</f>
        <v/>
      </c>
      <c r="Q45" s="266" t="str">
        <f>Data!M51</f>
        <v/>
      </c>
    </row>
    <row r="46" spans="1:17" ht="15.75" customHeight="1">
      <c r="A46" s="10"/>
      <c r="B46" s="2" t="s">
        <v>271</v>
      </c>
      <c r="C46" s="266">
        <f>BS!D75*C51</f>
        <v>72.408389576888965</v>
      </c>
      <c r="E46" s="237"/>
      <c r="G46" s="274">
        <f t="shared" ref="G46:Q46" si="17">IFERROR(IF(G$4="","",($C$46/$C$47)*G47),0)</f>
        <v>334.21988637536117</v>
      </c>
      <c r="H46" s="274">
        <f t="shared" si="17"/>
        <v>379.24761300278175</v>
      </c>
      <c r="I46" s="274">
        <f t="shared" si="17"/>
        <v>333.5856930425806</v>
      </c>
      <c r="J46" s="274">
        <f t="shared" si="17"/>
        <v>225.45572980349314</v>
      </c>
      <c r="K46" s="274">
        <f t="shared" si="17"/>
        <v>168.06123318685144</v>
      </c>
      <c r="L46" s="274">
        <f t="shared" si="17"/>
        <v>197.23412649475773</v>
      </c>
      <c r="M46" s="274">
        <f t="shared" si="17"/>
        <v>195.01444983002571</v>
      </c>
      <c r="N46" s="274" t="str">
        <f t="shared" si="17"/>
        <v/>
      </c>
      <c r="O46" s="274" t="str">
        <f t="shared" si="17"/>
        <v/>
      </c>
      <c r="P46" s="274" t="str">
        <f t="shared" si="17"/>
        <v/>
      </c>
      <c r="Q46" s="274" t="str">
        <f t="shared" si="17"/>
        <v/>
      </c>
    </row>
    <row r="47" spans="1:17" ht="15.75" customHeight="1">
      <c r="A47" s="10"/>
      <c r="B47" s="245" t="s">
        <v>268</v>
      </c>
      <c r="C47" s="278">
        <f>BS!$C$66*C51</f>
        <v>228.34800000000001</v>
      </c>
      <c r="D47" s="246"/>
      <c r="E47" s="247"/>
      <c r="F47" s="246"/>
      <c r="G47" s="278">
        <f>Data!C52</f>
        <v>1054</v>
      </c>
      <c r="H47" s="278">
        <f>Data!D52</f>
        <v>1196</v>
      </c>
      <c r="I47" s="278">
        <f>Data!E52</f>
        <v>1052</v>
      </c>
      <c r="J47" s="278">
        <f>Data!F52</f>
        <v>711</v>
      </c>
      <c r="K47" s="278">
        <f>Data!G52</f>
        <v>530</v>
      </c>
      <c r="L47" s="278">
        <f>Data!H52</f>
        <v>622</v>
      </c>
      <c r="M47" s="278">
        <f>Data!I52</f>
        <v>615</v>
      </c>
      <c r="N47" s="278" t="str">
        <f>Data!J52</f>
        <v/>
      </c>
      <c r="O47" s="278" t="str">
        <f>Data!K52</f>
        <v/>
      </c>
      <c r="P47" s="278" t="str">
        <f>Data!L52</f>
        <v/>
      </c>
      <c r="Q47" s="278" t="str">
        <f>Data!M52</f>
        <v/>
      </c>
    </row>
    <row r="48" spans="1:17" ht="15.75" customHeight="1">
      <c r="A48" s="10"/>
      <c r="B48" s="67" t="s">
        <v>64</v>
      </c>
      <c r="C48" s="267">
        <f>C45+C46</f>
        <v>53.448389576888964</v>
      </c>
      <c r="E48" s="237"/>
      <c r="G48" s="267">
        <f>IF(G$4="","",(G45+G46))</f>
        <v>205.21988637536117</v>
      </c>
      <c r="H48" s="267">
        <f t="shared" ref="H48:Q48" si="18">IF(H$4="","",(H45+H46))</f>
        <v>285.24761300278175</v>
      </c>
      <c r="I48" s="267">
        <f t="shared" si="18"/>
        <v>192.5856930425806</v>
      </c>
      <c r="J48" s="267">
        <f t="shared" si="18"/>
        <v>117.45572980349314</v>
      </c>
      <c r="K48" s="267">
        <f t="shared" si="18"/>
        <v>47.061233186851439</v>
      </c>
      <c r="L48" s="267">
        <f t="shared" si="18"/>
        <v>100.23412649475773</v>
      </c>
      <c r="M48" s="267">
        <f t="shared" si="18"/>
        <v>131.01444983002571</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2.7694571443586107E-2</v>
      </c>
      <c r="H51" s="151"/>
      <c r="I51" s="151"/>
      <c r="J51" s="151"/>
      <c r="K51" s="151"/>
      <c r="L51" s="151"/>
      <c r="M51" s="151"/>
      <c r="N51" s="151"/>
      <c r="O51" s="151"/>
      <c r="P51" s="151"/>
      <c r="Q51" s="151"/>
    </row>
    <row r="52" spans="1:17" ht="15.75" customHeight="1">
      <c r="A52" s="10"/>
      <c r="B52" s="8" t="s">
        <v>83</v>
      </c>
      <c r="C52" s="79">
        <v>0.06</v>
      </c>
      <c r="E52" s="234"/>
      <c r="G52" s="22">
        <f>IFERROR(ABS(Normalized_FCF!G45/BS!$G$31),0)</f>
        <v>0.40822784810126583</v>
      </c>
      <c r="H52" s="151"/>
      <c r="I52" s="151"/>
      <c r="J52" s="151"/>
      <c r="K52" s="151"/>
      <c r="L52" s="151"/>
      <c r="M52" s="151"/>
      <c r="N52" s="151"/>
      <c r="O52" s="151"/>
      <c r="P52" s="151"/>
      <c r="Q52" s="151"/>
    </row>
    <row r="53" spans="1:17" ht="15.75" customHeight="1">
      <c r="A53" s="10"/>
      <c r="B53" s="25" t="s">
        <v>86</v>
      </c>
      <c r="C53" s="40">
        <f>-C8/C45</f>
        <v>485.6181577222053</v>
      </c>
      <c r="E53" s="237"/>
      <c r="G53" s="40">
        <f t="shared" ref="G53:Q53" si="19">IF(G4="","",-G8/G45)</f>
        <v>75.023255813953483</v>
      </c>
      <c r="H53" s="40">
        <f t="shared" si="19"/>
        <v>78.180851063829792</v>
      </c>
      <c r="I53" s="40">
        <f t="shared" si="19"/>
        <v>33.879432624113477</v>
      </c>
      <c r="J53" s="40">
        <f t="shared" si="19"/>
        <v>29.777777777777779</v>
      </c>
      <c r="K53" s="40">
        <f t="shared" si="19"/>
        <v>22.454545454545453</v>
      </c>
      <c r="L53" s="40">
        <f t="shared" si="19"/>
        <v>38.412371134020617</v>
      </c>
      <c r="M53" s="40">
        <f t="shared" si="19"/>
        <v>61.390625</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2674</v>
      </c>
      <c r="H60" s="266">
        <f>Data!D58</f>
        <v>261</v>
      </c>
      <c r="I60" s="266">
        <f>Data!E58</f>
        <v>357</v>
      </c>
      <c r="J60" s="266">
        <f>Data!F58</f>
        <v>554</v>
      </c>
      <c r="K60" s="266">
        <f>Data!G58</f>
        <v>506</v>
      </c>
      <c r="L60" s="266">
        <f>Data!H58</f>
        <v>562</v>
      </c>
      <c r="M60" s="266">
        <f>Data!I58</f>
        <v>61</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2674</v>
      </c>
      <c r="H61" s="267">
        <f t="shared" si="21"/>
        <v>261</v>
      </c>
      <c r="I61" s="267">
        <f t="shared" si="21"/>
        <v>357</v>
      </c>
      <c r="J61" s="267">
        <f t="shared" si="21"/>
        <v>554</v>
      </c>
      <c r="K61" s="267">
        <f t="shared" si="21"/>
        <v>506</v>
      </c>
      <c r="L61" s="267">
        <f t="shared" si="21"/>
        <v>562</v>
      </c>
      <c r="M61" s="267">
        <f t="shared" si="21"/>
        <v>61</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0.59694485835471967</v>
      </c>
      <c r="D71" s="26"/>
      <c r="E71" s="234"/>
      <c r="F71" s="26"/>
      <c r="G71" s="6">
        <f t="shared" ref="G71:Q71" si="23">IF(G$4="","",ABS(G5/G$4))</f>
        <v>0.58683362713512854</v>
      </c>
      <c r="H71" s="6">
        <f t="shared" si="23"/>
        <v>0.60705608957431079</v>
      </c>
      <c r="I71" s="6">
        <f t="shared" si="23"/>
        <v>0.67937445949841457</v>
      </c>
      <c r="J71" s="6">
        <f t="shared" si="23"/>
        <v>0.73079501746709485</v>
      </c>
      <c r="K71" s="6">
        <f t="shared" si="23"/>
        <v>0.78472666752016385</v>
      </c>
      <c r="L71" s="6">
        <f t="shared" si="23"/>
        <v>0.76582169931053412</v>
      </c>
      <c r="M71" s="6">
        <f t="shared" si="23"/>
        <v>0.73924667767555241</v>
      </c>
      <c r="N71" s="6" t="str">
        <f t="shared" si="23"/>
        <v/>
      </c>
      <c r="O71" s="6" t="str">
        <f t="shared" si="23"/>
        <v/>
      </c>
      <c r="P71" s="6" t="str">
        <f t="shared" si="23"/>
        <v/>
      </c>
      <c r="Q71" s="6" t="str">
        <f t="shared" si="23"/>
        <v/>
      </c>
    </row>
    <row r="72" spans="1:17" ht="15.75" customHeight="1">
      <c r="A72" s="10"/>
      <c r="B72" s="30" t="s">
        <v>44</v>
      </c>
      <c r="C72" s="75">
        <f t="shared" si="22"/>
        <v>0.40305514164528028</v>
      </c>
      <c r="D72" s="26"/>
      <c r="E72" s="234"/>
      <c r="F72" s="26"/>
      <c r="G72" s="62">
        <f t="shared" ref="G72:Q72" si="24">IF(G$4="","",ABS(G6/G$4))</f>
        <v>0.41316637286487146</v>
      </c>
      <c r="H72" s="62">
        <f t="shared" si="24"/>
        <v>0.39294391042568921</v>
      </c>
      <c r="I72" s="62">
        <f t="shared" si="24"/>
        <v>0.32062554050158548</v>
      </c>
      <c r="J72" s="62">
        <f t="shared" si="24"/>
        <v>0.2692049825329052</v>
      </c>
      <c r="K72" s="62">
        <f t="shared" si="24"/>
        <v>0.21527333247983613</v>
      </c>
      <c r="L72" s="62">
        <f t="shared" si="24"/>
        <v>0.23417830068946593</v>
      </c>
      <c r="M72" s="62">
        <f t="shared" si="24"/>
        <v>0.26075332232444759</v>
      </c>
      <c r="N72" s="62" t="str">
        <f t="shared" si="24"/>
        <v/>
      </c>
      <c r="O72" s="62" t="str">
        <f t="shared" si="24"/>
        <v/>
      </c>
      <c r="P72" s="62" t="str">
        <f t="shared" si="24"/>
        <v/>
      </c>
      <c r="Q72" s="62" t="str">
        <f t="shared" si="24"/>
        <v/>
      </c>
    </row>
    <row r="73" spans="1:17" ht="15.75" customHeight="1">
      <c r="A73" s="10"/>
      <c r="B73" s="8" t="s">
        <v>41</v>
      </c>
      <c r="C73" s="74">
        <f t="shared" si="22"/>
        <v>0.123214394261747</v>
      </c>
      <c r="D73" s="26"/>
      <c r="E73" s="234"/>
      <c r="F73" s="26"/>
      <c r="G73" s="6">
        <f t="shared" ref="G73:Q73" si="25">IF(G$4="","",ABS(G7/G$4))</f>
        <v>0.11902012035742508</v>
      </c>
      <c r="H73" s="6">
        <f t="shared" si="25"/>
        <v>0.13418541600647865</v>
      </c>
      <c r="I73" s="6">
        <f t="shared" si="25"/>
        <v>0.1484938022484866</v>
      </c>
      <c r="J73" s="6">
        <f t="shared" si="25"/>
        <v>0.15572179681710716</v>
      </c>
      <c r="K73" s="6">
        <f t="shared" si="25"/>
        <v>0.12831263602611701</v>
      </c>
      <c r="L73" s="6">
        <f t="shared" si="25"/>
        <v>0.10636984186876136</v>
      </c>
      <c r="M73" s="6">
        <f t="shared" si="25"/>
        <v>0.10627506487379099</v>
      </c>
      <c r="N73" s="6" t="str">
        <f t="shared" si="25"/>
        <v/>
      </c>
      <c r="O73" s="6" t="str">
        <f t="shared" si="25"/>
        <v/>
      </c>
      <c r="P73" s="6" t="str">
        <f t="shared" si="25"/>
        <v/>
      </c>
      <c r="Q73" s="6" t="str">
        <f t="shared" si="25"/>
        <v/>
      </c>
    </row>
    <row r="74" spans="1:17" ht="15.75" customHeight="1">
      <c r="A74" s="10"/>
      <c r="B74" s="28" t="s">
        <v>126</v>
      </c>
      <c r="C74" s="75">
        <f t="shared" si="22"/>
        <v>0.27984074738353332</v>
      </c>
      <c r="D74" s="26"/>
      <c r="E74" s="234"/>
      <c r="F74" s="26"/>
      <c r="G74" s="62">
        <f t="shared" ref="G74:Q74" si="26">IF(G$4="","",ABS(G8/G$4))</f>
        <v>0.29414625250744636</v>
      </c>
      <c r="H74" s="62">
        <f t="shared" si="26"/>
        <v>0.25875849441921062</v>
      </c>
      <c r="I74" s="62">
        <f t="shared" si="26"/>
        <v>0.17213173825309888</v>
      </c>
      <c r="J74" s="62">
        <f t="shared" si="26"/>
        <v>0.11348318571579802</v>
      </c>
      <c r="K74" s="62">
        <f t="shared" si="26"/>
        <v>8.6960696453719108E-2</v>
      </c>
      <c r="L74" s="62">
        <f t="shared" si="26"/>
        <v>0.12780845882070455</v>
      </c>
      <c r="M74" s="62">
        <f t="shared" si="26"/>
        <v>0.1544782574506566</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t="str">
        <f t="shared" si="27"/>
        <v/>
      </c>
      <c r="O75" s="6" t="str">
        <f t="shared" si="27"/>
        <v/>
      </c>
      <c r="P75" s="6" t="str">
        <f t="shared" si="27"/>
        <v/>
      </c>
      <c r="Q75" s="6" t="str">
        <f t="shared" si="27"/>
        <v/>
      </c>
    </row>
    <row r="76" spans="1:17" ht="15.75" customHeight="1">
      <c r="A76" s="10"/>
      <c r="B76" s="2" t="s">
        <v>64</v>
      </c>
      <c r="C76" s="74">
        <f t="shared" si="22"/>
        <v>1.6244723596404158E-3</v>
      </c>
      <c r="D76" s="26"/>
      <c r="E76" s="234"/>
      <c r="F76" s="26"/>
      <c r="G76" s="6">
        <f t="shared" ref="G76:Q76" si="28">IF(G$4="","",ABS(G10/G$4))</f>
        <v>6.2373073483484639E-3</v>
      </c>
      <c r="H76" s="6">
        <f t="shared" si="28"/>
        <v>1.0043576388253293E-2</v>
      </c>
      <c r="I76" s="6">
        <f t="shared" si="28"/>
        <v>6.9395248285738179E-3</v>
      </c>
      <c r="J76" s="6">
        <f t="shared" si="28"/>
        <v>4.1446674125231358E-3</v>
      </c>
      <c r="K76" s="6">
        <f t="shared" si="28"/>
        <v>1.5062486617222967E-3</v>
      </c>
      <c r="L76" s="6">
        <f t="shared" si="28"/>
        <v>3.4382096694939709E-3</v>
      </c>
      <c r="M76" s="6">
        <f t="shared" si="28"/>
        <v>5.1511539604476575E-3</v>
      </c>
      <c r="N76" s="6" t="str">
        <f t="shared" si="28"/>
        <v/>
      </c>
      <c r="O76" s="6" t="str">
        <f t="shared" si="28"/>
        <v/>
      </c>
      <c r="P76" s="6" t="str">
        <f t="shared" si="28"/>
        <v/>
      </c>
      <c r="Q76" s="6" t="str">
        <f t="shared" si="28"/>
        <v/>
      </c>
    </row>
    <row r="77" spans="1:17" ht="15.75" customHeight="1">
      <c r="A77" s="10"/>
      <c r="B77" s="67" t="s">
        <v>136</v>
      </c>
      <c r="C77" s="75">
        <f>C11/C4</f>
        <v>0.28146521974317368</v>
      </c>
      <c r="D77" s="26"/>
      <c r="E77" s="234"/>
      <c r="F77" s="26"/>
      <c r="G77" s="62">
        <f t="shared" ref="G77:Q77" si="29">IF(G$4="","",G11/G$4)</f>
        <v>0.30038355985579485</v>
      </c>
      <c r="H77" s="62">
        <f t="shared" si="29"/>
        <v>0.26880207080746388</v>
      </c>
      <c r="I77" s="62">
        <f t="shared" si="29"/>
        <v>0.1790712630816727</v>
      </c>
      <c r="J77" s="62">
        <f t="shared" si="29"/>
        <v>0.11762785312832116</v>
      </c>
      <c r="K77" s="62">
        <f t="shared" si="29"/>
        <v>8.8466945115441412E-2</v>
      </c>
      <c r="L77" s="62">
        <f t="shared" si="29"/>
        <v>0.13124666849019853</v>
      </c>
      <c r="M77" s="62">
        <f t="shared" si="29"/>
        <v>0.15962941141110426</v>
      </c>
      <c r="N77" s="62" t="str">
        <f t="shared" si="29"/>
        <v/>
      </c>
      <c r="O77" s="62" t="str">
        <f t="shared" si="29"/>
        <v/>
      </c>
      <c r="P77" s="62" t="str">
        <f t="shared" si="29"/>
        <v/>
      </c>
      <c r="Q77" s="62" t="str">
        <f t="shared" si="29"/>
        <v/>
      </c>
    </row>
    <row r="78" spans="1:17" ht="15.75" customHeight="1">
      <c r="A78" s="10"/>
      <c r="B78" s="2" t="s">
        <v>59</v>
      </c>
      <c r="C78" s="74">
        <f>ABS(C12/C$4)</f>
        <v>7.0366304935793419E-2</v>
      </c>
      <c r="D78" s="26"/>
      <c r="E78" s="234"/>
      <c r="F78" s="26"/>
      <c r="G78" s="6">
        <f t="shared" ref="G78:Q78" si="30">IF(G$4="","",ABS(G12/G$4))</f>
        <v>5.8476688347212938E-2</v>
      </c>
      <c r="H78" s="6">
        <f t="shared" si="30"/>
        <v>5.6441674588922928E-2</v>
      </c>
      <c r="I78" s="6">
        <f t="shared" si="30"/>
        <v>2.9727587200922456E-2</v>
      </c>
      <c r="J78" s="6">
        <f t="shared" si="30"/>
        <v>1.8843290165496313E-2</v>
      </c>
      <c r="K78" s="6">
        <f t="shared" si="30"/>
        <v>1.3346562540007682E-2</v>
      </c>
      <c r="L78" s="6">
        <f t="shared" si="30"/>
        <v>2.1850238397420507E-2</v>
      </c>
      <c r="M78" s="6">
        <f t="shared" si="30"/>
        <v>2.2175041283321539E-2</v>
      </c>
      <c r="N78" s="6" t="str">
        <f t="shared" si="30"/>
        <v/>
      </c>
      <c r="O78" s="6" t="str">
        <f t="shared" si="30"/>
        <v/>
      </c>
      <c r="P78" s="6" t="str">
        <f t="shared" si="30"/>
        <v/>
      </c>
      <c r="Q78" s="6" t="str">
        <f t="shared" si="30"/>
        <v/>
      </c>
    </row>
    <row r="79" spans="1:17" ht="15.75" customHeight="1">
      <c r="A79" s="10"/>
      <c r="B79" s="38" t="str">
        <f>B13</f>
        <v>NCI’s Share of Profits</v>
      </c>
      <c r="C79" s="233">
        <f>MIN(BS!C62,MAX(G79:K79))</f>
        <v>1.6372662934403717E-2</v>
      </c>
      <c r="D79" s="26"/>
      <c r="E79" s="234"/>
      <c r="F79" s="26"/>
      <c r="G79" s="6">
        <f t="shared" ref="G79:Q79" si="31">IF(G$4="","",-G13/G$4)</f>
        <v>9.0268068810406658E-3</v>
      </c>
      <c r="H79" s="6">
        <f t="shared" si="31"/>
        <v>1.6372662934403717E-2</v>
      </c>
      <c r="I79" s="6">
        <f t="shared" si="31"/>
        <v>1.0810031709426347E-2</v>
      </c>
      <c r="J79" s="6">
        <f t="shared" si="31"/>
        <v>5.7165037580719147E-3</v>
      </c>
      <c r="K79" s="6">
        <f t="shared" si="31"/>
        <v>5.9531430034566639E-3</v>
      </c>
      <c r="L79" s="6">
        <f t="shared" si="31"/>
        <v>7.2033752958529135E-4</v>
      </c>
      <c r="M79" s="6">
        <f t="shared" si="31"/>
        <v>1.9658724541951719E-4</v>
      </c>
      <c r="N79" s="6" t="str">
        <f t="shared" si="31"/>
        <v/>
      </c>
      <c r="O79" s="6" t="str">
        <f t="shared" si="31"/>
        <v/>
      </c>
      <c r="P79" s="6" t="str">
        <f t="shared" si="31"/>
        <v/>
      </c>
      <c r="Q79" s="6" t="str">
        <f t="shared" si="31"/>
        <v/>
      </c>
    </row>
    <row r="80" spans="1:17" ht="15.75" customHeight="1">
      <c r="A80" s="10"/>
      <c r="B80" s="39" t="s">
        <v>128</v>
      </c>
      <c r="C80" s="75">
        <f>ABS(C14/C$4)</f>
        <v>0.19472625187297654</v>
      </c>
      <c r="D80" s="26"/>
      <c r="E80" s="234"/>
      <c r="F80" s="26"/>
      <c r="G80" s="62">
        <f t="shared" ref="G80:Q80" si="32">IF(G$4="","",ABS(G14/G$4))</f>
        <v>0.23288006462754124</v>
      </c>
      <c r="H80" s="62">
        <f t="shared" si="32"/>
        <v>0.19598773328413724</v>
      </c>
      <c r="I80" s="62">
        <f t="shared" si="32"/>
        <v>0.13853364417132388</v>
      </c>
      <c r="J80" s="62">
        <f t="shared" si="32"/>
        <v>9.3068059204752931E-2</v>
      </c>
      <c r="K80" s="62">
        <f t="shared" si="32"/>
        <v>6.9167239571977068E-2</v>
      </c>
      <c r="L80" s="62">
        <f t="shared" si="32"/>
        <v>0.10867609256319273</v>
      </c>
      <c r="M80" s="62">
        <f t="shared" si="32"/>
        <v>0.13725778288236321</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3.6177572787546845E-2</v>
      </c>
      <c r="J81" s="6">
        <f t="shared" si="33"/>
        <v>4.0932989872613713E-2</v>
      </c>
      <c r="K81" s="6">
        <f t="shared" si="33"/>
        <v>3.2038151325054408E-2</v>
      </c>
      <c r="L81" s="6">
        <f t="shared" si="33"/>
        <v>2.826467258944191E-2</v>
      </c>
      <c r="M81" s="6">
        <f t="shared" si="33"/>
        <v>2.2922072815915705E-2</v>
      </c>
      <c r="N81" s="6" t="str">
        <f t="shared" si="33"/>
        <v/>
      </c>
      <c r="O81" s="6" t="str">
        <f t="shared" si="33"/>
        <v/>
      </c>
      <c r="P81" s="6" t="str">
        <f t="shared" si="33"/>
        <v/>
      </c>
      <c r="Q81" s="6" t="str">
        <f t="shared" si="33"/>
        <v/>
      </c>
    </row>
    <row r="82" spans="1:17" ht="15.75" customHeight="1">
      <c r="A82" s="10"/>
      <c r="B82" s="2" t="s">
        <v>76</v>
      </c>
      <c r="C82" s="85">
        <f>MAX(AVERAGE(G82:J82),C81)</f>
        <v>1.9775049365010421E-2</v>
      </c>
      <c r="D82" s="26"/>
      <c r="E82" s="235" t="s">
        <v>547</v>
      </c>
      <c r="F82" s="26"/>
      <c r="G82" s="6">
        <f t="shared" ref="G82:Q82" si="34">IF(G$4="","",-G16/G$4)</f>
        <v>0</v>
      </c>
      <c r="H82" s="6">
        <f t="shared" si="34"/>
        <v>0</v>
      </c>
      <c r="I82" s="6">
        <f t="shared" si="34"/>
        <v>4.1942923032574228E-2</v>
      </c>
      <c r="J82" s="6">
        <f t="shared" si="34"/>
        <v>3.7157274427467447E-2</v>
      </c>
      <c r="K82" s="6">
        <f t="shared" si="34"/>
        <v>8.8272948406093968E-2</v>
      </c>
      <c r="L82" s="6">
        <f t="shared" si="34"/>
        <v>1.7185195348677667E-2</v>
      </c>
      <c r="M82" s="6">
        <f t="shared" si="34"/>
        <v>1.1244790437996383E-2</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0.19472625187297654</v>
      </c>
      <c r="D85" s="72"/>
      <c r="E85" s="234"/>
      <c r="F85" s="72"/>
      <c r="G85" s="62">
        <f t="shared" ref="G85:Q85" si="35">IF(G$4="","",ABS(G19/G$4))</f>
        <v>0.23288006462754124</v>
      </c>
      <c r="H85" s="62">
        <f t="shared" si="35"/>
        <v>0.19598773328413724</v>
      </c>
      <c r="I85" s="62">
        <f t="shared" si="35"/>
        <v>0.13853364417132388</v>
      </c>
      <c r="J85" s="62">
        <f t="shared" si="35"/>
        <v>9.3068059204752931E-2</v>
      </c>
      <c r="K85" s="62">
        <f t="shared" si="35"/>
        <v>6.9167239571977068E-2</v>
      </c>
      <c r="L85" s="62">
        <f t="shared" si="35"/>
        <v>0.10867609256319273</v>
      </c>
      <c r="M85" s="62">
        <f t="shared" si="35"/>
        <v>0.13725778288236321</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0</v>
      </c>
      <c r="J88" s="109">
        <f>Data!F65</f>
        <v>0</v>
      </c>
      <c r="K88" s="109">
        <f>Data!G65</f>
        <v>0</v>
      </c>
      <c r="L88" s="109">
        <f>Data!H65</f>
        <v>0</v>
      </c>
      <c r="M88" s="109">
        <f>Data!I65</f>
        <v>0</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441.45012937600001</v>
      </c>
      <c r="E89" s="237"/>
      <c r="G89" s="71">
        <f t="shared" ref="G89:Q89" si="36">IF(G$4="","",G88*Common_Shares/scaling_factor)</f>
        <v>441.45012937600001</v>
      </c>
      <c r="H89" s="71">
        <f t="shared" si="36"/>
        <v>239.37788705599999</v>
      </c>
      <c r="I89" s="71">
        <f t="shared" si="36"/>
        <v>0</v>
      </c>
      <c r="J89" s="71">
        <f t="shared" si="36"/>
        <v>0</v>
      </c>
      <c r="K89" s="71">
        <f t="shared" si="36"/>
        <v>0</v>
      </c>
      <c r="L89" s="71">
        <f t="shared" si="36"/>
        <v>0</v>
      </c>
      <c r="M89" s="71">
        <f t="shared" si="36"/>
        <v>0</v>
      </c>
      <c r="N89" s="71" t="str">
        <f t="shared" si="36"/>
        <v/>
      </c>
      <c r="O89" s="71" t="str">
        <f t="shared" si="36"/>
        <v/>
      </c>
      <c r="P89" s="71" t="str">
        <f t="shared" si="36"/>
        <v/>
      </c>
      <c r="Q89" s="71" t="str">
        <f t="shared" si="36"/>
        <v/>
      </c>
    </row>
    <row r="90" spans="1:17" ht="15.75" customHeight="1">
      <c r="A90" s="10"/>
      <c r="B90" s="2" t="s">
        <v>181</v>
      </c>
      <c r="C90" s="22">
        <f>C88/(C19*scaling_factor/Common_Shares)</f>
        <v>6.8902478754484062E-2</v>
      </c>
      <c r="E90" s="237"/>
      <c r="G90" s="152">
        <f t="shared" ref="G90:Q90" si="37">IF(G$4="","",G88/(G19*scaling_factor/Common_Shares))</f>
        <v>5.7613868555373628E-2</v>
      </c>
      <c r="H90" s="152">
        <f t="shared" si="37"/>
        <v>4.3005253035601952E-2</v>
      </c>
      <c r="I90" s="152">
        <f t="shared" si="37"/>
        <v>0</v>
      </c>
      <c r="J90" s="152">
        <f t="shared" si="37"/>
        <v>0</v>
      </c>
      <c r="K90" s="152">
        <f t="shared" si="37"/>
        <v>0</v>
      </c>
      <c r="L90" s="152">
        <f t="shared" si="37"/>
        <v>0</v>
      </c>
      <c r="M90" s="152">
        <f t="shared" si="37"/>
        <v>0</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3.8545059717698146E-3</v>
      </c>
      <c r="E92" s="237"/>
      <c r="G92" s="22">
        <f t="shared" ref="G92:Q92" si="38">IF(G$4="","",(G88*(1-dividend_tax_rate))/Market_Price)</f>
        <v>3.8545059717698146E-3</v>
      </c>
      <c r="H92" s="22">
        <f t="shared" si="38"/>
        <v>2.0901194353963081E-3</v>
      </c>
      <c r="I92" s="22">
        <f t="shared" si="38"/>
        <v>0</v>
      </c>
      <c r="J92" s="22">
        <f t="shared" si="38"/>
        <v>0</v>
      </c>
      <c r="K92" s="22">
        <f t="shared" si="38"/>
        <v>0</v>
      </c>
      <c r="L92" s="22">
        <f t="shared" si="38"/>
        <v>0</v>
      </c>
      <c r="M92" s="22">
        <f t="shared" si="38"/>
        <v>0</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0.15848033519946481</v>
      </c>
      <c r="H95" s="6">
        <f t="shared" si="39"/>
        <v>2.3385701931392333E-2</v>
      </c>
      <c r="I95" s="6">
        <f t="shared" si="39"/>
        <v>-2.071350435795194E-2</v>
      </c>
      <c r="J95" s="6">
        <f t="shared" si="39"/>
        <v>-9.2977851747535478E-2</v>
      </c>
      <c r="K95" s="6">
        <f t="shared" si="39"/>
        <v>7.1725036874421111E-2</v>
      </c>
      <c r="L95" s="6">
        <f t="shared" si="39"/>
        <v>0.14622159314303684</v>
      </c>
      <c r="M95" s="6" t="str">
        <f t="shared" si="39"/>
        <v/>
      </c>
      <c r="N95" s="6" t="str">
        <f t="shared" si="39"/>
        <v/>
      </c>
      <c r="O95" s="6" t="str">
        <f t="shared" si="39"/>
        <v/>
      </c>
      <c r="P95" s="6" t="str">
        <f t="shared" si="39"/>
        <v/>
      </c>
      <c r="Q95" s="6" t="str">
        <f t="shared" si="39"/>
        <v/>
      </c>
    </row>
    <row r="96" spans="1:17" ht="15.75" customHeight="1">
      <c r="A96" s="10"/>
      <c r="B96" s="67" t="s">
        <v>136</v>
      </c>
      <c r="C96" s="74">
        <f>C11/G11-1</f>
        <v>-6.298061092858509E-2</v>
      </c>
      <c r="D96" s="26"/>
      <c r="E96" s="234"/>
      <c r="F96" s="26"/>
      <c r="G96" s="6">
        <f t="shared" ref="G96:Q96" si="40">IF(H5="","",G11/H11-1)</f>
        <v>0.29458990425488585</v>
      </c>
      <c r="H96" s="6">
        <f t="shared" si="40"/>
        <v>0.5361939776369542</v>
      </c>
      <c r="I96" s="6">
        <f t="shared" si="40"/>
        <v>0.49082096654559049</v>
      </c>
      <c r="J96" s="6">
        <f t="shared" si="40"/>
        <v>0.20599923394611364</v>
      </c>
      <c r="K96" s="6">
        <f t="shared" si="40"/>
        <v>-0.27760269188779907</v>
      </c>
      <c r="L96" s="6">
        <f t="shared" si="40"/>
        <v>-5.758115549196019E-2</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102522</v>
      </c>
      <c r="D100" s="25"/>
      <c r="E100" s="238"/>
      <c r="F100" s="25"/>
      <c r="G100" s="270">
        <f t="shared" ref="G100:Q100" si="41">IF(G$4="","",G104+G103)</f>
        <v>102522</v>
      </c>
      <c r="H100" s="270">
        <f t="shared" si="41"/>
        <v>90444</v>
      </c>
      <c r="I100" s="270">
        <f t="shared" si="41"/>
        <v>75536</v>
      </c>
      <c r="J100" s="270">
        <f t="shared" si="41"/>
        <v>67009</v>
      </c>
      <c r="K100" s="270">
        <f t="shared" si="41"/>
        <v>67254</v>
      </c>
      <c r="L100" s="270">
        <f t="shared" si="41"/>
        <v>68273</v>
      </c>
      <c r="M100" s="270">
        <f t="shared" si="41"/>
        <v>52678</v>
      </c>
      <c r="N100" s="270" t="str">
        <f t="shared" si="41"/>
        <v/>
      </c>
      <c r="O100" s="270" t="str">
        <f t="shared" si="41"/>
        <v/>
      </c>
      <c r="P100" s="270" t="str">
        <f t="shared" si="41"/>
        <v/>
      </c>
      <c r="Q100" s="270" t="str">
        <f t="shared" si="41"/>
        <v/>
      </c>
    </row>
    <row r="101" spans="1:17" ht="15.75" customHeight="1">
      <c r="A101" s="10"/>
      <c r="B101" s="90" t="s">
        <v>178</v>
      </c>
      <c r="C101" s="281">
        <f>BS!C4</f>
        <v>3903</v>
      </c>
      <c r="D101" s="86"/>
      <c r="E101" s="239"/>
      <c r="F101" s="86"/>
      <c r="G101" s="282">
        <f>IF(G$4="","",Data!D77)</f>
        <v>3508</v>
      </c>
      <c r="H101" s="282">
        <f>IF(H$4="","",Data!E77)</f>
        <v>2918</v>
      </c>
      <c r="I101" s="282">
        <f>IF(I$4="","",Data!F77)</f>
        <v>2670</v>
      </c>
      <c r="J101" s="282">
        <f>IF(J$4="","",Data!G77)</f>
        <v>3610</v>
      </c>
      <c r="K101" s="282">
        <f>IF(K$4="","",Data!H77)</f>
        <v>2800</v>
      </c>
      <c r="L101" s="282">
        <f>IF(L$4="","",Data!I77)</f>
        <v>0</v>
      </c>
      <c r="M101" s="282">
        <f>IF(M$4="","",Data!J77)</f>
        <v>0</v>
      </c>
      <c r="N101" s="282" t="str">
        <f>IF(N$4="","",Data!K77)</f>
        <v/>
      </c>
      <c r="O101" s="282" t="str">
        <f>IF(O$4="","",Data!L77)</f>
        <v/>
      </c>
      <c r="P101" s="282" t="str">
        <f>IF(P$4="","",Data!M77)</f>
        <v/>
      </c>
      <c r="Q101" s="282" t="str">
        <f>IF(Q$4="","",Data!N77)</f>
        <v/>
      </c>
    </row>
    <row r="102" spans="1:17" ht="15.75" customHeight="1">
      <c r="A102" s="10"/>
      <c r="B102" s="90" t="s">
        <v>179</v>
      </c>
      <c r="C102" s="281">
        <f>BS!C6+BS!C7</f>
        <v>41</v>
      </c>
      <c r="D102" s="86"/>
      <c r="E102" s="239"/>
      <c r="F102" s="86"/>
      <c r="G102" s="282">
        <f>IF(G$4="","",Data!D78)</f>
        <v>2</v>
      </c>
      <c r="H102" s="282">
        <f>IF(H$4="","",Data!E78)</f>
        <v>8</v>
      </c>
      <c r="I102" s="282">
        <f>IF(I$4="","",Data!F78)</f>
        <v>8</v>
      </c>
      <c r="J102" s="282">
        <f>IF(J$4="","",Data!G78)</f>
        <v>24</v>
      </c>
      <c r="K102" s="282">
        <f>IF(K$4="","",Data!H78)</f>
        <v>18</v>
      </c>
      <c r="L102" s="282">
        <f>IF(L$4="","",Data!I78)</f>
        <v>0</v>
      </c>
      <c r="M102" s="282">
        <f>IF(M$4="","",Data!J78)</f>
        <v>0</v>
      </c>
      <c r="N102" s="282" t="str">
        <f>IF(N$4="","",Data!K78)</f>
        <v/>
      </c>
      <c r="O102" s="282" t="str">
        <f>IF(O$4="","",Data!L78)</f>
        <v/>
      </c>
      <c r="P102" s="282" t="str">
        <f>IF(P$4="","",Data!M78)</f>
        <v/>
      </c>
      <c r="Q102" s="282" t="str">
        <f>IF(Q$4="","",Data!N78)</f>
        <v/>
      </c>
    </row>
    <row r="103" spans="1:17" ht="15.75" customHeight="1">
      <c r="A103" s="10"/>
      <c r="B103" s="25" t="s">
        <v>37</v>
      </c>
      <c r="C103" s="280">
        <f>BS!G30</f>
        <v>19472</v>
      </c>
      <c r="D103" s="25"/>
      <c r="E103" s="238"/>
      <c r="F103" s="25"/>
      <c r="G103" s="270">
        <f>Data!C79</f>
        <v>19472</v>
      </c>
      <c r="H103" s="270">
        <f>Data!D79</f>
        <v>20718</v>
      </c>
      <c r="I103" s="270">
        <f>Data!E79</f>
        <v>18334</v>
      </c>
      <c r="J103" s="270">
        <f>Data!F79</f>
        <v>17882</v>
      </c>
      <c r="K103" s="270">
        <f>Data!G79</f>
        <v>16199</v>
      </c>
      <c r="L103" s="270">
        <f>Data!H79</f>
        <v>15542</v>
      </c>
      <c r="M103" s="270">
        <f>Data!I79</f>
        <v>9000</v>
      </c>
      <c r="N103" s="270" t="str">
        <f>Data!J79</f>
        <v/>
      </c>
      <c r="O103" s="270" t="str">
        <f>Data!K79</f>
        <v/>
      </c>
      <c r="P103" s="270" t="str">
        <f>Data!L79</f>
        <v/>
      </c>
      <c r="Q103" s="270" t="str">
        <f>Data!M79</f>
        <v/>
      </c>
    </row>
    <row r="104" spans="1:17" ht="15.75" customHeight="1">
      <c r="A104" s="10"/>
      <c r="B104" s="25" t="s">
        <v>27</v>
      </c>
      <c r="C104" s="280">
        <f>BS!G27</f>
        <v>83050</v>
      </c>
      <c r="D104" s="25"/>
      <c r="E104" s="238"/>
      <c r="F104" s="25"/>
      <c r="G104" s="270">
        <f>Data!C80</f>
        <v>83050</v>
      </c>
      <c r="H104" s="270">
        <f>Data!D80</f>
        <v>69726</v>
      </c>
      <c r="I104" s="270">
        <f>Data!E80</f>
        <v>57202</v>
      </c>
      <c r="J104" s="270">
        <f>Data!F80</f>
        <v>49127</v>
      </c>
      <c r="K104" s="270">
        <f>Data!G80</f>
        <v>51055</v>
      </c>
      <c r="L104" s="270">
        <f>Data!H80</f>
        <v>52731</v>
      </c>
      <c r="M104" s="270">
        <f>Data!I80</f>
        <v>43678</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0.11862500759832229</v>
      </c>
      <c r="D107" s="25"/>
      <c r="E107" s="238"/>
      <c r="F107" s="25"/>
      <c r="G107" s="91">
        <f t="shared" ref="G107:Q107" si="42">IF(G$4="","",G101/G$4)</f>
        <v>0.10661965837942983</v>
      </c>
      <c r="H107" s="91">
        <f t="shared" si="42"/>
        <v>0.10274286116686032</v>
      </c>
      <c r="I107" s="91">
        <f t="shared" si="42"/>
        <v>9.6209282213894493E-2</v>
      </c>
      <c r="J107" s="91">
        <f t="shared" si="42"/>
        <v>0.12738628744839267</v>
      </c>
      <c r="K107" s="91">
        <f t="shared" si="42"/>
        <v>8.9617206503648697E-2</v>
      </c>
      <c r="L107" s="91">
        <f t="shared" si="42"/>
        <v>0</v>
      </c>
      <c r="M107" s="91">
        <f t="shared" si="42"/>
        <v>0</v>
      </c>
      <c r="N107" s="91" t="str">
        <f t="shared" si="42"/>
        <v/>
      </c>
      <c r="O107" s="91" t="str">
        <f t="shared" si="42"/>
        <v/>
      </c>
      <c r="P107" s="91" t="str">
        <f t="shared" si="42"/>
        <v/>
      </c>
      <c r="Q107" s="91" t="str">
        <f t="shared" si="42"/>
        <v/>
      </c>
    </row>
    <row r="108" spans="1:17" ht="15.75" customHeight="1">
      <c r="A108" s="10"/>
      <c r="B108" s="25" t="s">
        <v>186</v>
      </c>
      <c r="C108" s="91">
        <f>C102/C$4</f>
        <v>1.2461248556318765E-3</v>
      </c>
      <c r="D108" s="25"/>
      <c r="E108" s="238"/>
      <c r="F108" s="25"/>
      <c r="G108" s="91">
        <f t="shared" ref="G108:Q108" si="43">IF(G$4="","",G102/G$4)</f>
        <v>6.0786578323506167E-5</v>
      </c>
      <c r="H108" s="91">
        <f t="shared" si="43"/>
        <v>2.8168022252737579E-4</v>
      </c>
      <c r="I108" s="91">
        <f t="shared" si="43"/>
        <v>2.8826751225136929E-4</v>
      </c>
      <c r="J108" s="91">
        <f t="shared" si="43"/>
        <v>8.4688944564028366E-4</v>
      </c>
      <c r="K108" s="91">
        <f t="shared" si="43"/>
        <v>5.7611061323774163E-4</v>
      </c>
      <c r="L108" s="91">
        <f t="shared" si="43"/>
        <v>0</v>
      </c>
      <c r="M108" s="91">
        <f t="shared" si="43"/>
        <v>0</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0.90117149652074346</v>
      </c>
      <c r="H112" s="251">
        <f>IF(H$4="","",Data!D$22/Data!D15)</f>
        <v>1.445350963567309</v>
      </c>
      <c r="I112" s="251">
        <f>IF(I$4="","",Data!E$22/Data!E15)</f>
        <v>1.4055555555555554</v>
      </c>
      <c r="J112" s="251">
        <f>IF(J$4="","",Data!F$22/Data!F15)</f>
        <v>1.9486845532690804</v>
      </c>
      <c r="K112" s="251">
        <f>IF(K$4="","",Data!G$22/Data!G15)</f>
        <v>1.6295489891135304</v>
      </c>
      <c r="L112" s="251">
        <f>IF(L$4="","",Data!H$22/Data!H15)</f>
        <v>1.1697796934865901</v>
      </c>
      <c r="M112" s="251">
        <f>IF(M$4="","",Data!I$22/Data!I15)</f>
        <v>1.55896404324868</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1.3352527272406181</v>
      </c>
      <c r="H113" s="251">
        <f>IF(H$4="","",Data!D$22/H19)</f>
        <v>1.8459473444906673</v>
      </c>
      <c r="I113" s="251">
        <f>IF(I$4="","",Data!E$22/I19)</f>
        <v>1.9083980917053105</v>
      </c>
      <c r="J113" s="251">
        <f>IF(J$4="","",Data!F$22/J19)</f>
        <v>2.8364457137475365</v>
      </c>
      <c r="K113" s="251">
        <f>IF(K$4="","",Data!G$22/K19)</f>
        <v>2.4242718899150328</v>
      </c>
      <c r="L113" s="251">
        <f>IF(L$4="","",Data!H$22/L19)</f>
        <v>1.5418683736623411</v>
      </c>
      <c r="M113" s="251">
        <f>IF(M$4="","",Data!I$22/M19)</f>
        <v>1.7759880656758302</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0.28146521974317368</v>
      </c>
      <c r="E116" s="22">
        <f>E119/E117/E118</f>
        <v>0.28146521974317368</v>
      </c>
      <c r="G116" s="22">
        <f t="shared" ref="G116:Q116" si="44">IF(G4="","",G77)</f>
        <v>0.30038355985579485</v>
      </c>
      <c r="H116" s="22">
        <f t="shared" si="44"/>
        <v>0.26880207080746388</v>
      </c>
      <c r="I116" s="22">
        <f t="shared" si="44"/>
        <v>0.1790712630816727</v>
      </c>
      <c r="J116" s="22">
        <f t="shared" si="44"/>
        <v>0.11762785312832116</v>
      </c>
      <c r="K116" s="22">
        <f t="shared" si="44"/>
        <v>8.8466945115441412E-2</v>
      </c>
      <c r="L116" s="22">
        <f t="shared" si="44"/>
        <v>0.13124666849019853</v>
      </c>
      <c r="M116" s="22">
        <f t="shared" si="44"/>
        <v>0.15962941141110426</v>
      </c>
      <c r="N116" s="22" t="str">
        <f t="shared" si="44"/>
        <v/>
      </c>
      <c r="O116" s="22" t="str">
        <f t="shared" si="44"/>
        <v/>
      </c>
      <c r="P116" s="22" t="str">
        <f t="shared" si="44"/>
        <v/>
      </c>
      <c r="Q116" s="22" t="str">
        <f t="shared" si="44"/>
        <v/>
      </c>
    </row>
    <row r="117" spans="1:17" ht="15.75" customHeight="1">
      <c r="B117" s="7" t="s">
        <v>79</v>
      </c>
      <c r="C117" s="452">
        <f>G117</f>
        <v>0.32092624022161098</v>
      </c>
      <c r="E117" s="452">
        <f>C117</f>
        <v>0.32092624022161098</v>
      </c>
      <c r="G117" s="40">
        <f t="shared" ref="G117:Q117" si="45">IF(G4="","",G4/G100)</f>
        <v>0.32092624022161098</v>
      </c>
      <c r="H117" s="40">
        <f t="shared" si="45"/>
        <v>0.31401751359957542</v>
      </c>
      <c r="I117" s="40">
        <f t="shared" si="45"/>
        <v>0.36740097436983687</v>
      </c>
      <c r="J117" s="40">
        <f t="shared" si="45"/>
        <v>0.42291333999910458</v>
      </c>
      <c r="K117" s="40">
        <f t="shared" si="45"/>
        <v>0.46456716329140274</v>
      </c>
      <c r="L117" s="40">
        <f t="shared" si="45"/>
        <v>0.42700628359673665</v>
      </c>
      <c r="M117" s="40">
        <f t="shared" si="45"/>
        <v>0.48282015262538441</v>
      </c>
      <c r="N117" s="40" t="str">
        <f t="shared" si="45"/>
        <v/>
      </c>
      <c r="O117" s="40" t="str">
        <f t="shared" si="45"/>
        <v/>
      </c>
      <c r="P117" s="40" t="str">
        <f t="shared" si="45"/>
        <v/>
      </c>
      <c r="Q117" s="40" t="str">
        <f t="shared" si="45"/>
        <v/>
      </c>
    </row>
    <row r="118" spans="1:17" ht="15.75" customHeight="1">
      <c r="B118" s="7" t="s">
        <v>87</v>
      </c>
      <c r="C118" s="15">
        <f>C100/C104</f>
        <v>1.2344611679711017</v>
      </c>
      <c r="D118" s="11"/>
      <c r="E118" s="15">
        <f>C100/C104</f>
        <v>1.2344611679711017</v>
      </c>
      <c r="F118" s="11"/>
      <c r="G118" s="15">
        <f t="shared" ref="G118:Q118" si="46">IF(G$4="","",G100/G104)</f>
        <v>1.2344611679711017</v>
      </c>
      <c r="H118" s="15">
        <f t="shared" si="46"/>
        <v>1.2971344978917476</v>
      </c>
      <c r="I118" s="15">
        <f t="shared" si="46"/>
        <v>1.3205132687668264</v>
      </c>
      <c r="J118" s="15">
        <f t="shared" si="46"/>
        <v>1.3639953589675737</v>
      </c>
      <c r="K118" s="15">
        <f t="shared" si="46"/>
        <v>1.317285280579767</v>
      </c>
      <c r="L118" s="15">
        <f t="shared" si="46"/>
        <v>1.2947412338093343</v>
      </c>
      <c r="M118" s="15">
        <f t="shared" si="46"/>
        <v>1.2060533907230184</v>
      </c>
      <c r="N118" s="15" t="str">
        <f t="shared" si="46"/>
        <v/>
      </c>
      <c r="O118" s="15" t="str">
        <f t="shared" si="46"/>
        <v/>
      </c>
      <c r="P118" s="15" t="str">
        <f t="shared" si="46"/>
        <v/>
      </c>
      <c r="Q118" s="15" t="str">
        <f t="shared" si="46"/>
        <v/>
      </c>
    </row>
    <row r="119" spans="1:17" ht="15.75" customHeight="1">
      <c r="A119" s="10"/>
      <c r="B119" s="67" t="s">
        <v>190</v>
      </c>
      <c r="C119" s="62">
        <f>C11/C104</f>
        <v>0.11150835231775919</v>
      </c>
      <c r="D119" s="100"/>
      <c r="E119" s="453">
        <f>C119</f>
        <v>0.11150835231775919</v>
      </c>
      <c r="F119" s="100"/>
      <c r="G119" s="99">
        <f t="shared" ref="G119:Q119" si="47">IF(G$4="","",G11/G104)</f>
        <v>0.11900324968543483</v>
      </c>
      <c r="H119" s="99">
        <f t="shared" si="47"/>
        <v>0.10948925240230017</v>
      </c>
      <c r="I119" s="99">
        <f t="shared" si="47"/>
        <v>8.6877831073084513E-2</v>
      </c>
      <c r="J119" s="99">
        <f t="shared" si="47"/>
        <v>6.7853842689427263E-2</v>
      </c>
      <c r="K119" s="99">
        <f t="shared" si="47"/>
        <v>5.4138894000330062E-2</v>
      </c>
      <c r="L119" s="99">
        <f t="shared" si="47"/>
        <v>7.2561379956662259E-2</v>
      </c>
      <c r="M119" s="99">
        <f t="shared" si="47"/>
        <v>9.2953304863547456E-2</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2.3561960459867297</v>
      </c>
      <c r="D123" s="26"/>
      <c r="E123" s="234"/>
      <c r="F123" s="26"/>
      <c r="G123" s="159">
        <f t="shared" ref="G123:Q123" si="48">IF(G$4="","",G14*$C$3/Common_Shares*Exchange_Rate)</f>
        <v>2.8178588258478934</v>
      </c>
      <c r="H123" s="159">
        <f t="shared" si="48"/>
        <v>2.047043832694607</v>
      </c>
      <c r="I123" s="159">
        <f t="shared" si="48"/>
        <v>1.413885256168679</v>
      </c>
      <c r="J123" s="159">
        <f t="shared" si="48"/>
        <v>0.96995100848320759</v>
      </c>
      <c r="K123" s="159">
        <f t="shared" si="48"/>
        <v>0.7947521161538984</v>
      </c>
      <c r="L123" s="159">
        <f t="shared" si="48"/>
        <v>1.1651501298690856</v>
      </c>
      <c r="M123" s="159">
        <f t="shared" si="48"/>
        <v>1.2838558569831879</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6.3957547393776598E-2</v>
      </c>
      <c r="D124" s="26"/>
      <c r="E124" s="234"/>
      <c r="F124" s="26"/>
      <c r="G124" s="74">
        <f t="shared" ref="G124" si="49">IF(G$4="","",G123/Market_Price)</f>
        <v>7.6489110365035098E-2</v>
      </c>
      <c r="H124" s="74">
        <f t="shared" ref="H124" si="50">IF(H$4="","",H123/Market_Price)</f>
        <v>5.5565793504196707E-2</v>
      </c>
      <c r="I124" s="74">
        <f t="shared" ref="I124" si="51">IF(I$4="","",I123/Market_Price)</f>
        <v>3.8379078614784984E-2</v>
      </c>
      <c r="J124" s="74">
        <f t="shared" ref="J124" si="52">IF(J$4="","",J123/Market_Price)</f>
        <v>2.632874615861041E-2</v>
      </c>
      <c r="K124" s="74">
        <f t="shared" ref="K124" si="53">IF(K$4="","",K123/Market_Price)</f>
        <v>2.1573075899942951E-2</v>
      </c>
      <c r="L124" s="74">
        <f t="shared" ref="L124" si="54">IF(L$4="","",L123/Market_Price)</f>
        <v>3.1627310799920885E-2</v>
      </c>
      <c r="M124" s="74">
        <f t="shared" ref="M124" si="55">IF(M$4="","",M123/Market_Price)</f>
        <v>3.484950751854473E-2</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9.9128312317766851E-2</v>
      </c>
      <c r="H125" s="22">
        <f>IF(H$4="","",(Data!D47*$C$3)/(Market_Price*Common_Shares))</f>
        <v>6.2071978531401797E-2</v>
      </c>
      <c r="I125" s="22">
        <f>IF(I$4="","",(Data!E47*$C$3)/(Market_Price*Common_Shares))</f>
        <v>4.5578242781532899E-2</v>
      </c>
      <c r="J125" s="22">
        <f>IF(J$4="","",(Data!F47*$C$3)/(Market_Price*Common_Shares))</f>
        <v>3.3520090811935785E-2</v>
      </c>
      <c r="K125" s="22">
        <f>IF(K$4="","",(Data!G47*$C$3)/(Market_Price*Common_Shares))</f>
        <v>2.8071657192074381E-2</v>
      </c>
      <c r="L125" s="22">
        <f>IF(L$4="","",(Data!H47*$C$3)/(Market_Price*Common_Shares))</f>
        <v>3.6462594225226318E-2</v>
      </c>
      <c r="M125" s="22">
        <f>IF(M$4="","",(Data!I47*$C$3)/(Market_Price*Common_Shares))</f>
        <v>3.4725032862482054E-2</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6406.883139124674</v>
      </c>
      <c r="D4" t="str">
        <f>Reporting_currency</f>
        <v>CNY</v>
      </c>
      <c r="E4" s="135" t="s">
        <v>430</v>
      </c>
      <c r="F4" s="275">
        <f>-BS!G31</f>
        <v>-316</v>
      </c>
      <c r="G4" t="str">
        <f>Reporting_currency</f>
        <v>CNY</v>
      </c>
      <c r="H4" s="308" t="s">
        <v>393</v>
      </c>
      <c r="I4" s="305">
        <f>Normalized_FCF!C4</f>
        <v>32902</v>
      </c>
      <c r="J4" s="305"/>
    </row>
    <row r="5" spans="2:15">
      <c r="B5" s="187" t="s">
        <v>104</v>
      </c>
      <c r="C5" s="188">
        <f>Equity_Cost</f>
        <v>7.2499999999999995E-2</v>
      </c>
      <c r="E5" s="135" t="s">
        <v>431</v>
      </c>
      <c r="F5" s="275">
        <f>BS!D66</f>
        <v>25989.935070518506</v>
      </c>
      <c r="G5" t="str">
        <f>Reporting_currency</f>
        <v>CNY</v>
      </c>
      <c r="H5" s="308" t="s">
        <v>394</v>
      </c>
      <c r="I5" s="305">
        <f>Normalized_FCF!C7</f>
        <v>-4054</v>
      </c>
      <c r="J5" s="305"/>
    </row>
    <row r="6" spans="2:15" ht="13.25" customHeight="1">
      <c r="B6" s="136" t="s">
        <v>193</v>
      </c>
      <c r="C6" s="283">
        <f>(C4*(1+Terminal_Growth))/(Equity_Cost-Terminal_Growth)</f>
        <v>124476.58670299369</v>
      </c>
      <c r="D6" t="str">
        <f>Reporting_currency</f>
        <v>CNY</v>
      </c>
      <c r="E6" s="187" t="s">
        <v>432</v>
      </c>
      <c r="F6" s="284">
        <f>BS!H42</f>
        <v>16734</v>
      </c>
      <c r="G6" t="str">
        <f>Reporting_currency</f>
        <v>CNY</v>
      </c>
      <c r="H6" s="308" t="s">
        <v>415</v>
      </c>
      <c r="I6" s="305">
        <f>I7+I8</f>
        <v>53.448389576888964</v>
      </c>
      <c r="J6" s="305"/>
      <c r="N6" s="135"/>
    </row>
    <row r="7" spans="2:15" ht="12.75" customHeight="1">
      <c r="B7" s="318" t="s">
        <v>429</v>
      </c>
      <c r="C7" s="275">
        <f>F7</f>
        <v>42407.935070518506</v>
      </c>
      <c r="E7" s="140" t="s">
        <v>423</v>
      </c>
      <c r="F7" s="283">
        <f>SUM(F4:F6)</f>
        <v>42407.935070518506</v>
      </c>
      <c r="G7" t="str">
        <f>Reporting_currency</f>
        <v>CNY</v>
      </c>
      <c r="H7" s="312" t="s">
        <v>416</v>
      </c>
      <c r="I7" s="313">
        <f>Normalized_FCF!C9</f>
        <v>0</v>
      </c>
      <c r="J7" s="313"/>
      <c r="N7" s="304"/>
      <c r="O7" s="304"/>
    </row>
    <row r="8" spans="2:15" ht="13.15">
      <c r="B8" s="136" t="s">
        <v>425</v>
      </c>
      <c r="C8" s="283">
        <f>C6+C7</f>
        <v>166884.52177351218</v>
      </c>
      <c r="D8" t="str">
        <f>Reporting_currency</f>
        <v>CNY</v>
      </c>
      <c r="E8" s="140" t="s">
        <v>463</v>
      </c>
      <c r="F8" s="108">
        <f>FV_adjustments*scaling_factor/Common_Shares*Exchange_Rate</f>
        <v>15.595946853069842</v>
      </c>
      <c r="G8" s="294" t="str">
        <f>Market_currency</f>
        <v>HKD</v>
      </c>
      <c r="H8" s="314" t="str">
        <f>Normalized_FCF!B10</f>
        <v>Net Interest Income</v>
      </c>
      <c r="I8" s="313">
        <f>Normalized_FCF!C10</f>
        <v>53.448389576888964</v>
      </c>
      <c r="J8" s="313"/>
      <c r="N8" s="304"/>
      <c r="O8" s="304"/>
    </row>
    <row r="9" spans="2:15" ht="13.15" thickBot="1">
      <c r="B9" s="189" t="str">
        <f>"*"&amp;Thesis!E15</f>
        <v>*CNY/HKD</v>
      </c>
      <c r="C9" s="190">
        <f>Exchange_Rate</f>
        <v>1.143294</v>
      </c>
      <c r="D9" t="str">
        <f>Thesis!E15</f>
        <v>CNY/HKD</v>
      </c>
      <c r="F9" s="322"/>
      <c r="H9" s="308" t="str">
        <f>Normalized_FCF!B79</f>
        <v>NCI’s Share of Profits</v>
      </c>
      <c r="I9" s="144">
        <f>Normalized_FCF!C79</f>
        <v>1.6372662934403717E-2</v>
      </c>
      <c r="J9" s="306"/>
      <c r="N9" s="304"/>
      <c r="O9" s="304"/>
    </row>
    <row r="10" spans="2:15" ht="13.5" thickTop="1">
      <c r="B10" s="107" t="s">
        <v>426</v>
      </c>
      <c r="C10" s="283">
        <f>C8*Exchange_Rate</f>
        <v>190798.07243652584</v>
      </c>
      <c r="D10" t="str">
        <f>Market_currency</f>
        <v>HKD</v>
      </c>
      <c r="H10" s="308" t="s">
        <v>396</v>
      </c>
      <c r="I10" s="306">
        <f>Normalized_FCF!C41</f>
        <v>0.25</v>
      </c>
      <c r="N10" s="304"/>
      <c r="O10" s="304"/>
    </row>
    <row r="11" spans="2:15" ht="13.15">
      <c r="B11" s="136" t="s">
        <v>424</v>
      </c>
      <c r="C11" s="108">
        <f>(C10*scaling_factor)/Common_Shares</f>
        <v>61.373470032240597</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10</v>
      </c>
      <c r="E15" s="308" t="str">
        <f>IF(F14="II","Change year","Terminal Year")</f>
        <v>Terminal Year</v>
      </c>
      <c r="F15" s="310">
        <f>IF(F14="II",_xlfn.CEILING.MATH(C15/2),C15+1)</f>
        <v>11</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548</v>
      </c>
      <c r="C17" s="306">
        <f>Normalized_FCF!C77</f>
        <v>0.28146521974317368</v>
      </c>
      <c r="E17" s="308" t="s">
        <v>549</v>
      </c>
      <c r="F17" s="311">
        <f>Scenarios!C40</f>
        <v>0.28146521974317368</v>
      </c>
      <c r="H17" s="106" t="s">
        <v>411</v>
      </c>
    </row>
    <row r="18" spans="1:21" ht="13.25" customHeight="1">
      <c r="B18" s="308" t="s">
        <v>422</v>
      </c>
      <c r="C18" s="306">
        <f>Normalized_FCF!C81-Normalized_FCF!C82</f>
        <v>-1.9775049365010421E-2</v>
      </c>
      <c r="E18" s="308" t="s">
        <v>422</v>
      </c>
      <c r="F18" s="144">
        <f>IF(F14="II",C18/2,C18)</f>
        <v>-1.9775049365010421E-2</v>
      </c>
      <c r="H18" s="140" t="s">
        <v>96</v>
      </c>
      <c r="I18" s="129">
        <f>(L52+FV_adjustments)*Exchange_Rate/Common_Shares*scaling_factor</f>
        <v>50.864903319201957</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33686.907385995582</v>
      </c>
      <c r="D21" s="299">
        <f t="shared" ref="D21:D50" si="1">IF(A21="",0,IF(A21="I",$C$16,$F$16))</f>
        <v>2.38559171477595E-2</v>
      </c>
      <c r="E21" s="299">
        <f>$C$17</f>
        <v>0.28146521974317368</v>
      </c>
      <c r="F21" s="277">
        <f>C21*E21</f>
        <v>9481.6927898671875</v>
      </c>
      <c r="G21" s="299">
        <f t="shared" ref="G21:G50" si="2">IF(A21="",0%,IF(A21="I",$C$18,$F$18))</f>
        <v>-1.9775049365010421E-2</v>
      </c>
      <c r="H21" s="277">
        <f>(F21*(1-$I$10)+C21*(G21-$I$9))</f>
        <v>5893.5649559544136</v>
      </c>
      <c r="I21" s="299">
        <f>H21/C4-1</f>
        <v>-8.0119798039642642E-2</v>
      </c>
      <c r="J21" s="299">
        <f>H21/C21</f>
        <v>0.17495120250796614</v>
      </c>
      <c r="K21" s="119">
        <f t="shared" ref="K21:K50" si="3">IF($C$15&lt;B21,0,1/(1+Equity_Cost)^B21)</f>
        <v>0.93240093240093236</v>
      </c>
      <c r="L21" s="277">
        <f t="shared" ref="L21:L51" si="4">H21*K21</f>
        <v>5495.1654600973552</v>
      </c>
    </row>
    <row r="22" spans="1:21">
      <c r="A22" s="302" t="str">
        <f t="shared" si="0"/>
        <v>I</v>
      </c>
      <c r="B22" s="117">
        <v>2</v>
      </c>
      <c r="C22" s="277">
        <f t="shared" ref="C22:C50" si="5">IF(A22="",0,C21*(1+D22))</f>
        <v>34490.539457560139</v>
      </c>
      <c r="D22" s="299">
        <f t="shared" si="1"/>
        <v>2.38559171477595E-2</v>
      </c>
      <c r="E22" s="299">
        <f t="shared" ref="E22:E50" si="6">IF($C$15&lt;B22,0,IF(B22&gt;=$F$15,$F$17,$C$17))</f>
        <v>0.28146521974317368</v>
      </c>
      <c r="F22" s="277">
        <f t="shared" ref="F22:F50" si="7">IF(A22="", 0,C22*E22)</f>
        <v>9707.8872674827671</v>
      </c>
      <c r="G22" s="299">
        <f t="shared" si="2"/>
        <v>-1.9775049365010421E-2</v>
      </c>
      <c r="H22" s="277">
        <f t="shared" ref="H22:H50" si="8">IF(A22="", 0,F22*(1-$I$10)+C22*(G22-$I$9))</f>
        <v>6034.1613532486008</v>
      </c>
      <c r="I22" s="299">
        <f t="shared" ref="I22:I50" si="9">IF(A22="", 0,H22/H21-1)</f>
        <v>2.3855917147759476E-2</v>
      </c>
      <c r="J22" s="299">
        <f>IF(A22="", 0,H22/C22)</f>
        <v>0.17495120250796614</v>
      </c>
      <c r="K22" s="119">
        <f t="shared" si="3"/>
        <v>0.86937149874212816</v>
      </c>
      <c r="L22" s="277">
        <f t="shared" si="4"/>
        <v>5245.9278993255639</v>
      </c>
    </row>
    <row r="23" spans="1:21">
      <c r="A23" s="302" t="str">
        <f t="shared" si="0"/>
        <v>I</v>
      </c>
      <c r="B23" s="117">
        <v>3</v>
      </c>
      <c r="C23" s="277">
        <f t="shared" si="5"/>
        <v>35313.342909241219</v>
      </c>
      <c r="D23" s="299">
        <f t="shared" si="1"/>
        <v>2.38559171477595E-2</v>
      </c>
      <c r="E23" s="299">
        <f t="shared" si="6"/>
        <v>0.28146521974317368</v>
      </c>
      <c r="F23" s="277">
        <f t="shared" si="7"/>
        <v>9939.4778218156243</v>
      </c>
      <c r="G23" s="299">
        <f t="shared" si="2"/>
        <v>-1.9775049365010421E-2</v>
      </c>
      <c r="H23" s="277">
        <f t="shared" si="8"/>
        <v>6178.1118065479104</v>
      </c>
      <c r="I23" s="299">
        <f t="shared" si="9"/>
        <v>2.3855917147759254E-2</v>
      </c>
      <c r="J23" s="299">
        <f t="shared" ref="J23:J50" si="10">IF(A23="", 0,H23/C23)</f>
        <v>0.17495120250796614</v>
      </c>
      <c r="K23" s="119">
        <f t="shared" si="3"/>
        <v>0.81060279602995633</v>
      </c>
      <c r="L23" s="277">
        <f t="shared" si="4"/>
        <v>5007.9947045734207</v>
      </c>
      <c r="N23" s="275"/>
      <c r="O23" s="275"/>
      <c r="P23" s="275"/>
      <c r="Q23" s="275"/>
      <c r="R23" s="275"/>
      <c r="S23" s="275"/>
      <c r="T23" s="275"/>
      <c r="U23" s="275"/>
    </row>
    <row r="24" spans="1:21">
      <c r="A24" s="302" t="str">
        <f t="shared" si="0"/>
        <v>I</v>
      </c>
      <c r="B24" s="117">
        <v>4</v>
      </c>
      <c r="C24" s="277">
        <f t="shared" si="5"/>
        <v>36155.775091894495</v>
      </c>
      <c r="D24" s="299">
        <f t="shared" si="1"/>
        <v>2.38559171477595E-2</v>
      </c>
      <c r="E24" s="299">
        <f t="shared" si="6"/>
        <v>0.28146521974317368</v>
      </c>
      <c r="F24" s="277">
        <f t="shared" si="7"/>
        <v>10176.593181224849</v>
      </c>
      <c r="G24" s="299">
        <f t="shared" si="2"/>
        <v>-1.9775049365010421E-2</v>
      </c>
      <c r="H24" s="277">
        <f t="shared" si="8"/>
        <v>6325.4963299345109</v>
      </c>
      <c r="I24" s="299">
        <f t="shared" si="9"/>
        <v>2.3855917147759254E-2</v>
      </c>
      <c r="J24" s="299">
        <f t="shared" si="10"/>
        <v>0.17495120250796611</v>
      </c>
      <c r="K24" s="119">
        <f t="shared" si="3"/>
        <v>0.75580680282513402</v>
      </c>
      <c r="L24" s="277">
        <f t="shared" si="4"/>
        <v>4780.8531574099216</v>
      </c>
      <c r="N24" s="275"/>
      <c r="O24" s="275"/>
      <c r="P24" s="275"/>
      <c r="Q24" s="275"/>
      <c r="R24" s="275"/>
      <c r="S24" s="275"/>
      <c r="T24" s="275"/>
      <c r="U24" s="275"/>
    </row>
    <row r="25" spans="1:21">
      <c r="A25" s="302" t="str">
        <f t="shared" si="0"/>
        <v>I</v>
      </c>
      <c r="B25" s="117">
        <v>5</v>
      </c>
      <c r="C25" s="277">
        <f t="shared" si="5"/>
        <v>37018.304266899759</v>
      </c>
      <c r="D25" s="299">
        <f t="shared" si="1"/>
        <v>2.38559171477595E-2</v>
      </c>
      <c r="E25" s="299">
        <f t="shared" si="6"/>
        <v>0.28146521974317368</v>
      </c>
      <c r="F25" s="277">
        <f t="shared" si="7"/>
        <v>10419.365145002605</v>
      </c>
      <c r="G25" s="299">
        <f t="shared" si="2"/>
        <v>-1.9775049365010421E-2</v>
      </c>
      <c r="H25" s="277">
        <f t="shared" si="8"/>
        <v>6476.3968462998864</v>
      </c>
      <c r="I25" s="299">
        <f t="shared" si="9"/>
        <v>2.3855917147759698E-2</v>
      </c>
      <c r="J25" s="299">
        <f t="shared" si="10"/>
        <v>0.17495120250796614</v>
      </c>
      <c r="K25" s="119">
        <f t="shared" si="3"/>
        <v>0.70471496766912267</v>
      </c>
      <c r="L25" s="277">
        <f t="shared" si="4"/>
        <v>4564.0137941526327</v>
      </c>
      <c r="N25" s="275"/>
      <c r="O25" s="275"/>
      <c r="P25" s="275"/>
      <c r="Q25" s="275"/>
      <c r="R25" s="275"/>
      <c r="S25" s="275"/>
      <c r="T25" s="275"/>
      <c r="U25" s="275"/>
    </row>
    <row r="26" spans="1:21">
      <c r="A26" s="302" t="str">
        <f t="shared" si="0"/>
        <v>I</v>
      </c>
      <c r="B26" s="117">
        <v>6</v>
      </c>
      <c r="C26" s="277">
        <f t="shared" si="5"/>
        <v>37901.409866441471</v>
      </c>
      <c r="D26" s="299">
        <f t="shared" si="1"/>
        <v>2.38559171477595E-2</v>
      </c>
      <c r="E26" s="299">
        <f t="shared" si="6"/>
        <v>0.28146521974317368</v>
      </c>
      <c r="F26" s="277">
        <f t="shared" si="7"/>
        <v>10667.92865663404</v>
      </c>
      <c r="G26" s="299">
        <f t="shared" si="2"/>
        <v>-1.9775049365010421E-2</v>
      </c>
      <c r="H26" s="277">
        <f t="shared" si="8"/>
        <v>6630.8972328812279</v>
      </c>
      <c r="I26" s="299">
        <f t="shared" si="9"/>
        <v>2.3855917147759476E-2</v>
      </c>
      <c r="J26" s="299">
        <f t="shared" si="10"/>
        <v>0.17495120250796614</v>
      </c>
      <c r="K26" s="119">
        <f t="shared" si="3"/>
        <v>0.65707689293158289</v>
      </c>
      <c r="L26" s="277">
        <f t="shared" si="4"/>
        <v>4357.0093511302275</v>
      </c>
    </row>
    <row r="27" spans="1:21">
      <c r="A27" s="302" t="str">
        <f t="shared" si="0"/>
        <v>I</v>
      </c>
      <c r="B27" s="117">
        <v>7</v>
      </c>
      <c r="C27" s="277">
        <f t="shared" si="5"/>
        <v>38805.582759998571</v>
      </c>
      <c r="D27" s="299">
        <f t="shared" si="1"/>
        <v>2.38559171477595E-2</v>
      </c>
      <c r="E27" s="299">
        <f t="shared" si="6"/>
        <v>0.28146521974317368</v>
      </c>
      <c r="F27" s="277">
        <f t="shared" si="7"/>
        <v>10922.421878804909</v>
      </c>
      <c r="G27" s="299">
        <f t="shared" si="2"/>
        <v>-1.9775049365010421E-2</v>
      </c>
      <c r="H27" s="277">
        <f t="shared" si="8"/>
        <v>6789.0833678841482</v>
      </c>
      <c r="I27" s="299">
        <f t="shared" si="9"/>
        <v>2.3855917147759254E-2</v>
      </c>
      <c r="J27" s="299">
        <f t="shared" si="10"/>
        <v>0.17495120250796611</v>
      </c>
      <c r="K27" s="119">
        <f t="shared" si="3"/>
        <v>0.61265910762851561</v>
      </c>
      <c r="L27" s="277">
        <f t="shared" si="4"/>
        <v>4159.3937577834995</v>
      </c>
    </row>
    <row r="28" spans="1:21">
      <c r="A28" s="302" t="str">
        <f t="shared" si="0"/>
        <v>I</v>
      </c>
      <c r="B28" s="117">
        <v>8</v>
      </c>
      <c r="C28" s="277">
        <f t="shared" si="5"/>
        <v>39731.32552719162</v>
      </c>
      <c r="D28" s="299">
        <f t="shared" si="1"/>
        <v>2.38559171477595E-2</v>
      </c>
      <c r="E28" s="299">
        <f t="shared" si="6"/>
        <v>0.28146521974317368</v>
      </c>
      <c r="F28" s="277">
        <f t="shared" si="7"/>
        <v>11182.986270198555</v>
      </c>
      <c r="G28" s="299">
        <f t="shared" si="2"/>
        <v>-1.9775049365010421E-2</v>
      </c>
      <c r="H28" s="277">
        <f t="shared" si="8"/>
        <v>6951.0431782176247</v>
      </c>
      <c r="I28" s="299">
        <f t="shared" si="9"/>
        <v>2.3855917147759476E-2</v>
      </c>
      <c r="J28" s="299">
        <f t="shared" si="10"/>
        <v>0.17495120250796611</v>
      </c>
      <c r="K28" s="119">
        <f t="shared" si="3"/>
        <v>0.5712439231967511</v>
      </c>
      <c r="L28" s="277">
        <f t="shared" si="4"/>
        <v>3970.7411754350496</v>
      </c>
    </row>
    <row r="29" spans="1:21">
      <c r="A29" s="302" t="str">
        <f t="shared" si="0"/>
        <v>I</v>
      </c>
      <c r="B29" s="117">
        <v>9</v>
      </c>
      <c r="C29" s="277">
        <f t="shared" si="5"/>
        <v>40679.152737138967</v>
      </c>
      <c r="D29" s="299">
        <f t="shared" si="1"/>
        <v>2.38559171477595E-2</v>
      </c>
      <c r="E29" s="299">
        <f t="shared" si="6"/>
        <v>0.28146521974317368</v>
      </c>
      <c r="F29" s="277">
        <f t="shared" si="7"/>
        <v>11449.766664124945</v>
      </c>
      <c r="G29" s="299">
        <f t="shared" si="2"/>
        <v>-1.9775049365010421E-2</v>
      </c>
      <c r="H29" s="277">
        <f t="shared" si="8"/>
        <v>7116.8666883676842</v>
      </c>
      <c r="I29" s="299">
        <f t="shared" si="9"/>
        <v>2.3855917147759698E-2</v>
      </c>
      <c r="J29" s="299">
        <f t="shared" si="10"/>
        <v>0.17495120250796614</v>
      </c>
      <c r="K29" s="119">
        <f t="shared" si="3"/>
        <v>0.53262836661701729</v>
      </c>
      <c r="L29" s="277">
        <f t="shared" si="4"/>
        <v>3790.6450796563408</v>
      </c>
    </row>
    <row r="30" spans="1:21">
      <c r="A30" s="302" t="str">
        <f t="shared" si="0"/>
        <v>I</v>
      </c>
      <c r="B30" s="117">
        <v>10</v>
      </c>
      <c r="C30" s="277">
        <f t="shared" si="5"/>
        <v>41649.591234477208</v>
      </c>
      <c r="D30" s="299">
        <f t="shared" si="1"/>
        <v>2.38559171477595E-2</v>
      </c>
      <c r="E30" s="299">
        <f t="shared" si="6"/>
        <v>0.28146521974317368</v>
      </c>
      <c r="F30" s="277">
        <f t="shared" si="7"/>
        <v>11722.911349025488</v>
      </c>
      <c r="G30" s="299">
        <f t="shared" si="2"/>
        <v>-1.9775049365010421E-2</v>
      </c>
      <c r="H30" s="277">
        <f t="shared" si="8"/>
        <v>7286.646070437032</v>
      </c>
      <c r="I30" s="299">
        <f t="shared" si="9"/>
        <v>2.3855917147759254E-2</v>
      </c>
      <c r="J30" s="299">
        <f t="shared" si="10"/>
        <v>0.17495120250796611</v>
      </c>
      <c r="K30" s="119">
        <f t="shared" si="3"/>
        <v>0.49662318565689262</v>
      </c>
      <c r="L30" s="277">
        <f t="shared" si="4"/>
        <v>3618.7173842547172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42482.583059166755</v>
      </c>
      <c r="D51" s="301">
        <f>Terminal_Growth</f>
        <v>0.02</v>
      </c>
      <c r="E51" s="301">
        <f>F17</f>
        <v>0.28146521974317368</v>
      </c>
      <c r="F51" s="277">
        <f>C51*E51</f>
        <v>11957.369576005998</v>
      </c>
      <c r="G51" s="299">
        <f>F18</f>
        <v>-1.9775049365010421E-2</v>
      </c>
      <c r="H51" s="277">
        <f>(F51*(1-$I$10)+C51*(G51-$I$9))/Equity_Cost</f>
        <v>102515.57230132102</v>
      </c>
      <c r="I51" s="415">
        <f>(F51*(1-$I$10)+C51*(G51-$I$9))/VLOOKUP(C15,B21:H50,COLUMN(H20)-1,FALSE)-1</f>
        <v>2.0000000000000018E-2</v>
      </c>
      <c r="J51" s="454"/>
      <c r="K51" s="119">
        <f>1/(1+Equity_Cost)^C15</f>
        <v>0.49662318565689262</v>
      </c>
      <c r="L51" s="277">
        <f t="shared" si="4"/>
        <v>50911.610095721546</v>
      </c>
    </row>
    <row r="52" spans="1:21" ht="13.15">
      <c r="G52" s="111"/>
      <c r="H52" s="111"/>
      <c r="I52" s="111"/>
      <c r="J52" s="468" t="s">
        <v>419</v>
      </c>
      <c r="K52" s="468"/>
      <c r="L52" s="317">
        <f>SUM(L21:L51)</f>
        <v>95902.071859540272</v>
      </c>
    </row>
    <row r="53" spans="1:21">
      <c r="C53" s="111"/>
    </row>
    <row r="54" spans="1:21" ht="13.15">
      <c r="B54" s="115" t="s">
        <v>107</v>
      </c>
      <c r="C54" s="128"/>
      <c r="D54" s="128"/>
      <c r="E54" s="113"/>
      <c r="F54" s="113"/>
      <c r="G54" s="113"/>
      <c r="H54" s="113"/>
      <c r="I54" s="113"/>
      <c r="J54" s="113"/>
      <c r="K54" s="113"/>
      <c r="L54" s="113"/>
    </row>
    <row r="55" spans="1:21" ht="13.15">
      <c r="A55" s="125">
        <f>L52</f>
        <v>95902.071859540272</v>
      </c>
      <c r="B55" s="123">
        <f>C94</f>
        <v>0</v>
      </c>
      <c r="C55" s="123">
        <f>C93</f>
        <v>0.05</v>
      </c>
      <c r="D55" s="123">
        <f>C92</f>
        <v>0.08</v>
      </c>
      <c r="E55" s="123">
        <f>C91</f>
        <v>0.11</v>
      </c>
      <c r="F55" s="123">
        <f>C90</f>
        <v>0.12</v>
      </c>
      <c r="G55" s="123"/>
      <c r="H55" s="123"/>
      <c r="I55" s="123"/>
      <c r="J55" s="123"/>
      <c r="K55" s="123"/>
      <c r="L55" s="123"/>
    </row>
    <row r="56" spans="1:21" ht="13.15">
      <c r="A56" s="131">
        <v>1</v>
      </c>
      <c r="B56" s="118">
        <f t="dataTable" ref="B56:F69" dt2D="1" dtr="1" r1="C16" r2="C15"/>
        <v>80877.062331605935</v>
      </c>
      <c r="C56" s="118">
        <v>84920.915448186221</v>
      </c>
      <c r="D56" s="118">
        <v>87347.227318134406</v>
      </c>
      <c r="E56" s="118">
        <v>89773.539188082563</v>
      </c>
      <c r="F56" s="118">
        <v>90582.309811398634</v>
      </c>
      <c r="G56" s="295"/>
      <c r="H56" s="295"/>
      <c r="I56" s="295"/>
      <c r="J56" s="295"/>
      <c r="K56" s="295"/>
      <c r="L56" s="295"/>
    </row>
    <row r="57" spans="1:21" ht="13.15">
      <c r="A57" s="131">
        <v>2</v>
      </c>
      <c r="B57" s="118">
        <v>80776.976034054125</v>
      </c>
      <c r="C57" s="118">
        <v>88774.841872968304</v>
      </c>
      <c r="D57" s="118">
        <v>93754.545012303643</v>
      </c>
      <c r="E57" s="118">
        <v>98869.985878629072</v>
      </c>
      <c r="F57" s="118">
        <v>100605.29677340202</v>
      </c>
      <c r="G57" s="295"/>
      <c r="H57" s="295"/>
      <c r="I57" s="295"/>
      <c r="J57" s="295"/>
      <c r="K57" s="295"/>
      <c r="L57" s="295"/>
    </row>
    <row r="58" spans="1:21" ht="13.15">
      <c r="A58" s="131">
        <v>3</v>
      </c>
      <c r="B58" s="118">
        <v>80683.655476896238</v>
      </c>
      <c r="C58" s="118">
        <v>92547.916694433254</v>
      </c>
      <c r="D58" s="118">
        <v>100206.66912391459</v>
      </c>
      <c r="E58" s="118">
        <v>108284.49014576804</v>
      </c>
      <c r="F58" s="118">
        <v>111072.19224887405</v>
      </c>
      <c r="G58" s="295"/>
      <c r="H58" s="295"/>
      <c r="I58" s="295"/>
      <c r="J58" s="295"/>
      <c r="K58" s="295"/>
      <c r="L58" s="295"/>
    </row>
    <row r="59" spans="1:21" ht="13.15">
      <c r="A59" s="131">
        <v>4</v>
      </c>
      <c r="B59" s="118">
        <v>80596.643302390061</v>
      </c>
      <c r="C59" s="118">
        <v>96241.836100063287</v>
      </c>
      <c r="D59" s="118">
        <v>106703.9129845578</v>
      </c>
      <c r="E59" s="118">
        <v>118028.17288378603</v>
      </c>
      <c r="F59" s="118">
        <v>122002.65652162806</v>
      </c>
      <c r="G59" s="295"/>
      <c r="H59" s="295"/>
      <c r="I59" s="295"/>
      <c r="J59" s="295"/>
      <c r="K59" s="295"/>
      <c r="L59" s="295"/>
    </row>
    <row r="60" spans="1:21" ht="13.15">
      <c r="A60" s="131">
        <v>5</v>
      </c>
      <c r="B60" s="118">
        <v>80515.513069750275</v>
      </c>
      <c r="C60" s="118">
        <v>99858.260692987795</v>
      </c>
      <c r="D60" s="118">
        <v>113246.59211695376</v>
      </c>
      <c r="E60" s="118">
        <v>128112.54382942703</v>
      </c>
      <c r="F60" s="118">
        <v>133417.22061065788</v>
      </c>
      <c r="G60" s="295"/>
      <c r="H60" s="295"/>
      <c r="I60" s="295"/>
      <c r="J60" s="295"/>
      <c r="K60" s="295"/>
      <c r="L60" s="295"/>
    </row>
    <row r="61" spans="1:21" ht="13.15">
      <c r="A61" s="131">
        <v>6</v>
      </c>
      <c r="B61" s="118">
        <v>80439.867165191026</v>
      </c>
      <c r="C61" s="118">
        <v>103398.8162385083</v>
      </c>
      <c r="D61" s="118">
        <v>119835.02425027557</v>
      </c>
      <c r="E61" s="118">
        <v>138549.51515778276</v>
      </c>
      <c r="F61" s="118">
        <v>145337.32483416691</v>
      </c>
      <c r="G61" s="295"/>
      <c r="H61" s="295"/>
      <c r="I61" s="295"/>
      <c r="J61" s="295"/>
      <c r="K61" s="295"/>
      <c r="L61" s="295"/>
    </row>
    <row r="62" spans="1:21" ht="13.15">
      <c r="A62" s="131">
        <v>7</v>
      </c>
      <c r="B62" s="118">
        <v>80369.334853247667</v>
      </c>
      <c r="C62" s="118">
        <v>106865.09439496195</v>
      </c>
      <c r="D62" s="118">
        <v>126469.52933557864</v>
      </c>
      <c r="E62" s="118">
        <v>149351.41555356351</v>
      </c>
      <c r="F62" s="118">
        <v>157785.35908156098</v>
      </c>
      <c r="G62" s="295"/>
      <c r="H62" s="295"/>
      <c r="I62" s="295"/>
      <c r="J62" s="295"/>
      <c r="K62" s="295"/>
      <c r="L62" s="295"/>
    </row>
    <row r="63" spans="1:21" ht="13.15">
      <c r="A63" s="131">
        <v>8</v>
      </c>
      <c r="B63" s="118">
        <v>80303.570459827286</v>
      </c>
      <c r="C63" s="118">
        <v>110258.65342925221</v>
      </c>
      <c r="D63" s="118">
        <v>133150.42956133839</v>
      </c>
      <c r="E63" s="118">
        <v>160531.00477437157</v>
      </c>
      <c r="F63" s="118">
        <v>170784.70486904934</v>
      </c>
      <c r="G63" s="295"/>
      <c r="H63" s="295"/>
      <c r="I63" s="295"/>
      <c r="J63" s="295"/>
      <c r="K63" s="295"/>
      <c r="L63" s="295"/>
    </row>
    <row r="64" spans="1:21" ht="13.15">
      <c r="A64" s="131">
        <v>9</v>
      </c>
      <c r="B64" s="118">
        <v>80242.251678083339</v>
      </c>
      <c r="C64" s="118">
        <v>113581.01891736855</v>
      </c>
      <c r="D64" s="118">
        <v>139878.04936909641</v>
      </c>
      <c r="E64" s="118">
        <v>172101.48872317988</v>
      </c>
      <c r="F64" s="118">
        <v>184359.77925784842</v>
      </c>
      <c r="G64" s="295"/>
      <c r="H64" s="295"/>
      <c r="I64" s="295"/>
      <c r="J64" s="295"/>
      <c r="K64" s="295"/>
      <c r="L64" s="295"/>
    </row>
    <row r="65" spans="1:21" ht="13.15">
      <c r="A65" s="131">
        <v>10</v>
      </c>
      <c r="B65" s="118">
        <v>80185.077988811594</v>
      </c>
      <c r="C65" s="118">
        <v>116833.68443020975</v>
      </c>
      <c r="D65" s="118">
        <v>146652.7154692164</v>
      </c>
      <c r="E65" s="118">
        <v>184076.53504782065</v>
      </c>
      <c r="F65" s="118">
        <v>198536.08071748007</v>
      </c>
      <c r="G65" s="295"/>
      <c r="H65" s="295"/>
      <c r="I65" s="295"/>
      <c r="J65" s="295"/>
      <c r="K65" s="295"/>
      <c r="L65" s="295"/>
    </row>
    <row r="66" spans="1:21" ht="13.15">
      <c r="A66" s="131">
        <v>15</v>
      </c>
      <c r="B66" s="118">
        <v>79952.215441431166</v>
      </c>
      <c r="C66" s="277">
        <v>132101.63041861926</v>
      </c>
      <c r="D66" s="118">
        <v>181243.33604396001</v>
      </c>
      <c r="E66" s="118">
        <v>250532.97451881587</v>
      </c>
      <c r="F66" s="118">
        <v>279410.35540564789</v>
      </c>
      <c r="G66" s="295"/>
      <c r="H66" s="295"/>
      <c r="I66" s="295"/>
      <c r="J66" s="295"/>
      <c r="K66" s="295"/>
      <c r="L66" s="295"/>
      <c r="M66" s="275"/>
      <c r="N66" s="275"/>
      <c r="O66" s="275"/>
      <c r="P66" s="275"/>
      <c r="Q66" s="275"/>
      <c r="R66" s="275"/>
      <c r="S66" s="275"/>
      <c r="T66" s="275"/>
      <c r="U66" s="275"/>
    </row>
    <row r="67" spans="1:21" ht="13.15">
      <c r="A67" s="132">
        <v>20</v>
      </c>
      <c r="B67" s="118">
        <v>79788.113718882625</v>
      </c>
      <c r="C67" s="277">
        <v>145833.84578558247</v>
      </c>
      <c r="D67" s="118">
        <v>217060.45313739951</v>
      </c>
      <c r="E67" s="118">
        <v>329449.0462823055</v>
      </c>
      <c r="F67" s="118">
        <v>379852.0445815305</v>
      </c>
      <c r="G67" s="295"/>
      <c r="H67" s="295"/>
      <c r="I67" s="295"/>
      <c r="J67" s="295"/>
      <c r="K67" s="295"/>
      <c r="L67" s="295"/>
      <c r="M67" s="275"/>
      <c r="N67" s="275"/>
      <c r="O67" s="275"/>
      <c r="P67" s="275"/>
      <c r="Q67" s="275"/>
      <c r="R67" s="275"/>
      <c r="S67" s="275"/>
      <c r="T67" s="275"/>
      <c r="U67" s="275"/>
    </row>
    <row r="68" spans="1:21" ht="13.15">
      <c r="A68" s="132">
        <v>25</v>
      </c>
      <c r="B68" s="118">
        <v>79672.468778782364</v>
      </c>
      <c r="C68" s="277">
        <v>158184.80242557934</v>
      </c>
      <c r="D68" s="118">
        <v>254147.55523529719</v>
      </c>
      <c r="E68" s="118">
        <v>423160.75326140609</v>
      </c>
      <c r="F68" s="118">
        <v>504595.45604832424</v>
      </c>
      <c r="G68" s="295"/>
      <c r="H68" s="295"/>
      <c r="I68" s="295"/>
      <c r="J68" s="295"/>
      <c r="K68" s="295"/>
      <c r="L68" s="295"/>
      <c r="M68" s="275"/>
      <c r="N68" s="275"/>
      <c r="O68" s="275"/>
      <c r="P68" s="275"/>
      <c r="Q68" s="275"/>
      <c r="R68" s="275"/>
      <c r="S68" s="275"/>
      <c r="T68" s="275"/>
      <c r="U68" s="275"/>
    </row>
    <row r="69" spans="1:21" ht="13.15">
      <c r="A69" s="132">
        <v>30</v>
      </c>
      <c r="B69" s="118">
        <v>79590.972058558531</v>
      </c>
      <c r="C69" s="277">
        <v>169293.43463433982</v>
      </c>
      <c r="D69" s="118">
        <v>292549.6728158833</v>
      </c>
      <c r="E69" s="118">
        <v>534442.06553016673</v>
      </c>
      <c r="F69" s="118">
        <v>659520.35657568579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0.08</v>
      </c>
      <c r="E72" s="124">
        <f>E55</f>
        <v>0.11</v>
      </c>
      <c r="F72" s="124">
        <f>F55</f>
        <v>0.12</v>
      </c>
      <c r="G72" s="124"/>
      <c r="H72" s="124"/>
      <c r="I72" s="124"/>
      <c r="J72" s="124"/>
      <c r="K72" s="124"/>
      <c r="L72" s="124"/>
    </row>
    <row r="73" spans="1:21" ht="13.15">
      <c r="A73" s="131">
        <v>0</v>
      </c>
      <c r="B73" s="119">
        <f>C11</f>
        <v>61.373470032240597</v>
      </c>
      <c r="C73" s="119">
        <f>C11</f>
        <v>61.373470032240597</v>
      </c>
      <c r="D73" s="119">
        <f>C11</f>
        <v>61.373470032240597</v>
      </c>
      <c r="E73" s="119">
        <f>C11</f>
        <v>61.373470032240597</v>
      </c>
      <c r="F73" s="119">
        <f>C11</f>
        <v>61.373470032240597</v>
      </c>
      <c r="G73" s="296"/>
      <c r="H73" s="296"/>
      <c r="I73" s="296"/>
      <c r="J73" s="296"/>
      <c r="K73" s="296"/>
      <c r="L73" s="296"/>
    </row>
    <row r="74" spans="1:21" ht="13.15">
      <c r="A74" s="131">
        <v>1</v>
      </c>
      <c r="B74" s="119">
        <f t="shared" ref="B74:F87" si="11">(B56+FV_adjustments)/Common_Shares*scaling_factor*Exchange_Rate</f>
        <v>45.339304167183009</v>
      </c>
      <c r="C74" s="119">
        <f t="shared" si="11"/>
        <v>46.826472032888653</v>
      </c>
      <c r="D74" s="119">
        <f t="shared" si="11"/>
        <v>47.718772752312056</v>
      </c>
      <c r="E74" s="119">
        <f t="shared" si="11"/>
        <v>48.611073471735445</v>
      </c>
      <c r="F74" s="119">
        <f t="shared" si="11"/>
        <v>48.908507044876586</v>
      </c>
      <c r="G74" s="296"/>
      <c r="H74" s="296"/>
      <c r="I74" s="296"/>
      <c r="J74" s="296"/>
      <c r="K74" s="296"/>
      <c r="L74" s="296"/>
    </row>
    <row r="75" spans="1:21" ht="13.15">
      <c r="A75" s="131">
        <v>2</v>
      </c>
      <c r="B75" s="119">
        <f t="shared" si="11"/>
        <v>45.302496419417338</v>
      </c>
      <c r="C75" s="119">
        <f t="shared" si="11"/>
        <v>48.243792437586407</v>
      </c>
      <c r="D75" s="119">
        <f t="shared" si="11"/>
        <v>50.075128610309633</v>
      </c>
      <c r="E75" s="119">
        <f t="shared" si="11"/>
        <v>51.956383704399215</v>
      </c>
      <c r="F75" s="119">
        <f t="shared" si="11"/>
        <v>52.594561829399382</v>
      </c>
      <c r="G75" s="296"/>
      <c r="H75" s="296"/>
      <c r="I75" s="296"/>
      <c r="J75" s="296"/>
      <c r="K75" s="296"/>
      <c r="L75" s="296"/>
    </row>
    <row r="76" spans="1:21" ht="13.15">
      <c r="A76" s="131">
        <v>3</v>
      </c>
      <c r="B76" s="119">
        <f t="shared" si="11"/>
        <v>45.268176841081036</v>
      </c>
      <c r="C76" s="119">
        <f t="shared" si="11"/>
        <v>49.631378847779992</v>
      </c>
      <c r="D76" s="119">
        <f t="shared" si="11"/>
        <v>52.447962481300195</v>
      </c>
      <c r="E76" s="119">
        <f t="shared" si="11"/>
        <v>55.41866282631694</v>
      </c>
      <c r="F76" s="119">
        <f t="shared" si="11"/>
        <v>56.443868457525738</v>
      </c>
      <c r="G76" s="296"/>
      <c r="H76" s="296"/>
      <c r="I76" s="296"/>
      <c r="J76" s="296"/>
      <c r="K76" s="296"/>
      <c r="L76" s="296"/>
    </row>
    <row r="77" spans="1:21" ht="13.15">
      <c r="A77" s="131">
        <v>4</v>
      </c>
      <c r="B77" s="119">
        <f t="shared" si="11"/>
        <v>45.236177234240671</v>
      </c>
      <c r="C77" s="119">
        <f t="shared" si="11"/>
        <v>50.989855053563922</v>
      </c>
      <c r="D77" s="119">
        <f t="shared" si="11"/>
        <v>54.837389596143851</v>
      </c>
      <c r="E77" s="119">
        <f t="shared" si="11"/>
        <v>59.002000658791246</v>
      </c>
      <c r="F77" s="119">
        <f t="shared" si="11"/>
        <v>60.463657197387278</v>
      </c>
      <c r="G77" s="296"/>
      <c r="H77" s="296"/>
      <c r="I77" s="296"/>
      <c r="J77" s="296"/>
      <c r="K77" s="296"/>
      <c r="L77" s="296"/>
    </row>
    <row r="78" spans="1:21" ht="13.15">
      <c r="A78" s="131">
        <v>5</v>
      </c>
      <c r="B78" s="119">
        <f t="shared" si="11"/>
        <v>45.206340770986259</v>
      </c>
      <c r="C78" s="119">
        <f t="shared" si="11"/>
        <v>52.319831758527201</v>
      </c>
      <c r="D78" s="119">
        <f t="shared" si="11"/>
        <v>57.243525991510886</v>
      </c>
      <c r="E78" s="119">
        <f t="shared" si="11"/>
        <v>62.710630023869527</v>
      </c>
      <c r="F78" s="119">
        <f t="shared" si="11"/>
        <v>64.661478538781168</v>
      </c>
      <c r="G78" s="296"/>
      <c r="H78" s="296"/>
      <c r="I78" s="296"/>
      <c r="J78" s="296"/>
      <c r="K78" s="296"/>
      <c r="L78" s="296"/>
    </row>
    <row r="79" spans="1:21" ht="13.15">
      <c r="A79" s="131">
        <v>6</v>
      </c>
      <c r="B79" s="119">
        <f t="shared" si="11"/>
        <v>45.178521224828287</v>
      </c>
      <c r="C79" s="119">
        <f t="shared" si="11"/>
        <v>53.62190685429546</v>
      </c>
      <c r="D79" s="119">
        <f t="shared" si="11"/>
        <v>59.666488515516846</v>
      </c>
      <c r="E79" s="119">
        <f t="shared" si="11"/>
        <v>66.548931744370151</v>
      </c>
      <c r="F79" s="119">
        <f t="shared" si="11"/>
        <v>69.045217375481542</v>
      </c>
      <c r="G79" s="296"/>
      <c r="H79" s="296"/>
      <c r="I79" s="296"/>
      <c r="J79" s="296"/>
      <c r="K79" s="296"/>
      <c r="L79" s="296"/>
    </row>
    <row r="80" spans="1:21" ht="13.15">
      <c r="A80" s="131">
        <f t="shared" ref="A80" si="12">A62</f>
        <v>7</v>
      </c>
      <c r="B80" s="119">
        <f t="shared" si="11"/>
        <v>45.152582254051623</v>
      </c>
      <c r="C80" s="119">
        <f t="shared" si="11"/>
        <v>54.896665689313352</v>
      </c>
      <c r="D80" s="119">
        <f t="shared" si="11"/>
        <v>62.106394833396962</v>
      </c>
      <c r="E80" s="119">
        <f t="shared" si="11"/>
        <v>70.521439818734436</v>
      </c>
      <c r="F80" s="119">
        <f t="shared" si="11"/>
        <v>73.623107815672157</v>
      </c>
      <c r="G80" s="296"/>
      <c r="H80" s="296"/>
      <c r="I80" s="296"/>
      <c r="J80" s="296"/>
      <c r="K80" s="296"/>
      <c r="L80" s="296"/>
    </row>
    <row r="81" spans="1:12" ht="13.15">
      <c r="A81" s="131">
        <v>8</v>
      </c>
      <c r="B81" s="119">
        <f t="shared" si="11"/>
        <v>45.128396733513945</v>
      </c>
      <c r="C81" s="119">
        <f t="shared" si="11"/>
        <v>56.144681331988188</v>
      </c>
      <c r="D81" s="119">
        <f t="shared" si="11"/>
        <v>64.563363433220331</v>
      </c>
      <c r="E81" s="119">
        <f t="shared" si="11"/>
        <v>74.632846776817743</v>
      </c>
      <c r="F81" s="119">
        <f t="shared" si="11"/>
        <v>78.403748648318739</v>
      </c>
      <c r="G81" s="296"/>
      <c r="H81" s="296"/>
      <c r="I81" s="296"/>
      <c r="J81" s="296"/>
      <c r="K81" s="296"/>
      <c r="L81" s="296"/>
    </row>
    <row r="82" spans="1:12" ht="13.15">
      <c r="A82" s="131">
        <f t="shared" ref="A82" si="13">A64</f>
        <v>9</v>
      </c>
      <c r="B82" s="119">
        <f t="shared" si="11"/>
        <v>45.105846131614008</v>
      </c>
      <c r="C82" s="119">
        <f t="shared" si="11"/>
        <v>57.3665148283132</v>
      </c>
      <c r="D82" s="119">
        <f t="shared" si="11"/>
        <v>67.037513631643819</v>
      </c>
      <c r="E82" s="119">
        <f t="shared" si="11"/>
        <v>78.888009222945911</v>
      </c>
      <c r="F82" s="119">
        <f t="shared" si="11"/>
        <v>83.396119494532442</v>
      </c>
      <c r="G82" s="296"/>
      <c r="H82" s="296"/>
      <c r="I82" s="296"/>
      <c r="J82" s="296"/>
      <c r="K82" s="296"/>
      <c r="L82" s="296"/>
    </row>
    <row r="83" spans="1:12" ht="13.15">
      <c r="A83" s="131">
        <f t="shared" ref="A83:A87" si="14">A65</f>
        <v>10</v>
      </c>
      <c r="B83" s="119">
        <f t="shared" si="11"/>
        <v>45.084819929376302</v>
      </c>
      <c r="C83" s="119">
        <f t="shared" si="11"/>
        <v>58.562715454085954</v>
      </c>
      <c r="D83" s="119">
        <f t="shared" si="11"/>
        <v>69.52896557970665</v>
      </c>
      <c r="E83" s="119">
        <f t="shared" si="11"/>
        <v>83.291953572784848</v>
      </c>
      <c r="F83" s="119">
        <f t="shared" si="11"/>
        <v>88.609597674261423</v>
      </c>
      <c r="G83" s="296"/>
      <c r="H83" s="296"/>
      <c r="I83" s="296"/>
      <c r="J83" s="296"/>
      <c r="K83" s="296"/>
      <c r="L83" s="296"/>
    </row>
    <row r="84" spans="1:12" ht="13.15">
      <c r="A84" s="131">
        <f t="shared" si="14"/>
        <v>15</v>
      </c>
      <c r="B84" s="119">
        <f t="shared" si="11"/>
        <v>44.999182373410036</v>
      </c>
      <c r="C84" s="119">
        <f t="shared" si="11"/>
        <v>64.177656945455865</v>
      </c>
      <c r="D84" s="119">
        <f t="shared" si="11"/>
        <v>82.250015996364198</v>
      </c>
      <c r="E84" s="119">
        <f t="shared" si="11"/>
        <v>107.73198104194644</v>
      </c>
      <c r="F84" s="119">
        <f t="shared" si="11"/>
        <v>118.35192980431803</v>
      </c>
      <c r="G84" s="296"/>
      <c r="H84" s="296"/>
      <c r="I84" s="296"/>
      <c r="J84" s="296"/>
      <c r="K84" s="296"/>
      <c r="L84" s="296"/>
    </row>
    <row r="85" spans="1:12" ht="13.15">
      <c r="A85" s="132">
        <f t="shared" si="14"/>
        <v>20</v>
      </c>
      <c r="B85" s="119">
        <f t="shared" si="11"/>
        <v>44.938832305925992</v>
      </c>
      <c r="C85" s="119">
        <f t="shared" si="11"/>
        <v>69.227817975035293</v>
      </c>
      <c r="D85" s="119">
        <f t="shared" si="11"/>
        <v>95.422122907266228</v>
      </c>
      <c r="E85" s="119">
        <f t="shared" si="11"/>
        <v>136.75416424963691</v>
      </c>
      <c r="F85" s="119">
        <f t="shared" si="11"/>
        <v>155.29037643263842</v>
      </c>
      <c r="G85" s="296"/>
      <c r="H85" s="296"/>
      <c r="I85" s="296"/>
      <c r="J85" s="296"/>
      <c r="K85" s="296"/>
      <c r="L85" s="296"/>
    </row>
    <row r="86" spans="1:12" ht="13.15">
      <c r="A86" s="132">
        <f t="shared" si="14"/>
        <v>25</v>
      </c>
      <c r="B86" s="119">
        <f t="shared" si="11"/>
        <v>44.896302710070152</v>
      </c>
      <c r="C86" s="119">
        <f t="shared" si="11"/>
        <v>73.770007143681511</v>
      </c>
      <c r="D86" s="119">
        <f t="shared" si="11"/>
        <v>109.06127964270677</v>
      </c>
      <c r="E86" s="119">
        <f t="shared" si="11"/>
        <v>171.21759188708728</v>
      </c>
      <c r="F86" s="119">
        <f t="shared" si="11"/>
        <v>201.16602711621113</v>
      </c>
      <c r="G86" s="296"/>
      <c r="H86" s="296"/>
      <c r="I86" s="296"/>
      <c r="J86" s="296"/>
      <c r="K86" s="296"/>
      <c r="L86" s="296"/>
    </row>
    <row r="87" spans="1:12" ht="13.15">
      <c r="A87" s="132">
        <f t="shared" si="14"/>
        <v>30</v>
      </c>
      <c r="B87" s="119">
        <f t="shared" si="11"/>
        <v>44.866331467301627</v>
      </c>
      <c r="C87" s="119">
        <f t="shared" si="11"/>
        <v>77.855318943231254</v>
      </c>
      <c r="D87" s="119">
        <f t="shared" si="11"/>
        <v>123.18404661629894</v>
      </c>
      <c r="E87" s="119">
        <f t="shared" si="11"/>
        <v>212.14241949299409</v>
      </c>
      <c r="F87" s="119">
        <f t="shared" si="11"/>
        <v>258.14122552717021</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0.12</v>
      </c>
      <c r="D90" s="133">
        <f>Scenarios!D29</f>
        <v>10</v>
      </c>
      <c r="E90" s="127">
        <f>INDEX(B$73:F$87, MATCH(D90, A$73:A$87, 0), MATCH(C90, B$72:F$72, 0))</f>
        <v>88.609597674261423</v>
      </c>
      <c r="F90" s="130">
        <f>Scenarios!F29</f>
        <v>0.15</v>
      </c>
      <c r="G90" s="297"/>
      <c r="H90" s="297"/>
      <c r="I90" s="297"/>
      <c r="J90" s="297"/>
      <c r="K90" s="297"/>
      <c r="L90" s="297"/>
    </row>
    <row r="91" spans="1:12">
      <c r="B91" s="120" t="str">
        <f>Scenarios!B22</f>
        <v>Optimistic</v>
      </c>
      <c r="C91" s="130">
        <f>Scenarios!C22</f>
        <v>0.11</v>
      </c>
      <c r="D91" s="133">
        <f>Scenarios!D22</f>
        <v>10</v>
      </c>
      <c r="E91" s="127">
        <f>INDEX(B$73:F$87, MATCH(D91, A$73:A$87, 0), MATCH(C91, B$72:F$72, 0))</f>
        <v>83.291953572784848</v>
      </c>
      <c r="F91" s="130">
        <f>Scenarios!F22*(1-F$90-F$94)</f>
        <v>0.15999999999999995</v>
      </c>
      <c r="G91" s="297"/>
      <c r="H91" s="297"/>
      <c r="I91" s="297"/>
      <c r="J91" s="297"/>
      <c r="K91" s="297"/>
      <c r="L91" s="297"/>
    </row>
    <row r="92" spans="1:12">
      <c r="B92" s="120" t="str">
        <f>Scenarios!B23</f>
        <v>Base</v>
      </c>
      <c r="C92" s="130">
        <f>Scenarios!C23</f>
        <v>0.08</v>
      </c>
      <c r="D92" s="133">
        <f>Scenarios!D23</f>
        <v>10</v>
      </c>
      <c r="E92" s="127">
        <f>INDEX(B$73:F$87, MATCH(D92, A$73:A$87, 0), MATCH(C92, B$72:F$72, 0))</f>
        <v>69.52896557970665</v>
      </c>
      <c r="F92" s="130">
        <f>Scenarios!F23*(1-F$90-F$94)</f>
        <v>0.44</v>
      </c>
      <c r="G92" s="297"/>
      <c r="H92" s="297"/>
      <c r="I92" s="297"/>
      <c r="J92" s="297"/>
      <c r="K92" s="297"/>
      <c r="L92" s="297"/>
    </row>
    <row r="93" spans="1:12">
      <c r="B93" s="120" t="str">
        <f>Scenarios!B24</f>
        <v>Pessimistic</v>
      </c>
      <c r="C93" s="130">
        <f>Scenarios!C24</f>
        <v>0.05</v>
      </c>
      <c r="D93" s="133">
        <f>Scenarios!D24</f>
        <v>10</v>
      </c>
      <c r="E93" s="127">
        <f>INDEX(B$73:F$87, MATCH(D93, A$73:A$87, 0), MATCH(C93, B$72:F$72, 0))</f>
        <v>58.562715454085954</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45.084819929376302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C24" sqref="C24"/>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1698.hk – 腾讯音乐: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9678</v>
      </c>
      <c r="D7" s="469"/>
      <c r="E7" s="469"/>
      <c r="F7" s="469"/>
      <c r="G7" s="469"/>
    </row>
    <row r="8" spans="2:7">
      <c r="B8" s="97" t="s">
        <v>62</v>
      </c>
      <c r="C8" s="447">
        <f>Normalized_FCF!G19</f>
        <v>7662.219886375362</v>
      </c>
      <c r="D8" s="469"/>
      <c r="E8" s="469"/>
      <c r="F8" s="469"/>
      <c r="G8" s="469"/>
    </row>
    <row r="9" spans="2:7">
      <c r="B9" s="97" t="s">
        <v>53</v>
      </c>
      <c r="C9" s="447">
        <f>Normalized_FCF!C19</f>
        <v>6406.883139124674</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8.8839846355660779E-2</v>
      </c>
      <c r="D12" s="469"/>
      <c r="E12" s="469"/>
      <c r="F12" s="469"/>
      <c r="G12" s="469"/>
    </row>
    <row r="13" spans="2:7">
      <c r="B13" s="135" t="s">
        <v>126</v>
      </c>
      <c r="C13" s="249">
        <f ca="1">(Normalized_FCF!G8/OFFSET(Normalized_FCF!G8, 0, $C$4))^(1/$C$4) - 1</f>
        <v>0.42336141371279012</v>
      </c>
      <c r="D13" s="469"/>
      <c r="E13" s="469"/>
      <c r="F13" s="469"/>
      <c r="G13" s="469"/>
    </row>
    <row r="14" spans="2:7">
      <c r="B14" s="97" t="s">
        <v>62</v>
      </c>
      <c r="C14" s="249">
        <f ca="1">(Normalized_FCF!G19/OFFSET(Normalized_FCF!G19, 0, $C$4))^(1/$C$4) - 1</f>
        <v>0.41173288969918787</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0.11</v>
      </c>
      <c r="D22" s="325">
        <f>C18</f>
        <v>10</v>
      </c>
      <c r="E22" s="326">
        <f>DCF!E91</f>
        <v>83.291953572784848</v>
      </c>
      <c r="F22" s="328">
        <f>1-F23-F24</f>
        <v>0.19999999999999996</v>
      </c>
      <c r="G22" s="328">
        <f>F22*(1-F$29-F$30)</f>
        <v>0.15999999999999995</v>
      </c>
    </row>
    <row r="23" spans="2:7">
      <c r="B23" s="302" t="s">
        <v>436</v>
      </c>
      <c r="C23" s="324">
        <v>0.08</v>
      </c>
      <c r="D23" s="325">
        <f>C18</f>
        <v>10</v>
      </c>
      <c r="E23" s="326">
        <f>DCF!E92</f>
        <v>69.52896557970665</v>
      </c>
      <c r="F23" s="327">
        <v>0.55000000000000004</v>
      </c>
      <c r="G23" s="328">
        <f t="shared" ref="G23:G24" si="0">F23*(1-F$29-F$30)</f>
        <v>0.44</v>
      </c>
    </row>
    <row r="24" spans="2:7">
      <c r="B24" s="302" t="s">
        <v>445</v>
      </c>
      <c r="C24" s="324">
        <v>0.05</v>
      </c>
      <c r="D24" s="325">
        <f>C18</f>
        <v>10</v>
      </c>
      <c r="E24" s="326">
        <f>DCF!E93</f>
        <v>58.562715454085954</v>
      </c>
      <c r="F24" s="327">
        <v>0.25</v>
      </c>
      <c r="G24" s="328">
        <f t="shared" si="0"/>
        <v>0.19999999999999998</v>
      </c>
    </row>
    <row r="25" spans="2:7">
      <c r="B25" s="141" t="s">
        <v>450</v>
      </c>
      <c r="C25" s="441">
        <f>E23*F23+E24*F24+E22*F22</f>
        <v>69.540000646917122</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0.12</v>
      </c>
      <c r="D29" s="325">
        <f>C18</f>
        <v>10</v>
      </c>
      <c r="E29" s="326">
        <f>DCF!E90</f>
        <v>88.609597674261423</v>
      </c>
      <c r="F29" s="327">
        <v>0.15</v>
      </c>
      <c r="G29" s="328">
        <f>F29</f>
        <v>0.15</v>
      </c>
    </row>
    <row r="30" spans="2:7">
      <c r="B30" s="315" t="s">
        <v>446</v>
      </c>
      <c r="C30" s="324">
        <v>0</v>
      </c>
      <c r="D30" s="325">
        <f>C18</f>
        <v>10</v>
      </c>
      <c r="E30" s="326">
        <f>DCF!E94</f>
        <v>45.084819929376302</v>
      </c>
      <c r="F30" s="327">
        <v>0.05</v>
      </c>
      <c r="G30" s="328">
        <f>F30</f>
        <v>0.05</v>
      </c>
    </row>
    <row r="31" spans="2:7">
      <c r="E31" s="329"/>
      <c r="F31" s="329"/>
    </row>
    <row r="32" spans="2:7" ht="13.15">
      <c r="B32" s="145" t="s">
        <v>455</v>
      </c>
    </row>
    <row r="33" spans="2:7">
      <c r="B33" s="97" t="s">
        <v>457</v>
      </c>
      <c r="C33" s="155">
        <f>Normalized_FCF!C88*(1-dividend_tax_rate)</f>
        <v>0.14199999999999999</v>
      </c>
      <c r="D33" t="str">
        <f>Market_currency</f>
        <v>HKD</v>
      </c>
      <c r="E33" s="97" t="s">
        <v>454</v>
      </c>
      <c r="F33" s="219">
        <f>Holding_Period</f>
        <v>3</v>
      </c>
    </row>
    <row r="34" spans="2:7">
      <c r="B34" s="97" t="s">
        <v>232</v>
      </c>
      <c r="C34" s="146">
        <f>Market_Price</f>
        <v>36.840000000000003</v>
      </c>
      <c r="D34" t="str">
        <f>Market_currency</f>
        <v>HKD</v>
      </c>
      <c r="E34" s="97" t="s">
        <v>453</v>
      </c>
      <c r="F34" s="330">
        <f>RATE(Holding_Period,$C$33,-C34,$C$36)</f>
        <v>0.2486391565252648</v>
      </c>
    </row>
    <row r="35" spans="2:7">
      <c r="B35" s="97" t="s">
        <v>433</v>
      </c>
      <c r="C35" s="320">
        <f>DCF!C11</f>
        <v>61.373470032240597</v>
      </c>
      <c r="D35" s="97" t="str">
        <f>Market_currency</f>
        <v>HKD</v>
      </c>
      <c r="E35" s="97" t="s">
        <v>453</v>
      </c>
      <c r="F35" s="330">
        <f>RATE(Holding_Period,$C$33,-C35,$C$36)</f>
        <v>5.2845225163868831E-2</v>
      </c>
    </row>
    <row r="36" spans="2:7">
      <c r="B36" s="97" t="s">
        <v>434</v>
      </c>
      <c r="C36" s="321">
        <f>E22*G22+E23*G23+E24*G24+E30*G30+E29*G29</f>
        <v>71.17768116514172</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0.28146521974317368</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2.38559171477595E-2</v>
      </c>
      <c r="D46" s="138"/>
      <c r="E46" s="221" t="s">
        <v>251</v>
      </c>
    </row>
    <row r="47" spans="2:7">
      <c r="B47" s="97" t="s">
        <v>95</v>
      </c>
      <c r="C47" s="146">
        <f>DCF!I18</f>
        <v>50.864903319201957</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0.21911288198452492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0.14199999999999999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0.25788802913063269</v>
      </c>
      <c r="D62" s="119">
        <f>C36/(1+F62)^Holding_Period</f>
        <v>32.397670079718573</v>
      </c>
      <c r="E62" s="332">
        <f>C62+D62</f>
        <v>32.655558108849206</v>
      </c>
      <c r="F62" s="301">
        <f>Thesis!E22</f>
        <v>0.3</v>
      </c>
      <c r="G62" s="440">
        <f>(1-E62/C36)</f>
        <v>0.54121070573957097</v>
      </c>
    </row>
    <row r="63" spans="2:7" ht="13.15">
      <c r="B63" s="302" t="s">
        <v>312</v>
      </c>
      <c r="C63" s="119">
        <f>PV(F63, Holding_Period, -C58, 0)</f>
        <v>0.29912037037037031</v>
      </c>
      <c r="D63" s="119">
        <f>C36/(1+F63)^Holding_Period</f>
        <v>41.190787711308865</v>
      </c>
      <c r="E63" s="332">
        <f>C63+D63</f>
        <v>41.489908081679232</v>
      </c>
      <c r="F63" s="301">
        <f>Thesis!E23</f>
        <v>0.2</v>
      </c>
      <c r="G63" s="440">
        <f>(1-E63/C36)</f>
        <v>0.41709385017169764</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0.34258964388328816</v>
      </c>
      <c r="D66" s="119">
        <f>C36/(1+F66)^Holding_Period</f>
        <v>51.017342725809293</v>
      </c>
      <c r="E66" s="332">
        <f>C66+D66</f>
        <v>51.359932369692579</v>
      </c>
      <c r="F66" s="301">
        <f>Thesis!E24</f>
        <v>0.1174</v>
      </c>
      <c r="G66" s="440">
        <f>(1-E66/C36)</f>
        <v>0.27842644591735599</v>
      </c>
    </row>
    <row r="67" spans="2:7" ht="13.15">
      <c r="B67" s="302" t="s">
        <v>313</v>
      </c>
      <c r="C67" s="119">
        <f>PV(F67, Holding_Period, -C58, 0)</f>
        <v>0.37095728225856828</v>
      </c>
      <c r="D67" s="119">
        <f>C36/(1+F67)^Holding_Period</f>
        <v>57.696827367392636</v>
      </c>
      <c r="E67" s="332">
        <f>C67+D67</f>
        <v>58.067784649651202</v>
      </c>
      <c r="F67" s="301">
        <f>Thesis!E25</f>
        <v>7.2499999999999995E-2</v>
      </c>
      <c r="G67" s="440">
        <f>(1-E67/C36)</f>
        <v>0.18418549608372048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46103</v>
      </c>
    </row>
    <row r="4" spans="1:10">
      <c r="B4" s="422" t="s">
        <v>533</v>
      </c>
      <c r="C4" s="423" t="str">
        <f>Thesis!C4</f>
        <v>腾讯音乐</v>
      </c>
      <c r="D4" s="349"/>
      <c r="E4" s="434" t="s">
        <v>539</v>
      </c>
      <c r="F4" s="437" t="str">
        <f>Thesis!F4</f>
        <v>INT</v>
      </c>
    </row>
    <row r="5" spans="1:10">
      <c r="B5" s="343" t="s">
        <v>363</v>
      </c>
      <c r="C5" s="355" t="str">
        <f>Thesis!C5</f>
        <v>1698.hk</v>
      </c>
      <c r="E5" s="438" t="s">
        <v>540</v>
      </c>
      <c r="F5" s="439" t="str">
        <f>Thesis!F5</f>
        <v>Y</v>
      </c>
    </row>
    <row r="6" spans="1:10">
      <c r="B6" s="350" t="s">
        <v>335</v>
      </c>
      <c r="C6" s="352" t="str">
        <f>Thesis!C6</f>
        <v>TMT_01</v>
      </c>
      <c r="E6" s="354"/>
    </row>
    <row r="7" spans="1:10">
      <c r="B7" s="343" t="s">
        <v>365</v>
      </c>
      <c r="C7" s="352" t="str">
        <f>Market_currency</f>
        <v>HKD</v>
      </c>
      <c r="D7" s="354"/>
      <c r="E7" s="354"/>
    </row>
    <row r="8" spans="1:10">
      <c r="B8" s="351" t="s">
        <v>364</v>
      </c>
      <c r="C8" s="356">
        <f>Market_Price</f>
        <v>36.840000000000003</v>
      </c>
    </row>
    <row r="9" spans="1:10">
      <c r="B9" s="351" t="s">
        <v>360</v>
      </c>
      <c r="C9" s="353">
        <f>Common_Shares</f>
        <v>3108803728</v>
      </c>
    </row>
    <row r="10" spans="1:10">
      <c r="B10" s="351" t="s">
        <v>366</v>
      </c>
      <c r="C10" s="357">
        <f>投资主题!C8*Common_Shares/1000000</f>
        <v>114528.32933952</v>
      </c>
      <c r="D10" s="343" t="s">
        <v>528</v>
      </c>
      <c r="E10" s="360">
        <f>Scenarios!F34</f>
        <v>0.2486391565252648</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1.143294</v>
      </c>
    </row>
    <row r="17" spans="1:6">
      <c r="B17" s="343" t="s">
        <v>534</v>
      </c>
      <c r="C17" s="424">
        <f>Terminal_Growth</f>
        <v>0.02</v>
      </c>
      <c r="D17" s="351" t="s">
        <v>338</v>
      </c>
      <c r="E17" s="344" t="str">
        <f>Reporting_currency</f>
        <v>CNY</v>
      </c>
    </row>
    <row r="18" spans="1:6">
      <c r="B18" s="343" t="str">
        <f>"预期股权价值 ("&amp;C7&amp;") :"</f>
        <v>预期股权价值 (HKD) :</v>
      </c>
      <c r="C18" s="359">
        <f>C125</f>
        <v>71.17768116514172</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32.655558108849206</v>
      </c>
      <c r="D22" s="365" t="s">
        <v>439</v>
      </c>
      <c r="E22" s="366">
        <f>Thesis!E22</f>
        <v>0.3</v>
      </c>
    </row>
    <row r="23" spans="1:6">
      <c r="B23" s="343" t="s">
        <v>340</v>
      </c>
      <c r="C23" s="367">
        <f>E141</f>
        <v>41.489908081679232</v>
      </c>
      <c r="D23" s="365" t="s">
        <v>440</v>
      </c>
      <c r="E23" s="368">
        <f>Thesis!E23</f>
        <v>0.2</v>
      </c>
    </row>
    <row r="24" spans="1:6">
      <c r="B24" s="343" t="s">
        <v>342</v>
      </c>
      <c r="C24" s="367">
        <f>E144</f>
        <v>51.359932369692579</v>
      </c>
      <c r="D24" s="365" t="s">
        <v>442</v>
      </c>
      <c r="E24" s="368">
        <f>Thesis!E24</f>
        <v>0.1174</v>
      </c>
    </row>
    <row r="25" spans="1:6">
      <c r="B25" s="343" t="s">
        <v>341</v>
      </c>
      <c r="C25" s="367">
        <f>E145</f>
        <v>58.067784649651202</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1000000</v>
      </c>
    </row>
    <row r="33" spans="2:6">
      <c r="B33" s="470" t="s">
        <v>500</v>
      </c>
      <c r="C33" s="470"/>
      <c r="D33" s="470"/>
      <c r="E33" s="470"/>
      <c r="F33" s="470"/>
    </row>
    <row r="34" spans="2:6">
      <c r="B34" s="372" t="s">
        <v>196</v>
      </c>
      <c r="C34" s="373">
        <f>Normalized_FCF!C8</f>
        <v>9207.3202704130126</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-650.63867420757288</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72.408389576888965</v>
      </c>
      <c r="D44" s="343" t="str">
        <f>Reporting_currency</f>
        <v>CNY</v>
      </c>
      <c r="E44" s="371"/>
      <c r="F44" s="371"/>
    </row>
    <row r="45" spans="2:6">
      <c r="B45" s="372" t="s">
        <v>267</v>
      </c>
      <c r="C45" s="376">
        <f>Normalized_FCF!C45</f>
        <v>-18.96</v>
      </c>
      <c r="D45" s="343" t="str">
        <f>Reporting_currency</f>
        <v>CNY</v>
      </c>
      <c r="E45" s="371"/>
      <c r="F45" s="371"/>
    </row>
    <row r="46" spans="2:6">
      <c r="B46" s="372" t="s">
        <v>202</v>
      </c>
      <c r="C46" s="373">
        <f>Normalized_FCF!C10</f>
        <v>53.448389576888964</v>
      </c>
      <c r="D46" s="343" t="str">
        <f>Reporting_currency</f>
        <v>CNY</v>
      </c>
    </row>
    <row r="48" spans="2:6">
      <c r="B48" s="343" t="s">
        <v>504</v>
      </c>
    </row>
    <row r="49" spans="2:6">
      <c r="B49" s="372" t="s">
        <v>222</v>
      </c>
      <c r="C49" s="373">
        <f>Normalized_FCF!C13</f>
        <v>-538.69335586775105</v>
      </c>
      <c r="D49" s="343" t="str">
        <f>Reporting_currency</f>
        <v>CNY</v>
      </c>
    </row>
    <row r="51" spans="2:6">
      <c r="B51" s="470" t="s">
        <v>505</v>
      </c>
      <c r="C51" s="470"/>
      <c r="D51" s="470"/>
      <c r="E51" s="470"/>
      <c r="F51" s="470"/>
    </row>
    <row r="52" spans="2:6">
      <c r="B52" s="372" t="s">
        <v>495</v>
      </c>
      <c r="C52" s="373">
        <f>Normalized_FCF!C12</f>
        <v>-2315.1921649974752</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7662.219886375362</v>
      </c>
      <c r="D60" s="343" t="str">
        <f>Reporting_currency</f>
        <v>CNY</v>
      </c>
    </row>
    <row r="61" spans="2:6">
      <c r="B61" s="372" t="s">
        <v>212</v>
      </c>
      <c r="C61" s="373">
        <f>Normalized_FCF!C19</f>
        <v>6406.883139124674</v>
      </c>
      <c r="D61" s="343" t="str">
        <f>Reporting_currency</f>
        <v>CNY</v>
      </c>
    </row>
    <row r="62" spans="2:6">
      <c r="B62" s="377" t="s">
        <v>301</v>
      </c>
      <c r="C62" s="378">
        <f>Normalized_FCF!C124</f>
        <v>6.3957547393776598E-2</v>
      </c>
      <c r="F62" s="379"/>
    </row>
    <row r="63" spans="2:6">
      <c r="B63" s="377" t="s">
        <v>331</v>
      </c>
      <c r="C63" s="378">
        <f>Normalized_FCF!C92</f>
        <v>3.8545059717698146E-3</v>
      </c>
      <c r="E63" s="372" t="s">
        <v>372</v>
      </c>
      <c r="F63" s="380">
        <f>Normalized_FCF!C90</f>
        <v>6.8902478754484062E-2</v>
      </c>
    </row>
    <row r="65" spans="1:6">
      <c r="B65" s="369" t="s">
        <v>375</v>
      </c>
      <c r="C65" s="381" t="s">
        <v>326</v>
      </c>
      <c r="D65" s="381" t="s">
        <v>373</v>
      </c>
    </row>
    <row r="66" spans="1:6">
      <c r="B66" s="372" t="s">
        <v>325</v>
      </c>
      <c r="C66" s="378">
        <f>Normalized_FCF!E119</f>
        <v>0.11150835231775919</v>
      </c>
      <c r="D66" s="378">
        <f>Normalized_FCF!G119</f>
        <v>0.11900324968543483</v>
      </c>
    </row>
    <row r="67" spans="1:6">
      <c r="B67" s="382" t="str">
        <f>Normalized_FCF!B116</f>
        <v>Pre-tax Profit/Sales</v>
      </c>
      <c r="C67" s="383">
        <f>Normalized_FCF!E116</f>
        <v>0.28146521974317368</v>
      </c>
      <c r="D67" s="383">
        <f>Normalized_FCF!G116</f>
        <v>0.30038355985579485</v>
      </c>
    </row>
    <row r="68" spans="1:6">
      <c r="B68" s="382" t="str">
        <f>Normalized_FCF!B117</f>
        <v>Sales/Total Assets</v>
      </c>
      <c r="C68" s="384">
        <f>Normalized_FCF!E117</f>
        <v>0.32092624022161098</v>
      </c>
      <c r="D68" s="384">
        <f>Normalized_FCF!G117</f>
        <v>0.32092624022161098</v>
      </c>
    </row>
    <row r="69" spans="1:6">
      <c r="B69" s="382" t="str">
        <f>Normalized_FCF!B118</f>
        <v>Total Assets/Equity</v>
      </c>
      <c r="C69" s="384">
        <f>Normalized_FCF!E118</f>
        <v>1.2344611679711017</v>
      </c>
      <c r="D69" s="384">
        <f>Normalized_FCF!G118</f>
        <v>1.2344611679711017</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-316</v>
      </c>
      <c r="D78" s="343" t="str">
        <f>Reporting_currency</f>
        <v>CNY</v>
      </c>
    </row>
    <row r="79" spans="1:6">
      <c r="B79" s="372" t="s">
        <v>233</v>
      </c>
      <c r="C79" s="387">
        <f>C78*scaling_factor*Exchange_Rate/Common_Shares</f>
        <v>-0.11621219466062091</v>
      </c>
      <c r="D79" s="343" t="str">
        <f>Market_currency</f>
        <v>HKD</v>
      </c>
    </row>
    <row r="80" spans="1:6">
      <c r="B80" s="382" t="s">
        <v>308</v>
      </c>
      <c r="C80" s="388">
        <f>IF(BS!G31/BS!G27&gt;300%,"nm",BS!G31/BS!G27)</f>
        <v>3.8049367850692354E-3</v>
      </c>
    </row>
    <row r="81" spans="1:6">
      <c r="B81" s="382" t="s">
        <v>310</v>
      </c>
      <c r="C81" s="389">
        <f>IF(BS!C50&gt;30,"nm",BS!C50)</f>
        <v>3.432051788351935E-2</v>
      </c>
    </row>
    <row r="83" spans="1:6">
      <c r="B83" s="343" t="s">
        <v>511</v>
      </c>
    </row>
    <row r="84" spans="1:6">
      <c r="B84" s="343" t="s">
        <v>223</v>
      </c>
      <c r="C84" s="373">
        <f>DCF!F5</f>
        <v>25989.935070518506</v>
      </c>
      <c r="D84" s="343" t="str">
        <f>Reporting_currency</f>
        <v>CNY</v>
      </c>
    </row>
    <row r="85" spans="1:6">
      <c r="B85" s="382" t="s">
        <v>480</v>
      </c>
      <c r="C85" s="390">
        <f>BS!C66</f>
        <v>38058</v>
      </c>
      <c r="D85" s="391" t="str">
        <f>Reporting_currency</f>
        <v>CNY</v>
      </c>
    </row>
    <row r="86" spans="1:6">
      <c r="B86" s="372" t="s">
        <v>234</v>
      </c>
      <c r="C86" s="387">
        <f>C84*scaling_factor*Exchange_Rate/Common_Shares</f>
        <v>9.5580613722531496</v>
      </c>
      <c r="D86" s="343" t="str">
        <f>Market_currency</f>
        <v>HKD</v>
      </c>
    </row>
    <row r="88" spans="1:6">
      <c r="B88" s="343" t="s">
        <v>512</v>
      </c>
    </row>
    <row r="89" spans="1:6">
      <c r="B89" s="343" t="s">
        <v>216</v>
      </c>
      <c r="C89" s="373">
        <f>DCF!F6</f>
        <v>16734</v>
      </c>
      <c r="D89" s="343" t="str">
        <f>Reporting_currency</f>
        <v>CNY</v>
      </c>
    </row>
    <row r="90" spans="1:6">
      <c r="B90" s="372" t="s">
        <v>235</v>
      </c>
      <c r="C90" s="387">
        <f>C89*scaling_factor*Exchange_Rate/Common_Shares</f>
        <v>6.1540976754773116</v>
      </c>
      <c r="D90" s="343" t="str">
        <f>Market_currency</f>
        <v>HKD</v>
      </c>
    </row>
    <row r="92" spans="1:6">
      <c r="B92" s="372" t="s">
        <v>479</v>
      </c>
      <c r="C92" s="387">
        <f>DCF!F8</f>
        <v>15.595946853069842</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11.499454093745218</v>
      </c>
      <c r="D111" s="343" t="str">
        <f>Market_currency</f>
        <v>HKD</v>
      </c>
    </row>
    <row r="112" spans="1:6">
      <c r="A112" s="385"/>
      <c r="B112" s="372" t="s">
        <v>376</v>
      </c>
      <c r="C112" s="394">
        <f>DCF!C11</f>
        <v>61.373470032240597</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0.12</v>
      </c>
      <c r="D118" s="397">
        <f>DCF!D90</f>
        <v>10</v>
      </c>
      <c r="E118" s="398" t="str">
        <f>ROUND(DCF!E90,2)&amp;" "&amp;Market_currency</f>
        <v>88.61 HKD</v>
      </c>
      <c r="F118" s="399">
        <f>DCF!F90</f>
        <v>0.15</v>
      </c>
    </row>
    <row r="119" spans="1:6">
      <c r="A119" s="385"/>
      <c r="B119" s="400" t="str">
        <f>DCF!B91</f>
        <v>Optimistic</v>
      </c>
      <c r="C119" s="401">
        <f>DCF!C91</f>
        <v>0.11</v>
      </c>
      <c r="D119" s="402">
        <f>DCF!D91</f>
        <v>10</v>
      </c>
      <c r="E119" s="398" t="str">
        <f>ROUND(DCF!E91,2)&amp;" "&amp;Market_currency</f>
        <v>83.29 HKD</v>
      </c>
      <c r="F119" s="403">
        <f>DCF!F91</f>
        <v>0.15999999999999995</v>
      </c>
    </row>
    <row r="120" spans="1:6">
      <c r="B120" s="400" t="str">
        <f>DCF!B92</f>
        <v>Base</v>
      </c>
      <c r="C120" s="401">
        <f>DCF!C92</f>
        <v>0.08</v>
      </c>
      <c r="D120" s="402">
        <f>DCF!D92</f>
        <v>10</v>
      </c>
      <c r="E120" s="398" t="str">
        <f>ROUND(DCF!E92,2)&amp;" "&amp;Market_currency</f>
        <v>69.53 HKD</v>
      </c>
      <c r="F120" s="403">
        <f>DCF!F92</f>
        <v>0.44</v>
      </c>
    </row>
    <row r="121" spans="1:6">
      <c r="B121" s="400" t="str">
        <f>DCF!B93</f>
        <v>Pessimistic</v>
      </c>
      <c r="C121" s="401">
        <f>DCF!C93</f>
        <v>0.05</v>
      </c>
      <c r="D121" s="402">
        <f>DCF!D93</f>
        <v>10</v>
      </c>
      <c r="E121" s="398" t="str">
        <f>ROUND(DCF!E93,2)&amp;" "&amp;Market_currency</f>
        <v>58.56 HKD</v>
      </c>
      <c r="F121" s="403">
        <f>DCF!F93</f>
        <v>0.19999999999999998</v>
      </c>
    </row>
    <row r="122" spans="1:6">
      <c r="B122" s="400" t="str">
        <f>DCF!B94</f>
        <v>Devil's advocate</v>
      </c>
      <c r="C122" s="401">
        <f>DCF!C94</f>
        <v>0</v>
      </c>
      <c r="D122" s="402">
        <f>DCF!D94</f>
        <v>10</v>
      </c>
      <c r="E122" s="398" t="str">
        <f>ROUND(DCF!E94,2)&amp;" "&amp;Market_currency</f>
        <v>45.08 HKD</v>
      </c>
      <c r="F122" s="403">
        <f>DCF!F94</f>
        <v>0.05</v>
      </c>
    </row>
    <row r="124" spans="1:6">
      <c r="B124" s="470" t="s">
        <v>518</v>
      </c>
      <c r="C124" s="470"/>
      <c r="D124" s="470"/>
      <c r="E124" s="470"/>
      <c r="F124" s="470"/>
    </row>
    <row r="125" spans="1:6">
      <c r="B125" s="372" t="s">
        <v>217</v>
      </c>
      <c r="C125" s="404">
        <f>Scenarios!C36</f>
        <v>71.17768116514172</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0.14199999999999999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0.25788802913063269</v>
      </c>
      <c r="D140" s="409">
        <f>Scenarios!D62</f>
        <v>32.397670079718573</v>
      </c>
      <c r="E140" s="410">
        <f>Scenarios!E62</f>
        <v>32.655558108849206</v>
      </c>
      <c r="F140" s="411">
        <f>E22</f>
        <v>0.3</v>
      </c>
    </row>
    <row r="141" spans="1:6">
      <c r="B141" s="408" t="s">
        <v>312</v>
      </c>
      <c r="C141" s="409">
        <f>Scenarios!C63</f>
        <v>0.29912037037037031</v>
      </c>
      <c r="D141" s="409">
        <f>Scenarios!D63</f>
        <v>41.190787711308865</v>
      </c>
      <c r="E141" s="410">
        <f>Scenarios!E63</f>
        <v>41.489908081679232</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0.34258964388328816</v>
      </c>
      <c r="D144" s="409">
        <f>Scenarios!D66</f>
        <v>51.017342725809293</v>
      </c>
      <c r="E144" s="410">
        <f>Scenarios!E66</f>
        <v>51.359932369692579</v>
      </c>
      <c r="F144" s="411">
        <f>E24</f>
        <v>0.1174</v>
      </c>
    </row>
    <row r="145" spans="1:6">
      <c r="B145" s="408" t="s">
        <v>313</v>
      </c>
      <c r="C145" s="409">
        <f>Scenarios!C67</f>
        <v>0.37095728225856828</v>
      </c>
      <c r="D145" s="409">
        <f>Scenarios!D67</f>
        <v>57.696827367392636</v>
      </c>
      <c r="E145" s="410">
        <f>Scenarios!E67</f>
        <v>58.067784649651202</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2026-04-26T09:07:39Z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