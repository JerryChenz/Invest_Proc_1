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howObjects="none" codeName="ThisWorkbook"/>
  <mc:AlternateContent xmlns:mc="http://schemas.openxmlformats.org/markup-compatibility/2006">
    <mc:Choice Requires="x15">
      <x15ac:absPath xmlns:x15ac="http://schemas.microsoft.com/office/spreadsheetml/2010/11/ac" url="C:\Users\jerry\PycharmProjects\Invest_Proc_v4\financial_models\opportunities\"/>
    </mc:Choice>
  </mc:AlternateContent>
  <xr:revisionPtr revIDLastSave="0" documentId="13_ncr:1_{E2FD2FAF-E7C3-4A9B-9A6C-D729B27EE959}" xr6:coauthVersionLast="47" xr6:coauthVersionMax="47" xr10:uidLastSave="{00000000-0000-0000-0000-000000000000}"/>
  <bookViews>
    <workbookView xWindow="33720" yWindow="-120" windowWidth="29040" windowHeight="15720" activeTab="4" xr2:uid="{00000000-000D-0000-FFFF-FFFF00000000}"/>
  </bookViews>
  <sheets>
    <sheet name="Thesis" sheetId="6" r:id="rId1"/>
    <sheet name="Data" sheetId="4" r:id="rId2"/>
    <sheet name="Normalized_FCF" sheetId="2" r:id="rId3"/>
    <sheet name="BS" sheetId="3" r:id="rId4"/>
    <sheet name="Valuation_Model" sheetId="8" r:id="rId5"/>
    <sheet name="Scenarios" sheetId="9" r:id="rId6"/>
  </sheets>
  <definedNames>
    <definedName name="_xlnm._FilterDatabase" localSheetId="4" hidden="1">Valuation_Model!$B$72:$H$72</definedName>
    <definedName name="Common_Shares">Thesis!$C$11</definedName>
    <definedName name="Equity_Cost">Valuation_Model!$C$5</definedName>
    <definedName name="Exchange_Rate">Thesis!$C$13</definedName>
    <definedName name="Market_currency">Thesis!$D$10</definedName>
    <definedName name="Market_Price">Thesis!$C$10</definedName>
    <definedName name="Reporting_currency">Thesis!$C$12</definedName>
    <definedName name="Terminal_Growth">Valuation_Model!$F$4</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H28" i="3" l="1"/>
  <c r="G73" i="2"/>
  <c r="G70" i="2"/>
  <c r="G13" i="3"/>
  <c r="G12" i="3"/>
  <c r="G71" i="2"/>
  <c r="G72" i="2"/>
  <c r="G25" i="3"/>
  <c r="G28" i="3"/>
  <c r="B42" i="2"/>
  <c r="H65" i="2"/>
  <c r="I65" i="2"/>
  <c r="J65" i="2"/>
  <c r="K65" i="2"/>
  <c r="L65" i="2"/>
  <c r="M65" i="2"/>
  <c r="N65" i="2"/>
  <c r="O65" i="2"/>
  <c r="P65" i="2"/>
  <c r="Q65" i="2"/>
  <c r="G65" i="2"/>
  <c r="D56" i="4"/>
  <c r="E56" i="4"/>
  <c r="F56" i="4"/>
  <c r="G56" i="4"/>
  <c r="H56" i="4"/>
  <c r="I56" i="4"/>
  <c r="J56" i="4"/>
  <c r="K56" i="4"/>
  <c r="L56" i="4"/>
  <c r="M56" i="4"/>
  <c r="C56" i="4"/>
  <c r="I57" i="4"/>
  <c r="M66" i="2" s="1"/>
  <c r="J57" i="4"/>
  <c r="N66" i="2" s="1"/>
  <c r="K57" i="4"/>
  <c r="O66" i="2" s="1"/>
  <c r="L57" i="4"/>
  <c r="P66" i="2" s="1"/>
  <c r="M57" i="4"/>
  <c r="Q66" i="2" s="1"/>
  <c r="D55" i="4"/>
  <c r="H63" i="2" s="1"/>
  <c r="E55" i="4"/>
  <c r="I63" i="2" s="1"/>
  <c r="F55" i="4"/>
  <c r="J63" i="2" s="1"/>
  <c r="G55" i="4"/>
  <c r="K63" i="2" s="1"/>
  <c r="H55" i="4"/>
  <c r="L63" i="2" s="1"/>
  <c r="I55" i="4"/>
  <c r="M63" i="2" s="1"/>
  <c r="J55" i="4"/>
  <c r="N63" i="2" s="1"/>
  <c r="K55" i="4"/>
  <c r="O63" i="2" s="1"/>
  <c r="L55" i="4"/>
  <c r="P63" i="2" s="1"/>
  <c r="M55" i="4"/>
  <c r="Q63" i="2" s="1"/>
  <c r="C55" i="4"/>
  <c r="G63" i="2" s="1"/>
  <c r="I43" i="4"/>
  <c r="J43" i="4"/>
  <c r="K43" i="4"/>
  <c r="L43" i="4"/>
  <c r="M43" i="4"/>
  <c r="D9" i="4"/>
  <c r="C9" i="4"/>
  <c r="B22" i="4"/>
  <c r="B40" i="3" l="1"/>
  <c r="D83" i="9"/>
  <c r="D78" i="9"/>
  <c r="D73" i="9"/>
  <c r="D70" i="9"/>
  <c r="D64" i="9"/>
  <c r="D55" i="9"/>
  <c r="D52" i="9"/>
  <c r="D40" i="9"/>
  <c r="D46" i="9"/>
  <c r="D11" i="8"/>
  <c r="C10" i="8"/>
  <c r="D9" i="8"/>
  <c r="C3" i="3"/>
  <c r="B77" i="8"/>
  <c r="B76" i="8"/>
  <c r="B75" i="8"/>
  <c r="B74" i="8"/>
  <c r="B73" i="8"/>
  <c r="D73" i="8"/>
  <c r="C73" i="8"/>
  <c r="F54" i="8" s="1"/>
  <c r="F63" i="8" s="1"/>
  <c r="C68" i="9"/>
  <c r="C62" i="9"/>
  <c r="C53" i="9"/>
  <c r="E54" i="4"/>
  <c r="I64" i="2" s="1"/>
  <c r="F54" i="4"/>
  <c r="J64" i="2" s="1"/>
  <c r="G54" i="4"/>
  <c r="K64" i="2" s="1"/>
  <c r="H54" i="4"/>
  <c r="L64" i="2" s="1"/>
  <c r="I54" i="4"/>
  <c r="M64" i="2" s="1"/>
  <c r="J54" i="4"/>
  <c r="N64" i="2" s="1"/>
  <c r="K54" i="4"/>
  <c r="O64" i="2" s="1"/>
  <c r="L54" i="4"/>
  <c r="P64" i="2" s="1"/>
  <c r="M54" i="4"/>
  <c r="Q64" i="2" s="1"/>
  <c r="D54" i="4"/>
  <c r="H64" i="2" s="1"/>
  <c r="C54" i="4"/>
  <c r="G64" i="2" s="1"/>
  <c r="G30" i="3"/>
  <c r="H10" i="3"/>
  <c r="C8" i="8"/>
  <c r="G26" i="3"/>
  <c r="G27" i="3"/>
  <c r="C71" i="2" l="1"/>
  <c r="C64" i="2" s="1"/>
  <c r="C72" i="2"/>
  <c r="C65" i="2" s="1"/>
  <c r="C70" i="2" l="1"/>
  <c r="C63" i="2" s="1"/>
  <c r="C67" i="2" s="1"/>
  <c r="C73" i="2" s="1"/>
  <c r="C76" i="8"/>
  <c r="C54" i="8" s="1"/>
  <c r="C44" i="9"/>
  <c r="D76" i="8" s="1"/>
  <c r="D77" i="8"/>
  <c r="C38" i="9"/>
  <c r="D75" i="8" s="1"/>
  <c r="C29" i="9"/>
  <c r="C75" i="8"/>
  <c r="D54" i="8" s="1"/>
  <c r="D21" i="9"/>
  <c r="C77" i="9"/>
  <c r="F77" i="9"/>
  <c r="C5" i="8"/>
  <c r="C77" i="8"/>
  <c r="B54" i="8" s="1"/>
  <c r="B63" i="8" s="1"/>
  <c r="D74" i="8"/>
  <c r="C74" i="8"/>
  <c r="E54" i="8" s="1"/>
  <c r="C16" i="8"/>
  <c r="C15" i="8"/>
  <c r="Q39" i="2"/>
  <c r="H17" i="3"/>
  <c r="D11" i="3"/>
  <c r="D20" i="3"/>
  <c r="D50" i="8"/>
  <c r="D90" i="6"/>
  <c r="A74" i="6"/>
  <c r="C43" i="6"/>
  <c r="A70" i="8"/>
  <c r="A69" i="8"/>
  <c r="C11" i="2" l="1"/>
  <c r="H19" i="3"/>
  <c r="H20" i="3"/>
  <c r="E50" i="8"/>
  <c r="E21" i="8"/>
  <c r="E27" i="8"/>
  <c r="E26" i="8"/>
  <c r="D47" i="8"/>
  <c r="E38" i="8"/>
  <c r="D46" i="8"/>
  <c r="E37" i="8"/>
  <c r="E20" i="8"/>
  <c r="E42" i="8"/>
  <c r="E28" i="8"/>
  <c r="E46" i="8"/>
  <c r="E36" i="8"/>
  <c r="D45" i="8"/>
  <c r="D44" i="8"/>
  <c r="E45" i="8"/>
  <c r="E34" i="8"/>
  <c r="D43" i="8"/>
  <c r="E44" i="8"/>
  <c r="E30" i="8"/>
  <c r="E35" i="8"/>
  <c r="E43" i="8"/>
  <c r="E29" i="8"/>
  <c r="D42" i="8"/>
  <c r="E49" i="8"/>
  <c r="E41" i="8"/>
  <c r="E33" i="8"/>
  <c r="E25" i="8"/>
  <c r="D49" i="8"/>
  <c r="D41" i="8"/>
  <c r="E48" i="8"/>
  <c r="E40" i="8"/>
  <c r="E32" i="8"/>
  <c r="E24" i="8"/>
  <c r="D48" i="8"/>
  <c r="D40" i="8"/>
  <c r="E47" i="8"/>
  <c r="E39" i="8"/>
  <c r="E31" i="8"/>
  <c r="E23" i="8"/>
  <c r="E22" i="8"/>
  <c r="D21" i="8"/>
  <c r="D22" i="8"/>
  <c r="D23" i="8"/>
  <c r="D24" i="8"/>
  <c r="D25" i="8"/>
  <c r="D26" i="8"/>
  <c r="D27" i="8"/>
  <c r="D28" i="8"/>
  <c r="D29" i="8"/>
  <c r="D30" i="8"/>
  <c r="D31" i="8"/>
  <c r="D32" i="8"/>
  <c r="D33" i="8"/>
  <c r="D34" i="8"/>
  <c r="D35" i="8"/>
  <c r="D36" i="8"/>
  <c r="D37" i="8"/>
  <c r="D38" i="8"/>
  <c r="D39" i="8"/>
  <c r="D20" i="8"/>
  <c r="H23" i="3" l="1"/>
  <c r="H32" i="3" s="1"/>
  <c r="H34" i="3" s="1"/>
  <c r="D40" i="3" s="1"/>
  <c r="D63" i="8"/>
  <c r="E63" i="8"/>
  <c r="A66" i="8"/>
  <c r="A67" i="8"/>
  <c r="A68" i="8"/>
  <c r="A65" i="8"/>
  <c r="D4" i="8"/>
  <c r="I63" i="4" l="1"/>
  <c r="M108" i="2" s="1"/>
  <c r="J63" i="4"/>
  <c r="N108" i="2" s="1"/>
  <c r="K63" i="4"/>
  <c r="O108" i="2" s="1"/>
  <c r="L63" i="4"/>
  <c r="P108" i="2" s="1"/>
  <c r="M63" i="4"/>
  <c r="Q108" i="2" s="1"/>
  <c r="D23" i="6" l="1"/>
  <c r="C22" i="6"/>
  <c r="C87" i="2"/>
  <c r="C88" i="2"/>
  <c r="I74" i="4"/>
  <c r="J74" i="4"/>
  <c r="K74" i="4"/>
  <c r="L74" i="4"/>
  <c r="M74" i="4"/>
  <c r="E77" i="4"/>
  <c r="F77" i="4"/>
  <c r="G77" i="4"/>
  <c r="H77" i="4"/>
  <c r="I77" i="4"/>
  <c r="M89" i="2" s="1"/>
  <c r="J77" i="4"/>
  <c r="N89" i="2" s="1"/>
  <c r="K77" i="4"/>
  <c r="O89" i="2" s="1"/>
  <c r="L77" i="4"/>
  <c r="P89" i="2" s="1"/>
  <c r="M77" i="4"/>
  <c r="Q89" i="2" s="1"/>
  <c r="E78" i="4"/>
  <c r="F78" i="4"/>
  <c r="G78" i="4"/>
  <c r="H78" i="4"/>
  <c r="I78" i="4"/>
  <c r="M90" i="2" s="1"/>
  <c r="M98" i="2" s="1"/>
  <c r="J78" i="4"/>
  <c r="N90" i="2" s="1"/>
  <c r="N98" i="2" s="1"/>
  <c r="K78" i="4"/>
  <c r="O90" i="2" s="1"/>
  <c r="O98" i="2" s="1"/>
  <c r="L78" i="4"/>
  <c r="P90" i="2" s="1"/>
  <c r="P98" i="2" s="1"/>
  <c r="M78" i="4"/>
  <c r="Q90" i="2" s="1"/>
  <c r="Q98" i="2" s="1"/>
  <c r="C77" i="4"/>
  <c r="D77" i="4"/>
  <c r="C75" i="4"/>
  <c r="C76" i="4"/>
  <c r="M70" i="4"/>
  <c r="B70" i="4"/>
  <c r="M66" i="4"/>
  <c r="M67" i="4"/>
  <c r="M68" i="4"/>
  <c r="M69" i="4"/>
  <c r="B69" i="4"/>
  <c r="B68" i="4"/>
  <c r="B67" i="4"/>
  <c r="B66" i="4"/>
  <c r="D13" i="6"/>
  <c r="D1" i="4"/>
  <c r="H74" i="4" l="1"/>
  <c r="F74" i="4"/>
  <c r="E74" i="4"/>
  <c r="G74" i="4"/>
  <c r="G29" i="3" l="1"/>
  <c r="C45" i="4"/>
  <c r="G14" i="2" s="1"/>
  <c r="C46" i="4"/>
  <c r="C47" i="4"/>
  <c r="G15" i="2" s="1"/>
  <c r="G24" i="3"/>
  <c r="C77" i="2" s="1"/>
  <c r="C20" i="3"/>
  <c r="G17" i="3"/>
  <c r="G10" i="3"/>
  <c r="C11" i="3"/>
  <c r="I44" i="4"/>
  <c r="J44" i="4"/>
  <c r="K44" i="4"/>
  <c r="L44" i="4"/>
  <c r="M44" i="4"/>
  <c r="D45" i="4"/>
  <c r="H14" i="2" s="1"/>
  <c r="E45" i="4"/>
  <c r="I14" i="2" s="1"/>
  <c r="F45" i="4"/>
  <c r="J14" i="2" s="1"/>
  <c r="G45" i="4"/>
  <c r="K14" i="2" s="1"/>
  <c r="H45" i="4"/>
  <c r="L14" i="2" s="1"/>
  <c r="I45" i="4"/>
  <c r="M14" i="2" s="1"/>
  <c r="J45" i="4"/>
  <c r="N14" i="2" s="1"/>
  <c r="K45" i="4"/>
  <c r="O14" i="2" s="1"/>
  <c r="L45" i="4"/>
  <c r="P14" i="2" s="1"/>
  <c r="M45" i="4"/>
  <c r="Q14" i="2" s="1"/>
  <c r="D50" i="4"/>
  <c r="H76" i="2" s="1"/>
  <c r="E50" i="4"/>
  <c r="I76" i="2" s="1"/>
  <c r="F50" i="4"/>
  <c r="J76" i="2" s="1"/>
  <c r="G50" i="4"/>
  <c r="K76" i="2" s="1"/>
  <c r="H50" i="4"/>
  <c r="L76" i="2" s="1"/>
  <c r="I50" i="4"/>
  <c r="M76" i="2" s="1"/>
  <c r="J50" i="4"/>
  <c r="N76" i="2" s="1"/>
  <c r="K50" i="4"/>
  <c r="O76" i="2" s="1"/>
  <c r="L50" i="4"/>
  <c r="P76" i="2" s="1"/>
  <c r="M50" i="4"/>
  <c r="Q76" i="2" s="1"/>
  <c r="D51" i="4"/>
  <c r="H77" i="2" s="1"/>
  <c r="E51" i="4"/>
  <c r="I77" i="2" s="1"/>
  <c r="F51" i="4"/>
  <c r="J77" i="2" s="1"/>
  <c r="G51" i="4"/>
  <c r="K77" i="2" s="1"/>
  <c r="H51" i="4"/>
  <c r="L77" i="2" s="1"/>
  <c r="I51" i="4"/>
  <c r="M77" i="2" s="1"/>
  <c r="J51" i="4"/>
  <c r="N77" i="2" s="1"/>
  <c r="K51" i="4"/>
  <c r="O77" i="2" s="1"/>
  <c r="L51" i="4"/>
  <c r="P77" i="2" s="1"/>
  <c r="M51" i="4"/>
  <c r="Q77" i="2" s="1"/>
  <c r="C50" i="4"/>
  <c r="G76" i="2" s="1"/>
  <c r="C51" i="4"/>
  <c r="G77" i="2" s="1"/>
  <c r="D61" i="4"/>
  <c r="H9" i="2" s="1"/>
  <c r="E61" i="4"/>
  <c r="I9" i="2" s="1"/>
  <c r="F61" i="4"/>
  <c r="J9" i="2" s="1"/>
  <c r="G61" i="4"/>
  <c r="K9" i="2" s="1"/>
  <c r="H61" i="4"/>
  <c r="L9" i="2" s="1"/>
  <c r="I61" i="4"/>
  <c r="M9" i="2" s="1"/>
  <c r="J61" i="4"/>
  <c r="N9" i="2" s="1"/>
  <c r="K61" i="4"/>
  <c r="O9" i="2" s="1"/>
  <c r="L61" i="4"/>
  <c r="P9" i="2" s="1"/>
  <c r="M61" i="4"/>
  <c r="Q9" i="2" s="1"/>
  <c r="D62" i="4"/>
  <c r="E62" i="4"/>
  <c r="F62" i="4"/>
  <c r="G62" i="4"/>
  <c r="H62" i="4"/>
  <c r="I62" i="4"/>
  <c r="J62" i="4"/>
  <c r="K62" i="4"/>
  <c r="L62" i="4"/>
  <c r="M62" i="4"/>
  <c r="C62" i="4"/>
  <c r="C61" i="4"/>
  <c r="G9" i="2" s="1"/>
  <c r="D60" i="4"/>
  <c r="H8" i="2" s="1"/>
  <c r="E60" i="4"/>
  <c r="I8" i="2" s="1"/>
  <c r="F60" i="4"/>
  <c r="J8" i="2" s="1"/>
  <c r="G60" i="4"/>
  <c r="K8" i="2" s="1"/>
  <c r="H60" i="4"/>
  <c r="L8" i="2" s="1"/>
  <c r="I60" i="4"/>
  <c r="M8" i="2" s="1"/>
  <c r="J60" i="4"/>
  <c r="N8" i="2" s="1"/>
  <c r="K60" i="4"/>
  <c r="O8" i="2" s="1"/>
  <c r="L60" i="4"/>
  <c r="P8" i="2" s="1"/>
  <c r="M60" i="4"/>
  <c r="Q8" i="2" s="1"/>
  <c r="C60" i="4"/>
  <c r="G8" i="2" s="1"/>
  <c r="D46" i="4"/>
  <c r="E46" i="4"/>
  <c r="F46" i="4"/>
  <c r="G46" i="4"/>
  <c r="H46" i="4"/>
  <c r="I46" i="4"/>
  <c r="J46" i="4"/>
  <c r="K46" i="4"/>
  <c r="L46" i="4"/>
  <c r="M46" i="4"/>
  <c r="D47" i="4"/>
  <c r="H15" i="2" s="1"/>
  <c r="E47" i="4"/>
  <c r="I15" i="2" s="1"/>
  <c r="F47" i="4"/>
  <c r="J15" i="2" s="1"/>
  <c r="G47" i="4"/>
  <c r="K15" i="2" s="1"/>
  <c r="H47" i="4"/>
  <c r="L15" i="2" s="1"/>
  <c r="I47" i="4"/>
  <c r="M15" i="2" s="1"/>
  <c r="J47" i="4"/>
  <c r="N15" i="2" s="1"/>
  <c r="K47" i="4"/>
  <c r="O15" i="2" s="1"/>
  <c r="L47" i="4"/>
  <c r="P15" i="2" s="1"/>
  <c r="M47" i="4"/>
  <c r="Q15" i="2" s="1"/>
  <c r="D41" i="4"/>
  <c r="H51" i="2" s="1"/>
  <c r="E41" i="4"/>
  <c r="I51" i="2" s="1"/>
  <c r="F41" i="4"/>
  <c r="J51" i="2" s="1"/>
  <c r="G41" i="4"/>
  <c r="K51" i="2" s="1"/>
  <c r="H41" i="4"/>
  <c r="L51" i="2" s="1"/>
  <c r="I41" i="4"/>
  <c r="M51" i="2" s="1"/>
  <c r="J41" i="4"/>
  <c r="N51" i="2" s="1"/>
  <c r="K41" i="4"/>
  <c r="O51" i="2" s="1"/>
  <c r="L41" i="4"/>
  <c r="P51" i="2" s="1"/>
  <c r="M41" i="4"/>
  <c r="Q51" i="2" s="1"/>
  <c r="C41" i="4"/>
  <c r="G51" i="2" s="1"/>
  <c r="D39" i="4"/>
  <c r="H48" i="2" s="1"/>
  <c r="E39" i="4"/>
  <c r="I48" i="2" s="1"/>
  <c r="F39" i="4"/>
  <c r="J48" i="2" s="1"/>
  <c r="G39" i="4"/>
  <c r="K48" i="2" s="1"/>
  <c r="H39" i="4"/>
  <c r="L48" i="2" s="1"/>
  <c r="I39" i="4"/>
  <c r="M48" i="2" s="1"/>
  <c r="J39" i="4"/>
  <c r="N48" i="2" s="1"/>
  <c r="K39" i="4"/>
  <c r="O48" i="2" s="1"/>
  <c r="L39" i="4"/>
  <c r="P48" i="2" s="1"/>
  <c r="M39" i="4"/>
  <c r="Q48" i="2" s="1"/>
  <c r="C39" i="4"/>
  <c r="G48" i="2" s="1"/>
  <c r="D38" i="4"/>
  <c r="E38" i="4"/>
  <c r="F38" i="4"/>
  <c r="G38" i="4"/>
  <c r="H38" i="4"/>
  <c r="I38" i="4"/>
  <c r="J38" i="4"/>
  <c r="K38" i="4"/>
  <c r="L38" i="4"/>
  <c r="M38" i="4"/>
  <c r="C38" i="4"/>
  <c r="D36" i="4"/>
  <c r="H47" i="2" s="1"/>
  <c r="E36" i="4"/>
  <c r="I47" i="2" s="1"/>
  <c r="F36" i="4"/>
  <c r="J47" i="2" s="1"/>
  <c r="G36" i="4"/>
  <c r="K47" i="2" s="1"/>
  <c r="H36" i="4"/>
  <c r="L47" i="2" s="1"/>
  <c r="I36" i="4"/>
  <c r="M47" i="2" s="1"/>
  <c r="J36" i="4"/>
  <c r="N47" i="2" s="1"/>
  <c r="K36" i="4"/>
  <c r="O47" i="2" s="1"/>
  <c r="L36" i="4"/>
  <c r="P47" i="2" s="1"/>
  <c r="M36" i="4"/>
  <c r="Q47" i="2" s="1"/>
  <c r="C36" i="4"/>
  <c r="G47" i="2" s="1"/>
  <c r="I42" i="4"/>
  <c r="J42" i="4"/>
  <c r="K42" i="4"/>
  <c r="L42" i="4"/>
  <c r="M42" i="4"/>
  <c r="D63" i="4"/>
  <c r="H108" i="2" s="1"/>
  <c r="E63" i="4"/>
  <c r="I108" i="2" s="1"/>
  <c r="F63" i="4"/>
  <c r="J108" i="2" s="1"/>
  <c r="G63" i="4"/>
  <c r="K108" i="2" s="1"/>
  <c r="H63" i="4"/>
  <c r="L108" i="2" s="1"/>
  <c r="C63" i="4"/>
  <c r="G108" i="2" s="1"/>
  <c r="C108" i="2" s="1"/>
  <c r="C78" i="9" s="1"/>
  <c r="C81" i="9" s="1"/>
  <c r="G89" i="2"/>
  <c r="C78" i="4"/>
  <c r="E75" i="4"/>
  <c r="F75" i="4"/>
  <c r="G75" i="4"/>
  <c r="H75" i="4"/>
  <c r="E76" i="4"/>
  <c r="F76" i="4"/>
  <c r="G76" i="4"/>
  <c r="H76" i="4"/>
  <c r="I89" i="2"/>
  <c r="J89" i="2"/>
  <c r="K89" i="2"/>
  <c r="L89" i="2"/>
  <c r="I90" i="2"/>
  <c r="J90" i="2"/>
  <c r="K90" i="2"/>
  <c r="L90" i="2"/>
  <c r="D76" i="4"/>
  <c r="H89" i="2"/>
  <c r="D78" i="4"/>
  <c r="D75" i="4"/>
  <c r="G19" i="3" l="1"/>
  <c r="G20" i="3"/>
  <c r="D43" i="3"/>
  <c r="C43" i="3" s="1"/>
  <c r="C8" i="2" s="1"/>
  <c r="G90" i="2"/>
  <c r="C74" i="4"/>
  <c r="H90" i="2"/>
  <c r="D74" i="4"/>
  <c r="C44" i="4"/>
  <c r="F44" i="4"/>
  <c r="D44" i="4"/>
  <c r="G44" i="4"/>
  <c r="E44" i="4"/>
  <c r="H44" i="4"/>
  <c r="I40" i="4"/>
  <c r="M50" i="2" s="1"/>
  <c r="J40" i="4"/>
  <c r="N50" i="2" s="1"/>
  <c r="K40" i="4"/>
  <c r="O50" i="2" s="1"/>
  <c r="L40" i="4"/>
  <c r="P50" i="2" s="1"/>
  <c r="M40" i="4"/>
  <c r="Q50" i="2" s="1"/>
  <c r="D40" i="4"/>
  <c r="H50" i="2" s="1"/>
  <c r="D35" i="4"/>
  <c r="C70" i="4" s="1"/>
  <c r="E35" i="4"/>
  <c r="D70" i="4" s="1"/>
  <c r="F35" i="4"/>
  <c r="E70" i="4" s="1"/>
  <c r="G35" i="4"/>
  <c r="F70" i="4" s="1"/>
  <c r="H35" i="4"/>
  <c r="G70" i="4" s="1"/>
  <c r="I35" i="4"/>
  <c r="H70" i="4" s="1"/>
  <c r="J35" i="4"/>
  <c r="I70" i="4" s="1"/>
  <c r="K35" i="4"/>
  <c r="J70" i="4" s="1"/>
  <c r="L35" i="4"/>
  <c r="K70" i="4" s="1"/>
  <c r="M35" i="4"/>
  <c r="L70" i="4" s="1"/>
  <c r="C35" i="4"/>
  <c r="B59" i="2"/>
  <c r="C51" i="2"/>
  <c r="B58" i="2"/>
  <c r="B56" i="2"/>
  <c r="G23" i="3" l="1"/>
  <c r="G32" i="3" s="1"/>
  <c r="L68" i="4"/>
  <c r="L66" i="4"/>
  <c r="L67" i="4"/>
  <c r="L69" i="4"/>
  <c r="D66" i="4"/>
  <c r="D67" i="4"/>
  <c r="D69" i="4"/>
  <c r="K68" i="4"/>
  <c r="K67" i="4"/>
  <c r="K69" i="4"/>
  <c r="K66" i="4"/>
  <c r="C66" i="4"/>
  <c r="C67" i="4"/>
  <c r="C69" i="4"/>
  <c r="J67" i="4"/>
  <c r="J69" i="4"/>
  <c r="J68" i="4"/>
  <c r="J66" i="4"/>
  <c r="I69" i="4"/>
  <c r="I66" i="4"/>
  <c r="I68" i="4"/>
  <c r="I67" i="4"/>
  <c r="E67" i="4"/>
  <c r="E66" i="4"/>
  <c r="E69" i="4"/>
  <c r="H68" i="4"/>
  <c r="H66" i="4"/>
  <c r="H69" i="4"/>
  <c r="H67" i="4"/>
  <c r="G66" i="4"/>
  <c r="G67" i="4"/>
  <c r="G69" i="4"/>
  <c r="F67" i="4"/>
  <c r="F69" i="4"/>
  <c r="F66" i="4"/>
  <c r="J4" i="2"/>
  <c r="Q4" i="2"/>
  <c r="P4" i="2"/>
  <c r="I4" i="2"/>
  <c r="G4" i="2"/>
  <c r="H4" i="2"/>
  <c r="L4" i="2"/>
  <c r="K4" i="2"/>
  <c r="K37" i="4"/>
  <c r="O4" i="2"/>
  <c r="J37" i="4"/>
  <c r="N4" i="2"/>
  <c r="I37" i="4"/>
  <c r="M4" i="2"/>
  <c r="H40" i="4"/>
  <c r="L50" i="2" s="1"/>
  <c r="G37" i="4"/>
  <c r="G42" i="4" s="1"/>
  <c r="G43" i="4" s="1"/>
  <c r="E40" i="4"/>
  <c r="I50" i="2" s="1"/>
  <c r="G40" i="4"/>
  <c r="K50" i="2" s="1"/>
  <c r="H37" i="4"/>
  <c r="H42" i="4" s="1"/>
  <c r="C40" i="4"/>
  <c r="G50" i="2" s="1"/>
  <c r="C50" i="2" s="1"/>
  <c r="F40" i="4"/>
  <c r="J50" i="2" s="1"/>
  <c r="C37" i="4"/>
  <c r="C42" i="4" s="1"/>
  <c r="D37" i="4"/>
  <c r="D42" i="4" s="1"/>
  <c r="D43" i="4" s="1"/>
  <c r="F37" i="4"/>
  <c r="F42" i="4" s="1"/>
  <c r="F43" i="4" s="1"/>
  <c r="L37" i="4"/>
  <c r="E37" i="4"/>
  <c r="E42" i="4" s="1"/>
  <c r="M37" i="4"/>
  <c r="A53" i="6"/>
  <c r="A45" i="6"/>
  <c r="A36" i="6"/>
  <c r="A18" i="6"/>
  <c r="C14" i="6"/>
  <c r="B9" i="6"/>
  <c r="P67" i="2" l="1"/>
  <c r="P11" i="2" s="1"/>
  <c r="P43" i="2"/>
  <c r="P42" i="2"/>
  <c r="Q67" i="2"/>
  <c r="Q11" i="2" s="1"/>
  <c r="Q43" i="2"/>
  <c r="Q42" i="2"/>
  <c r="N67" i="2"/>
  <c r="N11" i="2" s="1"/>
  <c r="N42" i="2"/>
  <c r="N43" i="2"/>
  <c r="O67" i="2"/>
  <c r="O11" i="2" s="1"/>
  <c r="O43" i="2"/>
  <c r="O42" i="2"/>
  <c r="M67" i="2"/>
  <c r="M11" i="2" s="1"/>
  <c r="M42" i="2"/>
  <c r="M43" i="2"/>
  <c r="F57" i="4"/>
  <c r="J66" i="2" s="1"/>
  <c r="J67" i="2" s="1"/>
  <c r="J11" i="2" s="1"/>
  <c r="J29" i="2" s="1"/>
  <c r="D57" i="4"/>
  <c r="H66" i="2" s="1"/>
  <c r="H67" i="2" s="1"/>
  <c r="H11" i="2" s="1"/>
  <c r="G57" i="4"/>
  <c r="H43" i="4"/>
  <c r="H57" i="4" s="1"/>
  <c r="E43" i="4"/>
  <c r="E57" i="4" s="1"/>
  <c r="C43" i="4"/>
  <c r="C57" i="4" s="1"/>
  <c r="N13" i="2"/>
  <c r="N16" i="2"/>
  <c r="N36" i="2"/>
  <c r="Q36" i="2"/>
  <c r="Q13" i="2"/>
  <c r="Q16" i="2"/>
  <c r="P36" i="2"/>
  <c r="P16" i="2"/>
  <c r="P13" i="2"/>
  <c r="O36" i="2"/>
  <c r="O13" i="2"/>
  <c r="O16" i="2"/>
  <c r="M16" i="2"/>
  <c r="M36" i="2"/>
  <c r="M13" i="2"/>
  <c r="C90" i="2"/>
  <c r="G82" i="2"/>
  <c r="C4" i="2"/>
  <c r="C39" i="2" s="1"/>
  <c r="P19" i="2"/>
  <c r="P110" i="2"/>
  <c r="Q19" i="2"/>
  <c r="Q110" i="2"/>
  <c r="N19" i="2"/>
  <c r="N110" i="2"/>
  <c r="O19" i="2"/>
  <c r="O110" i="2"/>
  <c r="M19" i="2"/>
  <c r="M110" i="2"/>
  <c r="M39" i="2"/>
  <c r="N10" i="2"/>
  <c r="O39" i="2"/>
  <c r="P10" i="2"/>
  <c r="P39" i="2"/>
  <c r="Q10" i="2"/>
  <c r="N39" i="2"/>
  <c r="O10" i="2"/>
  <c r="L39" i="2"/>
  <c r="M10" i="2"/>
  <c r="G39" i="2"/>
  <c r="I39" i="2"/>
  <c r="C86" i="2"/>
  <c r="D44" i="3"/>
  <c r="H29" i="2"/>
  <c r="K39" i="2"/>
  <c r="H39" i="2"/>
  <c r="J39" i="2"/>
  <c r="O109" i="2"/>
  <c r="Q109" i="2"/>
  <c r="M109" i="2"/>
  <c r="N109" i="2"/>
  <c r="P109" i="2"/>
  <c r="G97" i="2"/>
  <c r="N97" i="2"/>
  <c r="N104" i="2"/>
  <c r="N103" i="2"/>
  <c r="P97" i="2"/>
  <c r="P103" i="2"/>
  <c r="P104" i="2"/>
  <c r="J97" i="2"/>
  <c r="K97" i="2"/>
  <c r="Q97" i="2"/>
  <c r="Q103" i="2"/>
  <c r="Q104" i="2"/>
  <c r="L97" i="2"/>
  <c r="I97" i="2"/>
  <c r="O97" i="2"/>
  <c r="O104" i="2"/>
  <c r="O103" i="2"/>
  <c r="M97" i="2"/>
  <c r="M104" i="2"/>
  <c r="M103" i="2"/>
  <c r="H97" i="2"/>
  <c r="N94" i="2"/>
  <c r="N93" i="2"/>
  <c r="O94" i="2"/>
  <c r="O93" i="2"/>
  <c r="Q93" i="2"/>
  <c r="Q94" i="2"/>
  <c r="P93" i="2"/>
  <c r="P94" i="2"/>
  <c r="M93" i="2"/>
  <c r="M94" i="2"/>
  <c r="K27" i="2"/>
  <c r="K88" i="2"/>
  <c r="K94" i="2" s="1"/>
  <c r="K87" i="2"/>
  <c r="K93" i="2" s="1"/>
  <c r="K86" i="2"/>
  <c r="K98" i="2" s="1"/>
  <c r="M88" i="2"/>
  <c r="M87" i="2"/>
  <c r="M86" i="2"/>
  <c r="I32" i="2"/>
  <c r="I87" i="2"/>
  <c r="I93" i="2" s="1"/>
  <c r="I86" i="2"/>
  <c r="I98" i="2" s="1"/>
  <c r="I88" i="2"/>
  <c r="I94" i="2" s="1"/>
  <c r="O86" i="2"/>
  <c r="O88" i="2"/>
  <c r="O87" i="2"/>
  <c r="Q29" i="2"/>
  <c r="Q87" i="2"/>
  <c r="Q86" i="2"/>
  <c r="Q88" i="2"/>
  <c r="H32" i="2"/>
  <c r="H86" i="2"/>
  <c r="H98" i="2" s="1"/>
  <c r="H88" i="2"/>
  <c r="H94" i="2" s="1"/>
  <c r="H87" i="2"/>
  <c r="H93" i="2" s="1"/>
  <c r="J56" i="2"/>
  <c r="J87" i="2"/>
  <c r="J93" i="2" s="1"/>
  <c r="J88" i="2"/>
  <c r="J94" i="2" s="1"/>
  <c r="J86" i="2"/>
  <c r="J98" i="2" s="1"/>
  <c r="P33" i="2"/>
  <c r="P86" i="2"/>
  <c r="P87" i="2"/>
  <c r="P88" i="2"/>
  <c r="G31" i="2"/>
  <c r="G87" i="2"/>
  <c r="G93" i="2" s="1"/>
  <c r="G88" i="2"/>
  <c r="G94" i="2" s="1"/>
  <c r="G86" i="2"/>
  <c r="G98" i="2" s="1"/>
  <c r="N86" i="2"/>
  <c r="N88" i="2"/>
  <c r="N87" i="2"/>
  <c r="L33" i="2"/>
  <c r="L88" i="2"/>
  <c r="L94" i="2" s="1"/>
  <c r="L87" i="2"/>
  <c r="L93" i="2" s="1"/>
  <c r="L86" i="2"/>
  <c r="L98" i="2" s="1"/>
  <c r="J30" i="2"/>
  <c r="P30" i="2"/>
  <c r="I49" i="2"/>
  <c r="I57" i="2" s="1"/>
  <c r="E68" i="4"/>
  <c r="Q52" i="2"/>
  <c r="Q7" i="2" s="1"/>
  <c r="Q30" i="2"/>
  <c r="H56" i="2"/>
  <c r="Q6" i="2"/>
  <c r="Q78" i="2"/>
  <c r="Q12" i="2" s="1"/>
  <c r="Q33" i="2"/>
  <c r="Q58" i="2"/>
  <c r="Q24" i="2"/>
  <c r="Q34" i="2"/>
  <c r="K49" i="2"/>
  <c r="K57" i="2" s="1"/>
  <c r="I27" i="2"/>
  <c r="K78" i="2"/>
  <c r="K12" i="2" s="1"/>
  <c r="K26" i="2" s="1"/>
  <c r="Q28" i="2"/>
  <c r="Q26" i="2"/>
  <c r="Q27" i="2"/>
  <c r="Q22" i="2"/>
  <c r="Q49" i="2"/>
  <c r="Q5" i="2" s="1"/>
  <c r="Q32" i="2"/>
  <c r="Q56" i="2"/>
  <c r="K58" i="2"/>
  <c r="Q25" i="2"/>
  <c r="Q101" i="2" s="1"/>
  <c r="Q60" i="2"/>
  <c r="Q59" i="2"/>
  <c r="Q57" i="2"/>
  <c r="Q55" i="2"/>
  <c r="Q23" i="2"/>
  <c r="Q31" i="2"/>
  <c r="F68" i="4"/>
  <c r="J52" i="2"/>
  <c r="J60" i="2" s="1"/>
  <c r="H78" i="2"/>
  <c r="H12" i="2" s="1"/>
  <c r="H26" i="2" s="1"/>
  <c r="I56" i="2"/>
  <c r="H59" i="2"/>
  <c r="H27" i="2"/>
  <c r="C68" i="4"/>
  <c r="I59" i="2"/>
  <c r="H33" i="2"/>
  <c r="D68" i="4"/>
  <c r="H30" i="2"/>
  <c r="I78" i="2"/>
  <c r="I12" i="2" s="1"/>
  <c r="I26" i="2" s="1"/>
  <c r="H31" i="2"/>
  <c r="I58" i="2"/>
  <c r="I31" i="2"/>
  <c r="H55" i="2"/>
  <c r="H52" i="2"/>
  <c r="H60" i="2" s="1"/>
  <c r="I30" i="2"/>
  <c r="I55" i="2"/>
  <c r="H58" i="2"/>
  <c r="G68" i="4"/>
  <c r="H49" i="2"/>
  <c r="H57" i="2" s="1"/>
  <c r="I33" i="2"/>
  <c r="L78" i="2"/>
  <c r="L12" i="2" s="1"/>
  <c r="L26" i="2" s="1"/>
  <c r="J78" i="2"/>
  <c r="J12" i="2" s="1"/>
  <c r="J26" i="2" s="1"/>
  <c r="J59" i="2"/>
  <c r="L31" i="2"/>
  <c r="J33" i="2"/>
  <c r="J31" i="2"/>
  <c r="J49" i="2"/>
  <c r="J57" i="2" s="1"/>
  <c r="J55" i="2"/>
  <c r="L55" i="2"/>
  <c r="L49" i="2"/>
  <c r="L57" i="2" s="1"/>
  <c r="J32" i="2"/>
  <c r="L32" i="2"/>
  <c r="L52" i="2"/>
  <c r="L60" i="2" s="1"/>
  <c r="J27" i="2"/>
  <c r="L27" i="2"/>
  <c r="L30" i="2"/>
  <c r="L56" i="2"/>
  <c r="G52" i="2"/>
  <c r="G60" i="2" s="1"/>
  <c r="L59" i="2"/>
  <c r="G33" i="2"/>
  <c r="G30" i="2"/>
  <c r="G59" i="2"/>
  <c r="G27" i="2"/>
  <c r="P60" i="2"/>
  <c r="P58" i="2"/>
  <c r="P28" i="2"/>
  <c r="K55" i="2"/>
  <c r="K56" i="2"/>
  <c r="P78" i="2"/>
  <c r="P12" i="2" s="1"/>
  <c r="K30" i="2"/>
  <c r="P25" i="2"/>
  <c r="P101" i="2" s="1"/>
  <c r="P57" i="2"/>
  <c r="P26" i="2"/>
  <c r="P23" i="2"/>
  <c r="P34" i="2"/>
  <c r="G56" i="2"/>
  <c r="P24" i="2"/>
  <c r="P59" i="2"/>
  <c r="P49" i="2"/>
  <c r="P5" i="2" s="1"/>
  <c r="P27" i="2"/>
  <c r="G32" i="2"/>
  <c r="P56" i="2"/>
  <c r="P52" i="2"/>
  <c r="P7" i="2" s="1"/>
  <c r="P22" i="2"/>
  <c r="G49" i="2"/>
  <c r="G57" i="2" s="1"/>
  <c r="P6" i="2"/>
  <c r="G78" i="2"/>
  <c r="G12" i="2" s="1"/>
  <c r="G26" i="2" s="1"/>
  <c r="G55" i="2"/>
  <c r="P55" i="2"/>
  <c r="K59" i="2"/>
  <c r="K33" i="2"/>
  <c r="P32" i="2"/>
  <c r="K32" i="2"/>
  <c r="P31" i="2"/>
  <c r="K31" i="2"/>
  <c r="P29" i="2"/>
  <c r="B1" i="4"/>
  <c r="G58" i="2"/>
  <c r="L58" i="2"/>
  <c r="J58" i="2"/>
  <c r="O29" i="2"/>
  <c r="O31" i="2"/>
  <c r="O32" i="2"/>
  <c r="O30" i="2"/>
  <c r="O33" i="2"/>
  <c r="M31" i="2"/>
  <c r="M32" i="2"/>
  <c r="M33" i="2"/>
  <c r="M29" i="2"/>
  <c r="M30" i="2"/>
  <c r="N29" i="2"/>
  <c r="N31" i="2"/>
  <c r="N32" i="2"/>
  <c r="N33" i="2"/>
  <c r="N30" i="2"/>
  <c r="O26" i="2"/>
  <c r="N26" i="2"/>
  <c r="M26" i="2"/>
  <c r="O78" i="2"/>
  <c r="O12" i="2" s="1"/>
  <c r="M78" i="2"/>
  <c r="M12" i="2" s="1"/>
  <c r="N78" i="2"/>
  <c r="N12" i="2" s="1"/>
  <c r="K52" i="2"/>
  <c r="I52" i="2"/>
  <c r="I60" i="2" s="1"/>
  <c r="M24" i="2"/>
  <c r="M27" i="2"/>
  <c r="M59" i="2"/>
  <c r="M60" i="2"/>
  <c r="M52" i="2"/>
  <c r="M7" i="2" s="1"/>
  <c r="M6" i="2"/>
  <c r="M25" i="2"/>
  <c r="M101" i="2" s="1"/>
  <c r="M28" i="2"/>
  <c r="M57" i="2"/>
  <c r="M23" i="2"/>
  <c r="M55" i="2"/>
  <c r="M56" i="2"/>
  <c r="M49" i="2"/>
  <c r="M5" i="2" s="1"/>
  <c r="M58" i="2"/>
  <c r="M34" i="2"/>
  <c r="M22" i="2"/>
  <c r="N55" i="2"/>
  <c r="N24" i="2"/>
  <c r="N25" i="2"/>
  <c r="N101" i="2" s="1"/>
  <c r="N34" i="2"/>
  <c r="N27" i="2"/>
  <c r="N57" i="2"/>
  <c r="N22" i="2"/>
  <c r="N52" i="2"/>
  <c r="N7" i="2" s="1"/>
  <c r="N6" i="2"/>
  <c r="N23" i="2"/>
  <c r="N60" i="2"/>
  <c r="N58" i="2"/>
  <c r="N59" i="2"/>
  <c r="N28" i="2"/>
  <c r="N49" i="2"/>
  <c r="N5" i="2" s="1"/>
  <c r="N56" i="2"/>
  <c r="O34" i="2"/>
  <c r="O28" i="2"/>
  <c r="O58" i="2"/>
  <c r="O59" i="2"/>
  <c r="O57" i="2"/>
  <c r="O56" i="2"/>
  <c r="O49" i="2"/>
  <c r="O5" i="2" s="1"/>
  <c r="O52" i="2"/>
  <c r="O7" i="2" s="1"/>
  <c r="O6" i="2"/>
  <c r="O27" i="2"/>
  <c r="O25" i="2"/>
  <c r="O101" i="2" s="1"/>
  <c r="O22" i="2"/>
  <c r="O23" i="2"/>
  <c r="O60" i="2"/>
  <c r="O55" i="2"/>
  <c r="O24" i="2"/>
  <c r="K66" i="2" l="1"/>
  <c r="K67" i="2" s="1"/>
  <c r="K11" i="2" s="1"/>
  <c r="K29" i="2" s="1"/>
  <c r="L66" i="2"/>
  <c r="L67" i="2" s="1"/>
  <c r="L11" i="2" s="1"/>
  <c r="G66" i="2"/>
  <c r="I66" i="2"/>
  <c r="I67" i="2" s="1"/>
  <c r="I11" i="2" s="1"/>
  <c r="C56" i="2"/>
  <c r="C48" i="2" s="1"/>
  <c r="C98" i="2"/>
  <c r="C11" i="9"/>
  <c r="C103" i="2"/>
  <c r="C49" i="3"/>
  <c r="L103" i="2"/>
  <c r="J103" i="2"/>
  <c r="G103" i="2"/>
  <c r="H103" i="2"/>
  <c r="K103" i="2"/>
  <c r="I103" i="2"/>
  <c r="C102" i="2"/>
  <c r="H5" i="2"/>
  <c r="H22" i="2" s="1"/>
  <c r="I5" i="2"/>
  <c r="I22" i="2" s="1"/>
  <c r="C93" i="2"/>
  <c r="C94" i="2"/>
  <c r="K5" i="2"/>
  <c r="K22" i="2" s="1"/>
  <c r="J7" i="2"/>
  <c r="J24" i="2" s="1"/>
  <c r="C30" i="2"/>
  <c r="C31" i="2" s="1"/>
  <c r="C9" i="2" s="1"/>
  <c r="L5" i="2"/>
  <c r="L22" i="2" s="1"/>
  <c r="G7" i="2"/>
  <c r="G24" i="2" s="1"/>
  <c r="J5" i="2"/>
  <c r="J22" i="2" s="1"/>
  <c r="C58" i="2"/>
  <c r="C59" i="2"/>
  <c r="C32" i="2"/>
  <c r="C17" i="2" s="1"/>
  <c r="L7" i="2"/>
  <c r="L24" i="2" s="1"/>
  <c r="H7" i="2"/>
  <c r="H24" i="2" s="1"/>
  <c r="G5" i="2"/>
  <c r="G22" i="2" s="1"/>
  <c r="K7" i="2"/>
  <c r="K24" i="2" s="1"/>
  <c r="K60" i="2"/>
  <c r="I7" i="2"/>
  <c r="I24" i="2" s="1"/>
  <c r="C52" i="2"/>
  <c r="G67" i="2" l="1"/>
  <c r="I29" i="2"/>
  <c r="L29" i="2"/>
  <c r="C29" i="2"/>
  <c r="C24" i="6"/>
  <c r="H6" i="2"/>
  <c r="K6" i="2"/>
  <c r="G6" i="2"/>
  <c r="I6" i="2"/>
  <c r="L6" i="2"/>
  <c r="J6" i="2"/>
  <c r="C7" i="2"/>
  <c r="C24" i="2" s="1"/>
  <c r="C60" i="2"/>
  <c r="G11" i="2" l="1"/>
  <c r="G29" i="2" s="1"/>
  <c r="L23" i="2"/>
  <c r="L10" i="2"/>
  <c r="L13" i="2" s="1"/>
  <c r="L16" i="2" s="1"/>
  <c r="I23" i="2"/>
  <c r="I10" i="2"/>
  <c r="H23" i="2"/>
  <c r="H10" i="2"/>
  <c r="G23" i="2"/>
  <c r="G10" i="2"/>
  <c r="K23" i="2"/>
  <c r="K10" i="2"/>
  <c r="J23" i="2"/>
  <c r="J10" i="2"/>
  <c r="C89" i="2"/>
  <c r="D49" i="3" l="1"/>
  <c r="G13" i="2"/>
  <c r="G16" i="2" s="1"/>
  <c r="G36" i="2" s="1"/>
  <c r="C88" i="9"/>
  <c r="H13" i="2"/>
  <c r="H16" i="2" s="1"/>
  <c r="H36" i="2" s="1"/>
  <c r="I13" i="2"/>
  <c r="I16" i="2" s="1"/>
  <c r="I36" i="2" s="1"/>
  <c r="J13" i="2"/>
  <c r="J16" i="2" s="1"/>
  <c r="J36" i="2" s="1"/>
  <c r="K13" i="2"/>
  <c r="K16" i="2" s="1"/>
  <c r="K36" i="2" s="1"/>
  <c r="L36" i="2"/>
  <c r="L19" i="2"/>
  <c r="G19" i="2"/>
  <c r="D48" i="3"/>
  <c r="K104" i="2"/>
  <c r="H104" i="2"/>
  <c r="D88" i="9"/>
  <c r="C89" i="9" s="1"/>
  <c r="H25" i="2"/>
  <c r="H101" i="2" s="1"/>
  <c r="K25" i="2"/>
  <c r="K101" i="2" s="1"/>
  <c r="J104" i="2"/>
  <c r="I25" i="2"/>
  <c r="I101" i="2" s="1"/>
  <c r="I104" i="2"/>
  <c r="L104" i="2"/>
  <c r="G104" i="2"/>
  <c r="J25" i="2"/>
  <c r="J101" i="2" s="1"/>
  <c r="G25" i="2"/>
  <c r="G101" i="2" s="1"/>
  <c r="L25" i="2"/>
  <c r="L101" i="2" s="1"/>
  <c r="G34" i="3"/>
  <c r="C33" i="2" l="1"/>
  <c r="C15" i="2" s="1"/>
  <c r="C40" i="3"/>
  <c r="I19" i="2"/>
  <c r="K19" i="2"/>
  <c r="J19" i="2"/>
  <c r="H19" i="2"/>
  <c r="L28" i="2"/>
  <c r="C7" i="6" l="1"/>
  <c r="C3" i="2" l="1"/>
  <c r="G1" i="2"/>
  <c r="L110" i="2" l="1"/>
  <c r="G42" i="2"/>
  <c r="G43" i="2" s="1"/>
  <c r="L42" i="2"/>
  <c r="L43" i="2" s="1"/>
  <c r="I42" i="2"/>
  <c r="I43" i="2" s="1"/>
  <c r="H42" i="2"/>
  <c r="H43" i="2" s="1"/>
  <c r="K42" i="2"/>
  <c r="K43" i="2" s="1"/>
  <c r="J42" i="2"/>
  <c r="J43" i="2" s="1"/>
  <c r="J110" i="2"/>
  <c r="I110" i="2"/>
  <c r="K110" i="2"/>
  <c r="H110" i="2"/>
  <c r="G110" i="2"/>
  <c r="C3" i="8"/>
  <c r="C109" i="2"/>
  <c r="J109" i="2"/>
  <c r="I109" i="2"/>
  <c r="K109" i="2"/>
  <c r="L109" i="2"/>
  <c r="H109" i="2"/>
  <c r="G109" i="2"/>
  <c r="F1" i="3"/>
  <c r="H1" i="2"/>
  <c r="P102" i="2"/>
  <c r="M102" i="2"/>
  <c r="L102" i="2"/>
  <c r="J102" i="2"/>
  <c r="K102" i="2"/>
  <c r="N102" i="2"/>
  <c r="I102" i="2"/>
  <c r="O102" i="2"/>
  <c r="H102" i="2"/>
  <c r="Q102" i="2"/>
  <c r="E1" i="4"/>
  <c r="F1" i="4" s="1"/>
  <c r="G1" i="4" s="1"/>
  <c r="H1" i="4" s="1"/>
  <c r="I1" i="4" s="1"/>
  <c r="J1" i="4" s="1"/>
  <c r="K1" i="4" s="1"/>
  <c r="L1" i="4" s="1"/>
  <c r="M1" i="4" s="1"/>
  <c r="C6" i="9" l="1"/>
  <c r="C55" i="2"/>
  <c r="C47" i="2" l="1"/>
  <c r="C49" i="2" s="1"/>
  <c r="K100" i="2"/>
  <c r="Q100" i="2"/>
  <c r="O100" i="2"/>
  <c r="P100" i="2"/>
  <c r="H100" i="2"/>
  <c r="N100" i="2"/>
  <c r="J100" i="2"/>
  <c r="M100" i="2"/>
  <c r="C57" i="2" l="1"/>
  <c r="C5" i="2"/>
  <c r="C22" i="2" s="1"/>
  <c r="L100" i="2"/>
  <c r="I100" i="2"/>
  <c r="C34" i="3"/>
  <c r="C35" i="3" s="1"/>
  <c r="C6" i="2" l="1"/>
  <c r="C27" i="3"/>
  <c r="C23" i="2" l="1"/>
  <c r="C10" i="2"/>
  <c r="C48" i="3" s="1"/>
  <c r="C28" i="3"/>
  <c r="G31" i="3"/>
  <c r="G81" i="2" s="1"/>
  <c r="B1" i="2"/>
  <c r="C7" i="8" l="1"/>
  <c r="D45" i="3"/>
  <c r="C25" i="2"/>
  <c r="C101" i="2" s="1"/>
  <c r="C104" i="2"/>
  <c r="E66" i="8" l="1"/>
  <c r="F68" i="8"/>
  <c r="C70" i="8"/>
  <c r="B70" i="8"/>
  <c r="B69" i="8"/>
  <c r="D67" i="8"/>
  <c r="B67" i="8"/>
  <c r="C67" i="8"/>
  <c r="C65" i="8"/>
  <c r="E67" i="8"/>
  <c r="D68" i="8"/>
  <c r="F69" i="8"/>
  <c r="C68" i="8"/>
  <c r="D65" i="8"/>
  <c r="D69" i="8"/>
  <c r="E68" i="8"/>
  <c r="B66" i="8"/>
  <c r="E77" i="8" s="1"/>
  <c r="F77" i="8" s="1"/>
  <c r="F66" i="8"/>
  <c r="B65" i="8"/>
  <c r="D70" i="8"/>
  <c r="F67" i="8"/>
  <c r="E69" i="8"/>
  <c r="D66" i="8"/>
  <c r="F70" i="8"/>
  <c r="E70" i="8"/>
  <c r="E65" i="8"/>
  <c r="B68" i="8"/>
  <c r="C69" i="8"/>
  <c r="C66" i="8"/>
  <c r="F65" i="8"/>
  <c r="C81" i="2"/>
  <c r="C76" i="2" s="1"/>
  <c r="C97" i="2" l="1"/>
  <c r="C78" i="2"/>
  <c r="C12" i="2" s="1"/>
  <c r="C64" i="9"/>
  <c r="I1" i="2"/>
  <c r="C26" i="2" l="1"/>
  <c r="C13" i="2"/>
  <c r="C14" i="2" s="1"/>
  <c r="C27" i="2" s="1"/>
  <c r="J1" i="2"/>
  <c r="K1" i="2" s="1"/>
  <c r="L1" i="2" s="1"/>
  <c r="M1" i="2" s="1"/>
  <c r="N1" i="2" s="1"/>
  <c r="O1" i="2" s="1"/>
  <c r="P1" i="2" s="1"/>
  <c r="Q1" i="2" s="1"/>
  <c r="C16" i="2" l="1"/>
  <c r="C19" i="2" s="1"/>
  <c r="G102" i="2"/>
  <c r="C110" i="2" l="1"/>
  <c r="C42" i="2"/>
  <c r="C43" i="2" s="1"/>
  <c r="C42" i="8"/>
  <c r="F42" i="8" s="1"/>
  <c r="C43" i="8"/>
  <c r="F43" i="8" s="1"/>
  <c r="C44" i="8"/>
  <c r="F44" i="8" s="1"/>
  <c r="C40" i="8"/>
  <c r="F40" i="8" s="1"/>
  <c r="C41" i="8"/>
  <c r="F41" i="8" s="1"/>
  <c r="C45" i="8"/>
  <c r="F45" i="8" s="1"/>
  <c r="C48" i="8"/>
  <c r="F48" i="8" s="1"/>
  <c r="C49" i="8"/>
  <c r="F49" i="8" s="1"/>
  <c r="C46" i="8"/>
  <c r="F46" i="8" s="1"/>
  <c r="C47" i="8"/>
  <c r="F47" i="8" s="1"/>
  <c r="C38" i="8"/>
  <c r="C39" i="8"/>
  <c r="C35" i="8"/>
  <c r="C37" i="8"/>
  <c r="C36" i="8"/>
  <c r="G100" i="2"/>
  <c r="F37" i="8" l="1"/>
  <c r="F36" i="8"/>
  <c r="F38" i="8"/>
  <c r="F39" i="8"/>
  <c r="F35" i="8"/>
  <c r="L34" i="2"/>
  <c r="C63" i="8" l="1"/>
  <c r="E73" i="8" l="1"/>
  <c r="E74" i="8"/>
  <c r="F74" i="8" s="1"/>
  <c r="E76" i="8"/>
  <c r="F76" i="8" s="1"/>
  <c r="E75" i="8"/>
  <c r="F75" i="8" s="1"/>
  <c r="C40" i="9" l="1"/>
  <c r="F73" i="8"/>
  <c r="C70" i="9"/>
  <c r="C46" i="9"/>
  <c r="C21" i="9"/>
  <c r="C52" i="9"/>
  <c r="C55" i="9" l="1"/>
  <c r="C73" i="9" s="1"/>
  <c r="C82" i="9" s="1"/>
  <c r="C83" i="9" s="1"/>
  <c r="F83" i="9" l="1"/>
  <c r="C69" i="6" s="1"/>
  <c r="C90" i="6"/>
  <c r="I28" i="2"/>
  <c r="J28" i="2"/>
  <c r="H28" i="2"/>
  <c r="K28" i="2"/>
  <c r="G28" i="2"/>
  <c r="C28" i="2"/>
  <c r="C23" i="6" l="1"/>
  <c r="C25" i="6" s="1"/>
  <c r="J34" i="2"/>
  <c r="I34" i="2"/>
  <c r="H34" i="2"/>
  <c r="C4" i="8"/>
  <c r="C6" i="8" l="1"/>
  <c r="C20" i="8"/>
  <c r="C34" i="2"/>
  <c r="C8" i="9"/>
  <c r="C27" i="6"/>
  <c r="C28" i="6" s="1"/>
  <c r="C29" i="6" s="1"/>
  <c r="C33" i="8" l="1"/>
  <c r="F33" i="8" s="1"/>
  <c r="C32" i="8"/>
  <c r="F32" i="8" s="1"/>
  <c r="C30" i="8"/>
  <c r="F30" i="8" s="1"/>
  <c r="C31" i="8"/>
  <c r="F31" i="8" s="1"/>
  <c r="C34" i="8"/>
  <c r="F34" i="8" s="1"/>
  <c r="C9" i="8"/>
  <c r="C11" i="8" s="1"/>
  <c r="K34" i="2"/>
  <c r="G34" i="2"/>
  <c r="C7" i="9"/>
  <c r="C25" i="8"/>
  <c r="F25" i="8" s="1"/>
  <c r="C28" i="8"/>
  <c r="F28" i="8" s="1"/>
  <c r="C22" i="8"/>
  <c r="F22" i="8" s="1"/>
  <c r="C29" i="8"/>
  <c r="F29" i="8" s="1"/>
  <c r="C27" i="8"/>
  <c r="F27" i="8" s="1"/>
  <c r="C23" i="8"/>
  <c r="F23" i="8" s="1"/>
  <c r="C26" i="8"/>
  <c r="F26" i="8" s="1"/>
  <c r="F20" i="8"/>
  <c r="C50" i="8"/>
  <c r="F50" i="8" s="1"/>
  <c r="C21" i="8"/>
  <c r="F21" i="8" s="1"/>
  <c r="C24" i="8"/>
  <c r="F24" i="8" s="1"/>
  <c r="D64" i="8" l="1"/>
  <c r="C64" i="8"/>
  <c r="F64" i="8"/>
  <c r="B64" i="8"/>
  <c r="E64" i="8"/>
  <c r="F51" i="8"/>
  <c r="C17" i="8" l="1"/>
  <c r="A54" i="8"/>
  <c r="D17" i="8" l="1"/>
  <c r="C26" i="9"/>
</calcChain>
</file>

<file path=xl/sharedStrings.xml><?xml version="1.0" encoding="utf-8"?>
<sst xmlns="http://schemas.openxmlformats.org/spreadsheetml/2006/main" count="468" uniqueCount="334">
  <si>
    <t>Number of Shares:</t>
  </si>
  <si>
    <t>Reporting Currency:</t>
  </si>
  <si>
    <t>Exchange Rate:</t>
  </si>
  <si>
    <t>Sales</t>
  </si>
  <si>
    <t>Total Assets</t>
  </si>
  <si>
    <t>Current Liabilities</t>
  </si>
  <si>
    <t>ST Borrowing</t>
  </si>
  <si>
    <t>ST Lease liabilities</t>
  </si>
  <si>
    <t>ST SH Loan</t>
  </si>
  <si>
    <t>ST Financial Liabilities</t>
  </si>
  <si>
    <t>Other ST liabilities</t>
  </si>
  <si>
    <t>Inventory</t>
  </si>
  <si>
    <t>Properties under development</t>
  </si>
  <si>
    <t>ST DTA</t>
  </si>
  <si>
    <t>Other ST Assets</t>
  </si>
  <si>
    <t>ST Debt</t>
  </si>
  <si>
    <t>LT Borrowing</t>
  </si>
  <si>
    <t>LT Lease liabilities</t>
  </si>
  <si>
    <t>LT SH Loan</t>
  </si>
  <si>
    <t>LT Financial Liabilities</t>
  </si>
  <si>
    <t>Other LT liabilities</t>
  </si>
  <si>
    <t>Investment property</t>
  </si>
  <si>
    <t>Biological assets</t>
  </si>
  <si>
    <t>Intangible assets</t>
  </si>
  <si>
    <t>LT DTA</t>
  </si>
  <si>
    <t>Other assets &amp; Goodwill</t>
  </si>
  <si>
    <t>LT Debt</t>
  </si>
  <si>
    <t>Noncurrent Liabilities</t>
  </si>
  <si>
    <t>Total Liabilities</t>
  </si>
  <si>
    <t>Capitalization:</t>
    <phoneticPr fontId="2" type="noConversion"/>
  </si>
  <si>
    <t>- R&amp;D</t>
    <phoneticPr fontId="2" type="noConversion"/>
  </si>
  <si>
    <t>Valuation</t>
    <phoneticPr fontId="2" type="noConversion"/>
  </si>
  <si>
    <t>ST AR</t>
    <phoneticPr fontId="2" type="noConversion"/>
  </si>
  <si>
    <t>Prepayments and Contract Assets</t>
    <phoneticPr fontId="2" type="noConversion"/>
  </si>
  <si>
    <t>PP&amp;E &amp; Right of Use Assets</t>
    <phoneticPr fontId="2" type="noConversion"/>
  </si>
  <si>
    <t>Properties under development</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</si>
  <si>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</si>
  <si>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</si>
  <si>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</si>
  <si>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</si>
  <si>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</si>
  <si>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</si>
  <si>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</si>
  <si>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</si>
  <si>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HK</t>
  </si>
  <si>
    <t>Valued @</t>
    <phoneticPr fontId="2" type="noConversion"/>
  </si>
  <si>
    <t>CAGR Calculator</t>
    <phoneticPr fontId="2" type="noConversion"/>
  </si>
  <si>
    <t>Inputs =</t>
    <phoneticPr fontId="2" type="noConversion"/>
  </si>
  <si>
    <t>CAGR =</t>
    <phoneticPr fontId="2" type="noConversion"/>
  </si>
  <si>
    <t>Initial Value (PV)</t>
    <phoneticPr fontId="2" type="noConversion"/>
  </si>
  <si>
    <t>Final Value (FV)</t>
    <phoneticPr fontId="2" type="noConversion"/>
  </si>
  <si>
    <t># of Years</t>
    <phoneticPr fontId="2" type="noConversion"/>
  </si>
  <si>
    <t>Base Case</t>
    <phoneticPr fontId="2" type="noConversion"/>
  </si>
  <si>
    <t>Pessimistic Case</t>
    <phoneticPr fontId="2" type="noConversion"/>
  </si>
  <si>
    <t>Dividend per share</t>
    <phoneticPr fontId="2" type="noConversion"/>
  </si>
  <si>
    <t>Most Recent Quarter</t>
    <phoneticPr fontId="2" type="noConversion"/>
  </si>
  <si>
    <t>ROE</t>
    <phoneticPr fontId="2" type="noConversion"/>
  </si>
  <si>
    <t>EBIT ROE</t>
    <phoneticPr fontId="2" type="noConversion"/>
  </si>
  <si>
    <t>Interest Expense</t>
    <phoneticPr fontId="2" type="noConversion"/>
  </si>
  <si>
    <t>Total Liabilities</t>
    <phoneticPr fontId="2" type="noConversion"/>
  </si>
  <si>
    <t>Contingent Liabilities</t>
    <phoneticPr fontId="2" type="noConversion"/>
  </si>
  <si>
    <t>HKD</t>
    <phoneticPr fontId="2" type="noConversion"/>
  </si>
  <si>
    <t>Model last updated:</t>
    <phoneticPr fontId="2" type="noConversion"/>
  </si>
  <si>
    <t>Liabilities</t>
    <phoneticPr fontId="2" type="noConversion"/>
  </si>
  <si>
    <t>Reported Net Income</t>
    <phoneticPr fontId="2" type="noConversion"/>
  </si>
  <si>
    <t>% Sales</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</si>
  <si>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</si>
  <si>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</si>
  <si>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</si>
  <si>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</si>
  <si>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</si>
  <si>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</si>
  <si>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Review Interval:</t>
    <phoneticPr fontId="2" type="noConversion"/>
  </si>
  <si>
    <t>Review Date:</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</si>
  <si>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</si>
  <si>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</si>
  <si>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</si>
  <si>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</si>
  <si>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</si>
  <si>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Other Data</t>
    <phoneticPr fontId="2" type="noConversion"/>
  </si>
  <si>
    <t>OPEX</t>
    <phoneticPr fontId="2" type="noConversion"/>
  </si>
  <si>
    <t>Key Metrics:</t>
    <phoneticPr fontId="2" type="noConversion"/>
  </si>
  <si>
    <t>Adjusted FCFE = Net Income + D&amp;A – Maintenance Capex ± WCInv (if material).</t>
    <phoneticPr fontId="2" type="noConversion"/>
  </si>
  <si>
    <t>Notes:</t>
    <phoneticPr fontId="2" type="noConversion"/>
  </si>
  <si>
    <t>1. the model explicitly avoids aggressive growth assumptions and prioritizes downside protection.</t>
    <phoneticPr fontId="2" type="noConversion"/>
  </si>
  <si>
    <t>2. Net borrowing is excluded (fixed at 0), and WCInv is only included if it materially distorts FCFE (&gt;5% volatility).</t>
    <phoneticPr fontId="2" type="noConversion"/>
  </si>
  <si>
    <t xml:space="preserve">3. Normalization: 5-year averages will smooth cyclicality for 590.HK.
</t>
    <phoneticPr fontId="2" type="noConversion"/>
  </si>
  <si>
    <t>Adjusted Earnings Yield = Adjusted FCFE / Market Cap.</t>
    <phoneticPr fontId="2" type="noConversion"/>
  </si>
  <si>
    <t>Intrinsic Value (No Growth) = Adjusted FCFE / Equity Cost of Capital.</t>
    <phoneticPr fontId="2" type="noConversion"/>
  </si>
  <si>
    <t>Decision Rule:</t>
    <phoneticPr fontId="2" type="noConversion"/>
  </si>
  <si>
    <t>Buy if Adjusted Earnings Yield &gt; 7%</t>
    <phoneticPr fontId="2" type="noConversion"/>
  </si>
  <si>
    <t>g = (r × P - Adjusted FCFE) / (P + Adjusted FCFE)</t>
    <phoneticPr fontId="2" type="noConversion"/>
  </si>
  <si>
    <t>Investment Thesis for</t>
    <phoneticPr fontId="2" type="noConversion"/>
  </si>
  <si>
    <t>Adjusted FCFE Calculation</t>
    <phoneticPr fontId="2" type="noConversion"/>
  </si>
  <si>
    <t>Equity Cost of Capital (Buffett Method)</t>
    <phoneticPr fontId="2" type="noConversion"/>
  </si>
  <si>
    <t>No-Growth DCF Valuation</t>
    <phoneticPr fontId="2" type="noConversion"/>
  </si>
  <si>
    <t>Phase Breakdown:</t>
    <phoneticPr fontId="2" type="noConversion"/>
  </si>
  <si>
    <t>High Growth: 5 years at 5%, then transitions to 3% perpetual growth.</t>
    <phoneticPr fontId="2" type="noConversion"/>
  </si>
  <si>
    <t>Opertimistic Case</t>
    <phoneticPr fontId="2" type="noConversion"/>
  </si>
  <si>
    <t>Scenario Analysis:</t>
    <phoneticPr fontId="2" type="noConversion"/>
  </si>
  <si>
    <t>Output:</t>
    <phoneticPr fontId="2" type="noConversion"/>
  </si>
  <si>
    <t>Buy price range incorporating a 15–20% margin of safety (e.g., HKD 10–14/share).</t>
    <phoneticPr fontId="2" type="noConversion"/>
  </si>
  <si>
    <t>Equity Value Calculation</t>
    <phoneticPr fontId="2" type="noConversion"/>
  </si>
  <si>
    <t>Formula:</t>
    <phoneticPr fontId="2" type="noConversion"/>
  </si>
  <si>
    <t>Key Adjustments:</t>
    <phoneticPr fontId="2" type="noConversion"/>
  </si>
  <si>
    <t>Equity Value = Intrinsic Value (with user-selected implied g) + Non-operating Assets - Interest-bearing Debt</t>
    <phoneticPr fontId="2" type="noConversion"/>
  </si>
  <si>
    <t>Non-operating Assets: Include cash, marketable securities, real estate, etc., at market value.</t>
    <phoneticPr fontId="2" type="noConversion"/>
  </si>
  <si>
    <t>Debt: Subtract total interest-bearing debt (market value if distressed).</t>
    <phoneticPr fontId="2" type="noConversion"/>
  </si>
  <si>
    <t>KEY EXCLUSIONS &amp; LIMITATIONS</t>
    <phoneticPr fontId="2" type="noConversion"/>
  </si>
  <si>
    <t>Conservative Bias:</t>
    <phoneticPr fontId="2" type="noConversion"/>
  </si>
  <si>
    <t>Excludes net borrowing, potentially undervaluing firms with debt efficiency.</t>
    <phoneticPr fontId="2" type="noConversion"/>
  </si>
  <si>
    <t>Growth Constraints:</t>
    <phoneticPr fontId="2" type="noConversion"/>
  </si>
  <si>
    <t>Perpetual growth capped at 3%, penalizing high-growth companies.</t>
    <phoneticPr fontId="2" type="noConversion"/>
  </si>
  <si>
    <t>Subjective Adjustments:</t>
    <phoneticPr fontId="2" type="noConversion"/>
  </si>
  <si>
    <t>Non-operating assets and debt require manual review.</t>
    <phoneticPr fontId="2" type="noConversion"/>
  </si>
  <si>
    <t>Margin of Safety:</t>
    <phoneticPr fontId="2" type="noConversion"/>
  </si>
  <si>
    <t>Conclusion</t>
    <phoneticPr fontId="2" type="noConversion"/>
  </si>
  <si>
    <t>Price Target:</t>
    <phoneticPr fontId="2" type="noConversion"/>
  </si>
  <si>
    <t>Comapny Information</t>
    <phoneticPr fontId="2" type="noConversion"/>
  </si>
  <si>
    <t>Comp_Sector:</t>
    <phoneticPr fontId="2" type="noConversion"/>
  </si>
  <si>
    <t>Introduction</t>
    <phoneticPr fontId="2" type="noConversion"/>
  </si>
  <si>
    <t>Stock Analysis</t>
    <phoneticPr fontId="2" type="noConversion"/>
  </si>
  <si>
    <t>Growth Scenario Analysis</t>
    <phoneticPr fontId="2" type="noConversion"/>
  </si>
  <si>
    <t xml:space="preserve">Net Income = </t>
    <phoneticPr fontId="2" type="noConversion"/>
  </si>
  <si>
    <t>Variables</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</si>
  <si>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</si>
  <si>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</si>
  <si>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</si>
  <si>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</si>
  <si>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</si>
  <si>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</si>
  <si>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Operating Costs</t>
    <phoneticPr fontId="2" type="noConversion"/>
  </si>
  <si>
    <t>Income Tax</t>
    <phoneticPr fontId="2" type="noConversion"/>
  </si>
  <si>
    <t>Incl. Other Opex</t>
    <phoneticPr fontId="2" type="noConversion"/>
  </si>
  <si>
    <t>Other Opex (Fixed Overhead)</t>
    <phoneticPr fontId="2" type="noConversion"/>
  </si>
  <si>
    <t>% Sales of Operating Costs</t>
    <phoneticPr fontId="2" type="noConversion"/>
  </si>
  <si>
    <t>Add Back D&amp;A</t>
    <phoneticPr fontId="2" type="noConversion"/>
  </si>
  <si>
    <t>FCFE</t>
    <phoneticPr fontId="2" type="noConversion"/>
  </si>
  <si>
    <t>Detailed Analysis</t>
    <phoneticPr fontId="2" type="noConversion"/>
  </si>
  <si>
    <t>Interest Income</t>
    <phoneticPr fontId="2" type="noConversion"/>
  </si>
  <si>
    <t>Net Interest Income</t>
    <phoneticPr fontId="2" type="noConversion"/>
  </si>
  <si>
    <t>Properties held for sale</t>
    <phoneticPr fontId="2" type="noConversion"/>
  </si>
  <si>
    <t>Non-Operating Assets</t>
    <phoneticPr fontId="2" type="noConversion"/>
  </si>
  <si>
    <t>Non-Operating ST Assets</t>
    <phoneticPr fontId="2" type="noConversion"/>
  </si>
  <si>
    <t>Non-Operating LT Assets</t>
    <phoneticPr fontId="2" type="noConversion"/>
  </si>
  <si>
    <t>Operating ST Assets</t>
    <phoneticPr fontId="2" type="noConversion"/>
  </si>
  <si>
    <t>LT AR</t>
    <phoneticPr fontId="2" type="noConversion"/>
  </si>
  <si>
    <t>Operating Properties held for sale</t>
    <phoneticPr fontId="2" type="noConversion"/>
  </si>
  <si>
    <t>Operating LT Assets</t>
    <phoneticPr fontId="2" type="noConversion"/>
  </si>
  <si>
    <t>Total Assets</t>
    <phoneticPr fontId="2" type="noConversion"/>
  </si>
  <si>
    <t xml:space="preserve">Incl. Non-common Interest </t>
    <phoneticPr fontId="2" type="noConversion"/>
  </si>
  <si>
    <t>Incl. Common Equity</t>
    <phoneticPr fontId="2" type="noConversion"/>
  </si>
  <si>
    <t>incl. Interest-bearing Debt</t>
    <phoneticPr fontId="2" type="noConversion"/>
  </si>
  <si>
    <t>Use the highest past tax rate</t>
    <phoneticPr fontId="2" type="noConversion"/>
  </si>
  <si>
    <t/>
  </si>
  <si>
    <t>incl. Cash</t>
    <phoneticPr fontId="2" type="noConversion"/>
  </si>
  <si>
    <t>Cash and cash equivalents</t>
    <phoneticPr fontId="2" type="noConversion"/>
  </si>
  <si>
    <t>LT Depositis</t>
    <phoneticPr fontId="2" type="noConversion"/>
  </si>
  <si>
    <t>Use Last year's rate</t>
    <phoneticPr fontId="2" type="noConversion"/>
  </si>
  <si>
    <t>Reference the market rate</t>
    <phoneticPr fontId="2" type="noConversion"/>
  </si>
  <si>
    <t>Non-Operating Income</t>
    <phoneticPr fontId="2" type="noConversion"/>
  </si>
  <si>
    <t>incl. Fixed Assets</t>
    <phoneticPr fontId="2" type="noConversion"/>
  </si>
  <si>
    <t>Same as Last year's D&amp;A</t>
    <phoneticPr fontId="2" type="noConversion"/>
  </si>
  <si>
    <t>WCInv effect is reduced</t>
    <phoneticPr fontId="2" type="noConversion"/>
  </si>
  <si>
    <t>Historical Average or D&amp;A</t>
    <phoneticPr fontId="2" type="noConversion"/>
  </si>
  <si>
    <t>Historical Average</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</si>
  <si>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</si>
  <si>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</si>
  <si>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</si>
  <si>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</si>
  <si>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</si>
  <si>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</si>
  <si>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</si>
  <si>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ST_AR</t>
    <phoneticPr fontId="2" type="noConversion"/>
  </si>
  <si>
    <t>ST_Inventory</t>
    <phoneticPr fontId="2" type="noConversion"/>
  </si>
  <si>
    <t>Interest Rate/Debt</t>
    <phoneticPr fontId="2" type="noConversion"/>
  </si>
  <si>
    <t>Interest Yield/Cash</t>
    <phoneticPr fontId="2" type="noConversion"/>
  </si>
  <si>
    <t>D&amp;A/Fixed Assets</t>
    <phoneticPr fontId="2" type="noConversion"/>
  </si>
  <si>
    <t>Equity / Total Assets</t>
    <phoneticPr fontId="2" type="noConversion"/>
  </si>
  <si>
    <t>Pre-tax Profit/Interest Expense</t>
    <phoneticPr fontId="2" type="noConversion"/>
  </si>
  <si>
    <t>Leverage</t>
    <phoneticPr fontId="2" type="noConversion"/>
  </si>
  <si>
    <t>EBIT/Sales</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</si>
  <si>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</si>
  <si>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</si>
  <si>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</si>
  <si>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</si>
  <si>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</si>
  <si>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</si>
  <si>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FCFE/Market Price</t>
    <phoneticPr fontId="2" type="noConversion"/>
  </si>
  <si>
    <t>Implied Growth Sensitivity Test</t>
    <phoneticPr fontId="2" type="noConversion"/>
  </si>
  <si>
    <t>Data (Dirty)</t>
    <phoneticPr fontId="2" type="noConversion"/>
  </si>
  <si>
    <t xml:space="preserve">Operating after-tax Profit = </t>
    <phoneticPr fontId="2" type="noConversion"/>
  </si>
  <si>
    <t xml:space="preserve">Non-Operating after-tax Profit = </t>
    <phoneticPr fontId="2" type="noConversion"/>
  </si>
  <si>
    <t xml:space="preserve">Adjusted FCFE = </t>
    <phoneticPr fontId="2" type="noConversion"/>
  </si>
  <si>
    <t xml:space="preserve">Adjusted FCFE per share = </t>
    <phoneticPr fontId="2" type="noConversion"/>
  </si>
  <si>
    <t xml:space="preserve">FCFE/Market Price = </t>
    <phoneticPr fontId="2" type="noConversion"/>
  </si>
  <si>
    <t>Net borrowing is excluded</t>
    <phoneticPr fontId="2" type="noConversion"/>
  </si>
  <si>
    <t>Net Borrowing</t>
    <phoneticPr fontId="2" type="noConversion"/>
  </si>
  <si>
    <t>Dividend</t>
    <phoneticPr fontId="2" type="noConversion"/>
  </si>
  <si>
    <t>FCFE Analysis</t>
    <phoneticPr fontId="2" type="noConversion"/>
  </si>
  <si>
    <t>Dividend Analysis</t>
    <phoneticPr fontId="2" type="noConversion"/>
  </si>
  <si>
    <t>Dividend/FCFE before WCInv</t>
    <phoneticPr fontId="2" type="noConversion"/>
  </si>
  <si>
    <t>Qualitative Adjustments</t>
    <phoneticPr fontId="2" type="noConversion"/>
  </si>
  <si>
    <t>Nonexistent moats</t>
    <phoneticPr fontId="2" type="noConversion"/>
  </si>
  <si>
    <t>Weak balance sheets</t>
    <phoneticPr fontId="2" type="noConversion"/>
  </si>
  <si>
    <t>Poor management</t>
    <phoneticPr fontId="2" type="noConversion"/>
  </si>
  <si>
    <t>Stable Business</t>
    <phoneticPr fontId="2" type="noConversion"/>
  </si>
  <si>
    <t>Total PV</t>
    <phoneticPr fontId="2" type="noConversion"/>
  </si>
  <si>
    <t>Buy Below</t>
    <phoneticPr fontId="2" type="noConversion"/>
  </si>
  <si>
    <t>Equity Value per share</t>
    <phoneticPr fontId="2" type="noConversion"/>
  </si>
  <si>
    <t>No-Growth DCF Valuation Analysis</t>
    <phoneticPr fontId="2" type="noConversion"/>
  </si>
  <si>
    <t>Equity Cost of Capital (r) =</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</si>
  <si>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</si>
  <si>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</si>
  <si>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</si>
  <si>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</si>
  <si>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9" type="noConversion"/>
  </si>
  <si>
    <t>FCFE</t>
    <phoneticPr fontId="29" type="noConversion"/>
  </si>
  <si>
    <t>Discount Factor</t>
    <phoneticPr fontId="29" type="noConversion"/>
  </si>
  <si>
    <t>PV of FCFE</t>
    <phoneticPr fontId="29" type="noConversion"/>
  </si>
  <si>
    <t>Annual Dividend per share</t>
    <phoneticPr fontId="2" type="noConversion"/>
  </si>
  <si>
    <t>HGP</t>
    <phoneticPr fontId="2" type="noConversion"/>
  </si>
  <si>
    <t>Value per share</t>
    <phoneticPr fontId="2" type="noConversion"/>
  </si>
  <si>
    <t>No Growth</t>
    <phoneticPr fontId="2" type="noConversion"/>
  </si>
  <si>
    <t>Optimistic</t>
    <phoneticPr fontId="2" type="noConversion"/>
  </si>
  <si>
    <t>Base</t>
    <phoneticPr fontId="2" type="noConversion"/>
  </si>
  <si>
    <t>Pessimistic</t>
    <phoneticPr fontId="2" type="noConversion"/>
  </si>
  <si>
    <t>Scenarios</t>
    <phoneticPr fontId="29" type="noConversion"/>
  </si>
  <si>
    <t>Market Price</t>
    <phoneticPr fontId="29" type="noConversion"/>
  </si>
  <si>
    <t>Growth Rates</t>
    <phoneticPr fontId="29" type="noConversion"/>
  </si>
  <si>
    <t>Probabilities</t>
    <phoneticPr fontId="29" type="noConversion"/>
  </si>
  <si>
    <t>Expected Value =</t>
    <phoneticPr fontId="29" type="noConversion"/>
  </si>
  <si>
    <t>PV(Dividends)</t>
    <phoneticPr fontId="2" type="noConversion"/>
  </si>
  <si>
    <t>Buy at &lt; PV(dividends, 3yrs, r) + PV(Equity value, 3yrs, r)</t>
    <phoneticPr fontId="29" type="noConversion"/>
  </si>
  <si>
    <t>PV(Equity Value)</t>
    <phoneticPr fontId="2" type="noConversion"/>
  </si>
  <si>
    <t>= Enterprise Value</t>
    <phoneticPr fontId="29" type="noConversion"/>
  </si>
  <si>
    <t>/Equity Cost of Capital</t>
    <phoneticPr fontId="2" type="noConversion"/>
  </si>
  <si>
    <t>- Interest Bearing Debt</t>
    <phoneticPr fontId="2" type="noConversion"/>
  </si>
  <si>
    <t>= Equity Value</t>
    <phoneticPr fontId="29" type="noConversion"/>
  </si>
  <si>
    <t>Special Assumption</t>
    <phoneticPr fontId="29" type="noConversion"/>
  </si>
  <si>
    <t>- Expects no significant growth at terminal years</t>
    <phoneticPr fontId="29" type="noConversion"/>
  </si>
  <si>
    <t>over a holding period of</t>
    <phoneticPr fontId="29" type="noConversion"/>
  </si>
  <si>
    <t>Inputs</t>
    <phoneticPr fontId="29" type="noConversion"/>
  </si>
  <si>
    <t>the Equity Value will be conservatively realized</t>
    <phoneticPr fontId="29" type="noConversion"/>
  </si>
  <si>
    <t>Terminal Growth Rate:</t>
    <phoneticPr fontId="29" type="noConversion"/>
  </si>
  <si>
    <t>- Avoids overvaluation.</t>
    <phoneticPr fontId="29" type="noConversion"/>
  </si>
  <si>
    <t>at a MOS of</t>
    <phoneticPr fontId="29"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</si>
  <si>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</si>
  <si>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</si>
  <si>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</si>
  <si>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</si>
  <si>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</si>
  <si>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</si>
  <si>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</si>
  <si>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</si>
  <si>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</si>
  <si>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52 week Low</t>
    <phoneticPr fontId="29" type="noConversion"/>
  </si>
  <si>
    <t>Reference Price Points</t>
    <phoneticPr fontId="29" type="noConversion"/>
  </si>
  <si>
    <t>Output</t>
    <phoneticPr fontId="2" type="noConversion"/>
  </si>
  <si>
    <t>52 week High</t>
    <phoneticPr fontId="29" type="noConversion"/>
  </si>
  <si>
    <t>Target Return</t>
    <phoneticPr fontId="29"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</si>
  <si>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</si>
  <si>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</si>
  <si>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</si>
  <si>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</si>
  <si>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</si>
  <si>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</si>
  <si>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</si>
  <si>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</si>
  <si>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YoY Growth Rates</t>
    <phoneticPr fontId="2" type="noConversion"/>
  </si>
  <si>
    <t>Sales</t>
    <phoneticPr fontId="2" type="noConversion"/>
  </si>
  <si>
    <t>Current Situation</t>
    <phoneticPr fontId="2" type="noConversion"/>
  </si>
  <si>
    <t>Op. FCFE Before WCInv</t>
    <phoneticPr fontId="2" type="noConversion"/>
  </si>
  <si>
    <t>Sales Growth Rates</t>
    <phoneticPr fontId="2" type="noConversion"/>
  </si>
  <si>
    <t>Past Years Selected</t>
    <phoneticPr fontId="2" type="noConversion"/>
  </si>
  <si>
    <t>Growth Rate</t>
    <phoneticPr fontId="2" type="noConversion"/>
  </si>
  <si>
    <t>Margin</t>
    <phoneticPr fontId="2" type="noConversion"/>
  </si>
  <si>
    <t>Market Scenario</t>
    <phoneticPr fontId="2" type="noConversion"/>
  </si>
  <si>
    <t>No Growth Scenario</t>
    <phoneticPr fontId="2" type="noConversion"/>
  </si>
  <si>
    <t>Objective Scenarios</t>
    <phoneticPr fontId="2" type="noConversion"/>
  </si>
  <si>
    <t>Probabilities</t>
    <phoneticPr fontId="2" type="noConversion"/>
  </si>
  <si>
    <t>Target Return</t>
    <phoneticPr fontId="2" type="noConversion"/>
  </si>
  <si>
    <t>Selection</t>
    <phoneticPr fontId="2" type="noConversion"/>
  </si>
  <si>
    <t>Business Story</t>
    <phoneticPr fontId="2" type="noConversion"/>
  </si>
  <si>
    <t>Tie the business story into the three levers of value: FCFE, growth and risk.</t>
    <phoneticPr fontId="2" type="noConversion"/>
  </si>
  <si>
    <t>Unbiased Scenario where the company FCFE has no growth and no risk.</t>
    <phoneticPr fontId="2" type="noConversion"/>
  </si>
  <si>
    <t>Assumption</t>
    <phoneticPr fontId="2" type="noConversion"/>
  </si>
  <si>
    <t>For both Base and Pessimistic case, I would use 10 yrs to do forecast</t>
    <phoneticPr fontId="2" type="noConversion"/>
  </si>
  <si>
    <t>Lastest</t>
    <phoneticPr fontId="2" type="noConversion"/>
  </si>
  <si>
    <t>WCInv is excluded</t>
    <phoneticPr fontId="2" type="noConversion"/>
  </si>
  <si>
    <t>Prompt for Scenario Analysis</t>
    <phoneticPr fontId="2" type="noConversion"/>
  </si>
  <si>
    <t>There is always a chance the some devil's advocate is right and I'm wrong, so the probabilities should reflect this depending on how illogical this implied drivers are.</t>
    <phoneticPr fontId="2" type="noConversion"/>
  </si>
  <si>
    <r>
      <t xml:space="preserve">Given </t>
    </r>
    <r>
      <rPr>
        <sz val="10"/>
        <color rgb="FF000000"/>
        <rFont val="Microsoft YaHei"/>
        <family val="2"/>
        <charset val="134"/>
      </rPr>
      <t>六福珠宝’</t>
    </r>
    <r>
      <rPr>
        <sz val="10"/>
        <color rgb="FF000000"/>
        <rFont val="Arial"/>
        <family val="2"/>
        <scheme val="minor"/>
      </rPr>
      <t>s (0590.HK) normalized FCFE of HKD 1,270,672,000, please analyze its valuation assumptions under three scenarios (Base, Pessimistic, Optimistic) using a two-stage model, a growth stage and a terminal stage. Define the growth period, growth rates and probabilities for each scenario. Explain the rationale behind the probabilities. Summarize the business drivers and scenario narratives to align with the model’s inputs. For context only, the terminal value assumes 0% growth to prevent overvaluation. The finalized scenarios will be incorporated directly into the valuation framework.”</t>
    </r>
    <phoneticPr fontId="2" type="noConversion"/>
  </si>
  <si>
    <t>incl. JV or associate</t>
    <phoneticPr fontId="2" type="noConversion"/>
  </si>
  <si>
    <t>incl. Investment property</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</si>
  <si>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</si>
  <si>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</si>
  <si>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</si>
  <si>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</si>
  <si>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</si>
  <si>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</si>
  <si>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</si>
  <si>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Operating Investment Properties</t>
    <phoneticPr fontId="2" type="noConversion"/>
  </si>
  <si>
    <t>Investments in JV or associate</t>
    <phoneticPr fontId="2" type="noConversion"/>
  </si>
  <si>
    <t>Share of JV or associate Results</t>
    <phoneticPr fontId="2" type="noConversion"/>
  </si>
  <si>
    <t>Other Non-operating Income</t>
    <phoneticPr fontId="2" type="noConversion"/>
  </si>
  <si>
    <t>Capitialization</t>
    <phoneticPr fontId="29" type="noConversion"/>
  </si>
  <si>
    <t>Extreme Scenarios</t>
    <phoneticPr fontId="2" type="noConversion"/>
  </si>
  <si>
    <t>General Scenarios</t>
    <phoneticPr fontId="2" type="noConversion"/>
  </si>
  <si>
    <t>CNY</t>
    <phoneticPr fontId="2" type="noConversion"/>
  </si>
  <si>
    <t>No-Growth DCF</t>
    <phoneticPr fontId="2" type="noConversion"/>
  </si>
  <si>
    <t>Pre-tax Profit</t>
    <phoneticPr fontId="2" type="noConversion"/>
  </si>
  <si>
    <t>Devil's advocate</t>
    <phoneticPr fontId="2" type="noConversion"/>
  </si>
  <si>
    <t>Revaluation</t>
    <phoneticPr fontId="2" type="noConversion"/>
  </si>
  <si>
    <t>Asset Value</t>
    <phoneticPr fontId="2" type="noConversion"/>
  </si>
  <si>
    <t>* Exchange rate</t>
    <phoneticPr fontId="2" type="noConversion"/>
  </si>
  <si>
    <t>首程控股</t>
    <phoneticPr fontId="2" type="noConversion"/>
  </si>
  <si>
    <t>0697.HK</t>
    <phoneticPr fontId="2" type="noConversion"/>
  </si>
  <si>
    <t>C0008</t>
    <phoneticPr fontId="2" type="noConversion"/>
  </si>
  <si>
    <t>Status: Not Held</t>
    <phoneticPr fontId="2" type="noConversion"/>
  </si>
  <si>
    <t>Dividend or Interests from FA</t>
    <phoneticPr fontId="2" type="noConversion"/>
  </si>
  <si>
    <t>Non-operating EBIT</t>
    <phoneticPr fontId="2" type="noConversion"/>
  </si>
  <si>
    <t>Non-operating Asset Yield %</t>
    <phoneticPr fontId="2" type="noConversion"/>
  </si>
  <si>
    <t>Unable to predict, so assume 0</t>
    <phoneticPr fontId="2" type="noConversion"/>
  </si>
  <si>
    <t>Stable Non-Operating CF</t>
    <phoneticPr fontId="2" type="noConversion"/>
  </si>
  <si>
    <t>Per Share Indicators</t>
    <phoneticPr fontId="2" type="noConversion"/>
  </si>
  <si>
    <t>Income Tax Rate</t>
    <phoneticPr fontId="2" type="noConversion"/>
  </si>
  <si>
    <t>ST Other Securities</t>
    <phoneticPr fontId="2" type="noConversion"/>
  </si>
  <si>
    <t>LT Other Securities</t>
    <phoneticPr fontId="2" type="noConversion"/>
  </si>
  <si>
    <t>ST Income Stock/Debt</t>
    <phoneticPr fontId="2" type="noConversion"/>
  </si>
  <si>
    <t>LT Income Stock/Debt</t>
    <phoneticPr fontId="2" type="noConversion"/>
  </si>
  <si>
    <t>incl. Income Stock/Debt</t>
    <phoneticPr fontId="2" type="noConversion"/>
  </si>
  <si>
    <t>incl. Other Securities</t>
    <phoneticPr fontId="2" type="noConversion"/>
  </si>
  <si>
    <t>+ Other Securities</t>
    <phoneticPr fontId="2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</si>
</sst>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yyyy\-mm\-dd"/>
    <numFmt numFmtId="177" formatCode="#,##0&quot;mm&quot;"/>
    <numFmt numFmtId="178" formatCode="#,##0.00&quot;x&quot;"/>
    <numFmt numFmtId="179" formatCode="0.00\x"/>
    <numFmt numFmtId="180" formatCode="yyyy\-mm\-dd;@"/>
    <numFmt numFmtId="181" formatCode="&quot;in&quot;\ 0\ &quot;Months&quot;"/>
    <numFmt numFmtId="182" formatCode="#,##0.0000"/>
    <numFmt numFmtId="183" formatCode="#,##0_ "/>
    <numFmt numFmtId="184" formatCode="#,##0_);\(#,##0\)"/>
    <numFmt numFmtId="185" formatCode="#,##0.0000_);\(#,##0.0000\)"/>
    <numFmt numFmtId="186" formatCode="#,##0.00_);\(#,##0.00\)"/>
    <numFmt numFmtId="187" formatCode="#,##0.0000_ "/>
    <numFmt numFmtId="188" formatCode="&quot;in &quot;#,##0&quot;s&quot;"/>
    <numFmt numFmtId="189" formatCode="#,##0_);[Red]\(#,##0\)"/>
    <numFmt numFmtId="190" formatCode="#,##0.00_ "/>
    <numFmt numFmtId="191" formatCode="0&quot; yrs&quot;"/>
    <numFmt numFmtId="192" formatCode="#,##0.00_);[Red]\(#,##0.00\)"/>
    <numFmt numFmtId="193" formatCode="0.000_ "/>
  </numFmts>
  <fonts count="40" x14ac:knownFonts="1">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u/>
      <sz val="9"/>
      <color theme="1"/>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sz val="10"/>
      <color rgb="FF000000"/>
      <name val="Microsoft YaHei"/>
      <family val="2"/>
      <charset val="134"/>
    </font>
    <font>
      <sz val="9"/>
      <color rgb="FF0000FF"/>
      <name val="Microsoft YaHei"/>
      <family val="2"/>
      <charset val="134"/>
    </font>
    <font>
      <b/>
      <i/>
      <sz val="9"/>
      <name val="Arial"/>
      <family val="2"/>
      <scheme val="major"/>
    </font>
  </fonts>
  <fills count="9">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s>
  <borders count="5">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43">
    <xf numFmtId="0" fontId="0" fillId="0" borderId="0" xfId="0"/>
    <xf numFmtId="0" fontId="3" fillId="0" borderId="0" xfId="0" applyFont="1"/>
    <xf numFmtId="0" fontId="3" fillId="0" borderId="1" xfId="0" applyFont="1" applyBorder="1"/>
    <xf numFmtId="0" fontId="5" fillId="0" borderId="1" xfId="0" applyFont="1" applyBorder="1"/>
    <xf numFmtId="0" fontId="3" fillId="0" borderId="2" xfId="0" applyFont="1" applyBorder="1"/>
    <xf numFmtId="0" fontId="6" fillId="0" borderId="1" xfId="0" applyFont="1" applyBorder="1"/>
    <xf numFmtId="0" fontId="8" fillId="0" borderId="1" xfId="0" applyFont="1" applyBorder="1"/>
    <xf numFmtId="0" fontId="12" fillId="0" borderId="1" xfId="0" applyFont="1" applyBorder="1" applyAlignment="1">
      <alignment horizontal="center"/>
    </xf>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78"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7" fillId="0" borderId="1"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4"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76" fontId="8" fillId="0" borderId="1" xfId="0" applyNumberFormat="1" applyFont="1" applyBorder="1" applyAlignment="1">
      <alignment horizontal="left"/>
    </xf>
    <xf numFmtId="3" fontId="8" fillId="0" borderId="1" xfId="0" applyNumberFormat="1" applyFont="1" applyBorder="1" applyAlignment="1">
      <alignment horizontal="left"/>
    </xf>
    <xf numFmtId="177" fontId="8" fillId="0" borderId="1" xfId="0" applyNumberFormat="1" applyFont="1" applyBorder="1" applyAlignment="1">
      <alignment horizontal="left"/>
    </xf>
    <xf numFmtId="0" fontId="17" fillId="3" borderId="0" xfId="0" applyFont="1" applyFill="1"/>
    <xf numFmtId="180" fontId="9" fillId="4" borderId="1" xfId="0" applyNumberFormat="1" applyFont="1" applyFill="1" applyBorder="1" applyAlignment="1">
      <alignment horizontal="center"/>
    </xf>
    <xf numFmtId="180" fontId="11" fillId="0" borderId="1" xfId="0" applyNumberFormat="1" applyFont="1" applyBorder="1" applyAlignment="1">
      <alignment horizontal="center"/>
    </xf>
    <xf numFmtId="182" fontId="7" fillId="0" borderId="1" xfId="0" applyNumberFormat="1" applyFont="1" applyBorder="1" applyAlignment="1">
      <alignment horizontal="right"/>
    </xf>
    <xf numFmtId="0" fontId="3" fillId="0" borderId="1" xfId="0"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79" fontId="3" fillId="0" borderId="1" xfId="0" applyNumberFormat="1" applyFont="1" applyBorder="1" applyAlignment="1">
      <alignment horizontal="right"/>
    </xf>
    <xf numFmtId="0" fontId="11" fillId="0" borderId="1" xfId="0" quotePrefix="1" applyFont="1" applyBorder="1" applyAlignment="1">
      <alignment horizontal="left" indent="1"/>
    </xf>
    <xf numFmtId="176" fontId="7" fillId="0" borderId="1" xfId="0" applyNumberFormat="1" applyFont="1" applyBorder="1" applyAlignment="1">
      <alignment horizontal="left"/>
    </xf>
    <xf numFmtId="181"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13" fillId="0" borderId="0" xfId="0" applyFont="1"/>
    <xf numFmtId="10" fontId="14" fillId="0" borderId="1" xfId="0" applyNumberFormat="1" applyFont="1" applyBorder="1" applyAlignment="1">
      <alignment horizontal="left"/>
    </xf>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7" fillId="3" borderId="1" xfId="0" applyFont="1" applyFill="1" applyBorder="1"/>
    <xf numFmtId="0" fontId="11" fillId="0" borderId="1" xfId="0" applyFont="1" applyBorder="1" applyAlignment="1">
      <alignment horizontal="left"/>
    </xf>
    <xf numFmtId="0" fontId="17" fillId="0" borderId="1" xfId="0" applyFont="1" applyBorder="1"/>
    <xf numFmtId="184" fontId="8" fillId="0" borderId="1" xfId="0" applyNumberFormat="1" applyFont="1" applyBorder="1" applyAlignment="1">
      <alignment horizontal="left" wrapText="1"/>
    </xf>
    <xf numFmtId="184" fontId="8" fillId="0" borderId="1" xfId="0" applyNumberFormat="1" applyFont="1" applyBorder="1" applyAlignment="1">
      <alignment horizontal="right"/>
    </xf>
    <xf numFmtId="184" fontId="8" fillId="0" borderId="1" xfId="0" quotePrefix="1" applyNumberFormat="1" applyFont="1" applyBorder="1" applyAlignment="1">
      <alignment horizontal="left" wrapText="1"/>
    </xf>
    <xf numFmtId="184" fontId="11" fillId="0" borderId="1" xfId="0" applyNumberFormat="1" applyFont="1" applyBorder="1" applyAlignment="1">
      <alignment horizontal="left" wrapText="1" indent="1"/>
    </xf>
    <xf numFmtId="184" fontId="11" fillId="0" borderId="1" xfId="0" applyNumberFormat="1" applyFont="1" applyBorder="1" applyAlignment="1">
      <alignment horizontal="right"/>
    </xf>
    <xf numFmtId="184" fontId="8" fillId="0" borderId="1" xfId="0" quotePrefix="1" applyNumberFormat="1" applyFont="1" applyBorder="1" applyAlignment="1">
      <alignment horizontal="left"/>
    </xf>
    <xf numFmtId="184" fontId="11" fillId="0" borderId="1" xfId="0" applyNumberFormat="1" applyFont="1" applyBorder="1" applyAlignment="1">
      <alignment horizontal="left" indent="1"/>
    </xf>
    <xf numFmtId="184" fontId="11" fillId="0" borderId="1" xfId="0" applyNumberFormat="1" applyFont="1" applyBorder="1" applyAlignment="1">
      <alignment wrapText="1"/>
    </xf>
    <xf numFmtId="184" fontId="14" fillId="0" borderId="1" xfId="0" applyNumberFormat="1" applyFont="1" applyBorder="1" applyAlignment="1">
      <alignment wrapText="1"/>
    </xf>
    <xf numFmtId="184" fontId="11" fillId="0" borderId="1" xfId="0" applyNumberFormat="1" applyFont="1" applyBorder="1"/>
    <xf numFmtId="0" fontId="8" fillId="0" borderId="1" xfId="0" quotePrefix="1" applyFont="1" applyBorder="1" applyAlignment="1">
      <alignment wrapText="1"/>
    </xf>
    <xf numFmtId="10" fontId="14" fillId="0" borderId="1" xfId="0" applyNumberFormat="1" applyFont="1" applyBorder="1" applyAlignment="1">
      <alignment wrapText="1"/>
    </xf>
    <xf numFmtId="184" fontId="7" fillId="0" borderId="1" xfId="0" applyNumberFormat="1" applyFont="1" applyBorder="1" applyAlignment="1">
      <alignment horizontal="right"/>
    </xf>
    <xf numFmtId="184" fontId="3" fillId="0" borderId="1" xfId="0" applyNumberFormat="1" applyFont="1" applyBorder="1"/>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184" fontId="10" fillId="0" borderId="1" xfId="0" applyNumberFormat="1" applyFont="1" applyBorder="1"/>
    <xf numFmtId="0" fontId="21" fillId="0" borderId="1" xfId="0" applyFont="1" applyBorder="1"/>
    <xf numFmtId="0" fontId="16" fillId="0" borderId="1" xfId="0" applyFont="1" applyBorder="1"/>
    <xf numFmtId="184" fontId="7" fillId="0" borderId="1" xfId="0" applyNumberFormat="1" applyFont="1" applyBorder="1" applyAlignment="1">
      <alignment horizontal="left" wrapText="1"/>
    </xf>
    <xf numFmtId="184" fontId="7" fillId="0" borderId="1" xfId="0" quotePrefix="1" applyNumberFormat="1" applyFont="1" applyBorder="1" applyAlignment="1">
      <alignment horizontal="left"/>
    </xf>
    <xf numFmtId="184" fontId="7" fillId="0" borderId="1" xfId="0" quotePrefix="1" applyNumberFormat="1" applyFont="1" applyBorder="1" applyAlignment="1">
      <alignment horizontal="left" wrapText="1"/>
    </xf>
    <xf numFmtId="0" fontId="7" fillId="0" borderId="1" xfId="0" quotePrefix="1" applyFont="1" applyBorder="1" applyAlignment="1">
      <alignment horizontal="left" wrapText="1"/>
    </xf>
    <xf numFmtId="0" fontId="20" fillId="0" borderId="1" xfId="0" quotePrefix="1" applyFont="1" applyBorder="1" applyAlignment="1">
      <alignment wrapText="1"/>
    </xf>
    <xf numFmtId="184" fontId="16" fillId="0" borderId="1" xfId="0" applyNumberFormat="1" applyFont="1" applyBorder="1" applyAlignment="1">
      <alignment horizontal="right"/>
    </xf>
    <xf numFmtId="0" fontId="15" fillId="0" borderId="1" xfId="0" quotePrefix="1" applyFont="1" applyBorder="1" applyAlignment="1">
      <alignment horizontal="left" indent="1"/>
    </xf>
    <xf numFmtId="184" fontId="18" fillId="0" borderId="1" xfId="0" applyNumberFormat="1" applyFont="1" applyBorder="1" applyAlignment="1">
      <alignment horizontal="right"/>
    </xf>
    <xf numFmtId="0" fontId="10" fillId="0" borderId="1" xfId="0" applyFont="1" applyBorder="1" applyAlignment="1">
      <alignment horizontal="left" indent="1"/>
    </xf>
    <xf numFmtId="10" fontId="10" fillId="0" borderId="1" xfId="0" applyNumberFormat="1" applyFont="1" applyBorder="1"/>
    <xf numFmtId="0" fontId="19" fillId="0" borderId="1" xfId="0" quotePrefix="1" applyFont="1" applyBorder="1"/>
    <xf numFmtId="184" fontId="15" fillId="0" borderId="1" xfId="0" applyNumberFormat="1" applyFont="1" applyBorder="1" applyAlignment="1">
      <alignment horizontal="right"/>
    </xf>
    <xf numFmtId="185" fontId="8" fillId="0" borderId="1" xfId="0" applyNumberFormat="1" applyFont="1" applyBorder="1" applyAlignment="1">
      <alignment horizontal="right"/>
    </xf>
    <xf numFmtId="183" fontId="3" fillId="0" borderId="1" xfId="0" applyNumberFormat="1" applyFont="1" applyBorder="1"/>
    <xf numFmtId="184" fontId="14" fillId="0" borderId="1" xfId="0" applyNumberFormat="1" applyFont="1" applyBorder="1"/>
    <xf numFmtId="184" fontId="8" fillId="0" borderId="1" xfId="0" applyNumberFormat="1" applyFont="1" applyBorder="1" applyAlignment="1">
      <alignment wrapText="1"/>
    </xf>
    <xf numFmtId="0" fontId="11" fillId="0" borderId="1" xfId="0" quotePrefix="1" applyFont="1" applyBorder="1" applyAlignment="1">
      <alignment horizontal="left" wrapText="1"/>
    </xf>
    <xf numFmtId="184"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84" fontId="7" fillId="0" borderId="1" xfId="0" applyNumberFormat="1" applyFont="1" applyBorder="1" applyAlignment="1">
      <alignment horizontal="left" wrapText="1" indent="1"/>
    </xf>
    <xf numFmtId="184" fontId="7" fillId="0" borderId="1" xfId="0" applyNumberFormat="1" applyFont="1" applyBorder="1" applyAlignment="1">
      <alignment horizontal="left" indent="1"/>
    </xf>
    <xf numFmtId="180" fontId="9" fillId="4" borderId="1" xfId="0" applyNumberFormat="1" applyFont="1" applyFill="1" applyBorder="1" applyAlignment="1">
      <alignment horizontal="left"/>
    </xf>
    <xf numFmtId="0" fontId="3" fillId="0" borderId="0" xfId="0" applyFont="1" applyAlignment="1">
      <alignment horizontal="left" indent="1"/>
    </xf>
    <xf numFmtId="0" fontId="10" fillId="0" borderId="0" xfId="0" applyFont="1" applyAlignment="1">
      <alignment horizontal="left" indent="1"/>
    </xf>
    <xf numFmtId="3" fontId="10" fillId="0" borderId="0" xfId="0" applyNumberFormat="1" applyFont="1"/>
    <xf numFmtId="10" fontId="14" fillId="0" borderId="1" xfId="0" applyNumberFormat="1" applyFont="1" applyBorder="1" applyAlignment="1">
      <alignment horizontal="right"/>
    </xf>
    <xf numFmtId="0" fontId="5" fillId="0" borderId="1" xfId="0" applyFont="1" applyBorder="1" applyAlignment="1">
      <alignment horizontal="left" indent="1"/>
    </xf>
    <xf numFmtId="0" fontId="6" fillId="0" borderId="1" xfId="0" applyFont="1" applyBorder="1" applyAlignment="1">
      <alignment horizontal="left" indent="1"/>
    </xf>
    <xf numFmtId="3" fontId="16" fillId="0" borderId="1" xfId="0" applyNumberFormat="1" applyFont="1" applyBorder="1"/>
    <xf numFmtId="3" fontId="11" fillId="0" borderId="1" xfId="0" applyNumberFormat="1" applyFont="1" applyBorder="1"/>
    <xf numFmtId="0" fontId="12" fillId="0" borderId="1" xfId="0" applyFont="1" applyBorder="1" applyAlignment="1">
      <alignment horizontal="right"/>
    </xf>
    <xf numFmtId="0" fontId="8" fillId="0" borderId="2" xfId="0" applyFont="1" applyBorder="1" applyAlignment="1">
      <alignment horizontal="left"/>
    </xf>
    <xf numFmtId="10" fontId="14" fillId="0" borderId="1" xfId="0" quotePrefix="1" applyNumberFormat="1" applyFont="1" applyBorder="1" applyAlignment="1">
      <alignment horizontal="right" wrapText="1"/>
    </xf>
    <xf numFmtId="10" fontId="14" fillId="0" borderId="1" xfId="0" quotePrefix="1" applyNumberFormat="1" applyFont="1" applyBorder="1" applyAlignment="1">
      <alignment wrapText="1"/>
    </xf>
    <xf numFmtId="0" fontId="15" fillId="0" borderId="1" xfId="0" applyFont="1" applyBorder="1" applyAlignment="1">
      <alignment horizontal="left" wrapText="1"/>
    </xf>
    <xf numFmtId="0" fontId="3" fillId="0" borderId="2" xfId="0" applyFont="1" applyBorder="1" applyAlignment="1">
      <alignment horizontal="right"/>
    </xf>
    <xf numFmtId="0" fontId="13" fillId="0" borderId="2" xfId="0" applyFont="1" applyBorder="1" applyAlignment="1">
      <alignment horizontal="left"/>
    </xf>
    <xf numFmtId="0" fontId="19" fillId="0" borderId="1" xfId="0" applyFont="1" applyBorder="1"/>
    <xf numFmtId="0" fontId="7" fillId="0" borderId="0" xfId="0" applyFont="1" applyAlignment="1">
      <alignment horizontal="right"/>
    </xf>
    <xf numFmtId="10" fontId="3" fillId="0" borderId="0" xfId="0" applyNumberFormat="1" applyFont="1"/>
    <xf numFmtId="0" fontId="11" fillId="0" borderId="2" xfId="0" applyFont="1" applyBorder="1" applyAlignment="1">
      <alignment horizontal="left"/>
    </xf>
    <xf numFmtId="0" fontId="8" fillId="0" borderId="2" xfId="0" applyFont="1" applyBorder="1" applyAlignment="1">
      <alignment horizontal="right"/>
    </xf>
    <xf numFmtId="0" fontId="15" fillId="0" borderId="1" xfId="0" applyFont="1" applyBorder="1" applyAlignment="1">
      <alignment horizontal="left" wrapText="1" indent="1"/>
    </xf>
    <xf numFmtId="184" fontId="13" fillId="0" borderId="0" xfId="0" applyNumberFormat="1" applyFont="1"/>
    <xf numFmtId="184" fontId="8" fillId="0" borderId="1" xfId="0" applyNumberFormat="1" applyFont="1" applyBorder="1" applyAlignment="1">
      <alignment horizontal="right" wrapText="1"/>
    </xf>
    <xf numFmtId="184" fontId="15" fillId="0" borderId="1" xfId="0" applyNumberFormat="1" applyFont="1" applyBorder="1" applyAlignment="1">
      <alignment horizontal="right" wrapText="1"/>
    </xf>
    <xf numFmtId="3" fontId="15" fillId="0" borderId="1" xfId="0" applyNumberFormat="1" applyFont="1" applyBorder="1" applyAlignment="1">
      <alignment horizontal="right"/>
    </xf>
    <xf numFmtId="10" fontId="8" fillId="0" borderId="1" xfId="0" applyNumberFormat="1" applyFont="1" applyBorder="1" applyAlignment="1">
      <alignment horizontal="right" wrapText="1"/>
    </xf>
    <xf numFmtId="179" fontId="8" fillId="0" borderId="1" xfId="0" quotePrefix="1" applyNumberFormat="1" applyFont="1" applyBorder="1" applyAlignment="1">
      <alignment horizontal="right" wrapText="1"/>
    </xf>
    <xf numFmtId="0" fontId="22" fillId="0" borderId="1" xfId="0" quotePrefix="1" applyFont="1" applyBorder="1" applyAlignment="1">
      <alignment horizontal="left" wrapText="1"/>
    </xf>
    <xf numFmtId="0" fontId="23" fillId="0" borderId="1" xfId="0" applyFont="1" applyBorder="1" applyAlignment="1">
      <alignment horizontal="right"/>
    </xf>
    <xf numFmtId="0" fontId="3" fillId="5" borderId="0" xfId="0" applyFont="1" applyFill="1"/>
    <xf numFmtId="180" fontId="7" fillId="0" borderId="2" xfId="0" applyNumberFormat="1" applyFont="1" applyBorder="1" applyAlignment="1">
      <alignment horizontal="right"/>
    </xf>
    <xf numFmtId="0" fontId="23" fillId="0" borderId="1" xfId="0" applyFont="1" applyBorder="1"/>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80" fontId="16" fillId="0" borderId="1" xfId="0" applyNumberFormat="1" applyFont="1" applyBorder="1" applyAlignment="1">
      <alignment horizontal="center"/>
    </xf>
    <xf numFmtId="186" fontId="3" fillId="0" borderId="0" xfId="0" applyNumberFormat="1" applyFont="1"/>
    <xf numFmtId="0" fontId="3" fillId="0" borderId="0" xfId="0" applyFont="1" applyAlignment="1">
      <alignment horizontal="left"/>
    </xf>
    <xf numFmtId="188" fontId="18" fillId="0" borderId="2" xfId="0" applyNumberFormat="1" applyFont="1" applyBorder="1" applyAlignment="1">
      <alignment horizontal="right"/>
    </xf>
    <xf numFmtId="188" fontId="15" fillId="0" borderId="2" xfId="0" applyNumberFormat="1" applyFont="1" applyBorder="1" applyAlignment="1">
      <alignment horizontal="right"/>
    </xf>
    <xf numFmtId="188" fontId="24" fillId="0" borderId="1" xfId="0" applyNumberFormat="1" applyFont="1" applyBorder="1" applyAlignment="1">
      <alignment horizontal="right"/>
    </xf>
    <xf numFmtId="184" fontId="3" fillId="5" borderId="1" xfId="0" applyNumberFormat="1" applyFont="1" applyFill="1" applyBorder="1"/>
    <xf numFmtId="0" fontId="14" fillId="0" borderId="1" xfId="0" applyFont="1" applyBorder="1"/>
    <xf numFmtId="10" fontId="3" fillId="0" borderId="0" xfId="0" applyNumberFormat="1" applyFont="1" applyAlignment="1">
      <alignment horizontal="right"/>
    </xf>
    <xf numFmtId="0" fontId="25" fillId="0" borderId="2" xfId="0" applyFont="1" applyBorder="1"/>
    <xf numFmtId="183" fontId="0" fillId="0" borderId="0" xfId="0" applyNumberFormat="1"/>
    <xf numFmtId="0" fontId="25" fillId="0" borderId="0" xfId="0" applyFont="1" applyAlignment="1">
      <alignment horizontal="left" indent="1"/>
    </xf>
    <xf numFmtId="186" fontId="25" fillId="0" borderId="0" xfId="0" applyNumberFormat="1" applyFont="1"/>
    <xf numFmtId="3" fontId="0" fillId="0" borderId="0" xfId="0" applyNumberFormat="1"/>
    <xf numFmtId="187" fontId="3" fillId="0" borderId="1" xfId="0" applyNumberFormat="1" applyFont="1" applyBorder="1"/>
    <xf numFmtId="187" fontId="14" fillId="0" borderId="1" xfId="0" applyNumberFormat="1" applyFont="1" applyBorder="1"/>
    <xf numFmtId="184" fontId="0" fillId="0" borderId="0" xfId="0" applyNumberFormat="1"/>
    <xf numFmtId="189" fontId="0" fillId="0" borderId="0" xfId="0" applyNumberFormat="1"/>
    <xf numFmtId="186" fontId="0" fillId="0" borderId="0" xfId="0" applyNumberFormat="1"/>
    <xf numFmtId="9" fontId="0" fillId="0" borderId="0" xfId="0" applyNumberFormat="1"/>
    <xf numFmtId="0" fontId="1" fillId="0" borderId="0" xfId="0" applyFont="1" applyAlignment="1">
      <alignment vertical="center" wrapText="1"/>
    </xf>
    <xf numFmtId="0" fontId="25" fillId="0" borderId="2" xfId="0" applyFont="1" applyBorder="1" applyAlignment="1">
      <alignment vertical="center"/>
    </xf>
    <xf numFmtId="0" fontId="27" fillId="0" borderId="0" xfId="0" applyFont="1"/>
    <xf numFmtId="10" fontId="7" fillId="0" borderId="0" xfId="0" applyNumberFormat="1" applyFont="1"/>
    <xf numFmtId="0" fontId="0" fillId="0" borderId="3" xfId="0" applyBorder="1"/>
    <xf numFmtId="184" fontId="0" fillId="0" borderId="3" xfId="0" applyNumberFormat="1" applyBorder="1"/>
    <xf numFmtId="186" fontId="0" fillId="0" borderId="3" xfId="0" applyNumberFormat="1" applyBorder="1"/>
    <xf numFmtId="183" fontId="0" fillId="0" borderId="3" xfId="0" applyNumberFormat="1" applyBorder="1"/>
    <xf numFmtId="0" fontId="1" fillId="0" borderId="3" xfId="0" applyFont="1" applyBorder="1" applyAlignment="1">
      <alignment horizontal="right"/>
    </xf>
    <xf numFmtId="0" fontId="1" fillId="0" borderId="3" xfId="0" applyFont="1" applyBorder="1"/>
    <xf numFmtId="0" fontId="28" fillId="6" borderId="3" xfId="0" applyFont="1" applyFill="1" applyBorder="1" applyAlignment="1">
      <alignment horizontal="center"/>
    </xf>
    <xf numFmtId="0" fontId="28" fillId="6" borderId="0" xfId="0" applyFont="1" applyFill="1" applyAlignment="1">
      <alignment horizontal="center"/>
    </xf>
    <xf numFmtId="0" fontId="25" fillId="0" borderId="0" xfId="0" applyFont="1"/>
    <xf numFmtId="9" fontId="31" fillId="0" borderId="0" xfId="0" applyNumberFormat="1" applyFont="1"/>
    <xf numFmtId="9" fontId="25" fillId="0" borderId="0" xfId="0" applyNumberFormat="1" applyFont="1"/>
    <xf numFmtId="183" fontId="32" fillId="0" borderId="0" xfId="0" applyNumberFormat="1" applyFont="1"/>
    <xf numFmtId="10" fontId="26" fillId="0" borderId="0" xfId="0" applyNumberFormat="1" applyFont="1"/>
    <xf numFmtId="183" fontId="1" fillId="0" borderId="0" xfId="0" applyNumberFormat="1" applyFont="1"/>
    <xf numFmtId="186" fontId="0" fillId="0" borderId="3" xfId="0" applyNumberFormat="1" applyBorder="1" applyAlignment="1">
      <alignment horizontal="center"/>
    </xf>
    <xf numFmtId="9" fontId="1" fillId="0" borderId="0" xfId="0" applyNumberFormat="1" applyFont="1"/>
    <xf numFmtId="183" fontId="0" fillId="0" borderId="3" xfId="0" applyNumberFormat="1" applyBorder="1" applyAlignment="1">
      <alignment horizontal="right"/>
    </xf>
    <xf numFmtId="9" fontId="0" fillId="0" borderId="3" xfId="0" applyNumberFormat="1" applyBorder="1"/>
    <xf numFmtId="9" fontId="26" fillId="0" borderId="3" xfId="0" applyNumberFormat="1" applyFont="1" applyBorder="1"/>
    <xf numFmtId="190" fontId="25" fillId="0" borderId="1" xfId="0" applyNumberFormat="1" applyFont="1" applyBorder="1" applyAlignment="1">
      <alignment horizontal="right"/>
    </xf>
    <xf numFmtId="186" fontId="0" fillId="7" borderId="3" xfId="0" applyNumberFormat="1" applyFill="1" applyBorder="1"/>
    <xf numFmtId="10" fontId="26" fillId="0" borderId="3" xfId="0" applyNumberFormat="1" applyFont="1" applyBorder="1" applyAlignment="1">
      <alignment horizontal="center"/>
    </xf>
    <xf numFmtId="191" fontId="31" fillId="0" borderId="0" xfId="0" applyNumberFormat="1" applyFont="1"/>
    <xf numFmtId="191" fontId="25" fillId="0" borderId="0" xfId="0" applyNumberFormat="1" applyFont="1"/>
    <xf numFmtId="191" fontId="26" fillId="0" borderId="3" xfId="0" applyNumberFormat="1" applyFont="1" applyBorder="1" applyAlignment="1">
      <alignment horizontal="center"/>
    </xf>
    <xf numFmtId="0" fontId="1" fillId="0" borderId="0" xfId="0" applyFont="1" applyAlignment="1">
      <alignment horizontal="center"/>
    </xf>
    <xf numFmtId="190" fontId="3" fillId="0" borderId="0" xfId="0" applyNumberFormat="1" applyFont="1"/>
    <xf numFmtId="0" fontId="1" fillId="0" borderId="0" xfId="0" quotePrefix="1" applyFont="1"/>
    <xf numFmtId="0" fontId="25" fillId="0" borderId="0" xfId="0" quotePrefix="1" applyFont="1" applyAlignment="1">
      <alignment horizontal="left" indent="1"/>
    </xf>
    <xf numFmtId="0" fontId="1" fillId="0" borderId="0" xfId="0" quotePrefix="1" applyFont="1" applyAlignment="1">
      <alignment horizontal="left"/>
    </xf>
    <xf numFmtId="191" fontId="27" fillId="0" borderId="0" xfId="0" applyNumberFormat="1" applyFont="1"/>
    <xf numFmtId="10" fontId="27" fillId="0" borderId="0" xfId="0" applyNumberFormat="1" applyFont="1"/>
    <xf numFmtId="0" fontId="1" fillId="0" borderId="0" xfId="0" applyFont="1" applyAlignment="1">
      <alignment vertical="center"/>
    </xf>
    <xf numFmtId="0" fontId="25" fillId="0" borderId="1" xfId="0" applyFont="1" applyBorder="1" applyAlignment="1">
      <alignment horizontal="left" indent="1"/>
    </xf>
    <xf numFmtId="0" fontId="33" fillId="0" borderId="0" xfId="0" applyFont="1" applyAlignment="1">
      <alignment horizontal="right"/>
    </xf>
    <xf numFmtId="9" fontId="3" fillId="0" borderId="0" xfId="0" applyNumberFormat="1" applyFont="1"/>
    <xf numFmtId="192" fontId="25" fillId="0" borderId="0" xfId="0" applyNumberFormat="1" applyFont="1" applyAlignment="1">
      <alignment horizontal="right"/>
    </xf>
    <xf numFmtId="0" fontId="33" fillId="0" borderId="0" xfId="0" applyFont="1"/>
    <xf numFmtId="10" fontId="33" fillId="0" borderId="0" xfId="0" applyNumberFormat="1" applyFont="1" applyAlignment="1">
      <alignment horizontal="center"/>
    </xf>
    <xf numFmtId="0" fontId="34" fillId="0" borderId="0" xfId="0" applyFont="1" applyAlignment="1">
      <alignment horizontal="right"/>
    </xf>
    <xf numFmtId="0" fontId="35" fillId="0" borderId="1" xfId="0" quotePrefix="1" applyFont="1" applyBorder="1" applyAlignment="1">
      <alignment horizontal="left" wrapText="1"/>
    </xf>
    <xf numFmtId="10" fontId="0" fillId="0" borderId="0" xfId="0" applyNumberFormat="1"/>
    <xf numFmtId="0" fontId="36" fillId="0" borderId="0" xfId="0" applyFont="1"/>
    <xf numFmtId="190" fontId="0" fillId="0" borderId="0" xfId="0" applyNumberFormat="1"/>
    <xf numFmtId="10" fontId="26" fillId="0" borderId="0" xfId="0" applyNumberFormat="1" applyFont="1" applyAlignment="1">
      <alignment vertical="center"/>
    </xf>
    <xf numFmtId="191" fontId="26" fillId="0" borderId="0" xfId="0" applyNumberFormat="1" applyFont="1" applyAlignment="1">
      <alignment vertical="center"/>
    </xf>
    <xf numFmtId="191" fontId="30" fillId="0" borderId="0" xfId="0" applyNumberFormat="1" applyFont="1"/>
    <xf numFmtId="10" fontId="30" fillId="0" borderId="0" xfId="0" applyNumberFormat="1" applyFont="1"/>
    <xf numFmtId="9" fontId="30" fillId="0" borderId="0" xfId="0" applyNumberFormat="1" applyFont="1"/>
    <xf numFmtId="191" fontId="26" fillId="0" borderId="0" xfId="0" applyNumberFormat="1" applyFont="1"/>
    <xf numFmtId="9" fontId="7" fillId="0" borderId="0" xfId="0" applyNumberFormat="1" applyFont="1"/>
    <xf numFmtId="9" fontId="26" fillId="0" borderId="0" xfId="0" applyNumberFormat="1" applyFont="1"/>
    <xf numFmtId="0" fontId="1" fillId="0" borderId="0" xfId="0" applyFont="1" applyAlignment="1">
      <alignment horizontal="left"/>
    </xf>
    <xf numFmtId="9" fontId="0" fillId="0" borderId="0" xfId="0" applyNumberFormat="1" applyAlignment="1">
      <alignment horizontal="right"/>
    </xf>
    <xf numFmtId="0" fontId="1" fillId="0" borderId="3" xfId="0" applyFont="1" applyBorder="1" applyAlignment="1">
      <alignment horizontal="left" vertical="center"/>
    </xf>
    <xf numFmtId="184" fontId="3" fillId="8" borderId="1" xfId="0" applyNumberFormat="1" applyFont="1" applyFill="1" applyBorder="1"/>
    <xf numFmtId="0" fontId="36" fillId="0" borderId="1" xfId="0" applyFont="1" applyBorder="1"/>
    <xf numFmtId="0" fontId="0" fillId="0" borderId="1" xfId="0" applyBorder="1" applyAlignment="1">
      <alignment vertical="center"/>
    </xf>
    <xf numFmtId="184"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38" fillId="0" borderId="1" xfId="0" applyFont="1" applyBorder="1" applyAlignment="1">
      <alignment horizontal="left"/>
    </xf>
    <xf numFmtId="0" fontId="28" fillId="6" borderId="4" xfId="0" applyFont="1" applyFill="1" applyBorder="1" applyAlignment="1">
      <alignment horizontal="center"/>
    </xf>
    <xf numFmtId="0" fontId="28" fillId="6" borderId="1" xfId="0" applyFont="1" applyFill="1" applyBorder="1" applyAlignment="1">
      <alignment horizontal="center"/>
    </xf>
    <xf numFmtId="177" fontId="26" fillId="0" borderId="3" xfId="0" applyNumberFormat="1" applyFont="1" applyBorder="1" applyAlignment="1">
      <alignment horizontal="center"/>
    </xf>
    <xf numFmtId="190" fontId="1" fillId="0" borderId="0" xfId="0" applyNumberFormat="1" applyFont="1"/>
    <xf numFmtId="193" fontId="0" fillId="0" borderId="0" xfId="0" applyNumberFormat="1"/>
    <xf numFmtId="0" fontId="1" fillId="0" borderId="3" xfId="0" applyFont="1" applyBorder="1" applyAlignment="1">
      <alignment horizontal="left" vertical="center" wrapText="1"/>
    </xf>
    <xf numFmtId="0" fontId="0" fillId="0" borderId="3" xfId="0" applyBorder="1" applyAlignment="1">
      <alignment horizontal="left" vertical="center" wrapText="1"/>
    </xf>
    <xf numFmtId="184" fontId="10" fillId="0" borderId="0" xfId="0" applyNumberFormat="1" applyFont="1"/>
    <xf numFmtId="0" fontId="10" fillId="0" borderId="2" xfId="0" quotePrefix="1" applyFont="1" applyBorder="1"/>
    <xf numFmtId="10" fontId="3" fillId="8" borderId="1" xfId="0" applyNumberFormat="1" applyFont="1" applyFill="1" applyBorder="1"/>
    <xf numFmtId="10" fontId="14" fillId="0" borderId="1" xfId="0" applyNumberFormat="1" applyFont="1" applyBorder="1"/>
    <xf numFmtId="184" fontId="11" fillId="0" borderId="1" xfId="0" quotePrefix="1" applyNumberFormat="1" applyFont="1" applyBorder="1" applyAlignment="1">
      <alignment wrapText="1"/>
    </xf>
    <xf numFmtId="190" fontId="8" fillId="0" borderId="1" xfId="0" quotePrefix="1" applyNumberFormat="1" applyFont="1" applyBorder="1" applyAlignment="1">
      <alignment wrapText="1"/>
    </xf>
    <xf numFmtId="0" fontId="39" fillId="0" borderId="2" xfId="0" quotePrefix="1" applyFont="1" applyBorder="1" applyAlignment="1">
      <alignment horizontal="left" wrapText="1"/>
    </xf>
    <xf numFmtId="0" fontId="8" fillId="0" borderId="1" xfId="0" quotePrefix="1" applyFont="1" applyBorder="1" applyAlignment="1">
      <alignment horizontal="right" wrapText="1"/>
    </xf>
  </cellXfs>
  <cellStyles count="1">
    <cellStyle name="常规" xfId="0" builtinId="0"/>
  </cellStyles>
  <dxfs count="6">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ont>
        <color rgb="FF006100"/>
      </font>
      <fill>
        <patternFill>
          <bgColor rgb="FFC6EFCE"/>
        </patternFill>
      </fill>
    </dxf>
  </dxfs>
  <tableStyles count="0" defaultTableStyle="TableStyleMedium2" defaultPivotStyle="PivotStyleLight16"/>
  <colors>
    <mruColors>
      <color rgb="FFFF0000"/>
      <color rgb="FF0000FF"/>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I100"/>
  <sheetViews>
    <sheetView showGridLines="0" zoomScaleNormal="100" workbookViewId="0">
      <selection activeCell="D10" sqref="D10"/>
    </sheetView>
  </sheetViews>
  <sheetFormatPr defaultRowHeight="11.65" x14ac:dyDescent="0.35"/>
  <cols>
    <col min="1" max="1" width="2.59765625" style="1" customWidth="1"/>
    <col min="2" max="2" width="23.1328125" style="1" customWidth="1"/>
    <col min="3" max="3" width="15.59765625" style="1" customWidth="1"/>
    <col min="4" max="5" width="25.59765625" style="1" customWidth="1"/>
    <col min="6" max="16384" width="9.06640625" style="1"/>
  </cols>
  <sheetData>
    <row r="1" spans="1:9" ht="12.4" x14ac:dyDescent="0.4">
      <c r="B1" s="52" t="s">
        <v>92</v>
      </c>
      <c r="C1" s="227" t="s">
        <v>316</v>
      </c>
      <c r="D1" s="56" t="s">
        <v>317</v>
      </c>
    </row>
    <row r="2" spans="1:9" x14ac:dyDescent="0.35">
      <c r="B2" s="3" t="s">
        <v>62</v>
      </c>
      <c r="C2" s="48">
        <v>45643</v>
      </c>
      <c r="D2" s="59"/>
      <c r="E2" s="122" t="s">
        <v>319</v>
      </c>
    </row>
    <row r="3" spans="1:9" ht="13.9" x14ac:dyDescent="0.45">
      <c r="A3" s="39" t="s">
        <v>120</v>
      </c>
      <c r="B3" s="39"/>
      <c r="C3" s="39"/>
      <c r="D3" s="39"/>
      <c r="E3" s="39"/>
      <c r="F3" s="25"/>
      <c r="G3" s="25"/>
      <c r="H3" s="25"/>
      <c r="I3" s="25"/>
    </row>
    <row r="4" spans="1:9" x14ac:dyDescent="0.35">
      <c r="B4" s="50" t="s">
        <v>118</v>
      </c>
      <c r="C4" s="51"/>
    </row>
    <row r="5" spans="1:9" x14ac:dyDescent="0.35">
      <c r="B5" s="2" t="s">
        <v>119</v>
      </c>
      <c r="C5" s="28" t="s">
        <v>318</v>
      </c>
      <c r="D5" s="2"/>
    </row>
    <row r="6" spans="1:9" x14ac:dyDescent="0.35">
      <c r="B6" s="2" t="s">
        <v>72</v>
      </c>
      <c r="C6" s="49">
        <v>8</v>
      </c>
      <c r="D6" s="2"/>
    </row>
    <row r="7" spans="1:9" x14ac:dyDescent="0.35">
      <c r="B7" s="1" t="s">
        <v>73</v>
      </c>
      <c r="C7" s="36">
        <f>EOMONTH(EDATE(BS!C1,Thesis!C6),0)</f>
        <v>45716</v>
      </c>
    </row>
    <row r="9" spans="1:9" x14ac:dyDescent="0.35">
      <c r="B9" s="50" t="str">
        <f>D1&amp;" Stock Information"</f>
        <v>0697.HK Stock Information</v>
      </c>
      <c r="C9" s="51"/>
      <c r="D9" s="6"/>
    </row>
    <row r="10" spans="1:9" x14ac:dyDescent="0.35">
      <c r="B10" s="5" t="s">
        <v>185</v>
      </c>
      <c r="C10" s="57">
        <v>1.7</v>
      </c>
      <c r="D10" s="55" t="s">
        <v>61</v>
      </c>
    </row>
    <row r="11" spans="1:9" x14ac:dyDescent="0.35">
      <c r="B11" s="5" t="s">
        <v>0</v>
      </c>
      <c r="C11" s="58">
        <v>7286015440</v>
      </c>
      <c r="D11" s="37"/>
    </row>
    <row r="12" spans="1:9" x14ac:dyDescent="0.35">
      <c r="B12" s="5" t="s">
        <v>1</v>
      </c>
      <c r="C12" s="55" t="s">
        <v>309</v>
      </c>
      <c r="D12" s="35"/>
    </row>
    <row r="13" spans="1:9" x14ac:dyDescent="0.35">
      <c r="B13" s="5" t="s">
        <v>2</v>
      </c>
      <c r="C13" s="57">
        <v>1.06</v>
      </c>
      <c r="D13" s="55" t="str">
        <f>IF(C12=D10,D10,C12&amp;"/"&amp;D10)</f>
        <v>CNY/HKD</v>
      </c>
    </row>
    <row r="14" spans="1:9" x14ac:dyDescent="0.35">
      <c r="B14" s="5" t="s">
        <v>29</v>
      </c>
      <c r="C14" s="38">
        <f>Thesis!C10*Thesis!C11/1000000</f>
        <v>12386.226248000001</v>
      </c>
      <c r="D14" s="55"/>
    </row>
    <row r="15" spans="1:9" x14ac:dyDescent="0.35">
      <c r="D15" s="6"/>
    </row>
    <row r="16" spans="1:9" ht="13.9" x14ac:dyDescent="0.45">
      <c r="A16" s="39" t="s">
        <v>121</v>
      </c>
      <c r="B16" s="39"/>
      <c r="C16" s="39"/>
      <c r="D16" s="39"/>
      <c r="E16" s="39"/>
    </row>
    <row r="18" spans="1:4" x14ac:dyDescent="0.35">
      <c r="A18" s="19" t="str">
        <f>"1."</f>
        <v>1.</v>
      </c>
      <c r="B18" s="52" t="s">
        <v>93</v>
      </c>
    </row>
    <row r="19" spans="1:4" x14ac:dyDescent="0.35">
      <c r="B19" s="52" t="s">
        <v>103</v>
      </c>
    </row>
    <row r="20" spans="1:4" x14ac:dyDescent="0.35">
      <c r="B20" s="1" t="s">
        <v>82</v>
      </c>
    </row>
    <row r="22" spans="1:4" x14ac:dyDescent="0.35">
      <c r="B22" s="52" t="s">
        <v>124</v>
      </c>
      <c r="C22" s="147">
        <f>Data!C3</f>
        <v>1000</v>
      </c>
    </row>
    <row r="23" spans="1:4" x14ac:dyDescent="0.35">
      <c r="B23" s="1" t="s">
        <v>191</v>
      </c>
      <c r="C23" s="100">
        <f>Normalized_FCF!C16</f>
        <v>203787.93250153083</v>
      </c>
      <c r="D23" s="1" t="str">
        <f>C12</f>
        <v>CNY</v>
      </c>
    </row>
    <row r="24" spans="1:4" x14ac:dyDescent="0.35">
      <c r="B24" s="1" t="s">
        <v>192</v>
      </c>
      <c r="C24" s="100">
        <f>Normalized_FCF!C11</f>
        <v>124963.86636895518</v>
      </c>
    </row>
    <row r="25" spans="1:4" x14ac:dyDescent="0.35">
      <c r="B25" s="144" t="s">
        <v>123</v>
      </c>
      <c r="C25" s="100">
        <f>C23+C24</f>
        <v>328751.79887048597</v>
      </c>
    </row>
    <row r="27" spans="1:4" x14ac:dyDescent="0.35">
      <c r="B27" s="1" t="s">
        <v>193</v>
      </c>
      <c r="C27" s="100">
        <f>Normalized_FCF!C19</f>
        <v>203787.93250153083</v>
      </c>
    </row>
    <row r="28" spans="1:4" x14ac:dyDescent="0.35">
      <c r="B28" s="1" t="s">
        <v>194</v>
      </c>
      <c r="C28" s="143">
        <f>C27/(Common_Shares/Data!C3)</f>
        <v>2.7969736569969556E-2</v>
      </c>
    </row>
    <row r="29" spans="1:4" x14ac:dyDescent="0.35">
      <c r="B29" s="1" t="s">
        <v>195</v>
      </c>
      <c r="C29" s="123">
        <f>C28/Market_Price</f>
        <v>1.6452786217629151E-2</v>
      </c>
    </row>
    <row r="31" spans="1:4" x14ac:dyDescent="0.35">
      <c r="B31" s="53" t="s">
        <v>83</v>
      </c>
    </row>
    <row r="32" spans="1:4" x14ac:dyDescent="0.35">
      <c r="B32" s="53" t="s">
        <v>84</v>
      </c>
    </row>
    <row r="33" spans="1:4" x14ac:dyDescent="0.35">
      <c r="B33" s="53" t="s">
        <v>85</v>
      </c>
    </row>
    <row r="34" spans="1:4" x14ac:dyDescent="0.35">
      <c r="B34" s="53" t="s">
        <v>86</v>
      </c>
    </row>
    <row r="36" spans="1:4" x14ac:dyDescent="0.35">
      <c r="A36" s="19" t="str">
        <f>"2."</f>
        <v>2.</v>
      </c>
      <c r="B36" s="52" t="s">
        <v>94</v>
      </c>
    </row>
    <row r="37" spans="1:4" x14ac:dyDescent="0.35">
      <c r="B37" s="1" t="s">
        <v>211</v>
      </c>
      <c r="C37" s="165">
        <v>0.1</v>
      </c>
    </row>
    <row r="38" spans="1:4" x14ac:dyDescent="0.35">
      <c r="C38" s="123"/>
    </row>
    <row r="39" spans="1:4" x14ac:dyDescent="0.35">
      <c r="B39" s="18" t="s">
        <v>202</v>
      </c>
    </row>
    <row r="40" spans="1:4" x14ac:dyDescent="0.35">
      <c r="B40" s="144" t="s">
        <v>203</v>
      </c>
      <c r="C40" s="150">
        <v>0</v>
      </c>
      <c r="D40" s="54" t="s">
        <v>44</v>
      </c>
    </row>
    <row r="41" spans="1:4" x14ac:dyDescent="0.35">
      <c r="B41" s="144" t="s">
        <v>204</v>
      </c>
      <c r="C41" s="150">
        <v>0</v>
      </c>
      <c r="D41" s="149" t="s">
        <v>206</v>
      </c>
    </row>
    <row r="42" spans="1:4" x14ac:dyDescent="0.35">
      <c r="B42" s="144" t="s">
        <v>205</v>
      </c>
      <c r="C42" s="150">
        <v>0</v>
      </c>
    </row>
    <row r="43" spans="1:4" x14ac:dyDescent="0.35">
      <c r="B43" s="91" t="s">
        <v>202</v>
      </c>
      <c r="C43" s="92">
        <f>SUM(C40:C42)</f>
        <v>0</v>
      </c>
    </row>
    <row r="45" spans="1:4" x14ac:dyDescent="0.35">
      <c r="A45" s="19" t="str">
        <f>"3."</f>
        <v>3.</v>
      </c>
      <c r="B45" s="52" t="s">
        <v>95</v>
      </c>
    </row>
    <row r="46" spans="1:4" x14ac:dyDescent="0.35">
      <c r="B46" s="52" t="s">
        <v>81</v>
      </c>
    </row>
    <row r="47" spans="1:4" x14ac:dyDescent="0.35">
      <c r="B47" s="1" t="s">
        <v>87</v>
      </c>
    </row>
    <row r="48" spans="1:4" x14ac:dyDescent="0.35">
      <c r="B48" s="1" t="s">
        <v>88</v>
      </c>
    </row>
    <row r="50" spans="1:2" x14ac:dyDescent="0.35">
      <c r="B50" s="52" t="s">
        <v>89</v>
      </c>
    </row>
    <row r="51" spans="1:2" x14ac:dyDescent="0.35">
      <c r="B51" s="1" t="s">
        <v>90</v>
      </c>
    </row>
    <row r="53" spans="1:2" x14ac:dyDescent="0.35">
      <c r="A53" s="19" t="str">
        <f>"4."</f>
        <v>4.</v>
      </c>
      <c r="B53" s="52" t="s">
        <v>122</v>
      </c>
    </row>
    <row r="54" spans="1:2" x14ac:dyDescent="0.35">
      <c r="B54" s="52" t="s">
        <v>103</v>
      </c>
    </row>
    <row r="55" spans="1:2" x14ac:dyDescent="0.35">
      <c r="B55" s="1" t="s">
        <v>91</v>
      </c>
    </row>
    <row r="57" spans="1:2" x14ac:dyDescent="0.35">
      <c r="B57" s="52" t="s">
        <v>96</v>
      </c>
    </row>
    <row r="58" spans="1:2" x14ac:dyDescent="0.35">
      <c r="B58" s="1" t="s">
        <v>97</v>
      </c>
    </row>
    <row r="60" spans="1:2" x14ac:dyDescent="0.35">
      <c r="B60" s="52" t="s">
        <v>99</v>
      </c>
    </row>
    <row r="61" spans="1:2" x14ac:dyDescent="0.35">
      <c r="B61" s="1" t="s">
        <v>52</v>
      </c>
    </row>
    <row r="62" spans="1:2" x14ac:dyDescent="0.35">
      <c r="B62" s="1" t="s">
        <v>98</v>
      </c>
    </row>
    <row r="63" spans="1:2" x14ac:dyDescent="0.35">
      <c r="B63" s="1" t="s">
        <v>53</v>
      </c>
    </row>
    <row r="65" spans="1:3" x14ac:dyDescent="0.35">
      <c r="B65" s="52" t="s">
        <v>31</v>
      </c>
    </row>
    <row r="66" spans="1:3" ht="12.75" x14ac:dyDescent="0.35">
      <c r="B66" s="138" t="s">
        <v>243</v>
      </c>
      <c r="C66"/>
    </row>
    <row r="67" spans="1:3" ht="12.75" x14ac:dyDescent="0.35">
      <c r="B67" s="138" t="s">
        <v>241</v>
      </c>
      <c r="C67" s="196">
        <v>3</v>
      </c>
    </row>
    <row r="68" spans="1:3" ht="12.75" x14ac:dyDescent="0.35">
      <c r="B68" s="138" t="s">
        <v>281</v>
      </c>
      <c r="C68" s="216">
        <v>0.2</v>
      </c>
    </row>
    <row r="69" spans="1:3" x14ac:dyDescent="0.35">
      <c r="B69" s="1" t="s">
        <v>115</v>
      </c>
      <c r="C69" s="201">
        <f>Scenarios!F83</f>
        <v>0.45558530028504296</v>
      </c>
    </row>
    <row r="71" spans="1:3" x14ac:dyDescent="0.35">
      <c r="B71" s="52" t="s">
        <v>100</v>
      </c>
    </row>
    <row r="72" spans="1:3" x14ac:dyDescent="0.35">
      <c r="B72" s="1" t="s">
        <v>101</v>
      </c>
    </row>
    <row r="74" spans="1:3" x14ac:dyDescent="0.35">
      <c r="A74" s="19" t="str">
        <f>"5."</f>
        <v>5.</v>
      </c>
      <c r="B74" s="52" t="s">
        <v>102</v>
      </c>
    </row>
    <row r="75" spans="1:3" x14ac:dyDescent="0.35">
      <c r="B75" s="52" t="s">
        <v>103</v>
      </c>
    </row>
    <row r="76" spans="1:3" x14ac:dyDescent="0.35">
      <c r="B76" s="1" t="s">
        <v>105</v>
      </c>
    </row>
    <row r="78" spans="1:3" x14ac:dyDescent="0.35">
      <c r="B78" s="52" t="s">
        <v>104</v>
      </c>
    </row>
    <row r="79" spans="1:3" x14ac:dyDescent="0.35">
      <c r="B79" s="1" t="s">
        <v>106</v>
      </c>
    </row>
    <row r="80" spans="1:3" x14ac:dyDescent="0.35">
      <c r="B80" s="1" t="s">
        <v>107</v>
      </c>
    </row>
    <row r="82" spans="1:5" ht="13.9" x14ac:dyDescent="0.45">
      <c r="A82" s="39" t="s">
        <v>116</v>
      </c>
      <c r="B82" s="39"/>
      <c r="C82" s="39"/>
      <c r="D82" s="39"/>
      <c r="E82" s="39"/>
    </row>
    <row r="84" spans="1:5" ht="12.4" x14ac:dyDescent="0.4">
      <c r="B84" s="172" t="s">
        <v>227</v>
      </c>
      <c r="C84" s="172" t="s">
        <v>252</v>
      </c>
      <c r="D84" s="173" t="s">
        <v>222</v>
      </c>
      <c r="E84" s="173" t="s">
        <v>230</v>
      </c>
    </row>
    <row r="85" spans="1:5" ht="12.75" x14ac:dyDescent="0.35">
      <c r="B85" s="171" t="s">
        <v>224</v>
      </c>
      <c r="C85" s="187"/>
      <c r="D85" s="180"/>
      <c r="E85" s="187"/>
    </row>
    <row r="86" spans="1:5" ht="12.75" x14ac:dyDescent="0.35">
      <c r="B86" s="171" t="s">
        <v>225</v>
      </c>
      <c r="C86" s="187"/>
      <c r="D86" s="180"/>
      <c r="E86" s="187"/>
    </row>
    <row r="87" spans="1:5" ht="12.75" x14ac:dyDescent="0.35">
      <c r="B87" s="171" t="s">
        <v>223</v>
      </c>
      <c r="C87" s="187"/>
      <c r="D87" s="180"/>
      <c r="E87" s="187"/>
    </row>
    <row r="88" spans="1:5" ht="12.75" x14ac:dyDescent="0.35">
      <c r="B88" s="171" t="s">
        <v>226</v>
      </c>
      <c r="C88" s="187"/>
      <c r="D88" s="180"/>
      <c r="E88" s="187"/>
    </row>
    <row r="90" spans="1:5" x14ac:dyDescent="0.35">
      <c r="B90" s="52" t="s">
        <v>117</v>
      </c>
      <c r="C90" s="192">
        <f>Scenarios!C83</f>
        <v>0.19161738522773442</v>
      </c>
      <c r="D90" s="1" t="str">
        <f>Reporting_currency</f>
        <v>CNY</v>
      </c>
    </row>
    <row r="92" spans="1:5" ht="13.9" x14ac:dyDescent="0.45">
      <c r="A92" s="39" t="s">
        <v>108</v>
      </c>
      <c r="B92" s="39"/>
      <c r="C92" s="39"/>
      <c r="D92" s="39"/>
      <c r="E92" s="39"/>
    </row>
    <row r="93" spans="1:5" x14ac:dyDescent="0.35">
      <c r="B93" s="52" t="s">
        <v>109</v>
      </c>
    </row>
    <row r="94" spans="1:5" x14ac:dyDescent="0.35">
      <c r="B94" s="1" t="s">
        <v>110</v>
      </c>
    </row>
    <row r="96" spans="1:5" x14ac:dyDescent="0.35">
      <c r="B96" s="52" t="s">
        <v>111</v>
      </c>
    </row>
    <row r="97" spans="2:2" x14ac:dyDescent="0.35">
      <c r="B97" s="1" t="s">
        <v>112</v>
      </c>
    </row>
    <row r="99" spans="2:2" x14ac:dyDescent="0.35">
      <c r="B99" s="52" t="s">
        <v>113</v>
      </c>
    </row>
    <row r="100" spans="2:2" x14ac:dyDescent="0.35">
      <c r="B100" s="1" t="s">
        <v>114</v>
      </c>
    </row>
  </sheetData>
  <phoneticPr fontId="2" type="noConversion"/>
  <conditionalFormatting sqref="D85:D88">
    <cfRule type="cellIs" dxfId="5" priority="1" operator="lessThan">
      <formula>$F$13</formula>
    </cfRule>
  </conditionalFormatting>
  <dataValidations count="4">
    <dataValidation type="list" allowBlank="1" sqref="C12" xr:uid="{00000000-0002-0000-0000-000001000000}">
      <formula1>"HKD,USD,CNY,EUR"</formula1>
    </dataValidation>
    <dataValidation type="list" allowBlank="1" showInputMessage="1" showErrorMessage="1" sqref="E2" xr:uid="{45F807FD-9E0F-415A-9BBD-D5FB6470B56D}">
      <formula1>"Status: Not Held, Status: Held"</formula1>
    </dataValidation>
    <dataValidation type="list" allowBlank="1" showInputMessage="1" showErrorMessage="1" sqref="D40" xr:uid="{7A4D0D78-B7B0-41D6-9553-BB65BF9D0DE8}">
      <formula1>"US, CN, HK, Others"</formula1>
    </dataValidation>
    <dataValidation type="list" allowBlank="1" showInputMessage="1" showErrorMessage="1" sqref="D41" xr:uid="{E2751D42-64D4-404F-8920-D495B29DB1C3}">
      <formula1>"Stable Business, Moderate Risk, High Risk"</formula1>
    </dataValidation>
  </dataValidations>
  <pageMargins left="0.25" right="0.25" top="0.75" bottom="0.75" header="0.3" footer="0.3"/>
  <pageSetup paperSize="9"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78"/>
  <sheetViews>
    <sheetView showGridLines="0" zoomScaleNormal="100" workbookViewId="0">
      <pane xSplit="2" ySplit="1" topLeftCell="C32" activePane="bottomRight" state="frozen"/>
      <selection pane="topRight" activeCell="C1" sqref="C1"/>
      <selection pane="bottomLeft" activeCell="A2" sqref="A2"/>
      <selection pane="bottomRight" activeCell="E67" sqref="E67"/>
    </sheetView>
  </sheetViews>
  <sheetFormatPr defaultColWidth="8.796875" defaultRowHeight="11.65" x14ac:dyDescent="0.35"/>
  <cols>
    <col min="1" max="1" width="3" style="1" customWidth="1"/>
    <col min="2" max="2" width="27.33203125" style="1" customWidth="1"/>
    <col min="3" max="13" width="20.59765625" style="1" customWidth="1"/>
    <col min="14" max="16384" width="8.796875" style="1"/>
  </cols>
  <sheetData>
    <row r="1" spans="2:13" x14ac:dyDescent="0.35">
      <c r="B1" s="120" t="str">
        <f>Thesis!C12</f>
        <v>CNY</v>
      </c>
      <c r="C1" s="142">
        <v>45291</v>
      </c>
      <c r="D1" s="41">
        <f>EOMONTH(EDATE(C1,-12),0)</f>
        <v>44926</v>
      </c>
      <c r="E1" s="41">
        <f t="shared" ref="E1:M1" si="0">EOMONTH(EDATE(D1,-12),0)</f>
        <v>44561</v>
      </c>
      <c r="F1" s="41">
        <f t="shared" si="0"/>
        <v>44196</v>
      </c>
      <c r="G1" s="41">
        <f t="shared" si="0"/>
        <v>43830</v>
      </c>
      <c r="H1" s="41">
        <f t="shared" si="0"/>
        <v>43465</v>
      </c>
      <c r="I1" s="41">
        <f t="shared" si="0"/>
        <v>43100</v>
      </c>
      <c r="J1" s="41">
        <f t="shared" si="0"/>
        <v>42735</v>
      </c>
      <c r="K1" s="41">
        <f t="shared" si="0"/>
        <v>42369</v>
      </c>
      <c r="L1" s="41">
        <f t="shared" si="0"/>
        <v>42004</v>
      </c>
      <c r="M1" s="41">
        <f t="shared" si="0"/>
        <v>41639</v>
      </c>
    </row>
    <row r="2" spans="2:13" ht="13.9" x14ac:dyDescent="0.45">
      <c r="B2" s="39" t="s">
        <v>190</v>
      </c>
      <c r="C2" s="40"/>
      <c r="D2" s="40"/>
      <c r="E2" s="40"/>
      <c r="F2" s="40"/>
      <c r="G2" s="40"/>
      <c r="H2" s="40"/>
      <c r="I2" s="40"/>
      <c r="J2" s="40"/>
      <c r="K2" s="40"/>
      <c r="L2" s="40"/>
      <c r="M2" s="40"/>
    </row>
    <row r="3" spans="2:13" x14ac:dyDescent="0.35">
      <c r="B3" s="18" t="s">
        <v>36</v>
      </c>
      <c r="C3" s="145">
        <v>1000</v>
      </c>
    </row>
    <row r="4" spans="2:13" x14ac:dyDescent="0.35">
      <c r="B4" s="35" t="s">
        <v>3</v>
      </c>
      <c r="C4" s="76">
        <v>883478</v>
      </c>
      <c r="D4" s="76">
        <v>1599809</v>
      </c>
      <c r="E4" s="76">
        <v>1195031</v>
      </c>
      <c r="F4" s="76">
        <v>705854</v>
      </c>
      <c r="G4" s="76">
        <v>396091</v>
      </c>
      <c r="H4" s="76">
        <v>1676296</v>
      </c>
      <c r="I4" s="76"/>
      <c r="J4" s="76"/>
      <c r="K4" s="76"/>
      <c r="L4" s="76"/>
      <c r="M4" s="76"/>
    </row>
    <row r="5" spans="2:13" x14ac:dyDescent="0.35">
      <c r="B5" s="44" t="s">
        <v>66</v>
      </c>
      <c r="C5" s="76">
        <v>523759</v>
      </c>
      <c r="D5" s="76">
        <v>535391</v>
      </c>
      <c r="E5" s="76">
        <v>647828</v>
      </c>
      <c r="F5" s="76">
        <v>531460</v>
      </c>
      <c r="G5" s="76">
        <v>193695</v>
      </c>
      <c r="H5" s="76">
        <v>1515759</v>
      </c>
      <c r="I5" s="76"/>
      <c r="J5" s="76"/>
      <c r="K5" s="76"/>
      <c r="L5" s="76"/>
      <c r="M5" s="76"/>
    </row>
    <row r="6" spans="2:13" x14ac:dyDescent="0.35">
      <c r="B6" s="44" t="s">
        <v>80</v>
      </c>
      <c r="C6" s="76">
        <v>299979</v>
      </c>
      <c r="D6" s="76">
        <v>378568</v>
      </c>
      <c r="E6" s="76">
        <v>343154</v>
      </c>
      <c r="F6" s="76">
        <v>250972</v>
      </c>
      <c r="G6" s="76">
        <v>231174</v>
      </c>
      <c r="H6" s="76">
        <v>164177</v>
      </c>
      <c r="I6" s="76"/>
      <c r="J6" s="76"/>
      <c r="K6" s="76"/>
      <c r="L6" s="76"/>
      <c r="M6" s="76"/>
    </row>
    <row r="7" spans="2:13" x14ac:dyDescent="0.35">
      <c r="B7" s="89" t="s">
        <v>129</v>
      </c>
      <c r="C7" s="90"/>
      <c r="D7" s="90"/>
      <c r="E7" s="90"/>
      <c r="F7" s="90"/>
      <c r="G7" s="90"/>
      <c r="H7" s="90"/>
      <c r="I7" s="90"/>
      <c r="J7" s="90"/>
      <c r="K7" s="90"/>
      <c r="L7" s="90"/>
      <c r="M7" s="90"/>
    </row>
    <row r="8" spans="2:13" x14ac:dyDescent="0.35">
      <c r="B8" s="44" t="s">
        <v>74</v>
      </c>
      <c r="C8" s="76"/>
      <c r="D8" s="76"/>
      <c r="E8" s="76"/>
      <c r="F8" s="76"/>
      <c r="G8" s="76"/>
      <c r="H8" s="76"/>
      <c r="I8" s="76"/>
      <c r="J8" s="76"/>
      <c r="K8" s="76"/>
      <c r="L8" s="76"/>
      <c r="M8" s="76"/>
    </row>
    <row r="9" spans="2:13" x14ac:dyDescent="0.35">
      <c r="B9" s="44" t="s">
        <v>304</v>
      </c>
      <c r="C9" s="76">
        <f>-31502-31381</f>
        <v>-62883</v>
      </c>
      <c r="D9" s="76">
        <f>499-60820</f>
        <v>-60321</v>
      </c>
      <c r="E9" s="76"/>
      <c r="F9" s="76"/>
      <c r="G9" s="76"/>
      <c r="H9" s="76"/>
      <c r="I9" s="76"/>
      <c r="J9" s="76"/>
      <c r="K9" s="76"/>
      <c r="L9" s="76"/>
      <c r="M9" s="76"/>
    </row>
    <row r="10" spans="2:13" x14ac:dyDescent="0.35">
      <c r="B10" s="44" t="s">
        <v>320</v>
      </c>
      <c r="C10" s="76">
        <v>328373</v>
      </c>
      <c r="D10" s="76">
        <v>414899</v>
      </c>
      <c r="E10" s="76"/>
      <c r="F10" s="76"/>
      <c r="G10" s="76"/>
      <c r="H10" s="76"/>
      <c r="I10" s="76"/>
      <c r="J10" s="76"/>
      <c r="K10" s="76"/>
      <c r="L10" s="76"/>
      <c r="M10" s="76"/>
    </row>
    <row r="11" spans="2:13" x14ac:dyDescent="0.35">
      <c r="B11" s="44" t="s">
        <v>301</v>
      </c>
      <c r="C11" s="76"/>
      <c r="D11" s="76"/>
      <c r="E11" s="76"/>
      <c r="F11" s="76"/>
      <c r="G11" s="76"/>
      <c r="H11" s="76"/>
      <c r="I11" s="76"/>
      <c r="J11" s="76"/>
      <c r="K11" s="76"/>
      <c r="L11" s="76"/>
      <c r="M11" s="76"/>
    </row>
    <row r="12" spans="2:13" x14ac:dyDescent="0.35">
      <c r="B12" s="44" t="s">
        <v>58</v>
      </c>
      <c r="C12" s="76">
        <v>105689</v>
      </c>
      <c r="D12" s="76">
        <v>102356</v>
      </c>
      <c r="E12" s="76">
        <v>74343</v>
      </c>
      <c r="F12" s="76">
        <v>77168</v>
      </c>
      <c r="G12" s="76">
        <v>27358</v>
      </c>
      <c r="H12" s="76">
        <v>5699</v>
      </c>
      <c r="I12" s="76"/>
      <c r="J12" s="76"/>
      <c r="K12" s="76"/>
      <c r="L12" s="76"/>
      <c r="M12" s="76"/>
    </row>
    <row r="13" spans="2:13" x14ac:dyDescent="0.35">
      <c r="B13" s="44" t="s">
        <v>139</v>
      </c>
      <c r="C13" s="76">
        <v>127073</v>
      </c>
      <c r="D13" s="76">
        <v>62873</v>
      </c>
      <c r="E13" s="76"/>
      <c r="F13" s="76"/>
      <c r="G13" s="76"/>
      <c r="H13" s="76"/>
      <c r="I13" s="76"/>
      <c r="J13" s="76"/>
      <c r="K13" s="76"/>
      <c r="L13" s="76"/>
      <c r="M13" s="76"/>
    </row>
    <row r="14" spans="2:13" x14ac:dyDescent="0.35">
      <c r="B14" s="44" t="s">
        <v>75</v>
      </c>
      <c r="C14" s="76">
        <v>6906</v>
      </c>
      <c r="D14" s="76">
        <v>269091</v>
      </c>
      <c r="E14" s="76"/>
      <c r="F14" s="76"/>
      <c r="G14" s="76"/>
      <c r="H14" s="76"/>
      <c r="I14" s="76"/>
      <c r="J14" s="76"/>
      <c r="K14" s="76"/>
      <c r="L14" s="76"/>
      <c r="M14" s="76"/>
    </row>
    <row r="15" spans="2:13" x14ac:dyDescent="0.35">
      <c r="B15" s="47" t="s">
        <v>64</v>
      </c>
      <c r="C15" s="88">
        <v>459545</v>
      </c>
      <c r="D15" s="88">
        <v>914347</v>
      </c>
      <c r="E15" s="88"/>
      <c r="F15" s="88"/>
      <c r="G15" s="88"/>
      <c r="H15" s="88"/>
      <c r="I15" s="88"/>
      <c r="J15" s="88"/>
      <c r="K15" s="88"/>
      <c r="L15" s="88"/>
      <c r="M15" s="88"/>
    </row>
    <row r="16" spans="2:13" x14ac:dyDescent="0.35">
      <c r="B16" s="31" t="s">
        <v>67</v>
      </c>
      <c r="C16" s="76">
        <v>55980</v>
      </c>
      <c r="D16" s="76">
        <v>-7663</v>
      </c>
      <c r="E16" s="76"/>
      <c r="F16" s="76"/>
      <c r="G16" s="76"/>
      <c r="H16" s="76"/>
      <c r="I16" s="76"/>
      <c r="J16" s="76"/>
      <c r="K16" s="76"/>
      <c r="L16" s="76"/>
      <c r="M16" s="76"/>
    </row>
    <row r="18" spans="2:13" x14ac:dyDescent="0.35">
      <c r="B18" s="18" t="s">
        <v>76</v>
      </c>
      <c r="C18" s="11"/>
    </row>
    <row r="19" spans="2:13" x14ac:dyDescent="0.35">
      <c r="B19" s="30" t="s">
        <v>70</v>
      </c>
      <c r="C19" s="76">
        <v>35974</v>
      </c>
      <c r="D19" s="76">
        <v>32106</v>
      </c>
      <c r="E19" s="76">
        <v>181.018</v>
      </c>
      <c r="F19" s="76">
        <v>186.14699999999999</v>
      </c>
      <c r="G19" s="76"/>
      <c r="H19" s="76"/>
      <c r="I19" s="76"/>
      <c r="J19" s="76"/>
      <c r="K19" s="76"/>
      <c r="L19" s="76"/>
      <c r="M19" s="76"/>
    </row>
    <row r="20" spans="2:13" x14ac:dyDescent="0.35">
      <c r="B20" s="30" t="s">
        <v>78</v>
      </c>
      <c r="C20" s="76">
        <v>15312</v>
      </c>
      <c r="D20" s="76">
        <v>11600</v>
      </c>
      <c r="E20" s="76"/>
      <c r="F20" s="76"/>
      <c r="G20" s="76"/>
      <c r="H20" s="76"/>
      <c r="I20" s="76"/>
      <c r="J20" s="76"/>
      <c r="K20" s="76"/>
      <c r="L20" s="76"/>
      <c r="M20" s="76"/>
    </row>
    <row r="21" spans="2:13" x14ac:dyDescent="0.35">
      <c r="B21" s="30" t="s">
        <v>77</v>
      </c>
      <c r="C21" s="76">
        <v>-169280</v>
      </c>
      <c r="D21" s="76">
        <v>-50846</v>
      </c>
      <c r="E21" s="76"/>
      <c r="F21" s="76"/>
      <c r="G21" s="76"/>
      <c r="H21" s="76"/>
      <c r="I21" s="76"/>
      <c r="J21" s="76"/>
      <c r="K21" s="76"/>
      <c r="L21" s="76"/>
      <c r="M21" s="76"/>
    </row>
    <row r="22" spans="2:13" x14ac:dyDescent="0.35">
      <c r="B22" s="27" t="str">
        <f>"Dividend per share ("&amp;Market_currency&amp;")"</f>
        <v>Dividend per share (HKD)</v>
      </c>
      <c r="C22" s="42">
        <v>5.4800000000000001E-2</v>
      </c>
      <c r="D22" s="42">
        <v>9.5200000000000007E-2</v>
      </c>
      <c r="E22" s="42"/>
      <c r="F22" s="42"/>
      <c r="G22" s="42"/>
      <c r="H22" s="42"/>
      <c r="I22" s="42"/>
      <c r="J22" s="42"/>
      <c r="K22" s="42"/>
      <c r="L22" s="42"/>
      <c r="M22" s="42"/>
    </row>
    <row r="24" spans="2:13" x14ac:dyDescent="0.35">
      <c r="B24" s="18" t="s">
        <v>37</v>
      </c>
      <c r="C24" s="11"/>
    </row>
    <row r="25" spans="2:13" x14ac:dyDescent="0.35">
      <c r="B25" s="29" t="s">
        <v>32</v>
      </c>
      <c r="C25" s="65"/>
      <c r="D25" s="76"/>
      <c r="E25" s="76"/>
      <c r="F25" s="76"/>
      <c r="G25" s="76"/>
      <c r="H25" s="76"/>
      <c r="I25" s="76"/>
      <c r="J25" s="76"/>
      <c r="K25" s="76"/>
      <c r="L25" s="76"/>
      <c r="M25" s="76"/>
    </row>
    <row r="26" spans="2:13" x14ac:dyDescent="0.35">
      <c r="B26" s="29" t="s">
        <v>41</v>
      </c>
      <c r="C26" s="65"/>
      <c r="D26" s="76"/>
      <c r="E26" s="76"/>
      <c r="F26" s="76"/>
      <c r="G26" s="76"/>
      <c r="H26" s="76"/>
      <c r="I26" s="76"/>
      <c r="J26" s="76"/>
      <c r="K26" s="76"/>
      <c r="L26" s="76"/>
      <c r="M26" s="76"/>
    </row>
    <row r="27" spans="2:13" x14ac:dyDescent="0.35">
      <c r="B27" s="32" t="s">
        <v>59</v>
      </c>
      <c r="C27" s="88">
        <v>642877</v>
      </c>
      <c r="D27" s="88">
        <v>734909</v>
      </c>
      <c r="E27" s="88">
        <v>677999</v>
      </c>
      <c r="F27" s="88">
        <v>1352795</v>
      </c>
      <c r="G27" s="88">
        <v>1205068</v>
      </c>
      <c r="H27" s="88"/>
      <c r="I27" s="88"/>
      <c r="J27" s="88"/>
      <c r="K27" s="88"/>
      <c r="L27" s="88"/>
      <c r="M27" s="88"/>
    </row>
    <row r="28" spans="2:13" x14ac:dyDescent="0.35">
      <c r="B28" s="32" t="s">
        <v>39</v>
      </c>
      <c r="C28" s="88">
        <v>3027292</v>
      </c>
      <c r="D28" s="88">
        <v>2824568</v>
      </c>
      <c r="E28" s="88">
        <v>2735259</v>
      </c>
      <c r="F28" s="88">
        <v>250534</v>
      </c>
      <c r="G28" s="88">
        <v>13930</v>
      </c>
      <c r="H28" s="88"/>
      <c r="I28" s="88"/>
      <c r="J28" s="88"/>
      <c r="K28" s="88"/>
      <c r="L28" s="88"/>
      <c r="M28" s="88"/>
    </row>
    <row r="30" spans="2:13" x14ac:dyDescent="0.35">
      <c r="B30" s="18" t="s">
        <v>79</v>
      </c>
      <c r="C30" s="11"/>
    </row>
    <row r="31" spans="2:13" x14ac:dyDescent="0.35">
      <c r="B31" s="29" t="s">
        <v>60</v>
      </c>
      <c r="C31" s="76"/>
      <c r="D31" s="76">
        <v>18682</v>
      </c>
      <c r="E31" s="76">
        <v>61277</v>
      </c>
      <c r="F31" s="76">
        <v>51229</v>
      </c>
      <c r="G31" s="76">
        <v>23195</v>
      </c>
      <c r="H31" s="76"/>
      <c r="I31" s="76"/>
      <c r="J31" s="76"/>
      <c r="K31" s="76"/>
      <c r="L31" s="76"/>
      <c r="M31" s="76"/>
    </row>
    <row r="33" spans="2:13" ht="13.9" x14ac:dyDescent="0.45">
      <c r="B33" s="39" t="s">
        <v>167</v>
      </c>
      <c r="C33" s="40"/>
      <c r="D33" s="40"/>
      <c r="E33" s="40"/>
      <c r="F33" s="40"/>
      <c r="G33" s="40"/>
      <c r="H33" s="40"/>
      <c r="I33" s="40"/>
      <c r="J33" s="40"/>
      <c r="K33" s="40"/>
      <c r="L33" s="40"/>
      <c r="M33" s="40"/>
    </row>
    <row r="34" spans="2:13" x14ac:dyDescent="0.35">
      <c r="B34" s="18" t="s">
        <v>36</v>
      </c>
    </row>
    <row r="35" spans="2:13" x14ac:dyDescent="0.35">
      <c r="B35" s="35" t="s">
        <v>3</v>
      </c>
      <c r="C35" s="65">
        <f>IF(C$4="","",C4)</f>
        <v>883478</v>
      </c>
      <c r="D35" s="65">
        <f>IF(D$4="","",D4)</f>
        <v>1599809</v>
      </c>
      <c r="E35" s="65">
        <f>IF(E$4="","",E4)</f>
        <v>1195031</v>
      </c>
      <c r="F35" s="65">
        <f>IF(F$4="","",F4)</f>
        <v>705854</v>
      </c>
      <c r="G35" s="65">
        <f>IF(G$4="","",G4)</f>
        <v>396091</v>
      </c>
      <c r="H35" s="65">
        <f>IF(H$4="","",H4)</f>
        <v>1676296</v>
      </c>
      <c r="I35" s="65" t="str">
        <f>IF(I$4="","",I4)</f>
        <v/>
      </c>
      <c r="J35" s="65" t="str">
        <f>IF(J$4="","",J4)</f>
        <v/>
      </c>
      <c r="K35" s="65" t="str">
        <f>IF(K$4="","",K4)</f>
        <v/>
      </c>
      <c r="L35" s="65" t="str">
        <f>IF(L$4="","",L4)</f>
        <v/>
      </c>
      <c r="M35" s="65" t="str">
        <f>IF(M$4="","",M4)</f>
        <v/>
      </c>
    </row>
    <row r="36" spans="2:13" x14ac:dyDescent="0.35">
      <c r="B36" s="44" t="s">
        <v>66</v>
      </c>
      <c r="C36" s="65">
        <f>IF(C$4="","",-C5)</f>
        <v>-523759</v>
      </c>
      <c r="D36" s="65">
        <f>IF(D$4="","",-D5)</f>
        <v>-535391</v>
      </c>
      <c r="E36" s="65">
        <f>IF(E$4="","",-E5)</f>
        <v>-647828</v>
      </c>
      <c r="F36" s="65">
        <f>IF(F$4="","",-F5)</f>
        <v>-531460</v>
      </c>
      <c r="G36" s="65">
        <f>IF(G$4="","",-G5)</f>
        <v>-193695</v>
      </c>
      <c r="H36" s="65">
        <f>IF(H$4="","",-H5)</f>
        <v>-1515759</v>
      </c>
      <c r="I36" s="65" t="str">
        <f>IF(I$4="","",-I5)</f>
        <v/>
      </c>
      <c r="J36" s="65" t="str">
        <f>IF(J$4="","",-J5)</f>
        <v/>
      </c>
      <c r="K36" s="65" t="str">
        <f>IF(K$4="","",-K5)</f>
        <v/>
      </c>
      <c r="L36" s="65" t="str">
        <f>IF(L$4="","",-L5)</f>
        <v/>
      </c>
      <c r="M36" s="65" t="str">
        <f>IF(M$4="","",-M5)</f>
        <v/>
      </c>
    </row>
    <row r="37" spans="2:13" x14ac:dyDescent="0.35">
      <c r="B37" s="34" t="s">
        <v>126</v>
      </c>
      <c r="C37" s="80">
        <f>IF(C35="","",C35+C36)</f>
        <v>359719</v>
      </c>
      <c r="D37" s="80">
        <f t="shared" ref="D37" si="1">IF(D35="","",D35+D36)</f>
        <v>1064418</v>
      </c>
      <c r="E37" s="80">
        <f t="shared" ref="E37" si="2">IF(E35="","",E35+E36)</f>
        <v>547203</v>
      </c>
      <c r="F37" s="80">
        <f t="shared" ref="F37" si="3">IF(F35="","",F35+F36)</f>
        <v>174394</v>
      </c>
      <c r="G37" s="80">
        <f t="shared" ref="G37" si="4">IF(G35="","",G35+G36)</f>
        <v>202396</v>
      </c>
      <c r="H37" s="80">
        <f t="shared" ref="H37" si="5">IF(H35="","",H35+H36)</f>
        <v>160537</v>
      </c>
      <c r="I37" s="80" t="str">
        <f t="shared" ref="I37" si="6">IF(I35="","",I35+I36)</f>
        <v/>
      </c>
      <c r="J37" s="80" t="str">
        <f t="shared" ref="J37" si="7">IF(J35="","",J35+J36)</f>
        <v/>
      </c>
      <c r="K37" s="80" t="str">
        <f t="shared" ref="K37" si="8">IF(K35="","",K35+K36)</f>
        <v/>
      </c>
      <c r="L37" s="80" t="str">
        <f t="shared" ref="L37" si="9">IF(L35="","",L35+L36)</f>
        <v/>
      </c>
      <c r="M37" s="80" t="str">
        <f t="shared" ref="M37" si="10">IF(M35="","",M35+M36)</f>
        <v/>
      </c>
    </row>
    <row r="38" spans="2:13" x14ac:dyDescent="0.35">
      <c r="B38" s="44" t="s">
        <v>80</v>
      </c>
      <c r="C38" s="65">
        <f>IF(C$4="","",-C6)</f>
        <v>-299979</v>
      </c>
      <c r="D38" s="65">
        <f>IF(D$4="","",-D6)</f>
        <v>-378568</v>
      </c>
      <c r="E38" s="65">
        <f>IF(E$4="","",-E6)</f>
        <v>-343154</v>
      </c>
      <c r="F38" s="65">
        <f>IF(F$4="","",-F6)</f>
        <v>-250972</v>
      </c>
      <c r="G38" s="65">
        <f>IF(G$4="","",-G6)</f>
        <v>-231174</v>
      </c>
      <c r="H38" s="65">
        <f>IF(H$4="","",-H6)</f>
        <v>-164177</v>
      </c>
      <c r="I38" s="65" t="str">
        <f>IF(I$4="","",-I6)</f>
        <v/>
      </c>
      <c r="J38" s="65" t="str">
        <f>IF(J$4="","",-J6)</f>
        <v/>
      </c>
      <c r="K38" s="65" t="str">
        <f>IF(K$4="","",-K6)</f>
        <v/>
      </c>
      <c r="L38" s="65" t="str">
        <f>IF(L$4="","",-L6)</f>
        <v/>
      </c>
      <c r="M38" s="65" t="str">
        <f>IF(M$4="","",-M6)</f>
        <v/>
      </c>
    </row>
    <row r="39" spans="2:13" x14ac:dyDescent="0.35">
      <c r="B39" s="89" t="s">
        <v>129</v>
      </c>
      <c r="C39" s="94">
        <f>IF(C$4="","",-C7)</f>
        <v>0</v>
      </c>
      <c r="D39" s="94">
        <f>IF(D$4="","",-D7)</f>
        <v>0</v>
      </c>
      <c r="E39" s="94">
        <f>IF(E$4="","",-E7)</f>
        <v>0</v>
      </c>
      <c r="F39" s="94">
        <f>IF(F$4="","",-F7)</f>
        <v>0</v>
      </c>
      <c r="G39" s="94">
        <f>IF(G$4="","",-G7)</f>
        <v>0</v>
      </c>
      <c r="H39" s="94">
        <f>IF(H$4="","",-H7)</f>
        <v>0</v>
      </c>
      <c r="I39" s="94" t="str">
        <f>IF(I$4="","",-I7)</f>
        <v/>
      </c>
      <c r="J39" s="94" t="str">
        <f>IF(J$4="","",-J7)</f>
        <v/>
      </c>
      <c r="K39" s="94" t="str">
        <f>IF(K$4="","",-K7)</f>
        <v/>
      </c>
      <c r="L39" s="94" t="str">
        <f>IF(L$4="","",-L7)</f>
        <v/>
      </c>
      <c r="M39" s="94" t="str">
        <f>IF(M$4="","",-M7)</f>
        <v/>
      </c>
    </row>
    <row r="40" spans="2:13" x14ac:dyDescent="0.35">
      <c r="B40" s="89" t="s">
        <v>133</v>
      </c>
      <c r="C40" s="94">
        <f>IF(C$4="","",C38-C39)</f>
        <v>-299979</v>
      </c>
      <c r="D40" s="94">
        <f t="shared" ref="D40:M40" si="11">IF(D$4="","",D38-D39)</f>
        <v>-378568</v>
      </c>
      <c r="E40" s="94">
        <f t="shared" si="11"/>
        <v>-343154</v>
      </c>
      <c r="F40" s="94">
        <f t="shared" si="11"/>
        <v>-250972</v>
      </c>
      <c r="G40" s="94">
        <f t="shared" si="11"/>
        <v>-231174</v>
      </c>
      <c r="H40" s="94">
        <f t="shared" si="11"/>
        <v>-164177</v>
      </c>
      <c r="I40" s="94" t="str">
        <f t="shared" si="11"/>
        <v/>
      </c>
      <c r="J40" s="94" t="str">
        <f t="shared" si="11"/>
        <v/>
      </c>
      <c r="K40" s="94" t="str">
        <f t="shared" si="11"/>
        <v/>
      </c>
      <c r="L40" s="94" t="str">
        <f t="shared" si="11"/>
        <v/>
      </c>
      <c r="M40" s="94" t="str">
        <f t="shared" si="11"/>
        <v/>
      </c>
    </row>
    <row r="41" spans="2:13" x14ac:dyDescent="0.35">
      <c r="B41" s="44" t="s">
        <v>74</v>
      </c>
      <c r="C41" s="65">
        <f>IF(C$4="","",-C8)</f>
        <v>0</v>
      </c>
      <c r="D41" s="65">
        <f>IF(D$4="","",-D8)</f>
        <v>0</v>
      </c>
      <c r="E41" s="65">
        <f>IF(E$4="","",-E8)</f>
        <v>0</v>
      </c>
      <c r="F41" s="65">
        <f>IF(F$4="","",-F8)</f>
        <v>0</v>
      </c>
      <c r="G41" s="65">
        <f>IF(G$4="","",-G8)</f>
        <v>0</v>
      </c>
      <c r="H41" s="65">
        <f>IF(H$4="","",-H8)</f>
        <v>0</v>
      </c>
      <c r="I41" s="65" t="str">
        <f>IF(I$4="","",-I8)</f>
        <v/>
      </c>
      <c r="J41" s="65" t="str">
        <f>IF(J$4="","",-J8)</f>
        <v/>
      </c>
      <c r="K41" s="65" t="str">
        <f>IF(K$4="","",-K8)</f>
        <v/>
      </c>
      <c r="L41" s="65" t="str">
        <f>IF(L$4="","",-L8)</f>
        <v/>
      </c>
      <c r="M41" s="65" t="str">
        <f>IF(M$4="","",-M8)</f>
        <v/>
      </c>
    </row>
    <row r="42" spans="2:13" x14ac:dyDescent="0.35">
      <c r="B42" s="47" t="s">
        <v>295</v>
      </c>
      <c r="C42" s="68">
        <f>IF(C$4="","",C37+C38+C41)</f>
        <v>59740</v>
      </c>
      <c r="D42" s="68">
        <f t="shared" ref="D42:M42" si="12">IF(D$4="","",D37+D38+D41)</f>
        <v>685850</v>
      </c>
      <c r="E42" s="68">
        <f t="shared" si="12"/>
        <v>204049</v>
      </c>
      <c r="F42" s="68">
        <f t="shared" si="12"/>
        <v>-76578</v>
      </c>
      <c r="G42" s="68">
        <f t="shared" si="12"/>
        <v>-28778</v>
      </c>
      <c r="H42" s="68">
        <f t="shared" si="12"/>
        <v>-3640</v>
      </c>
      <c r="I42" s="68" t="str">
        <f t="shared" si="12"/>
        <v/>
      </c>
      <c r="J42" s="68" t="str">
        <f t="shared" si="12"/>
        <v/>
      </c>
      <c r="K42" s="68" t="str">
        <f t="shared" si="12"/>
        <v/>
      </c>
      <c r="L42" s="68" t="str">
        <f t="shared" si="12"/>
        <v/>
      </c>
      <c r="M42" s="68" t="str">
        <f t="shared" si="12"/>
        <v/>
      </c>
    </row>
    <row r="43" spans="2:13" x14ac:dyDescent="0.35">
      <c r="B43" s="47" t="s">
        <v>321</v>
      </c>
      <c r="C43" s="235">
        <f>IF(C$4="","",C46-C45-C44-C42)</f>
        <v>385327</v>
      </c>
      <c r="D43" s="235">
        <f>IF(D$4="","",D46-D45-D44-D42)</f>
        <v>537071</v>
      </c>
      <c r="E43" s="235">
        <f>IF(E$4="","",E46-E45-E44-E42)</f>
        <v>-129706</v>
      </c>
      <c r="F43" s="235">
        <f>IF(F$4="","",F46-F45-F44-F42)</f>
        <v>153746</v>
      </c>
      <c r="G43" s="235">
        <f>IF(G$4="","",G46-G45-G44-G42)</f>
        <v>56136</v>
      </c>
      <c r="H43" s="235">
        <f>IF(H$4="","",H46-H45-H44-H42)</f>
        <v>9339</v>
      </c>
      <c r="I43" s="235" t="str">
        <f>IF(I$4="","",I46-I45-I44-I42)</f>
        <v/>
      </c>
      <c r="J43" s="235" t="str">
        <f>IF(J$4="","",J46-J45-J44-J42)</f>
        <v/>
      </c>
      <c r="K43" s="235" t="str">
        <f>IF(K$4="","",K46-K45-K44-K42)</f>
        <v/>
      </c>
      <c r="L43" s="235" t="str">
        <f>IF(L$4="","",L46-L45-L44-L42)</f>
        <v/>
      </c>
      <c r="M43" s="235" t="str">
        <f>IF(M$4="","",M46-M45-M44-M42)</f>
        <v/>
      </c>
    </row>
    <row r="44" spans="2:13" x14ac:dyDescent="0.35">
      <c r="B44" s="44" t="s">
        <v>140</v>
      </c>
      <c r="C44" s="100">
        <f>IF(C$4="","",C50+C51)</f>
        <v>21384</v>
      </c>
      <c r="D44" s="100">
        <f>IF(D$4="","",D50+D51)</f>
        <v>-39483</v>
      </c>
      <c r="E44" s="100">
        <f>IF(E$4="","",E50+E51)</f>
        <v>-74343</v>
      </c>
      <c r="F44" s="100">
        <f>IF(F$4="","",F50+F51)</f>
        <v>-77168</v>
      </c>
      <c r="G44" s="100">
        <f>IF(G$4="","",G50+G51)</f>
        <v>-27358</v>
      </c>
      <c r="H44" s="100">
        <f>IF(H$4="","",H50+H51)</f>
        <v>-5699</v>
      </c>
      <c r="I44" s="100" t="str">
        <f>IF(I$4="","",I50+I51)</f>
        <v/>
      </c>
      <c r="J44" s="100" t="str">
        <f>IF(J$4="","",J50+J51)</f>
        <v/>
      </c>
      <c r="K44" s="100" t="str">
        <f>IF(K$4="","",K50+K51)</f>
        <v/>
      </c>
      <c r="L44" s="100" t="str">
        <f>IF(L$4="","",L50+L51)</f>
        <v/>
      </c>
      <c r="M44" s="100" t="str">
        <f>IF(M$4="","",M50+M51)</f>
        <v/>
      </c>
    </row>
    <row r="45" spans="2:13" x14ac:dyDescent="0.35">
      <c r="B45" s="44" t="s">
        <v>75</v>
      </c>
      <c r="C45" s="65">
        <f>IF(C$4="","",-C14)</f>
        <v>-6906</v>
      </c>
      <c r="D45" s="65">
        <f>IF(D$4="","",-D14)</f>
        <v>-269091</v>
      </c>
      <c r="E45" s="65">
        <f>IF(E$4="","",-E14)</f>
        <v>0</v>
      </c>
      <c r="F45" s="65">
        <f>IF(F$4="","",-F14)</f>
        <v>0</v>
      </c>
      <c r="G45" s="65">
        <f>IF(G$4="","",-G14)</f>
        <v>0</v>
      </c>
      <c r="H45" s="65">
        <f>IF(H$4="","",-H14)</f>
        <v>0</v>
      </c>
      <c r="I45" s="65" t="str">
        <f>IF(I$4="","",-I14)</f>
        <v/>
      </c>
      <c r="J45" s="65" t="str">
        <f>IF(J$4="","",-J14)</f>
        <v/>
      </c>
      <c r="K45" s="65" t="str">
        <f>IF(K$4="","",-K14)</f>
        <v/>
      </c>
      <c r="L45" s="65" t="str">
        <f>IF(L$4="","",-L14)</f>
        <v/>
      </c>
      <c r="M45" s="65" t="str">
        <f>IF(M$4="","",-M14)</f>
        <v/>
      </c>
    </row>
    <row r="46" spans="2:13" x14ac:dyDescent="0.35">
      <c r="B46" s="47" t="s">
        <v>64</v>
      </c>
      <c r="C46" s="68">
        <f>IF(C$4="","",C15)</f>
        <v>459545</v>
      </c>
      <c r="D46" s="68">
        <f>IF(D$4="","",D15)</f>
        <v>914347</v>
      </c>
      <c r="E46" s="68">
        <f>IF(E$4="","",E15)</f>
        <v>0</v>
      </c>
      <c r="F46" s="68">
        <f>IF(F$4="","",F15)</f>
        <v>0</v>
      </c>
      <c r="G46" s="68">
        <f>IF(G$4="","",G15)</f>
        <v>0</v>
      </c>
      <c r="H46" s="68">
        <f>IF(H$4="","",H15)</f>
        <v>0</v>
      </c>
      <c r="I46" s="68" t="str">
        <f>IF(I$4="","",I15)</f>
        <v/>
      </c>
      <c r="J46" s="68" t="str">
        <f>IF(J$4="","",J15)</f>
        <v/>
      </c>
      <c r="K46" s="68" t="str">
        <f>IF(K$4="","",K15)</f>
        <v/>
      </c>
      <c r="L46" s="68" t="str">
        <f>IF(L$4="","",L15)</f>
        <v/>
      </c>
      <c r="M46" s="68" t="str">
        <f>IF(M$4="","",M15)</f>
        <v/>
      </c>
    </row>
    <row r="47" spans="2:13" x14ac:dyDescent="0.35">
      <c r="B47" s="31" t="s">
        <v>67</v>
      </c>
      <c r="C47" s="65">
        <f>IF(C$4="","",MIN(-C16,0))</f>
        <v>-55980</v>
      </c>
      <c r="D47" s="65">
        <f>IF(D$4="","",MIN(-D16,0))</f>
        <v>0</v>
      </c>
      <c r="E47" s="65">
        <f>IF(E$4="","",MIN(-E16,0))</f>
        <v>0</v>
      </c>
      <c r="F47" s="65">
        <f>IF(F$4="","",MIN(-F16,0))</f>
        <v>0</v>
      </c>
      <c r="G47" s="65">
        <f>IF(G$4="","",MIN(-G16,0))</f>
        <v>0</v>
      </c>
      <c r="H47" s="65">
        <f>IF(H$4="","",MIN(-H16,0))</f>
        <v>0</v>
      </c>
      <c r="I47" s="65" t="str">
        <f>IF(I$4="","",MIN(-I16,0))</f>
        <v/>
      </c>
      <c r="J47" s="65" t="str">
        <f>IF(J$4="","",MIN(-J16,0))</f>
        <v/>
      </c>
      <c r="K47" s="65" t="str">
        <f>IF(K$4="","",MIN(-K16,0))</f>
        <v/>
      </c>
      <c r="L47" s="65" t="str">
        <f>IF(L$4="","",MIN(-L16,0))</f>
        <v/>
      </c>
      <c r="M47" s="65" t="str">
        <f>IF(M$4="","",MIN(-M16,0))</f>
        <v/>
      </c>
    </row>
    <row r="49" spans="2:13" x14ac:dyDescent="0.35">
      <c r="B49" s="18" t="s">
        <v>140</v>
      </c>
    </row>
    <row r="50" spans="2:13" x14ac:dyDescent="0.35">
      <c r="B50" s="44" t="s">
        <v>58</v>
      </c>
      <c r="C50" s="65">
        <f>IF(C$4="","",-C12)</f>
        <v>-105689</v>
      </c>
      <c r="D50" s="65">
        <f>IF(D$4="","",-D12)</f>
        <v>-102356</v>
      </c>
      <c r="E50" s="65">
        <f>IF(E$4="","",-E12)</f>
        <v>-74343</v>
      </c>
      <c r="F50" s="65">
        <f>IF(F$4="","",-F12)</f>
        <v>-77168</v>
      </c>
      <c r="G50" s="65">
        <f>IF(G$4="","",-G12)</f>
        <v>-27358</v>
      </c>
      <c r="H50" s="65">
        <f>IF(H$4="","",-H12)</f>
        <v>-5699</v>
      </c>
      <c r="I50" s="65" t="str">
        <f>IF(I$4="","",-I12)</f>
        <v/>
      </c>
      <c r="J50" s="65" t="str">
        <f>IF(J$4="","",-J12)</f>
        <v/>
      </c>
      <c r="K50" s="65" t="str">
        <f>IF(K$4="","",-K12)</f>
        <v/>
      </c>
      <c r="L50" s="65" t="str">
        <f>IF(L$4="","",-L12)</f>
        <v/>
      </c>
      <c r="M50" s="65" t="str">
        <f>IF(M$4="","",-M12)</f>
        <v/>
      </c>
    </row>
    <row r="51" spans="2:13" x14ac:dyDescent="0.35">
      <c r="B51" s="44" t="s">
        <v>139</v>
      </c>
      <c r="C51" s="65">
        <f>IF(C$4="","",C13)</f>
        <v>127073</v>
      </c>
      <c r="D51" s="65">
        <f>IF(D$4="","",D13)</f>
        <v>62873</v>
      </c>
      <c r="E51" s="65">
        <f>IF(E$4="","",E13)</f>
        <v>0</v>
      </c>
      <c r="F51" s="65">
        <f>IF(F$4="","",F13)</f>
        <v>0</v>
      </c>
      <c r="G51" s="65">
        <f>IF(G$4="","",G13)</f>
        <v>0</v>
      </c>
      <c r="H51" s="65">
        <f>IF(H$4="","",H13)</f>
        <v>0</v>
      </c>
      <c r="I51" s="65" t="str">
        <f>IF(I$4="","",I13)</f>
        <v/>
      </c>
      <c r="J51" s="65" t="str">
        <f>IF(J$4="","",J13)</f>
        <v/>
      </c>
      <c r="K51" s="65" t="str">
        <f>IF(K$4="","",K13)</f>
        <v/>
      </c>
      <c r="L51" s="65" t="str">
        <f>IF(L$4="","",L13)</f>
        <v/>
      </c>
      <c r="M51" s="65" t="str">
        <f>IF(M$4="","",M13)</f>
        <v/>
      </c>
    </row>
    <row r="53" spans="2:13" x14ac:dyDescent="0.35">
      <c r="B53" s="236" t="s">
        <v>321</v>
      </c>
    </row>
    <row r="54" spans="2:13" x14ac:dyDescent="0.35">
      <c r="B54" s="44" t="s">
        <v>304</v>
      </c>
      <c r="C54" s="100">
        <f>IF(C$4="","",C9)</f>
        <v>-62883</v>
      </c>
      <c r="D54" s="100">
        <f>IF(D$4="","",D9)</f>
        <v>-60321</v>
      </c>
      <c r="E54" s="100">
        <f>IF(E$4="","",E9)</f>
        <v>0</v>
      </c>
      <c r="F54" s="100">
        <f>IF(F$4="","",F9)</f>
        <v>0</v>
      </c>
      <c r="G54" s="100">
        <f>IF(G$4="","",G9)</f>
        <v>0</v>
      </c>
      <c r="H54" s="100">
        <f>IF(H$4="","",H9)</f>
        <v>0</v>
      </c>
      <c r="I54" s="100" t="str">
        <f>IF(I$4="","",I9)</f>
        <v/>
      </c>
      <c r="J54" s="100" t="str">
        <f>IF(J$4="","",J9)</f>
        <v/>
      </c>
      <c r="K54" s="100" t="str">
        <f>IF(K$4="","",K9)</f>
        <v/>
      </c>
      <c r="L54" s="100" t="str">
        <f>IF(L$4="","",L9)</f>
        <v/>
      </c>
      <c r="M54" s="100" t="str">
        <f>IF(M$4="","",M9)</f>
        <v/>
      </c>
    </row>
    <row r="55" spans="2:13" x14ac:dyDescent="0.35">
      <c r="B55" s="44" t="s">
        <v>320</v>
      </c>
      <c r="C55" s="100">
        <f>IF(C$4="","",C10)</f>
        <v>328373</v>
      </c>
      <c r="D55" s="100">
        <f>IF(D$4="","",D10)</f>
        <v>414899</v>
      </c>
      <c r="E55" s="100">
        <f>IF(E$4="","",E10)</f>
        <v>0</v>
      </c>
      <c r="F55" s="100">
        <f>IF(F$4="","",F10)</f>
        <v>0</v>
      </c>
      <c r="G55" s="100">
        <f>IF(G$4="","",G10)</f>
        <v>0</v>
      </c>
      <c r="H55" s="100">
        <f>IF(H$4="","",H10)</f>
        <v>0</v>
      </c>
      <c r="I55" s="100" t="str">
        <f>IF(I$4="","",I10)</f>
        <v/>
      </c>
      <c r="J55" s="100" t="str">
        <f>IF(J$4="","",J10)</f>
        <v/>
      </c>
      <c r="K55" s="100" t="str">
        <f>IF(K$4="","",K10)</f>
        <v/>
      </c>
      <c r="L55" s="100" t="str">
        <f>IF(L$4="","",L10)</f>
        <v/>
      </c>
      <c r="M55" s="100" t="str">
        <f>IF(M$4="","",M10)</f>
        <v/>
      </c>
    </row>
    <row r="56" spans="2:13" x14ac:dyDescent="0.35">
      <c r="B56" s="44" t="s">
        <v>301</v>
      </c>
      <c r="C56" s="100">
        <f>IF(C$4="","",C11)</f>
        <v>0</v>
      </c>
      <c r="D56" s="100">
        <f t="shared" ref="D56:M56" si="13">IF(D$4="","",D11)</f>
        <v>0</v>
      </c>
      <c r="E56" s="100">
        <f t="shared" si="13"/>
        <v>0</v>
      </c>
      <c r="F56" s="100">
        <f t="shared" si="13"/>
        <v>0</v>
      </c>
      <c r="G56" s="100">
        <f t="shared" si="13"/>
        <v>0</v>
      </c>
      <c r="H56" s="100">
        <f t="shared" si="13"/>
        <v>0</v>
      </c>
      <c r="I56" s="100" t="str">
        <f t="shared" si="13"/>
        <v/>
      </c>
      <c r="J56" s="100" t="str">
        <f t="shared" si="13"/>
        <v/>
      </c>
      <c r="K56" s="100" t="str">
        <f t="shared" si="13"/>
        <v/>
      </c>
      <c r="L56" s="100" t="str">
        <f t="shared" si="13"/>
        <v/>
      </c>
      <c r="M56" s="100" t="str">
        <f t="shared" si="13"/>
        <v/>
      </c>
    </row>
    <row r="57" spans="2:13" x14ac:dyDescent="0.35">
      <c r="B57" s="44" t="s">
        <v>305</v>
      </c>
      <c r="C57" s="100">
        <f>IF(C$4="","",C43-C54-C55-C56)</f>
        <v>119837</v>
      </c>
      <c r="D57" s="100">
        <f t="shared" ref="D57:M57" si="14">IF(D$4="","",D43-D54-D55-D56)</f>
        <v>182493</v>
      </c>
      <c r="E57" s="100">
        <f t="shared" si="14"/>
        <v>-129706</v>
      </c>
      <c r="F57" s="100">
        <f t="shared" si="14"/>
        <v>153746</v>
      </c>
      <c r="G57" s="100">
        <f t="shared" si="14"/>
        <v>56136</v>
      </c>
      <c r="H57" s="100">
        <f t="shared" si="14"/>
        <v>9339</v>
      </c>
      <c r="I57" s="100" t="str">
        <f t="shared" si="14"/>
        <v/>
      </c>
      <c r="J57" s="100" t="str">
        <f t="shared" si="14"/>
        <v/>
      </c>
      <c r="K57" s="100" t="str">
        <f t="shared" si="14"/>
        <v/>
      </c>
      <c r="L57" s="100" t="str">
        <f t="shared" si="14"/>
        <v/>
      </c>
      <c r="M57" s="100" t="str">
        <f t="shared" si="14"/>
        <v/>
      </c>
    </row>
    <row r="59" spans="2:13" x14ac:dyDescent="0.35">
      <c r="B59" s="18" t="s">
        <v>76</v>
      </c>
      <c r="C59" s="11"/>
    </row>
    <row r="60" spans="2:13" x14ac:dyDescent="0.35">
      <c r="B60" s="30" t="s">
        <v>70</v>
      </c>
      <c r="C60" s="65">
        <f>IF(C$4="","",-C19)</f>
        <v>-35974</v>
      </c>
      <c r="D60" s="65">
        <f>IF(D$4="","",-D19)</f>
        <v>-32106</v>
      </c>
      <c r="E60" s="65">
        <f>IF(E$4="","",-E19)</f>
        <v>-181.018</v>
      </c>
      <c r="F60" s="65">
        <f>IF(F$4="","",-F19)</f>
        <v>-186.14699999999999</v>
      </c>
      <c r="G60" s="65">
        <f>IF(G$4="","",-G19)</f>
        <v>0</v>
      </c>
      <c r="H60" s="65">
        <f>IF(H$4="","",-H19)</f>
        <v>0</v>
      </c>
      <c r="I60" s="65" t="str">
        <f>IF(I$4="","",-I19)</f>
        <v/>
      </c>
      <c r="J60" s="65" t="str">
        <f>IF(J$4="","",-J19)</f>
        <v/>
      </c>
      <c r="K60" s="65" t="str">
        <f>IF(K$4="","",-K19)</f>
        <v/>
      </c>
      <c r="L60" s="65" t="str">
        <f>IF(L$4="","",-L19)</f>
        <v/>
      </c>
      <c r="M60" s="65" t="str">
        <f>IF(M$4="","",-M19)</f>
        <v/>
      </c>
    </row>
    <row r="61" spans="2:13" x14ac:dyDescent="0.35">
      <c r="B61" s="30" t="s">
        <v>78</v>
      </c>
      <c r="C61" s="65">
        <f>IF(C$4="","",-C20)</f>
        <v>-15312</v>
      </c>
      <c r="D61" s="65">
        <f>IF(D$4="","",-D20)</f>
        <v>-11600</v>
      </c>
      <c r="E61" s="65">
        <f>IF(E$4="","",-E20)</f>
        <v>0</v>
      </c>
      <c r="F61" s="65">
        <f>IF(F$4="","",-F20)</f>
        <v>0</v>
      </c>
      <c r="G61" s="65">
        <f>IF(G$4="","",-G20)</f>
        <v>0</v>
      </c>
      <c r="H61" s="65">
        <f>IF(H$4="","",-H20)</f>
        <v>0</v>
      </c>
      <c r="I61" s="65" t="str">
        <f>IF(I$4="","",-I20)</f>
        <v/>
      </c>
      <c r="J61" s="65" t="str">
        <f>IF(J$4="","",-J20)</f>
        <v/>
      </c>
      <c r="K61" s="65" t="str">
        <f>IF(K$4="","",-K20)</f>
        <v/>
      </c>
      <c r="L61" s="65" t="str">
        <f>IF(L$4="","",-L20)</f>
        <v/>
      </c>
      <c r="M61" s="65" t="str">
        <f>IF(M$4="","",-M20)</f>
        <v/>
      </c>
    </row>
    <row r="62" spans="2:13" x14ac:dyDescent="0.35">
      <c r="B62" s="30" t="s">
        <v>77</v>
      </c>
      <c r="C62" s="65">
        <f>IF(C$4="","",-C21)</f>
        <v>169280</v>
      </c>
      <c r="D62" s="65">
        <f>IF(D$4="","",-D21)</f>
        <v>50846</v>
      </c>
      <c r="E62" s="65">
        <f>IF(E$4="","",-E21)</f>
        <v>0</v>
      </c>
      <c r="F62" s="65">
        <f>IF(F$4="","",-F21)</f>
        <v>0</v>
      </c>
      <c r="G62" s="65">
        <f>IF(G$4="","",-G21)</f>
        <v>0</v>
      </c>
      <c r="H62" s="65">
        <f>IF(H$4="","",-H21)</f>
        <v>0</v>
      </c>
      <c r="I62" s="65" t="str">
        <f>IF(I$4="","",-I21)</f>
        <v/>
      </c>
      <c r="J62" s="65" t="str">
        <f>IF(J$4="","",-J21)</f>
        <v/>
      </c>
      <c r="K62" s="65" t="str">
        <f>IF(K$4="","",-K21)</f>
        <v/>
      </c>
      <c r="L62" s="65" t="str">
        <f>IF(L$4="","",-L21)</f>
        <v/>
      </c>
      <c r="M62" s="65" t="str">
        <f>IF(M$4="","",-M21)</f>
        <v/>
      </c>
    </row>
    <row r="63" spans="2:13" x14ac:dyDescent="0.35">
      <c r="B63" s="27" t="s">
        <v>54</v>
      </c>
      <c r="C63" s="95">
        <f>IF(C$4="","",C22)</f>
        <v>5.4800000000000001E-2</v>
      </c>
      <c r="D63" s="95">
        <f>IF(D$4="","",D22)</f>
        <v>9.5200000000000007E-2</v>
      </c>
      <c r="E63" s="95">
        <f>IF(E$4="","",E22)</f>
        <v>0</v>
      </c>
      <c r="F63" s="95">
        <f>IF(F$4="","",F22)</f>
        <v>0</v>
      </c>
      <c r="G63" s="95">
        <f>IF(G$4="","",G22)</f>
        <v>0</v>
      </c>
      <c r="H63" s="95">
        <f>IF(H$4="","",H22)</f>
        <v>0</v>
      </c>
      <c r="I63" s="95" t="str">
        <f>IF(I$4="","",I22)</f>
        <v/>
      </c>
      <c r="J63" s="95" t="str">
        <f>IF(J$4="","",J22)</f>
        <v/>
      </c>
      <c r="K63" s="95" t="str">
        <f>IF(K$4="","",K22)</f>
        <v/>
      </c>
      <c r="L63" s="95" t="str">
        <f>IF(L$4="","",L22)</f>
        <v/>
      </c>
      <c r="M63" s="95" t="str">
        <f>IF(M$4="","",M22)</f>
        <v/>
      </c>
    </row>
    <row r="65" spans="2:13" x14ac:dyDescent="0.35">
      <c r="B65" s="121" t="s">
        <v>170</v>
      </c>
    </row>
    <row r="66" spans="2:13" x14ac:dyDescent="0.35">
      <c r="B66" s="1" t="str">
        <f>B35</f>
        <v>Sales</v>
      </c>
      <c r="C66" s="123">
        <f>IF(D$35="","",C35/D35-1)</f>
        <v>-0.44776032638896268</v>
      </c>
      <c r="D66" s="123">
        <f>IF(E$35="","",D35/E35-1)</f>
        <v>0.33871757301693428</v>
      </c>
      <c r="E66" s="123">
        <f>IF(F$35="","",E35/F35-1)</f>
        <v>0.69302858664823042</v>
      </c>
      <c r="F66" s="123">
        <f>IF(G$35="","",F35/G35-1)</f>
        <v>0.78205008445029045</v>
      </c>
      <c r="G66" s="123">
        <f>IF(H$35="","",G35/H35-1)</f>
        <v>-0.76371058571994443</v>
      </c>
      <c r="H66" s="123" t="str">
        <f>IF(I$35="","",H35/I35-1)</f>
        <v/>
      </c>
      <c r="I66" s="123" t="str">
        <f>IF(J$35="","",I35/J35-1)</f>
        <v/>
      </c>
      <c r="J66" s="123" t="str">
        <f>IF(K$35="","",J35/K35-1)</f>
        <v/>
      </c>
      <c r="K66" s="123" t="str">
        <f>IF(L$35="","",K35/L35-1)</f>
        <v/>
      </c>
      <c r="L66" s="123" t="str">
        <f>IF(M$35="","",L35/M35-1)</f>
        <v/>
      </c>
      <c r="M66" s="123" t="str">
        <f>IF(N$35="","",M35/N35-1)</f>
        <v/>
      </c>
    </row>
    <row r="67" spans="2:13" x14ac:dyDescent="0.35">
      <c r="B67" s="107" t="str">
        <f>B42</f>
        <v>Operating EBIT</v>
      </c>
      <c r="C67" s="139">
        <f>IF(D$35="","",C36/D36-1)</f>
        <v>-2.1726177690697068E-2</v>
      </c>
      <c r="D67" s="139">
        <f>IF(E$35="","",D36/E36-1)</f>
        <v>-0.17355995727260942</v>
      </c>
      <c r="E67" s="139">
        <f>IF(F$35="","",E36/F36-1)</f>
        <v>0.21895909381703227</v>
      </c>
      <c r="F67" s="139">
        <f>IF(G$35="","",F36/G36-1)</f>
        <v>1.7437982395002454</v>
      </c>
      <c r="G67" s="139">
        <f>IF(H$35="","",G36/H36-1)</f>
        <v>-0.87221253510617447</v>
      </c>
      <c r="H67" s="139" t="str">
        <f>IF(I$35="","",H36/I36-1)</f>
        <v/>
      </c>
      <c r="I67" s="139" t="str">
        <f>IF(J$35="","",I36/J36-1)</f>
        <v/>
      </c>
      <c r="J67" s="139" t="str">
        <f>IF(K$35="","",J36/K36-1)</f>
        <v/>
      </c>
      <c r="K67" s="139" t="str">
        <f>IF(L$35="","",K36/L36-1)</f>
        <v/>
      </c>
      <c r="L67" s="139" t="str">
        <f>IF(M$35="","",L36/M36-1)</f>
        <v/>
      </c>
      <c r="M67" s="139" t="str">
        <f>IF(N$35="","",M36/N36-1)</f>
        <v/>
      </c>
    </row>
    <row r="68" spans="2:13" x14ac:dyDescent="0.35">
      <c r="B68" s="1" t="str">
        <f>B57</f>
        <v>Other Non-operating Income</v>
      </c>
      <c r="C68" s="123">
        <f>IF(D$35="","",C37/D37-1)</f>
        <v>-0.66205099876176465</v>
      </c>
      <c r="D68" s="123">
        <f>IF(E$35="","",D37/E37-1)</f>
        <v>0.94519766887242951</v>
      </c>
      <c r="E68" s="123">
        <f>IF(F$35="","",E37/F37-1)</f>
        <v>2.1377398304987558</v>
      </c>
      <c r="F68" s="123">
        <f>IF(G$35="","",F37/G37-1)</f>
        <v>-0.13835253661139546</v>
      </c>
      <c r="G68" s="123">
        <f>IF(H$35="","",G37/H37-1)</f>
        <v>0.26074362919451599</v>
      </c>
      <c r="H68" s="123" t="str">
        <f>IF(I$35="","",H37/I37-1)</f>
        <v/>
      </c>
      <c r="I68" s="123" t="str">
        <f>IF(J$35="","",I37/J37-1)</f>
        <v/>
      </c>
      <c r="J68" s="123" t="str">
        <f>IF(K$35="","",J37/K37-1)</f>
        <v/>
      </c>
      <c r="K68" s="123" t="str">
        <f>IF(L$35="","",K37/L37-1)</f>
        <v/>
      </c>
      <c r="L68" s="123" t="str">
        <f>IF(M$35="","",L37/M37-1)</f>
        <v/>
      </c>
      <c r="M68" s="123" t="str">
        <f>IF(N$35="","",M37/N37-1)</f>
        <v/>
      </c>
    </row>
    <row r="69" spans="2:13" x14ac:dyDescent="0.35">
      <c r="B69" s="107" t="str">
        <f>B46</f>
        <v>Reported Net Income</v>
      </c>
      <c r="C69" s="139">
        <f>IF(D$35="","",C38/D38-1)</f>
        <v>-0.20759546501553217</v>
      </c>
      <c r="D69" s="139">
        <f>IF(E$35="","",D38/E38-1)</f>
        <v>0.10320147805358526</v>
      </c>
      <c r="E69" s="139">
        <f>IF(F$35="","",E38/F38-1)</f>
        <v>0.36729993784167148</v>
      </c>
      <c r="F69" s="139">
        <f>IF(G$35="","",F38/G38-1)</f>
        <v>8.5641118810938943E-2</v>
      </c>
      <c r="G69" s="139">
        <f>IF(H$35="","",G38/H38-1)</f>
        <v>0.40807786717993388</v>
      </c>
      <c r="H69" s="139" t="str">
        <f>IF(I$35="","",H38/I38-1)</f>
        <v/>
      </c>
      <c r="I69" s="139" t="str">
        <f>IF(J$35="","",I38/J38-1)</f>
        <v/>
      </c>
      <c r="J69" s="139" t="str">
        <f>IF(K$35="","",J38/K38-1)</f>
        <v/>
      </c>
      <c r="K69" s="139" t="str">
        <f>IF(L$35="","",K38/L38-1)</f>
        <v/>
      </c>
      <c r="L69" s="139" t="str">
        <f>IF(M$35="","",L38/M38-1)</f>
        <v/>
      </c>
      <c r="M69" s="139" t="str">
        <f>IF(N$35="","",M38/N38-1)</f>
        <v/>
      </c>
    </row>
    <row r="70" spans="2:13" x14ac:dyDescent="0.35">
      <c r="B70" s="1" t="str">
        <f>B47</f>
        <v>Non-controling Interests</v>
      </c>
      <c r="C70" s="123">
        <f>IF(D$35="","",C63/D63-1)</f>
        <v>-0.42436974789915971</v>
      </c>
      <c r="D70" s="123" t="e">
        <f t="shared" ref="D70:M70" si="15">IF(E$35="","",D63/E63-1)</f>
        <v>#DIV/0!</v>
      </c>
      <c r="E70" s="123" t="e">
        <f t="shared" si="15"/>
        <v>#DIV/0!</v>
      </c>
      <c r="F70" s="123" t="e">
        <f t="shared" si="15"/>
        <v>#DIV/0!</v>
      </c>
      <c r="G70" s="123" t="e">
        <f t="shared" si="15"/>
        <v>#DIV/0!</v>
      </c>
      <c r="H70" s="123" t="str">
        <f t="shared" si="15"/>
        <v/>
      </c>
      <c r="I70" s="123" t="str">
        <f t="shared" si="15"/>
        <v/>
      </c>
      <c r="J70" s="123" t="str">
        <f t="shared" si="15"/>
        <v/>
      </c>
      <c r="K70" s="123" t="str">
        <f t="shared" si="15"/>
        <v/>
      </c>
      <c r="L70" s="123" t="str">
        <f t="shared" si="15"/>
        <v/>
      </c>
      <c r="M70" s="123" t="str">
        <f t="shared" si="15"/>
        <v/>
      </c>
    </row>
    <row r="72" spans="2:13" ht="13.9" x14ac:dyDescent="0.45">
      <c r="B72" s="39" t="s">
        <v>168</v>
      </c>
      <c r="C72" s="40"/>
      <c r="D72" s="40"/>
      <c r="E72" s="40"/>
      <c r="F72" s="40"/>
      <c r="G72" s="40"/>
      <c r="H72" s="40"/>
      <c r="I72" s="40"/>
      <c r="J72" s="40"/>
      <c r="K72" s="40"/>
      <c r="L72" s="40"/>
      <c r="M72" s="40"/>
    </row>
    <row r="73" spans="2:13" x14ac:dyDescent="0.35">
      <c r="B73" s="18" t="s">
        <v>37</v>
      </c>
      <c r="C73" s="11"/>
    </row>
    <row r="74" spans="2:13" x14ac:dyDescent="0.35">
      <c r="B74" s="29" t="s">
        <v>4</v>
      </c>
      <c r="C74" s="100">
        <f>IF(C$4="","",C77+C78)</f>
        <v>3670169</v>
      </c>
      <c r="D74" s="100">
        <f t="shared" ref="D74:M74" si="16">IF(D$4="","",D77+D78)</f>
        <v>3559477</v>
      </c>
      <c r="E74" s="100">
        <f t="shared" si="16"/>
        <v>3413258</v>
      </c>
      <c r="F74" s="100">
        <f t="shared" si="16"/>
        <v>1603329</v>
      </c>
      <c r="G74" s="100">
        <f t="shared" si="16"/>
        <v>1218998</v>
      </c>
      <c r="H74" s="100">
        <f t="shared" si="16"/>
        <v>0</v>
      </c>
      <c r="I74" s="100" t="str">
        <f t="shared" si="16"/>
        <v/>
      </c>
      <c r="J74" s="100" t="str">
        <f t="shared" si="16"/>
        <v/>
      </c>
      <c r="K74" s="100" t="str">
        <f t="shared" si="16"/>
        <v/>
      </c>
      <c r="L74" s="100" t="str">
        <f t="shared" si="16"/>
        <v/>
      </c>
      <c r="M74" s="100" t="str">
        <f t="shared" si="16"/>
        <v/>
      </c>
    </row>
    <row r="75" spans="2:13" x14ac:dyDescent="0.35">
      <c r="B75" s="126" t="s">
        <v>171</v>
      </c>
      <c r="C75" s="94">
        <f t="shared" ref="C75:H76" si="17">IF(C$4="","",C25)</f>
        <v>0</v>
      </c>
      <c r="D75" s="94">
        <f t="shared" si="17"/>
        <v>0</v>
      </c>
      <c r="E75" s="94">
        <f t="shared" si="17"/>
        <v>0</v>
      </c>
      <c r="F75" s="94">
        <f t="shared" si="17"/>
        <v>0</v>
      </c>
      <c r="G75" s="94">
        <f t="shared" si="17"/>
        <v>0</v>
      </c>
      <c r="H75" s="94">
        <f t="shared" si="17"/>
        <v>0</v>
      </c>
      <c r="I75" s="127"/>
      <c r="J75" s="127"/>
      <c r="K75" s="127"/>
      <c r="L75" s="127"/>
      <c r="M75" s="127"/>
    </row>
    <row r="76" spans="2:13" x14ac:dyDescent="0.35">
      <c r="B76" s="126" t="s">
        <v>172</v>
      </c>
      <c r="C76" s="94">
        <f t="shared" si="17"/>
        <v>0</v>
      </c>
      <c r="D76" s="94">
        <f t="shared" si="17"/>
        <v>0</v>
      </c>
      <c r="E76" s="94">
        <f t="shared" si="17"/>
        <v>0</v>
      </c>
      <c r="F76" s="94">
        <f t="shared" si="17"/>
        <v>0</v>
      </c>
      <c r="G76" s="94">
        <f t="shared" si="17"/>
        <v>0</v>
      </c>
      <c r="H76" s="94">
        <f t="shared" si="17"/>
        <v>0</v>
      </c>
      <c r="I76" s="127"/>
      <c r="J76" s="127"/>
      <c r="K76" s="127"/>
      <c r="L76" s="127"/>
      <c r="M76" s="127"/>
    </row>
    <row r="77" spans="2:13" x14ac:dyDescent="0.35">
      <c r="B77" s="29" t="s">
        <v>59</v>
      </c>
      <c r="C77" s="65">
        <f t="shared" ref="C77:M77" si="18">IF(C$4="","",C27)</f>
        <v>642877</v>
      </c>
      <c r="D77" s="65">
        <f t="shared" si="18"/>
        <v>734909</v>
      </c>
      <c r="E77" s="65">
        <f t="shared" si="18"/>
        <v>677999</v>
      </c>
      <c r="F77" s="65">
        <f t="shared" si="18"/>
        <v>1352795</v>
      </c>
      <c r="G77" s="65">
        <f t="shared" si="18"/>
        <v>1205068</v>
      </c>
      <c r="H77" s="65">
        <f t="shared" si="18"/>
        <v>0</v>
      </c>
      <c r="I77" s="65" t="str">
        <f t="shared" si="18"/>
        <v/>
      </c>
      <c r="J77" s="65" t="str">
        <f t="shared" si="18"/>
        <v/>
      </c>
      <c r="K77" s="65" t="str">
        <f t="shared" si="18"/>
        <v/>
      </c>
      <c r="L77" s="65" t="str">
        <f t="shared" si="18"/>
        <v/>
      </c>
      <c r="M77" s="65" t="str">
        <f t="shared" si="18"/>
        <v/>
      </c>
    </row>
    <row r="78" spans="2:13" x14ac:dyDescent="0.35">
      <c r="B78" s="29" t="s">
        <v>39</v>
      </c>
      <c r="C78" s="65">
        <f t="shared" ref="C78:M78" si="19">IF(C$4="","",C28)</f>
        <v>3027292</v>
      </c>
      <c r="D78" s="65">
        <f t="shared" si="19"/>
        <v>2824568</v>
      </c>
      <c r="E78" s="65">
        <f t="shared" si="19"/>
        <v>2735259</v>
      </c>
      <c r="F78" s="65">
        <f t="shared" si="19"/>
        <v>250534</v>
      </c>
      <c r="G78" s="65">
        <f t="shared" si="19"/>
        <v>13930</v>
      </c>
      <c r="H78" s="65">
        <f t="shared" si="19"/>
        <v>0</v>
      </c>
      <c r="I78" s="65" t="str">
        <f t="shared" si="19"/>
        <v/>
      </c>
      <c r="J78" s="65" t="str">
        <f t="shared" si="19"/>
        <v/>
      </c>
      <c r="K78" s="65" t="str">
        <f t="shared" si="19"/>
        <v/>
      </c>
      <c r="L78" s="65" t="str">
        <f t="shared" si="19"/>
        <v/>
      </c>
      <c r="M78" s="65" t="str">
        <f t="shared" si="19"/>
        <v/>
      </c>
    </row>
  </sheetData>
  <phoneticPr fontId="2" type="noConversion"/>
  <conditionalFormatting sqref="C19:M22 C25:M28 C31:M31 C38:M42 C50:M51 C75:H76 C77:M78 C44:M47 C4:M16 C54:M57">
    <cfRule type="expression" dxfId="4" priority="3">
      <formula>ISBLANK(C4)</formula>
    </cfRule>
  </conditionalFormatting>
  <conditionalFormatting sqref="C35:M36 C60:M63">
    <cfRule type="expression" dxfId="3" priority="1">
      <formula>ISBLANK(C35)</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19"/>
  <sheetViews>
    <sheetView showGridLines="0" zoomScaleNormal="100" workbookViewId="0">
      <pane xSplit="2" ySplit="1" topLeftCell="C2" activePane="bottomRight" state="frozen"/>
      <selection pane="topRight" activeCell="C1" sqref="C1"/>
      <selection pane="bottomLeft" activeCell="A2" sqref="A2"/>
      <selection pane="bottomRight" activeCell="C10" sqref="C10"/>
    </sheetView>
  </sheetViews>
  <sheetFormatPr defaultColWidth="12.33203125" defaultRowHeight="15" customHeight="1" x14ac:dyDescent="0.35"/>
  <cols>
    <col min="1" max="1" width="1.33203125" style="2" customWidth="1"/>
    <col min="2" max="2" width="26.33203125" style="2" customWidth="1"/>
    <col min="3" max="3" width="20.59765625" style="2" customWidth="1"/>
    <col min="4" max="4" width="2.59765625" style="2" customWidth="1"/>
    <col min="5" max="5" width="25.19921875" style="2" customWidth="1"/>
    <col min="6" max="6" width="2.59765625" style="2" customWidth="1"/>
    <col min="7" max="17" width="20.59765625" style="2" customWidth="1"/>
    <col min="18" max="16384" width="12.33203125" style="2"/>
  </cols>
  <sheetData>
    <row r="1" spans="1:17" ht="15.75" customHeight="1" x14ac:dyDescent="0.35">
      <c r="A1" s="3"/>
      <c r="B1" s="120" t="str">
        <f>Thesis!C12</f>
        <v>CNY</v>
      </c>
      <c r="C1" s="60" t="s">
        <v>125</v>
      </c>
      <c r="D1" s="60"/>
      <c r="E1" s="60"/>
      <c r="F1" s="60"/>
      <c r="G1" s="41">
        <f>Data!C1</f>
        <v>45291</v>
      </c>
      <c r="H1" s="41">
        <f>EOMONTH(EDATE(G1,-12),0)</f>
        <v>44926</v>
      </c>
      <c r="I1" s="41">
        <f t="shared" ref="I1:Q1" si="0">EOMONTH(EDATE(H1,-12),0)</f>
        <v>44561</v>
      </c>
      <c r="J1" s="41">
        <f t="shared" si="0"/>
        <v>44196</v>
      </c>
      <c r="K1" s="41">
        <f t="shared" si="0"/>
        <v>43830</v>
      </c>
      <c r="L1" s="41">
        <f t="shared" si="0"/>
        <v>43465</v>
      </c>
      <c r="M1" s="41">
        <f t="shared" si="0"/>
        <v>43100</v>
      </c>
      <c r="N1" s="41">
        <f t="shared" si="0"/>
        <v>42735</v>
      </c>
      <c r="O1" s="41">
        <f t="shared" si="0"/>
        <v>42369</v>
      </c>
      <c r="P1" s="41">
        <f t="shared" si="0"/>
        <v>42004</v>
      </c>
      <c r="Q1" s="41">
        <f t="shared" si="0"/>
        <v>41639</v>
      </c>
    </row>
    <row r="2" spans="1:17" ht="15.75" customHeight="1" x14ac:dyDescent="0.5">
      <c r="A2" s="3"/>
      <c r="B2" s="61" t="s">
        <v>199</v>
      </c>
      <c r="C2" s="61"/>
      <c r="D2" s="63"/>
      <c r="E2" s="81" t="s">
        <v>127</v>
      </c>
      <c r="F2" s="63"/>
      <c r="G2" s="40"/>
      <c r="H2" s="40"/>
      <c r="I2" s="40"/>
      <c r="J2" s="40"/>
      <c r="K2" s="40"/>
      <c r="L2" s="40"/>
      <c r="M2" s="40"/>
      <c r="N2" s="40"/>
      <c r="O2" s="40"/>
      <c r="P2" s="40"/>
      <c r="Q2" s="40"/>
    </row>
    <row r="3" spans="1:17" ht="15.75" customHeight="1" x14ac:dyDescent="0.35">
      <c r="A3" s="12"/>
      <c r="B3" s="18" t="s">
        <v>248</v>
      </c>
      <c r="C3" s="146">
        <f>Data!C3</f>
        <v>1000</v>
      </c>
      <c r="D3" s="11"/>
      <c r="F3" s="11"/>
      <c r="G3" s="11"/>
    </row>
    <row r="4" spans="1:17" ht="15.75" customHeight="1" x14ac:dyDescent="0.35">
      <c r="A4" s="12"/>
      <c r="B4" s="29" t="s">
        <v>3</v>
      </c>
      <c r="C4" s="72">
        <f>AVERAGE(G4:I4)</f>
        <v>1226106</v>
      </c>
      <c r="D4" s="64"/>
      <c r="E4" s="83" t="s">
        <v>165</v>
      </c>
      <c r="F4" s="64"/>
      <c r="G4" s="65">
        <f>Data!C35</f>
        <v>883478</v>
      </c>
      <c r="H4" s="65">
        <f>Data!D35</f>
        <v>1599809</v>
      </c>
      <c r="I4" s="65">
        <f>Data!E35</f>
        <v>1195031</v>
      </c>
      <c r="J4" s="65">
        <f>Data!F35</f>
        <v>705854</v>
      </c>
      <c r="K4" s="65">
        <f>Data!G35</f>
        <v>396091</v>
      </c>
      <c r="L4" s="65">
        <f>Data!H35</f>
        <v>1676296</v>
      </c>
      <c r="M4" s="65" t="str">
        <f>Data!I35</f>
        <v/>
      </c>
      <c r="N4" s="65" t="str">
        <f>Data!J35</f>
        <v/>
      </c>
      <c r="O4" s="65" t="str">
        <f>Data!K35</f>
        <v/>
      </c>
      <c r="P4" s="65" t="str">
        <f>Data!L35</f>
        <v/>
      </c>
      <c r="Q4" s="65" t="str">
        <f>Data!M35</f>
        <v/>
      </c>
    </row>
    <row r="5" spans="1:17" ht="15.75" customHeight="1" x14ac:dyDescent="0.35">
      <c r="A5" s="12"/>
      <c r="B5" s="2" t="s">
        <v>69</v>
      </c>
      <c r="C5" s="77">
        <f>C49</f>
        <v>-738887.81037771306</v>
      </c>
      <c r="E5" s="20"/>
      <c r="G5" s="65">
        <f>G49</f>
        <v>-523759</v>
      </c>
      <c r="H5" s="65">
        <f t="shared" ref="H5:Q5" si="1">H49</f>
        <v>-535391</v>
      </c>
      <c r="I5" s="65">
        <f t="shared" si="1"/>
        <v>-647828</v>
      </c>
      <c r="J5" s="65">
        <f t="shared" si="1"/>
        <v>-531460</v>
      </c>
      <c r="K5" s="65">
        <f t="shared" si="1"/>
        <v>-193695</v>
      </c>
      <c r="L5" s="65">
        <f t="shared" si="1"/>
        <v>-1515759</v>
      </c>
      <c r="M5" s="65" t="str">
        <f t="shared" si="1"/>
        <v/>
      </c>
      <c r="N5" s="65" t="str">
        <f t="shared" si="1"/>
        <v/>
      </c>
      <c r="O5" s="65" t="str">
        <f t="shared" si="1"/>
        <v/>
      </c>
      <c r="P5" s="65" t="str">
        <f t="shared" si="1"/>
        <v/>
      </c>
      <c r="Q5" s="65" t="str">
        <f t="shared" si="1"/>
        <v/>
      </c>
    </row>
    <row r="6" spans="1:17" ht="15.75" customHeight="1" x14ac:dyDescent="0.35">
      <c r="A6" s="12"/>
      <c r="B6" s="34" t="s">
        <v>71</v>
      </c>
      <c r="C6" s="77">
        <f>C4+C5</f>
        <v>487218.18962228694</v>
      </c>
      <c r="E6" s="20"/>
      <c r="G6" s="80">
        <f>IF(G4="","",G4+G5)</f>
        <v>359719</v>
      </c>
      <c r="H6" s="80">
        <f t="shared" ref="H6:Q6" si="2">IF(H4="","",H4+H5)</f>
        <v>1064418</v>
      </c>
      <c r="I6" s="80">
        <f t="shared" si="2"/>
        <v>547203</v>
      </c>
      <c r="J6" s="80">
        <f t="shared" si="2"/>
        <v>174394</v>
      </c>
      <c r="K6" s="80">
        <f t="shared" si="2"/>
        <v>202396</v>
      </c>
      <c r="L6" s="80">
        <f t="shared" si="2"/>
        <v>160537</v>
      </c>
      <c r="M6" s="80" t="str">
        <f t="shared" si="2"/>
        <v/>
      </c>
      <c r="N6" s="80" t="str">
        <f t="shared" si="2"/>
        <v/>
      </c>
      <c r="O6" s="80" t="str">
        <f t="shared" si="2"/>
        <v/>
      </c>
      <c r="P6" s="80" t="str">
        <f t="shared" si="2"/>
        <v/>
      </c>
      <c r="Q6" s="80" t="str">
        <f t="shared" si="2"/>
        <v/>
      </c>
    </row>
    <row r="7" spans="1:17" ht="15.75" customHeight="1" x14ac:dyDescent="0.35">
      <c r="A7" s="12"/>
      <c r="B7" s="10" t="s">
        <v>68</v>
      </c>
      <c r="C7" s="77">
        <f>C52</f>
        <v>-339273.5</v>
      </c>
      <c r="E7" s="20"/>
      <c r="G7" s="77">
        <f>G52</f>
        <v>-299979</v>
      </c>
      <c r="H7" s="77">
        <f t="shared" ref="H7:Q7" si="3">H52</f>
        <v>-378568</v>
      </c>
      <c r="I7" s="77">
        <f t="shared" si="3"/>
        <v>-343154</v>
      </c>
      <c r="J7" s="77">
        <f t="shared" si="3"/>
        <v>-250972</v>
      </c>
      <c r="K7" s="77">
        <f t="shared" si="3"/>
        <v>-231174</v>
      </c>
      <c r="L7" s="77">
        <f t="shared" si="3"/>
        <v>-164177</v>
      </c>
      <c r="M7" s="77" t="str">
        <f t="shared" si="3"/>
        <v/>
      </c>
      <c r="N7" s="77" t="str">
        <f t="shared" si="3"/>
        <v/>
      </c>
      <c r="O7" s="77" t="str">
        <f t="shared" si="3"/>
        <v/>
      </c>
      <c r="P7" s="77" t="str">
        <f t="shared" si="3"/>
        <v/>
      </c>
      <c r="Q7" s="77" t="str">
        <f t="shared" si="3"/>
        <v/>
      </c>
    </row>
    <row r="8" spans="1:17" ht="15.75" customHeight="1" x14ac:dyDescent="0.35">
      <c r="A8" s="12"/>
      <c r="B8" s="2" t="s">
        <v>136</v>
      </c>
      <c r="C8" s="77">
        <f>BS!$G$29*BS!C43</f>
        <v>35974</v>
      </c>
      <c r="E8" s="20"/>
      <c r="G8" s="96">
        <f>IF(Data!C60="","",-Data!C60)</f>
        <v>35974</v>
      </c>
      <c r="H8" s="96">
        <f>IF(Data!D60="","",-Data!D60)</f>
        <v>32106</v>
      </c>
      <c r="I8" s="96">
        <f>IF(Data!E60="","",-Data!E60)</f>
        <v>181.018</v>
      </c>
      <c r="J8" s="96">
        <f>IF(Data!F60="","",-Data!F60)</f>
        <v>186.14699999999999</v>
      </c>
      <c r="K8" s="96">
        <f>IF(Data!G60="","",-Data!G60)</f>
        <v>0</v>
      </c>
      <c r="L8" s="96">
        <f>IF(Data!H60="","",-Data!H60)</f>
        <v>0</v>
      </c>
      <c r="M8" s="96" t="str">
        <f>IF(Data!I60="","",-Data!I60)</f>
        <v/>
      </c>
      <c r="N8" s="96" t="str">
        <f>IF(Data!J60="","",-Data!J60)</f>
        <v/>
      </c>
      <c r="O8" s="96" t="str">
        <f>IF(Data!K60="","",-Data!K60)</f>
        <v/>
      </c>
      <c r="P8" s="96" t="str">
        <f>IF(Data!L60="","",-Data!L60)</f>
        <v/>
      </c>
      <c r="Q8" s="96" t="str">
        <f>IF(Data!M60="","",-Data!M60)</f>
        <v/>
      </c>
    </row>
    <row r="9" spans="1:17" ht="15.75" customHeight="1" x14ac:dyDescent="0.35">
      <c r="A9" s="12"/>
      <c r="B9" s="2" t="s">
        <v>166</v>
      </c>
      <c r="C9" s="77">
        <f>-C4*C31</f>
        <v>-35974</v>
      </c>
      <c r="E9" s="20"/>
      <c r="G9" s="77">
        <f>Data!C61</f>
        <v>-15312</v>
      </c>
      <c r="H9" s="77">
        <f>Data!D61</f>
        <v>-11600</v>
      </c>
      <c r="I9" s="77">
        <f>Data!E61</f>
        <v>0</v>
      </c>
      <c r="J9" s="77">
        <f>Data!F61</f>
        <v>0</v>
      </c>
      <c r="K9" s="77">
        <f>Data!G61</f>
        <v>0</v>
      </c>
      <c r="L9" s="77">
        <f>Data!H61</f>
        <v>0</v>
      </c>
      <c r="M9" s="77" t="str">
        <f>Data!I61</f>
        <v/>
      </c>
      <c r="N9" s="77" t="str">
        <f>Data!J61</f>
        <v/>
      </c>
      <c r="O9" s="77" t="str">
        <f>Data!K61</f>
        <v/>
      </c>
      <c r="P9" s="77" t="str">
        <f>Data!L61</f>
        <v/>
      </c>
      <c r="Q9" s="77" t="str">
        <f>Data!M61</f>
        <v/>
      </c>
    </row>
    <row r="10" spans="1:17" ht="15.75" customHeight="1" x14ac:dyDescent="0.35">
      <c r="A10" s="12"/>
      <c r="B10" s="32" t="s">
        <v>295</v>
      </c>
      <c r="C10" s="71">
        <f>SUM(C6:C9)</f>
        <v>147944.68962228694</v>
      </c>
      <c r="D10" s="67"/>
      <c r="E10" s="103"/>
      <c r="F10" s="67"/>
      <c r="G10" s="80">
        <f>IF(G$4="","",SUM(G6:G9))</f>
        <v>80402</v>
      </c>
      <c r="H10" s="80">
        <f t="shared" ref="H10:Q10" si="4">IF(H$4="","",SUM(H6:H9))</f>
        <v>706356</v>
      </c>
      <c r="I10" s="80">
        <f t="shared" si="4"/>
        <v>204230.01800000001</v>
      </c>
      <c r="J10" s="80">
        <f t="shared" si="4"/>
        <v>-76391.853000000003</v>
      </c>
      <c r="K10" s="80">
        <f t="shared" si="4"/>
        <v>-28778</v>
      </c>
      <c r="L10" s="80">
        <f t="shared" si="4"/>
        <v>-3640</v>
      </c>
      <c r="M10" s="80" t="str">
        <f t="shared" si="4"/>
        <v/>
      </c>
      <c r="N10" s="80" t="str">
        <f t="shared" si="4"/>
        <v/>
      </c>
      <c r="O10" s="80" t="str">
        <f t="shared" si="4"/>
        <v/>
      </c>
      <c r="P10" s="80" t="str">
        <f t="shared" si="4"/>
        <v/>
      </c>
      <c r="Q10" s="80" t="str">
        <f t="shared" si="4"/>
        <v/>
      </c>
    </row>
    <row r="11" spans="1:17" ht="15.75" customHeight="1" x14ac:dyDescent="0.35">
      <c r="A11" s="12"/>
      <c r="B11" s="34" t="s">
        <v>296</v>
      </c>
      <c r="C11" s="239">
        <f>C67</f>
        <v>124963.86636895518</v>
      </c>
      <c r="D11" s="224"/>
      <c r="E11" s="85" t="s">
        <v>324</v>
      </c>
      <c r="F11" s="224"/>
      <c r="G11" s="68">
        <f>G67</f>
        <v>385327</v>
      </c>
      <c r="H11" s="68">
        <f t="shared" ref="H11:Q11" si="5">H67</f>
        <v>537071</v>
      </c>
      <c r="I11" s="68">
        <f t="shared" si="5"/>
        <v>-129706</v>
      </c>
      <c r="J11" s="68">
        <f t="shared" si="5"/>
        <v>153746</v>
      </c>
      <c r="K11" s="68">
        <f t="shared" si="5"/>
        <v>56136</v>
      </c>
      <c r="L11" s="68">
        <f t="shared" si="5"/>
        <v>9339</v>
      </c>
      <c r="M11" s="68" t="str">
        <f t="shared" si="5"/>
        <v/>
      </c>
      <c r="N11" s="68" t="str">
        <f t="shared" si="5"/>
        <v/>
      </c>
      <c r="O11" s="68" t="str">
        <f t="shared" si="5"/>
        <v/>
      </c>
      <c r="P11" s="68" t="str">
        <f t="shared" si="5"/>
        <v/>
      </c>
      <c r="Q11" s="68" t="str">
        <f t="shared" si="5"/>
        <v/>
      </c>
    </row>
    <row r="12" spans="1:17" ht="15.75" customHeight="1" x14ac:dyDescent="0.35">
      <c r="A12" s="12"/>
      <c r="B12" s="2" t="s">
        <v>140</v>
      </c>
      <c r="C12" s="77">
        <f>C78</f>
        <v>14989.539999999994</v>
      </c>
      <c r="E12" s="20"/>
      <c r="G12" s="77">
        <f t="shared" ref="G12:Q12" si="6">G78</f>
        <v>21384</v>
      </c>
      <c r="H12" s="77">
        <f t="shared" si="6"/>
        <v>-39483</v>
      </c>
      <c r="I12" s="77">
        <f t="shared" si="6"/>
        <v>-74343</v>
      </c>
      <c r="J12" s="77">
        <f t="shared" si="6"/>
        <v>-77168</v>
      </c>
      <c r="K12" s="77">
        <f t="shared" si="6"/>
        <v>-27358</v>
      </c>
      <c r="L12" s="77">
        <f t="shared" si="6"/>
        <v>-5699</v>
      </c>
      <c r="M12" s="77" t="str">
        <f t="shared" si="6"/>
        <v/>
      </c>
      <c r="N12" s="77" t="str">
        <f t="shared" si="6"/>
        <v/>
      </c>
      <c r="O12" s="77" t="str">
        <f t="shared" si="6"/>
        <v/>
      </c>
      <c r="P12" s="77" t="str">
        <f t="shared" si="6"/>
        <v/>
      </c>
      <c r="Q12" s="77" t="str">
        <f t="shared" si="6"/>
        <v/>
      </c>
    </row>
    <row r="13" spans="1:17" ht="15.75" customHeight="1" x14ac:dyDescent="0.35">
      <c r="A13" s="12"/>
      <c r="B13" s="91" t="s">
        <v>311</v>
      </c>
      <c r="C13" s="80">
        <f>SUM(C10:C12)</f>
        <v>287898.09599124209</v>
      </c>
      <c r="E13" s="20"/>
      <c r="G13" s="80">
        <f>IF(G$4="","",SUM(G10:G12))</f>
        <v>487113</v>
      </c>
      <c r="H13" s="80">
        <f t="shared" ref="H13:Q13" si="7">IF(H$4="","",SUM(H10:H12))</f>
        <v>1203944</v>
      </c>
      <c r="I13" s="80">
        <f t="shared" si="7"/>
        <v>181.01800000001094</v>
      </c>
      <c r="J13" s="80">
        <f t="shared" si="7"/>
        <v>186.14699999999721</v>
      </c>
      <c r="K13" s="80">
        <f t="shared" si="7"/>
        <v>0</v>
      </c>
      <c r="L13" s="80">
        <f t="shared" si="7"/>
        <v>0</v>
      </c>
      <c r="M13" s="80" t="str">
        <f t="shared" si="7"/>
        <v/>
      </c>
      <c r="N13" s="80" t="str">
        <f t="shared" si="7"/>
        <v/>
      </c>
      <c r="O13" s="80" t="str">
        <f t="shared" si="7"/>
        <v/>
      </c>
      <c r="P13" s="80" t="str">
        <f t="shared" si="7"/>
        <v/>
      </c>
      <c r="Q13" s="80" t="str">
        <f t="shared" si="7"/>
        <v/>
      </c>
    </row>
    <row r="14" spans="1:17" ht="15.75" customHeight="1" x14ac:dyDescent="0.35">
      <c r="A14" s="12"/>
      <c r="B14" s="2" t="s">
        <v>132</v>
      </c>
      <c r="C14" s="77">
        <f>-C13*C36</f>
        <v>-71974.523997810524</v>
      </c>
      <c r="E14" s="20"/>
      <c r="G14" s="77">
        <f>Data!C45</f>
        <v>-6906</v>
      </c>
      <c r="H14" s="77">
        <f>Data!D45</f>
        <v>-269091</v>
      </c>
      <c r="I14" s="77">
        <f>Data!E45</f>
        <v>0</v>
      </c>
      <c r="J14" s="77">
        <f>Data!F45</f>
        <v>0</v>
      </c>
      <c r="K14" s="77">
        <f>Data!G45</f>
        <v>0</v>
      </c>
      <c r="L14" s="77">
        <f>Data!H45</f>
        <v>0</v>
      </c>
      <c r="M14" s="77" t="str">
        <f>Data!I45</f>
        <v/>
      </c>
      <c r="N14" s="77" t="str">
        <f>Data!J45</f>
        <v/>
      </c>
      <c r="O14" s="77" t="str">
        <f>Data!K45</f>
        <v/>
      </c>
      <c r="P14" s="77" t="str">
        <f>Data!L45</f>
        <v/>
      </c>
      <c r="Q14" s="77" t="str">
        <f>Data!M45</f>
        <v/>
      </c>
    </row>
    <row r="15" spans="1:17" ht="15.75" customHeight="1" x14ac:dyDescent="0.35">
      <c r="A15" s="12"/>
      <c r="B15" s="44" t="s">
        <v>67</v>
      </c>
      <c r="C15" s="77">
        <f>-C4*C33</f>
        <v>-12135.639491900736</v>
      </c>
      <c r="D15" s="69"/>
      <c r="E15" s="84"/>
      <c r="F15" s="69"/>
      <c r="G15" s="65">
        <f>Data!C47</f>
        <v>-55980</v>
      </c>
      <c r="H15" s="65">
        <f>Data!D47</f>
        <v>0</v>
      </c>
      <c r="I15" s="65">
        <f>Data!E47</f>
        <v>0</v>
      </c>
      <c r="J15" s="65">
        <f>Data!F47</f>
        <v>0</v>
      </c>
      <c r="K15" s="65">
        <f>Data!G47</f>
        <v>0</v>
      </c>
      <c r="L15" s="65">
        <f>Data!H47</f>
        <v>0</v>
      </c>
      <c r="M15" s="65" t="str">
        <f>Data!I47</f>
        <v/>
      </c>
      <c r="N15" s="65" t="str">
        <f>Data!J47</f>
        <v/>
      </c>
      <c r="O15" s="65" t="str">
        <f>Data!K47</f>
        <v/>
      </c>
      <c r="P15" s="65" t="str">
        <f>Data!L47</f>
        <v/>
      </c>
      <c r="Q15" s="65" t="str">
        <f>Data!M47</f>
        <v/>
      </c>
    </row>
    <row r="16" spans="1:17" ht="15.75" customHeight="1" x14ac:dyDescent="0.35">
      <c r="A16" s="12"/>
      <c r="B16" s="45" t="s">
        <v>297</v>
      </c>
      <c r="C16" s="73">
        <f>SUM(C13:C15)</f>
        <v>203787.93250153083</v>
      </c>
      <c r="D16" s="70"/>
      <c r="E16" s="104"/>
      <c r="F16" s="70"/>
      <c r="G16" s="80">
        <f>IF(G$4="","",SUM(G13:G15))</f>
        <v>424227</v>
      </c>
      <c r="H16" s="80">
        <f t="shared" ref="H16:Q16" si="8">IF(H$4="","",SUM(H13:H15))</f>
        <v>934853</v>
      </c>
      <c r="I16" s="80">
        <f t="shared" si="8"/>
        <v>181.01800000001094</v>
      </c>
      <c r="J16" s="80">
        <f t="shared" si="8"/>
        <v>186.14699999999721</v>
      </c>
      <c r="K16" s="80">
        <f t="shared" si="8"/>
        <v>0</v>
      </c>
      <c r="L16" s="80">
        <f t="shared" si="8"/>
        <v>0</v>
      </c>
      <c r="M16" s="80" t="str">
        <f t="shared" si="8"/>
        <v/>
      </c>
      <c r="N16" s="80" t="str">
        <f t="shared" si="8"/>
        <v/>
      </c>
      <c r="O16" s="80" t="str">
        <f t="shared" si="8"/>
        <v/>
      </c>
      <c r="P16" s="80" t="str">
        <f t="shared" si="8"/>
        <v/>
      </c>
      <c r="Q16" s="80" t="str">
        <f t="shared" si="8"/>
        <v/>
      </c>
    </row>
    <row r="17" spans="1:17" ht="15.75" customHeight="1" x14ac:dyDescent="0.35">
      <c r="A17" s="12"/>
      <c r="B17" s="30" t="s">
        <v>77</v>
      </c>
      <c r="C17" s="77">
        <f>-C4*C32</f>
        <v>0</v>
      </c>
      <c r="D17" s="66"/>
      <c r="E17" s="85" t="s">
        <v>289</v>
      </c>
      <c r="F17" s="66"/>
      <c r="G17" s="221"/>
      <c r="H17" s="221"/>
      <c r="I17" s="221"/>
      <c r="J17" s="221"/>
      <c r="K17" s="221"/>
      <c r="L17" s="221"/>
      <c r="M17" s="221"/>
      <c r="N17" s="221"/>
      <c r="O17" s="221"/>
      <c r="P17" s="221"/>
      <c r="Q17" s="221"/>
    </row>
    <row r="18" spans="1:17" ht="15.75" customHeight="1" x14ac:dyDescent="0.35">
      <c r="A18" s="12"/>
      <c r="B18" s="30" t="s">
        <v>197</v>
      </c>
      <c r="C18" s="77">
        <v>0</v>
      </c>
      <c r="D18" s="66"/>
      <c r="E18" s="85" t="s">
        <v>196</v>
      </c>
      <c r="F18" s="66"/>
      <c r="G18" s="148"/>
      <c r="H18" s="148"/>
      <c r="I18" s="148"/>
      <c r="J18" s="148"/>
      <c r="K18" s="148"/>
      <c r="L18" s="148"/>
      <c r="M18" s="148"/>
      <c r="N18" s="148"/>
      <c r="O18" s="148"/>
      <c r="P18" s="148"/>
      <c r="Q18" s="148"/>
    </row>
    <row r="19" spans="1:17" ht="15.75" customHeight="1" x14ac:dyDescent="0.35">
      <c r="A19" s="12"/>
      <c r="B19" s="34" t="s">
        <v>265</v>
      </c>
      <c r="C19" s="80">
        <f>SUM(C16:C18)</f>
        <v>203787.93250153083</v>
      </c>
      <c r="D19" s="30"/>
      <c r="E19" s="86"/>
      <c r="F19" s="30"/>
      <c r="G19" s="68">
        <f t="shared" ref="G19:Q19" si="9">IF(G$4="","",SUM(G16:G18))</f>
        <v>424227</v>
      </c>
      <c r="H19" s="68">
        <f t="shared" si="9"/>
        <v>934853</v>
      </c>
      <c r="I19" s="68">
        <f t="shared" si="9"/>
        <v>181.01800000001094</v>
      </c>
      <c r="J19" s="68">
        <f t="shared" si="9"/>
        <v>186.14699999999721</v>
      </c>
      <c r="K19" s="68">
        <f t="shared" si="9"/>
        <v>0</v>
      </c>
      <c r="L19" s="68">
        <f t="shared" si="9"/>
        <v>0</v>
      </c>
      <c r="M19" s="68" t="str">
        <f t="shared" si="9"/>
        <v/>
      </c>
      <c r="N19" s="68" t="str">
        <f t="shared" si="9"/>
        <v/>
      </c>
      <c r="O19" s="68" t="str">
        <f t="shared" si="9"/>
        <v/>
      </c>
      <c r="P19" s="68" t="str">
        <f t="shared" si="9"/>
        <v/>
      </c>
      <c r="Q19" s="68" t="str">
        <f t="shared" si="9"/>
        <v/>
      </c>
    </row>
    <row r="20" spans="1:17" ht="15.75" customHeight="1" x14ac:dyDescent="0.35">
      <c r="A20" s="12"/>
      <c r="B20" s="30"/>
      <c r="C20" s="74"/>
      <c r="D20" s="30"/>
      <c r="E20" s="86"/>
      <c r="F20" s="30"/>
      <c r="G20" s="14"/>
      <c r="H20" s="14"/>
      <c r="I20" s="14"/>
      <c r="J20" s="14"/>
      <c r="K20" s="14"/>
      <c r="L20" s="14"/>
      <c r="M20" s="14"/>
      <c r="N20" s="14"/>
      <c r="O20" s="14"/>
      <c r="P20" s="14"/>
      <c r="Q20" s="14"/>
    </row>
    <row r="21" spans="1:17" ht="15.75" customHeight="1" x14ac:dyDescent="0.35">
      <c r="A21" s="12"/>
      <c r="B21" s="93" t="s">
        <v>65</v>
      </c>
      <c r="C21" s="74"/>
      <c r="D21" s="30"/>
      <c r="E21" s="86"/>
      <c r="F21" s="30"/>
      <c r="G21" s="14"/>
      <c r="H21" s="14"/>
      <c r="I21" s="14"/>
      <c r="J21" s="14"/>
      <c r="K21" s="14"/>
      <c r="L21" s="14"/>
      <c r="M21" s="14"/>
      <c r="N21" s="14"/>
      <c r="O21" s="14"/>
      <c r="P21" s="14"/>
      <c r="Q21" s="14"/>
    </row>
    <row r="22" spans="1:17" ht="15.75" customHeight="1" x14ac:dyDescent="0.35">
      <c r="A22" s="12"/>
      <c r="B22" s="2" t="s">
        <v>69</v>
      </c>
      <c r="C22" s="101">
        <f>ABS(C5/C$4)</f>
        <v>0.60262963428750294</v>
      </c>
      <c r="D22" s="30"/>
      <c r="E22" s="86"/>
      <c r="F22" s="30"/>
      <c r="G22" s="8">
        <f t="shared" ref="G22:Q22" si="10">IF(G$4="","",ABS(G5/G$4))</f>
        <v>0.59283762583788169</v>
      </c>
      <c r="H22" s="8">
        <f t="shared" si="10"/>
        <v>0.33465932495691675</v>
      </c>
      <c r="I22" s="8">
        <f t="shared" si="10"/>
        <v>0.54210141828956737</v>
      </c>
      <c r="J22" s="8">
        <f t="shared" si="10"/>
        <v>0.75293190943169552</v>
      </c>
      <c r="K22" s="8">
        <f t="shared" si="10"/>
        <v>0.48901641289501657</v>
      </c>
      <c r="L22" s="8">
        <f t="shared" si="10"/>
        <v>0.90423111431393977</v>
      </c>
      <c r="M22" s="8" t="str">
        <f t="shared" si="10"/>
        <v/>
      </c>
      <c r="N22" s="8" t="str">
        <f t="shared" si="10"/>
        <v/>
      </c>
      <c r="O22" s="8" t="str">
        <f t="shared" si="10"/>
        <v/>
      </c>
      <c r="P22" s="8" t="str">
        <f t="shared" si="10"/>
        <v/>
      </c>
      <c r="Q22" s="8" t="str">
        <f t="shared" si="10"/>
        <v/>
      </c>
    </row>
    <row r="23" spans="1:17" ht="15.75" customHeight="1" x14ac:dyDescent="0.35">
      <c r="A23" s="12"/>
      <c r="B23" s="34" t="s">
        <v>71</v>
      </c>
      <c r="C23" s="102">
        <f>ABS(C6/C$4)</f>
        <v>0.39737036571249706</v>
      </c>
      <c r="D23" s="30"/>
      <c r="E23" s="86"/>
      <c r="F23" s="30"/>
      <c r="G23" s="79">
        <f t="shared" ref="G23:Q23" si="11">IF(G$4="","",ABS(G6/G$4))</f>
        <v>0.40716237416211837</v>
      </c>
      <c r="H23" s="79">
        <f t="shared" si="11"/>
        <v>0.66534067504308325</v>
      </c>
      <c r="I23" s="79">
        <f t="shared" si="11"/>
        <v>0.45789858171043263</v>
      </c>
      <c r="J23" s="79">
        <f t="shared" si="11"/>
        <v>0.2470680905683045</v>
      </c>
      <c r="K23" s="79">
        <f t="shared" si="11"/>
        <v>0.51098358710498348</v>
      </c>
      <c r="L23" s="79">
        <f t="shared" si="11"/>
        <v>9.5768885686060221E-2</v>
      </c>
      <c r="M23" s="79" t="str">
        <f t="shared" si="11"/>
        <v/>
      </c>
      <c r="N23" s="79" t="str">
        <f t="shared" si="11"/>
        <v/>
      </c>
      <c r="O23" s="79" t="str">
        <f t="shared" si="11"/>
        <v/>
      </c>
      <c r="P23" s="79" t="str">
        <f t="shared" si="11"/>
        <v/>
      </c>
      <c r="Q23" s="79" t="str">
        <f t="shared" si="11"/>
        <v/>
      </c>
    </row>
    <row r="24" spans="1:17" ht="15.75" customHeight="1" x14ac:dyDescent="0.35">
      <c r="A24" s="12"/>
      <c r="B24" s="10" t="s">
        <v>68</v>
      </c>
      <c r="C24" s="101">
        <f>ABS(C7/C$4)</f>
        <v>0.27670813127086891</v>
      </c>
      <c r="D24" s="30"/>
      <c r="E24" s="86"/>
      <c r="F24" s="30"/>
      <c r="G24" s="8">
        <f t="shared" ref="G24:Q24" si="12">IF(G$4="","",ABS(G7/G$4))</f>
        <v>0.33954325970765542</v>
      </c>
      <c r="H24" s="8">
        <f t="shared" si="12"/>
        <v>0.23663324809399122</v>
      </c>
      <c r="I24" s="8">
        <f t="shared" si="12"/>
        <v>0.28715070989790226</v>
      </c>
      <c r="J24" s="8">
        <f t="shared" si="12"/>
        <v>0.35555794824425446</v>
      </c>
      <c r="K24" s="8">
        <f t="shared" si="12"/>
        <v>0.5836386082996079</v>
      </c>
      <c r="L24" s="8">
        <f t="shared" si="12"/>
        <v>9.7940339892238604E-2</v>
      </c>
      <c r="M24" s="8" t="str">
        <f t="shared" si="12"/>
        <v/>
      </c>
      <c r="N24" s="8" t="str">
        <f t="shared" si="12"/>
        <v/>
      </c>
      <c r="O24" s="8" t="str">
        <f t="shared" si="12"/>
        <v/>
      </c>
      <c r="P24" s="8" t="str">
        <f t="shared" si="12"/>
        <v/>
      </c>
      <c r="Q24" s="8" t="str">
        <f t="shared" si="12"/>
        <v/>
      </c>
    </row>
    <row r="25" spans="1:17" ht="15.75" customHeight="1" x14ac:dyDescent="0.35">
      <c r="A25" s="12"/>
      <c r="B25" s="32" t="s">
        <v>295</v>
      </c>
      <c r="C25" s="102">
        <f>ABS(C10/C$4)</f>
        <v>0.12066223444162816</v>
      </c>
      <c r="D25" s="30"/>
      <c r="E25" s="86"/>
      <c r="F25" s="30"/>
      <c r="G25" s="79">
        <f t="shared" ref="G25:Q25" si="13">IF(G$4="","",ABS(G10/G$4))</f>
        <v>9.1006227659319192E-2</v>
      </c>
      <c r="H25" s="79">
        <f t="shared" si="13"/>
        <v>0.44152520707159415</v>
      </c>
      <c r="I25" s="79">
        <f t="shared" si="13"/>
        <v>0.17089934738094661</v>
      </c>
      <c r="J25" s="79">
        <f t="shared" si="13"/>
        <v>0.10822613883324314</v>
      </c>
      <c r="K25" s="79">
        <f t="shared" si="13"/>
        <v>7.265502119462447E-2</v>
      </c>
      <c r="L25" s="79">
        <f t="shared" si="13"/>
        <v>2.1714542061783836E-3</v>
      </c>
      <c r="M25" s="79" t="str">
        <f t="shared" si="13"/>
        <v/>
      </c>
      <c r="N25" s="79" t="str">
        <f t="shared" si="13"/>
        <v/>
      </c>
      <c r="O25" s="79" t="str">
        <f t="shared" si="13"/>
        <v/>
      </c>
      <c r="P25" s="79" t="str">
        <f t="shared" si="13"/>
        <v/>
      </c>
      <c r="Q25" s="79" t="str">
        <f t="shared" si="13"/>
        <v/>
      </c>
    </row>
    <row r="26" spans="1:17" ht="15.75" customHeight="1" x14ac:dyDescent="0.35">
      <c r="A26" s="12"/>
      <c r="B26" s="2" t="s">
        <v>140</v>
      </c>
      <c r="C26" s="101">
        <f>ABS(C12/C$4)</f>
        <v>1.2225321464865185E-2</v>
      </c>
      <c r="D26" s="30"/>
      <c r="E26" s="86"/>
      <c r="F26" s="30"/>
      <c r="G26" s="8">
        <f t="shared" ref="G26:Q26" si="14">IF(G$4="","",ABS(G12/G$4))</f>
        <v>2.4204337855611571E-2</v>
      </c>
      <c r="H26" s="8">
        <f t="shared" si="14"/>
        <v>2.4679821153650219E-2</v>
      </c>
      <c r="I26" s="8">
        <f t="shared" si="14"/>
        <v>6.2210101662634694E-2</v>
      </c>
      <c r="J26" s="8">
        <f t="shared" si="14"/>
        <v>0.10932572458327076</v>
      </c>
      <c r="K26" s="8">
        <f t="shared" si="14"/>
        <v>6.9069986442509418E-2</v>
      </c>
      <c r="L26" s="8">
        <f t="shared" si="14"/>
        <v>3.3997575607172003E-3</v>
      </c>
      <c r="M26" s="8" t="str">
        <f t="shared" si="14"/>
        <v/>
      </c>
      <c r="N26" s="8" t="str">
        <f t="shared" si="14"/>
        <v/>
      </c>
      <c r="O26" s="8" t="str">
        <f t="shared" si="14"/>
        <v/>
      </c>
      <c r="P26" s="8" t="str">
        <f t="shared" si="14"/>
        <v/>
      </c>
      <c r="Q26" s="8" t="str">
        <f t="shared" si="14"/>
        <v/>
      </c>
    </row>
    <row r="27" spans="1:17" ht="15.75" customHeight="1" x14ac:dyDescent="0.35">
      <c r="A27" s="12"/>
      <c r="B27" s="2" t="s">
        <v>132</v>
      </c>
      <c r="C27" s="101">
        <f>ABS(C14/C$4)</f>
        <v>5.8701714205631916E-2</v>
      </c>
      <c r="D27" s="30"/>
      <c r="E27" s="86"/>
      <c r="F27" s="30"/>
      <c r="G27" s="8">
        <f t="shared" ref="G27:Q27" si="15">IF(G$4="","",ABS(G14/G$4))</f>
        <v>7.8168330167814031E-3</v>
      </c>
      <c r="H27" s="8">
        <f t="shared" si="15"/>
        <v>0.16820195410827168</v>
      </c>
      <c r="I27" s="8">
        <f t="shared" si="15"/>
        <v>0</v>
      </c>
      <c r="J27" s="8">
        <f t="shared" si="15"/>
        <v>0</v>
      </c>
      <c r="K27" s="8">
        <f t="shared" si="15"/>
        <v>0</v>
      </c>
      <c r="L27" s="8">
        <f t="shared" si="15"/>
        <v>0</v>
      </c>
      <c r="M27" s="8" t="str">
        <f t="shared" si="15"/>
        <v/>
      </c>
      <c r="N27" s="8" t="str">
        <f t="shared" si="15"/>
        <v/>
      </c>
      <c r="O27" s="8" t="str">
        <f t="shared" si="15"/>
        <v/>
      </c>
      <c r="P27" s="8" t="str">
        <f t="shared" si="15"/>
        <v/>
      </c>
      <c r="Q27" s="8" t="str">
        <f t="shared" si="15"/>
        <v/>
      </c>
    </row>
    <row r="28" spans="1:17" ht="15.75" customHeight="1" x14ac:dyDescent="0.35">
      <c r="A28" s="12"/>
      <c r="B28" s="45"/>
      <c r="C28" s="102">
        <f>ABS(C16/C$4)</f>
        <v>0.16620743435031785</v>
      </c>
      <c r="D28" s="30"/>
      <c r="E28" s="86"/>
      <c r="F28" s="30"/>
      <c r="G28" s="79">
        <f t="shared" ref="G28:Q28" si="16">IF(G$4="","",ABS(G16/G$4))</f>
        <v>0.48017834060384074</v>
      </c>
      <c r="H28" s="79">
        <f t="shared" si="16"/>
        <v>0.58435288212530367</v>
      </c>
      <c r="I28" s="79">
        <f t="shared" si="16"/>
        <v>1.5147556841622596E-4</v>
      </c>
      <c r="J28" s="79">
        <f t="shared" si="16"/>
        <v>2.6371884270684476E-4</v>
      </c>
      <c r="K28" s="79">
        <f t="shared" si="16"/>
        <v>0</v>
      </c>
      <c r="L28" s="79">
        <f t="shared" si="16"/>
        <v>0</v>
      </c>
      <c r="M28" s="79" t="str">
        <f t="shared" si="16"/>
        <v/>
      </c>
      <c r="N28" s="79" t="str">
        <f t="shared" si="16"/>
        <v/>
      </c>
      <c r="O28" s="79" t="str">
        <f t="shared" si="16"/>
        <v/>
      </c>
      <c r="P28" s="79" t="str">
        <f t="shared" si="16"/>
        <v/>
      </c>
      <c r="Q28" s="79" t="str">
        <f t="shared" si="16"/>
        <v/>
      </c>
    </row>
    <row r="29" spans="1:17" ht="15.75" customHeight="1" x14ac:dyDescent="0.35">
      <c r="A29" s="12"/>
      <c r="B29" s="30" t="s">
        <v>160</v>
      </c>
      <c r="C29" s="101">
        <f>ABS(C11/C$4)</f>
        <v>0.10191930091603432</v>
      </c>
      <c r="D29" s="30"/>
      <c r="E29" s="86"/>
      <c r="F29" s="30"/>
      <c r="G29" s="8">
        <f t="shared" ref="G29:Q29" si="17">IF(G$4="","",G11/G$4)</f>
        <v>0.43614781579167788</v>
      </c>
      <c r="H29" s="8">
        <f t="shared" si="17"/>
        <v>0.33570945031563143</v>
      </c>
      <c r="I29" s="8">
        <f t="shared" si="17"/>
        <v>-0.1085377701498957</v>
      </c>
      <c r="J29" s="8">
        <f t="shared" si="17"/>
        <v>0.21781558225922074</v>
      </c>
      <c r="K29" s="8">
        <f t="shared" si="17"/>
        <v>0.14172500763713389</v>
      </c>
      <c r="L29" s="8">
        <f t="shared" si="17"/>
        <v>5.5712117668955839E-3</v>
      </c>
      <c r="M29" s="8" t="str">
        <f t="shared" si="17"/>
        <v/>
      </c>
      <c r="N29" s="8" t="str">
        <f t="shared" si="17"/>
        <v/>
      </c>
      <c r="O29" s="8" t="str">
        <f t="shared" si="17"/>
        <v/>
      </c>
      <c r="P29" s="8" t="str">
        <f t="shared" si="17"/>
        <v/>
      </c>
      <c r="Q29" s="8" t="str">
        <f t="shared" si="17"/>
        <v/>
      </c>
    </row>
    <row r="30" spans="1:17" ht="15.75" customHeight="1" x14ac:dyDescent="0.35">
      <c r="A30" s="12"/>
      <c r="B30" s="2" t="s">
        <v>136</v>
      </c>
      <c r="C30" s="101">
        <f>ABS(C8/C$4)</f>
        <v>2.9340040746884854E-2</v>
      </c>
      <c r="D30" s="30"/>
      <c r="E30" s="86"/>
      <c r="F30" s="30"/>
      <c r="G30" s="8">
        <f t="shared" ref="G30:Q30" si="18">IF(G$4="","",G8/G$4)</f>
        <v>4.0718614385417636E-2</v>
      </c>
      <c r="H30" s="8">
        <f t="shared" si="18"/>
        <v>2.0068645694579789E-2</v>
      </c>
      <c r="I30" s="8">
        <f t="shared" si="18"/>
        <v>1.5147556841621683E-4</v>
      </c>
      <c r="J30" s="8">
        <f t="shared" si="18"/>
        <v>2.6371884270684872E-4</v>
      </c>
      <c r="K30" s="8">
        <f t="shared" si="18"/>
        <v>0</v>
      </c>
      <c r="L30" s="8">
        <f t="shared" si="18"/>
        <v>0</v>
      </c>
      <c r="M30" s="8" t="str">
        <f t="shared" si="18"/>
        <v/>
      </c>
      <c r="N30" s="8" t="str">
        <f t="shared" si="18"/>
        <v/>
      </c>
      <c r="O30" s="8" t="str">
        <f t="shared" si="18"/>
        <v/>
      </c>
      <c r="P30" s="8" t="str">
        <f t="shared" si="18"/>
        <v/>
      </c>
      <c r="Q30" s="8" t="str">
        <f t="shared" si="18"/>
        <v/>
      </c>
    </row>
    <row r="31" spans="1:17" ht="15.75" customHeight="1" x14ac:dyDescent="0.35">
      <c r="A31" s="12"/>
      <c r="B31" s="2" t="s">
        <v>166</v>
      </c>
      <c r="C31" s="117">
        <f>MAX(AVERAGE(G31:J31),C30)</f>
        <v>2.9340040746884854E-2</v>
      </c>
      <c r="D31" s="30"/>
      <c r="E31" s="83" t="s">
        <v>164</v>
      </c>
      <c r="F31" s="30"/>
      <c r="G31" s="8">
        <f t="shared" ref="G31:Q31" si="19">IF(G$4="","",-G9/G$4)</f>
        <v>1.7331501180561371E-2</v>
      </c>
      <c r="H31" s="8">
        <f t="shared" si="19"/>
        <v>7.2508655720776669E-3</v>
      </c>
      <c r="I31" s="8">
        <f t="shared" si="19"/>
        <v>0</v>
      </c>
      <c r="J31" s="8">
        <f t="shared" si="19"/>
        <v>0</v>
      </c>
      <c r="K31" s="8">
        <f t="shared" si="19"/>
        <v>0</v>
      </c>
      <c r="L31" s="8">
        <f t="shared" si="19"/>
        <v>0</v>
      </c>
      <c r="M31" s="8" t="str">
        <f t="shared" si="19"/>
        <v/>
      </c>
      <c r="N31" s="8" t="str">
        <f t="shared" si="19"/>
        <v/>
      </c>
      <c r="O31" s="8" t="str">
        <f t="shared" si="19"/>
        <v/>
      </c>
      <c r="P31" s="8" t="str">
        <f t="shared" si="19"/>
        <v/>
      </c>
      <c r="Q31" s="8" t="str">
        <f t="shared" si="19"/>
        <v/>
      </c>
    </row>
    <row r="32" spans="1:17" ht="15.75" customHeight="1" x14ac:dyDescent="0.35">
      <c r="A32" s="12"/>
      <c r="B32" s="30" t="s">
        <v>77</v>
      </c>
      <c r="C32" s="117">
        <f>MIN(AVERAGE(G32:J32)/2,0)</f>
        <v>0</v>
      </c>
      <c r="D32" s="30"/>
      <c r="E32" s="86" t="s">
        <v>163</v>
      </c>
      <c r="F32" s="30"/>
      <c r="G32" s="8">
        <f t="shared" ref="G32:Q32" si="20">IF(G$4="","",-G17/G$4)</f>
        <v>0</v>
      </c>
      <c r="H32" s="8">
        <f t="shared" si="20"/>
        <v>0</v>
      </c>
      <c r="I32" s="8">
        <f t="shared" si="20"/>
        <v>0</v>
      </c>
      <c r="J32" s="8">
        <f t="shared" si="20"/>
        <v>0</v>
      </c>
      <c r="K32" s="8">
        <f t="shared" si="20"/>
        <v>0</v>
      </c>
      <c r="L32" s="8">
        <f t="shared" si="20"/>
        <v>0</v>
      </c>
      <c r="M32" s="8" t="str">
        <f t="shared" si="20"/>
        <v/>
      </c>
      <c r="N32" s="8" t="str">
        <f t="shared" si="20"/>
        <v/>
      </c>
      <c r="O32" s="8" t="str">
        <f t="shared" si="20"/>
        <v/>
      </c>
      <c r="P32" s="8" t="str">
        <f t="shared" si="20"/>
        <v/>
      </c>
      <c r="Q32" s="8" t="str">
        <f t="shared" si="20"/>
        <v/>
      </c>
    </row>
    <row r="33" spans="1:17" ht="15.75" customHeight="1" x14ac:dyDescent="0.35">
      <c r="A33" s="12"/>
      <c r="B33" s="44" t="s">
        <v>67</v>
      </c>
      <c r="C33" s="117">
        <f>IF(BS!G33&lt;=0,0,BS!G33/BS!G34)</f>
        <v>9.8977082665778777E-3</v>
      </c>
      <c r="D33" s="30"/>
      <c r="E33" s="86"/>
      <c r="F33" s="30"/>
      <c r="G33" s="8">
        <f t="shared" ref="G33:Q33" si="21">IF(G$4="","",-G15/G$4)</f>
        <v>6.3363207685986522E-2</v>
      </c>
      <c r="H33" s="8">
        <f t="shared" si="21"/>
        <v>0</v>
      </c>
      <c r="I33" s="8">
        <f t="shared" si="21"/>
        <v>0</v>
      </c>
      <c r="J33" s="8">
        <f t="shared" si="21"/>
        <v>0</v>
      </c>
      <c r="K33" s="8">
        <f t="shared" si="21"/>
        <v>0</v>
      </c>
      <c r="L33" s="8">
        <f t="shared" si="21"/>
        <v>0</v>
      </c>
      <c r="M33" s="8" t="str">
        <f t="shared" si="21"/>
        <v/>
      </c>
      <c r="N33" s="8" t="str">
        <f t="shared" si="21"/>
        <v/>
      </c>
      <c r="O33" s="8" t="str">
        <f t="shared" si="21"/>
        <v/>
      </c>
      <c r="P33" s="8" t="str">
        <f t="shared" si="21"/>
        <v/>
      </c>
      <c r="Q33" s="8" t="str">
        <f t="shared" si="21"/>
        <v/>
      </c>
    </row>
    <row r="34" spans="1:17" ht="15.75" customHeight="1" x14ac:dyDescent="0.35">
      <c r="A34" s="12"/>
      <c r="B34" s="34" t="s">
        <v>265</v>
      </c>
      <c r="C34" s="102">
        <f>ABS(C19/C$4)</f>
        <v>0.16620743435031785</v>
      </c>
      <c r="D34" s="99"/>
      <c r="E34" s="86"/>
      <c r="F34" s="99"/>
      <c r="G34" s="79">
        <f t="shared" ref="G34:Q34" si="22">IF(G$4="","",ABS(G19/G$4))</f>
        <v>0.48017834060384074</v>
      </c>
      <c r="H34" s="79">
        <f t="shared" si="22"/>
        <v>0.58435288212530367</v>
      </c>
      <c r="I34" s="79">
        <f t="shared" si="22"/>
        <v>1.5147556841622596E-4</v>
      </c>
      <c r="J34" s="79">
        <f t="shared" si="22"/>
        <v>2.6371884270684476E-4</v>
      </c>
      <c r="K34" s="79">
        <f t="shared" si="22"/>
        <v>0</v>
      </c>
      <c r="L34" s="79">
        <f t="shared" si="22"/>
        <v>0</v>
      </c>
      <c r="M34" s="79" t="str">
        <f t="shared" si="22"/>
        <v/>
      </c>
      <c r="N34" s="79" t="str">
        <f t="shared" si="22"/>
        <v/>
      </c>
      <c r="O34" s="79" t="str">
        <f t="shared" si="22"/>
        <v/>
      </c>
      <c r="P34" s="79" t="str">
        <f t="shared" si="22"/>
        <v/>
      </c>
      <c r="Q34" s="79" t="str">
        <f t="shared" si="22"/>
        <v/>
      </c>
    </row>
    <row r="35" spans="1:17" ht="15.75" customHeight="1" x14ac:dyDescent="0.35">
      <c r="A35" s="12"/>
      <c r="B35" s="93" t="s">
        <v>154</v>
      </c>
      <c r="C35" s="74"/>
      <c r="D35" s="30"/>
      <c r="E35" s="86"/>
      <c r="F35" s="30"/>
      <c r="G35" s="14"/>
      <c r="H35" s="14"/>
      <c r="I35" s="14"/>
      <c r="J35" s="14"/>
      <c r="K35" s="14"/>
      <c r="L35" s="14"/>
      <c r="M35" s="14"/>
      <c r="N35" s="14"/>
      <c r="O35" s="14"/>
      <c r="P35" s="14"/>
      <c r="Q35" s="14"/>
    </row>
    <row r="36" spans="1:17" ht="15.75" customHeight="1" x14ac:dyDescent="0.35">
      <c r="A36" s="12"/>
      <c r="B36" s="30" t="s">
        <v>326</v>
      </c>
      <c r="C36" s="75">
        <v>0.25</v>
      </c>
      <c r="D36" s="30"/>
      <c r="E36" s="86" t="s">
        <v>153</v>
      </c>
      <c r="F36" s="30"/>
      <c r="G36" s="8">
        <f>IF(G$4="","",-G14/G16)</f>
        <v>1.6279020430099923E-2</v>
      </c>
      <c r="H36" s="8">
        <f>IF(H$4="","",-H14/H16)</f>
        <v>0.28784311544167906</v>
      </c>
      <c r="I36" s="8">
        <f>IF(I$4="","",-I14/I16)</f>
        <v>0</v>
      </c>
      <c r="J36" s="8">
        <f>IF(J$4="","",-J14/J16)</f>
        <v>0</v>
      </c>
      <c r="K36" s="8" t="e">
        <f>IF(K$4="","",-K14/K16)</f>
        <v>#DIV/0!</v>
      </c>
      <c r="L36" s="8" t="e">
        <f>IF(L$4="","",-L14/L16)</f>
        <v>#DIV/0!</v>
      </c>
      <c r="M36" s="8" t="str">
        <f>IF(M$4="","",-M14/M16)</f>
        <v/>
      </c>
      <c r="N36" s="8" t="str">
        <f>IF(N$4="","",-N14/N16)</f>
        <v/>
      </c>
      <c r="O36" s="8" t="str">
        <f>IF(O$4="","",-O14/O16)</f>
        <v/>
      </c>
      <c r="P36" s="8" t="str">
        <f>IF(P$4="","",-P14/P16)</f>
        <v/>
      </c>
      <c r="Q36" s="8" t="str">
        <f>IF(Q$4="","",-Q14/Q16)</f>
        <v/>
      </c>
    </row>
    <row r="37" spans="1:17" ht="15.75" customHeight="1" x14ac:dyDescent="0.35">
      <c r="A37" s="12"/>
      <c r="B37" s="30"/>
      <c r="C37" s="74"/>
      <c r="D37" s="30"/>
      <c r="E37" s="86"/>
      <c r="F37" s="30"/>
      <c r="G37" s="14"/>
      <c r="H37" s="14"/>
      <c r="I37" s="14"/>
      <c r="J37" s="14"/>
      <c r="K37" s="14"/>
      <c r="L37" s="14"/>
      <c r="M37" s="14"/>
      <c r="N37" s="14"/>
      <c r="O37" s="14"/>
      <c r="P37" s="14"/>
      <c r="Q37" s="14"/>
    </row>
    <row r="38" spans="1:17" ht="15.75" customHeight="1" x14ac:dyDescent="0.35">
      <c r="A38" s="12"/>
      <c r="B38" s="206" t="s">
        <v>269</v>
      </c>
      <c r="C38" s="74"/>
      <c r="D38" s="30"/>
      <c r="E38" s="86"/>
      <c r="F38" s="30"/>
      <c r="G38" s="14"/>
      <c r="H38" s="14"/>
      <c r="I38" s="14"/>
      <c r="J38" s="14"/>
      <c r="K38" s="14"/>
      <c r="L38" s="14"/>
      <c r="M38" s="14"/>
      <c r="N38" s="14"/>
      <c r="O38" s="14"/>
      <c r="P38" s="14"/>
      <c r="Q38" s="14"/>
    </row>
    <row r="39" spans="1:17" ht="15.75" customHeight="1" x14ac:dyDescent="0.35">
      <c r="A39" s="12"/>
      <c r="B39" s="30" t="s">
        <v>270</v>
      </c>
      <c r="C39" s="101">
        <f>C4/G4-1</f>
        <v>0.38781724049721666</v>
      </c>
      <c r="D39" s="30"/>
      <c r="E39" s="86"/>
      <c r="F39" s="30"/>
      <c r="G39" s="8">
        <f>IF(H4="","",G4/H4-1)</f>
        <v>-0.44776032638896268</v>
      </c>
      <c r="H39" s="8">
        <f>IF(I4="","",H4/I4-1)</f>
        <v>0.33871757301693428</v>
      </c>
      <c r="I39" s="8">
        <f>IF(J4="","",I4/J4-1)</f>
        <v>0.69302858664823042</v>
      </c>
      <c r="J39" s="8">
        <f>IF(K4="","",J4/K4-1)</f>
        <v>0.78205008445029045</v>
      </c>
      <c r="K39" s="8">
        <f>IF(L4="","",K4/L4-1)</f>
        <v>-0.76371058571994443</v>
      </c>
      <c r="L39" s="8" t="str">
        <f>IF(M4="","",L4/M4-1)</f>
        <v/>
      </c>
      <c r="M39" s="8" t="str">
        <f>IF(N4="","",M4/N4-1)</f>
        <v/>
      </c>
      <c r="N39" s="8" t="str">
        <f>IF(O4="","",N4/O4-1)</f>
        <v/>
      </c>
      <c r="O39" s="8" t="str">
        <f>IF(P4="","",O4/P4-1)</f>
        <v/>
      </c>
      <c r="P39" s="8" t="str">
        <f>IF(Q4="","",P4/Q4-1)</f>
        <v/>
      </c>
      <c r="Q39" s="8" t="str">
        <f>IF(R4="","",Q4/R4-1)</f>
        <v/>
      </c>
    </row>
    <row r="40" spans="1:17" ht="15.75" customHeight="1" x14ac:dyDescent="0.35">
      <c r="A40" s="12"/>
      <c r="B40" s="30"/>
      <c r="C40" s="74"/>
      <c r="D40" s="30"/>
      <c r="E40" s="86"/>
      <c r="F40" s="30"/>
      <c r="G40" s="14"/>
      <c r="H40" s="14"/>
      <c r="I40" s="14"/>
      <c r="J40" s="14"/>
      <c r="K40" s="14"/>
      <c r="L40" s="14"/>
      <c r="M40" s="14"/>
      <c r="N40" s="14"/>
      <c r="O40" s="14"/>
      <c r="P40" s="14"/>
      <c r="Q40" s="14"/>
    </row>
    <row r="41" spans="1:17" ht="15.75" customHeight="1" x14ac:dyDescent="0.35">
      <c r="A41" s="12"/>
      <c r="B41" s="241" t="s">
        <v>325</v>
      </c>
      <c r="C41" s="242"/>
      <c r="D41" s="30"/>
      <c r="E41" s="86"/>
      <c r="F41" s="30"/>
      <c r="G41" s="14"/>
      <c r="H41" s="14"/>
      <c r="I41" s="14"/>
      <c r="J41" s="14"/>
      <c r="K41" s="14"/>
      <c r="L41" s="14"/>
      <c r="M41" s="14"/>
      <c r="N41" s="14"/>
      <c r="O41" s="14"/>
      <c r="P41" s="14"/>
      <c r="Q41" s="14"/>
    </row>
    <row r="42" spans="1:17" ht="15.75" customHeight="1" x14ac:dyDescent="0.35">
      <c r="A42" s="12"/>
      <c r="B42" s="30" t="str">
        <f>"FCFE per share ("&amp;Market_currency&amp;")"</f>
        <v>FCFE per share (HKD)</v>
      </c>
      <c r="C42" s="240">
        <f>C19*$C$3/Common_Shares*Exchange_Rate</f>
        <v>2.964792076416773E-2</v>
      </c>
      <c r="D42" s="30"/>
      <c r="E42" s="86"/>
      <c r="F42" s="30"/>
      <c r="G42" s="240">
        <f>IF(G$4="","",G19*$C$3/Common_Shares*Exchange_Rate)</f>
        <v>6.1718318291128962E-2</v>
      </c>
      <c r="H42" s="240">
        <f>IF(H$4="","",H19*$C$3/Common_Shares*Exchange_Rate)</f>
        <v>0.13600632446642194</v>
      </c>
      <c r="I42" s="240">
        <f>IF(I$4="","",I19*$C$3/Common_Shares*Exchange_Rate)</f>
        <v>2.6335255748512606E-5</v>
      </c>
      <c r="J42" s="240">
        <f>IF(J$4="","",J19*$C$3/Common_Shares*Exchange_Rate)</f>
        <v>2.7081444120573678E-5</v>
      </c>
      <c r="K42" s="240">
        <f>IF(K$4="","",K19*$C$3/Common_Shares*Exchange_Rate)</f>
        <v>0</v>
      </c>
      <c r="L42" s="240">
        <f>IF(L$4="","",L19*$C$3/Common_Shares*Exchange_Rate)</f>
        <v>0</v>
      </c>
      <c r="M42" s="240" t="str">
        <f>IF(M$4="","",M19*$C$3/Common_Shares*Exchange_Rate)</f>
        <v/>
      </c>
      <c r="N42" s="240" t="str">
        <f>IF(N$4="","",N19*$C$3/Common_Shares*Exchange_Rate)</f>
        <v/>
      </c>
      <c r="O42" s="240" t="str">
        <f>IF(O$4="","",O19*$C$3/Common_Shares*Exchange_Rate)</f>
        <v/>
      </c>
      <c r="P42" s="240" t="str">
        <f>IF(P$4="","",P19*$C$3/Common_Shares*Exchange_Rate)</f>
        <v/>
      </c>
      <c r="Q42" s="240" t="str">
        <f>IF(Q$4="","",Q19*$C$3/Common_Shares*Exchange_Rate)</f>
        <v/>
      </c>
    </row>
    <row r="43" spans="1:17" ht="15.75" customHeight="1" x14ac:dyDescent="0.35">
      <c r="A43" s="12"/>
      <c r="B43" s="30" t="s">
        <v>188</v>
      </c>
      <c r="C43" s="101">
        <f>C42/Market_Price</f>
        <v>1.7439953390686901E-2</v>
      </c>
      <c r="D43" s="30"/>
      <c r="E43" s="86"/>
      <c r="F43" s="30"/>
      <c r="G43" s="101">
        <f>IF(G$4="","",G42/Market_Price)</f>
        <v>3.63048931124288E-2</v>
      </c>
      <c r="H43" s="101">
        <f>IF(H$4="","",H42/Market_Price)</f>
        <v>8.000372027436585E-2</v>
      </c>
      <c r="I43" s="101">
        <f>IF(I$4="","",I42/Market_Price)</f>
        <v>1.5491326910889768E-5</v>
      </c>
      <c r="J43" s="101">
        <f>IF(J$4="","",J42/Market_Price)</f>
        <v>1.5930261247396283E-5</v>
      </c>
      <c r="K43" s="101">
        <f>IF(K$4="","",K42/Market_Price)</f>
        <v>0</v>
      </c>
      <c r="L43" s="101">
        <f>IF(L$4="","",L42/Market_Price)</f>
        <v>0</v>
      </c>
      <c r="M43" s="101" t="str">
        <f>IF(M$4="","",M42/Market_Price)</f>
        <v/>
      </c>
      <c r="N43" s="101" t="str">
        <f>IF(N$4="","",N42/Market_Price)</f>
        <v/>
      </c>
      <c r="O43" s="101" t="str">
        <f>IF(O$4="","",O42/Market_Price)</f>
        <v/>
      </c>
      <c r="P43" s="101" t="str">
        <f>IF(P$4="","",P42/Market_Price)</f>
        <v/>
      </c>
      <c r="Q43" s="101" t="str">
        <f>IF(Q$4="","",Q42/Market_Price)</f>
        <v/>
      </c>
    </row>
    <row r="44" spans="1:17" ht="15.75" customHeight="1" x14ac:dyDescent="0.35">
      <c r="A44" s="12"/>
      <c r="B44" s="30"/>
      <c r="C44" s="74"/>
      <c r="D44" s="30"/>
      <c r="E44" s="86"/>
      <c r="F44" s="30"/>
      <c r="G44" s="14"/>
      <c r="H44" s="14"/>
      <c r="I44" s="14"/>
      <c r="J44" s="14"/>
      <c r="K44" s="14"/>
      <c r="L44" s="14"/>
      <c r="M44" s="14"/>
      <c r="N44" s="14"/>
      <c r="O44" s="14"/>
      <c r="P44" s="14"/>
      <c r="Q44" s="14"/>
    </row>
    <row r="45" spans="1:17" ht="15.75" customHeight="1" x14ac:dyDescent="0.5">
      <c r="A45" s="12"/>
      <c r="B45" s="61" t="s">
        <v>138</v>
      </c>
      <c r="C45" s="61"/>
      <c r="D45" s="63"/>
      <c r="E45" s="81" t="s">
        <v>127</v>
      </c>
      <c r="F45" s="63"/>
      <c r="G45" s="40"/>
      <c r="H45" s="40"/>
      <c r="I45" s="40"/>
      <c r="J45" s="40"/>
      <c r="K45" s="40"/>
      <c r="L45" s="40"/>
      <c r="M45" s="40"/>
      <c r="N45" s="40"/>
      <c r="O45" s="40"/>
      <c r="P45" s="40"/>
      <c r="Q45" s="40"/>
    </row>
    <row r="46" spans="1:17" ht="15.75" customHeight="1" x14ac:dyDescent="0.35">
      <c r="A46" s="12"/>
      <c r="B46" s="78" t="s">
        <v>131</v>
      </c>
      <c r="C46" s="74"/>
      <c r="D46" s="30"/>
      <c r="E46" s="86"/>
      <c r="F46" s="30"/>
      <c r="G46" s="14"/>
      <c r="H46" s="14"/>
      <c r="I46" s="14"/>
      <c r="J46" s="14"/>
      <c r="K46" s="14"/>
      <c r="L46" s="14"/>
      <c r="M46" s="14"/>
      <c r="N46" s="14"/>
      <c r="O46" s="14"/>
      <c r="P46" s="14"/>
      <c r="Q46" s="14"/>
    </row>
    <row r="47" spans="1:17" ht="15.75" customHeight="1" x14ac:dyDescent="0.35">
      <c r="A47" s="12"/>
      <c r="B47" s="30" t="s">
        <v>66</v>
      </c>
      <c r="C47" s="98">
        <f>-C4*C55</f>
        <v>-738887.81037771306</v>
      </c>
      <c r="D47" s="66"/>
      <c r="E47" s="85"/>
      <c r="F47" s="66"/>
      <c r="G47" s="65">
        <f>Data!C36</f>
        <v>-523759</v>
      </c>
      <c r="H47" s="65">
        <f>Data!D36</f>
        <v>-535391</v>
      </c>
      <c r="I47" s="65">
        <f>Data!E36</f>
        <v>-647828</v>
      </c>
      <c r="J47" s="65">
        <f>Data!F36</f>
        <v>-531460</v>
      </c>
      <c r="K47" s="65">
        <f>Data!G36</f>
        <v>-193695</v>
      </c>
      <c r="L47" s="65">
        <f>Data!H36</f>
        <v>-1515759</v>
      </c>
      <c r="M47" s="65" t="str">
        <f>Data!I36</f>
        <v/>
      </c>
      <c r="N47" s="65" t="str">
        <f>Data!J36</f>
        <v/>
      </c>
      <c r="O47" s="65" t="str">
        <f>Data!K36</f>
        <v/>
      </c>
      <c r="P47" s="65" t="str">
        <f>Data!L36</f>
        <v/>
      </c>
      <c r="Q47" s="65" t="str">
        <f>Data!M36</f>
        <v/>
      </c>
    </row>
    <row r="48" spans="1:17" ht="15.75" customHeight="1" x14ac:dyDescent="0.4">
      <c r="A48" s="12"/>
      <c r="B48" s="87" t="s">
        <v>130</v>
      </c>
      <c r="C48" s="77">
        <f>-C4*C56</f>
        <v>0</v>
      </c>
      <c r="D48" s="30"/>
      <c r="E48" s="86"/>
      <c r="F48" s="30"/>
      <c r="G48" s="65">
        <f>Data!C39</f>
        <v>0</v>
      </c>
      <c r="H48" s="65">
        <f>Data!D39</f>
        <v>0</v>
      </c>
      <c r="I48" s="65">
        <f>Data!E39</f>
        <v>0</v>
      </c>
      <c r="J48" s="65">
        <f>Data!F39</f>
        <v>0</v>
      </c>
      <c r="K48" s="65">
        <f>Data!G39</f>
        <v>0</v>
      </c>
      <c r="L48" s="65">
        <f>Data!H39</f>
        <v>0</v>
      </c>
      <c r="M48" s="65" t="str">
        <f>Data!I39</f>
        <v/>
      </c>
      <c r="N48" s="65" t="str">
        <f>Data!J39</f>
        <v/>
      </c>
      <c r="O48" s="65" t="str">
        <f>Data!K39</f>
        <v/>
      </c>
      <c r="P48" s="65" t="str">
        <f>Data!L39</f>
        <v/>
      </c>
      <c r="Q48" s="65" t="str">
        <f>Data!M39</f>
        <v/>
      </c>
    </row>
    <row r="49" spans="1:17" ht="15.75" customHeight="1" x14ac:dyDescent="0.35">
      <c r="A49" s="12"/>
      <c r="B49" s="91" t="s">
        <v>69</v>
      </c>
      <c r="C49" s="80">
        <f>C47+C48</f>
        <v>-738887.81037771306</v>
      </c>
      <c r="D49" s="11"/>
      <c r="E49" s="82"/>
      <c r="F49" s="11"/>
      <c r="G49" s="80">
        <f>IF(G$4="","",G47+G48)</f>
        <v>-523759</v>
      </c>
      <c r="H49" s="80">
        <f t="shared" ref="H49:Q49" si="23">IF(H$4="","",H47+H48)</f>
        <v>-535391</v>
      </c>
      <c r="I49" s="80">
        <f t="shared" si="23"/>
        <v>-647828</v>
      </c>
      <c r="J49" s="80">
        <f t="shared" si="23"/>
        <v>-531460</v>
      </c>
      <c r="K49" s="80">
        <f t="shared" si="23"/>
        <v>-193695</v>
      </c>
      <c r="L49" s="80">
        <f t="shared" si="23"/>
        <v>-1515759</v>
      </c>
      <c r="M49" s="80" t="str">
        <f t="shared" si="23"/>
        <v/>
      </c>
      <c r="N49" s="80" t="str">
        <f t="shared" si="23"/>
        <v/>
      </c>
      <c r="O49" s="80" t="str">
        <f t="shared" si="23"/>
        <v/>
      </c>
      <c r="P49" s="80" t="str">
        <f t="shared" si="23"/>
        <v/>
      </c>
      <c r="Q49" s="80" t="str">
        <f t="shared" si="23"/>
        <v/>
      </c>
    </row>
    <row r="50" spans="1:17" ht="15.75" customHeight="1" x14ac:dyDescent="0.35">
      <c r="A50" s="12"/>
      <c r="B50" s="10" t="s">
        <v>134</v>
      </c>
      <c r="C50" s="97">
        <f>AVERAGE(G50:H50)</f>
        <v>-339273.5</v>
      </c>
      <c r="E50" s="83" t="s">
        <v>165</v>
      </c>
      <c r="G50" s="77">
        <f>Data!C40</f>
        <v>-299979</v>
      </c>
      <c r="H50" s="77">
        <f>Data!D40</f>
        <v>-378568</v>
      </c>
      <c r="I50" s="77">
        <f>Data!E40</f>
        <v>-343154</v>
      </c>
      <c r="J50" s="77">
        <f>Data!F40</f>
        <v>-250972</v>
      </c>
      <c r="K50" s="77">
        <f>Data!G40</f>
        <v>-231174</v>
      </c>
      <c r="L50" s="77">
        <f>Data!H40</f>
        <v>-164177</v>
      </c>
      <c r="M50" s="77" t="str">
        <f>Data!I40</f>
        <v/>
      </c>
      <c r="N50" s="77" t="str">
        <f>Data!J40</f>
        <v/>
      </c>
      <c r="O50" s="77" t="str">
        <f>Data!K40</f>
        <v/>
      </c>
      <c r="P50" s="77" t="str">
        <f>Data!L40</f>
        <v/>
      </c>
      <c r="Q50" s="77" t="str">
        <f>Data!M40</f>
        <v/>
      </c>
    </row>
    <row r="51" spans="1:17" ht="15.75" customHeight="1" x14ac:dyDescent="0.35">
      <c r="A51" s="12"/>
      <c r="B51" s="30" t="s">
        <v>30</v>
      </c>
      <c r="C51" s="97">
        <f>AVERAGE(G51:J51)</f>
        <v>0</v>
      </c>
      <c r="D51" s="66"/>
      <c r="E51" s="83" t="s">
        <v>165</v>
      </c>
      <c r="F51" s="66"/>
      <c r="G51" s="65">
        <f>Data!C41</f>
        <v>0</v>
      </c>
      <c r="H51" s="65">
        <f>Data!D41</f>
        <v>0</v>
      </c>
      <c r="I51" s="65">
        <f>Data!E41</f>
        <v>0</v>
      </c>
      <c r="J51" s="65">
        <f>Data!F41</f>
        <v>0</v>
      </c>
      <c r="K51" s="65">
        <f>Data!G41</f>
        <v>0</v>
      </c>
      <c r="L51" s="65">
        <f>Data!H41</f>
        <v>0</v>
      </c>
      <c r="M51" s="65" t="str">
        <f>Data!I41</f>
        <v/>
      </c>
      <c r="N51" s="65" t="str">
        <f>Data!J41</f>
        <v/>
      </c>
      <c r="O51" s="65" t="str">
        <f>Data!K41</f>
        <v/>
      </c>
      <c r="P51" s="65" t="str">
        <f>Data!L41</f>
        <v/>
      </c>
      <c r="Q51" s="65" t="str">
        <f>Data!M41</f>
        <v/>
      </c>
    </row>
    <row r="52" spans="1:17" ht="15.75" customHeight="1" x14ac:dyDescent="0.35">
      <c r="A52" s="12"/>
      <c r="B52" s="91" t="s">
        <v>68</v>
      </c>
      <c r="C52" s="80">
        <f>C50+C51</f>
        <v>-339273.5</v>
      </c>
      <c r="D52" s="66"/>
      <c r="E52" s="85"/>
      <c r="F52" s="66"/>
      <c r="G52" s="80">
        <f>IF(G4="","",G50+G51)</f>
        <v>-299979</v>
      </c>
      <c r="H52" s="80">
        <f>IF(H4="","",H50+H51)</f>
        <v>-378568</v>
      </c>
      <c r="I52" s="80">
        <f>IF(I4="","",I50+I51)</f>
        <v>-343154</v>
      </c>
      <c r="J52" s="80">
        <f>IF(J4="","",J50+J51)</f>
        <v>-250972</v>
      </c>
      <c r="K52" s="80">
        <f>IF(K4="","",K50+K51)</f>
        <v>-231174</v>
      </c>
      <c r="L52" s="80">
        <f>IF(L4="","",L50+L51)</f>
        <v>-164177</v>
      </c>
      <c r="M52" s="80" t="str">
        <f>IF(M4="","",M50+M51)</f>
        <v/>
      </c>
      <c r="N52" s="80" t="str">
        <f>IF(N4="","",N50+N51)</f>
        <v/>
      </c>
      <c r="O52" s="80" t="str">
        <f>IF(O4="","",O50+O51)</f>
        <v/>
      </c>
      <c r="P52" s="80" t="str">
        <f>IF(P4="","",P50+P51)</f>
        <v/>
      </c>
      <c r="Q52" s="80" t="str">
        <f>IF(Q4="","",Q50+Q51)</f>
        <v/>
      </c>
    </row>
    <row r="53" spans="1:17" ht="15.75" customHeight="1" x14ac:dyDescent="0.35">
      <c r="A53" s="12"/>
    </row>
    <row r="54" spans="1:17" ht="15.75" customHeight="1" x14ac:dyDescent="0.35">
      <c r="A54" s="12"/>
      <c r="B54" s="93" t="s">
        <v>135</v>
      </c>
    </row>
    <row r="55" spans="1:17" ht="15.75" customHeight="1" x14ac:dyDescent="0.35">
      <c r="A55" s="12"/>
      <c r="B55" s="29" t="s">
        <v>66</v>
      </c>
      <c r="C55" s="75">
        <f>AVERAGE(G55:L55)</f>
        <v>0.60262963428750294</v>
      </c>
      <c r="D55" s="29"/>
      <c r="E55" s="83" t="s">
        <v>165</v>
      </c>
      <c r="F55" s="29"/>
      <c r="G55" s="15">
        <f>IF(G$4="","",ABS(G47/G$4))</f>
        <v>0.59283762583788169</v>
      </c>
      <c r="H55" s="15">
        <f t="shared" ref="H55:Q55" si="24">IF(H$4="","",ABS(H47/H$4))</f>
        <v>0.33465932495691675</v>
      </c>
      <c r="I55" s="15">
        <f t="shared" si="24"/>
        <v>0.54210141828956737</v>
      </c>
      <c r="J55" s="15">
        <f t="shared" si="24"/>
        <v>0.75293190943169552</v>
      </c>
      <c r="K55" s="15">
        <f t="shared" si="24"/>
        <v>0.48901641289501657</v>
      </c>
      <c r="L55" s="15">
        <f t="shared" si="24"/>
        <v>0.90423111431393977</v>
      </c>
      <c r="M55" s="15" t="str">
        <f t="shared" si="24"/>
        <v/>
      </c>
      <c r="N55" s="15" t="str">
        <f t="shared" si="24"/>
        <v/>
      </c>
      <c r="O55" s="15" t="str">
        <f t="shared" si="24"/>
        <v/>
      </c>
      <c r="P55" s="15" t="str">
        <f t="shared" si="24"/>
        <v/>
      </c>
      <c r="Q55" s="15" t="str">
        <f t="shared" si="24"/>
        <v/>
      </c>
    </row>
    <row r="56" spans="1:17" ht="15.75" customHeight="1" x14ac:dyDescent="0.4">
      <c r="A56" s="12"/>
      <c r="B56" s="87" t="str">
        <f>B48</f>
        <v>Selling Expenses</v>
      </c>
      <c r="C56" s="75">
        <f>AVERAGE(G56:H56)</f>
        <v>0</v>
      </c>
      <c r="D56" s="29"/>
      <c r="E56" s="83" t="s">
        <v>165</v>
      </c>
      <c r="F56" s="29"/>
      <c r="G56" s="15">
        <f t="shared" ref="G56:G60" si="25">IF(G$4="","",ABS(G48/G$4))</f>
        <v>0</v>
      </c>
      <c r="H56" s="15">
        <f t="shared" ref="H56:Q56" si="26">IF(H$4="","",ABS(H48/H$4))</f>
        <v>0</v>
      </c>
      <c r="I56" s="15">
        <f t="shared" si="26"/>
        <v>0</v>
      </c>
      <c r="J56" s="15">
        <f t="shared" si="26"/>
        <v>0</v>
      </c>
      <c r="K56" s="15">
        <f t="shared" si="26"/>
        <v>0</v>
      </c>
      <c r="L56" s="15">
        <f t="shared" si="26"/>
        <v>0</v>
      </c>
      <c r="M56" s="15" t="str">
        <f t="shared" si="26"/>
        <v/>
      </c>
      <c r="N56" s="15" t="str">
        <f t="shared" si="26"/>
        <v/>
      </c>
      <c r="O56" s="15" t="str">
        <f t="shared" si="26"/>
        <v/>
      </c>
      <c r="P56" s="15" t="str">
        <f t="shared" si="26"/>
        <v/>
      </c>
      <c r="Q56" s="15" t="str">
        <f t="shared" si="26"/>
        <v/>
      </c>
    </row>
    <row r="57" spans="1:17" ht="15.75" customHeight="1" x14ac:dyDescent="0.35">
      <c r="A57" s="12"/>
      <c r="B57" s="91" t="s">
        <v>69</v>
      </c>
      <c r="C57" s="92">
        <f>ABS(C49/$C$4)</f>
        <v>0.60262963428750294</v>
      </c>
      <c r="G57" s="33">
        <f t="shared" si="25"/>
        <v>0.59283762583788169</v>
      </c>
      <c r="H57" s="33">
        <f t="shared" ref="H57:Q57" si="27">IF(H$4="","",ABS(H49/H$4))</f>
        <v>0.33465932495691675</v>
      </c>
      <c r="I57" s="33">
        <f t="shared" si="27"/>
        <v>0.54210141828956737</v>
      </c>
      <c r="J57" s="33">
        <f t="shared" si="27"/>
        <v>0.75293190943169552</v>
      </c>
      <c r="K57" s="33">
        <f t="shared" si="27"/>
        <v>0.48901641289501657</v>
      </c>
      <c r="L57" s="33">
        <f t="shared" si="27"/>
        <v>0.90423111431393977</v>
      </c>
      <c r="M57" s="33" t="str">
        <f t="shared" si="27"/>
        <v/>
      </c>
      <c r="N57" s="33" t="str">
        <f t="shared" si="27"/>
        <v/>
      </c>
      <c r="O57" s="33" t="str">
        <f t="shared" si="27"/>
        <v/>
      </c>
      <c r="P57" s="33" t="str">
        <f t="shared" si="27"/>
        <v/>
      </c>
      <c r="Q57" s="33" t="str">
        <f t="shared" si="27"/>
        <v/>
      </c>
    </row>
    <row r="58" spans="1:17" ht="15.75" customHeight="1" x14ac:dyDescent="0.35">
      <c r="A58" s="12"/>
      <c r="B58" s="2" t="str">
        <f>B50</f>
        <v>Other Opex (Fixed Overhead)</v>
      </c>
      <c r="C58" s="26">
        <f t="shared" ref="C58:C60" si="28">ABS(C50/$C$4)</f>
        <v>0.27670813127086891</v>
      </c>
      <c r="D58" s="30"/>
      <c r="E58" s="30"/>
      <c r="F58" s="30"/>
      <c r="G58" s="15">
        <f t="shared" si="25"/>
        <v>0.33954325970765542</v>
      </c>
      <c r="H58" s="15">
        <f t="shared" ref="H58:Q58" si="29">IF(H$4="","",ABS(H50/H$4))</f>
        <v>0.23663324809399122</v>
      </c>
      <c r="I58" s="15">
        <f t="shared" si="29"/>
        <v>0.28715070989790226</v>
      </c>
      <c r="J58" s="15">
        <f t="shared" si="29"/>
        <v>0.35555794824425446</v>
      </c>
      <c r="K58" s="15">
        <f t="shared" si="29"/>
        <v>0.5836386082996079</v>
      </c>
      <c r="L58" s="15">
        <f t="shared" si="29"/>
        <v>9.7940339892238604E-2</v>
      </c>
      <c r="M58" s="15" t="str">
        <f t="shared" si="29"/>
        <v/>
      </c>
      <c r="N58" s="15" t="str">
        <f t="shared" si="29"/>
        <v/>
      </c>
      <c r="O58" s="15" t="str">
        <f t="shared" si="29"/>
        <v/>
      </c>
      <c r="P58" s="15" t="str">
        <f t="shared" si="29"/>
        <v/>
      </c>
      <c r="Q58" s="15" t="str">
        <f t="shared" si="29"/>
        <v/>
      </c>
    </row>
    <row r="59" spans="1:17" ht="15.75" customHeight="1" x14ac:dyDescent="0.35">
      <c r="A59" s="12"/>
      <c r="B59" s="30" t="str">
        <f>B51</f>
        <v>- R&amp;D</v>
      </c>
      <c r="C59" s="26">
        <f t="shared" si="28"/>
        <v>0</v>
      </c>
      <c r="D59" s="30"/>
      <c r="E59" s="30"/>
      <c r="F59" s="30"/>
      <c r="G59" s="15">
        <f t="shared" si="25"/>
        <v>0</v>
      </c>
      <c r="H59" s="15">
        <f t="shared" ref="H59:Q59" si="30">IF(H$4="","",ABS(H51/H$4))</f>
        <v>0</v>
      </c>
      <c r="I59" s="15">
        <f t="shared" si="30"/>
        <v>0</v>
      </c>
      <c r="J59" s="15">
        <f t="shared" si="30"/>
        <v>0</v>
      </c>
      <c r="K59" s="15">
        <f t="shared" si="30"/>
        <v>0</v>
      </c>
      <c r="L59" s="15">
        <f t="shared" si="30"/>
        <v>0</v>
      </c>
      <c r="M59" s="15" t="str">
        <f t="shared" si="30"/>
        <v/>
      </c>
      <c r="N59" s="15" t="str">
        <f t="shared" si="30"/>
        <v/>
      </c>
      <c r="O59" s="15" t="str">
        <f t="shared" si="30"/>
        <v/>
      </c>
      <c r="P59" s="15" t="str">
        <f t="shared" si="30"/>
        <v/>
      </c>
      <c r="Q59" s="15" t="str">
        <f t="shared" si="30"/>
        <v/>
      </c>
    </row>
    <row r="60" spans="1:17" ht="15.75" customHeight="1" x14ac:dyDescent="0.35">
      <c r="A60" s="12"/>
      <c r="B60" s="91" t="s">
        <v>68</v>
      </c>
      <c r="C60" s="92">
        <f t="shared" si="28"/>
        <v>0.27670813127086891</v>
      </c>
      <c r="G60" s="33">
        <f t="shared" si="25"/>
        <v>0.33954325970765542</v>
      </c>
      <c r="H60" s="33">
        <f t="shared" ref="H60:Q60" si="31">IF(H$4="","",ABS(H52/H$4))</f>
        <v>0.23663324809399122</v>
      </c>
      <c r="I60" s="33">
        <f t="shared" si="31"/>
        <v>0.28715070989790226</v>
      </c>
      <c r="J60" s="33">
        <f t="shared" si="31"/>
        <v>0.35555794824425446</v>
      </c>
      <c r="K60" s="33">
        <f t="shared" si="31"/>
        <v>0.5836386082996079</v>
      </c>
      <c r="L60" s="33">
        <f t="shared" si="31"/>
        <v>9.7940339892238604E-2</v>
      </c>
      <c r="M60" s="33" t="str">
        <f t="shared" si="31"/>
        <v/>
      </c>
      <c r="N60" s="33" t="str">
        <f t="shared" si="31"/>
        <v/>
      </c>
      <c r="O60" s="33" t="str">
        <f t="shared" si="31"/>
        <v/>
      </c>
      <c r="P60" s="33" t="str">
        <f t="shared" si="31"/>
        <v/>
      </c>
      <c r="Q60" s="33" t="str">
        <f t="shared" si="31"/>
        <v/>
      </c>
    </row>
    <row r="61" spans="1:17" ht="15.75" customHeight="1" x14ac:dyDescent="0.35">
      <c r="A61" s="12"/>
    </row>
    <row r="62" spans="1:17" ht="15.75" customHeight="1" x14ac:dyDescent="0.35">
      <c r="A62" s="12"/>
      <c r="B62" s="78" t="s">
        <v>321</v>
      </c>
    </row>
    <row r="63" spans="1:17" ht="15.75" customHeight="1" x14ac:dyDescent="0.35">
      <c r="A63" s="12"/>
      <c r="B63" s="44" t="s">
        <v>320</v>
      </c>
      <c r="C63" s="77">
        <f>BS!$G28*C70</f>
        <v>187846.86636895518</v>
      </c>
      <c r="G63" s="77">
        <f>Data!C55</f>
        <v>328373</v>
      </c>
      <c r="H63" s="77">
        <f>Data!D55</f>
        <v>414899</v>
      </c>
      <c r="I63" s="77">
        <f>Data!E55</f>
        <v>0</v>
      </c>
      <c r="J63" s="77">
        <f>Data!F55</f>
        <v>0</v>
      </c>
      <c r="K63" s="77">
        <f>Data!G55</f>
        <v>0</v>
      </c>
      <c r="L63" s="77">
        <f>Data!H55</f>
        <v>0</v>
      </c>
      <c r="M63" s="77" t="str">
        <f>Data!I55</f>
        <v/>
      </c>
      <c r="N63" s="77" t="str">
        <f>Data!J55</f>
        <v/>
      </c>
      <c r="O63" s="77" t="str">
        <f>Data!K55</f>
        <v/>
      </c>
      <c r="P63" s="77" t="str">
        <f>Data!L55</f>
        <v/>
      </c>
      <c r="Q63" s="77" t="str">
        <f>Data!M55</f>
        <v/>
      </c>
    </row>
    <row r="64" spans="1:17" ht="15.75" customHeight="1" x14ac:dyDescent="0.35">
      <c r="A64" s="12"/>
      <c r="B64" s="44" t="s">
        <v>304</v>
      </c>
      <c r="C64" s="77">
        <f>BS!$G26*C71</f>
        <v>-62883</v>
      </c>
      <c r="G64" s="77">
        <f>Data!C54</f>
        <v>-62883</v>
      </c>
      <c r="H64" s="77">
        <f>Data!D54</f>
        <v>-60321</v>
      </c>
      <c r="I64" s="77">
        <f>Data!E54</f>
        <v>0</v>
      </c>
      <c r="J64" s="77">
        <f>Data!F54</f>
        <v>0</v>
      </c>
      <c r="K64" s="77">
        <f>Data!G54</f>
        <v>0</v>
      </c>
      <c r="L64" s="77">
        <f>Data!H54</f>
        <v>0</v>
      </c>
      <c r="M64" s="77" t="str">
        <f>Data!I54</f>
        <v/>
      </c>
      <c r="N64" s="77" t="str">
        <f>Data!J54</f>
        <v/>
      </c>
      <c r="O64" s="77" t="str">
        <f>Data!K54</f>
        <v/>
      </c>
      <c r="P64" s="77" t="str">
        <f>Data!L54</f>
        <v/>
      </c>
      <c r="Q64" s="77" t="str">
        <f>Data!M54</f>
        <v/>
      </c>
    </row>
    <row r="65" spans="1:17" ht="15.75" customHeight="1" x14ac:dyDescent="0.35">
      <c r="A65" s="12"/>
      <c r="B65" s="44" t="s">
        <v>301</v>
      </c>
      <c r="C65" s="77">
        <f>BS!$G27*C72</f>
        <v>0</v>
      </c>
      <c r="G65" s="77">
        <f>Data!C56</f>
        <v>0</v>
      </c>
      <c r="H65" s="77">
        <f>Data!D56</f>
        <v>0</v>
      </c>
      <c r="I65" s="77">
        <f>Data!E56</f>
        <v>0</v>
      </c>
      <c r="J65" s="77">
        <f>Data!F56</f>
        <v>0</v>
      </c>
      <c r="K65" s="77">
        <f>Data!G56</f>
        <v>0</v>
      </c>
      <c r="L65" s="77">
        <f>Data!H56</f>
        <v>0</v>
      </c>
      <c r="M65" s="77" t="str">
        <f>Data!I56</f>
        <v/>
      </c>
      <c r="N65" s="77" t="str">
        <f>Data!J56</f>
        <v/>
      </c>
      <c r="O65" s="77" t="str">
        <f>Data!K56</f>
        <v/>
      </c>
      <c r="P65" s="77" t="str">
        <f>Data!L56</f>
        <v/>
      </c>
      <c r="Q65" s="77" t="str">
        <f>Data!M56</f>
        <v/>
      </c>
    </row>
    <row r="66" spans="1:17" ht="15.75" customHeight="1" x14ac:dyDescent="0.35">
      <c r="A66" s="12"/>
      <c r="B66" s="44" t="s">
        <v>305</v>
      </c>
      <c r="C66" s="97">
        <v>0</v>
      </c>
      <c r="E66" s="83" t="s">
        <v>323</v>
      </c>
      <c r="G66" s="77">
        <f>Data!C57</f>
        <v>119837</v>
      </c>
      <c r="H66" s="77">
        <f>Data!D57</f>
        <v>182493</v>
      </c>
      <c r="I66" s="77">
        <f>Data!E57</f>
        <v>-129706</v>
      </c>
      <c r="J66" s="77">
        <f>Data!F57</f>
        <v>153746</v>
      </c>
      <c r="K66" s="77">
        <f>Data!G57</f>
        <v>56136</v>
      </c>
      <c r="L66" s="77">
        <f>Data!H57</f>
        <v>9339</v>
      </c>
      <c r="M66" s="77" t="str">
        <f>Data!I57</f>
        <v/>
      </c>
      <c r="N66" s="77" t="str">
        <f>Data!J57</f>
        <v/>
      </c>
      <c r="O66" s="77" t="str">
        <f>Data!K57</f>
        <v/>
      </c>
      <c r="P66" s="77" t="str">
        <f>Data!L57</f>
        <v/>
      </c>
      <c r="Q66" s="77" t="str">
        <f>Data!M57</f>
        <v/>
      </c>
    </row>
    <row r="67" spans="1:17" ht="15.75" customHeight="1" x14ac:dyDescent="0.35">
      <c r="A67" s="12"/>
      <c r="B67" s="34" t="s">
        <v>296</v>
      </c>
      <c r="C67" s="80">
        <f>SUM(C63:C66)</f>
        <v>124963.86636895518</v>
      </c>
      <c r="G67" s="80">
        <f>IF(G4="","",SUM(G63:G66))</f>
        <v>385327</v>
      </c>
      <c r="H67" s="80">
        <f>IF(H4="","",SUM(H63:H66))</f>
        <v>537071</v>
      </c>
      <c r="I67" s="80">
        <f>IF(I4="","",SUM(I63:I66))</f>
        <v>-129706</v>
      </c>
      <c r="J67" s="80">
        <f>IF(J4="","",SUM(J63:J66))</f>
        <v>153746</v>
      </c>
      <c r="K67" s="80">
        <f>IF(K4="","",SUM(K63:K66))</f>
        <v>56136</v>
      </c>
      <c r="L67" s="80">
        <f>IF(L4="","",SUM(L63:L66))</f>
        <v>9339</v>
      </c>
      <c r="M67" s="80" t="str">
        <f>IF(M4="","",SUM(M63:M66))</f>
        <v/>
      </c>
      <c r="N67" s="80" t="str">
        <f>IF(N4="","",SUM(N63:N66))</f>
        <v/>
      </c>
      <c r="O67" s="80" t="str">
        <f>IF(O4="","",SUM(O63:O66))</f>
        <v/>
      </c>
      <c r="P67" s="80" t="str">
        <f>IF(P4="","",SUM(P63:P66))</f>
        <v/>
      </c>
      <c r="Q67" s="80" t="str">
        <f>IF(Q4="","",SUM(Q63:Q66))</f>
        <v/>
      </c>
    </row>
    <row r="68" spans="1:17" ht="15.75" customHeight="1" x14ac:dyDescent="0.35">
      <c r="A68" s="12"/>
    </row>
    <row r="69" spans="1:17" ht="15.75" customHeight="1" x14ac:dyDescent="0.35">
      <c r="A69" s="12"/>
      <c r="B69" s="133" t="s">
        <v>322</v>
      </c>
    </row>
    <row r="70" spans="1:17" ht="15.75" customHeight="1" x14ac:dyDescent="0.35">
      <c r="A70" s="12"/>
      <c r="B70" s="44" t="s">
        <v>320</v>
      </c>
      <c r="C70" s="238">
        <f>G70</f>
        <v>0.10759455927820527</v>
      </c>
      <c r="G70" s="26">
        <f>IFERROR(G63/BS!$G$25,0)</f>
        <v>0.10759455927820527</v>
      </c>
      <c r="H70" s="237"/>
      <c r="I70" s="237"/>
      <c r="J70" s="237"/>
      <c r="K70" s="237"/>
      <c r="L70" s="237"/>
      <c r="M70" s="237"/>
      <c r="N70" s="237"/>
      <c r="O70" s="237"/>
      <c r="P70" s="237"/>
      <c r="Q70" s="237"/>
    </row>
    <row r="71" spans="1:17" ht="15.75" customHeight="1" x14ac:dyDescent="0.35">
      <c r="A71" s="12"/>
      <c r="B71" s="144" t="s">
        <v>300</v>
      </c>
      <c r="C71" s="238">
        <f>G71</f>
        <v>-8.0495803869963495E-2</v>
      </c>
      <c r="G71" s="26">
        <f>IFERROR(G64/BS!$G$26,0)</f>
        <v>-8.0495803869963495E-2</v>
      </c>
      <c r="H71" s="237"/>
      <c r="I71" s="237"/>
      <c r="J71" s="237"/>
      <c r="K71" s="237"/>
      <c r="L71" s="237"/>
      <c r="M71" s="237"/>
      <c r="N71" s="237"/>
      <c r="O71" s="237"/>
      <c r="P71" s="237"/>
      <c r="Q71" s="237"/>
    </row>
    <row r="72" spans="1:17" ht="15.75" customHeight="1" x14ac:dyDescent="0.35">
      <c r="A72" s="12"/>
      <c r="B72" s="144" t="s">
        <v>301</v>
      </c>
      <c r="C72" s="238">
        <f>G72</f>
        <v>0</v>
      </c>
      <c r="G72" s="26">
        <f>IFERROR(G65/BS!$G$27,0)</f>
        <v>0</v>
      </c>
      <c r="H72" s="237"/>
      <c r="I72" s="237"/>
      <c r="J72" s="237"/>
      <c r="K72" s="237"/>
      <c r="L72" s="237"/>
      <c r="M72" s="237"/>
      <c r="N72" s="237"/>
      <c r="O72" s="237"/>
      <c r="P72" s="237"/>
      <c r="Q72" s="237"/>
    </row>
    <row r="73" spans="1:17" ht="15.75" customHeight="1" x14ac:dyDescent="0.35">
      <c r="A73" s="12"/>
      <c r="B73" s="34" t="s">
        <v>296</v>
      </c>
      <c r="C73" s="92">
        <f>C67/SUM(BS!G25:G27)</f>
        <v>3.2600879687524176E-2</v>
      </c>
      <c r="D73" s="11"/>
      <c r="E73" s="11"/>
      <c r="F73" s="11"/>
      <c r="G73" s="92">
        <f>G67/SUM(BS!G25:G27)</f>
        <v>0.10052505201996063</v>
      </c>
      <c r="H73" s="237"/>
      <c r="I73" s="237"/>
      <c r="J73" s="237"/>
      <c r="K73" s="237"/>
      <c r="L73" s="237"/>
      <c r="M73" s="237"/>
      <c r="N73" s="237"/>
      <c r="O73" s="237"/>
      <c r="P73" s="237"/>
      <c r="Q73" s="237"/>
    </row>
    <row r="74" spans="1:17" ht="15.75" customHeight="1" x14ac:dyDescent="0.35">
      <c r="A74" s="12"/>
    </row>
    <row r="75" spans="1:17" ht="15.75" customHeight="1" x14ac:dyDescent="0.35">
      <c r="A75" s="12"/>
      <c r="B75" s="78" t="s">
        <v>128</v>
      </c>
    </row>
    <row r="76" spans="1:17" ht="15.75" customHeight="1" x14ac:dyDescent="0.35">
      <c r="A76" s="12"/>
      <c r="B76" s="2" t="s">
        <v>58</v>
      </c>
      <c r="C76" s="77">
        <f>-BS!G31*Normalized_FCF!C81</f>
        <v>-105689</v>
      </c>
      <c r="G76" s="77">
        <f>Data!C50</f>
        <v>-105689</v>
      </c>
      <c r="H76" s="77">
        <f>Data!D50</f>
        <v>-102356</v>
      </c>
      <c r="I76" s="77">
        <f>Data!E50</f>
        <v>-74343</v>
      </c>
      <c r="J76" s="77">
        <f>Data!F50</f>
        <v>-77168</v>
      </c>
      <c r="K76" s="77">
        <f>Data!G50</f>
        <v>-27358</v>
      </c>
      <c r="L76" s="77">
        <f>Data!H50</f>
        <v>-5699</v>
      </c>
      <c r="M76" s="77" t="str">
        <f>Data!I50</f>
        <v/>
      </c>
      <c r="N76" s="77" t="str">
        <f>Data!J50</f>
        <v/>
      </c>
      <c r="O76" s="77" t="str">
        <f>Data!K50</f>
        <v/>
      </c>
      <c r="P76" s="77" t="str">
        <f>Data!L50</f>
        <v/>
      </c>
      <c r="Q76" s="77" t="str">
        <f>Data!M50</f>
        <v/>
      </c>
    </row>
    <row r="77" spans="1:17" ht="15.75" customHeight="1" x14ac:dyDescent="0.35">
      <c r="A77" s="12"/>
      <c r="B77" s="2" t="s">
        <v>139</v>
      </c>
      <c r="C77" s="77">
        <f>BS!$G$24*C82</f>
        <v>120678.54</v>
      </c>
      <c r="G77" s="77">
        <f>Data!C51</f>
        <v>127073</v>
      </c>
      <c r="H77" s="77">
        <f>Data!D51</f>
        <v>62873</v>
      </c>
      <c r="I77" s="77">
        <f>Data!E51</f>
        <v>0</v>
      </c>
      <c r="J77" s="77">
        <f>Data!F51</f>
        <v>0</v>
      </c>
      <c r="K77" s="77">
        <f>Data!G51</f>
        <v>0</v>
      </c>
      <c r="L77" s="77">
        <f>Data!H51</f>
        <v>0</v>
      </c>
      <c r="M77" s="77" t="str">
        <f>Data!I51</f>
        <v/>
      </c>
      <c r="N77" s="77" t="str">
        <f>Data!J51</f>
        <v/>
      </c>
      <c r="O77" s="77" t="str">
        <f>Data!K51</f>
        <v/>
      </c>
      <c r="P77" s="77" t="str">
        <f>Data!L51</f>
        <v/>
      </c>
      <c r="Q77" s="77" t="str">
        <f>Data!M51</f>
        <v/>
      </c>
    </row>
    <row r="78" spans="1:17" ht="15.75" customHeight="1" x14ac:dyDescent="0.35">
      <c r="A78" s="12"/>
      <c r="B78" s="91" t="s">
        <v>140</v>
      </c>
      <c r="C78" s="80">
        <f>C76+C77</f>
        <v>14989.539999999994</v>
      </c>
      <c r="G78" s="80">
        <f>IF(G4="","",G76+G77)</f>
        <v>21384</v>
      </c>
      <c r="H78" s="80">
        <f>IF(H4="","",H76+H77)</f>
        <v>-39483</v>
      </c>
      <c r="I78" s="80">
        <f>IF(I4="","",I76+I77)</f>
        <v>-74343</v>
      </c>
      <c r="J78" s="80">
        <f>IF(J4="","",J76+J77)</f>
        <v>-77168</v>
      </c>
      <c r="K78" s="80">
        <f>IF(K4="","",K76+K77)</f>
        <v>-27358</v>
      </c>
      <c r="L78" s="80">
        <f>IF(L4="","",L76+L77)</f>
        <v>-5699</v>
      </c>
      <c r="M78" s="80" t="str">
        <f>IF(M4="","",M76+M77)</f>
        <v/>
      </c>
      <c r="N78" s="80" t="str">
        <f>IF(N4="","",N76+N77)</f>
        <v/>
      </c>
      <c r="O78" s="80" t="str">
        <f>IF(O4="","",O76+O77)</f>
        <v/>
      </c>
      <c r="P78" s="80" t="str">
        <f>IF(P4="","",P76+P77)</f>
        <v/>
      </c>
      <c r="Q78" s="80" t="str">
        <f>IF(Q4="","",Q76+Q77)</f>
        <v/>
      </c>
    </row>
    <row r="79" spans="1:17" ht="15.75" customHeight="1" x14ac:dyDescent="0.35">
      <c r="A79" s="12"/>
    </row>
    <row r="80" spans="1:17" ht="15.75" customHeight="1" x14ac:dyDescent="0.35">
      <c r="A80" s="12"/>
      <c r="B80" s="93" t="s">
        <v>298</v>
      </c>
    </row>
    <row r="81" spans="1:17" ht="15.75" customHeight="1" x14ac:dyDescent="0.35">
      <c r="A81" s="12"/>
      <c r="B81" s="10" t="s">
        <v>175</v>
      </c>
      <c r="C81" s="109">
        <f>Normalized_FCF!G81</f>
        <v>3.2608165786432233E-2</v>
      </c>
      <c r="E81" s="86" t="s">
        <v>158</v>
      </c>
      <c r="G81" s="26">
        <f>IFERROR(ABS(Normalized_FCF!G76/BS!$G$31),0)</f>
        <v>3.2608165786432233E-2</v>
      </c>
      <c r="H81" s="225"/>
      <c r="I81" s="225"/>
      <c r="J81" s="225"/>
      <c r="K81" s="225"/>
      <c r="L81" s="225"/>
      <c r="M81" s="225"/>
      <c r="N81" s="225"/>
      <c r="O81" s="225"/>
      <c r="P81" s="225"/>
      <c r="Q81" s="225"/>
    </row>
    <row r="82" spans="1:17" ht="15.75" customHeight="1" x14ac:dyDescent="0.35">
      <c r="A82" s="12"/>
      <c r="B82" s="10" t="s">
        <v>176</v>
      </c>
      <c r="C82" s="116">
        <v>0.03</v>
      </c>
      <c r="E82" s="86" t="s">
        <v>159</v>
      </c>
      <c r="G82" s="8">
        <f>IF(Normalized_FCF!G4="","",Normalized_FCF!G77/BS!$G$24)</f>
        <v>3.1589626457197775E-2</v>
      </c>
      <c r="H82" s="225"/>
      <c r="I82" s="225"/>
      <c r="J82" s="225"/>
      <c r="K82" s="225"/>
      <c r="L82" s="225"/>
      <c r="M82" s="225"/>
      <c r="N82" s="225"/>
      <c r="O82" s="225"/>
      <c r="P82" s="225"/>
      <c r="Q82" s="225"/>
    </row>
    <row r="83" spans="1:17" ht="15.75" customHeight="1" x14ac:dyDescent="0.35">
      <c r="A83" s="12"/>
    </row>
    <row r="84" spans="1:17" ht="15.75" customHeight="1" x14ac:dyDescent="0.5">
      <c r="A84" s="3"/>
      <c r="B84" s="61" t="s">
        <v>187</v>
      </c>
      <c r="C84" s="61"/>
      <c r="D84" s="63"/>
      <c r="E84" s="81" t="s">
        <v>127</v>
      </c>
      <c r="F84" s="63"/>
      <c r="G84" s="40"/>
      <c r="H84" s="40"/>
      <c r="I84" s="40"/>
      <c r="J84" s="40"/>
      <c r="K84" s="40"/>
      <c r="L84" s="40"/>
      <c r="M84" s="40"/>
      <c r="N84" s="40"/>
      <c r="O84" s="40"/>
      <c r="P84" s="40"/>
      <c r="Q84" s="40"/>
    </row>
    <row r="85" spans="1:17" ht="15.75" customHeight="1" x14ac:dyDescent="0.35">
      <c r="A85" s="12"/>
      <c r="B85" s="78" t="s">
        <v>37</v>
      </c>
    </row>
    <row r="86" spans="1:17" ht="15.75" customHeight="1" x14ac:dyDescent="0.35">
      <c r="A86" s="12"/>
      <c r="B86" s="29" t="s">
        <v>4</v>
      </c>
      <c r="C86" s="128">
        <f>BS!G23</f>
        <v>14352098</v>
      </c>
      <c r="D86" s="29"/>
      <c r="E86" s="29"/>
      <c r="F86" s="29"/>
      <c r="G86" s="16">
        <f t="shared" ref="G86:Q86" si="32">IF(G$4="","",G90+G89)</f>
        <v>3670169</v>
      </c>
      <c r="H86" s="16">
        <f t="shared" si="32"/>
        <v>3559477</v>
      </c>
      <c r="I86" s="16">
        <f t="shared" si="32"/>
        <v>3413258</v>
      </c>
      <c r="J86" s="16">
        <f t="shared" si="32"/>
        <v>1603329</v>
      </c>
      <c r="K86" s="16">
        <f t="shared" si="32"/>
        <v>1218998</v>
      </c>
      <c r="L86" s="16">
        <f t="shared" si="32"/>
        <v>0</v>
      </c>
      <c r="M86" s="16" t="str">
        <f t="shared" si="32"/>
        <v/>
      </c>
      <c r="N86" s="16" t="str">
        <f t="shared" si="32"/>
        <v/>
      </c>
      <c r="O86" s="16" t="str">
        <f t="shared" si="32"/>
        <v/>
      </c>
      <c r="P86" s="16" t="str">
        <f t="shared" si="32"/>
        <v/>
      </c>
      <c r="Q86" s="16" t="str">
        <f t="shared" si="32"/>
        <v/>
      </c>
    </row>
    <row r="87" spans="1:17" ht="15.75" customHeight="1" x14ac:dyDescent="0.35">
      <c r="A87" s="12"/>
      <c r="B87" s="126" t="s">
        <v>171</v>
      </c>
      <c r="C87" s="129">
        <f>BS!C4</f>
        <v>649112</v>
      </c>
      <c r="D87" s="118"/>
      <c r="E87" s="118"/>
      <c r="F87" s="118"/>
      <c r="G87" s="130">
        <f>IF(G$4="","",Data!D75)</f>
        <v>0</v>
      </c>
      <c r="H87" s="130">
        <f>IF(H$4="","",Data!E75)</f>
        <v>0</v>
      </c>
      <c r="I87" s="130">
        <f>IF(I$4="","",Data!F75)</f>
        <v>0</v>
      </c>
      <c r="J87" s="130">
        <f>IF(J$4="","",Data!G75)</f>
        <v>0</v>
      </c>
      <c r="K87" s="130">
        <f>IF(K$4="","",Data!H75)</f>
        <v>0</v>
      </c>
      <c r="L87" s="130">
        <f>IF(L$4="","",Data!I75)</f>
        <v>0</v>
      </c>
      <c r="M87" s="130" t="str">
        <f>IF(M$4="","",Data!J75)</f>
        <v/>
      </c>
      <c r="N87" s="130" t="str">
        <f>IF(N$4="","",Data!K75)</f>
        <v/>
      </c>
      <c r="O87" s="130" t="str">
        <f>IF(O$4="","",Data!L75)</f>
        <v/>
      </c>
      <c r="P87" s="130" t="str">
        <f>IF(P$4="","",Data!M75)</f>
        <v/>
      </c>
      <c r="Q87" s="130" t="str">
        <f>IF(Q$4="","",Data!N75)</f>
        <v/>
      </c>
    </row>
    <row r="88" spans="1:17" ht="15.75" customHeight="1" x14ac:dyDescent="0.35">
      <c r="A88" s="12"/>
      <c r="B88" s="126" t="s">
        <v>172</v>
      </c>
      <c r="C88" s="129">
        <f>BS!C7+BS!C8</f>
        <v>0</v>
      </c>
      <c r="D88" s="118"/>
      <c r="E88" s="118"/>
      <c r="F88" s="118"/>
      <c r="G88" s="130">
        <f>IF(G$4="","",Data!D76)</f>
        <v>0</v>
      </c>
      <c r="H88" s="130">
        <f>IF(H$4="","",Data!E76)</f>
        <v>0</v>
      </c>
      <c r="I88" s="130">
        <f>IF(I$4="","",Data!F76)</f>
        <v>0</v>
      </c>
      <c r="J88" s="130">
        <f>IF(J$4="","",Data!G76)</f>
        <v>0</v>
      </c>
      <c r="K88" s="130">
        <f>IF(K$4="","",Data!H76)</f>
        <v>0</v>
      </c>
      <c r="L88" s="130">
        <f>IF(L$4="","",Data!I76)</f>
        <v>0</v>
      </c>
      <c r="M88" s="130" t="str">
        <f>IF(M$4="","",Data!J76)</f>
        <v/>
      </c>
      <c r="N88" s="130" t="str">
        <f>IF(N$4="","",Data!K76)</f>
        <v/>
      </c>
      <c r="O88" s="130" t="str">
        <f>IF(O$4="","",Data!L76)</f>
        <v/>
      </c>
      <c r="P88" s="130" t="str">
        <f>IF(P$4="","",Data!M76)</f>
        <v/>
      </c>
      <c r="Q88" s="130" t="str">
        <f>IF(Q$4="","",Data!N76)</f>
        <v/>
      </c>
    </row>
    <row r="89" spans="1:17" ht="15.75" customHeight="1" x14ac:dyDescent="0.35">
      <c r="A89" s="12"/>
      <c r="B89" s="29" t="s">
        <v>59</v>
      </c>
      <c r="C89" s="128">
        <f>BS!G30</f>
        <v>4197215</v>
      </c>
      <c r="D89" s="29"/>
      <c r="E89" s="29"/>
      <c r="F89" s="29"/>
      <c r="G89" s="16">
        <f>Data!C77</f>
        <v>642877</v>
      </c>
      <c r="H89" s="16">
        <f>Data!D77</f>
        <v>734909</v>
      </c>
      <c r="I89" s="16">
        <f>Data!E77</f>
        <v>677999</v>
      </c>
      <c r="J89" s="16">
        <f>Data!F77</f>
        <v>1352795</v>
      </c>
      <c r="K89" s="16">
        <f>Data!G77</f>
        <v>1205068</v>
      </c>
      <c r="L89" s="16">
        <f>Data!H77</f>
        <v>0</v>
      </c>
      <c r="M89" s="16" t="str">
        <f>Data!I77</f>
        <v/>
      </c>
      <c r="N89" s="16" t="str">
        <f>Data!J77</f>
        <v/>
      </c>
      <c r="O89" s="16" t="str">
        <f>Data!K77</f>
        <v/>
      </c>
      <c r="P89" s="16" t="str">
        <f>Data!L77</f>
        <v/>
      </c>
      <c r="Q89" s="16" t="str">
        <f>Data!M77</f>
        <v/>
      </c>
    </row>
    <row r="90" spans="1:17" ht="15.75" customHeight="1" x14ac:dyDescent="0.35">
      <c r="A90" s="12"/>
      <c r="B90" s="29" t="s">
        <v>39</v>
      </c>
      <c r="C90" s="128">
        <f>BS!G32</f>
        <v>10154883</v>
      </c>
      <c r="D90" s="29"/>
      <c r="E90" s="29"/>
      <c r="F90" s="29"/>
      <c r="G90" s="16">
        <f>Data!C78</f>
        <v>3027292</v>
      </c>
      <c r="H90" s="16">
        <f>Data!D78</f>
        <v>2824568</v>
      </c>
      <c r="I90" s="16">
        <f>Data!E78</f>
        <v>2735259</v>
      </c>
      <c r="J90" s="16">
        <f>Data!F78</f>
        <v>250534</v>
      </c>
      <c r="K90" s="16">
        <f>Data!G78</f>
        <v>13930</v>
      </c>
      <c r="L90" s="16">
        <f>Data!H78</f>
        <v>0</v>
      </c>
      <c r="M90" s="16" t="str">
        <f>Data!I78</f>
        <v/>
      </c>
      <c r="N90" s="16" t="str">
        <f>Data!J78</f>
        <v/>
      </c>
      <c r="O90" s="16" t="str">
        <f>Data!K78</f>
        <v/>
      </c>
      <c r="P90" s="16" t="str">
        <f>Data!L78</f>
        <v/>
      </c>
      <c r="Q90" s="16" t="str">
        <f>Data!M78</f>
        <v/>
      </c>
    </row>
    <row r="91" spans="1:17" ht="15.75" customHeight="1" x14ac:dyDescent="0.35">
      <c r="A91" s="12"/>
      <c r="B91" s="29"/>
      <c r="C91" s="29"/>
      <c r="D91" s="29"/>
      <c r="E91" s="29"/>
      <c r="F91" s="29"/>
      <c r="G91" s="16"/>
      <c r="H91" s="14"/>
      <c r="I91" s="14"/>
      <c r="J91" s="14"/>
      <c r="K91" s="14"/>
      <c r="L91" s="14"/>
      <c r="M91" s="14"/>
      <c r="N91" s="14"/>
      <c r="O91" s="14"/>
      <c r="P91" s="14"/>
      <c r="Q91" s="14"/>
    </row>
    <row r="92" spans="1:17" ht="15.75" customHeight="1" x14ac:dyDescent="0.35">
      <c r="A92" s="12"/>
      <c r="B92" s="121" t="s">
        <v>65</v>
      </c>
      <c r="C92" s="29"/>
      <c r="D92" s="29"/>
      <c r="E92" s="29"/>
      <c r="F92" s="29"/>
      <c r="G92" s="16"/>
      <c r="H92" s="14"/>
      <c r="I92" s="14"/>
      <c r="J92" s="14"/>
      <c r="K92" s="14"/>
      <c r="L92" s="14"/>
      <c r="M92" s="14"/>
      <c r="N92" s="14"/>
      <c r="O92" s="14"/>
      <c r="P92" s="14"/>
      <c r="Q92" s="14"/>
    </row>
    <row r="93" spans="1:17" ht="15.75" customHeight="1" x14ac:dyDescent="0.35">
      <c r="A93" s="12"/>
      <c r="B93" s="29" t="s">
        <v>173</v>
      </c>
      <c r="C93" s="131">
        <f>C87/C$4</f>
        <v>0.52940936591126708</v>
      </c>
      <c r="D93" s="29"/>
      <c r="E93" s="29"/>
      <c r="F93" s="29"/>
      <c r="G93" s="131">
        <f>IF(G$4="","",G87/G$4)</f>
        <v>0</v>
      </c>
      <c r="H93" s="131">
        <f t="shared" ref="H93:Q93" si="33">IF(H$4="","",H87/H$4)</f>
        <v>0</v>
      </c>
      <c r="I93" s="131">
        <f t="shared" si="33"/>
        <v>0</v>
      </c>
      <c r="J93" s="131">
        <f t="shared" si="33"/>
        <v>0</v>
      </c>
      <c r="K93" s="131">
        <f t="shared" si="33"/>
        <v>0</v>
      </c>
      <c r="L93" s="131">
        <f t="shared" si="33"/>
        <v>0</v>
      </c>
      <c r="M93" s="131" t="str">
        <f t="shared" si="33"/>
        <v/>
      </c>
      <c r="N93" s="131" t="str">
        <f t="shared" si="33"/>
        <v/>
      </c>
      <c r="O93" s="131" t="str">
        <f t="shared" si="33"/>
        <v/>
      </c>
      <c r="P93" s="131" t="str">
        <f t="shared" si="33"/>
        <v/>
      </c>
      <c r="Q93" s="131" t="str">
        <f t="shared" si="33"/>
        <v/>
      </c>
    </row>
    <row r="94" spans="1:17" ht="15.75" customHeight="1" x14ac:dyDescent="0.35">
      <c r="A94" s="12"/>
      <c r="B94" s="29" t="s">
        <v>174</v>
      </c>
      <c r="C94" s="131">
        <f>C88/C$4</f>
        <v>0</v>
      </c>
      <c r="D94" s="29"/>
      <c r="E94" s="29"/>
      <c r="F94" s="29"/>
      <c r="G94" s="131">
        <f>IF(G$4="","",G88/G$4)</f>
        <v>0</v>
      </c>
      <c r="H94" s="131">
        <f t="shared" ref="H94:Q94" si="34">IF(H$4="","",H88/H$4)</f>
        <v>0</v>
      </c>
      <c r="I94" s="131">
        <f t="shared" si="34"/>
        <v>0</v>
      </c>
      <c r="J94" s="131">
        <f t="shared" si="34"/>
        <v>0</v>
      </c>
      <c r="K94" s="131">
        <f t="shared" si="34"/>
        <v>0</v>
      </c>
      <c r="L94" s="131">
        <f t="shared" si="34"/>
        <v>0</v>
      </c>
      <c r="M94" s="131" t="str">
        <f t="shared" si="34"/>
        <v/>
      </c>
      <c r="N94" s="131" t="str">
        <f t="shared" si="34"/>
        <v/>
      </c>
      <c r="O94" s="131" t="str">
        <f t="shared" si="34"/>
        <v/>
      </c>
      <c r="P94" s="131" t="str">
        <f t="shared" si="34"/>
        <v/>
      </c>
      <c r="Q94" s="131" t="str">
        <f t="shared" si="34"/>
        <v/>
      </c>
    </row>
    <row r="95" spans="1:17" ht="15.75" customHeight="1" x14ac:dyDescent="0.35">
      <c r="A95" s="12"/>
      <c r="B95" s="29"/>
      <c r="C95" s="29"/>
      <c r="D95" s="29"/>
      <c r="E95" s="29"/>
      <c r="F95" s="29"/>
      <c r="G95" s="16"/>
      <c r="H95" s="14"/>
      <c r="I95" s="14"/>
      <c r="J95" s="14"/>
      <c r="K95" s="14"/>
      <c r="L95" s="14"/>
      <c r="M95" s="14"/>
      <c r="N95" s="14"/>
      <c r="O95" s="14"/>
      <c r="P95" s="14"/>
      <c r="Q95" s="14"/>
    </row>
    <row r="96" spans="1:17" ht="15.75" customHeight="1" x14ac:dyDescent="0.35">
      <c r="A96" s="12"/>
      <c r="B96" s="121" t="s">
        <v>180</v>
      </c>
    </row>
    <row r="97" spans="1:17" ht="15.75" customHeight="1" x14ac:dyDescent="0.35">
      <c r="A97" s="12"/>
      <c r="B97" s="29" t="s">
        <v>179</v>
      </c>
      <c r="C97" s="46">
        <f>-C4/C76</f>
        <v>11.601074851687498</v>
      </c>
      <c r="G97" s="46">
        <f>IF(G4="","",-G4/G76)</f>
        <v>8.3592237602777963</v>
      </c>
      <c r="H97" s="46">
        <f>IF(H4="","",-H4/H76)</f>
        <v>15.629850717105006</v>
      </c>
      <c r="I97" s="46">
        <f>IF(I4="","",-I4/I76)</f>
        <v>16.074559810607589</v>
      </c>
      <c r="J97" s="46">
        <f>IF(J4="","",-J4/J76)</f>
        <v>9.1469780219780219</v>
      </c>
      <c r="K97" s="46">
        <f>IF(K4="","",-K4/K76)</f>
        <v>14.478068572264055</v>
      </c>
      <c r="L97" s="46">
        <f>IF(L4="","",-L4/L76)</f>
        <v>294.13862081066856</v>
      </c>
      <c r="M97" s="46" t="str">
        <f>IF(M4="","",-M4/M76)</f>
        <v/>
      </c>
      <c r="N97" s="46" t="str">
        <f>IF(N4="","",-N4/N76)</f>
        <v/>
      </c>
      <c r="O97" s="46" t="str">
        <f>IF(O4="","",-O4/O76)</f>
        <v/>
      </c>
      <c r="P97" s="46" t="str">
        <f>IF(P4="","",-P4/P76)</f>
        <v/>
      </c>
      <c r="Q97" s="46" t="str">
        <f>IF(Q4="","",-Q4/Q76)</f>
        <v/>
      </c>
    </row>
    <row r="98" spans="1:17" ht="15.75" customHeight="1" x14ac:dyDescent="0.35">
      <c r="A98" s="12"/>
      <c r="B98" s="29" t="s">
        <v>178</v>
      </c>
      <c r="C98" s="26">
        <f>C90/C86</f>
        <v>0.70755390605610413</v>
      </c>
      <c r="G98" s="15">
        <f t="shared" ref="G98:Q98" si="35">IF(G90="","",G90/G86)</f>
        <v>0.82483722139225746</v>
      </c>
      <c r="H98" s="15">
        <f t="shared" si="35"/>
        <v>0.79353455577884058</v>
      </c>
      <c r="I98" s="15">
        <f t="shared" si="35"/>
        <v>0.80136309649021553</v>
      </c>
      <c r="J98" s="15">
        <f t="shared" si="35"/>
        <v>0.15625863437884552</v>
      </c>
      <c r="K98" s="15">
        <f t="shared" si="35"/>
        <v>1.1427418256633726E-2</v>
      </c>
      <c r="L98" s="15" t="e">
        <f t="shared" si="35"/>
        <v>#DIV/0!</v>
      </c>
      <c r="M98" s="15" t="str">
        <f t="shared" si="35"/>
        <v/>
      </c>
      <c r="N98" s="15" t="str">
        <f t="shared" si="35"/>
        <v/>
      </c>
      <c r="O98" s="15" t="str">
        <f t="shared" si="35"/>
        <v/>
      </c>
      <c r="P98" s="15" t="str">
        <f t="shared" si="35"/>
        <v/>
      </c>
      <c r="Q98" s="15" t="str">
        <f t="shared" si="35"/>
        <v/>
      </c>
    </row>
    <row r="99" spans="1:17" ht="15.75" customHeight="1" x14ac:dyDescent="0.35">
      <c r="A99" s="12"/>
    </row>
    <row r="100" spans="1:17" ht="15.75" customHeight="1" x14ac:dyDescent="0.35">
      <c r="A100" s="12"/>
      <c r="B100" s="121" t="s">
        <v>56</v>
      </c>
      <c r="C100" s="62"/>
      <c r="D100" s="62"/>
      <c r="E100" s="62"/>
      <c r="F100" s="62"/>
      <c r="G100" s="26" t="str">
        <f>IFERROR(IF(#REF!*G102*(1/G98)=G104,"","Error"),"")</f>
        <v/>
      </c>
      <c r="H100" s="26" t="str">
        <f>IFERROR(IF(#REF!*H102*(1/H98)=H104,"","Error"),"")</f>
        <v/>
      </c>
      <c r="I100" s="26" t="str">
        <f>IFERROR(IF(#REF!*I102*(1/I98)=I104,"","Error"),"")</f>
        <v/>
      </c>
      <c r="J100" s="26" t="str">
        <f>IFERROR(IF(#REF!*J102*(1/J98)=J104,"","Error"),"")</f>
        <v/>
      </c>
      <c r="K100" s="26" t="str">
        <f>IFERROR(IF(#REF!*K102*(1/K98)=K104,"","Error"),"")</f>
        <v/>
      </c>
      <c r="L100" s="26" t="str">
        <f>IFERROR(IF(#REF!*L102*(1/L98)=L104,"","Error"),"")</f>
        <v/>
      </c>
      <c r="M100" s="26" t="str">
        <f>IFERROR(IF(#REF!*M102*(1/M98)=M104,"","Error"),"")</f>
        <v/>
      </c>
      <c r="N100" s="26" t="str">
        <f>IFERROR(IF(#REF!*N102*(1/N98)=N104,"","Error"),"")</f>
        <v/>
      </c>
      <c r="O100" s="26" t="str">
        <f>IFERROR(IF(#REF!*O102*(1/O98)=O104,"","Error"),"")</f>
        <v/>
      </c>
      <c r="P100" s="26" t="str">
        <f>IFERROR(IF(#REF!*P102*(1/P98)=P104,"","Error"),"")</f>
        <v/>
      </c>
      <c r="Q100" s="26" t="str">
        <f>IFERROR(IF(#REF!*Q102*(1/Q98)=Q104,"","Error"),"")</f>
        <v/>
      </c>
    </row>
    <row r="101" spans="1:17" ht="15.75" customHeight="1" x14ac:dyDescent="0.35">
      <c r="A101" s="12"/>
      <c r="B101" s="9" t="s">
        <v>181</v>
      </c>
      <c r="C101" s="26">
        <f>C25</f>
        <v>0.12066223444162816</v>
      </c>
      <c r="G101" s="26">
        <f>G25</f>
        <v>9.1006227659319192E-2</v>
      </c>
      <c r="H101" s="26">
        <f>H25</f>
        <v>0.44152520707159415</v>
      </c>
      <c r="I101" s="26">
        <f>I25</f>
        <v>0.17089934738094661</v>
      </c>
      <c r="J101" s="26">
        <f>J25</f>
        <v>0.10822613883324314</v>
      </c>
      <c r="K101" s="26">
        <f>K25</f>
        <v>7.265502119462447E-2</v>
      </c>
      <c r="L101" s="26">
        <f>L25</f>
        <v>2.1714542061783836E-3</v>
      </c>
      <c r="M101" s="26" t="str">
        <f>M25</f>
        <v/>
      </c>
      <c r="N101" s="26" t="str">
        <f>N25</f>
        <v/>
      </c>
      <c r="O101" s="26" t="str">
        <f>O25</f>
        <v/>
      </c>
      <c r="P101" s="26" t="str">
        <f>P25</f>
        <v/>
      </c>
      <c r="Q101" s="26" t="str">
        <f>Q25</f>
        <v/>
      </c>
    </row>
    <row r="102" spans="1:17" ht="15.75" customHeight="1" x14ac:dyDescent="0.35">
      <c r="B102" s="9" t="s">
        <v>169</v>
      </c>
      <c r="C102" s="46">
        <f>C4/C86</f>
        <v>8.5430436720819486E-2</v>
      </c>
      <c r="G102" s="46">
        <f>IF(G4="","",G4/G86)</f>
        <v>0.2407186154098081</v>
      </c>
      <c r="H102" s="46">
        <f>IF(H4="","",H4/H86)</f>
        <v>0.44945057939691702</v>
      </c>
      <c r="I102" s="46">
        <f>IF(I4="","",I4/I86)</f>
        <v>0.35011446541691255</v>
      </c>
      <c r="J102" s="46">
        <f>IF(J4="","",J4/J86)</f>
        <v>0.44024276988690408</v>
      </c>
      <c r="K102" s="46">
        <f>IF(K4="","",K4/K86)</f>
        <v>0.32493162417001503</v>
      </c>
      <c r="L102" s="46" t="e">
        <f>IF(L4="","",L4/L86)</f>
        <v>#DIV/0!</v>
      </c>
      <c r="M102" s="46" t="str">
        <f>IF(M4="","",M4/M86)</f>
        <v/>
      </c>
      <c r="N102" s="46" t="str">
        <f>IF(N4="","",N4/N86)</f>
        <v/>
      </c>
      <c r="O102" s="46" t="str">
        <f>IF(O4="","",O4/O86)</f>
        <v/>
      </c>
      <c r="P102" s="46" t="str">
        <f>IF(P4="","",P4/P86)</f>
        <v/>
      </c>
      <c r="Q102" s="46" t="str">
        <f>IF(Q4="","",Q4/Q86)</f>
        <v/>
      </c>
    </row>
    <row r="103" spans="1:17" ht="15.75" customHeight="1" x14ac:dyDescent="0.35">
      <c r="B103" s="9" t="s">
        <v>182</v>
      </c>
      <c r="C103" s="17">
        <f>C86/C90</f>
        <v>1.4133198777376361</v>
      </c>
      <c r="D103" s="13"/>
      <c r="E103" s="13"/>
      <c r="F103" s="13"/>
      <c r="G103" s="17">
        <f t="shared" ref="G103:Q103" si="36">IF(G$4="","",G86/G90)</f>
        <v>1.2123604198075375</v>
      </c>
      <c r="H103" s="17">
        <f t="shared" si="36"/>
        <v>1.2601845662770377</v>
      </c>
      <c r="I103" s="17">
        <f t="shared" si="36"/>
        <v>1.2478737845300938</v>
      </c>
      <c r="J103" s="17">
        <f t="shared" si="36"/>
        <v>6.3996463553848981</v>
      </c>
      <c r="K103" s="17">
        <f t="shared" si="36"/>
        <v>87.508829863603736</v>
      </c>
      <c r="L103" s="17" t="e">
        <f t="shared" si="36"/>
        <v>#DIV/0!</v>
      </c>
      <c r="M103" s="17" t="str">
        <f t="shared" si="36"/>
        <v/>
      </c>
      <c r="N103" s="17" t="str">
        <f t="shared" si="36"/>
        <v/>
      </c>
      <c r="O103" s="17" t="str">
        <f t="shared" si="36"/>
        <v/>
      </c>
      <c r="P103" s="17" t="str">
        <f t="shared" si="36"/>
        <v/>
      </c>
      <c r="Q103" s="17" t="str">
        <f t="shared" si="36"/>
        <v/>
      </c>
    </row>
    <row r="104" spans="1:17" ht="15.75" customHeight="1" x14ac:dyDescent="0.35">
      <c r="A104" s="12"/>
      <c r="B104" s="91" t="s">
        <v>57</v>
      </c>
      <c r="C104" s="140">
        <f>C10/C90</f>
        <v>1.456882266612889E-2</v>
      </c>
      <c r="D104" s="141"/>
      <c r="E104" s="141"/>
      <c r="F104" s="141"/>
      <c r="G104" s="140">
        <f>IF(G$4="","",G10/G90)</f>
        <v>2.6559050134575719E-2</v>
      </c>
      <c r="H104" s="140">
        <f>IF(H$4="","",H10/H90)</f>
        <v>0.25007576379821622</v>
      </c>
      <c r="I104" s="140">
        <f>IF(I$4="","",I10/I90)</f>
        <v>7.4665696374639476E-2</v>
      </c>
      <c r="J104" s="140">
        <f>IF(J$4="","",J10/J90)</f>
        <v>-0.30491611118650563</v>
      </c>
      <c r="K104" s="140">
        <f>IF(K$4="","",K10/K90)</f>
        <v>-2.0659009332376166</v>
      </c>
      <c r="L104" s="140" t="e">
        <f>IF(L$4="","",L10/L90)</f>
        <v>#DIV/0!</v>
      </c>
      <c r="M104" s="140" t="str">
        <f>IF(M$4="","",M10/M90)</f>
        <v/>
      </c>
      <c r="N104" s="140" t="str">
        <f>IF(N$4="","",N10/N90)</f>
        <v/>
      </c>
      <c r="O104" s="140" t="str">
        <f>IF(O$4="","",O10/O90)</f>
        <v/>
      </c>
      <c r="P104" s="140" t="str">
        <f>IF(P$4="","",P10/P90)</f>
        <v/>
      </c>
      <c r="Q104" s="140" t="str">
        <f>IF(Q$4="","",Q10/Q90)</f>
        <v/>
      </c>
    </row>
    <row r="105" spans="1:17" ht="15.75" customHeight="1" x14ac:dyDescent="0.35">
      <c r="A105" s="12"/>
    </row>
    <row r="106" spans="1:17" ht="15.75" customHeight="1" x14ac:dyDescent="0.5">
      <c r="A106" s="12"/>
      <c r="B106" s="61" t="s">
        <v>200</v>
      </c>
      <c r="C106" s="61"/>
      <c r="D106" s="63"/>
      <c r="E106" s="81" t="s">
        <v>127</v>
      </c>
      <c r="F106" s="63"/>
      <c r="G106" s="40"/>
      <c r="H106" s="40"/>
      <c r="I106" s="40"/>
      <c r="J106" s="40"/>
      <c r="K106" s="40"/>
      <c r="L106" s="40"/>
      <c r="M106" s="40"/>
      <c r="N106" s="40"/>
      <c r="O106" s="40"/>
      <c r="P106" s="40"/>
      <c r="Q106" s="40"/>
    </row>
    <row r="107" spans="1:17" ht="15.75" customHeight="1" x14ac:dyDescent="0.35">
      <c r="A107" s="12"/>
      <c r="B107" s="78" t="s">
        <v>198</v>
      </c>
    </row>
    <row r="108" spans="1:17" ht="15.75" customHeight="1" x14ac:dyDescent="0.35">
      <c r="A108" s="12"/>
      <c r="B108" s="2" t="s">
        <v>54</v>
      </c>
      <c r="C108" s="157">
        <f>G108</f>
        <v>5.4800000000000001E-2</v>
      </c>
      <c r="G108" s="156">
        <f>Data!C63</f>
        <v>5.4800000000000001E-2</v>
      </c>
      <c r="H108" s="156">
        <f>Data!D63</f>
        <v>9.5200000000000007E-2</v>
      </c>
      <c r="I108" s="156">
        <f>Data!E63</f>
        <v>0</v>
      </c>
      <c r="J108" s="156">
        <f>Data!F63</f>
        <v>0</v>
      </c>
      <c r="K108" s="156">
        <f>Data!G63</f>
        <v>0</v>
      </c>
      <c r="L108" s="156">
        <f>Data!H63</f>
        <v>0</v>
      </c>
      <c r="M108" s="156" t="str">
        <f>Data!I63</f>
        <v/>
      </c>
      <c r="N108" s="156" t="str">
        <f>Data!J63</f>
        <v/>
      </c>
      <c r="O108" s="156" t="str">
        <f>Data!K63</f>
        <v/>
      </c>
      <c r="P108" s="156" t="str">
        <f>Data!L63</f>
        <v/>
      </c>
      <c r="Q108" s="156" t="str">
        <f>Data!M63</f>
        <v/>
      </c>
    </row>
    <row r="109" spans="1:17" ht="15.75" customHeight="1" x14ac:dyDescent="0.35">
      <c r="A109" s="12"/>
      <c r="B109" s="2" t="s">
        <v>198</v>
      </c>
      <c r="C109" s="96">
        <f>C108*Common_Shares/$C$3</f>
        <v>399273.64611199999</v>
      </c>
      <c r="G109" s="96">
        <f t="shared" ref="G109:Q109" si="37">IF(G$4="","",G108*Common_Shares/$C$3)</f>
        <v>399273.64611199999</v>
      </c>
      <c r="H109" s="96">
        <f t="shared" si="37"/>
        <v>693628.669888</v>
      </c>
      <c r="I109" s="96">
        <f t="shared" si="37"/>
        <v>0</v>
      </c>
      <c r="J109" s="96">
        <f t="shared" si="37"/>
        <v>0</v>
      </c>
      <c r="K109" s="96">
        <f t="shared" si="37"/>
        <v>0</v>
      </c>
      <c r="L109" s="96">
        <f t="shared" si="37"/>
        <v>0</v>
      </c>
      <c r="M109" s="96" t="str">
        <f t="shared" si="37"/>
        <v/>
      </c>
      <c r="N109" s="96" t="str">
        <f t="shared" si="37"/>
        <v/>
      </c>
      <c r="O109" s="96" t="str">
        <f t="shared" si="37"/>
        <v/>
      </c>
      <c r="P109" s="96" t="str">
        <f t="shared" si="37"/>
        <v/>
      </c>
      <c r="Q109" s="96" t="str">
        <f t="shared" si="37"/>
        <v/>
      </c>
    </row>
    <row r="110" spans="1:17" ht="15.75" customHeight="1" x14ac:dyDescent="0.35">
      <c r="A110" s="12"/>
      <c r="B110" s="2" t="s">
        <v>201</v>
      </c>
      <c r="C110" s="26">
        <f>C108/(C19*$C$3/Common_Shares)</f>
        <v>1.9592604979639838</v>
      </c>
      <c r="G110" s="226">
        <f>IF(G$4="","",G108/(G19*$C$3/Common_Shares))</f>
        <v>0.94117924156642552</v>
      </c>
      <c r="H110" s="226">
        <f>IF(H$4="","",H108/(H19*$C$3/Common_Shares))</f>
        <v>0.74196549605980833</v>
      </c>
      <c r="I110" s="226">
        <f>IF(I$4="","",I108/(I19*$C$3/Common_Shares))</f>
        <v>0</v>
      </c>
      <c r="J110" s="226">
        <f>IF(J$4="","",J108/(J19*$C$3/Common_Shares))</f>
        <v>0</v>
      </c>
      <c r="K110" s="226" t="e">
        <f>IF(K$4="","",K108/(K19*$C$3/Common_Shares))</f>
        <v>#DIV/0!</v>
      </c>
      <c r="L110" s="226" t="e">
        <f>IF(L$4="","",L108/(L19*$C$3/Common_Shares))</f>
        <v>#DIV/0!</v>
      </c>
      <c r="M110" s="226" t="str">
        <f>IF(M$4="","",M108/(M19*$C$3/Common_Shares))</f>
        <v/>
      </c>
      <c r="N110" s="226" t="str">
        <f>IF(N$4="","",N108/(N19*$C$3/Common_Shares))</f>
        <v/>
      </c>
      <c r="O110" s="226" t="str">
        <f>IF(O$4="","",O108/(O19*$C$3/Common_Shares))</f>
        <v/>
      </c>
      <c r="P110" s="226" t="str">
        <f>IF(P$4="","",P108/(P19*$C$3/Common_Shares))</f>
        <v/>
      </c>
      <c r="Q110" s="226" t="str">
        <f>IF(Q$4="","",Q108/(Q19*$C$3/Common_Shares))</f>
        <v/>
      </c>
    </row>
    <row r="111" spans="1:17" ht="15.75" customHeight="1" x14ac:dyDescent="0.35">
      <c r="A111" s="12"/>
    </row>
    <row r="112" spans="1:17" ht="15.75" customHeight="1" x14ac:dyDescent="0.35">
      <c r="A112" s="12"/>
    </row>
    <row r="113" spans="1:1" ht="15.75" customHeight="1" x14ac:dyDescent="0.35">
      <c r="A113" s="12"/>
    </row>
    <row r="114" spans="1:1" ht="15.75" customHeight="1" x14ac:dyDescent="0.35">
      <c r="A114" s="12"/>
    </row>
    <row r="115" spans="1:1" ht="15.75" customHeight="1" x14ac:dyDescent="0.35">
      <c r="A115" s="12"/>
    </row>
    <row r="116" spans="1:1" ht="15.75" customHeight="1" x14ac:dyDescent="0.35">
      <c r="A116" s="12"/>
    </row>
    <row r="117" spans="1:1" ht="15.75" customHeight="1" x14ac:dyDescent="0.35">
      <c r="A117" s="12"/>
    </row>
    <row r="118" spans="1:1" ht="15.75" customHeight="1" x14ac:dyDescent="0.35">
      <c r="A118" s="12"/>
    </row>
    <row r="119" spans="1:1" ht="15.75" customHeight="1" x14ac:dyDescent="0.35">
      <c r="A119" s="12"/>
    </row>
    <row r="120" spans="1:1" ht="15.75" customHeight="1" x14ac:dyDescent="0.35">
      <c r="A120" s="12"/>
    </row>
    <row r="121" spans="1:1" ht="15.75" customHeight="1" x14ac:dyDescent="0.35">
      <c r="A121" s="12"/>
    </row>
    <row r="122" spans="1:1" ht="15.75" customHeight="1" x14ac:dyDescent="0.35">
      <c r="A122" s="12"/>
    </row>
    <row r="123" spans="1:1" ht="15.75" customHeight="1" x14ac:dyDescent="0.35">
      <c r="A123" s="12"/>
    </row>
    <row r="124" spans="1:1" ht="15.75" customHeight="1" x14ac:dyDescent="0.35">
      <c r="A124" s="12"/>
    </row>
    <row r="125" spans="1:1" ht="15.75" customHeight="1" x14ac:dyDescent="0.35">
      <c r="A125" s="12"/>
    </row>
    <row r="126" spans="1:1" ht="15.75" customHeight="1" x14ac:dyDescent="0.35">
      <c r="A126" s="12"/>
    </row>
    <row r="127" spans="1:1" ht="15.75" customHeight="1" x14ac:dyDescent="0.35">
      <c r="A127" s="12"/>
    </row>
    <row r="128" spans="1:1" ht="15.75" customHeight="1" x14ac:dyDescent="0.35">
      <c r="A128" s="12"/>
    </row>
    <row r="129" spans="1:1" ht="15.75" customHeight="1" x14ac:dyDescent="0.35">
      <c r="A129" s="12"/>
    </row>
    <row r="130" spans="1:1" ht="15.75" customHeight="1" x14ac:dyDescent="0.35">
      <c r="A130" s="12"/>
    </row>
    <row r="131" spans="1:1" ht="15.75" customHeight="1" x14ac:dyDescent="0.35">
      <c r="A131" s="12"/>
    </row>
    <row r="132" spans="1:1" ht="15.75" customHeight="1" x14ac:dyDescent="0.35">
      <c r="A132" s="12"/>
    </row>
    <row r="133" spans="1:1" ht="15.75" customHeight="1" x14ac:dyDescent="0.35">
      <c r="A133" s="12"/>
    </row>
    <row r="134" spans="1:1" ht="15.75" customHeight="1" x14ac:dyDescent="0.35">
      <c r="A134" s="12"/>
    </row>
    <row r="135" spans="1:1" ht="15.75" customHeight="1" x14ac:dyDescent="0.35">
      <c r="A135" s="12"/>
    </row>
    <row r="136" spans="1:1" ht="15.75" customHeight="1" x14ac:dyDescent="0.35">
      <c r="A136" s="12"/>
    </row>
    <row r="137" spans="1:1" ht="15.75" customHeight="1" x14ac:dyDescent="0.35"/>
    <row r="138" spans="1:1" ht="15.75" customHeight="1" x14ac:dyDescent="0.35"/>
    <row r="139" spans="1:1" ht="15.75" customHeight="1" x14ac:dyDescent="0.35"/>
    <row r="140" spans="1:1" ht="15.75" customHeight="1" x14ac:dyDescent="0.35"/>
    <row r="141" spans="1:1" ht="15.75" customHeight="1" x14ac:dyDescent="0.35"/>
    <row r="142" spans="1:1" ht="15.75" customHeight="1" x14ac:dyDescent="0.35"/>
    <row r="143" spans="1:1" ht="15.75" customHeight="1" x14ac:dyDescent="0.35"/>
    <row r="144" spans="1:1"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sheetData>
  <phoneticPr fontId="2" type="noConversion"/>
  <conditionalFormatting sqref="G15:Q16 G47:Q48 G51:Q51 G4:Q13">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49"/>
  <sheetViews>
    <sheetView showGridLines="0" topLeftCell="A7" zoomScaleNormal="100" workbookViewId="0">
      <selection activeCell="I31" sqref="I31"/>
    </sheetView>
  </sheetViews>
  <sheetFormatPr defaultColWidth="12.33203125" defaultRowHeight="15" customHeight="1" x14ac:dyDescent="0.35"/>
  <cols>
    <col min="1" max="1" width="2.33203125" style="1" customWidth="1"/>
    <col min="2" max="2" width="33.9296875" style="1" bestFit="1" customWidth="1"/>
    <col min="3" max="4" width="18.6640625" style="1" customWidth="1"/>
    <col min="5" max="5" width="5.59765625" style="1" customWidth="1"/>
    <col min="6" max="6" width="25.3984375" style="1" bestFit="1" customWidth="1"/>
    <col min="7" max="8" width="18.6640625" style="1" customWidth="1"/>
    <col min="9" max="16384" width="12.33203125" style="1"/>
  </cols>
  <sheetData>
    <row r="1" spans="2:8" ht="15" customHeight="1" x14ac:dyDescent="0.35">
      <c r="B1" s="21" t="s">
        <v>55</v>
      </c>
      <c r="C1" s="136">
        <v>45473</v>
      </c>
      <c r="F1" s="115" t="str">
        <f>IF(MONTH(C1)=MONTH(Normalized_FCF!G1),"FY","Quarter")&amp;" Report"</f>
        <v>Quarter Report</v>
      </c>
      <c r="H1" s="4"/>
    </row>
    <row r="2" spans="2:8" ht="15" customHeight="1" x14ac:dyDescent="0.35">
      <c r="B2" s="105" t="s">
        <v>299</v>
      </c>
      <c r="C2" s="40"/>
      <c r="D2" s="40"/>
      <c r="E2" s="40"/>
      <c r="F2" s="40"/>
      <c r="G2" s="40"/>
      <c r="H2" s="40"/>
    </row>
    <row r="3" spans="2:8" ht="15" customHeight="1" x14ac:dyDescent="0.35">
      <c r="B3" s="18" t="s">
        <v>40</v>
      </c>
      <c r="C3" s="146">
        <f>Data!C3</f>
        <v>1000</v>
      </c>
      <c r="D3" s="114" t="s">
        <v>45</v>
      </c>
      <c r="F3" s="18" t="s">
        <v>142</v>
      </c>
      <c r="G3" s="7"/>
      <c r="H3" s="114" t="s">
        <v>45</v>
      </c>
    </row>
    <row r="4" spans="2:8" ht="15" customHeight="1" x14ac:dyDescent="0.35">
      <c r="B4" s="5" t="s">
        <v>32</v>
      </c>
      <c r="C4" s="22">
        <v>649112</v>
      </c>
      <c r="D4" s="109">
        <v>0.6</v>
      </c>
      <c r="E4" s="28"/>
      <c r="F4" s="5" t="s">
        <v>156</v>
      </c>
      <c r="G4" s="22">
        <v>4022618</v>
      </c>
      <c r="H4" s="109">
        <v>0.9</v>
      </c>
    </row>
    <row r="5" spans="2:8" ht="15" customHeight="1" x14ac:dyDescent="0.35">
      <c r="B5" s="1" t="s">
        <v>42</v>
      </c>
      <c r="C5" s="22">
        <v>0</v>
      </c>
      <c r="D5" s="109">
        <v>0.6</v>
      </c>
      <c r="E5" s="28"/>
      <c r="F5" s="1" t="s">
        <v>38</v>
      </c>
      <c r="G5" s="22">
        <v>0</v>
      </c>
      <c r="H5" s="109">
        <v>0.8</v>
      </c>
    </row>
    <row r="6" spans="2:8" ht="15" customHeight="1" x14ac:dyDescent="0.35">
      <c r="B6" s="5" t="s">
        <v>33</v>
      </c>
      <c r="C6" s="22">
        <v>0</v>
      </c>
      <c r="D6" s="109">
        <v>0.1</v>
      </c>
      <c r="E6" s="28"/>
      <c r="F6" s="5" t="s">
        <v>329</v>
      </c>
      <c r="G6" s="22">
        <v>0</v>
      </c>
      <c r="H6" s="109">
        <v>0.7</v>
      </c>
    </row>
    <row r="7" spans="2:8" ht="15" customHeight="1" x14ac:dyDescent="0.35">
      <c r="B7" s="5" t="s">
        <v>11</v>
      </c>
      <c r="C7" s="22">
        <v>0</v>
      </c>
      <c r="D7" s="109">
        <v>0.5</v>
      </c>
      <c r="E7" s="28"/>
      <c r="F7" s="5" t="s">
        <v>327</v>
      </c>
      <c r="G7" s="22">
        <v>171402</v>
      </c>
      <c r="H7" s="109">
        <v>0.6</v>
      </c>
    </row>
    <row r="8" spans="2:8" ht="15" customHeight="1" x14ac:dyDescent="0.35">
      <c r="B8" s="1" t="s">
        <v>147</v>
      </c>
      <c r="C8" s="22">
        <v>0</v>
      </c>
      <c r="D8" s="109">
        <v>0.6</v>
      </c>
      <c r="E8" s="28"/>
      <c r="F8" s="1" t="s">
        <v>141</v>
      </c>
      <c r="G8" s="22">
        <v>0</v>
      </c>
      <c r="H8" s="109">
        <v>0.6</v>
      </c>
    </row>
    <row r="9" spans="2:8" ht="15" customHeight="1" x14ac:dyDescent="0.35">
      <c r="B9" s="5" t="s">
        <v>13</v>
      </c>
      <c r="C9" s="22">
        <v>0</v>
      </c>
      <c r="D9" s="109">
        <v>0.9</v>
      </c>
      <c r="E9" s="28"/>
      <c r="F9" s="5" t="s">
        <v>35</v>
      </c>
      <c r="G9" s="22">
        <v>0</v>
      </c>
      <c r="H9" s="109">
        <v>0.6</v>
      </c>
    </row>
    <row r="10" spans="2:8" ht="15" customHeight="1" x14ac:dyDescent="0.35">
      <c r="B10" s="5" t="s">
        <v>14</v>
      </c>
      <c r="C10" s="22">
        <v>0</v>
      </c>
      <c r="D10" s="109">
        <v>0.05</v>
      </c>
      <c r="F10" s="107" t="s">
        <v>143</v>
      </c>
      <c r="G10" s="108">
        <f>SUM(G4:G9)</f>
        <v>4194020</v>
      </c>
      <c r="H10" s="23">
        <f>G4*H4+G5*H5+G6*H6+G7*H7+G8*H8+G9*H9</f>
        <v>3723197.4000000004</v>
      </c>
    </row>
    <row r="11" spans="2:8" ht="15" customHeight="1" x14ac:dyDescent="0.35">
      <c r="B11" s="107" t="s">
        <v>145</v>
      </c>
      <c r="C11" s="108">
        <f>SUM(C4:C10)</f>
        <v>649112</v>
      </c>
      <c r="D11" s="23">
        <f>C4*D4+C5*D5+C6*D6+C7*D7+C8*D8+C9*D9+C10*D10</f>
        <v>389467.2</v>
      </c>
      <c r="F11" s="5" t="s">
        <v>157</v>
      </c>
      <c r="G11" s="22">
        <v>0</v>
      </c>
      <c r="H11" s="109">
        <v>0.8</v>
      </c>
    </row>
    <row r="12" spans="2:8" ht="15" customHeight="1" x14ac:dyDescent="0.35">
      <c r="B12" s="5" t="s">
        <v>146</v>
      </c>
      <c r="C12" s="22">
        <v>103165</v>
      </c>
      <c r="D12" s="109">
        <v>0.4</v>
      </c>
      <c r="F12" s="5" t="s">
        <v>330</v>
      </c>
      <c r="G12" s="22">
        <f>2479179+572769</f>
        <v>3051948</v>
      </c>
      <c r="H12" s="109">
        <v>0.7</v>
      </c>
    </row>
    <row r="13" spans="2:8" ht="15" customHeight="1" x14ac:dyDescent="0.35">
      <c r="B13" s="1" t="s">
        <v>43</v>
      </c>
      <c r="C13" s="22">
        <v>0</v>
      </c>
      <c r="D13" s="109">
        <v>0.5</v>
      </c>
      <c r="F13" s="5" t="s">
        <v>328</v>
      </c>
      <c r="G13" s="22">
        <f>4626423-G12</f>
        <v>1574475</v>
      </c>
      <c r="H13" s="109">
        <v>0.6</v>
      </c>
    </row>
    <row r="14" spans="2:8" ht="15" customHeight="1" x14ac:dyDescent="0.35">
      <c r="B14" s="5" t="s">
        <v>302</v>
      </c>
      <c r="C14" s="22">
        <v>875642</v>
      </c>
      <c r="D14" s="109">
        <v>0.6</v>
      </c>
      <c r="F14" s="5" t="s">
        <v>303</v>
      </c>
      <c r="G14" s="22">
        <v>781196</v>
      </c>
      <c r="H14" s="109">
        <v>0.1</v>
      </c>
    </row>
    <row r="15" spans="2:8" ht="15" customHeight="1" x14ac:dyDescent="0.35">
      <c r="B15" s="5" t="s">
        <v>34</v>
      </c>
      <c r="C15" s="22">
        <v>2545809</v>
      </c>
      <c r="D15" s="109">
        <v>0.1</v>
      </c>
      <c r="F15" s="5" t="s">
        <v>21</v>
      </c>
      <c r="G15" s="22">
        <v>0</v>
      </c>
      <c r="H15" s="109">
        <v>0.2</v>
      </c>
    </row>
    <row r="16" spans="2:8" ht="15" customHeight="1" x14ac:dyDescent="0.35">
      <c r="B16" s="5" t="s">
        <v>22</v>
      </c>
      <c r="C16" s="22">
        <v>0</v>
      </c>
      <c r="D16" s="109">
        <v>0.05</v>
      </c>
      <c r="F16" s="1" t="s">
        <v>12</v>
      </c>
      <c r="G16" s="22">
        <v>0</v>
      </c>
      <c r="H16" s="109">
        <v>0.1</v>
      </c>
    </row>
    <row r="17" spans="2:8" ht="15" customHeight="1" x14ac:dyDescent="0.35">
      <c r="B17" s="5" t="s">
        <v>23</v>
      </c>
      <c r="C17" s="22">
        <v>0</v>
      </c>
      <c r="D17" s="109">
        <v>0.05</v>
      </c>
      <c r="F17" s="107" t="s">
        <v>144</v>
      </c>
      <c r="G17" s="108">
        <f>SUM(G11:G16)</f>
        <v>5407619</v>
      </c>
      <c r="H17" s="23">
        <f>G11*H11+G12*H12+G13*H13+G14*H14+G15*H15+G16*H16</f>
        <v>3159168.2</v>
      </c>
    </row>
    <row r="18" spans="2:8" ht="15" customHeight="1" x14ac:dyDescent="0.35">
      <c r="B18" s="5" t="s">
        <v>24</v>
      </c>
      <c r="C18" s="22">
        <v>23095</v>
      </c>
      <c r="D18" s="109">
        <v>0.9</v>
      </c>
    </row>
    <row r="19" spans="2:8" ht="15" customHeight="1" x14ac:dyDescent="0.35">
      <c r="B19" s="5" t="s">
        <v>25</v>
      </c>
      <c r="C19" s="22">
        <v>553636</v>
      </c>
      <c r="D19" s="109">
        <v>0</v>
      </c>
      <c r="F19" s="52" t="s">
        <v>40</v>
      </c>
      <c r="G19" s="108">
        <f>C11+C20</f>
        <v>4750459</v>
      </c>
      <c r="H19" s="23">
        <f>D11+D20</f>
        <v>1231484.8</v>
      </c>
    </row>
    <row r="20" spans="2:8" ht="15" customHeight="1" x14ac:dyDescent="0.35">
      <c r="B20" s="107" t="s">
        <v>148</v>
      </c>
      <c r="C20" s="108">
        <f>SUM(C12:C19)</f>
        <v>4101347</v>
      </c>
      <c r="D20" s="23">
        <f>C12*D12+C13*D13+C14*D14+C15*D15+C16*D16+C17*D17+C18*D18+C19*D19</f>
        <v>842017.6</v>
      </c>
      <c r="F20" s="52" t="s">
        <v>263</v>
      </c>
      <c r="G20" s="108">
        <f>G10+G17</f>
        <v>9601639</v>
      </c>
      <c r="H20" s="23">
        <f>H10+H17</f>
        <v>6882365.6000000006</v>
      </c>
    </row>
    <row r="22" spans="2:8" ht="15" customHeight="1" x14ac:dyDescent="0.35">
      <c r="B22" s="18" t="s">
        <v>63</v>
      </c>
      <c r="G22" s="205" t="s">
        <v>261</v>
      </c>
      <c r="H22" s="205" t="s">
        <v>262</v>
      </c>
    </row>
    <row r="23" spans="2:8" ht="15" customHeight="1" x14ac:dyDescent="0.35">
      <c r="B23" s="5" t="s">
        <v>6</v>
      </c>
      <c r="C23" s="22">
        <v>30697</v>
      </c>
      <c r="F23" s="59" t="s">
        <v>149</v>
      </c>
      <c r="G23" s="108">
        <f>G19+G20</f>
        <v>14352098</v>
      </c>
      <c r="H23" s="23">
        <f>H19+H20</f>
        <v>8113850.4000000004</v>
      </c>
    </row>
    <row r="24" spans="2:8" ht="15" customHeight="1" x14ac:dyDescent="0.35">
      <c r="B24" s="5" t="s">
        <v>7</v>
      </c>
      <c r="C24" s="22">
        <v>143877</v>
      </c>
      <c r="F24" s="106" t="s">
        <v>155</v>
      </c>
      <c r="G24" s="23">
        <f>G4+G5+G11</f>
        <v>4022618</v>
      </c>
      <c r="H24" s="23"/>
    </row>
    <row r="25" spans="2:8" ht="15" customHeight="1" x14ac:dyDescent="0.35">
      <c r="B25" s="5" t="s">
        <v>8</v>
      </c>
      <c r="C25" s="22">
        <v>0</v>
      </c>
      <c r="F25" s="106" t="s">
        <v>331</v>
      </c>
      <c r="G25" s="23">
        <f>G6+G12</f>
        <v>3051948</v>
      </c>
    </row>
    <row r="26" spans="2:8" ht="15" customHeight="1" x14ac:dyDescent="0.35">
      <c r="B26" s="2" t="s">
        <v>9</v>
      </c>
      <c r="C26" s="22">
        <v>222396</v>
      </c>
      <c r="F26" s="106" t="s">
        <v>293</v>
      </c>
      <c r="G26" s="23">
        <f>G14</f>
        <v>781196</v>
      </c>
    </row>
    <row r="27" spans="2:8" ht="15" customHeight="1" x14ac:dyDescent="0.35">
      <c r="B27" s="107" t="s">
        <v>15</v>
      </c>
      <c r="C27" s="108">
        <f>SUM(C23:C26)</f>
        <v>396970</v>
      </c>
      <c r="F27" s="106" t="s">
        <v>294</v>
      </c>
      <c r="G27" s="23">
        <f>G15</f>
        <v>0</v>
      </c>
    </row>
    <row r="28" spans="2:8" ht="15" customHeight="1" x14ac:dyDescent="0.35">
      <c r="B28" s="5" t="s">
        <v>10</v>
      </c>
      <c r="C28" s="24">
        <f>C29-C27</f>
        <v>844275</v>
      </c>
      <c r="F28" s="106" t="s">
        <v>332</v>
      </c>
      <c r="G28" s="23">
        <f>G7+G13</f>
        <v>1745877</v>
      </c>
      <c r="H28" s="23">
        <f>G7*H7+G13*H13</f>
        <v>1047526.2</v>
      </c>
    </row>
    <row r="29" spans="2:8" ht="15" customHeight="1" x14ac:dyDescent="0.35">
      <c r="B29" s="110" t="s">
        <v>5</v>
      </c>
      <c r="C29" s="112">
        <v>1241245</v>
      </c>
      <c r="F29" s="106" t="s">
        <v>161</v>
      </c>
      <c r="G29" s="23">
        <f>SUM(C14:C17)+SUM(G15:G16)</f>
        <v>3421451</v>
      </c>
    </row>
    <row r="30" spans="2:8" ht="15" customHeight="1" x14ac:dyDescent="0.35">
      <c r="B30" s="5" t="s">
        <v>16</v>
      </c>
      <c r="C30" s="22">
        <v>1075543</v>
      </c>
      <c r="F30" s="3" t="s">
        <v>28</v>
      </c>
      <c r="G30" s="113">
        <f>C29+C36</f>
        <v>4197215</v>
      </c>
    </row>
    <row r="31" spans="2:8" ht="15" customHeight="1" x14ac:dyDescent="0.35">
      <c r="B31" s="5" t="s">
        <v>17</v>
      </c>
      <c r="C31" s="22">
        <v>1679438</v>
      </c>
      <c r="F31" s="106" t="s">
        <v>152</v>
      </c>
      <c r="G31" s="23">
        <f>C27+C34</f>
        <v>3241182</v>
      </c>
    </row>
    <row r="32" spans="2:8" ht="15" customHeight="1" x14ac:dyDescent="0.35">
      <c r="B32" s="5" t="s">
        <v>18</v>
      </c>
      <c r="C32" s="22">
        <v>0</v>
      </c>
      <c r="F32" s="3" t="s">
        <v>39</v>
      </c>
      <c r="G32" s="113">
        <f>G23-G30</f>
        <v>10154883</v>
      </c>
      <c r="H32" s="23">
        <f>H23-G30</f>
        <v>3916635.4000000004</v>
      </c>
    </row>
    <row r="33" spans="2:8" ht="15" customHeight="1" x14ac:dyDescent="0.35">
      <c r="B33" s="2" t="s">
        <v>19</v>
      </c>
      <c r="C33" s="22">
        <v>89231</v>
      </c>
      <c r="F33" s="111" t="s">
        <v>150</v>
      </c>
      <c r="G33" s="14">
        <v>99525</v>
      </c>
    </row>
    <row r="34" spans="2:8" ht="15" customHeight="1" x14ac:dyDescent="0.35">
      <c r="B34" s="107" t="s">
        <v>26</v>
      </c>
      <c r="C34" s="108">
        <f>SUM(C30:C33)</f>
        <v>2844212</v>
      </c>
      <c r="F34" s="106" t="s">
        <v>151</v>
      </c>
      <c r="G34" s="16">
        <f>G32-G33</f>
        <v>10055358</v>
      </c>
      <c r="H34" s="23">
        <f>H32-G33</f>
        <v>3817110.4000000004</v>
      </c>
    </row>
    <row r="35" spans="2:8" ht="15" customHeight="1" x14ac:dyDescent="0.35">
      <c r="B35" s="5" t="s">
        <v>20</v>
      </c>
      <c r="C35" s="24">
        <f>C36-C34</f>
        <v>111758</v>
      </c>
    </row>
    <row r="36" spans="2:8" ht="15" customHeight="1" x14ac:dyDescent="0.35">
      <c r="B36" s="110" t="s">
        <v>27</v>
      </c>
      <c r="C36" s="112">
        <v>2955970</v>
      </c>
    </row>
    <row r="38" spans="2:8" ht="15" customHeight="1" x14ac:dyDescent="0.35">
      <c r="B38" s="105" t="s">
        <v>187</v>
      </c>
      <c r="C38" s="40"/>
      <c r="D38" s="40"/>
      <c r="E38" s="40"/>
      <c r="F38" s="40"/>
      <c r="G38" s="40"/>
      <c r="H38" s="40"/>
    </row>
    <row r="39" spans="2:8" ht="15" customHeight="1" x14ac:dyDescent="0.35">
      <c r="B39" s="18" t="s">
        <v>314</v>
      </c>
      <c r="C39" s="205" t="s">
        <v>261</v>
      </c>
      <c r="D39" s="205" t="s">
        <v>262</v>
      </c>
    </row>
    <row r="40" spans="2:8" ht="15" customHeight="1" x14ac:dyDescent="0.35">
      <c r="B40" s="1" t="str">
        <f>"Equity per share ("&amp;Market_currency&amp;")"</f>
        <v>Equity per share (HKD)</v>
      </c>
      <c r="C40" s="192">
        <f>G34*C3/Common_Shares*Exchange_Rate</f>
        <v>1.4628955384151643</v>
      </c>
      <c r="D40" s="192">
        <f>H34*C3/Common_Shares*Exchange_Rate</f>
        <v>0.55532918607155746</v>
      </c>
    </row>
    <row r="42" spans="2:8" ht="15" customHeight="1" x14ac:dyDescent="0.35">
      <c r="B42" s="133" t="s">
        <v>268</v>
      </c>
      <c r="C42" s="134" t="s">
        <v>125</v>
      </c>
      <c r="D42" s="134" t="s">
        <v>186</v>
      </c>
      <c r="E42" s="2"/>
      <c r="F42" s="137" t="s">
        <v>127</v>
      </c>
    </row>
    <row r="43" spans="2:8" ht="15" customHeight="1" x14ac:dyDescent="0.35">
      <c r="B43" s="2" t="s">
        <v>177</v>
      </c>
      <c r="C43" s="116">
        <f>D43</f>
        <v>1.0514252578803554E-2</v>
      </c>
      <c r="D43" s="26">
        <f>Normalized_FCF!G8/BS!$G$29</f>
        <v>1.0514252578803554E-2</v>
      </c>
      <c r="F43" s="20" t="s">
        <v>162</v>
      </c>
    </row>
    <row r="44" spans="2:8" ht="15" customHeight="1" x14ac:dyDescent="0.35">
      <c r="B44" s="1" t="s">
        <v>183</v>
      </c>
      <c r="C44" s="135"/>
      <c r="D44" s="123">
        <f>G29/G23</f>
        <v>0.23839378744487391</v>
      </c>
    </row>
    <row r="45" spans="2:8" ht="15" customHeight="1" x14ac:dyDescent="0.35">
      <c r="B45" s="10" t="s">
        <v>184</v>
      </c>
      <c r="C45" s="135"/>
      <c r="D45" s="132">
        <f>BS!G31/Normalized_FCF!C10</f>
        <v>21.908065833758297</v>
      </c>
    </row>
    <row r="47" spans="2:8" ht="15" customHeight="1" x14ac:dyDescent="0.35">
      <c r="B47" s="133" t="s">
        <v>267</v>
      </c>
      <c r="C47" s="134" t="s">
        <v>125</v>
      </c>
      <c r="D47" s="134" t="s">
        <v>186</v>
      </c>
    </row>
    <row r="48" spans="2:8" ht="15" customHeight="1" x14ac:dyDescent="0.35">
      <c r="B48" s="1" t="s">
        <v>264</v>
      </c>
      <c r="C48" s="123">
        <f>Normalized_FCF!C10/G19</f>
        <v>3.1143241026243346E-2</v>
      </c>
      <c r="D48" s="123">
        <f>Normalized_FCF!G10/G19</f>
        <v>1.6925101342838662E-2</v>
      </c>
    </row>
    <row r="49" spans="2:4" ht="15" customHeight="1" x14ac:dyDescent="0.35">
      <c r="B49" s="1" t="s">
        <v>266</v>
      </c>
      <c r="C49" s="123">
        <f>Normalized_FCF!C11/G20</f>
        <v>1.3014847399382041E-2</v>
      </c>
      <c r="D49" s="123">
        <f>Normalized_FCF!G11/G20</f>
        <v>4.0131377570016953E-2</v>
      </c>
    </row>
  </sheetData>
  <phoneticPr fontId="2" type="noConversion"/>
  <pageMargins left="0.25" right="0.25" top="0.75" bottom="0.75" header="0.3" footer="0.3"/>
  <pageSetup scale="71"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H93"/>
  <sheetViews>
    <sheetView showGridLines="0" tabSelected="1" zoomScaleNormal="100" workbookViewId="0">
      <selection activeCell="D23" sqref="D23"/>
    </sheetView>
  </sheetViews>
  <sheetFormatPr defaultRowHeight="12.75" x14ac:dyDescent="0.35"/>
  <cols>
    <col min="1" max="1" width="6.19921875" customWidth="1"/>
    <col min="2" max="2" width="22.59765625" customWidth="1"/>
    <col min="3" max="6" width="20.59765625" customWidth="1"/>
    <col min="7" max="7" width="5.59765625" customWidth="1"/>
    <col min="8" max="8" width="56.796875" bestFit="1" customWidth="1"/>
  </cols>
  <sheetData>
    <row r="2" spans="2:8" ht="13.9" x14ac:dyDescent="0.45">
      <c r="B2" s="39" t="s">
        <v>210</v>
      </c>
      <c r="C2" s="40"/>
      <c r="D2" s="40"/>
      <c r="E2" s="40"/>
      <c r="F2" s="40"/>
      <c r="H2" s="174" t="s">
        <v>127</v>
      </c>
    </row>
    <row r="3" spans="2:8" ht="13.15" x14ac:dyDescent="0.4">
      <c r="B3" s="151" t="s">
        <v>310</v>
      </c>
      <c r="C3" s="146">
        <f>Normalized_FCF!C3</f>
        <v>1000</v>
      </c>
      <c r="E3" s="151" t="s">
        <v>239</v>
      </c>
      <c r="H3" s="164"/>
    </row>
    <row r="4" spans="2:8" x14ac:dyDescent="0.35">
      <c r="B4" s="138" t="s">
        <v>248</v>
      </c>
      <c r="C4" s="152">
        <f>Normalized_FCF!C19</f>
        <v>203787.93250153083</v>
      </c>
      <c r="D4" t="str">
        <f>Reporting_currency</f>
        <v>CNY</v>
      </c>
      <c r="E4" s="138" t="s">
        <v>244</v>
      </c>
      <c r="F4" s="178">
        <v>0</v>
      </c>
      <c r="H4" s="164"/>
    </row>
    <row r="5" spans="2:8" x14ac:dyDescent="0.35">
      <c r="B5" s="193" t="s">
        <v>236</v>
      </c>
      <c r="C5" s="178">
        <f>Thesis!C37</f>
        <v>0.1</v>
      </c>
      <c r="E5" s="193" t="s">
        <v>240</v>
      </c>
      <c r="H5" s="164"/>
    </row>
    <row r="6" spans="2:8" x14ac:dyDescent="0.35">
      <c r="B6" s="195" t="s">
        <v>235</v>
      </c>
      <c r="C6" s="179">
        <f>(C4*(1+Terminal_Growth))/(Equity_Cost-Terminal_Growth)</f>
        <v>2037879.3250153081</v>
      </c>
      <c r="E6" s="193" t="s">
        <v>245</v>
      </c>
      <c r="H6" s="164"/>
    </row>
    <row r="7" spans="2:8" x14ac:dyDescent="0.35">
      <c r="B7" s="193" t="s">
        <v>237</v>
      </c>
      <c r="C7" s="155">
        <f>BS!G31</f>
        <v>3241182</v>
      </c>
      <c r="H7" s="164"/>
    </row>
    <row r="8" spans="2:8" x14ac:dyDescent="0.35">
      <c r="B8" s="193" t="s">
        <v>333</v>
      </c>
      <c r="C8" s="155">
        <f>BS!H28</f>
        <v>1047526.2</v>
      </c>
      <c r="H8" s="164"/>
    </row>
    <row r="9" spans="2:8" x14ac:dyDescent="0.35">
      <c r="B9" s="195" t="s">
        <v>238</v>
      </c>
      <c r="C9" s="179">
        <f>C6-C7+C8</f>
        <v>-155776.47498469194</v>
      </c>
      <c r="D9" t="str">
        <f>Reporting_currency</f>
        <v>CNY</v>
      </c>
      <c r="H9" s="164"/>
    </row>
    <row r="10" spans="2:8" x14ac:dyDescent="0.35">
      <c r="B10" s="195" t="s">
        <v>315</v>
      </c>
      <c r="C10" s="231">
        <f>Exchange_Rate</f>
        <v>1.06</v>
      </c>
      <c r="H10" s="164"/>
    </row>
    <row r="11" spans="2:8" ht="13.15" x14ac:dyDescent="0.4">
      <c r="B11" s="194" t="s">
        <v>209</v>
      </c>
      <c r="C11" s="154">
        <f>(C9*C3)/Common_Shares*C10</f>
        <v>-2.2663013116504385E-2</v>
      </c>
      <c r="D11" t="str">
        <f>Market_currency</f>
        <v>HKD</v>
      </c>
      <c r="H11" s="164"/>
    </row>
    <row r="12" spans="2:8" x14ac:dyDescent="0.35">
      <c r="H12" s="164"/>
    </row>
    <row r="13" spans="2:8" ht="13.9" x14ac:dyDescent="0.45">
      <c r="B13" s="39" t="s">
        <v>189</v>
      </c>
      <c r="C13" s="40"/>
      <c r="D13" s="40"/>
      <c r="E13" s="40"/>
      <c r="F13" s="40"/>
      <c r="H13" s="164"/>
    </row>
    <row r="14" spans="2:8" ht="13.15" x14ac:dyDescent="0.35">
      <c r="B14" s="163" t="s">
        <v>255</v>
      </c>
      <c r="H14" s="164"/>
    </row>
    <row r="15" spans="2:8" ht="13.25" customHeight="1" x14ac:dyDescent="0.35">
      <c r="B15" s="198" t="s">
        <v>253</v>
      </c>
      <c r="C15" s="210">
        <f>Scenarios!C25</f>
        <v>0.17</v>
      </c>
      <c r="H15" s="164"/>
    </row>
    <row r="16" spans="2:8" ht="13.25" customHeight="1" x14ac:dyDescent="0.35">
      <c r="B16" s="162" t="s">
        <v>254</v>
      </c>
      <c r="C16" s="211">
        <f>Scenarios!C24</f>
        <v>15</v>
      </c>
      <c r="H16" s="164"/>
    </row>
    <row r="17" spans="2:8" ht="13.25" customHeight="1" x14ac:dyDescent="0.4">
      <c r="B17" s="199" t="s">
        <v>215</v>
      </c>
      <c r="C17" s="185">
        <f>(F51-C7)/Common_Shares*C3</f>
        <v>0.34543072506455197</v>
      </c>
      <c r="D17" t="str">
        <f>IF(ROUND(C17,1)=ROUND(Scenarios!C29,1),"equals Market Price","a Current Projection")</f>
        <v>a Current Projection</v>
      </c>
      <c r="H17" s="164"/>
    </row>
    <row r="18" spans="2:8" x14ac:dyDescent="0.35">
      <c r="H18" s="164"/>
    </row>
    <row r="19" spans="2:8" ht="13.15" x14ac:dyDescent="0.4">
      <c r="B19" s="172" t="s">
        <v>216</v>
      </c>
      <c r="C19" s="172" t="s">
        <v>217</v>
      </c>
      <c r="D19" s="172" t="s">
        <v>229</v>
      </c>
      <c r="E19" s="172" t="s">
        <v>218</v>
      </c>
      <c r="F19" s="173" t="s">
        <v>219</v>
      </c>
      <c r="H19" s="164"/>
    </row>
    <row r="20" spans="2:8" x14ac:dyDescent="0.35">
      <c r="B20" s="166">
        <v>1</v>
      </c>
      <c r="C20" s="167">
        <f>C4*(1+D20)</f>
        <v>238431.88102679106</v>
      </c>
      <c r="D20" s="183">
        <f>IF($C$16&lt;B20,0,Valuation_Model!$C$15)</f>
        <v>0.17</v>
      </c>
      <c r="E20" s="168">
        <f t="shared" ref="E20:E49" si="0">IF($C$16&lt;B20,0,1/(1+Equity_Cost)^B20)</f>
        <v>0.90909090909090906</v>
      </c>
      <c r="F20" s="169">
        <f t="shared" ref="F20:F50" si="1">C20*E20</f>
        <v>216756.25547890094</v>
      </c>
      <c r="H20" s="164"/>
    </row>
    <row r="21" spans="2:8" x14ac:dyDescent="0.35">
      <c r="B21" s="166">
        <v>2</v>
      </c>
      <c r="C21" s="167">
        <f t="shared" ref="C21:C49" si="2">IF(ROW()-ROW($C$20)&lt;$C$16, $C$20*(1+D21)^(ROW()-ROW($C$20)), 0)</f>
        <v>278965.3008013455</v>
      </c>
      <c r="D21" s="183">
        <f>IF($C$16&lt;B21,0,Valuation_Model!$C$15)</f>
        <v>0.17</v>
      </c>
      <c r="E21" s="168">
        <f t="shared" si="0"/>
        <v>0.82644628099173545</v>
      </c>
      <c r="F21" s="169">
        <f t="shared" si="1"/>
        <v>230549.83537301279</v>
      </c>
      <c r="H21" s="164"/>
    </row>
    <row r="22" spans="2:8" x14ac:dyDescent="0.35">
      <c r="B22" s="166">
        <v>3</v>
      </c>
      <c r="C22" s="167">
        <f t="shared" si="2"/>
        <v>326389.40193757421</v>
      </c>
      <c r="D22" s="183">
        <f>IF($C$16&lt;B22,0,Valuation_Model!$C$15)</f>
        <v>0.17</v>
      </c>
      <c r="E22" s="168">
        <f t="shared" si="0"/>
        <v>0.75131480090157754</v>
      </c>
      <c r="F22" s="169">
        <f t="shared" si="1"/>
        <v>245221.18853311354</v>
      </c>
      <c r="H22" s="164"/>
    </row>
    <row r="23" spans="2:8" x14ac:dyDescent="0.35">
      <c r="B23" s="166">
        <v>4</v>
      </c>
      <c r="C23" s="167">
        <f t="shared" si="2"/>
        <v>381875.60026696185</v>
      </c>
      <c r="D23" s="183">
        <f>IF($C$16&lt;B23,0,Valuation_Model!$C$15)</f>
        <v>0.17</v>
      </c>
      <c r="E23" s="168">
        <f t="shared" si="0"/>
        <v>0.68301345536507052</v>
      </c>
      <c r="F23" s="169">
        <f t="shared" si="1"/>
        <v>260826.17325794804</v>
      </c>
      <c r="H23" s="164"/>
    </row>
    <row r="24" spans="2:8" x14ac:dyDescent="0.35">
      <c r="B24" s="166">
        <v>5</v>
      </c>
      <c r="C24" s="167">
        <f t="shared" si="2"/>
        <v>446794.45231234533</v>
      </c>
      <c r="D24" s="183">
        <f>IF($C$16&lt;B24,0,Valuation_Model!$C$15)</f>
        <v>0.17</v>
      </c>
      <c r="E24" s="168">
        <f t="shared" si="0"/>
        <v>0.62092132305915493</v>
      </c>
      <c r="F24" s="169">
        <f t="shared" si="1"/>
        <v>277424.20246527198</v>
      </c>
      <c r="H24" s="164"/>
    </row>
    <row r="25" spans="2:8" x14ac:dyDescent="0.35">
      <c r="B25" s="166">
        <v>6</v>
      </c>
      <c r="C25" s="167">
        <f t="shared" si="2"/>
        <v>522749.50920544396</v>
      </c>
      <c r="D25" s="183">
        <f>IF($C$16&lt;B25,0,Valuation_Model!$C$15)</f>
        <v>0.17</v>
      </c>
      <c r="E25" s="168">
        <f t="shared" si="0"/>
        <v>0.56447393005377722</v>
      </c>
      <c r="F25" s="169">
        <f t="shared" si="1"/>
        <v>295078.46989488014</v>
      </c>
      <c r="H25" s="164"/>
    </row>
    <row r="26" spans="2:8" x14ac:dyDescent="0.35">
      <c r="B26" s="166">
        <v>7</v>
      </c>
      <c r="C26" s="167">
        <f t="shared" si="2"/>
        <v>611616.92577036947</v>
      </c>
      <c r="D26" s="183">
        <f>IF($C$16&lt;B26,0,Valuation_Model!$C$15)</f>
        <v>0.17</v>
      </c>
      <c r="E26" s="168">
        <f t="shared" si="0"/>
        <v>0.51315811823070645</v>
      </c>
      <c r="F26" s="169">
        <f t="shared" si="1"/>
        <v>313856.19070637249</v>
      </c>
      <c r="H26" s="164"/>
    </row>
    <row r="27" spans="2:8" x14ac:dyDescent="0.35">
      <c r="B27" s="166">
        <v>8</v>
      </c>
      <c r="C27" s="167">
        <f t="shared" si="2"/>
        <v>715591.80315133219</v>
      </c>
      <c r="D27" s="183">
        <f>IF($C$16&lt;B27,0,Valuation_Model!$C$15)</f>
        <v>0.17</v>
      </c>
      <c r="E27" s="168">
        <f t="shared" si="0"/>
        <v>0.46650738020973315</v>
      </c>
      <c r="F27" s="169">
        <f t="shared" si="1"/>
        <v>333828.85738768702</v>
      </c>
      <c r="H27" s="164"/>
    </row>
    <row r="28" spans="2:8" x14ac:dyDescent="0.35">
      <c r="B28" s="166">
        <v>9</v>
      </c>
      <c r="C28" s="167">
        <f t="shared" si="2"/>
        <v>837242.40968705853</v>
      </c>
      <c r="D28" s="183">
        <f>IF($C$16&lt;B28,0,Valuation_Model!$C$15)</f>
        <v>0.17</v>
      </c>
      <c r="E28" s="168">
        <f t="shared" si="0"/>
        <v>0.42409761837248466</v>
      </c>
      <c r="F28" s="169">
        <f t="shared" si="1"/>
        <v>355072.5119487216</v>
      </c>
      <c r="H28" s="164"/>
    </row>
    <row r="29" spans="2:8" x14ac:dyDescent="0.35">
      <c r="B29" s="166">
        <v>10</v>
      </c>
      <c r="C29" s="167">
        <f t="shared" si="2"/>
        <v>979573.61933385825</v>
      </c>
      <c r="D29" s="183">
        <f>IF($C$16&lt;B29,0,Valuation_Model!$C$15)</f>
        <v>0.17</v>
      </c>
      <c r="E29" s="168">
        <f t="shared" si="0"/>
        <v>0.38554328942953148</v>
      </c>
      <c r="F29" s="169">
        <f t="shared" si="1"/>
        <v>377668.03543636738</v>
      </c>
      <c r="H29" s="164"/>
    </row>
    <row r="30" spans="2:8" x14ac:dyDescent="0.35">
      <c r="B30" s="166">
        <v>11</v>
      </c>
      <c r="C30" s="167">
        <f t="shared" si="2"/>
        <v>1146101.1346206143</v>
      </c>
      <c r="D30" s="183">
        <f>IF($C$16&lt;B30,0,Valuation_Model!$C$15)</f>
        <v>0.17</v>
      </c>
      <c r="E30" s="168">
        <f t="shared" si="0"/>
        <v>0.3504938994813922</v>
      </c>
      <c r="F30" s="169">
        <f t="shared" si="1"/>
        <v>401701.45587322715</v>
      </c>
      <c r="H30" s="164"/>
    </row>
    <row r="31" spans="2:8" x14ac:dyDescent="0.35">
      <c r="B31" s="166">
        <v>12</v>
      </c>
      <c r="C31" s="167">
        <f t="shared" si="2"/>
        <v>1340938.3275061187</v>
      </c>
      <c r="D31" s="183">
        <f>IF($C$16&lt;B31,0,Valuation_Model!$C$15)</f>
        <v>0.17</v>
      </c>
      <c r="E31" s="168">
        <f t="shared" si="0"/>
        <v>0.31863081771035656</v>
      </c>
      <c r="F31" s="169">
        <f t="shared" si="1"/>
        <v>427264.27579243248</v>
      </c>
      <c r="H31" s="164"/>
    </row>
    <row r="32" spans="2:8" x14ac:dyDescent="0.35">
      <c r="B32" s="166">
        <v>13</v>
      </c>
      <c r="C32" s="167">
        <f t="shared" si="2"/>
        <v>1568897.8431821584</v>
      </c>
      <c r="D32" s="183">
        <f>IF($C$16&lt;B32,0,Valuation_Model!$C$15)</f>
        <v>0.17</v>
      </c>
      <c r="E32" s="168">
        <f t="shared" si="0"/>
        <v>0.28966437973668779</v>
      </c>
      <c r="F32" s="169">
        <f t="shared" si="1"/>
        <v>454453.82061558717</v>
      </c>
      <c r="H32" s="164"/>
    </row>
    <row r="33" spans="2:8" x14ac:dyDescent="0.35">
      <c r="B33" s="166">
        <v>14</v>
      </c>
      <c r="C33" s="167">
        <f t="shared" si="2"/>
        <v>1835610.4765231253</v>
      </c>
      <c r="D33" s="183">
        <f>IF($C$16&lt;B33,0,Valuation_Model!$C$15)</f>
        <v>0.17</v>
      </c>
      <c r="E33" s="168">
        <f t="shared" si="0"/>
        <v>0.26333125430607973</v>
      </c>
      <c r="F33" s="169">
        <f t="shared" si="1"/>
        <v>483373.60920021532</v>
      </c>
      <c r="H33" s="164"/>
    </row>
    <row r="34" spans="2:8" x14ac:dyDescent="0.35">
      <c r="B34" s="166">
        <v>15</v>
      </c>
      <c r="C34" s="167">
        <f t="shared" si="2"/>
        <v>2147664.2575320569</v>
      </c>
      <c r="D34" s="183">
        <f>IF($C$16&lt;B34,0,Valuation_Model!$C$15)</f>
        <v>0.17</v>
      </c>
      <c r="E34" s="168">
        <f t="shared" si="0"/>
        <v>0.23939204936916339</v>
      </c>
      <c r="F34" s="169">
        <f t="shared" si="1"/>
        <v>514133.74796750181</v>
      </c>
      <c r="H34" s="164"/>
    </row>
    <row r="35" spans="2:8" x14ac:dyDescent="0.35">
      <c r="B35" s="166">
        <v>16</v>
      </c>
      <c r="C35" s="167">
        <f t="shared" si="2"/>
        <v>0</v>
      </c>
      <c r="D35" s="183">
        <f>IF($C$16&lt;B35,0,Valuation_Model!$C$15)</f>
        <v>0</v>
      </c>
      <c r="E35" s="168">
        <f t="shared" si="0"/>
        <v>0</v>
      </c>
      <c r="F35" s="169">
        <f t="shared" si="1"/>
        <v>0</v>
      </c>
      <c r="H35" s="164"/>
    </row>
    <row r="36" spans="2:8" x14ac:dyDescent="0.35">
      <c r="B36" s="166">
        <v>17</v>
      </c>
      <c r="C36" s="167">
        <f t="shared" si="2"/>
        <v>0</v>
      </c>
      <c r="D36" s="183">
        <f>IF($C$16&lt;B36,0,Valuation_Model!$C$15)</f>
        <v>0</v>
      </c>
      <c r="E36" s="168">
        <f t="shared" si="0"/>
        <v>0</v>
      </c>
      <c r="F36" s="169">
        <f t="shared" si="1"/>
        <v>0</v>
      </c>
      <c r="H36" s="164"/>
    </row>
    <row r="37" spans="2:8" x14ac:dyDescent="0.35">
      <c r="B37" s="166">
        <v>18</v>
      </c>
      <c r="C37" s="167">
        <f t="shared" si="2"/>
        <v>0</v>
      </c>
      <c r="D37" s="183">
        <f>IF($C$16&lt;B37,0,Valuation_Model!$C$15)</f>
        <v>0</v>
      </c>
      <c r="E37" s="168">
        <f t="shared" si="0"/>
        <v>0</v>
      </c>
      <c r="F37" s="169">
        <f t="shared" si="1"/>
        <v>0</v>
      </c>
      <c r="H37" s="164"/>
    </row>
    <row r="38" spans="2:8" x14ac:dyDescent="0.35">
      <c r="B38" s="166">
        <v>19</v>
      </c>
      <c r="C38" s="167">
        <f t="shared" si="2"/>
        <v>0</v>
      </c>
      <c r="D38" s="183">
        <f>IF($C$16&lt;B38,0,Valuation_Model!$C$15)</f>
        <v>0</v>
      </c>
      <c r="E38" s="168">
        <f t="shared" si="0"/>
        <v>0</v>
      </c>
      <c r="F38" s="169">
        <f t="shared" si="1"/>
        <v>0</v>
      </c>
      <c r="H38" s="164"/>
    </row>
    <row r="39" spans="2:8" x14ac:dyDescent="0.35">
      <c r="B39" s="166">
        <v>20</v>
      </c>
      <c r="C39" s="167">
        <f t="shared" si="2"/>
        <v>0</v>
      </c>
      <c r="D39" s="183">
        <f>IF($C$16&lt;B39,0,Valuation_Model!$C$15)</f>
        <v>0</v>
      </c>
      <c r="E39" s="168">
        <f t="shared" si="0"/>
        <v>0</v>
      </c>
      <c r="F39" s="169">
        <f t="shared" si="1"/>
        <v>0</v>
      </c>
      <c r="H39" s="164"/>
    </row>
    <row r="40" spans="2:8" x14ac:dyDescent="0.35">
      <c r="B40" s="166">
        <v>21</v>
      </c>
      <c r="C40" s="167">
        <f t="shared" si="2"/>
        <v>0</v>
      </c>
      <c r="D40" s="183">
        <f>IF($C$16&lt;B40,0,Valuation_Model!$C$15)</f>
        <v>0</v>
      </c>
      <c r="E40" s="168">
        <f t="shared" si="0"/>
        <v>0</v>
      </c>
      <c r="F40" s="169">
        <f t="shared" si="1"/>
        <v>0</v>
      </c>
      <c r="H40" s="164"/>
    </row>
    <row r="41" spans="2:8" x14ac:dyDescent="0.35">
      <c r="B41" s="166">
        <v>22</v>
      </c>
      <c r="C41" s="167">
        <f t="shared" si="2"/>
        <v>0</v>
      </c>
      <c r="D41" s="183">
        <f>IF($C$16&lt;B41,0,Valuation_Model!$C$15)</f>
        <v>0</v>
      </c>
      <c r="E41" s="168">
        <f t="shared" si="0"/>
        <v>0</v>
      </c>
      <c r="F41" s="169">
        <f t="shared" si="1"/>
        <v>0</v>
      </c>
      <c r="H41" s="164"/>
    </row>
    <row r="42" spans="2:8" x14ac:dyDescent="0.35">
      <c r="B42" s="166">
        <v>23</v>
      </c>
      <c r="C42" s="167">
        <f t="shared" si="2"/>
        <v>0</v>
      </c>
      <c r="D42" s="183">
        <f>IF($C$16&lt;B42,0,Valuation_Model!$C$15)</f>
        <v>0</v>
      </c>
      <c r="E42" s="168">
        <f t="shared" si="0"/>
        <v>0</v>
      </c>
      <c r="F42" s="169">
        <f t="shared" si="1"/>
        <v>0</v>
      </c>
      <c r="H42" s="164"/>
    </row>
    <row r="43" spans="2:8" x14ac:dyDescent="0.35">
      <c r="B43" s="166">
        <v>24</v>
      </c>
      <c r="C43" s="167">
        <f t="shared" si="2"/>
        <v>0</v>
      </c>
      <c r="D43" s="183">
        <f>IF($C$16&lt;B43,0,Valuation_Model!$C$15)</f>
        <v>0</v>
      </c>
      <c r="E43" s="168">
        <f t="shared" si="0"/>
        <v>0</v>
      </c>
      <c r="F43" s="169">
        <f t="shared" si="1"/>
        <v>0</v>
      </c>
      <c r="H43" s="164"/>
    </row>
    <row r="44" spans="2:8" x14ac:dyDescent="0.35">
      <c r="B44" s="166">
        <v>25</v>
      </c>
      <c r="C44" s="167">
        <f t="shared" si="2"/>
        <v>0</v>
      </c>
      <c r="D44" s="183">
        <f>IF($C$16&lt;B44,0,Valuation_Model!$C$15)</f>
        <v>0</v>
      </c>
      <c r="E44" s="168">
        <f t="shared" si="0"/>
        <v>0</v>
      </c>
      <c r="F44" s="169">
        <f t="shared" si="1"/>
        <v>0</v>
      </c>
      <c r="H44" s="164"/>
    </row>
    <row r="45" spans="2:8" x14ac:dyDescent="0.35">
      <c r="B45" s="166">
        <v>26</v>
      </c>
      <c r="C45" s="167">
        <f t="shared" si="2"/>
        <v>0</v>
      </c>
      <c r="D45" s="183">
        <f>IF($C$16&lt;B45,0,Valuation_Model!$C$15)</f>
        <v>0</v>
      </c>
      <c r="E45" s="168">
        <f t="shared" si="0"/>
        <v>0</v>
      </c>
      <c r="F45" s="169">
        <f t="shared" si="1"/>
        <v>0</v>
      </c>
      <c r="H45" s="164"/>
    </row>
    <row r="46" spans="2:8" x14ac:dyDescent="0.35">
      <c r="B46" s="166">
        <v>27</v>
      </c>
      <c r="C46" s="167">
        <f t="shared" si="2"/>
        <v>0</v>
      </c>
      <c r="D46" s="183">
        <f>IF($C$16&lt;B46,0,Valuation_Model!$C$15)</f>
        <v>0</v>
      </c>
      <c r="E46" s="168">
        <f t="shared" si="0"/>
        <v>0</v>
      </c>
      <c r="F46" s="169">
        <f t="shared" si="1"/>
        <v>0</v>
      </c>
      <c r="H46" s="164"/>
    </row>
    <row r="47" spans="2:8" x14ac:dyDescent="0.35">
      <c r="B47" s="166">
        <v>28</v>
      </c>
      <c r="C47" s="167">
        <f t="shared" si="2"/>
        <v>0</v>
      </c>
      <c r="D47" s="183">
        <f>IF($C$16&lt;B47,0,Valuation_Model!$C$15)</f>
        <v>0</v>
      </c>
      <c r="E47" s="168">
        <f t="shared" si="0"/>
        <v>0</v>
      </c>
      <c r="F47" s="169">
        <f t="shared" si="1"/>
        <v>0</v>
      </c>
      <c r="H47" s="164"/>
    </row>
    <row r="48" spans="2:8" x14ac:dyDescent="0.35">
      <c r="B48" s="166">
        <v>29</v>
      </c>
      <c r="C48" s="167">
        <f t="shared" si="2"/>
        <v>0</v>
      </c>
      <c r="D48" s="183">
        <f>IF($C$16&lt;B48,0,Valuation_Model!$C$15)</f>
        <v>0</v>
      </c>
      <c r="E48" s="168">
        <f t="shared" si="0"/>
        <v>0</v>
      </c>
      <c r="F48" s="169">
        <f t="shared" si="1"/>
        <v>0</v>
      </c>
      <c r="H48" s="164"/>
    </row>
    <row r="49" spans="1:8" x14ac:dyDescent="0.35">
      <c r="B49" s="166">
        <v>30</v>
      </c>
      <c r="C49" s="167">
        <f t="shared" si="2"/>
        <v>0</v>
      </c>
      <c r="D49" s="183">
        <f>IF($C$16&lt;B49,0,Valuation_Model!$C$15)</f>
        <v>0</v>
      </c>
      <c r="E49" s="168">
        <f t="shared" si="0"/>
        <v>0</v>
      </c>
      <c r="F49" s="169">
        <f t="shared" si="1"/>
        <v>0</v>
      </c>
      <c r="H49" s="164"/>
    </row>
    <row r="50" spans="1:8" x14ac:dyDescent="0.35">
      <c r="B50" s="170" t="s">
        <v>251</v>
      </c>
      <c r="C50" s="167">
        <f>C$20*(1+Terminal_Growth)^$C$16/Equity_Cost</f>
        <v>2384318.8102679104</v>
      </c>
      <c r="D50" s="184">
        <f>Terminal_Growth</f>
        <v>0</v>
      </c>
      <c r="E50" s="168">
        <f>1/(1+Equity_Cost)^C16</f>
        <v>0.23939204936916339</v>
      </c>
      <c r="F50" s="169">
        <f t="shared" si="1"/>
        <v>570786.96633948048</v>
      </c>
      <c r="H50" s="164"/>
    </row>
    <row r="51" spans="1:8" x14ac:dyDescent="0.35">
      <c r="C51" s="158"/>
      <c r="E51" s="171" t="s">
        <v>207</v>
      </c>
      <c r="F51" s="182">
        <f>SUM(F20:F50)</f>
        <v>5757995.5962707205</v>
      </c>
      <c r="H51" s="164"/>
    </row>
    <row r="52" spans="1:8" x14ac:dyDescent="0.35">
      <c r="C52" s="158"/>
      <c r="H52" s="164"/>
    </row>
    <row r="53" spans="1:8" ht="13.15" x14ac:dyDescent="0.35">
      <c r="B53" s="163" t="s">
        <v>249</v>
      </c>
      <c r="C53" s="181"/>
      <c r="D53" s="181"/>
      <c r="E53" s="161"/>
      <c r="F53" s="161"/>
      <c r="H53" s="164"/>
    </row>
    <row r="54" spans="1:8" ht="13.15" x14ac:dyDescent="0.4">
      <c r="A54" s="177">
        <f>F51</f>
        <v>5757995.5962707205</v>
      </c>
      <c r="B54" s="175">
        <f>C77</f>
        <v>-0.05</v>
      </c>
      <c r="C54" s="175">
        <f>C76</f>
        <v>0.05</v>
      </c>
      <c r="D54" s="175">
        <f>C75</f>
        <v>0.15</v>
      </c>
      <c r="E54" s="175">
        <f>C74</f>
        <v>0.15</v>
      </c>
      <c r="F54" s="175">
        <f>C73</f>
        <v>0.2</v>
      </c>
      <c r="H54" s="164"/>
    </row>
    <row r="55" spans="1:8" ht="13.15" x14ac:dyDescent="0.4">
      <c r="A55" s="188">
        <v>5</v>
      </c>
      <c r="B55" s="167">
        <f t="dataTable" ref="B55:F60" dt2D="1" dtr="1" r1="C15" r2="C16"/>
        <v>1872646.2434879197</v>
      </c>
      <c r="C55" s="167">
        <v>2216763.2978089284</v>
      </c>
      <c r="D55" s="167">
        <v>2621766.4431330496</v>
      </c>
      <c r="E55" s="167">
        <v>2621766.4431330496</v>
      </c>
      <c r="F55" s="167">
        <v>2851332.9382421677</v>
      </c>
      <c r="H55" s="164"/>
    </row>
    <row r="56" spans="1:8" ht="13.15" x14ac:dyDescent="0.4">
      <c r="A56" s="188">
        <v>10</v>
      </c>
      <c r="B56" s="167">
        <v>1739129.1081712279</v>
      </c>
      <c r="C56" s="167">
        <v>2416926.366229699</v>
      </c>
      <c r="D56" s="167">
        <v>3527103.1463128524</v>
      </c>
      <c r="E56" s="167">
        <v>3527103.1463128524</v>
      </c>
      <c r="F56" s="167">
        <v>4335121.3051222311</v>
      </c>
      <c r="H56" s="164"/>
    </row>
    <row r="57" spans="1:8" ht="13.15" x14ac:dyDescent="0.4">
      <c r="A57" s="188">
        <v>15</v>
      </c>
      <c r="B57" s="167">
        <v>1610971.926372325</v>
      </c>
      <c r="C57" s="167">
        <v>2661951.3571067764</v>
      </c>
      <c r="D57" s="167">
        <v>5004177.6143557411</v>
      </c>
      <c r="E57" s="167">
        <v>5004177.6143557411</v>
      </c>
      <c r="F57" s="167">
        <v>7159584.8830324654</v>
      </c>
      <c r="H57" s="164"/>
    </row>
    <row r="58" spans="1:8" ht="13.15" x14ac:dyDescent="0.4">
      <c r="A58" s="189">
        <v>20</v>
      </c>
      <c r="B58" s="167">
        <v>1509654.013008839</v>
      </c>
      <c r="C58" s="167">
        <v>2909775.06196173</v>
      </c>
      <c r="D58" s="167">
        <v>7063977.7564260801</v>
      </c>
      <c r="E58" s="167">
        <v>7063977.7564260801</v>
      </c>
      <c r="F58" s="167">
        <v>11853814.76505853</v>
      </c>
      <c r="H58" s="164"/>
    </row>
    <row r="59" spans="1:8" ht="13.15" x14ac:dyDescent="0.4">
      <c r="A59" s="189">
        <v>25</v>
      </c>
      <c r="B59" s="167">
        <v>1436297.2765970596</v>
      </c>
      <c r="C59" s="167">
        <v>3139479.608140612</v>
      </c>
      <c r="D59" s="167">
        <v>9770004.8446841668</v>
      </c>
      <c r="E59" s="167">
        <v>9770004.8446841668</v>
      </c>
      <c r="F59" s="167">
        <v>19311723.040944494</v>
      </c>
      <c r="H59" s="164"/>
    </row>
    <row r="60" spans="1:8" ht="13.15" x14ac:dyDescent="0.4">
      <c r="A60" s="189">
        <v>30</v>
      </c>
      <c r="B60" s="167">
        <v>1385729.5238190615</v>
      </c>
      <c r="C60" s="167">
        <v>3342197.5445438861</v>
      </c>
      <c r="D60" s="167">
        <v>13232473.824885162</v>
      </c>
      <c r="E60" s="167">
        <v>13232473.824885162</v>
      </c>
      <c r="F60" s="167">
        <v>30961912.281732619</v>
      </c>
      <c r="H60" s="164"/>
    </row>
    <row r="61" spans="1:8" x14ac:dyDescent="0.35">
      <c r="C61" s="158"/>
      <c r="D61" s="158"/>
      <c r="E61" s="158"/>
      <c r="F61" s="158"/>
      <c r="H61" s="164"/>
    </row>
    <row r="62" spans="1:8" ht="13.15" x14ac:dyDescent="0.35">
      <c r="B62" s="163" t="s">
        <v>250</v>
      </c>
      <c r="C62" s="158"/>
      <c r="D62" s="158"/>
      <c r="E62" s="158"/>
      <c r="F62" s="158"/>
      <c r="H62" s="164"/>
    </row>
    <row r="63" spans="1:8" ht="13.15" x14ac:dyDescent="0.4">
      <c r="B63" s="176">
        <f>B54</f>
        <v>-0.05</v>
      </c>
      <c r="C63" s="176">
        <f>C54</f>
        <v>0.05</v>
      </c>
      <c r="D63" s="176">
        <f>D54</f>
        <v>0.15</v>
      </c>
      <c r="E63" s="176">
        <f>E54</f>
        <v>0.15</v>
      </c>
      <c r="F63" s="176">
        <f>F54</f>
        <v>0.2</v>
      </c>
      <c r="H63" s="164"/>
    </row>
    <row r="64" spans="1:8" ht="13.15" x14ac:dyDescent="0.4">
      <c r="A64" s="188">
        <v>0</v>
      </c>
      <c r="B64" s="168">
        <f>C11</f>
        <v>-2.2663013116504385E-2</v>
      </c>
      <c r="C64" s="168">
        <f>C11</f>
        <v>-2.2663013116504385E-2</v>
      </c>
      <c r="D64" s="168">
        <f>C11</f>
        <v>-2.2663013116504385E-2</v>
      </c>
      <c r="E64" s="186">
        <f>C11</f>
        <v>-2.2663013116504385E-2</v>
      </c>
      <c r="F64" s="168">
        <f>C11</f>
        <v>-2.2663013116504385E-2</v>
      </c>
      <c r="H64" s="164"/>
    </row>
    <row r="65" spans="1:8" ht="13.15" x14ac:dyDescent="0.4">
      <c r="A65" s="188">
        <f t="shared" ref="A65:A70" si="3">A55</f>
        <v>5</v>
      </c>
      <c r="B65" s="168">
        <f t="shared" ref="B65:F70" si="4">(B55-$C$7+$C$8)/Common_Shares*$C$3*Exchange_Rate</f>
        <v>-4.6701812905135053E-2</v>
      </c>
      <c r="C65" s="168">
        <f t="shared" si="4"/>
        <v>3.3617754284451626E-3</v>
      </c>
      <c r="D65" s="168">
        <f t="shared" si="4"/>
        <v>6.2283326937477998E-2</v>
      </c>
      <c r="E65" s="168">
        <f t="shared" si="4"/>
        <v>6.2283326937477998E-2</v>
      </c>
      <c r="F65" s="168">
        <f t="shared" si="4"/>
        <v>9.5681620808739015E-2</v>
      </c>
      <c r="H65" s="164"/>
    </row>
    <row r="66" spans="1:8" ht="13.15" x14ac:dyDescent="0.4">
      <c r="A66" s="188">
        <f t="shared" si="3"/>
        <v>10</v>
      </c>
      <c r="B66" s="168">
        <f t="shared" si="4"/>
        <v>-6.6126444186961328E-2</v>
      </c>
      <c r="C66" s="168">
        <f t="shared" si="4"/>
        <v>3.2482335805135334E-2</v>
      </c>
      <c r="D66" s="168">
        <f t="shared" si="4"/>
        <v>0.19399549709046784</v>
      </c>
      <c r="E66" s="168">
        <f t="shared" si="4"/>
        <v>0.19399549709046784</v>
      </c>
      <c r="F66" s="168">
        <f t="shared" si="4"/>
        <v>0.31154935837324621</v>
      </c>
      <c r="H66" s="164"/>
    </row>
    <row r="67" spans="1:8" ht="13.15" x14ac:dyDescent="0.4">
      <c r="A67" s="188">
        <f t="shared" si="3"/>
        <v>15</v>
      </c>
      <c r="B67" s="168">
        <f t="shared" si="4"/>
        <v>-8.4771287012992594E-2</v>
      </c>
      <c r="C67" s="168">
        <f t="shared" si="4"/>
        <v>6.8129596295939648E-2</v>
      </c>
      <c r="D67" s="168">
        <f t="shared" si="4"/>
        <v>0.40888646857123401</v>
      </c>
      <c r="E67" s="168">
        <f t="shared" si="4"/>
        <v>0.40888646857123401</v>
      </c>
      <c r="F67" s="168">
        <f t="shared" si="4"/>
        <v>0.72246413301786983</v>
      </c>
      <c r="H67" s="164"/>
    </row>
    <row r="68" spans="1:8" ht="13.15" x14ac:dyDescent="0.4">
      <c r="A68" s="189">
        <f t="shared" si="3"/>
        <v>20</v>
      </c>
      <c r="B68" s="168">
        <f t="shared" si="4"/>
        <v>-9.951144081169154E-2</v>
      </c>
      <c r="C68" s="168">
        <f t="shared" si="4"/>
        <v>0.10418402540187779</v>
      </c>
      <c r="D68" s="168">
        <f t="shared" si="4"/>
        <v>0.70855480836198248</v>
      </c>
      <c r="E68" s="168">
        <f t="shared" si="4"/>
        <v>0.70855480836198248</v>
      </c>
      <c r="F68" s="168">
        <f t="shared" si="4"/>
        <v>1.4054003298903306</v>
      </c>
      <c r="H68" s="164"/>
    </row>
    <row r="69" spans="1:8" ht="13.15" x14ac:dyDescent="0.4">
      <c r="A69" s="189">
        <f t="shared" si="3"/>
        <v>25</v>
      </c>
      <c r="B69" s="168">
        <f t="shared" si="4"/>
        <v>-0.11018368563972147</v>
      </c>
      <c r="C69" s="168">
        <f t="shared" si="4"/>
        <v>0.1376024035201672</v>
      </c>
      <c r="D69" s="168">
        <f t="shared" si="4"/>
        <v>1.1022389471309189</v>
      </c>
      <c r="E69" s="168">
        <f t="shared" si="4"/>
        <v>1.1022389471309189</v>
      </c>
      <c r="F69" s="168">
        <f t="shared" si="4"/>
        <v>2.4904080185974964</v>
      </c>
    </row>
    <row r="70" spans="1:8" ht="13.15" x14ac:dyDescent="0.4">
      <c r="A70" s="189">
        <f t="shared" si="3"/>
        <v>30</v>
      </c>
      <c r="B70" s="168">
        <f t="shared" si="4"/>
        <v>-0.11754049381369344</v>
      </c>
      <c r="C70" s="168">
        <f t="shared" si="4"/>
        <v>0.1670946567766976</v>
      </c>
      <c r="D70" s="168">
        <f t="shared" si="4"/>
        <v>1.6059734161609558</v>
      </c>
      <c r="E70" s="168">
        <f t="shared" si="4"/>
        <v>1.6059734161609558</v>
      </c>
      <c r="F70" s="168">
        <f t="shared" si="4"/>
        <v>4.1853262763105779</v>
      </c>
    </row>
    <row r="72" spans="1:8" ht="13.15" x14ac:dyDescent="0.4">
      <c r="B72" s="228" t="s">
        <v>227</v>
      </c>
      <c r="C72" s="228" t="s">
        <v>252</v>
      </c>
      <c r="D72" s="228" t="s">
        <v>221</v>
      </c>
      <c r="E72" s="229" t="s">
        <v>222</v>
      </c>
      <c r="F72" s="229" t="s">
        <v>306</v>
      </c>
    </row>
    <row r="73" spans="1:8" x14ac:dyDescent="0.35">
      <c r="B73" s="171" t="str">
        <f>Scenarios!B67</f>
        <v>Revaluation</v>
      </c>
      <c r="C73" s="187">
        <f>Scenarios!C69</f>
        <v>0.2</v>
      </c>
      <c r="D73" s="190">
        <f>Scenarios!C68</f>
        <v>10</v>
      </c>
      <c r="E73" s="180">
        <f>INDEX(B$64:F$70, MATCH(D73, A$64:A$70, 0), MATCH(C73, B$63:F$63, 0))</f>
        <v>0.31154935837324621</v>
      </c>
      <c r="F73" s="230">
        <f>E73*Common_Shares/1000000</f>
        <v>2269.9534354295652</v>
      </c>
    </row>
    <row r="74" spans="1:8" x14ac:dyDescent="0.35">
      <c r="B74" s="171" t="str">
        <f>Scenarios!B49</f>
        <v>Optimistic</v>
      </c>
      <c r="C74" s="187">
        <f>Scenarios!C51</f>
        <v>0.15</v>
      </c>
      <c r="D74" s="190">
        <f>Scenarios!C50</f>
        <v>10</v>
      </c>
      <c r="E74" s="180">
        <f>INDEX(B$64:F$70, MATCH(D74, A$64:A$70, 0), MATCH(C74, B$63:F$63, 0))</f>
        <v>0.19399549709046784</v>
      </c>
      <c r="F74" s="230">
        <f>E74*Common_Shares/1000000</f>
        <v>1413.4541870916237</v>
      </c>
      <c r="H74" s="164" t="s">
        <v>214</v>
      </c>
    </row>
    <row r="75" spans="1:8" x14ac:dyDescent="0.35">
      <c r="B75" s="171" t="str">
        <f>Scenarios!B37</f>
        <v>Base</v>
      </c>
      <c r="C75" s="187">
        <f>Scenarios!C39</f>
        <v>0.15</v>
      </c>
      <c r="D75" s="190">
        <f>Scenarios!C38</f>
        <v>10</v>
      </c>
      <c r="E75" s="180">
        <f>INDEX(B$64:F$70, MATCH(D75, A$64:A$70, 0), MATCH(C75, B$63:F$63, 0))</f>
        <v>0.19399549709046784</v>
      </c>
      <c r="F75" s="230">
        <f>E75*Common_Shares/1000000</f>
        <v>1413.4541870916237</v>
      </c>
      <c r="H75" s="164" t="s">
        <v>213</v>
      </c>
    </row>
    <row r="76" spans="1:8" x14ac:dyDescent="0.35">
      <c r="B76" s="171" t="str">
        <f>Scenarios!B43</f>
        <v>Pessimistic</v>
      </c>
      <c r="C76" s="187">
        <f>Scenarios!C45</f>
        <v>0.05</v>
      </c>
      <c r="D76" s="190">
        <f>Scenarios!C44</f>
        <v>10</v>
      </c>
      <c r="E76" s="180">
        <f>INDEX(B$64:F$70, MATCH(D76, A$64:A$70, 0), MATCH(C76, B$63:F$63, 0))</f>
        <v>3.2482335805135334E-2</v>
      </c>
      <c r="F76" s="230">
        <f>E76*Common_Shares/1000000</f>
        <v>236.66680020348088</v>
      </c>
      <c r="H76" s="164" t="s">
        <v>212</v>
      </c>
    </row>
    <row r="77" spans="1:8" x14ac:dyDescent="0.35">
      <c r="B77" s="171" t="str">
        <f>Scenarios!B61</f>
        <v>Devil's advocate</v>
      </c>
      <c r="C77" s="187">
        <f>Scenarios!C63</f>
        <v>-0.05</v>
      </c>
      <c r="D77" s="190">
        <f>Scenarios!C62</f>
        <v>10</v>
      </c>
      <c r="E77" s="180">
        <f>INDEX(B$64:F$70, MATCH(D77, A$64:A$70, 0), MATCH(C77, B$63:F$63, 0))</f>
        <v>-6.6126444186961328E-2</v>
      </c>
      <c r="F77" s="230">
        <f>E77*Common_Shares/1000000</f>
        <v>-481.79829333849847</v>
      </c>
    </row>
    <row r="78" spans="1:8" x14ac:dyDescent="0.35">
      <c r="B78" s="203"/>
      <c r="C78" s="203"/>
      <c r="D78" s="203"/>
      <c r="E78" s="203"/>
      <c r="F78" s="204"/>
    </row>
    <row r="91" spans="3:3" x14ac:dyDescent="0.35">
      <c r="C91" s="159"/>
    </row>
    <row r="92" spans="3:3" x14ac:dyDescent="0.35">
      <c r="C92" s="159"/>
    </row>
    <row r="93" spans="3:3" x14ac:dyDescent="0.35">
      <c r="C93" s="159"/>
    </row>
  </sheetData>
  <phoneticPr fontId="2" type="noConversion"/>
  <conditionalFormatting sqref="C20:F49">
    <cfRule type="cellIs" dxfId="1" priority="3" operator="equal">
      <formula>0</formula>
    </cfRule>
  </conditionalFormatting>
  <conditionalFormatting sqref="E64 B65:F70">
    <cfRule type="expression" dxfId="0" priority="14">
      <formula>ISNUMBER(MATCH(B64, $E$74:$E$77, 0))</formula>
    </cfRule>
  </conditionalFormatting>
  <dataValidations count="1">
    <dataValidation type="list" allowBlank="1" showInputMessage="1" showErrorMessage="1" sqref="C16" xr:uid="{A06882BF-7451-4B05-ADA9-B8AC5ACC7F23}">
      <formula1>$A$55:$A$60</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89"/>
  <sheetViews>
    <sheetView showGridLines="0" topLeftCell="A27" zoomScaleNormal="100" workbookViewId="0">
      <selection activeCell="D55" sqref="D55"/>
    </sheetView>
  </sheetViews>
  <sheetFormatPr defaultRowHeight="12.75" x14ac:dyDescent="0.35"/>
  <cols>
    <col min="1" max="1" width="2.59765625" customWidth="1"/>
    <col min="2" max="2" width="22.59765625" customWidth="1"/>
    <col min="3" max="3" width="10.73046875" customWidth="1"/>
    <col min="4" max="4" width="10.59765625" customWidth="1"/>
    <col min="5" max="5" width="83.06640625" customWidth="1"/>
  </cols>
  <sheetData>
    <row r="2" spans="2:7" ht="13.9" x14ac:dyDescent="0.45">
      <c r="B2" s="39" t="s">
        <v>271</v>
      </c>
      <c r="C2" s="40"/>
      <c r="D2" s="40"/>
      <c r="E2" s="40"/>
      <c r="F2" s="40"/>
      <c r="G2" s="40"/>
    </row>
    <row r="3" spans="2:7" ht="13.15" x14ac:dyDescent="0.4">
      <c r="B3" s="208" t="s">
        <v>282</v>
      </c>
    </row>
    <row r="4" spans="2:7" x14ac:dyDescent="0.35">
      <c r="B4" s="198" t="s">
        <v>274</v>
      </c>
      <c r="C4" s="164">
        <v>4</v>
      </c>
      <c r="D4" s="164"/>
      <c r="E4" s="138" t="s">
        <v>284</v>
      </c>
    </row>
    <row r="6" spans="2:7" ht="13.15" x14ac:dyDescent="0.4">
      <c r="B6" s="208" t="s">
        <v>137</v>
      </c>
      <c r="C6" s="146">
        <f>Valuation_Model!C3</f>
        <v>1000</v>
      </c>
      <c r="E6" s="138" t="s">
        <v>290</v>
      </c>
    </row>
    <row r="7" spans="2:7" x14ac:dyDescent="0.35">
      <c r="B7" s="138" t="s">
        <v>288</v>
      </c>
      <c r="C7" s="158">
        <f>Normalized_FCF!G19</f>
        <v>424227</v>
      </c>
      <c r="E7" s="233" t="s">
        <v>292</v>
      </c>
    </row>
    <row r="8" spans="2:7" x14ac:dyDescent="0.35">
      <c r="B8" s="138" t="s">
        <v>125</v>
      </c>
      <c r="C8" s="158">
        <f>Normalized_FCF!C19</f>
        <v>203787.93250153083</v>
      </c>
      <c r="E8" s="234"/>
    </row>
    <row r="9" spans="2:7" x14ac:dyDescent="0.35">
      <c r="E9" s="234"/>
    </row>
    <row r="10" spans="2:7" ht="13.15" x14ac:dyDescent="0.4">
      <c r="B10" s="208" t="s">
        <v>275</v>
      </c>
      <c r="E10" s="234"/>
    </row>
    <row r="11" spans="2:7" x14ac:dyDescent="0.35">
      <c r="B11" s="162" t="s">
        <v>273</v>
      </c>
      <c r="C11" s="207">
        <f>AVERAGE(Normalized_FCF!G39:INDEX(Normalized_FCF!G39:Q39, $C$4))</f>
        <v>0.34150897943162312</v>
      </c>
      <c r="D11" s="207"/>
      <c r="E11" s="234"/>
    </row>
    <row r="12" spans="2:7" x14ac:dyDescent="0.35">
      <c r="B12" s="193" t="s">
        <v>272</v>
      </c>
      <c r="E12" s="234"/>
    </row>
    <row r="13" spans="2:7" x14ac:dyDescent="0.35">
      <c r="B13" s="138" t="s">
        <v>160</v>
      </c>
      <c r="E13" s="234"/>
    </row>
    <row r="15" spans="2:7" ht="13.15" x14ac:dyDescent="0.4">
      <c r="B15" s="208" t="s">
        <v>276</v>
      </c>
    </row>
    <row r="16" spans="2:7" x14ac:dyDescent="0.35">
      <c r="B16" s="138" t="s">
        <v>71</v>
      </c>
    </row>
    <row r="17" spans="2:7" x14ac:dyDescent="0.35">
      <c r="B17" s="193" t="s">
        <v>272</v>
      </c>
    </row>
    <row r="19" spans="2:7" ht="13.9" x14ac:dyDescent="0.45">
      <c r="B19" s="39" t="s">
        <v>279</v>
      </c>
      <c r="C19" s="40"/>
      <c r="D19" s="40"/>
      <c r="E19" s="40"/>
      <c r="F19" s="40"/>
      <c r="G19" s="40"/>
    </row>
    <row r="20" spans="2:7" ht="13.15" x14ac:dyDescent="0.4">
      <c r="B20" s="151" t="s">
        <v>278</v>
      </c>
      <c r="E20" s="208" t="s">
        <v>283</v>
      </c>
    </row>
    <row r="21" spans="2:7" x14ac:dyDescent="0.35">
      <c r="B21" s="138" t="s">
        <v>222</v>
      </c>
      <c r="C21" s="209">
        <f>Valuation_Model!E76</f>
        <v>3.2482335805135334E-2</v>
      </c>
      <c r="D21" t="str">
        <f>Reporting_currency</f>
        <v>CNY</v>
      </c>
      <c r="E21" s="220" t="s">
        <v>285</v>
      </c>
    </row>
    <row r="23" spans="2:7" ht="13.15" x14ac:dyDescent="0.4">
      <c r="B23" s="151" t="s">
        <v>277</v>
      </c>
      <c r="E23" s="222"/>
    </row>
    <row r="24" spans="2:7" ht="12.75" customHeight="1" x14ac:dyDescent="0.35">
      <c r="B24" s="198" t="s">
        <v>253</v>
      </c>
      <c r="C24" s="196">
        <v>15</v>
      </c>
      <c r="D24" s="196"/>
      <c r="E24" s="223"/>
    </row>
    <row r="25" spans="2:7" x14ac:dyDescent="0.35">
      <c r="B25" s="162" t="s">
        <v>254</v>
      </c>
      <c r="C25" s="197">
        <v>0.17</v>
      </c>
      <c r="D25" s="197"/>
      <c r="E25" s="223"/>
    </row>
    <row r="26" spans="2:7" x14ac:dyDescent="0.35">
      <c r="B26" s="138" t="s">
        <v>222</v>
      </c>
      <c r="C26" s="209">
        <f>Valuation_Model!C17</f>
        <v>0.34543072506455197</v>
      </c>
      <c r="D26" s="209"/>
      <c r="E26" s="223"/>
    </row>
    <row r="28" spans="2:7" ht="13.15" x14ac:dyDescent="0.4">
      <c r="B28" s="151" t="s">
        <v>257</v>
      </c>
      <c r="C28" s="200"/>
    </row>
    <row r="29" spans="2:7" x14ac:dyDescent="0.35">
      <c r="B29" s="138" t="s">
        <v>228</v>
      </c>
      <c r="C29">
        <f>Market_Price</f>
        <v>1.7</v>
      </c>
    </row>
    <row r="30" spans="2:7" x14ac:dyDescent="0.35">
      <c r="B30" s="138" t="s">
        <v>259</v>
      </c>
      <c r="C30">
        <v>13</v>
      </c>
    </row>
    <row r="31" spans="2:7" x14ac:dyDescent="0.35">
      <c r="B31" s="138" t="s">
        <v>256</v>
      </c>
    </row>
    <row r="33" spans="2:7" ht="13.9" x14ac:dyDescent="0.45">
      <c r="B33" s="39" t="s">
        <v>308</v>
      </c>
      <c r="C33" s="40"/>
      <c r="D33" s="40"/>
      <c r="E33" s="40"/>
      <c r="F33" s="40"/>
      <c r="G33" s="40"/>
    </row>
    <row r="34" spans="2:7" ht="13.15" x14ac:dyDescent="0.4">
      <c r="B34" s="151" t="s">
        <v>286</v>
      </c>
    </row>
    <row r="35" spans="2:7" x14ac:dyDescent="0.35">
      <c r="B35" s="198" t="s">
        <v>253</v>
      </c>
      <c r="C35" s="196">
        <v>10</v>
      </c>
      <c r="E35" s="138" t="s">
        <v>287</v>
      </c>
    </row>
    <row r="37" spans="2:7" ht="13.15" x14ac:dyDescent="0.4">
      <c r="B37" s="208" t="s">
        <v>225</v>
      </c>
      <c r="E37" s="208" t="s">
        <v>283</v>
      </c>
    </row>
    <row r="38" spans="2:7" x14ac:dyDescent="0.35">
      <c r="B38" s="198" t="s">
        <v>253</v>
      </c>
      <c r="C38" s="215">
        <f>C35</f>
        <v>10</v>
      </c>
      <c r="D38" s="212"/>
      <c r="E38" s="234"/>
    </row>
    <row r="39" spans="2:7" x14ac:dyDescent="0.35">
      <c r="B39" s="162" t="s">
        <v>254</v>
      </c>
      <c r="C39" s="213">
        <v>0.15</v>
      </c>
      <c r="D39" s="213"/>
      <c r="E39" s="234"/>
    </row>
    <row r="40" spans="2:7" x14ac:dyDescent="0.35">
      <c r="B40" s="138" t="s">
        <v>222</v>
      </c>
      <c r="C40" s="209">
        <f>Valuation_Model!E75</f>
        <v>0.19399549709046784</v>
      </c>
      <c r="D40" s="209" t="str">
        <f>Market_currency</f>
        <v>HKD</v>
      </c>
      <c r="E40" s="234"/>
    </row>
    <row r="41" spans="2:7" x14ac:dyDescent="0.35">
      <c r="B41" s="138" t="s">
        <v>280</v>
      </c>
      <c r="C41" s="214">
        <v>0.5</v>
      </c>
      <c r="D41" s="214"/>
      <c r="E41" s="234"/>
    </row>
    <row r="43" spans="2:7" ht="13.15" x14ac:dyDescent="0.4">
      <c r="B43" s="208" t="s">
        <v>226</v>
      </c>
      <c r="E43" s="208" t="s">
        <v>283</v>
      </c>
    </row>
    <row r="44" spans="2:7" x14ac:dyDescent="0.35">
      <c r="B44" s="198" t="s">
        <v>253</v>
      </c>
      <c r="C44" s="215">
        <f>C35</f>
        <v>10</v>
      </c>
      <c r="D44" s="212"/>
      <c r="E44" s="234"/>
    </row>
    <row r="45" spans="2:7" x14ac:dyDescent="0.35">
      <c r="B45" s="162" t="s">
        <v>254</v>
      </c>
      <c r="C45" s="213">
        <v>0.05</v>
      </c>
      <c r="D45" s="213"/>
      <c r="E45" s="234"/>
    </row>
    <row r="46" spans="2:7" x14ac:dyDescent="0.35">
      <c r="B46" s="138" t="s">
        <v>222</v>
      </c>
      <c r="C46" s="209">
        <f>Valuation_Model!E76</f>
        <v>3.2482335805135334E-2</v>
      </c>
      <c r="D46" t="str">
        <f>Market_currency</f>
        <v>HKD</v>
      </c>
      <c r="E46" s="234"/>
    </row>
    <row r="47" spans="2:7" x14ac:dyDescent="0.35">
      <c r="B47" s="138" t="s">
        <v>280</v>
      </c>
      <c r="C47" s="214">
        <v>0.25</v>
      </c>
      <c r="D47" s="214"/>
      <c r="E47" s="234"/>
    </row>
    <row r="49" spans="2:7" ht="13.15" x14ac:dyDescent="0.4">
      <c r="B49" s="208" t="s">
        <v>224</v>
      </c>
      <c r="E49" s="208" t="s">
        <v>283</v>
      </c>
    </row>
    <row r="50" spans="2:7" x14ac:dyDescent="0.35">
      <c r="B50" s="198" t="s">
        <v>253</v>
      </c>
      <c r="C50" s="212">
        <v>10</v>
      </c>
      <c r="D50" s="212"/>
      <c r="E50" s="234"/>
    </row>
    <row r="51" spans="2:7" x14ac:dyDescent="0.35">
      <c r="B51" s="162" t="s">
        <v>254</v>
      </c>
      <c r="C51" s="213">
        <v>0.15</v>
      </c>
      <c r="D51" s="213"/>
      <c r="E51" s="234"/>
    </row>
    <row r="52" spans="2:7" x14ac:dyDescent="0.35">
      <c r="B52" s="138" t="s">
        <v>222</v>
      </c>
      <c r="C52" s="209">
        <f>Valuation_Model!E74</f>
        <v>0.19399549709046784</v>
      </c>
      <c r="D52" t="str">
        <f>Market_currency</f>
        <v>HKD</v>
      </c>
      <c r="E52" s="234"/>
    </row>
    <row r="53" spans="2:7" x14ac:dyDescent="0.35">
      <c r="B53" s="138" t="s">
        <v>280</v>
      </c>
      <c r="C53" s="217">
        <f>1-C41-C47</f>
        <v>0.25</v>
      </c>
      <c r="D53" s="214"/>
      <c r="E53" s="234"/>
    </row>
    <row r="55" spans="2:7" ht="13.15" x14ac:dyDescent="0.4">
      <c r="B55" s="138" t="s">
        <v>231</v>
      </c>
      <c r="C55" s="202">
        <f>C40*C41+C46*C47+C52*C53</f>
        <v>0.15361720676913471</v>
      </c>
      <c r="D55" t="str">
        <f>Market_currency</f>
        <v>HKD</v>
      </c>
    </row>
    <row r="57" spans="2:7" ht="13.9" x14ac:dyDescent="0.45">
      <c r="B57" s="39" t="s">
        <v>307</v>
      </c>
      <c r="C57" s="40"/>
      <c r="D57" s="40"/>
      <c r="E57" s="40"/>
      <c r="F57" s="40"/>
      <c r="G57" s="40"/>
    </row>
    <row r="58" spans="2:7" ht="13.15" x14ac:dyDescent="0.4">
      <c r="B58" s="151" t="s">
        <v>286</v>
      </c>
    </row>
    <row r="59" spans="2:7" x14ac:dyDescent="0.35">
      <c r="B59" s="198" t="s">
        <v>253</v>
      </c>
      <c r="C59" s="196">
        <v>10</v>
      </c>
      <c r="E59" s="138"/>
    </row>
    <row r="60" spans="2:7" ht="13.15" x14ac:dyDescent="0.4">
      <c r="B60" s="208"/>
      <c r="E60" s="208"/>
    </row>
    <row r="61" spans="2:7" ht="13.15" x14ac:dyDescent="0.4">
      <c r="B61" s="208" t="s">
        <v>312</v>
      </c>
      <c r="E61" s="208" t="s">
        <v>283</v>
      </c>
    </row>
    <row r="62" spans="2:7" x14ac:dyDescent="0.35">
      <c r="B62" s="198" t="s">
        <v>253</v>
      </c>
      <c r="C62" s="215">
        <f>C59</f>
        <v>10</v>
      </c>
      <c r="D62" s="212"/>
      <c r="E62" s="233" t="s">
        <v>291</v>
      </c>
    </row>
    <row r="63" spans="2:7" x14ac:dyDescent="0.35">
      <c r="B63" s="162" t="s">
        <v>254</v>
      </c>
      <c r="C63" s="213">
        <v>-0.05</v>
      </c>
      <c r="D63" s="213"/>
      <c r="E63" s="234"/>
    </row>
    <row r="64" spans="2:7" x14ac:dyDescent="0.35">
      <c r="B64" s="138" t="s">
        <v>222</v>
      </c>
      <c r="C64" s="209">
        <f>Valuation_Model!E77</f>
        <v>-6.6126444186961328E-2</v>
      </c>
      <c r="D64" t="str">
        <f>Market_currency</f>
        <v>HKD</v>
      </c>
      <c r="E64" s="234"/>
    </row>
    <row r="65" spans="2:7" x14ac:dyDescent="0.35">
      <c r="B65" s="138" t="s">
        <v>280</v>
      </c>
      <c r="C65" s="214">
        <v>0.1</v>
      </c>
      <c r="D65" s="214"/>
      <c r="E65" s="234"/>
    </row>
    <row r="67" spans="2:7" ht="13.15" x14ac:dyDescent="0.4">
      <c r="B67" s="208" t="s">
        <v>313</v>
      </c>
      <c r="E67" s="208" t="s">
        <v>283</v>
      </c>
    </row>
    <row r="68" spans="2:7" x14ac:dyDescent="0.35">
      <c r="B68" s="198" t="s">
        <v>253</v>
      </c>
      <c r="C68" s="215">
        <f>C59</f>
        <v>10</v>
      </c>
      <c r="D68" s="212"/>
      <c r="E68" s="233"/>
    </row>
    <row r="69" spans="2:7" x14ac:dyDescent="0.35">
      <c r="B69" s="162" t="s">
        <v>254</v>
      </c>
      <c r="C69" s="213">
        <v>0.2</v>
      </c>
      <c r="D69" s="213"/>
      <c r="E69" s="234"/>
    </row>
    <row r="70" spans="2:7" x14ac:dyDescent="0.35">
      <c r="B70" s="138" t="s">
        <v>222</v>
      </c>
      <c r="C70" s="209">
        <f>Valuation_Model!E73</f>
        <v>0.31154935837324621</v>
      </c>
      <c r="D70" t="str">
        <f>Market_currency</f>
        <v>HKD</v>
      </c>
      <c r="E70" s="234"/>
    </row>
    <row r="71" spans="2:7" x14ac:dyDescent="0.35">
      <c r="B71" s="138" t="s">
        <v>280</v>
      </c>
      <c r="C71" s="214">
        <v>0</v>
      </c>
      <c r="D71" s="214"/>
      <c r="E71" s="234"/>
    </row>
    <row r="73" spans="2:7" ht="13.15" x14ac:dyDescent="0.4">
      <c r="B73" s="138" t="s">
        <v>231</v>
      </c>
      <c r="C73" s="202">
        <f>C64*C65+C70*C71+C55*(1-C65-C71)</f>
        <v>0.13164284167352511</v>
      </c>
      <c r="D73" t="str">
        <f>Market_currency</f>
        <v>HKD</v>
      </c>
    </row>
    <row r="75" spans="2:7" ht="13.9" x14ac:dyDescent="0.45">
      <c r="B75" s="39" t="s">
        <v>247</v>
      </c>
      <c r="C75" s="40"/>
      <c r="D75" s="40"/>
      <c r="E75" s="40"/>
      <c r="F75" s="40"/>
      <c r="G75" s="40"/>
    </row>
    <row r="76" spans="2:7" ht="13.15" x14ac:dyDescent="0.4">
      <c r="B76" s="151" t="s">
        <v>242</v>
      </c>
      <c r="E76" s="151" t="s">
        <v>239</v>
      </c>
    </row>
    <row r="77" spans="2:7" x14ac:dyDescent="0.35">
      <c r="B77" s="138" t="s">
        <v>260</v>
      </c>
      <c r="C77" s="217">
        <f>Thesis!C68</f>
        <v>0.2</v>
      </c>
      <c r="D77" s="178"/>
      <c r="E77" s="138" t="s">
        <v>243</v>
      </c>
      <c r="F77" s="215">
        <f>Thesis!C67</f>
        <v>3</v>
      </c>
    </row>
    <row r="78" spans="2:7" x14ac:dyDescent="0.35">
      <c r="B78" s="138" t="s">
        <v>220</v>
      </c>
      <c r="C78" s="232">
        <f>Normalized_FCF!C108</f>
        <v>5.4800000000000001E-2</v>
      </c>
      <c r="D78" t="str">
        <f>Market_currency</f>
        <v>HKD</v>
      </c>
      <c r="E78" s="138" t="s">
        <v>241</v>
      </c>
    </row>
    <row r="80" spans="2:7" ht="13.15" x14ac:dyDescent="0.4">
      <c r="B80" s="151" t="s">
        <v>258</v>
      </c>
    </row>
    <row r="81" spans="2:9" x14ac:dyDescent="0.35">
      <c r="B81" s="138" t="s">
        <v>232</v>
      </c>
      <c r="C81" s="160">
        <f>PV(C77, F77, -C78, 0)</f>
        <v>0.11543518518518518</v>
      </c>
      <c r="D81" s="160"/>
      <c r="E81" s="138"/>
    </row>
    <row r="82" spans="2:9" x14ac:dyDescent="0.35">
      <c r="B82" s="138" t="s">
        <v>234</v>
      </c>
      <c r="C82" s="160">
        <f>C73/(1+C77)^F77</f>
        <v>7.6182200042549247E-2</v>
      </c>
      <c r="D82" s="160"/>
    </row>
    <row r="83" spans="2:9" ht="13.15" x14ac:dyDescent="0.4">
      <c r="B83" s="153" t="s">
        <v>208</v>
      </c>
      <c r="C83" s="154">
        <f>C81+C82</f>
        <v>0.19161738522773442</v>
      </c>
      <c r="D83" t="str">
        <f>Market_currency</f>
        <v>HKD</v>
      </c>
      <c r="E83" s="218" t="s">
        <v>246</v>
      </c>
      <c r="F83" s="219">
        <f>(C83/C73-1)</f>
        <v>0.45558530028504296</v>
      </c>
      <c r="I83" s="164" t="s">
        <v>233</v>
      </c>
    </row>
    <row r="86" spans="2:9" x14ac:dyDescent="0.35">
      <c r="D86" s="191"/>
    </row>
    <row r="87" spans="2:9" x14ac:dyDescent="0.35">
      <c r="B87" s="124" t="s">
        <v>46</v>
      </c>
      <c r="C87" s="125" t="s">
        <v>49</v>
      </c>
      <c r="D87" s="125" t="s">
        <v>50</v>
      </c>
      <c r="E87" s="119" t="s">
        <v>51</v>
      </c>
    </row>
    <row r="88" spans="2:9" x14ac:dyDescent="0.35">
      <c r="B88" s="9" t="s">
        <v>47</v>
      </c>
      <c r="C88" s="14">
        <f>Normalized_FCF!L10</f>
        <v>-3640</v>
      </c>
      <c r="D88" s="14">
        <f>Normalized_FCF!G10</f>
        <v>80402</v>
      </c>
      <c r="E88" s="14">
        <v>6</v>
      </c>
    </row>
    <row r="89" spans="2:9" x14ac:dyDescent="0.35">
      <c r="B89" s="9" t="s">
        <v>48</v>
      </c>
      <c r="C89" s="8" t="e">
        <f>(D88/C88)^(1/E88)-1</f>
        <v>#NUM!</v>
      </c>
      <c r="D89" s="43"/>
      <c r="E89" s="43"/>
    </row>
  </sheetData>
  <mergeCells count="6">
    <mergeCell ref="E68:E71"/>
    <mergeCell ref="E62:E65"/>
    <mergeCell ref="E50:E53"/>
    <mergeCell ref="E7:E13"/>
    <mergeCell ref="E44:E47"/>
    <mergeCell ref="E38:E41"/>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7</vt:i4>
      </vt:variant>
    </vt:vector>
  </HeadingPairs>
  <TitlesOfParts>
    <vt:vector size="13" baseType="lpstr">
      <vt:lpstr>Thesis</vt:lpstr>
      <vt:lpstr>Data</vt:lpstr>
      <vt:lpstr>Normalized_FCF</vt:lpstr>
      <vt:lpstr>BS</vt:lpstr>
      <vt:lpstr>Valuation_Model</vt:lpstr>
      <vt:lpstr>Scenarios</vt:lpstr>
      <vt:lpstr>Common_Shares</vt:lpstr>
      <vt:lpstr>Equity_Cost</vt:lpstr>
      <vt:lpstr>Exchange_Rate</vt:lpstr>
      <vt:lpstr>Market_currency</vt:lpstr>
      <vt:lpstr>Market_Price</vt:lpstr>
      <vt:lpstr>Reporting_currency</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2025-02-26T14:40:45Z</cp:lastPrinted>
  <dcterms:created xsi:type="dcterms:W3CDTF">2022-08-10T03:52:42Z</dcterms:created>
  <dcterms:modified xsi:type="dcterms:W3CDTF">2025-03-13T10:24:40Z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