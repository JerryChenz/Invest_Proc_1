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704269F1-2671-4DCB-A4A5-08981A9FAC03}"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<sst xmlns="http://schemas.openxmlformats.org/spreadsheetml/2006/main" count="334" uniqueCount="276">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</sst>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0.13006392369529926</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14.89</v>
      </c>
      <c r="E3" s="12" t="s">
        <v>232</v>
      </c>
      <c r="F3" s="15">
        <v>0.19196066679108825</v>
      </c>
      <c r="G3" s="15">
        <f>F3 - Portfolio_Mgmt!$C$10</f>
        <v>0.10496066679108826</v>
      </c>
      <c r="H3" s="15">
        <f>F3 - Portfolio_Mgmt!$C$11</f>
        <v>0.17296066679108826</v>
      </c>
      <c r="I3" s="15">
        <v>0.28480811096600633</v>
      </c>
      <c r="J3" s="2">
        <v>10.755129516558478</v>
      </c>
      <c r="K3" s="2">
        <v>21.769702959467441</v>
      </c>
      <c r="L3" s="85">
        <v>20.82831579044063</v>
      </c>
      <c r="M3" s="2">
        <v>15.067903135098593</v>
      </c>
      <c r="N3" s="2">
        <v>19.377597519813985</v>
      </c>
      <c r="O3" s="4">
        <v>7.9047902300827311E-2</v>
      </c>
      <c r="P3" s="4">
        <v>6.4069845533915384E-2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55.56</v>
      </c>
      <c r="E4" s="12" t="s">
        <v>232</v>
      </c>
      <c r="F4" s="15">
        <v>0.17620490701311375</v>
      </c>
      <c r="G4" s="15">
        <f>F4 - Portfolio_Mgmt!$C$10</f>
        <v>8.920490701311376E-2</v>
      </c>
      <c r="H4" s="15">
        <f>F4 - Portfolio_Mgmt!$C$11</f>
        <v>0.15720490701311376</v>
      </c>
      <c r="I4" s="15">
        <v>0.26143161277910054</v>
      </c>
      <c r="J4" s="2">
        <v>38.338860273768745</v>
      </c>
      <c r="K4" s="2">
        <v>82.72003076740333</v>
      </c>
      <c r="L4" s="85">
        <v>75.227038736174251</v>
      </c>
      <c r="M4" s="2">
        <v>54.104773980226682</v>
      </c>
      <c r="N4" s="2">
        <v>69.902328891344681</v>
      </c>
      <c r="O4" s="4">
        <v>7.8096132153077216E-2</v>
      </c>
      <c r="P4" s="4">
        <v>3.8876889848812095E-2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44.19</v>
      </c>
      <c r="E5" s="12" t="s">
        <v>232</v>
      </c>
      <c r="F5" s="15">
        <v>0.15365760495616176</v>
      </c>
      <c r="G5" s="15">
        <f>F5 - Portfolio_Mgmt!$C$10</f>
        <v>6.665760495616177E-2</v>
      </c>
      <c r="H5" s="15">
        <f>F5 - Portfolio_Mgmt!$C$11</f>
        <v>0.13465760495616177</v>
      </c>
      <c r="I5" s="15">
        <v>0.15376027625489308</v>
      </c>
      <c r="J5" s="2">
        <v>28.630686160261423</v>
      </c>
      <c r="K5" s="2">
        <v>64.714648137522119</v>
      </c>
      <c r="L5" s="85">
        <v>56.741377225429467</v>
      </c>
      <c r="M5" s="2">
        <v>40.629719578204039</v>
      </c>
      <c r="N5" s="2">
        <v>52.676874362859721</v>
      </c>
      <c r="O5" s="4">
        <v>4.8947257536631789E-2</v>
      </c>
      <c r="P5" s="4">
        <v>2.0366598778004074E-2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243</v>
      </c>
      <c r="C6" s="11" t="s">
        <v>244</v>
      </c>
      <c r="D6" s="2">
        <v>21.7</v>
      </c>
      <c r="E6" s="12" t="s">
        <v>232</v>
      </c>
      <c r="F6" s="15">
        <v>0.12606263492724823</v>
      </c>
      <c r="G6" s="15">
        <f>F6 - Portfolio_Mgmt!$C$10</f>
        <v>3.9062634927248235E-2</v>
      </c>
      <c r="H6" s="15">
        <f>F6 - Portfolio_Mgmt!$C$11</f>
        <v>0.10706263492724823</v>
      </c>
      <c r="I6" s="15">
        <v>0</v>
      </c>
      <c r="J6" s="2">
        <v>13.256008806508849</v>
      </c>
      <c r="K6" s="2">
        <v>27.746753827145845</v>
      </c>
      <c r="L6" s="85">
        <v>25.846762954608369</v>
      </c>
      <c r="M6" s="2">
        <v>18.641740581682459</v>
      </c>
      <c r="N6" s="2">
        <v>24.031296839608316</v>
      </c>
      <c r="O6" s="4">
        <v>6.1025848929686627E-2</v>
      </c>
      <c r="P6" s="4">
        <v>4.3963133640553001E-2</v>
      </c>
      <c r="Q6" s="4">
        <v>0.15648173464349882</v>
      </c>
      <c r="R6" s="4">
        <v>0.13375671427886937</v>
      </c>
      <c r="S6" s="94">
        <v>0.66633267926556194</v>
      </c>
      <c r="T6" s="95">
        <v>1.7557268340491488</v>
      </c>
      <c r="U6" s="15">
        <v>0.3857437197038544</v>
      </c>
      <c r="V6" s="90">
        <v>2.3913910654887354</v>
      </c>
      <c r="W6" s="85">
        <v>3.5427832354191278</v>
      </c>
      <c r="X6" s="13" t="s">
        <v>245</v>
      </c>
      <c r="Y6" s="11" t="s">
        <v>154</v>
      </c>
      <c r="Z6" s="14">
        <v>45900</v>
      </c>
      <c r="AA6" s="16" t="s">
        <v>266</v>
      </c>
    </row>
    <row r="7" spans="1:27">
      <c r="B7" s="11" t="s">
        <v>246</v>
      </c>
      <c r="C7" s="11" t="s">
        <v>247</v>
      </c>
      <c r="D7" s="2">
        <v>5.43</v>
      </c>
      <c r="E7" s="12" t="s">
        <v>232</v>
      </c>
      <c r="F7" s="15">
        <v>0.1185488785993456</v>
      </c>
      <c r="G7" s="15">
        <f>F7 - Portfolio_Mgmt!$C$10</f>
        <v>3.1548878599345603E-2</v>
      </c>
      <c r="H7" s="15">
        <f>F7 - Portfolio_Mgmt!$C$11</f>
        <v>9.9548878599345594E-2</v>
      </c>
      <c r="I7" s="15">
        <v>0</v>
      </c>
      <c r="J7" s="2">
        <v>3.2367222690014161</v>
      </c>
      <c r="K7" s="2">
        <v>6.9895661568976033</v>
      </c>
      <c r="L7" s="85">
        <v>6.3521223870188166</v>
      </c>
      <c r="M7" s="2">
        <v>4.5682049056603367</v>
      </c>
      <c r="N7" s="2">
        <v>5.902408832447132</v>
      </c>
      <c r="O7" s="4">
        <v>4.2357292232312029E-2</v>
      </c>
      <c r="P7" s="4">
        <v>3.3314917127071818E-2</v>
      </c>
      <c r="Q7" s="4">
        <v>4.9029562887232557E-2</v>
      </c>
      <c r="R7" s="4">
        <v>5.0475725130946753E-2</v>
      </c>
      <c r="S7" s="94">
        <v>0.56944999111533989</v>
      </c>
      <c r="T7" s="95">
        <v>1.7057676125178334</v>
      </c>
      <c r="U7" s="15">
        <v>2.5694600492681609E-2</v>
      </c>
      <c r="V7" s="90">
        <v>0.53421555755411909</v>
      </c>
      <c r="W7" s="85">
        <v>-0.36074239393771346</v>
      </c>
      <c r="X7" s="13" t="s">
        <v>248</v>
      </c>
      <c r="Y7" s="11" t="s">
        <v>154</v>
      </c>
      <c r="Z7" s="14">
        <v>45900</v>
      </c>
      <c r="AA7" s="16" t="s">
        <v>266</v>
      </c>
    </row>
    <row r="8" spans="1:27">
      <c r="B8" s="11" t="s">
        <v>230</v>
      </c>
      <c r="C8" s="11" t="s">
        <v>231</v>
      </c>
      <c r="D8" s="2">
        <v>66.349999999999994</v>
      </c>
      <c r="E8" s="12" t="s">
        <v>232</v>
      </c>
      <c r="F8" s="15">
        <v>0.1143867662832263</v>
      </c>
      <c r="G8" s="15">
        <f>F8 - Portfolio_Mgmt!$C$10</f>
        <v>2.738676628322631E-2</v>
      </c>
      <c r="H8" s="15">
        <f>F8 - Portfolio_Mgmt!$C$11</f>
        <v>9.5386766283226301E-2</v>
      </c>
      <c r="I8" s="15">
        <v>0</v>
      </c>
      <c r="J8" s="2">
        <v>39.764265539137753</v>
      </c>
      <c r="K8" s="2">
        <v>77.785604602754844</v>
      </c>
      <c r="L8" s="85">
        <v>76.489631443032536</v>
      </c>
      <c r="M8" s="2">
        <v>55.502548055026942</v>
      </c>
      <c r="N8" s="2">
        <v>71.206942663777582</v>
      </c>
      <c r="O8" s="4">
        <v>5.4549734366997046E-2</v>
      </c>
      <c r="P8" s="4">
        <v>6.3033911077618701E-2</v>
      </c>
      <c r="Q8" s="4">
        <v>0.14093304007128551</v>
      </c>
      <c r="R8" s="4">
        <v>0.29188024664664569</v>
      </c>
      <c r="S8" s="94">
        <v>0.37062368553626046</v>
      </c>
      <c r="T8" s="95">
        <v>1.3027915865121182</v>
      </c>
      <c r="U8" s="15">
        <v>7.7640983998987034E-4</v>
      </c>
      <c r="V8" s="90">
        <v>5.5975167910006915E-3</v>
      </c>
      <c r="W8" s="85">
        <v>15.284602440692964</v>
      </c>
      <c r="X8" s="13" t="s">
        <v>229</v>
      </c>
      <c r="Y8" s="11" t="s">
        <v>154</v>
      </c>
      <c r="Z8" s="14">
        <v>45900</v>
      </c>
      <c r="AA8" s="16" t="s">
        <v>267</v>
      </c>
    </row>
    <row r="9" spans="1:27">
      <c r="B9" s="11" t="s">
        <v>269</v>
      </c>
      <c r="C9" s="11" t="s">
        <v>270</v>
      </c>
      <c r="D9" s="2">
        <v>10.26</v>
      </c>
      <c r="E9" s="12" t="s">
        <v>232</v>
      </c>
      <c r="F9" s="15">
        <v>0.11234903719576717</v>
      </c>
      <c r="G9" s="15">
        <f>F9 - Portfolio_Mgmt!$C$10</f>
        <v>2.5349037195767171E-2</v>
      </c>
      <c r="H9" s="15">
        <f>F9 - Portfolio_Mgmt!$C$11</f>
        <v>9.3349037195767162E-2</v>
      </c>
      <c r="I9" s="15">
        <v>0</v>
      </c>
      <c r="J9" s="2">
        <v>6.0252106849259528</v>
      </c>
      <c r="K9" s="2">
        <v>12.91528670453229</v>
      </c>
      <c r="L9" s="85">
        <v>11.80620806482221</v>
      </c>
      <c r="M9" s="2">
        <v>8.4964380432942921</v>
      </c>
      <c r="N9" s="2">
        <v>10.971932453508362</v>
      </c>
      <c r="O9" s="4">
        <v>3.4387368263847154E-2</v>
      </c>
      <c r="P9" s="4">
        <v>3.5087719298245619E-2</v>
      </c>
      <c r="Q9" s="4">
        <v>3.888300021475994E-2</v>
      </c>
      <c r="R9" s="4">
        <v>7.6099586896956867E-2</v>
      </c>
      <c r="S9" s="94">
        <v>0.30413488760323032</v>
      </c>
      <c r="T9" s="95">
        <v>1.6800075256655485</v>
      </c>
      <c r="U9" s="15">
        <v>9.2587702159681276E-2</v>
      </c>
      <c r="V9" s="90">
        <v>2.0939079363495856</v>
      </c>
      <c r="W9" s="85">
        <v>2.6400638402357823</v>
      </c>
      <c r="X9" s="13" t="s">
        <v>271</v>
      </c>
      <c r="Y9" s="11" t="s">
        <v>272</v>
      </c>
      <c r="Z9" s="14">
        <v>45900</v>
      </c>
      <c r="AA9" s="16" t="s">
        <v>266</v>
      </c>
    </row>
    <row r="10" spans="1:27">
      <c r="B10" s="11" t="s">
        <v>239</v>
      </c>
      <c r="C10" s="11" t="s">
        <v>240</v>
      </c>
      <c r="D10" s="2">
        <v>24.06</v>
      </c>
      <c r="E10" s="12" t="s">
        <v>232</v>
      </c>
      <c r="F10" s="15">
        <v>8.025555615701041E-2</v>
      </c>
      <c r="G10" s="15">
        <f>F10 - Portfolio_Mgmt!$C$10</f>
        <v>-6.7444438429895837E-3</v>
      </c>
      <c r="H10" s="15">
        <f>F10 - Portfolio_Mgmt!$C$11</f>
        <v>6.1255556157010407E-2</v>
      </c>
      <c r="I10" s="15">
        <v>0</v>
      </c>
      <c r="J10" s="2">
        <v>13.079690025486418</v>
      </c>
      <c r="K10" s="2">
        <v>26.888151196428591</v>
      </c>
      <c r="L10" s="85">
        <v>25.409202896038835</v>
      </c>
      <c r="M10" s="2">
        <v>18.356272555350223</v>
      </c>
      <c r="N10" s="2">
        <v>23.632551844105855</v>
      </c>
      <c r="O10" s="4">
        <v>0.22948322165369239</v>
      </c>
      <c r="P10" s="4">
        <v>4.4056525353283464E-2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22.34</v>
      </c>
      <c r="E11" s="12" t="s">
        <v>232</v>
      </c>
      <c r="F11" s="15">
        <v>4.803456216405988E-2</v>
      </c>
      <c r="G11" s="15">
        <f>F11 - Portfolio_Mgmt!$C$10</f>
        <v>-3.8965437835940114E-2</v>
      </c>
      <c r="H11" s="15">
        <f>F11 - Portfolio_Mgmt!$C$11</f>
        <v>2.903456216405988E-2</v>
      </c>
      <c r="I11" s="15">
        <v>0</v>
      </c>
      <c r="J11" s="2">
        <v>11.165268338950117</v>
      </c>
      <c r="K11" s="2">
        <v>22.601441956902718</v>
      </c>
      <c r="L11" s="85">
        <v>21.622888321317863</v>
      </c>
      <c r="M11" s="2">
        <v>15.642626483276317</v>
      </c>
      <c r="N11" s="2">
        <v>20.116801024749044</v>
      </c>
      <c r="O11" s="4">
        <v>4.8444260244107626E-2</v>
      </c>
      <c r="P11" s="4">
        <v>4.4315129811996423E-2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14.25</v>
      </c>
      <c r="E12" s="12" t="s">
        <v>232</v>
      </c>
      <c r="F12" s="15">
        <v>-7.5724920811838015E-2</v>
      </c>
      <c r="G12" s="15">
        <f>F12 - Portfolio_Mgmt!$C$10</f>
        <v>-0.16272492081183801</v>
      </c>
      <c r="H12" s="15">
        <f>F12 - Portfolio_Mgmt!$C$11</f>
        <v>-9.4724920811838018E-2</v>
      </c>
      <c r="I12" s="15">
        <v>0</v>
      </c>
      <c r="J12" s="2">
        <v>4.9106169541815241</v>
      </c>
      <c r="K12" s="2">
        <v>10.251430255232371</v>
      </c>
      <c r="L12" s="85">
        <v>9.5695828227600401</v>
      </c>
      <c r="M12" s="2">
        <v>6.9036475281066911</v>
      </c>
      <c r="N12" s="2">
        <v>8.8978683003699235</v>
      </c>
      <c r="O12" s="4">
        <v>3.1132643503964344E-2</v>
      </c>
      <c r="P12" s="4">
        <v>2.5263157894736845E-2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4.3400000000000001E-2</v>
      </c>
      <c r="D4" s="34">
        <v>7.4999999999999997E-2</v>
      </c>
      <c r="E4" s="35">
        <f>D4-C4</f>
        <v>3.1599999999999996E-2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0.53690427312636202</v>
      </c>
      <c r="H3" s="89">
        <f>Portfolio_Mgmt!E61</f>
        <v>0.3</v>
      </c>
      <c r="I3" s="96" t="s">
        <v>265</v>
      </c>
      <c r="J3" s="96" t="s">
        <v>265</v>
      </c>
      <c r="K3" s="96" t="s">
        <v>265</v>
      </c>
      <c r="L3" s="96" t="s">
        <v>265</v>
      </c>
    </row>
    <row r="4" spans="1:12">
      <c r="B4" s="77" t="s">
        <v>239</v>
      </c>
      <c r="C4" s="74">
        <f>VLOOKUP(B4,Opportunities!B$3:E$30,3,FALSE)</f>
        <v>24.06</v>
      </c>
      <c r="D4" s="73" t="str">
        <f>VLOOKUP(B4,Opportunities!B$3:E$30,4,FALSE)</f>
        <v>CNY</v>
      </c>
      <c r="E4" s="70">
        <v>3000</v>
      </c>
      <c r="F4" s="75">
        <f>C4*E4</f>
        <v>72180</v>
      </c>
      <c r="G4" s="72">
        <f t="shared" si="0"/>
        <v>0.22796323784859299</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14.89</v>
      </c>
      <c r="D5" s="73" t="str">
        <f>VLOOKUP(B5,Opportunities!B$3:E$30,4,FALSE)</f>
        <v>CNY</v>
      </c>
      <c r="E5" s="70">
        <v>5000</v>
      </c>
      <c r="F5" s="75">
        <f>C5*E5</f>
        <v>74450</v>
      </c>
      <c r="G5" s="72">
        <f t="shared" ref="G5" si="1">F5/$F$11</f>
        <v>0.23513248902504499</v>
      </c>
      <c r="H5" s="72">
        <f>VLOOKUP(B5,Opportunities!B$3:I$30,8,FALSE)</f>
        <v>0.28480811096600633</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316630</v>
      </c>
      <c r="G11" s="81">
        <f>SUM(G3:G9)</f>
        <v>1</v>
      </c>
      <c r="H11" s="87">
        <f>SUM(H3:H9)</f>
        <v>0.58480811096600638</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24.06</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44.19</v>
      </c>
      <c r="D15" s="73" t="str">
        <f>VLOOKUP(B15,Opportunities!B$3:E$30,4,FALSE)</f>
        <v>CNY</v>
      </c>
      <c r="E15" s="70">
        <v>0</v>
      </c>
      <c r="F15" s="75">
        <f>-C15*E15</f>
        <v>0</v>
      </c>
      <c r="G15" s="72">
        <f>-F15/$F$11</f>
        <v>0</v>
      </c>
      <c r="H15" s="72">
        <f>VLOOKUP(B15,Opportunities!B$3:I$30,8,FALSE)</f>
        <v>0.15376027625489308</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14.89</v>
      </c>
      <c r="D16" s="73" t="str">
        <f>VLOOKUP(B16,Opportunities!B$3:E$30,4,FALSE)</f>
        <v>CNY</v>
      </c>
      <c r="E16" s="70">
        <v>1000</v>
      </c>
      <c r="F16" s="75">
        <f>-C16*E16</f>
        <v>-14890</v>
      </c>
      <c r="G16" s="72">
        <f>-F16/$F$11</f>
        <v>4.7026497805009004E-2</v>
      </c>
      <c r="H16" s="72">
        <f>VLOOKUP(B16,Opportunities!B$3:I$30,8,FALSE)</f>
        <v>0.28480811096600633</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155110</v>
      </c>
      <c r="G18" s="87">
        <f t="shared" ref="G18" si="2">F18/$F$11</f>
        <v>0.48987777532135302</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2025-06-25T10:49:49Z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