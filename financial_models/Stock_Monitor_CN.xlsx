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4414A35F-6287-496C-90B9-FD022C865A04}"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G3" i="1"/>
  <c r="G4" i="1"/>
  <c r="G5" i="1"/>
  <c r="G6" i="1"/>
  <c r="G7" i="1"/>
  <c r="G8" i="1"/>
  <c r="G9" i="1"/>
  <c r="G10" i="1"/>
  <c r="G11" i="1"/>
  <c r="G12" i="1"/>
  <c r="H16" i="7"/>
  <c r="I16" i="7"/>
  <c r="J16" i="7"/>
  <c r="K16" i="7"/>
  <c r="L16" i="7"/>
  <c r="C16" i="7"/>
  <c r="F16" i="7" s="1"/>
  <c r="D16" i="7"/>
  <c r="J15" i="7"/>
  <c r="J14" i="7"/>
  <c r="J5" i="7"/>
  <c r="J4" i="7"/>
  <c r="I15" i="7"/>
  <c r="K15" i="7"/>
  <c r="L15" i="7"/>
  <c r="L14" i="7"/>
  <c r="K14" i="7"/>
  <c r="I14" i="7"/>
  <c r="I5" i="7"/>
  <c r="K5" i="7"/>
  <c r="L5" i="7"/>
  <c r="L4" i="7"/>
  <c r="K4" i="7"/>
  <c r="I4" i="7"/>
  <c r="H5" i="7"/>
  <c r="C5" i="7"/>
  <c r="F5" i="7" s="1"/>
  <c r="D5" i="7"/>
  <c r="H15" i="7" l="1"/>
  <c r="C15" i="7"/>
  <c r="D15" i="7"/>
  <c r="C36" i="5"/>
  <c r="C11" i="5"/>
  <c r="C10" i="5"/>
  <c r="D4" i="7"/>
  <c r="D14" i="7"/>
  <c r="H14" i="7"/>
  <c r="H4" i="7"/>
  <c r="C14" i="7"/>
  <c r="F14" i="7" s="1"/>
  <c r="C4" i="7"/>
  <c r="E36" i="5" l="1"/>
  <c r="C35" i="5" s="1"/>
  <c r="F15" i="7"/>
  <c r="F18" i="7" s="1"/>
  <c r="F4" i="7"/>
  <c r="C31" i="5"/>
  <c r="F11" i="7" l="1"/>
  <c r="G16" i="7" s="1"/>
  <c r="E60" i="5"/>
  <c r="G15" i="7" l="1"/>
  <c r="G5" i="7"/>
  <c r="G14" i="7"/>
  <c r="G18" i="7"/>
  <c r="E61" i="5"/>
  <c r="C16" i="2"/>
  <c r="E6" i="2"/>
  <c r="E5" i="2"/>
  <c r="E4" i="2"/>
  <c r="H18" i="7" l="1"/>
  <c r="H3" i="7"/>
  <c r="H11" i="7" s="1"/>
  <c r="D112" i="5"/>
  <c r="C64" i="5"/>
  <c r="C65" i="5" s="1"/>
  <c r="G4" i="7" l="1"/>
  <c r="G3" i="7"/>
  <c r="G11" i="7" l="1"/>
</calcChain>
</file>

<file path=xl/sharedStrings.xml><?xml version="1.0" encoding="utf-8"?>
<sst xmlns="http://schemas.openxmlformats.org/spreadsheetml/2006/main" count="334" uniqueCount="276">
  <si>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</si>
  <si>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</si>
  <si>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</si>
  <si>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</si>
  <si>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</si>
  <si>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</si>
  <si>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</si>
  <si>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</si>
  <si>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</si>
  <si>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</si>
  <si>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</si>
  <si>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</si>
  <si>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</si>
  <si>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</si>
  <si>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</si>
  <si>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</si>
  <si>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</si>
  <si>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</si>
  <si>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</si>
  <si>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</si>
  <si>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</si>
  <si>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</si>
  <si>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</si>
  <si>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</si>
  <si>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</si>
  <si>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</si>
  <si>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</si>
  <si>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</si>
  <si>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</si>
  <si>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</si>
  <si>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</si>
  <si>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</si>
  <si>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</si>
  <si>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</si>
  <si>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</si>
  <si>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</si>
  <si>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</si>
  <si>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</si>
  <si>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</si>
  <si>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</si>
  <si>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</si>
  <si>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</si>
  <si>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</si>
  <si>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</si>
  <si>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</si>
  <si>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</si>
  <si>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</si>
  <si>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</si>
  <si>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</si>
  <si>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</si>
  <si>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</si>
  <si>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</si>
  <si>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</si>
  <si>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</si>
  <si>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</si>
  <si>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</si>
  <si>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</si>
  <si>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</si>
  <si>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</si>
  <si>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</si>
  <si>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</si>
  <si>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</si>
  <si>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</si>
  <si>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</si>
  <si>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</si>
  <si>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</si>
  <si>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</si>
  <si>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</si>
  <si>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</si>
  <si>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</si>
  <si>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</si>
  <si>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</si>
  <si>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</si>
  <si>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</si>
  <si>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</si>
  <si>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</si>
  <si>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</si>
  <si>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</si>
  <si>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</si>
  <si>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</si>
  <si>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</si>
  <si>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</si>
  <si>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</si>
  <si>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</si>
  <si>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</si>
  <si>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</si>
  <si>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</si>
  <si>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</si>
  <si>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</si>
  <si>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</si>
  <si>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</si>
  <si>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</si>
  <si>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</si>
  <si>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</si>
  <si>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</si>
  <si>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</si>
  <si>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</si>
  <si>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</si>
  <si>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</si>
  <si>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</si>
  <si>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</si>
  <si>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</si>
  <si>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</si>
  <si>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</si>
  <si>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</si>
  <si>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</si>
  <si>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</si>
  <si>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</si>
  <si>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</si>
  <si>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</si>
  <si>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</si>
  <si>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</si>
  <si>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</si>
  <si>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</si>
  <si>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</si>
  <si>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</si>
  <si>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</si>
  <si>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</si>
  <si>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</si>
  <si>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</si>
  <si>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</si>
  <si>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</si>
  <si>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</si>
  <si>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</si>
  <si>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</si>
  <si>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</si>
  <si>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</si>
  <si>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</si>
  <si>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</si>
  <si>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</si>
  <si>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</si>
  <si>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</si>
  <si>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</si>
  <si>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</si>
  <si>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</si>
  <si>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</si>
  <si>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</si>
  <si>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</si>
  <si>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</si>
  <si>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</si>
  <si>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</si>
  <si>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</si>
  <si>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</si>
  <si>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</si>
  <si>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</si>
  <si>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</si>
  <si>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</si>
  <si>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</si>
  <si>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</si>
  <si>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</si>
  <si>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</si>
  <si>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</si>
  <si>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</si>
  <si>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</si>
  <si>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</si>
  <si>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</si>
  <si>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</si>
  <si>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</si>
  <si>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</si>
  <si>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</si>
  <si>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</si>
  <si>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</si>
  <si>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</si>
  <si>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</si>
  <si>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</si>
  <si>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</si>
  <si>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</si>
  <si>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</si>
  <si>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</si>
  <si>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</si>
  <si>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</si>
  <si>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</si>
  <si>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</si>
  <si>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</si>
  <si>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</si>
  <si>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</si>
  <si>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</si>
  <si>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</si>
  <si>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</si>
  <si>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</si>
  <si>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</si>
  <si>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</si>
  <si>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</si>
  <si>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</si>
  <si>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</si>
  <si>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</si>
  <si>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</si>
  <si>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</si>
  <si>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</si>
  <si>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</si>
  <si>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</si>
  <si>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</si>
  <si>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</si>
  <si>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</si>
  <si>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</si>
  <si>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</si>
  <si>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</si>
  <si>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</si>
  <si>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</si>
  <si>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</si>
  <si>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</si>
  <si>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</si>
  <si>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</si>
  <si>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</si>
  <si>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</si>
  <si>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</si>
  <si>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</si>
  <si>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</si>
  <si>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</si>
  <si>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</si>
  <si>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</si>
  <si>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</si>
  <si>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</si>
  <si>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</si>
  <si>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</si>
  <si>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</si>
  <si>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</si>
  <si>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</si>
  <si>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</si>
  <si>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</si>
  <si>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</si>
  <si>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</si>
  <si>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</si>
  <si>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</si>
  <si>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</si>
  <si>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</si>
  <si>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</si>
  <si>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Expansion expected</t>
  </si>
  <si>
    <t>Recession expected</t>
  </si>
  <si>
    <t>CNS_03</t>
  </si>
  <si>
    <t>002304.SZ</t>
  </si>
  <si>
    <t>洋河股份</t>
  </si>
  <si>
    <t>CNY</t>
  </si>
  <si>
    <t>600132.SS</t>
  </si>
  <si>
    <t>重庆啤酒</t>
  </si>
  <si>
    <t>Exit 
Price</t>
  </si>
  <si>
    <t>Sell 
Price</t>
  </si>
  <si>
    <t>Market  Yield</t>
  </si>
  <si>
    <t>CCY</t>
  </si>
  <si>
    <t>601166.SS</t>
  </si>
  <si>
    <t>兴业银行</t>
  </si>
  <si>
    <t>FIN_01</t>
  </si>
  <si>
    <t>CN (Last 20 yrs)</t>
  </si>
  <si>
    <t>002557.SZ</t>
  </si>
  <si>
    <t>洽洽食品</t>
  </si>
  <si>
    <t>CNS_01</t>
  </si>
  <si>
    <t>600583.SS</t>
  </si>
  <si>
    <t>海油工程</t>
  </si>
  <si>
    <t>ENG_03</t>
  </si>
  <si>
    <t>600007.SS</t>
  </si>
  <si>
    <t>中国国贸</t>
  </si>
  <si>
    <t>RES_01</t>
  </si>
  <si>
    <t>603279.SS</t>
  </si>
  <si>
    <t>景津装备</t>
  </si>
  <si>
    <t>IND_01</t>
  </si>
  <si>
    <t>Growth 
Classification</t>
  </si>
  <si>
    <t>603338.SS</t>
  </si>
  <si>
    <t>浙江鼎力</t>
  </si>
  <si>
    <t>300481.SZ</t>
  </si>
  <si>
    <t>濮阳惠成</t>
  </si>
  <si>
    <t>Balance Sheet Strength</t>
  </si>
  <si>
    <t>ROE Analysis</t>
  </si>
  <si>
    <t>ROE</t>
  </si>
  <si>
    <t>Sales/ Assets</t>
  </si>
  <si>
    <t>Assets/ Equity</t>
  </si>
  <si>
    <t>nm</t>
  </si>
  <si>
    <t>Y</t>
  </si>
  <si>
    <t>N</t>
  </si>
  <si>
    <t xml:space="preserve"> Profit/ Sales</t>
  </si>
  <si>
    <t>600373.SS</t>
  </si>
  <si>
    <t>中文传媒</t>
  </si>
  <si>
    <t>TMT_02</t>
  </si>
  <si>
    <t>Low Growth Asset Play</t>
  </si>
  <si>
    <t>Exit Price</t>
  </si>
  <si>
    <t>Sell Price</t>
  </si>
  <si>
    <t>Target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</si>
</sst>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13">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0" fillId="0" borderId="4" xfId="0" applyNumberFormat="1" applyFont="1" applyBorder="1"/>
    <xf numFmtId="10" fontId="21" fillId="0" borderId="0" xfId="0" applyNumberFormat="1" applyFont="1"/>
    <xf numFmtId="168" fontId="3" fillId="0" borderId="0" xfId="0" applyNumberFormat="1" applyFont="1"/>
    <xf numFmtId="168" fontId="3" fillId="0" borderId="0" xfId="0" applyNumberFormat="1" applyFont="1" applyAlignment="1">
      <alignment horizontal="right"/>
    </xf>
    <xf numFmtId="4" fontId="28" fillId="0" borderId="0" xfId="0" applyNumberFormat="1" applyFont="1" applyAlignment="1">
      <alignment horizontal="right"/>
    </xf>
    <xf numFmtId="4" fontId="28" fillId="0" borderId="3" xfId="0" applyNumberFormat="1" applyFont="1" applyBorder="1" applyAlignment="1">
      <alignment horizontal="right"/>
    </xf>
    <xf numFmtId="4" fontId="28"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4" zoomScaleNormal="100" workbookViewId="0">
      <selection activeCell="C11" sqref="C11"/>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155</v>
      </c>
    </row>
    <row r="2" spans="1:5">
      <c r="A2" s="21" t="s">
        <v>52</v>
      </c>
      <c r="B2" s="21"/>
      <c r="C2" s="21"/>
      <c r="D2" s="21"/>
      <c r="E2" s="21"/>
    </row>
    <row r="4" spans="1:5" ht="24.5" customHeight="1">
      <c r="B4" s="99" t="s">
        <v>204</v>
      </c>
      <c r="C4" s="99"/>
      <c r="D4" s="99"/>
      <c r="E4" s="99"/>
    </row>
    <row r="6" spans="1:5">
      <c r="A6" s="20" t="s">
        <v>63</v>
      </c>
      <c r="B6" s="19" t="s">
        <v>187</v>
      </c>
      <c r="C6" s="60"/>
    </row>
    <row r="7" spans="1:5">
      <c r="B7" s="99" t="s">
        <v>192</v>
      </c>
      <c r="C7" s="99"/>
      <c r="D7" s="99"/>
      <c r="E7" s="99"/>
    </row>
    <row r="9" spans="1:5">
      <c r="B9" s="23" t="s">
        <v>55</v>
      </c>
    </row>
    <row r="10" spans="1:5">
      <c r="B10" s="1" t="s">
        <v>61</v>
      </c>
      <c r="C10" s="93">
        <f>Market_Yield!D16</f>
        <v>8.6999999999999994E-2</v>
      </c>
    </row>
    <row r="11" spans="1:5">
      <c r="B11" s="1" t="s">
        <v>51</v>
      </c>
      <c r="C11" s="93">
        <f>Market_Yield!C5</f>
        <v>1.9E-2</v>
      </c>
    </row>
    <row r="12" spans="1:5">
      <c r="C12" s="4"/>
    </row>
    <row r="13" spans="1:5">
      <c r="B13" s="23" t="s">
        <v>56</v>
      </c>
      <c r="C13" s="4"/>
    </row>
    <row r="14" spans="1:5">
      <c r="B14" s="1" t="s">
        <v>189</v>
      </c>
      <c r="C14" s="4" t="s">
        <v>190</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188</v>
      </c>
    </row>
    <row r="23" spans="1:5">
      <c r="A23" s="25" t="s">
        <v>64</v>
      </c>
      <c r="B23" s="19" t="s">
        <v>186</v>
      </c>
      <c r="C23" s="60"/>
    </row>
    <row r="24" spans="1:5">
      <c r="A24" s="18"/>
      <c r="B24" s="99" t="s">
        <v>203</v>
      </c>
      <c r="C24" s="99"/>
      <c r="D24" s="99"/>
      <c r="E24" s="99"/>
    </row>
    <row r="25" spans="1:5">
      <c r="A25" s="18"/>
    </row>
    <row r="26" spans="1:5">
      <c r="A26" s="18"/>
      <c r="B26" s="49" t="s">
        <v>149</v>
      </c>
      <c r="C26" s="49" t="s">
        <v>143</v>
      </c>
    </row>
    <row r="27" spans="1:5">
      <c r="B27" s="26" t="s">
        <v>81</v>
      </c>
      <c r="C27" s="50">
        <v>4</v>
      </c>
    </row>
    <row r="28" spans="1:5">
      <c r="B28" s="26" t="s">
        <v>60</v>
      </c>
      <c r="C28" s="51">
        <v>0.5</v>
      </c>
    </row>
    <row r="30" spans="1:5">
      <c r="B30" s="49" t="s">
        <v>150</v>
      </c>
      <c r="C30" s="49" t="s">
        <v>143</v>
      </c>
    </row>
    <row r="31" spans="1:5">
      <c r="B31" s="26" t="s">
        <v>144</v>
      </c>
      <c r="C31" s="58">
        <f>C27-C32</f>
        <v>3</v>
      </c>
    </row>
    <row r="32" spans="1:5">
      <c r="B32" s="26" t="s">
        <v>142</v>
      </c>
      <c r="C32" s="57">
        <v>1</v>
      </c>
    </row>
    <row r="34" spans="1:5">
      <c r="A34" s="20" t="s">
        <v>65</v>
      </c>
      <c r="B34" s="19" t="s">
        <v>12</v>
      </c>
      <c r="C34" s="60"/>
      <c r="D34" s="22"/>
    </row>
    <row r="35" spans="1:5">
      <c r="B35" s="1" t="s">
        <v>13</v>
      </c>
      <c r="C35" s="47">
        <f>E36+15%</f>
        <v>0.33699999999999997</v>
      </c>
      <c r="D35" s="18" t="s">
        <v>53</v>
      </c>
      <c r="E35" s="91">
        <v>3</v>
      </c>
    </row>
    <row r="36" spans="1:5">
      <c r="B36" s="1" t="s">
        <v>14</v>
      </c>
      <c r="C36" s="48">
        <f>MAX(6%,Market_Yield!C5:D6)</f>
        <v>0.06</v>
      </c>
      <c r="D36" s="1" t="s">
        <v>224</v>
      </c>
      <c r="E36" s="47">
        <f>benchmark+10%</f>
        <v>0.187</v>
      </c>
    </row>
    <row r="38" spans="1:5">
      <c r="B38" s="20" t="s">
        <v>82</v>
      </c>
    </row>
    <row r="39" spans="1:5">
      <c r="B39" s="99" t="s">
        <v>151</v>
      </c>
      <c r="C39" s="99"/>
      <c r="D39" s="99"/>
      <c r="E39" s="99"/>
    </row>
    <row r="40" spans="1:5" ht="46.5" customHeight="1">
      <c r="B40" s="99" t="s">
        <v>216</v>
      </c>
      <c r="C40" s="99"/>
      <c r="D40" s="99"/>
      <c r="E40" s="99"/>
    </row>
    <row r="42" spans="1:5">
      <c r="A42" s="21" t="s">
        <v>170</v>
      </c>
      <c r="B42" s="21"/>
      <c r="C42" s="21"/>
      <c r="D42" s="21"/>
      <c r="E42" s="21"/>
    </row>
    <row r="44" spans="1:5">
      <c r="B44" s="99" t="s">
        <v>191</v>
      </c>
      <c r="C44" s="99"/>
      <c r="D44" s="99"/>
      <c r="E44" s="99"/>
    </row>
    <row r="46" spans="1:5">
      <c r="B46" s="23" t="s">
        <v>87</v>
      </c>
    </row>
    <row r="48" spans="1:5">
      <c r="B48" s="49" t="s">
        <v>88</v>
      </c>
      <c r="C48" s="49" t="s">
        <v>182</v>
      </c>
      <c r="D48" s="55"/>
      <c r="E48" s="55"/>
    </row>
    <row r="49" spans="2:5">
      <c r="B49" s="26" t="s">
        <v>84</v>
      </c>
      <c r="C49" s="29">
        <v>0.5</v>
      </c>
      <c r="D49" s="56"/>
      <c r="E49" s="54"/>
    </row>
    <row r="50" spans="2:5">
      <c r="B50" s="26" t="s">
        <v>85</v>
      </c>
      <c r="C50" s="29">
        <v>0.3</v>
      </c>
      <c r="D50" s="56"/>
      <c r="E50" s="54"/>
    </row>
    <row r="51" spans="2:5">
      <c r="B51" s="26" t="s">
        <v>86</v>
      </c>
      <c r="C51" s="29">
        <v>0.2</v>
      </c>
      <c r="D51" s="61" t="s">
        <v>205</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227</v>
      </c>
      <c r="D58" s="26" t="s">
        <v>228</v>
      </c>
      <c r="E58" s="41">
        <v>1</v>
      </c>
    </row>
    <row r="59" spans="2:5">
      <c r="B59" s="26" t="s">
        <v>69</v>
      </c>
      <c r="C59" s="26" t="s">
        <v>71</v>
      </c>
      <c r="D59" s="26" t="s">
        <v>75</v>
      </c>
      <c r="E59" s="41">
        <v>1</v>
      </c>
    </row>
    <row r="60" spans="2:5">
      <c r="D60" s="27" t="s">
        <v>76</v>
      </c>
      <c r="E60" s="40">
        <f>SUM(E56:E59)</f>
        <v>4</v>
      </c>
    </row>
    <row r="61" spans="2:5" ht="12" thickBot="1">
      <c r="D61" s="42" t="s">
        <v>180</v>
      </c>
      <c r="E61" s="43">
        <f>IF(E60&lt;=2,C49,IF(E60&gt;=6,C51,C50))</f>
        <v>0.3</v>
      </c>
    </row>
    <row r="62" spans="2:5" ht="12" thickTop="1"/>
    <row r="63" spans="2:5">
      <c r="B63" s="23" t="s">
        <v>181</v>
      </c>
    </row>
    <row r="64" spans="2:5">
      <c r="B64" s="52" t="s">
        <v>156</v>
      </c>
      <c r="C64" s="53">
        <f>-E61*(C35-Cash_Yield)</f>
        <v>-9.5399999999999985E-2</v>
      </c>
    </row>
    <row r="65" spans="1:5">
      <c r="B65" s="52" t="s">
        <v>157</v>
      </c>
      <c r="C65" s="53">
        <f>C35+C64</f>
        <v>0.24159999999999998</v>
      </c>
    </row>
    <row r="66" spans="1:5">
      <c r="B66" s="45"/>
      <c r="C66" s="46"/>
    </row>
    <row r="67" spans="1:5">
      <c r="B67" s="39" t="s">
        <v>185</v>
      </c>
    </row>
    <row r="69" spans="1:5">
      <c r="A69" s="21" t="s">
        <v>77</v>
      </c>
      <c r="B69" s="21"/>
      <c r="C69" s="21"/>
      <c r="D69" s="21"/>
      <c r="E69" s="21"/>
    </row>
    <row r="71" spans="1:5">
      <c r="B71" s="99" t="s">
        <v>179</v>
      </c>
      <c r="C71" s="99"/>
      <c r="D71" s="99"/>
      <c r="E71" s="99"/>
    </row>
    <row r="73" spans="1:5">
      <c r="A73" s="28" t="s">
        <v>63</v>
      </c>
      <c r="B73" s="20" t="s">
        <v>161</v>
      </c>
    </row>
    <row r="74" spans="1:5">
      <c r="B74" s="24" t="s">
        <v>207</v>
      </c>
    </row>
    <row r="75" spans="1:5">
      <c r="B75" s="24" t="s">
        <v>206</v>
      </c>
    </row>
    <row r="77" spans="1:5">
      <c r="A77" s="28" t="s">
        <v>123</v>
      </c>
      <c r="B77" s="20" t="s">
        <v>160</v>
      </c>
    </row>
    <row r="78" spans="1:5">
      <c r="B78" s="39" t="s">
        <v>162</v>
      </c>
    </row>
    <row r="79" spans="1:5">
      <c r="B79" s="24" t="s">
        <v>163</v>
      </c>
    </row>
    <row r="80" spans="1:5">
      <c r="B80" s="24" t="s">
        <v>164</v>
      </c>
    </row>
    <row r="81" spans="1:5">
      <c r="B81" s="24" t="s">
        <v>171</v>
      </c>
    </row>
    <row r="83" spans="1:5">
      <c r="A83" s="28" t="s">
        <v>141</v>
      </c>
      <c r="B83" s="20" t="s">
        <v>199</v>
      </c>
    </row>
    <row r="84" spans="1:5">
      <c r="B84" s="24" t="s">
        <v>174</v>
      </c>
    </row>
    <row r="85" spans="1:5">
      <c r="B85" s="102" t="s">
        <v>175</v>
      </c>
      <c r="C85" s="102"/>
      <c r="D85" s="102"/>
      <c r="E85" s="102"/>
    </row>
    <row r="86" spans="1:5">
      <c r="B86" s="101" t="s">
        <v>173</v>
      </c>
      <c r="C86" s="101"/>
      <c r="D86" s="101"/>
      <c r="E86" s="101"/>
    </row>
    <row r="87" spans="1:5" ht="24.5" customHeight="1">
      <c r="B87" s="99" t="s">
        <v>172</v>
      </c>
      <c r="C87" s="99"/>
      <c r="D87" s="99"/>
      <c r="E87" s="99"/>
    </row>
    <row r="88" spans="1:5" ht="24.5" customHeight="1">
      <c r="B88" s="99" t="s">
        <v>208</v>
      </c>
      <c r="C88" s="99"/>
      <c r="D88" s="99"/>
      <c r="E88" s="99"/>
    </row>
    <row r="90" spans="1:5">
      <c r="B90" s="24" t="s">
        <v>177</v>
      </c>
    </row>
    <row r="91" spans="1:5">
      <c r="B91" s="1" t="s">
        <v>176</v>
      </c>
    </row>
    <row r="92" spans="1:5">
      <c r="B92" s="59" t="s">
        <v>165</v>
      </c>
    </row>
    <row r="93" spans="1:5">
      <c r="B93" s="24" t="s">
        <v>178</v>
      </c>
    </row>
    <row r="94" spans="1:5">
      <c r="B94" s="24" t="s">
        <v>166</v>
      </c>
    </row>
    <row r="96" spans="1:5">
      <c r="B96" s="24" t="s">
        <v>193</v>
      </c>
    </row>
    <row r="97" spans="1:5">
      <c r="B97" s="100" t="s">
        <v>194</v>
      </c>
      <c r="C97" s="100"/>
      <c r="D97" s="100"/>
      <c r="E97" s="100"/>
    </row>
    <row r="99" spans="1:5">
      <c r="B99" s="24" t="s">
        <v>198</v>
      </c>
    </row>
    <row r="100" spans="1:5" ht="12.4">
      <c r="B100" s="100" t="s">
        <v>195</v>
      </c>
      <c r="C100" s="100"/>
      <c r="D100" s="100"/>
      <c r="E100" s="100"/>
    </row>
    <row r="101" spans="1:5" ht="58.5" customHeight="1">
      <c r="B101" s="99" t="s">
        <v>202</v>
      </c>
      <c r="C101" s="99"/>
      <c r="D101" s="99"/>
      <c r="E101" s="99"/>
    </row>
    <row r="103" spans="1:5">
      <c r="A103" s="28" t="s">
        <v>168</v>
      </c>
      <c r="B103" s="20" t="s">
        <v>167</v>
      </c>
    </row>
    <row r="104" spans="1:5">
      <c r="B104" s="1" t="s">
        <v>183</v>
      </c>
    </row>
    <row r="105" spans="1:5">
      <c r="B105" s="1" t="s">
        <v>184</v>
      </c>
    </row>
    <row r="107" spans="1:5">
      <c r="B107" s="1" t="s">
        <v>169</v>
      </c>
    </row>
    <row r="108" spans="1:5">
      <c r="B108" s="1" t="s">
        <v>196</v>
      </c>
    </row>
    <row r="110" spans="1:5">
      <c r="B110" s="23" t="s">
        <v>152</v>
      </c>
    </row>
    <row r="111" spans="1:5">
      <c r="B111" s="1" t="s">
        <v>158</v>
      </c>
      <c r="C111" s="44">
        <v>0.30000000000000004</v>
      </c>
    </row>
    <row r="112" spans="1:5">
      <c r="B112" s="1" t="s">
        <v>159</v>
      </c>
      <c r="C112" s="44">
        <v>0.13622076029805627</v>
      </c>
      <c r="D112" s="60" t="str">
        <f>IF(C112&lt;benchmark,"Warning: Return is lower than the Benchmark.","")</f>
        <v/>
      </c>
    </row>
    <row r="114" spans="1:5" ht="24.5" customHeight="1">
      <c r="B114" s="99" t="s">
        <v>200</v>
      </c>
      <c r="C114" s="99"/>
      <c r="D114" s="99"/>
      <c r="E114" s="99"/>
    </row>
    <row r="116" spans="1:5">
      <c r="A116" s="21" t="s">
        <v>78</v>
      </c>
      <c r="B116" s="21"/>
      <c r="C116" s="21"/>
      <c r="D116" s="21"/>
      <c r="E116" s="21"/>
    </row>
    <row r="118" spans="1:5">
      <c r="B118" s="20" t="s">
        <v>79</v>
      </c>
    </row>
    <row r="119" spans="1:5">
      <c r="B119" s="24" t="s">
        <v>93</v>
      </c>
    </row>
    <row r="120" spans="1:5">
      <c r="B120" s="24" t="s">
        <v>94</v>
      </c>
    </row>
    <row r="121" spans="1:5">
      <c r="B121" s="24" t="s">
        <v>201</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110" zoomScaleNormal="110" workbookViewId="0">
      <pane xSplit="3" ySplit="2" topLeftCell="D3" activePane="bottomRight" state="frozen"/>
      <selection pane="topRight" activeCell="D1" sqref="D1"/>
      <selection pane="bottomLeft" activeCell="A5" sqref="A5"/>
      <selection pane="bottomRight" activeCell="I12" sqref="I12"/>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5" customWidth="1"/>
    <col min="21" max="21" width="9.46484375" style="15" bestFit="1" customWidth="1"/>
    <col min="22" max="22" width="8.6640625" style="90" customWidth="1"/>
    <col min="23" max="23" width="8.6640625" style="85" customWidth="1"/>
    <col min="24" max="24" width="8.6640625" style="1" customWidth="1"/>
    <col min="25" max="25" width="20.6640625" style="1" customWidth="1"/>
    <col min="26" max="26" width="11.796875" style="3" bestFit="1" customWidth="1"/>
    <col min="27" max="27" width="8.796875" style="11"/>
    <col min="28" max="16384" width="8.796875" style="1"/>
  </cols>
  <sheetData>
    <row r="1" spans="1:27">
      <c r="A1" s="5"/>
      <c r="B1" s="6" t="s">
        <v>3</v>
      </c>
      <c r="C1" s="11"/>
      <c r="D1" s="105" t="s">
        <v>1</v>
      </c>
      <c r="E1" s="105"/>
      <c r="F1" s="105"/>
      <c r="G1" s="106" t="s">
        <v>96</v>
      </c>
      <c r="H1" s="106"/>
      <c r="I1" s="106"/>
      <c r="J1" s="108" t="s">
        <v>4</v>
      </c>
      <c r="K1" s="108"/>
      <c r="L1" s="108"/>
      <c r="M1" s="107" t="s">
        <v>226</v>
      </c>
      <c r="N1" s="107"/>
      <c r="O1" s="103" t="s">
        <v>8</v>
      </c>
      <c r="P1" s="103"/>
      <c r="Q1" s="110" t="s">
        <v>261</v>
      </c>
      <c r="R1" s="110"/>
      <c r="S1" s="110"/>
      <c r="T1" s="110"/>
      <c r="U1" s="109" t="s">
        <v>260</v>
      </c>
      <c r="V1" s="109"/>
      <c r="W1" s="109"/>
      <c r="X1" s="104" t="s">
        <v>50</v>
      </c>
      <c r="Y1" s="104"/>
      <c r="Z1" s="104"/>
      <c r="AA1" s="104"/>
    </row>
    <row r="2" spans="1:27" ht="26" customHeight="1">
      <c r="B2" s="7" t="s">
        <v>2</v>
      </c>
      <c r="C2" s="7" t="s">
        <v>0</v>
      </c>
      <c r="D2" s="8" t="s">
        <v>1</v>
      </c>
      <c r="E2" s="7" t="s">
        <v>238</v>
      </c>
      <c r="F2" s="7" t="s">
        <v>237</v>
      </c>
      <c r="G2" s="7" t="s">
        <v>58</v>
      </c>
      <c r="H2" s="7" t="s">
        <v>59</v>
      </c>
      <c r="I2" s="7" t="s">
        <v>197</v>
      </c>
      <c r="J2" s="8" t="s">
        <v>7</v>
      </c>
      <c r="K2" s="8" t="s">
        <v>10</v>
      </c>
      <c r="L2" s="8" t="s">
        <v>236</v>
      </c>
      <c r="M2" s="8" t="s">
        <v>225</v>
      </c>
      <c r="N2" s="8" t="s">
        <v>235</v>
      </c>
      <c r="O2" s="7" t="s">
        <v>11</v>
      </c>
      <c r="P2" s="7" t="s">
        <v>6</v>
      </c>
      <c r="Q2" s="7" t="s">
        <v>262</v>
      </c>
      <c r="R2" s="7" t="s">
        <v>268</v>
      </c>
      <c r="S2" s="7" t="s">
        <v>263</v>
      </c>
      <c r="T2" s="7" t="s">
        <v>264</v>
      </c>
      <c r="U2" s="7" t="s">
        <v>221</v>
      </c>
      <c r="V2" s="7" t="s">
        <v>223</v>
      </c>
      <c r="W2" s="7" t="s">
        <v>222</v>
      </c>
      <c r="X2" s="7" t="s">
        <v>5</v>
      </c>
      <c r="Y2" s="7" t="s">
        <v>255</v>
      </c>
      <c r="Z2" s="9" t="s">
        <v>9</v>
      </c>
      <c r="AA2" s="10" t="s">
        <v>49</v>
      </c>
    </row>
    <row r="3" spans="1:27">
      <c r="B3" s="11" t="s">
        <v>252</v>
      </c>
      <c r="C3" s="11" t="s">
        <v>253</v>
      </c>
      <c r="D3" s="2">
        <v>16.23</v>
      </c>
      <c r="E3" s="12" t="s">
        <v>232</v>
      </c>
      <c r="F3" s="15">
        <v>0.22064810646638167</v>
      </c>
      <c r="G3" s="15">
        <f>F3 - Portfolio_Mgmt!$C$10</f>
        <v>0.13364810646638167</v>
      </c>
      <c r="H3" s="15">
        <f>F3 - Portfolio_Mgmt!$C$11</f>
        <v>0.20164810646638168</v>
      </c>
      <c r="I3" s="15">
        <v>0.32737107784329628</v>
      </c>
      <c r="J3" s="2">
        <v>12.534408209968158</v>
      </c>
      <c r="K3" s="2">
        <v>25.584938697660867</v>
      </c>
      <c r="L3" s="85">
        <v>24.315000552184742</v>
      </c>
      <c r="M3" s="2">
        <v>17.577047192866189</v>
      </c>
      <c r="N3" s="2">
        <v>22.61787767563613</v>
      </c>
      <c r="O3" s="4">
        <v>8.3771990059168286E-2</v>
      </c>
      <c r="P3" s="4">
        <v>6.5311152187307459E-2</v>
      </c>
      <c r="Q3" s="4">
        <v>0.23409392300550072</v>
      </c>
      <c r="R3" s="4">
        <v>0.173581864935303</v>
      </c>
      <c r="S3" s="94">
        <v>0.69418106703013427</v>
      </c>
      <c r="T3" s="95">
        <v>1.9427325871638936</v>
      </c>
      <c r="U3" s="15">
        <v>6.0553888114002474E-2</v>
      </c>
      <c r="V3" s="90">
        <v>0.26060254325045429</v>
      </c>
      <c r="W3" s="85">
        <v>-0.43338518935931036</v>
      </c>
      <c r="X3" s="13" t="s">
        <v>254</v>
      </c>
      <c r="Y3" s="11" t="s">
        <v>154</v>
      </c>
      <c r="Z3" s="14">
        <v>45900</v>
      </c>
      <c r="AA3" s="16" t="s">
        <v>266</v>
      </c>
    </row>
    <row r="4" spans="1:27">
      <c r="B4" s="11" t="s">
        <v>233</v>
      </c>
      <c r="C4" s="11" t="s">
        <v>234</v>
      </c>
      <c r="D4" s="2">
        <v>57.95</v>
      </c>
      <c r="E4" s="12" t="s">
        <v>232</v>
      </c>
      <c r="F4" s="15">
        <v>0.16299937898285255</v>
      </c>
      <c r="G4" s="15">
        <f>F4 - Portfolio_Mgmt!$C$10</f>
        <v>7.5999378982852556E-2</v>
      </c>
      <c r="H4" s="15">
        <f>F4 - Portfolio_Mgmt!$C$11</f>
        <v>0.14399937898285256</v>
      </c>
      <c r="I4" s="15">
        <v>0.24183884122084953</v>
      </c>
      <c r="J4" s="2">
        <v>38.753046443654675</v>
      </c>
      <c r="K4" s="2">
        <v>82.72003076740333</v>
      </c>
      <c r="L4" s="85">
        <v>75.868561604045041</v>
      </c>
      <c r="M4" s="2">
        <v>54.620804067443785</v>
      </c>
      <c r="N4" s="2">
        <v>70.513102505372515</v>
      </c>
      <c r="O4" s="4">
        <v>7.4875256297238471E-2</v>
      </c>
      <c r="P4" s="4">
        <v>4.1415012942191541E-2</v>
      </c>
      <c r="Q4" s="4">
        <v>1.2182305488640417</v>
      </c>
      <c r="R4" s="4">
        <v>0.21117895977217718</v>
      </c>
      <c r="S4" s="94">
        <v>1.2904821269100146</v>
      </c>
      <c r="T4" s="95">
        <v>4.4701988818540466</v>
      </c>
      <c r="U4" s="15">
        <v>5.0341856510546588E-2</v>
      </c>
      <c r="V4" s="90">
        <v>4.1762542981319963E-2</v>
      </c>
      <c r="W4" s="85">
        <v>-13.312996389940134</v>
      </c>
      <c r="X4" s="13" t="s">
        <v>229</v>
      </c>
      <c r="Y4" s="11" t="s">
        <v>154</v>
      </c>
      <c r="Z4" s="14">
        <v>45900</v>
      </c>
      <c r="AA4" s="16" t="s">
        <v>266</v>
      </c>
    </row>
    <row r="5" spans="1:27">
      <c r="B5" s="11" t="s">
        <v>256</v>
      </c>
      <c r="C5" s="11" t="s">
        <v>257</v>
      </c>
      <c r="D5" s="2">
        <v>45.5</v>
      </c>
      <c r="E5" s="12" t="s">
        <v>232</v>
      </c>
      <c r="F5" s="15">
        <v>0.14425689465240721</v>
      </c>
      <c r="G5" s="15">
        <f>F5 - Portfolio_Mgmt!$C$10</f>
        <v>5.7256894652407214E-2</v>
      </c>
      <c r="H5" s="15">
        <f>F5 - Portfolio_Mgmt!$C$11</f>
        <v>0.12525689465240722</v>
      </c>
      <c r="I5" s="15">
        <v>0.1307900809358542</v>
      </c>
      <c r="J5" s="2">
        <v>28.803263731047231</v>
      </c>
      <c r="K5" s="2">
        <v>64.714648137522119</v>
      </c>
      <c r="L5" s="85">
        <v>57.008678420375631</v>
      </c>
      <c r="M5" s="2">
        <v>40.844732114544499</v>
      </c>
      <c r="N5" s="2">
        <v>52.931363368704652</v>
      </c>
      <c r="O5" s="4">
        <v>4.7538006825137549E-2</v>
      </c>
      <c r="P5" s="4">
        <v>2.197802197802198E-2</v>
      </c>
      <c r="Q5" s="4">
        <v>0.14549955248916155</v>
      </c>
      <c r="R5" s="4">
        <v>0.22405670341828193</v>
      </c>
      <c r="S5" s="94">
        <v>0.42456310191863128</v>
      </c>
      <c r="T5" s="95">
        <v>1.5295422156001708</v>
      </c>
      <c r="U5" s="15">
        <v>5.3145118525683231E-2</v>
      </c>
      <c r="V5" s="90">
        <v>0.36488435676778314</v>
      </c>
      <c r="W5" s="85">
        <v>5.6082458208015922</v>
      </c>
      <c r="X5" s="13" t="s">
        <v>254</v>
      </c>
      <c r="Y5" s="11" t="s">
        <v>154</v>
      </c>
      <c r="Z5" s="14">
        <v>45900</v>
      </c>
      <c r="AA5" s="16" t="s">
        <v>266</v>
      </c>
    </row>
    <row r="6" spans="1:27">
      <c r="B6" s="11" t="s">
        <v>246</v>
      </c>
      <c r="C6" s="11" t="s">
        <v>247</v>
      </c>
      <c r="D6" s="2">
        <v>5.24</v>
      </c>
      <c r="E6" s="12" t="s">
        <v>232</v>
      </c>
      <c r="F6" s="15">
        <v>0.13581828655717021</v>
      </c>
      <c r="G6" s="15">
        <f>F6 - Portfolio_Mgmt!$C$10</f>
        <v>4.8818286557170215E-2</v>
      </c>
      <c r="H6" s="15">
        <f>F6 - Portfolio_Mgmt!$C$11</f>
        <v>0.11681828655717021</v>
      </c>
      <c r="I6" s="15">
        <v>0</v>
      </c>
      <c r="J6" s="2">
        <v>3.2714103607293628</v>
      </c>
      <c r="K6" s="2">
        <v>6.9895661568976033</v>
      </c>
      <c r="L6" s="85">
        <v>6.4058499272029952</v>
      </c>
      <c r="M6" s="2">
        <v>4.6114224254647684</v>
      </c>
      <c r="N6" s="2">
        <v>5.9535611226219638</v>
      </c>
      <c r="O6" s="4">
        <v>4.3893148248369145E-2</v>
      </c>
      <c r="P6" s="4">
        <v>3.8358778625954194E-2</v>
      </c>
      <c r="Q6" s="4">
        <v>4.9029562887232557E-2</v>
      </c>
      <c r="R6" s="4">
        <v>5.0475725130946753E-2</v>
      </c>
      <c r="S6" s="94">
        <v>0.56944999111533989</v>
      </c>
      <c r="T6" s="95">
        <v>1.7057676125178334</v>
      </c>
      <c r="U6" s="15">
        <v>2.5694600492681609E-2</v>
      </c>
      <c r="V6" s="90">
        <v>0.53421555755411909</v>
      </c>
      <c r="W6" s="85">
        <v>-0.36074239393771346</v>
      </c>
      <c r="X6" s="13" t="s">
        <v>248</v>
      </c>
      <c r="Y6" s="11" t="s">
        <v>154</v>
      </c>
      <c r="Z6" s="14">
        <v>45900</v>
      </c>
      <c r="AA6" s="16" t="s">
        <v>266</v>
      </c>
    </row>
    <row r="7" spans="1:27">
      <c r="B7" s="11" t="s">
        <v>230</v>
      </c>
      <c r="C7" s="11" t="s">
        <v>231</v>
      </c>
      <c r="D7" s="2">
        <v>67.12</v>
      </c>
      <c r="E7" s="12" t="s">
        <v>232</v>
      </c>
      <c r="F7" s="15">
        <v>0.11648442745867205</v>
      </c>
      <c r="G7" s="15">
        <f>F7 - Portfolio_Mgmt!$C$10</f>
        <v>2.9484427458672052E-2</v>
      </c>
      <c r="H7" s="15">
        <f>F7 - Portfolio_Mgmt!$C$11</f>
        <v>9.7484427458672043E-2</v>
      </c>
      <c r="I7" s="15">
        <v>0</v>
      </c>
      <c r="J7" s="2">
        <v>40.566233510579387</v>
      </c>
      <c r="K7" s="2">
        <v>77.785604602754844</v>
      </c>
      <c r="L7" s="85">
        <v>77.731780095947357</v>
      </c>
      <c r="M7" s="2">
        <v>56.501711311401053</v>
      </c>
      <c r="N7" s="2">
        <v>72.389553073938998</v>
      </c>
      <c r="O7" s="4">
        <v>5.3923940334479337E-2</v>
      </c>
      <c r="P7" s="4">
        <v>6.9234207389749697E-2</v>
      </c>
      <c r="Q7" s="4">
        <v>0.14093304007128551</v>
      </c>
      <c r="R7" s="4">
        <v>0.29188024664664569</v>
      </c>
      <c r="S7" s="94">
        <v>0.37062368553626046</v>
      </c>
      <c r="T7" s="95">
        <v>1.3027915865121182</v>
      </c>
      <c r="U7" s="15">
        <v>7.7640983998987034E-4</v>
      </c>
      <c r="V7" s="90">
        <v>5.5975167910006915E-3</v>
      </c>
      <c r="W7" s="85">
        <v>15.284602440692964</v>
      </c>
      <c r="X7" s="13" t="s">
        <v>229</v>
      </c>
      <c r="Y7" s="11" t="s">
        <v>154</v>
      </c>
      <c r="Z7" s="14">
        <v>45900</v>
      </c>
      <c r="AA7" s="16" t="s">
        <v>267</v>
      </c>
    </row>
    <row r="8" spans="1:27">
      <c r="B8" s="11" t="s">
        <v>243</v>
      </c>
      <c r="C8" s="11" t="s">
        <v>244</v>
      </c>
      <c r="D8" s="2">
        <v>23.42</v>
      </c>
      <c r="E8" s="12" t="s">
        <v>232</v>
      </c>
      <c r="F8" s="15">
        <v>0.10101999321043009</v>
      </c>
      <c r="G8" s="15">
        <f>F8 - Portfolio_Mgmt!$C$10</f>
        <v>1.4019993210430098E-2</v>
      </c>
      <c r="H8" s="15">
        <f>F8 - Portfolio_Mgmt!$C$11</f>
        <v>8.2019993210430089E-2</v>
      </c>
      <c r="I8" s="15">
        <v>0</v>
      </c>
      <c r="J8" s="2">
        <v>13.438941031541804</v>
      </c>
      <c r="K8" s="2">
        <v>27.746753827145845</v>
      </c>
      <c r="L8" s="85">
        <v>26.130102221251306</v>
      </c>
      <c r="M8" s="2">
        <v>18.869653870203344</v>
      </c>
      <c r="N8" s="2">
        <v>24.301055185803946</v>
      </c>
      <c r="O8" s="4">
        <v>5.6544018863116975E-2</v>
      </c>
      <c r="P8" s="4">
        <v>4.5260461144321092E-2</v>
      </c>
      <c r="Q8" s="4">
        <v>0.15648173464349882</v>
      </c>
      <c r="R8" s="4">
        <v>0.13375671427886937</v>
      </c>
      <c r="S8" s="94">
        <v>0.66633267926556194</v>
      </c>
      <c r="T8" s="95">
        <v>1.7557268340491488</v>
      </c>
      <c r="U8" s="15">
        <v>0.3857437197038544</v>
      </c>
      <c r="V8" s="90">
        <v>2.3913910654887354</v>
      </c>
      <c r="W8" s="85">
        <v>3.5427832354191278</v>
      </c>
      <c r="X8" s="13" t="s">
        <v>245</v>
      </c>
      <c r="Y8" s="11" t="s">
        <v>154</v>
      </c>
      <c r="Z8" s="14">
        <v>45900</v>
      </c>
      <c r="AA8" s="16" t="s">
        <v>266</v>
      </c>
    </row>
    <row r="9" spans="1:27">
      <c r="B9" s="11" t="s">
        <v>269</v>
      </c>
      <c r="C9" s="11" t="s">
        <v>270</v>
      </c>
      <c r="D9" s="2">
        <v>10.67</v>
      </c>
      <c r="E9" s="12" t="s">
        <v>232</v>
      </c>
      <c r="F9" s="15">
        <v>0.10100079374860971</v>
      </c>
      <c r="G9" s="15">
        <f>F9 - Portfolio_Mgmt!$C$10</f>
        <v>1.4000793748609713E-2</v>
      </c>
      <c r="H9" s="15">
        <f>F9 - Portfolio_Mgmt!$C$11</f>
        <v>8.2000793748609704E-2</v>
      </c>
      <c r="I9" s="15">
        <v>0</v>
      </c>
      <c r="J9" s="2">
        <v>6.0942417132402751</v>
      </c>
      <c r="K9" s="2">
        <v>12.91528670453229</v>
      </c>
      <c r="L9" s="85">
        <v>11.913128542800674</v>
      </c>
      <c r="M9" s="2">
        <v>8.582443057830476</v>
      </c>
      <c r="N9" s="2">
        <v>11.073728055846336</v>
      </c>
      <c r="O9" s="4">
        <v>3.3066016718563428E-2</v>
      </c>
      <c r="P9" s="4">
        <v>3.7488284910965328E-2</v>
      </c>
      <c r="Q9" s="4">
        <v>3.888300021475994E-2</v>
      </c>
      <c r="R9" s="4">
        <v>7.6099586896956867E-2</v>
      </c>
      <c r="S9" s="94">
        <v>0.30413488760323032</v>
      </c>
      <c r="T9" s="95">
        <v>1.6800075256655485</v>
      </c>
      <c r="U9" s="15">
        <v>9.2587702159681276E-2</v>
      </c>
      <c r="V9" s="90">
        <v>2.0939079363495856</v>
      </c>
      <c r="W9" s="85">
        <v>2.6400638402357823</v>
      </c>
      <c r="X9" s="13" t="s">
        <v>271</v>
      </c>
      <c r="Y9" s="11" t="s">
        <v>272</v>
      </c>
      <c r="Z9" s="14">
        <v>45900</v>
      </c>
      <c r="AA9" s="16" t="s">
        <v>266</v>
      </c>
    </row>
    <row r="10" spans="1:27">
      <c r="B10" s="11" t="s">
        <v>239</v>
      </c>
      <c r="C10" s="11" t="s">
        <v>240</v>
      </c>
      <c r="D10" s="2">
        <v>23.56</v>
      </c>
      <c r="E10" s="12" t="s">
        <v>232</v>
      </c>
      <c r="F10" s="15">
        <v>8.8161349768844932E-2</v>
      </c>
      <c r="G10" s="15">
        <f>F10 - Portfolio_Mgmt!$C$10</f>
        <v>1.1613497688449381E-3</v>
      </c>
      <c r="H10" s="15">
        <f>F10 - Portfolio_Mgmt!$C$11</f>
        <v>6.9161349768844929E-2</v>
      </c>
      <c r="I10" s="15">
        <v>0</v>
      </c>
      <c r="J10" s="2">
        <v>13.079690025486418</v>
      </c>
      <c r="K10" s="2">
        <v>26.888151196428591</v>
      </c>
      <c r="L10" s="85">
        <v>25.409202896038835</v>
      </c>
      <c r="M10" s="2">
        <v>18.356272555350223</v>
      </c>
      <c r="N10" s="2">
        <v>23.632551844105855</v>
      </c>
      <c r="O10" s="4">
        <v>0.23435340887045156</v>
      </c>
      <c r="P10" s="4">
        <v>4.4991511035653652E-2</v>
      </c>
      <c r="Q10" s="4">
        <v>0.17249144202566888</v>
      </c>
      <c r="R10" s="4">
        <v>0.71319953730480046</v>
      </c>
      <c r="S10" s="94">
        <v>2.0567862383133143E-2</v>
      </c>
      <c r="T10" s="95">
        <v>11.758917470801054</v>
      </c>
      <c r="U10" s="15" t="s">
        <v>265</v>
      </c>
      <c r="V10" s="90" t="s">
        <v>265</v>
      </c>
      <c r="W10" s="85">
        <v>-92.956751979911445</v>
      </c>
      <c r="X10" s="16" t="s">
        <v>241</v>
      </c>
      <c r="Y10" s="11" t="s">
        <v>154</v>
      </c>
      <c r="Z10" s="14">
        <v>45900</v>
      </c>
      <c r="AA10" s="16" t="s">
        <v>266</v>
      </c>
    </row>
    <row r="11" spans="1:27">
      <c r="B11" s="11" t="s">
        <v>249</v>
      </c>
      <c r="C11" s="11" t="s">
        <v>250</v>
      </c>
      <c r="D11" s="2">
        <v>22.14</v>
      </c>
      <c r="E11" s="12" t="s">
        <v>232</v>
      </c>
      <c r="F11" s="15">
        <v>5.6254597549256768E-2</v>
      </c>
      <c r="G11" s="15">
        <f>F11 - Portfolio_Mgmt!$C$10</f>
        <v>-3.0745402450743226E-2</v>
      </c>
      <c r="H11" s="15">
        <f>F11 - Portfolio_Mgmt!$C$11</f>
        <v>3.7254597549256765E-2</v>
      </c>
      <c r="I11" s="15">
        <v>0</v>
      </c>
      <c r="J11" s="2">
        <v>11.355103666814504</v>
      </c>
      <c r="K11" s="2">
        <v>22.601441956902718</v>
      </c>
      <c r="L11" s="85">
        <v>21.916919635758642</v>
      </c>
      <c r="M11" s="2">
        <v>15.879140273250821</v>
      </c>
      <c r="N11" s="2">
        <v>20.396738931178472</v>
      </c>
      <c r="O11" s="4">
        <v>4.8881877771154665E-2</v>
      </c>
      <c r="P11" s="4">
        <v>4.9683830171635052E-2</v>
      </c>
      <c r="Q11" s="4">
        <v>0.15161114820375229</v>
      </c>
      <c r="R11" s="4">
        <v>0.3932476207375345</v>
      </c>
      <c r="S11" s="94">
        <v>0.30212796693987309</v>
      </c>
      <c r="T11" s="95">
        <v>1.2760688428830085</v>
      </c>
      <c r="U11" s="15">
        <v>0.12757636177577109</v>
      </c>
      <c r="V11" s="90">
        <v>0.79731882844192148</v>
      </c>
      <c r="W11" s="85">
        <v>2.5713378719718771</v>
      </c>
      <c r="X11" s="13" t="s">
        <v>251</v>
      </c>
      <c r="Y11" s="11" t="s">
        <v>154</v>
      </c>
      <c r="Z11" s="14">
        <v>45900</v>
      </c>
      <c r="AA11" s="16" t="s">
        <v>266</v>
      </c>
    </row>
    <row r="12" spans="1:27">
      <c r="B12" s="11" t="s">
        <v>258</v>
      </c>
      <c r="C12" s="11" t="s">
        <v>259</v>
      </c>
      <c r="D12" s="2">
        <v>13.6</v>
      </c>
      <c r="E12" s="12" t="s">
        <v>232</v>
      </c>
      <c r="F12" s="15">
        <v>-5.7572870899340045E-2</v>
      </c>
      <c r="G12" s="15">
        <f>F12 - Portfolio_Mgmt!$C$10</f>
        <v>-0.14457287089934004</v>
      </c>
      <c r="H12" s="15">
        <f>F12 - Portfolio_Mgmt!$C$11</f>
        <v>-7.6572870899340048E-2</v>
      </c>
      <c r="I12" s="15">
        <v>0</v>
      </c>
      <c r="J12" s="2">
        <v>4.9796479824958464</v>
      </c>
      <c r="K12" s="2">
        <v>10.251430255232371</v>
      </c>
      <c r="L12" s="85">
        <v>9.6765033007385046</v>
      </c>
      <c r="M12" s="2">
        <v>6.9896525426428742</v>
      </c>
      <c r="N12" s="2">
        <v>8.9996639027078977</v>
      </c>
      <c r="O12" s="4">
        <v>3.2620600730256757E-2</v>
      </c>
      <c r="P12" s="4">
        <v>2.9411764705882356E-2</v>
      </c>
      <c r="Q12" s="4">
        <v>7.1587241945726146E-2</v>
      </c>
      <c r="R12" s="4">
        <v>0.12235120428336442</v>
      </c>
      <c r="S12" s="94">
        <v>0.50157874313934503</v>
      </c>
      <c r="T12" s="95">
        <v>1.1665094444773738</v>
      </c>
      <c r="U12" s="15">
        <v>4.1494671576720196E-2</v>
      </c>
      <c r="V12" s="90">
        <v>0.57353573509526667</v>
      </c>
      <c r="W12" s="85">
        <v>3.275077370273292</v>
      </c>
      <c r="X12" s="13" t="s">
        <v>254</v>
      </c>
      <c r="Y12" s="11" t="s">
        <v>154</v>
      </c>
      <c r="Z12" s="14">
        <v>45900</v>
      </c>
      <c r="AA12" s="11" t="s">
        <v>267</v>
      </c>
    </row>
    <row r="13" spans="1:27">
      <c r="B13" s="11"/>
      <c r="C13" s="11"/>
      <c r="E13" s="12"/>
      <c r="O13" s="4"/>
      <c r="P13" s="4"/>
      <c r="Q13" s="4"/>
      <c r="R13" s="4"/>
      <c r="X13" s="13"/>
      <c r="Y13" s="11"/>
      <c r="Z13" s="14"/>
    </row>
    <row r="14" spans="1:27">
      <c r="B14" s="11"/>
      <c r="C14" s="11"/>
      <c r="E14" s="12"/>
      <c r="O14" s="4"/>
      <c r="P14" s="4"/>
      <c r="Q14" s="4"/>
      <c r="R14" s="4"/>
      <c r="X14" s="13"/>
      <c r="Y14" s="11"/>
      <c r="Z14" s="14"/>
    </row>
    <row r="15" spans="1:27">
      <c r="B15" s="11"/>
      <c r="C15" s="11"/>
      <c r="E15" s="12"/>
      <c r="O15" s="4"/>
      <c r="P15" s="4"/>
      <c r="Q15" s="4"/>
      <c r="R15" s="4"/>
      <c r="X15" s="13"/>
      <c r="Y15" s="11"/>
      <c r="Z15" s="14"/>
    </row>
    <row r="16" spans="1:27">
      <c r="B16" s="11"/>
      <c r="C16" s="11"/>
      <c r="E16" s="12"/>
      <c r="O16" s="4"/>
      <c r="P16" s="4"/>
      <c r="Q16" s="4"/>
      <c r="R16" s="4"/>
      <c r="X16" s="13"/>
      <c r="Y16" s="11"/>
      <c r="Z16" s="14"/>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C12" sqref="C12"/>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4.4000000000000004E-2</v>
      </c>
      <c r="D4" s="34">
        <v>7.4999999999999997E-2</v>
      </c>
      <c r="E4" s="35">
        <f>D4-C4</f>
        <v>3.0999999999999993E-2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c r="D9" s="28" t="s">
        <v>242</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c r="D16" s="92">
        <v>8.6999999999999994E-2</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L35"/>
  <sheetViews>
    <sheetView topLeftCell="A2" zoomScale="150" workbookViewId="0">
      <selection activeCell="F16" sqref="F16"/>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2" width="10" style="98" customWidth="1"/>
    <col min="13" max="16384" width="9" style="64"/>
  </cols>
  <sheetData>
    <row r="1" spans="1:12" ht="13.15">
      <c r="A1" s="62"/>
      <c r="B1" s="63" t="s">
        <v>209</v>
      </c>
      <c r="I1" s="64"/>
      <c r="J1" s="64"/>
      <c r="K1" s="64"/>
      <c r="L1" s="64"/>
    </row>
    <row r="2" spans="1:12" ht="29.75" customHeight="1">
      <c r="B2" s="65" t="s">
        <v>2</v>
      </c>
      <c r="C2" s="65" t="s">
        <v>212</v>
      </c>
      <c r="D2" s="65" t="s">
        <v>211</v>
      </c>
      <c r="E2" s="65" t="s">
        <v>210</v>
      </c>
      <c r="F2" s="65" t="s">
        <v>215</v>
      </c>
      <c r="G2" s="65" t="s">
        <v>220</v>
      </c>
      <c r="H2" s="65" t="s">
        <v>197</v>
      </c>
      <c r="I2" s="65" t="s">
        <v>225</v>
      </c>
      <c r="J2" s="65" t="s">
        <v>275</v>
      </c>
      <c r="K2" s="65" t="s">
        <v>273</v>
      </c>
      <c r="L2" s="65" t="s">
        <v>274</v>
      </c>
    </row>
    <row r="3" spans="1:12">
      <c r="B3" s="76" t="s">
        <v>27</v>
      </c>
      <c r="C3" s="74" t="s">
        <v>214</v>
      </c>
      <c r="D3" s="73" t="s">
        <v>213</v>
      </c>
      <c r="E3" s="75" t="s">
        <v>214</v>
      </c>
      <c r="F3" s="70">
        <v>170000</v>
      </c>
      <c r="G3" s="72">
        <f t="shared" ref="G3:G4" si="0">F3/$F$11</f>
        <v>0.52822918932355589</v>
      </c>
      <c r="H3" s="89">
        <f>Portfolio_Mgmt!E61</f>
        <v>0.3</v>
      </c>
      <c r="I3" s="96" t="s">
        <v>265</v>
      </c>
      <c r="J3" s="96" t="s">
        <v>265</v>
      </c>
      <c r="K3" s="96" t="s">
        <v>265</v>
      </c>
      <c r="L3" s="96" t="s">
        <v>265</v>
      </c>
    </row>
    <row r="4" spans="1:12">
      <c r="B4" s="77" t="s">
        <v>239</v>
      </c>
      <c r="C4" s="74">
        <f>VLOOKUP(B4,Opportunities!B$3:E$30,3,FALSE)</f>
        <v>23.56</v>
      </c>
      <c r="D4" s="73" t="str">
        <f>VLOOKUP(B4,Opportunities!B$3:E$30,4,FALSE)</f>
        <v>CNY</v>
      </c>
      <c r="E4" s="70">
        <v>3000</v>
      </c>
      <c r="F4" s="75">
        <f>C4*E4</f>
        <v>70680</v>
      </c>
      <c r="G4" s="72">
        <f t="shared" si="0"/>
        <v>0.21961905353758196</v>
      </c>
      <c r="H4" s="72">
        <f>VLOOKUP(B4,Opportunities!B$3:I$30,8,FALSE)</f>
        <v>0</v>
      </c>
      <c r="I4" s="98">
        <f>VLOOKUP(B4,Opportunities!B$3:N$30,12,FALSE)</f>
        <v>18.356272555350223</v>
      </c>
      <c r="J4" s="98">
        <f>VLOOKUP(B4,Opportunities!B$3:N$30,9,FALSE)</f>
        <v>13.079690025486418</v>
      </c>
      <c r="K4" s="98">
        <f>VLOOKUP(B4,Opportunities!B$3:N$30,11,FALSE)</f>
        <v>25.409202896038835</v>
      </c>
      <c r="L4" s="98">
        <f>VLOOKUP(B4,Opportunities!B$3:N$30,13,FALSE)</f>
        <v>23.632551844105855</v>
      </c>
    </row>
    <row r="5" spans="1:12">
      <c r="B5" s="77" t="s">
        <v>252</v>
      </c>
      <c r="C5" s="74">
        <f>VLOOKUP(B5,Opportunities!B$3:E$30,3,FALSE)</f>
        <v>16.23</v>
      </c>
      <c r="D5" s="73" t="str">
        <f>VLOOKUP(B5,Opportunities!B$3:E$30,4,FALSE)</f>
        <v>CNY</v>
      </c>
      <c r="E5" s="70">
        <v>5000</v>
      </c>
      <c r="F5" s="75">
        <f>C5*E5</f>
        <v>81150</v>
      </c>
      <c r="G5" s="72">
        <f t="shared" ref="G5" si="1">F5/$F$11</f>
        <v>0.25215175713886212</v>
      </c>
      <c r="H5" s="72">
        <f>VLOOKUP(B5,Opportunities!B$3:I$30,8,FALSE)</f>
        <v>0.32737107784329628</v>
      </c>
      <c r="I5" s="98">
        <f>VLOOKUP(B5,Opportunities!B$3:N$30,12,FALSE)</f>
        <v>17.577047192866189</v>
      </c>
      <c r="J5" s="98">
        <f>VLOOKUP(B5,Opportunities!B$3:N$30,9,FALSE)</f>
        <v>12.534408209968158</v>
      </c>
      <c r="K5" s="98">
        <f>VLOOKUP(B5,Opportunities!B$3:N$30,11,FALSE)</f>
        <v>24.315000552184742</v>
      </c>
      <c r="L5" s="98">
        <f>VLOOKUP(B5,Opportunities!B$3:N$30,13,FALSE)</f>
        <v>22.61787767563613</v>
      </c>
    </row>
    <row r="6" spans="1:12">
      <c r="B6" s="77"/>
      <c r="C6" s="74"/>
      <c r="D6" s="73"/>
      <c r="E6" s="70"/>
      <c r="F6" s="75"/>
      <c r="G6" s="72"/>
      <c r="H6" s="72"/>
    </row>
    <row r="7" spans="1:12">
      <c r="B7" s="77"/>
      <c r="C7" s="74"/>
      <c r="D7" s="73"/>
      <c r="E7" s="70"/>
      <c r="F7" s="75"/>
      <c r="G7" s="72"/>
      <c r="H7" s="72"/>
    </row>
    <row r="8" spans="1:12">
      <c r="B8" s="77"/>
      <c r="C8" s="74"/>
      <c r="D8" s="73"/>
      <c r="E8" s="70"/>
      <c r="F8" s="75"/>
      <c r="G8" s="72"/>
      <c r="H8" s="72"/>
    </row>
    <row r="9" spans="1:12">
      <c r="B9" s="77"/>
      <c r="C9" s="74"/>
      <c r="D9" s="73"/>
      <c r="E9" s="70"/>
      <c r="F9" s="75"/>
      <c r="G9" s="72"/>
      <c r="H9" s="72"/>
    </row>
    <row r="10" spans="1:12">
      <c r="B10" s="66"/>
      <c r="C10" s="69"/>
      <c r="D10" s="66"/>
      <c r="H10" s="88"/>
    </row>
    <row r="11" spans="1:12" ht="13.15">
      <c r="B11" s="78"/>
      <c r="C11" s="79"/>
      <c r="D11" s="78"/>
      <c r="E11" s="80" t="s">
        <v>219</v>
      </c>
      <c r="F11" s="80">
        <f>SUM(F3:F9)</f>
        <v>321830</v>
      </c>
      <c r="G11" s="81">
        <f>SUM(G3:G9)</f>
        <v>1</v>
      </c>
      <c r="H11" s="87">
        <f>SUM(H3:H9)</f>
        <v>0.62737107784329627</v>
      </c>
      <c r="I11" s="97" t="s">
        <v>265</v>
      </c>
      <c r="J11" s="97" t="s">
        <v>265</v>
      </c>
      <c r="K11" s="97" t="s">
        <v>265</v>
      </c>
      <c r="L11" s="97" t="s">
        <v>265</v>
      </c>
    </row>
    <row r="12" spans="1:12">
      <c r="B12" s="66"/>
      <c r="C12" s="69"/>
      <c r="D12" s="66"/>
      <c r="E12" s="70"/>
      <c r="F12" s="70"/>
    </row>
    <row r="13" spans="1:12" ht="13.15">
      <c r="A13" s="62"/>
      <c r="B13" s="63" t="s">
        <v>217</v>
      </c>
    </row>
    <row r="14" spans="1:12">
      <c r="B14" s="77" t="s">
        <v>239</v>
      </c>
      <c r="C14" s="74">
        <f>VLOOKUP(B14,Opportunities!B$3:E$30,3,FALSE)</f>
        <v>23.56</v>
      </c>
      <c r="D14" s="73" t="str">
        <f>VLOOKUP(B14,Opportunities!B$3:E$30,4,FALSE)</f>
        <v>CNY</v>
      </c>
      <c r="E14" s="70">
        <v>0</v>
      </c>
      <c r="F14" s="75">
        <f>-C14*E14</f>
        <v>0</v>
      </c>
      <c r="G14" s="72">
        <f>-F14/$F$11</f>
        <v>0</v>
      </c>
      <c r="H14" s="72">
        <f>VLOOKUP(B14,Opportunities!B$3:I$30,8,FALSE)</f>
        <v>0</v>
      </c>
      <c r="I14" s="98">
        <f>VLOOKUP(B14,Opportunities!B$3:N$30,12,FALSE)</f>
        <v>18.356272555350223</v>
      </c>
      <c r="J14" s="98">
        <f>VLOOKUP(B14,Opportunities!B$3:N$30,9,FALSE)</f>
        <v>13.079690025486418</v>
      </c>
      <c r="K14" s="98">
        <f>VLOOKUP(B14,Opportunities!B$3:N$30,11,FALSE)</f>
        <v>25.409202896038835</v>
      </c>
      <c r="L14" s="98">
        <f>VLOOKUP(B14,Opportunities!B$3:N$30,13,FALSE)</f>
        <v>23.632551844105855</v>
      </c>
    </row>
    <row r="15" spans="1:12">
      <c r="B15" s="77" t="s">
        <v>256</v>
      </c>
      <c r="C15" s="74">
        <f>VLOOKUP(B15,Opportunities!B$3:E$30,3,FALSE)</f>
        <v>45.5</v>
      </c>
      <c r="D15" s="73" t="str">
        <f>VLOOKUP(B15,Opportunities!B$3:E$30,4,FALSE)</f>
        <v>CNY</v>
      </c>
      <c r="E15" s="70">
        <v>0</v>
      </c>
      <c r="F15" s="75">
        <f>-C15*E15</f>
        <v>0</v>
      </c>
      <c r="G15" s="72">
        <f>-F15/$F$11</f>
        <v>0</v>
      </c>
      <c r="H15" s="72">
        <f>VLOOKUP(B15,Opportunities!B$3:I$30,8,FALSE)</f>
        <v>0.1307900809358542</v>
      </c>
      <c r="I15" s="98">
        <f>VLOOKUP(B15,Opportunities!B$3:N$30,12,FALSE)</f>
        <v>40.844732114544499</v>
      </c>
      <c r="J15" s="98">
        <f>VLOOKUP(B15,Opportunities!B$3:N$30,9,FALSE)</f>
        <v>28.803263731047231</v>
      </c>
      <c r="K15" s="98">
        <f>VLOOKUP(B15,Opportunities!B$3:N$30,11,FALSE)</f>
        <v>57.008678420375631</v>
      </c>
      <c r="L15" s="98">
        <f>VLOOKUP(B15,Opportunities!B$3:N$30,13,FALSE)</f>
        <v>52.931363368704652</v>
      </c>
    </row>
    <row r="16" spans="1:12">
      <c r="B16" s="77" t="s">
        <v>252</v>
      </c>
      <c r="C16" s="74">
        <f>VLOOKUP(B16,Opportunities!B$3:E$30,3,FALSE)</f>
        <v>16.23</v>
      </c>
      <c r="D16" s="73" t="str">
        <f>VLOOKUP(B16,Opportunities!B$3:E$30,4,FALSE)</f>
        <v>CNY</v>
      </c>
      <c r="E16" s="70">
        <v>1000</v>
      </c>
      <c r="F16" s="75">
        <f>-C16*E16</f>
        <v>-16230</v>
      </c>
      <c r="G16" s="72">
        <f>-F16/$F$11</f>
        <v>5.0430351427772427E-2</v>
      </c>
      <c r="H16" s="72">
        <f>VLOOKUP(B16,Opportunities!B$3:I$30,8,FALSE)</f>
        <v>0.32737107784329628</v>
      </c>
      <c r="I16" s="98">
        <f>VLOOKUP(B16,Opportunities!B$3:N$30,12,FALSE)</f>
        <v>17.577047192866189</v>
      </c>
      <c r="J16" s="98">
        <f>VLOOKUP(B16,Opportunities!B$3:N$30,9,FALSE)</f>
        <v>12.534408209968158</v>
      </c>
      <c r="K16" s="98">
        <f>VLOOKUP(B16,Opportunities!B$3:N$30,11,FALSE)</f>
        <v>24.315000552184742</v>
      </c>
      <c r="L16" s="98">
        <f>VLOOKUP(B16,Opportunities!B$3:N$30,13,FALSE)</f>
        <v>22.61787767563613</v>
      </c>
    </row>
    <row r="17" spans="2:12">
      <c r="G17" s="86"/>
      <c r="H17" s="86"/>
    </row>
    <row r="18" spans="2:12" ht="13.15">
      <c r="B18" s="82" t="s">
        <v>218</v>
      </c>
      <c r="C18" s="83" t="s">
        <v>214</v>
      </c>
      <c r="D18" s="84" t="s">
        <v>153</v>
      </c>
      <c r="E18" s="83" t="s">
        <v>214</v>
      </c>
      <c r="F18" s="80">
        <f>F3+SUM(F14:F16)</f>
        <v>153770</v>
      </c>
      <c r="G18" s="87">
        <f t="shared" ref="G18" si="2">F18/$F$11</f>
        <v>0.47779883789578348</v>
      </c>
      <c r="H18" s="87">
        <f>Portfolio_Mgmt!E61</f>
        <v>0.3</v>
      </c>
      <c r="I18" s="97" t="s">
        <v>265</v>
      </c>
      <c r="J18" s="97" t="s">
        <v>265</v>
      </c>
      <c r="K18" s="97" t="s">
        <v>265</v>
      </c>
      <c r="L18" s="97" t="s">
        <v>265</v>
      </c>
    </row>
    <row r="20" spans="2:12">
      <c r="B20" s="66"/>
      <c r="C20" s="69"/>
      <c r="D20" s="66"/>
      <c r="E20" s="70"/>
      <c r="F20" s="70"/>
    </row>
    <row r="30" spans="2:12">
      <c r="B30" s="66"/>
      <c r="C30" s="69"/>
      <c r="D30" s="66"/>
      <c r="E30" s="70"/>
      <c r="F30" s="70"/>
    </row>
    <row r="31" spans="2:12">
      <c r="B31" s="66"/>
      <c r="C31" s="69"/>
      <c r="D31" s="66"/>
      <c r="E31" s="70"/>
      <c r="F31" s="70"/>
    </row>
    <row r="32" spans="2:12">
      <c r="B32" s="66"/>
      <c r="C32" s="69"/>
      <c r="D32" s="66"/>
      <c r="E32" s="70"/>
      <c r="F32" s="70"/>
    </row>
    <row r="33" spans="2:6">
      <c r="B33" s="66"/>
      <c r="C33" s="69"/>
      <c r="D33" s="66"/>
      <c r="E33" s="70"/>
      <c r="F33" s="70"/>
    </row>
    <row r="34" spans="2:6">
      <c r="B34" s="66"/>
      <c r="C34" s="69"/>
      <c r="D34" s="66"/>
      <c r="E34" s="70"/>
      <c r="F34" s="70"/>
    </row>
    <row r="35" spans="2:6">
      <c r="B35" s="66"/>
      <c r="C35" s="67"/>
      <c r="D35" s="66"/>
      <c r="E35" s="68"/>
      <c r="F35"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11" t="s">
        <v>99</v>
      </c>
      <c r="C3" s="111"/>
      <c r="D3" s="111"/>
    </row>
    <row r="5" spans="1:4">
      <c r="B5" s="112" t="s">
        <v>101</v>
      </c>
      <c r="C5" s="100"/>
      <c r="D5" s="100"/>
    </row>
    <row r="6" spans="1:4">
      <c r="B6" s="112" t="s">
        <v>102</v>
      </c>
      <c r="C6" s="100"/>
      <c r="D6" s="100"/>
    </row>
    <row r="8" spans="1:4">
      <c r="B8" s="1" t="s">
        <v>100</v>
      </c>
    </row>
    <row r="10" spans="1:4">
      <c r="A10" s="5"/>
      <c r="B10" s="6" t="s">
        <v>103</v>
      </c>
    </row>
    <row r="11" spans="1:4">
      <c r="B11" s="111" t="s">
        <v>104</v>
      </c>
      <c r="C11" s="111"/>
      <c r="D11" s="111"/>
    </row>
    <row r="12" spans="1:4">
      <c r="B12" s="111" t="s">
        <v>105</v>
      </c>
      <c r="C12" s="111"/>
      <c r="D12" s="111"/>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11" t="s">
        <v>117</v>
      </c>
      <c r="C28" s="111"/>
      <c r="D28" s="111"/>
    </row>
    <row r="29" spans="1:4">
      <c r="B29" s="111" t="s">
        <v>118</v>
      </c>
      <c r="C29" s="111"/>
      <c r="D29" s="111"/>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2025-06-09T01:42:23Z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