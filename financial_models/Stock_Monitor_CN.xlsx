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B09D3EF-9176-4654-A34F-33B93A1C0CB1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<sst xmlns="http://schemas.openxmlformats.org/spreadsheetml/2006/main" count="423" uniqueCount="356">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</sst>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15.89</v>
      </c>
      <c r="E3" s="12" t="s">
        <v>327</v>
      </c>
      <c r="F3" s="15">
        <v>9.4486101759411634E-2</v>
      </c>
      <c r="G3" s="15">
        <f>F3 - Portfolio_Mgmt!$C$10</f>
        <v>7.4861017594116397E-3</v>
      </c>
      <c r="H3" s="15">
        <f>F3 - Portfolio_Mgmt!$C$11</f>
        <v>7.5486101759411631E-2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7.4073207379441078E-2</v>
      </c>
      <c r="P3" s="4">
        <v>6.0037759597230962E-2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56.51</v>
      </c>
      <c r="E4" s="12" t="s">
        <v>327</v>
      </c>
      <c r="F4" s="15">
        <v>9.3872552740446258E-2</v>
      </c>
      <c r="G4" s="15">
        <f>F4 - Portfolio_Mgmt!$C$10</f>
        <v>6.8725527404462639E-3</v>
      </c>
      <c r="H4" s="15">
        <f>F4 - Portfolio_Mgmt!$C$11</f>
        <v>7.4872552740446255E-2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7.6783243716598309E-2</v>
      </c>
      <c r="P4" s="4">
        <v>3.8223323305609631E-2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10.11</v>
      </c>
      <c r="E5" s="12" t="s">
        <v>327</v>
      </c>
      <c r="F5" s="15">
        <v>8.4210158258533729E-2</v>
      </c>
      <c r="G5" s="15">
        <f>F5 - Portfolio_Mgmt!$C$10</f>
        <v>-2.7898417414662646E-3</v>
      </c>
      <c r="H5" s="15">
        <f>F5 - Portfolio_Mgmt!$C$11</f>
        <v>6.5210158258533726E-2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3.4897566606040736E-2</v>
      </c>
      <c r="P5" s="4">
        <v>3.5608308605341255E-2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5.61</v>
      </c>
      <c r="E6" s="12" t="s">
        <v>327</v>
      </c>
      <c r="F6" s="15">
        <v>6.079703150895388E-2</v>
      </c>
      <c r="G6" s="15">
        <f>F6 - Portfolio_Mgmt!$C$10</f>
        <v>-2.6202968491046114E-2</v>
      </c>
      <c r="H6" s="15">
        <f>F6 - Portfolio_Mgmt!$C$11</f>
        <v>4.1797031508953877E-2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4.0998234727531967E-2</v>
      </c>
      <c r="P6" s="4">
        <v>3.224598930481283E-2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22.56</v>
      </c>
      <c r="E7" s="12" t="s">
        <v>327</v>
      </c>
      <c r="F7" s="15">
        <v>4.9437688840479721E-2</v>
      </c>
      <c r="G7" s="15">
        <f>F7 - Portfolio_Mgmt!$C$10</f>
        <v>-3.7562311159520273E-2</v>
      </c>
      <c r="H7" s="15">
        <f>F7 - Portfolio_Mgmt!$C$11</f>
        <v>3.0437688840479721E-2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5.8699508943891844E-2</v>
      </c>
      <c r="P7" s="4">
        <v>4.2287234042553197E-2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68.23</v>
      </c>
      <c r="E8" s="12" t="s">
        <v>327</v>
      </c>
      <c r="F8" s="15">
        <v>4.7665970387844148E-2</v>
      </c>
      <c r="G8" s="15">
        <f>F8 - Portfolio_Mgmt!$C$10</f>
        <v>-3.9334029612155846E-2</v>
      </c>
      <c r="H8" s="15">
        <f>F8 - Portfolio_Mgmt!$C$11</f>
        <v>2.8665970387844148E-2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5.3046678517518001E-2</v>
      </c>
      <c r="P8" s="4">
        <v>6.1297083394401292E-2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335</v>
      </c>
      <c r="C9" s="11" t="s">
        <v>336</v>
      </c>
      <c r="D9" s="2">
        <v>51.49</v>
      </c>
      <c r="E9" s="12" t="s">
        <v>327</v>
      </c>
      <c r="F9" s="15">
        <v>2.4636670375158376E-2</v>
      </c>
      <c r="G9" s="15">
        <f>F9 - Portfolio_Mgmt!$C$10</f>
        <v>-6.2363329624841618E-2</v>
      </c>
      <c r="H9" s="15">
        <f>F9 - Portfolio_Mgmt!$C$11</f>
        <v>5.6366703751583765E-3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4.2007755108637766E-2</v>
      </c>
      <c r="P9" s="4">
        <v>1.747912215964265E-2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20.87</v>
      </c>
      <c r="E10" s="12" t="s">
        <v>327</v>
      </c>
      <c r="F10" s="15">
        <v>1.4184557227404859E-2</v>
      </c>
      <c r="G10" s="15">
        <f>F10 - Portfolio_Mgmt!$C$10</f>
        <v>-7.2815442772595135E-2</v>
      </c>
      <c r="H10" s="15">
        <f>F10 - Portfolio_Mgmt!$C$11</f>
        <v>-4.8154427725951403E-3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5.1856481737104186E-2</v>
      </c>
      <c r="P10" s="4">
        <v>4.7436511739338764E-2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22.96</v>
      </c>
      <c r="E11" s="12" t="s">
        <v>327</v>
      </c>
      <c r="F11" s="15">
        <v>1.3033879647696978E-2</v>
      </c>
      <c r="G11" s="15">
        <f>F11 - Portfolio_Mgmt!$C$10</f>
        <v>-7.3966120352303016E-2</v>
      </c>
      <c r="H11" s="15">
        <f>F11 - Portfolio_Mgmt!$C$11</f>
        <v>-5.9661203523030219E-3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0.2404776268722926</v>
      </c>
      <c r="P11" s="4">
        <v>4.6167247386759584E-2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15.16</v>
      </c>
      <c r="E12" s="12" t="s">
        <v>327</v>
      </c>
      <c r="F12" s="15">
        <v>-0.14022905723069912</v>
      </c>
      <c r="G12" s="15">
        <f>F12 - Portfolio_Mgmt!$C$10</f>
        <v>-0.22722905723069911</v>
      </c>
      <c r="H12" s="15">
        <f>F12 - Portfolio_Mgmt!$C$11</f>
        <v>-0.15922905723069911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2.9263863451945378E-2</v>
      </c>
      <c r="P12" s="4">
        <v>2.3746701846965701E-2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4.4299999999999999E-2</v>
      </c>
      <c r="D4" s="34">
        <v>7.4999999999999997E-2</v>
      </c>
      <c r="E4" s="35">
        <f>D4-C4</f>
        <v>3.0699999999999998E-2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0.53403700562309553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22.96</v>
      </c>
      <c r="D4" s="62" t="str">
        <f>VLOOKUP(B4,Opportunities!B$3:E$30,4,FALSE)</f>
        <v>CNY</v>
      </c>
      <c r="E4" s="59">
        <v>3000</v>
      </c>
      <c r="F4" s="64">
        <f>E4*C4</f>
        <v>68880</v>
      </c>
      <c r="G4" s="61">
        <f>F4/$F$10</f>
        <v>0.2163792291018754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15.89</v>
      </c>
      <c r="D5" s="62" t="str">
        <f>VLOOKUP(B5,Opportunities!B$3:E$30,4,FALSE)</f>
        <v>CNY</v>
      </c>
      <c r="E5" s="59">
        <v>5000</v>
      </c>
      <c r="F5" s="64">
        <f>C5*E5</f>
        <v>79450</v>
      </c>
      <c r="G5" s="61">
        <f>F5/$F$10</f>
        <v>0.24958376527502907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318330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0.53403700562309553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2025-07-28T09:09:45Z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