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C3F8AF7-10CD-416D-98AD-1ACB28CB97D3}" xr6:coauthVersionLast="47" xr6:coauthVersionMax="47" xr10:uidLastSave="{00000000-0000-0000-0000-000000000000}"/>
  <bookViews>
    <workbookView xWindow="1837" yWindow="1837" windowWidth="12691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<sst xmlns="http://schemas.openxmlformats.org/spreadsheetml/2006/main" count="423" uniqueCount="356">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</sst>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54.16</v>
      </c>
      <c r="E3" s="12" t="s">
        <v>327</v>
      </c>
      <c r="F3" s="15">
        <v>0.11002887708235565</v>
      </c>
      <c r="G3" s="15">
        <f>F3 - Portfolio_Mgmt!$C$10</f>
        <v>2.3028877082355653E-2</v>
      </c>
      <c r="H3" s="15">
        <f>F3 - Portfolio_Mgmt!$C$11</f>
        <v>9.1028877082355644E-2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8.0114865258954407E-2</v>
      </c>
      <c r="P3" s="4">
        <v>3.988183161004432E-2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15.96</v>
      </c>
      <c r="E4" s="12" t="s">
        <v>327</v>
      </c>
      <c r="F4" s="15">
        <v>9.2793634944364989E-2</v>
      </c>
      <c r="G4" s="15">
        <f>F4 - Portfolio_Mgmt!$C$10</f>
        <v>5.7936349443649948E-3</v>
      </c>
      <c r="H4" s="15">
        <f>F4 - Portfolio_Mgmt!$C$11</f>
        <v>7.3793634944364986E-2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7.3748324890934747E-2</v>
      </c>
      <c r="P4" s="4">
        <v>5.9774436090225563E-2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344</v>
      </c>
      <c r="C5" s="11" t="s">
        <v>345</v>
      </c>
      <c r="D5" s="2">
        <v>5.35</v>
      </c>
      <c r="E5" s="12" t="s">
        <v>327</v>
      </c>
      <c r="F5" s="15">
        <v>7.8241312144621711E-2</v>
      </c>
      <c r="G5" s="15">
        <f>F5 - Portfolio_Mgmt!$C$10</f>
        <v>-8.7586878553782832E-3</v>
      </c>
      <c r="H5" s="15">
        <f>F5 - Portfolio_Mgmt!$C$11</f>
        <v>5.9241312144621708E-2</v>
      </c>
      <c r="I5" s="15">
        <v>0</v>
      </c>
      <c r="J5" s="2">
        <v>2.2777045899700505</v>
      </c>
      <c r="K5" s="2">
        <v>6.1203199055974453</v>
      </c>
      <c r="L5" s="74">
        <v>5.3970513031335168</v>
      </c>
      <c r="M5" s="2">
        <v>3.1142971805177257</v>
      </c>
      <c r="N5" s="2">
        <v>5.225618425612172</v>
      </c>
      <c r="O5" s="4">
        <v>4.2990672303075572E-2</v>
      </c>
      <c r="P5" s="4">
        <v>3.3813084112149533E-2</v>
      </c>
      <c r="Q5" s="4">
        <v>4.9029562887232557E-2</v>
      </c>
      <c r="R5" s="4">
        <v>5.0475725130946753E-2</v>
      </c>
      <c r="S5" s="82">
        <v>0.56944999111533989</v>
      </c>
      <c r="T5" s="81">
        <v>1.7057676125178334</v>
      </c>
      <c r="U5" s="15">
        <v>2.5694600492681609E-2</v>
      </c>
      <c r="V5" s="79">
        <v>0.53421555755411909</v>
      </c>
      <c r="W5" s="74">
        <v>-0.36074239393771346</v>
      </c>
      <c r="X5" s="13" t="s">
        <v>346</v>
      </c>
      <c r="Y5" s="11" t="s">
        <v>136</v>
      </c>
      <c r="Z5" s="14">
        <v>45900</v>
      </c>
      <c r="AA5" s="16" t="s">
        <v>183</v>
      </c>
    </row>
    <row r="6" spans="1:27">
      <c r="B6" s="11" t="s">
        <v>341</v>
      </c>
      <c r="C6" s="11" t="s">
        <v>342</v>
      </c>
      <c r="D6" s="2">
        <v>10.29</v>
      </c>
      <c r="E6" s="12" t="s">
        <v>327</v>
      </c>
      <c r="F6" s="15">
        <v>7.7642519042007585E-2</v>
      </c>
      <c r="G6" s="15">
        <f>F6 - Portfolio_Mgmt!$C$10</f>
        <v>-9.357480957992409E-3</v>
      </c>
      <c r="H6" s="15">
        <f>F6 - Portfolio_Mgmt!$C$11</f>
        <v>5.8642519042007582E-2</v>
      </c>
      <c r="I6" s="15">
        <v>0</v>
      </c>
      <c r="J6" s="2">
        <v>4.3792241541234382</v>
      </c>
      <c r="K6" s="2">
        <v>11.711712236864567</v>
      </c>
      <c r="L6" s="74">
        <v>10.363655818472994</v>
      </c>
      <c r="M6" s="2">
        <v>5.9845754378081768</v>
      </c>
      <c r="N6" s="2">
        <v>10.034835914511921</v>
      </c>
      <c r="O6" s="4">
        <v>3.4287113545876755E-2</v>
      </c>
      <c r="P6" s="4">
        <v>3.4985422740524789E-2</v>
      </c>
      <c r="Q6" s="4">
        <v>3.888300021475994E-2</v>
      </c>
      <c r="R6" s="4">
        <v>7.6099586896956867E-2</v>
      </c>
      <c r="S6" s="82">
        <v>0.30413488760323032</v>
      </c>
      <c r="T6" s="81">
        <v>1.6800075256655485</v>
      </c>
      <c r="U6" s="15">
        <v>9.2587702159681276E-2</v>
      </c>
      <c r="V6" s="79">
        <v>2.0939079363495856</v>
      </c>
      <c r="W6" s="74">
        <v>2.6400638402357823</v>
      </c>
      <c r="X6" s="13" t="s">
        <v>343</v>
      </c>
      <c r="Y6" s="11" t="s">
        <v>171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22.54</v>
      </c>
      <c r="E7" s="12" t="s">
        <v>327</v>
      </c>
      <c r="F7" s="15">
        <v>4.9760810517649467E-2</v>
      </c>
      <c r="G7" s="15">
        <f>F7 - Portfolio_Mgmt!$C$10</f>
        <v>-3.7239189482350527E-2</v>
      </c>
      <c r="H7" s="15">
        <f>F7 - Portfolio_Mgmt!$C$11</f>
        <v>3.0760810517649468E-2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5.875159369007097E-2</v>
      </c>
      <c r="P7" s="4">
        <v>4.2324755989352265E-2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328</v>
      </c>
      <c r="C8" s="11" t="s">
        <v>349</v>
      </c>
      <c r="D8" s="2">
        <v>21.35</v>
      </c>
      <c r="E8" s="12" t="s">
        <v>327</v>
      </c>
      <c r="F8" s="15">
        <v>3.5953975912336844E-2</v>
      </c>
      <c r="G8" s="15">
        <f>F8 - Portfolio_Mgmt!$C$10</f>
        <v>-5.104602408766315E-2</v>
      </c>
      <c r="H8" s="15">
        <f>F8 - Portfolio_Mgmt!$C$11</f>
        <v>1.6953975912336845E-2</v>
      </c>
      <c r="I8" s="15">
        <v>0</v>
      </c>
      <c r="J8" s="2">
        <v>8.287863297441934</v>
      </c>
      <c r="K8" s="2">
        <v>20.440937245163916</v>
      </c>
      <c r="L8" s="74">
        <v>19.210705770441479</v>
      </c>
      <c r="M8" s="2">
        <v>11.229102068804695</v>
      </c>
      <c r="N8" s="2">
        <v>18.612786102807618</v>
      </c>
      <c r="O8" s="4">
        <v>0.25861200529217038</v>
      </c>
      <c r="P8" s="4">
        <v>4.9648711943793909E-2</v>
      </c>
      <c r="Q8" s="4">
        <v>0.17249144202566888</v>
      </c>
      <c r="R8" s="4">
        <v>0.71319953730480046</v>
      </c>
      <c r="S8" s="82">
        <v>2.0567862383133143E-2</v>
      </c>
      <c r="T8" s="81">
        <v>11.758917470801054</v>
      </c>
      <c r="U8" s="15" t="s">
        <v>189</v>
      </c>
      <c r="V8" s="79" t="s">
        <v>189</v>
      </c>
      <c r="W8" s="74">
        <v>-92.956751979911445</v>
      </c>
      <c r="X8" s="13" t="s">
        <v>350</v>
      </c>
      <c r="Y8" s="11" t="s">
        <v>136</v>
      </c>
      <c r="Z8" s="14">
        <v>45900</v>
      </c>
      <c r="AA8" s="16" t="s">
        <v>183</v>
      </c>
    </row>
    <row r="9" spans="1:27">
      <c r="B9" s="11" t="s">
        <v>335</v>
      </c>
      <c r="C9" s="11" t="s">
        <v>336</v>
      </c>
      <c r="D9" s="2">
        <v>50.62</v>
      </c>
      <c r="E9" s="12" t="s">
        <v>327</v>
      </c>
      <c r="F9" s="15">
        <v>3.0574705081316544E-2</v>
      </c>
      <c r="G9" s="15">
        <f>F9 - Portfolio_Mgmt!$C$10</f>
        <v>-5.642529491868345E-2</v>
      </c>
      <c r="H9" s="15">
        <f>F9 - Portfolio_Mgmt!$C$11</f>
        <v>1.1574705081316545E-2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4.272973746629314E-2</v>
      </c>
      <c r="P9" s="4">
        <v>1.7779533781114184E-2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339</v>
      </c>
      <c r="C10" s="11" t="s">
        <v>340</v>
      </c>
      <c r="D10" s="2">
        <v>72.680000000000007</v>
      </c>
      <c r="E10" s="12" t="s">
        <v>327</v>
      </c>
      <c r="F10" s="15">
        <v>2.4535265062104461E-2</v>
      </c>
      <c r="G10" s="15">
        <f>F10 - Portfolio_Mgmt!$C$10</f>
        <v>-6.2464734937895533E-2</v>
      </c>
      <c r="H10" s="15">
        <f>F10 - Portfolio_Mgmt!$C$11</f>
        <v>5.5352650621044615E-3</v>
      </c>
      <c r="I10" s="15">
        <v>0</v>
      </c>
      <c r="J10" s="2">
        <v>27.666459398619363</v>
      </c>
      <c r="K10" s="2">
        <v>65.304739034115954</v>
      </c>
      <c r="L10" s="74">
        <v>63.44391872644448</v>
      </c>
      <c r="M10" s="2">
        <v>37.320034608154735</v>
      </c>
      <c r="N10" s="2">
        <v>61.489408566601746</v>
      </c>
      <c r="O10" s="4">
        <v>4.9798773737620428E-2</v>
      </c>
      <c r="P10" s="4">
        <v>5.7544028618602097E-2</v>
      </c>
      <c r="Q10" s="4">
        <v>0.14093304007128551</v>
      </c>
      <c r="R10" s="4">
        <v>0.29188024664664569</v>
      </c>
      <c r="S10" s="82">
        <v>0.37062368553626046</v>
      </c>
      <c r="T10" s="81">
        <v>1.3027915865121182</v>
      </c>
      <c r="U10" s="15">
        <v>7.7640983998987034E-4</v>
      </c>
      <c r="V10" s="79">
        <v>5.5975167910006915E-3</v>
      </c>
      <c r="W10" s="74">
        <v>15.284602440692964</v>
      </c>
      <c r="X10" s="16" t="s">
        <v>170</v>
      </c>
      <c r="Y10" s="11" t="s">
        <v>136</v>
      </c>
      <c r="Z10" s="14">
        <v>45900</v>
      </c>
      <c r="AA10" s="16" t="s">
        <v>184</v>
      </c>
    </row>
    <row r="11" spans="1:27">
      <c r="B11" s="11" t="s">
        <v>347</v>
      </c>
      <c r="C11" s="11" t="s">
        <v>348</v>
      </c>
      <c r="D11" s="2">
        <v>21.42</v>
      </c>
      <c r="E11" s="12" t="s">
        <v>327</v>
      </c>
      <c r="F11" s="15">
        <v>5.0063007828899941E-3</v>
      </c>
      <c r="G11" s="15">
        <f>F11 - Portfolio_Mgmt!$C$10</f>
        <v>-8.199369921711E-2</v>
      </c>
      <c r="H11" s="15">
        <f>F11 - Portfolio_Mgmt!$C$11</f>
        <v>-1.3993699217110005E-2</v>
      </c>
      <c r="I11" s="15">
        <v>0</v>
      </c>
      <c r="J11" s="2">
        <v>7.6314402727898702</v>
      </c>
      <c r="K11" s="2">
        <v>18.758424601634019</v>
      </c>
      <c r="L11" s="74">
        <v>17.674312632907508</v>
      </c>
      <c r="M11" s="2">
        <v>10.336151389000461</v>
      </c>
      <c r="N11" s="2">
        <v>17.124648599063175</v>
      </c>
      <c r="O11" s="4">
        <v>5.0524966099596842E-2</v>
      </c>
      <c r="P11" s="4">
        <v>4.6218487394957986E-2</v>
      </c>
      <c r="Q11" s="4">
        <v>0.15161114820375229</v>
      </c>
      <c r="R11" s="4">
        <v>0.3932476207375345</v>
      </c>
      <c r="S11" s="82">
        <v>0.30212796693987309</v>
      </c>
      <c r="T11" s="81">
        <v>1.2760688428830085</v>
      </c>
      <c r="U11" s="15">
        <v>0.12757636177577109</v>
      </c>
      <c r="V11" s="79">
        <v>0.79731882844192148</v>
      </c>
      <c r="W11" s="74">
        <v>2.5713378719718771</v>
      </c>
      <c r="X11" s="13" t="s">
        <v>169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14.61</v>
      </c>
      <c r="E12" s="12" t="s">
        <v>327</v>
      </c>
      <c r="F12" s="15">
        <v>-0.12924792193563561</v>
      </c>
      <c r="G12" s="15">
        <f>F12 - Portfolio_Mgmt!$C$10</f>
        <v>-0.21624792193563561</v>
      </c>
      <c r="H12" s="15">
        <f>F12 - Portfolio_Mgmt!$C$11</f>
        <v>-0.1482479219356356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3.0365514711258861E-2</v>
      </c>
      <c r="P12" s="4">
        <v>2.4640657084188916E-2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4.0099999999999997E-2</v>
      </c>
      <c r="D4" s="34">
        <v>7.4999999999999997E-2</v>
      </c>
      <c r="E4" s="35">
        <f>D4-C4</f>
        <v>3.49E-2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0.54166002867611918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21.35</v>
      </c>
      <c r="D4" s="62" t="str">
        <f>VLOOKUP(B4,Opportunities!B$3:E$30,4,FALSE)</f>
        <v>CNY</v>
      </c>
      <c r="E4" s="59">
        <v>3000</v>
      </c>
      <c r="F4" s="64">
        <f>E4*C4</f>
        <v>64050.000000000007</v>
      </c>
      <c r="G4" s="61">
        <f>F4/$F$10</f>
        <v>0.20407838139238493</v>
      </c>
      <c r="H4" s="61">
        <f>VLOOKUP(B4,Opportunities!B$3:I$30,8,FALSE)</f>
        <v>0</v>
      </c>
      <c r="I4" s="84">
        <f>VLOOKUP(B4,Opportunities!B$3:N$30,12,FALSE)</f>
        <v>11.229102068804695</v>
      </c>
      <c r="J4" s="84">
        <f>VLOOKUP(B4,Opportunities!B$3:N$30,9,FALSE)</f>
        <v>8.287863297441934</v>
      </c>
      <c r="K4" s="84">
        <f>VLOOKUP(B4,Opportunities!B$3:N$30,11,FALSE)</f>
        <v>19.210705770441479</v>
      </c>
      <c r="L4" s="84">
        <f>VLOOKUP(B4,Opportunities!B$3:N$30,13,FALSE)</f>
        <v>18.612786102807618</v>
      </c>
    </row>
    <row r="5" spans="1:12">
      <c r="B5" s="66" t="s">
        <v>329</v>
      </c>
      <c r="C5" s="63">
        <f>VLOOKUP(B5,Opportunities!B$3:E$30,3,FALSE)</f>
        <v>15.96</v>
      </c>
      <c r="D5" s="62" t="str">
        <f>VLOOKUP(B5,Opportunities!B$3:E$30,4,FALSE)</f>
        <v>CNY</v>
      </c>
      <c r="E5" s="59">
        <v>5000</v>
      </c>
      <c r="F5" s="64">
        <f>C5*E5</f>
        <v>79800</v>
      </c>
      <c r="G5" s="61">
        <f>F5/$F$10</f>
        <v>0.25426158993149595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313850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0.54166002867611918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2025-09-15T04:04:40Z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