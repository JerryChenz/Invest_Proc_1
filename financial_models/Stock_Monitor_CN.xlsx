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30B6F51-C728-447F-AEDB-C9ACCBDB9CC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<sst xmlns="http://schemas.openxmlformats.org/spreadsheetml/2006/main" count="423" uniqueCount="356">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</sst>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55.36</v>
      </c>
      <c r="E3" s="12" t="s">
        <v>327</v>
      </c>
      <c r="F3" s="15">
        <v>0.10166188614223426</v>
      </c>
      <c r="G3" s="15">
        <f>F3 - Portfolio_Mgmt!$C$10</f>
        <v>1.4661886142234265E-2</v>
      </c>
      <c r="H3" s="15">
        <f>F3 - Portfolio_Mgmt!$C$11</f>
        <v>8.2661886142234256E-2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7.837827135883256E-2</v>
      </c>
      <c r="P3" s="4">
        <v>3.9017341040462429E-2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15.99</v>
      </c>
      <c r="E4" s="12" t="s">
        <v>327</v>
      </c>
      <c r="F4" s="15">
        <v>9.2071429726595877E-2</v>
      </c>
      <c r="G4" s="15">
        <f>F4 - Portfolio_Mgmt!$C$10</f>
        <v>5.071429726595883E-3</v>
      </c>
      <c r="H4" s="15">
        <f>F4 - Portfolio_Mgmt!$C$11</f>
        <v>7.3071429726595874E-2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7.3609960303897354E-2</v>
      </c>
      <c r="P4" s="4">
        <v>5.966228893058162E-2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10.39</v>
      </c>
      <c r="E5" s="12" t="s">
        <v>327</v>
      </c>
      <c r="F5" s="15">
        <v>7.4061063796521331E-2</v>
      </c>
      <c r="G5" s="15">
        <f>F5 - Portfolio_Mgmt!$C$10</f>
        <v>-1.2938936203478663E-2</v>
      </c>
      <c r="H5" s="15">
        <f>F5 - Portfolio_Mgmt!$C$11</f>
        <v>5.5061063796521328E-2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3.3957112453038667E-2</v>
      </c>
      <c r="P5" s="4">
        <v>3.464870067372474E-2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22.81</v>
      </c>
      <c r="E7" s="12" t="s">
        <v>327</v>
      </c>
      <c r="F7" s="15">
        <v>4.5431481116860795E-2</v>
      </c>
      <c r="G7" s="15">
        <f>F7 - Portfolio_Mgmt!$C$10</f>
        <v>-4.1568518883139199E-2</v>
      </c>
      <c r="H7" s="15">
        <f>F7 - Portfolio_Mgmt!$C$11</f>
        <v>2.6431481116860795E-2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5.8056156149679961E-2</v>
      </c>
      <c r="P7" s="4">
        <v>4.1823761508110485E-2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347</v>
      </c>
      <c r="C8" s="11" t="s">
        <v>348</v>
      </c>
      <c r="D8" s="2">
        <v>20.47</v>
      </c>
      <c r="E8" s="12" t="s">
        <v>327</v>
      </c>
      <c r="F8" s="15">
        <v>2.1071297682139001E-2</v>
      </c>
      <c r="G8" s="15">
        <f>F8 - Portfolio_Mgmt!$C$10</f>
        <v>-6.5928702317860993E-2</v>
      </c>
      <c r="H8" s="15">
        <f>F8 - Portfolio_Mgmt!$C$11</f>
        <v>2.0712976821390013E-3</v>
      </c>
      <c r="I8" s="15">
        <v>0</v>
      </c>
      <c r="J8" s="2">
        <v>7.6314402727898702</v>
      </c>
      <c r="K8" s="2">
        <v>18.758424601634019</v>
      </c>
      <c r="L8" s="74">
        <v>17.674312632907508</v>
      </c>
      <c r="M8" s="2">
        <v>10.336151389000461</v>
      </c>
      <c r="N8" s="2">
        <v>17.124648599063175</v>
      </c>
      <c r="O8" s="4">
        <v>5.2869798429573248E-2</v>
      </c>
      <c r="P8" s="4">
        <v>4.8363458720078169E-2</v>
      </c>
      <c r="Q8" s="4">
        <v>0.15161114820375229</v>
      </c>
      <c r="R8" s="4">
        <v>0.3932476207375345</v>
      </c>
      <c r="S8" s="82">
        <v>0.30212796693987309</v>
      </c>
      <c r="T8" s="81">
        <v>1.2760688428830085</v>
      </c>
      <c r="U8" s="15">
        <v>0.12757636177577109</v>
      </c>
      <c r="V8" s="79">
        <v>0.79731882844192148</v>
      </c>
      <c r="W8" s="74">
        <v>2.5713378719718771</v>
      </c>
      <c r="X8" s="13" t="s">
        <v>169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73.58</v>
      </c>
      <c r="E9" s="12" t="s">
        <v>327</v>
      </c>
      <c r="F9" s="15">
        <v>2.0094786473875637E-2</v>
      </c>
      <c r="G9" s="15">
        <f>F9 - Portfolio_Mgmt!$C$10</f>
        <v>-6.6905213526124357E-2</v>
      </c>
      <c r="H9" s="15">
        <f>F9 - Portfolio_Mgmt!$C$11</f>
        <v>1.094786473875637E-3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4.918965582019915E-2</v>
      </c>
      <c r="P9" s="4">
        <v>5.6840173960315314E-2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328</v>
      </c>
      <c r="C10" s="11" t="s">
        <v>349</v>
      </c>
      <c r="D10" s="2">
        <v>22.55</v>
      </c>
      <c r="E10" s="12" t="s">
        <v>327</v>
      </c>
      <c r="F10" s="15">
        <v>1.9429124006588028E-2</v>
      </c>
      <c r="G10" s="15">
        <f>F10 - Portfolio_Mgmt!$C$10</f>
        <v>-6.7570875993411966E-2</v>
      </c>
      <c r="H10" s="15">
        <f>F10 - Portfolio_Mgmt!$C$11</f>
        <v>4.2912400658802821E-4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0.24484994736087973</v>
      </c>
      <c r="P10" s="4">
        <v>4.7006651884700663E-2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335</v>
      </c>
      <c r="C11" s="11" t="s">
        <v>336</v>
      </c>
      <c r="D11" s="2">
        <v>54.13</v>
      </c>
      <c r="E11" s="12" t="s">
        <v>327</v>
      </c>
      <c r="F11" s="15">
        <v>7.4155343955202291E-3</v>
      </c>
      <c r="G11" s="15">
        <f>F11 - Portfolio_Mgmt!$C$10</f>
        <v>-7.9584465604479765E-2</v>
      </c>
      <c r="H11" s="15">
        <f>F11 - Portfolio_Mgmt!$C$11</f>
        <v>-1.158446560447977E-2</v>
      </c>
      <c r="I11" s="15">
        <v>0</v>
      </c>
      <c r="J11" s="2">
        <v>18.605220097652271</v>
      </c>
      <c r="K11" s="2">
        <v>52.623089120205158</v>
      </c>
      <c r="L11" s="74">
        <v>44.699984953439703</v>
      </c>
      <c r="M11" s="2">
        <v>25.586749713338708</v>
      </c>
      <c r="N11" s="2">
        <v>43.262452230628902</v>
      </c>
      <c r="O11" s="4">
        <v>3.9958974885345624E-2</v>
      </c>
      <c r="P11" s="4">
        <v>1.6626639571402181E-2</v>
      </c>
      <c r="Q11" s="4">
        <v>0.14549955248916155</v>
      </c>
      <c r="R11" s="4">
        <v>0.22405670341828193</v>
      </c>
      <c r="S11" s="82">
        <v>0.42456310191863128</v>
      </c>
      <c r="T11" s="81">
        <v>1.5295422156001708</v>
      </c>
      <c r="U11" s="15">
        <v>5.3145118525683231E-2</v>
      </c>
      <c r="V11" s="79">
        <v>0.36488435676778314</v>
      </c>
      <c r="W11" s="74">
        <v>5.6082458208015922</v>
      </c>
      <c r="X11" s="13" t="s">
        <v>332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15.6</v>
      </c>
      <c r="E12" s="12" t="s">
        <v>327</v>
      </c>
      <c r="F12" s="15">
        <v>-0.14863126593931597</v>
      </c>
      <c r="G12" s="15">
        <f>F12 - Portfolio_Mgmt!$C$10</f>
        <v>-0.23563126593931596</v>
      </c>
      <c r="H12" s="15">
        <f>F12 - Portfolio_Mgmt!$C$11</f>
        <v>-0.16763126593931596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2.8438472431505889E-2</v>
      </c>
      <c r="P12" s="4">
        <v>2.3076923076923082E-2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0.53526448362720402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22.55</v>
      </c>
      <c r="D4" s="62" t="str">
        <f>VLOOKUP(B4,Opportunities!B$3:E$30,4,FALSE)</f>
        <v>CNY</v>
      </c>
      <c r="E4" s="59">
        <v>3000</v>
      </c>
      <c r="F4" s="64">
        <f>E4*C4</f>
        <v>67650</v>
      </c>
      <c r="G4" s="61">
        <f>F4/$F$10</f>
        <v>0.21300377833753148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15.99</v>
      </c>
      <c r="D5" s="62" t="str">
        <f>VLOOKUP(B5,Opportunities!B$3:E$30,4,FALSE)</f>
        <v>CNY</v>
      </c>
      <c r="E5" s="59">
        <v>5000</v>
      </c>
      <c r="F5" s="64">
        <f>C5*E5</f>
        <v>79950</v>
      </c>
      <c r="G5" s="61">
        <f>F5/$F$10</f>
        <v>0.2517317380352645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317600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0.53526448362720402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2025-08-20T01:42:54Z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