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8FB07261-8F45-4520-AC6D-632B682FD7AC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<sst xmlns="http://schemas.openxmlformats.org/spreadsheetml/2006/main" count="407" uniqueCount="361">
  <si>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</si>
  <si>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</si>
  <si>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</si>
  <si>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</si>
  <si>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</si>
  <si>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</si>
  <si>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</si>
  <si>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</si>
  <si>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</si>
  <si>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</si>
  <si>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</si>
  <si>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</si>
  <si>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</si>
  <si>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</si>
  <si>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</si>
  <si>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</si>
  <si>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</si>
  <si>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</si>
  <si>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</si>
  <si>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</si>
  <si>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</si>
  <si>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</si>
  <si>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</si>
  <si>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</si>
  <si>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</si>
  <si>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</si>
  <si>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</si>
  <si>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</si>
  <si>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</si>
  <si>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</si>
  <si>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</si>
  <si>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</si>
  <si>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</si>
  <si>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</si>
  <si>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</si>
  <si>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</si>
  <si>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</si>
  <si>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</si>
  <si>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</si>
  <si>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</si>
  <si>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</si>
  <si>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</si>
  <si>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</si>
  <si>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</si>
  <si>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</si>
  <si>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</si>
  <si>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</si>
  <si>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</si>
  <si>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</si>
  <si>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</si>
  <si>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</si>
  <si>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</si>
  <si>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</si>
  <si>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</si>
  <si>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</si>
  <si>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</si>
  <si>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</si>
  <si>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</si>
  <si>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</si>
  <si>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</si>
  <si>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</si>
  <si>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</si>
  <si>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</si>
  <si>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</si>
  <si>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</si>
  <si>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</si>
  <si>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</si>
  <si>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</si>
  <si>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</si>
  <si>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</si>
  <si>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</si>
  <si>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</si>
  <si>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</si>
  <si>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</si>
  <si>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</si>
  <si>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</si>
  <si>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</si>
  <si>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</si>
  <si>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</si>
  <si>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</si>
  <si>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</si>
  <si>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</si>
  <si>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</si>
  <si>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</si>
  <si>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</si>
  <si>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</si>
  <si>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</si>
  <si>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</si>
  <si>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</si>
  <si>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</si>
  <si>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</si>
  <si>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</si>
  <si>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</si>
  <si>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</si>
  <si>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</si>
  <si>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</si>
  <si>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</si>
  <si>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</si>
  <si>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</si>
  <si>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</si>
  <si>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</si>
  <si>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</si>
  <si>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</si>
  <si>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</si>
  <si>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</si>
  <si>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</si>
  <si>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</si>
  <si>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</si>
  <si>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</si>
  <si>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</si>
  <si>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</si>
  <si>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</si>
  <si>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</si>
  <si>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</si>
  <si>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</si>
  <si>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</si>
  <si>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</si>
  <si>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</si>
  <si>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</si>
  <si>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</si>
  <si>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</si>
  <si>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</si>
  <si>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</si>
  <si>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</si>
  <si>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</si>
  <si>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</si>
  <si>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</si>
  <si>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</si>
  <si>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</si>
  <si>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</si>
  <si>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</si>
  <si>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</si>
  <si>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</si>
  <si>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</si>
  <si>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</si>
  <si>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</si>
  <si>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</si>
  <si>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</si>
  <si>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</si>
  <si>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</si>
  <si>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</si>
  <si>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</si>
  <si>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</si>
  <si>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</si>
  <si>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</si>
  <si>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</si>
  <si>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</si>
  <si>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</si>
  <si>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</si>
  <si>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</si>
  <si>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</si>
  <si>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</si>
  <si>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</si>
  <si>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</si>
  <si>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</si>
  <si>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</si>
  <si>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</si>
  <si>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</si>
  <si>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</si>
  <si>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</si>
  <si>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</si>
  <si>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</si>
  <si>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</si>
  <si>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</si>
  <si>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</si>
  <si>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</si>
  <si>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</si>
  <si>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</si>
  <si>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</si>
  <si>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</si>
  <si>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</si>
  <si>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</si>
  <si>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</si>
  <si>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</si>
  <si>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</si>
  <si>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</si>
  <si>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</si>
  <si>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</si>
  <si>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</si>
  <si>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</si>
  <si>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</si>
  <si>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</si>
  <si>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</si>
  <si>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</si>
  <si>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</si>
  <si>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</si>
  <si>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</si>
  <si>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</si>
  <si>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</si>
  <si>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</si>
  <si>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</si>
  <si>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</si>
  <si>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</si>
  <si>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</si>
  <si>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</si>
  <si>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</si>
  <si>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</si>
  <si>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</si>
  <si>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</si>
  <si>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</si>
  <si>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</si>
  <si>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</si>
  <si>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</si>
  <si>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</si>
  <si>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</si>
  <si>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</si>
  <si>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</si>
  <si>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</si>
  <si>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</si>
  <si>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</si>
  <si>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</si>
  <si>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</si>
  <si>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</si>
  <si>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</si>
  <si>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</si>
  <si>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</si>
  <si>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</si>
  <si>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</si>
  <si>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</si>
  <si>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</si>
  <si>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</si>
  <si>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</si>
  <si>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</si>
  <si>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</si>
  <si>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</si>
  <si>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</si>
  <si>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</si>
  <si>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</si>
  <si>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</si>
  <si>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</si>
  <si>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</si>
  <si>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</si>
  <si>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</si>
  <si>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</si>
  <si>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</si>
  <si>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</si>
  <si>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</si>
  <si>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</si>
  <si>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</si>
  <si>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</si>
  <si>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</si>
  <si>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</si>
  <si>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</si>
  <si>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</si>
  <si>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</si>
  <si>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</si>
  <si>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</si>
  <si>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</si>
  <si>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</si>
  <si>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</si>
  <si>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</si>
  <si>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</si>
  <si>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</si>
  <si>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</si>
  <si>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</si>
  <si>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</si>
  <si>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</si>
  <si>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</si>
  <si>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</si>
  <si>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</si>
  <si>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</si>
  <si>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</si>
  <si>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</si>
  <si>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</si>
  <si>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</si>
  <si>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</si>
  <si>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</si>
  <si>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</si>
  <si>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</si>
  <si>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</si>
  <si>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</si>
  <si>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</si>
  <si>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</si>
  <si>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</si>
  <si>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</si>
  <si>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</si>
  <si>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</si>
  <si>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</si>
  <si>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</si>
  <si>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</si>
  <si>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</si>
  <si>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</si>
  <si>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</si>
  <si>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</si>
  <si>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</si>
  <si>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</si>
  <si>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</si>
  <si>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</si>
  <si>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</si>
  <si>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</si>
  <si>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</si>
  <si>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</si>
  <si>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</si>
  <si>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</si>
  <si>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</si>
  <si>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</si>
  <si>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</si>
  <si>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</si>
  <si>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</si>
  <si>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</si>
  <si>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</si>
  <si>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</si>
  <si>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</si>
  <si>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</si>
  <si>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</si>
  <si>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</si>
  <si>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</si>
  <si>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</si>
  <si>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</si>
  <si>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</si>
  <si>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</si>
  <si>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</si>
  <si>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</si>
  <si>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</si>
  <si>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</si>
  <si>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</si>
  <si>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</si>
  <si>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</si>
  <si>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</si>
  <si>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</si>
  <si>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</si>
  <si>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</si>
  <si>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</si>
  <si>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</si>
  <si>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</si>
  <si>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</si>
  <si>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</si>
  <si>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</si>
  <si>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 xml:space="preserve">Low Growth </t>
  </si>
  <si>
    <t>N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</si>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</sst>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206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4" t="s">
        <v>351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208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349</v>
      </c>
      <c r="C35" s="43" t="s">
        <v>129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-0.75</v>
      </c>
    </row>
    <row r="40" spans="1:5">
      <c r="B40" s="20" t="s">
        <v>216</v>
      </c>
    </row>
    <row r="41" spans="1:5">
      <c r="B41" s="144" t="s">
        <v>215</v>
      </c>
      <c r="C41" s="144"/>
      <c r="D41" s="144"/>
      <c r="E41" s="144"/>
    </row>
    <row r="43" spans="1:5">
      <c r="A43" s="20" t="s">
        <v>61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5" t="s">
        <v>354</v>
      </c>
      <c r="C50" s="144"/>
      <c r="D50" s="144"/>
      <c r="E50" s="144"/>
    </row>
    <row r="51" spans="1:5">
      <c r="B51" s="145" t="s">
        <v>228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217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168</v>
      </c>
      <c r="D70" s="26" t="s">
        <v>169</v>
      </c>
      <c r="E70" s="40">
        <v>2</v>
      </c>
    </row>
    <row r="71" spans="1:5">
      <c r="B71" s="26" t="s">
        <v>198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221</v>
      </c>
    </row>
    <row r="84" spans="1:5">
      <c r="B84" s="24" t="s">
        <v>150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181</v>
      </c>
      <c r="R1" s="153"/>
      <c r="S1" s="153"/>
      <c r="T1" s="153"/>
      <c r="U1" s="152" t="s">
        <v>177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182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358</v>
      </c>
      <c r="C3" s="11" t="s">
        <v>359</v>
      </c>
      <c r="D3" s="2">
        <v>15.29</v>
      </c>
      <c r="E3" s="12" t="s">
        <v>360</v>
      </c>
      <c r="F3" s="15">
        <v>0.1493362796876366</v>
      </c>
      <c r="G3" s="15">
        <f>F3 - Portfolio_Mgmt!$C$10</f>
        <v>6.2336279687636609E-2</v>
      </c>
      <c r="H3" s="15">
        <f>F3 - Portfolio_Mgmt!$C$11</f>
        <v>0.13033627968763661</v>
      </c>
      <c r="I3" s="15">
        <v>0</v>
      </c>
      <c r="J3" s="2">
        <v>10.160985357159904</v>
      </c>
      <c r="K3" s="2">
        <v>19.53540989503373</v>
      </c>
      <c r="L3" s="71">
        <v>18.604575623309014</v>
      </c>
      <c r="M3" s="2">
        <v>12.739809982003386</v>
      </c>
      <c r="N3" s="2">
        <v>17.90774742961446</v>
      </c>
      <c r="O3" s="4">
        <v>7.9118001546982064E-2</v>
      </c>
      <c r="P3" s="4">
        <v>6.9326357096141281E-2</v>
      </c>
      <c r="Q3" s="4">
        <v>0.20154037903826943</v>
      </c>
      <c r="R3" s="4">
        <v>0.1716039508794045</v>
      </c>
      <c r="S3" s="79">
        <v>0.60365585063636729</v>
      </c>
      <c r="T3" s="78">
        <v>1.9455633401039498</v>
      </c>
      <c r="U3" s="15">
        <v>4.3380350010353987E-2</v>
      </c>
      <c r="V3" s="76">
        <v>0.21365490022249814</v>
      </c>
      <c r="W3" s="71">
        <v>-0.45026820353990077</v>
      </c>
      <c r="X3" s="13" t="s">
        <v>170</v>
      </c>
      <c r="Y3" s="11" t="s">
        <v>328</v>
      </c>
      <c r="Z3" s="14">
        <v>46081</v>
      </c>
      <c r="AA3" s="16" t="s">
        <v>329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5" t="s">
        <v>234</v>
      </c>
      <c r="C4" s="144"/>
      <c r="D4" s="144"/>
      <c r="E4" s="144"/>
    </row>
    <row r="6" spans="1:5">
      <c r="A6" s="20" t="s">
        <v>59</v>
      </c>
      <c r="B6" s="19" t="s">
        <v>235</v>
      </c>
      <c r="C6" s="47"/>
    </row>
    <row r="7" spans="1:5">
      <c r="B7" s="145" t="s">
        <v>325</v>
      </c>
      <c r="C7" s="144"/>
      <c r="D7" s="144"/>
      <c r="E7" s="144"/>
    </row>
    <row r="9" spans="1:5">
      <c r="B9" s="23" t="s">
        <v>236</v>
      </c>
    </row>
    <row r="10" spans="1:5">
      <c r="B10" s="1" t="s">
        <v>237</v>
      </c>
      <c r="C10" s="105">
        <f>benchmark</f>
        <v>8.6999999999999994E-2</v>
      </c>
    </row>
    <row r="11" spans="1:5">
      <c r="B11" s="1" t="s">
        <v>238</v>
      </c>
      <c r="C11" s="105">
        <f>Cash_Yield</f>
        <v>1.9E-2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60</v>
      </c>
      <c r="B23" s="19" t="s">
        <v>251</v>
      </c>
      <c r="C23" s="47"/>
    </row>
    <row r="24" spans="1:5">
      <c r="A24" s="18"/>
      <c r="B24" s="145" t="s">
        <v>250</v>
      </c>
      <c r="C24" s="144"/>
      <c r="D24" s="144"/>
      <c r="E24" s="144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61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0.32950289523458665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0.22621703288100403</v>
      </c>
      <c r="D33" s="96" t="s">
        <v>266</v>
      </c>
      <c r="E33" s="97">
        <f>(C32*C33+(1-C32)*C34)/(2*C33)</f>
        <v>3.1675594963103455</v>
      </c>
    </row>
    <row r="34" spans="1:5" ht="12" thickBot="1">
      <c r="B34" s="98" t="s">
        <v>262</v>
      </c>
      <c r="C34" s="99">
        <f>E32+C33</f>
        <v>2.0262170328810036</v>
      </c>
      <c r="D34" s="100" t="s">
        <v>267</v>
      </c>
      <c r="E34" s="101">
        <f>-C33/C34</f>
        <v>-0.11164501591389464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4" t="s">
        <v>270</v>
      </c>
      <c r="C40" s="144"/>
      <c r="D40" s="144"/>
      <c r="E40" s="144"/>
    </row>
    <row r="41" spans="1:5">
      <c r="B41" s="145" t="s">
        <v>271</v>
      </c>
      <c r="C41" s="144"/>
      <c r="D41" s="144"/>
      <c r="E41" s="144"/>
    </row>
    <row r="42" spans="1:5">
      <c r="B42" s="145" t="s">
        <v>272</v>
      </c>
      <c r="C42" s="144"/>
      <c r="D42" s="144"/>
      <c r="E42" s="144"/>
    </row>
    <row r="43" spans="1:5">
      <c r="B43" s="145" t="s">
        <v>273</v>
      </c>
      <c r="C43" s="145"/>
      <c r="D43" s="145"/>
      <c r="E43" s="145"/>
    </row>
    <row r="44" spans="1:5" ht="34.35" customHeight="1">
      <c r="B44" s="144" t="s">
        <v>324</v>
      </c>
      <c r="C44" s="144"/>
      <c r="D44" s="144"/>
      <c r="E44" s="144"/>
    </row>
    <row r="46" spans="1:5">
      <c r="A46" s="21" t="s">
        <v>274</v>
      </c>
      <c r="B46" s="21"/>
      <c r="C46" s="21"/>
      <c r="D46" s="21"/>
      <c r="E46" s="21"/>
    </row>
    <row r="48" spans="1:5">
      <c r="B48" s="144" t="s">
        <v>275</v>
      </c>
      <c r="C48" s="144"/>
      <c r="D48" s="144"/>
      <c r="E48" s="144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4" t="s">
        <v>307</v>
      </c>
      <c r="C74" s="144"/>
      <c r="D74" s="144"/>
      <c r="E74" s="144"/>
    </row>
    <row r="76" spans="1:5">
      <c r="A76" s="28" t="s">
        <v>59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12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-0.75</v>
      </c>
    </row>
    <row r="12" spans="1:4">
      <c r="B12" s="119" t="s">
        <v>216</v>
      </c>
    </row>
    <row r="13" spans="1:4">
      <c r="B13" s="154" t="s">
        <v>342</v>
      </c>
      <c r="C13" s="154"/>
      <c r="D13" s="154"/>
    </row>
    <row r="14" spans="1:4">
      <c r="B14" s="155" t="s">
        <v>343</v>
      </c>
      <c r="C14" s="156"/>
      <c r="D14" s="156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337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339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4.1799999999999997E-2</v>
      </c>
      <c r="D4" s="34">
        <v>7.0000000000000007E-2</v>
      </c>
      <c r="E4" s="35">
        <f>D4-C4</f>
        <v>2.820000000000001E-2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331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184</v>
      </c>
      <c r="L2" s="52" t="s">
        <v>185</v>
      </c>
      <c r="M2" s="52" t="s">
        <v>186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171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183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327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187</v>
      </c>
      <c r="K9" s="82" t="s">
        <v>187</v>
      </c>
      <c r="L9" s="82" t="s">
        <v>187</v>
      </c>
      <c r="M9" s="82" t="s">
        <v>187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171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183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327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330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187</v>
      </c>
      <c r="K18" s="82" t="s">
        <v>187</v>
      </c>
      <c r="L18" s="82" t="s">
        <v>187</v>
      </c>
      <c r="M18" s="82" t="s">
        <v>187</v>
      </c>
    </row>
    <row r="20" spans="1:13" ht="13.15">
      <c r="A20" s="49"/>
      <c r="B20" s="50" t="s">
        <v>188</v>
      </c>
      <c r="C20" s="115"/>
      <c r="D20" s="56"/>
      <c r="E20" s="53"/>
      <c r="F20" s="57"/>
      <c r="G20" s="57"/>
    </row>
    <row r="21" spans="1:13" ht="13.15">
      <c r="C21" s="84" t="s">
        <v>189</v>
      </c>
      <c r="D21" s="84" t="s">
        <v>192</v>
      </c>
      <c r="F21" s="84" t="s">
        <v>193</v>
      </c>
    </row>
    <row r="22" spans="1:13" ht="14.25">
      <c r="B22" s="83" t="s">
        <v>190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191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194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2025-12-11T08:16:28Z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