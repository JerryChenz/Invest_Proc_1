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D20F472-3EEE-4FD2-B4F0-9FB6BB4B920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7" i="5"/>
  <c r="C11" i="5"/>
  <c r="C10" i="5"/>
  <c r="B83" i="5"/>
  <c r="B80" i="5"/>
  <c r="C32" i="5" l="1"/>
  <c r="C34" i="5"/>
  <c r="E34" i="5" s="1"/>
  <c r="C36" i="5"/>
  <c r="E36" i="5" s="1"/>
  <c r="I4" i="7"/>
  <c r="J4" i="7"/>
  <c r="K4" i="7"/>
  <c r="L4" i="7"/>
  <c r="I5" i="7"/>
  <c r="J5" i="7"/>
  <c r="K5" i="7"/>
  <c r="L5" i="7"/>
  <c r="D4" i="7"/>
  <c r="D5" i="7"/>
  <c r="H4" i="7"/>
  <c r="H5" i="7"/>
  <c r="C4" i="7"/>
  <c r="C5" i="7"/>
  <c r="E35" i="5" l="1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<sst xmlns="http://schemas.openxmlformats.org/spreadsheetml/2006/main" count="319" uniqueCount="261">
  <si>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</si>
  <si>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</si>
  <si>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</si>
  <si>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</si>
  <si>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</si>
  <si>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</si>
  <si>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</si>
  <si>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</si>
  <si>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</si>
  <si>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</si>
  <si>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</si>
  <si>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</si>
  <si>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</si>
  <si>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</si>
  <si>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</si>
  <si>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</si>
  <si>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</si>
  <si>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</si>
  <si>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</si>
  <si>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</si>
  <si>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</si>
  <si>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</si>
  <si>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</si>
  <si>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</si>
  <si>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</si>
  <si>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</si>
  <si>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</si>
  <si>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</si>
  <si>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</si>
  <si>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</si>
  <si>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</si>
  <si>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</si>
  <si>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</si>
  <si>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</si>
  <si>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</si>
  <si>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</si>
  <si>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</si>
  <si>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</si>
  <si>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</si>
  <si>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</si>
  <si>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</si>
  <si>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</si>
  <si>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</si>
  <si>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</si>
  <si>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</si>
  <si>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</si>
  <si>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</si>
  <si>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</si>
  <si>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</si>
  <si>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</si>
  <si>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</si>
  <si>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</si>
  <si>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</si>
  <si>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</si>
  <si>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</si>
  <si>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</si>
  <si>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</si>
  <si>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</si>
  <si>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</si>
  <si>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</si>
  <si>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</si>
  <si>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</si>
  <si>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</si>
  <si>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</si>
  <si>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</si>
  <si>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</si>
  <si>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</si>
  <si>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</si>
  <si>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</si>
  <si>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</si>
  <si>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</si>
  <si>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</si>
  <si>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</si>
  <si>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</si>
  <si>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</si>
  <si>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</si>
  <si>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</si>
  <si>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</si>
  <si>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</si>
  <si>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</si>
  <si>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</si>
  <si>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</si>
  <si>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</si>
  <si>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</si>
  <si>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</si>
  <si>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</si>
  <si>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</si>
  <si>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</si>
  <si>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</si>
  <si>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</si>
  <si>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</si>
  <si>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</si>
  <si>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</si>
  <si>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</si>
  <si>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</si>
  <si>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</si>
  <si>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</si>
  <si>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</si>
  <si>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</si>
  <si>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</si>
  <si>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</si>
  <si>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</si>
  <si>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</si>
  <si>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</si>
  <si>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</si>
  <si>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</si>
  <si>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</si>
  <si>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</si>
  <si>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</si>
  <si>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</si>
  <si>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</si>
  <si>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</si>
  <si>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</si>
  <si>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</si>
  <si>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</si>
  <si>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</si>
  <si>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</si>
  <si>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</si>
  <si>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</si>
  <si>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</si>
  <si>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</si>
  <si>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</si>
  <si>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</si>
  <si>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</si>
  <si>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</si>
  <si>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</si>
  <si>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</si>
  <si>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</si>
  <si>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</si>
  <si>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</si>
  <si>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</si>
  <si>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</si>
  <si>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</si>
  <si>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</si>
  <si>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</si>
  <si>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</si>
  <si>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</si>
  <si>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</si>
  <si>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</si>
  <si>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</si>
  <si>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</si>
  <si>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</si>
  <si>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</si>
  <si>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</si>
  <si>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</si>
  <si>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</si>
  <si>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</si>
  <si>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</si>
  <si>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</si>
  <si>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</si>
  <si>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</si>
  <si>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</si>
  <si>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</si>
  <si>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</si>
  <si>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</si>
  <si>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</si>
  <si>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</si>
  <si>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</si>
  <si>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</si>
  <si>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</si>
  <si>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</si>
  <si>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</si>
  <si>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</si>
  <si>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</si>
  <si>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</si>
  <si>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</si>
  <si>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</si>
  <si>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</si>
  <si>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</si>
  <si>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</si>
  <si>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</si>
  <si>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</si>
  <si>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</si>
  <si>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</si>
  <si>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</si>
  <si>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</si>
  <si>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</si>
  <si>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</si>
  <si>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</si>
  <si>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</si>
  <si>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</si>
  <si>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</si>
  <si>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</si>
  <si>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</si>
  <si>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</si>
  <si>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</si>
  <si>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</si>
  <si>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</si>
  <si>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</si>
  <si>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</si>
  <si>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</si>
  <si>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</si>
  <si>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</si>
  <si>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</si>
  <si>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</si>
  <si>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</si>
  <si>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</si>
  <si>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</si>
  <si>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</si>
  <si>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</si>
  <si>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</si>
  <si>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</si>
  <si>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</si>
  <si>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</si>
  <si>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</si>
  <si>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</si>
  <si>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</si>
  <si>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</si>
  <si>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</si>
  <si>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</si>
  <si>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</si>
  <si>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</si>
  <si>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</si>
  <si>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</si>
  <si>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</si>
  <si>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</si>
  <si>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</si>
  <si>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</si>
  <si>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</si>
  <si>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</si>
  <si>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</si>
  <si>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</si>
  <si>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</si>
  <si>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</si>
  <si>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</si>
  <si>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</si>
  <si>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</si>
  <si>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</si>
  <si>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601166.SS</t>
  </si>
  <si>
    <t>603279.SS</t>
  </si>
  <si>
    <t>Market Value (CNY)</t>
  </si>
  <si>
    <t>CNY</t>
  </si>
  <si>
    <t>景津装备</t>
  </si>
  <si>
    <t>IND_01</t>
  </si>
  <si>
    <t xml:space="preserve">Low Growth </t>
  </si>
  <si>
    <t>Y</t>
  </si>
  <si>
    <t>600132.SS</t>
  </si>
  <si>
    <t>重庆啤酒</t>
  </si>
  <si>
    <t>CNS_03</t>
  </si>
  <si>
    <t>603338.SS</t>
  </si>
  <si>
    <t>浙江鼎力</t>
  </si>
  <si>
    <t>002557.SZ</t>
  </si>
  <si>
    <t>洽洽食品</t>
  </si>
  <si>
    <t>CNS_01</t>
  </si>
  <si>
    <t>002304.SZ</t>
  </si>
  <si>
    <t>洋河股份</t>
  </si>
  <si>
    <t>N</t>
  </si>
  <si>
    <t>600373.SS</t>
  </si>
  <si>
    <t>中文传媒</t>
  </si>
  <si>
    <t>TMT_02</t>
  </si>
  <si>
    <t>Low Growth Asset Play</t>
  </si>
  <si>
    <t>600583.SS</t>
  </si>
  <si>
    <t>海油工程</t>
  </si>
  <si>
    <t>ENG_03</t>
  </si>
  <si>
    <t>兴业银行</t>
  </si>
  <si>
    <t>FIN_01</t>
  </si>
  <si>
    <t>600007.SS</t>
  </si>
  <si>
    <t>中国国贸</t>
  </si>
  <si>
    <t>RES_01</t>
  </si>
  <si>
    <t>300481.SZ</t>
  </si>
  <si>
    <t>濮阳惠成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</si>
</sst>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3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32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topLeftCell="A15" zoomScale="105" workbookViewId="0">
      <selection activeCell="D36" sqref="D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06" t="s">
        <v>148</v>
      </c>
      <c r="C4" s="106"/>
      <c r="D4" s="106"/>
      <c r="E4" s="106"/>
    </row>
    <row r="6" spans="1:5">
      <c r="A6" s="20" t="s">
        <v>60</v>
      </c>
      <c r="B6" s="19" t="s">
        <v>142</v>
      </c>
      <c r="C6" s="49"/>
    </row>
    <row r="7" spans="1:5">
      <c r="B7" s="106" t="s">
        <v>194</v>
      </c>
      <c r="C7" s="106"/>
      <c r="D7" s="106"/>
      <c r="E7" s="106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07" t="s">
        <v>196</v>
      </c>
      <c r="C24" s="106"/>
      <c r="D24" s="106"/>
      <c r="E24" s="106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f>3/5</f>
        <v>0.6</v>
      </c>
      <c r="D32" s="89" t="s">
        <v>221</v>
      </c>
      <c r="E32" s="90">
        <v>-0.5</v>
      </c>
    </row>
    <row r="33" spans="1:5">
      <c r="B33" s="92" t="s">
        <v>203</v>
      </c>
      <c r="C33" s="93">
        <v>0.35</v>
      </c>
      <c r="D33" s="94" t="s">
        <v>206</v>
      </c>
      <c r="E33" s="95">
        <f>(C32*C33+(1-C32)*C34)/(2*C33)</f>
        <v>0.21428571428571425</v>
      </c>
    </row>
    <row r="34" spans="1:5" ht="12" thickBot="1">
      <c r="B34" s="96" t="s">
        <v>202</v>
      </c>
      <c r="C34" s="97">
        <f>E32+C33</f>
        <v>-0.15000000000000002</v>
      </c>
      <c r="D34" s="98" t="s">
        <v>207</v>
      </c>
      <c r="E34" s="99">
        <f>-C33/C34</f>
        <v>2.333333333333333</v>
      </c>
    </row>
    <row r="35" spans="1:5">
      <c r="B35" s="92" t="s">
        <v>201</v>
      </c>
      <c r="C35" s="93">
        <v>0.25</v>
      </c>
      <c r="D35" s="94" t="s">
        <v>206</v>
      </c>
      <c r="E35" s="95">
        <f>(C32*C35+(1-C32)*C36)/(2*C35)</f>
        <v>9.9999999999999978E-2</v>
      </c>
    </row>
    <row r="36" spans="1:5" ht="12" thickBot="1">
      <c r="B36" s="96" t="s">
        <v>204</v>
      </c>
      <c r="C36" s="97">
        <f>E32+C35</f>
        <v>-0.25</v>
      </c>
      <c r="D36" s="98" t="s">
        <v>207</v>
      </c>
      <c r="E36" s="99">
        <f>-C35/C36</f>
        <v>1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MAX(6%,Market_Yield!C5:D6)</f>
        <v>0.06</v>
      </c>
    </row>
    <row r="38" spans="1:5">
      <c r="C38" s="86"/>
    </row>
    <row r="39" spans="1:5">
      <c r="B39" s="20" t="s">
        <v>209</v>
      </c>
    </row>
    <row r="40" spans="1:5">
      <c r="B40" s="106" t="s">
        <v>208</v>
      </c>
      <c r="C40" s="106"/>
      <c r="D40" s="106"/>
      <c r="E40" s="106"/>
    </row>
    <row r="41" spans="1:5">
      <c r="B41" s="107" t="s">
        <v>224</v>
      </c>
      <c r="C41" s="106"/>
      <c r="D41" s="106"/>
      <c r="E41" s="106"/>
    </row>
    <row r="42" spans="1:5">
      <c r="B42" s="107" t="s">
        <v>222</v>
      </c>
      <c r="C42" s="106"/>
      <c r="D42" s="106"/>
      <c r="E42" s="106"/>
    </row>
    <row r="43" spans="1:5">
      <c r="B43" s="107" t="s">
        <v>223</v>
      </c>
      <c r="C43" s="107"/>
      <c r="D43" s="107"/>
      <c r="E43" s="107"/>
    </row>
    <row r="44" spans="1:5" ht="46.5" customHeight="1">
      <c r="B44" s="106" t="s">
        <v>156</v>
      </c>
      <c r="C44" s="106"/>
      <c r="D44" s="106"/>
      <c r="E44" s="106"/>
    </row>
    <row r="46" spans="1:5">
      <c r="A46" s="21" t="s">
        <v>137</v>
      </c>
      <c r="B46" s="21"/>
      <c r="C46" s="21"/>
      <c r="D46" s="21"/>
      <c r="E46" s="21"/>
    </row>
    <row r="48" spans="1:5">
      <c r="B48" s="106" t="s">
        <v>210</v>
      </c>
      <c r="C48" s="106"/>
      <c r="D48" s="106"/>
      <c r="E48" s="106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06" t="s">
        <v>138</v>
      </c>
      <c r="C74" s="106"/>
      <c r="D74" s="106"/>
      <c r="E74" s="106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A3" sqref="A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0" t="s">
        <v>1</v>
      </c>
      <c r="E1" s="110"/>
      <c r="F1" s="110"/>
      <c r="G1" s="111" t="s">
        <v>85</v>
      </c>
      <c r="H1" s="111"/>
      <c r="I1" s="111"/>
      <c r="J1" s="113" t="s">
        <v>4</v>
      </c>
      <c r="K1" s="113"/>
      <c r="L1" s="113"/>
      <c r="M1" s="112" t="s">
        <v>165</v>
      </c>
      <c r="N1" s="112"/>
      <c r="O1" s="108" t="s">
        <v>8</v>
      </c>
      <c r="P1" s="108"/>
      <c r="Q1" s="115" t="s">
        <v>177</v>
      </c>
      <c r="R1" s="115"/>
      <c r="S1" s="115"/>
      <c r="T1" s="115"/>
      <c r="U1" s="114" t="s">
        <v>173</v>
      </c>
      <c r="V1" s="114"/>
      <c r="W1" s="114"/>
      <c r="X1" s="109" t="s">
        <v>49</v>
      </c>
      <c r="Y1" s="109"/>
      <c r="Z1" s="109"/>
      <c r="AA1" s="10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 t="s">
        <v>229</v>
      </c>
      <c r="C3" s="11" t="s">
        <v>232</v>
      </c>
      <c r="D3" s="2">
        <v>14.93</v>
      </c>
      <c r="E3" s="12" t="s">
        <v>231</v>
      </c>
      <c r="F3" s="15">
        <v>0.19083819809107139</v>
      </c>
      <c r="G3" s="15">
        <f>F3 - Portfolio_Mgmt!$C$10</f>
        <v>0.10383819809107139</v>
      </c>
      <c r="H3" s="15">
        <f>F3 - Portfolio_Mgmt!$C$11</f>
        <v>0.1718381980910714</v>
      </c>
      <c r="I3" s="15">
        <v>0</v>
      </c>
      <c r="J3" s="2">
        <v>10.465993175620561</v>
      </c>
      <c r="K3" s="2">
        <v>21.769702959467441</v>
      </c>
      <c r="L3" s="74">
        <v>20.82831579044063</v>
      </c>
      <c r="M3" s="2">
        <v>13.008295915247331</v>
      </c>
      <c r="N3" s="2">
        <v>19.377597519813985</v>
      </c>
      <c r="O3" s="4">
        <v>7.8836119575306007E-2</v>
      </c>
      <c r="P3" s="4">
        <v>6.3898191560616213E-2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233</v>
      </c>
      <c r="Y3" s="11" t="s">
        <v>234</v>
      </c>
      <c r="Z3" s="14">
        <v>45900</v>
      </c>
      <c r="AA3" s="16" t="s">
        <v>235</v>
      </c>
    </row>
    <row r="4" spans="1:27">
      <c r="B4" s="11" t="s">
        <v>236</v>
      </c>
      <c r="C4" s="11" t="s">
        <v>237</v>
      </c>
      <c r="D4" s="2">
        <v>55.21</v>
      </c>
      <c r="E4" s="12" t="s">
        <v>231</v>
      </c>
      <c r="F4" s="15">
        <v>0.17876580704682721</v>
      </c>
      <c r="G4" s="15">
        <f>F4 - Portfolio_Mgmt!$C$10</f>
        <v>9.1765807046827214E-2</v>
      </c>
      <c r="H4" s="15">
        <f>F4 - Portfolio_Mgmt!$C$11</f>
        <v>0.15976580704682722</v>
      </c>
      <c r="I4" s="15">
        <v>0</v>
      </c>
      <c r="J4" s="2">
        <v>37.284003766662934</v>
      </c>
      <c r="K4" s="2">
        <v>82.72003076740333</v>
      </c>
      <c r="L4" s="74">
        <v>75.227038736174251</v>
      </c>
      <c r="M4" s="2">
        <v>46.568975752910511</v>
      </c>
      <c r="N4" s="2">
        <v>69.902328891344681</v>
      </c>
      <c r="O4" s="4">
        <v>7.8591217214725048E-2</v>
      </c>
      <c r="P4" s="4">
        <v>3.9123347219706575E-2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238</v>
      </c>
      <c r="Y4" s="11" t="s">
        <v>234</v>
      </c>
      <c r="Z4" s="14">
        <v>45900</v>
      </c>
      <c r="AA4" s="16" t="s">
        <v>235</v>
      </c>
    </row>
    <row r="5" spans="1:27">
      <c r="B5" s="11" t="s">
        <v>239</v>
      </c>
      <c r="C5" s="11" t="s">
        <v>240</v>
      </c>
      <c r="D5" s="2">
        <v>46.29</v>
      </c>
      <c r="E5" s="12" t="s">
        <v>231</v>
      </c>
      <c r="F5" s="15">
        <v>0.13564357714946484</v>
      </c>
      <c r="G5" s="15">
        <f>F5 - Portfolio_Mgmt!$C$10</f>
        <v>4.8643577149464851E-2</v>
      </c>
      <c r="H5" s="15">
        <f>F5 - Portfolio_Mgmt!$C$11</f>
        <v>0.11664357714946484</v>
      </c>
      <c r="I5" s="15">
        <v>0</v>
      </c>
      <c r="J5" s="2">
        <v>27.829049692637142</v>
      </c>
      <c r="K5" s="2">
        <v>64.714648137522119</v>
      </c>
      <c r="L5" s="74">
        <v>56.741377225429467</v>
      </c>
      <c r="M5" s="2">
        <v>34.890699846411323</v>
      </c>
      <c r="N5" s="2">
        <v>52.676874362859721</v>
      </c>
      <c r="O5" s="4">
        <v>4.6726707940025029E-2</v>
      </c>
      <c r="P5" s="4">
        <v>1.9442644199611149E-2</v>
      </c>
      <c r="Q5" s="4">
        <v>0.14549955248916155</v>
      </c>
      <c r="R5" s="4">
        <v>0.22405670341828193</v>
      </c>
      <c r="S5" s="82">
        <v>0.42456310191863128</v>
      </c>
      <c r="T5" s="81">
        <v>1.5295422156001708</v>
      </c>
      <c r="U5" s="15">
        <v>5.3145118525683231E-2</v>
      </c>
      <c r="V5" s="79">
        <v>0.36488435676778314</v>
      </c>
      <c r="W5" s="74">
        <v>5.6082458208015922</v>
      </c>
      <c r="X5" s="13" t="s">
        <v>233</v>
      </c>
      <c r="Y5" s="11" t="s">
        <v>234</v>
      </c>
      <c r="Z5" s="14">
        <v>45900</v>
      </c>
      <c r="AA5" s="16" t="s">
        <v>235</v>
      </c>
    </row>
    <row r="6" spans="1:27">
      <c r="B6" s="11" t="s">
        <v>241</v>
      </c>
      <c r="C6" s="11" t="s">
        <v>242</v>
      </c>
      <c r="D6" s="2">
        <v>21.7</v>
      </c>
      <c r="E6" s="12" t="s">
        <v>231</v>
      </c>
      <c r="F6" s="15">
        <v>0.12606263492724823</v>
      </c>
      <c r="G6" s="15">
        <f>F6 - Portfolio_Mgmt!$C$10</f>
        <v>3.9062634927248235E-2</v>
      </c>
      <c r="H6" s="15">
        <f>F6 - Portfolio_Mgmt!$C$11</f>
        <v>0.10706263492724823</v>
      </c>
      <c r="I6" s="15">
        <v>0</v>
      </c>
      <c r="J6" s="2">
        <v>12.895318326330678</v>
      </c>
      <c r="K6" s="2">
        <v>27.746753827145845</v>
      </c>
      <c r="L6" s="74">
        <v>25.846762954608369</v>
      </c>
      <c r="M6" s="2">
        <v>16.068545959498671</v>
      </c>
      <c r="N6" s="2">
        <v>24.031296839608316</v>
      </c>
      <c r="O6" s="4">
        <v>6.1025848929686627E-2</v>
      </c>
      <c r="P6" s="4">
        <v>4.3963133640553001E-2</v>
      </c>
      <c r="Q6" s="4">
        <v>0.15648173464349882</v>
      </c>
      <c r="R6" s="4">
        <v>0.13375671427886937</v>
      </c>
      <c r="S6" s="82">
        <v>0.66633267926556194</v>
      </c>
      <c r="T6" s="81">
        <v>1.7557268340491488</v>
      </c>
      <c r="U6" s="15">
        <v>0.3857437197038544</v>
      </c>
      <c r="V6" s="79">
        <v>2.3913910654887354</v>
      </c>
      <c r="W6" s="74">
        <v>3.5427832354191278</v>
      </c>
      <c r="X6" s="13" t="s">
        <v>243</v>
      </c>
      <c r="Y6" s="11" t="s">
        <v>234</v>
      </c>
      <c r="Z6" s="14">
        <v>45900</v>
      </c>
      <c r="AA6" s="16" t="s">
        <v>235</v>
      </c>
    </row>
    <row r="7" spans="1:27">
      <c r="B7" s="11" t="s">
        <v>244</v>
      </c>
      <c r="C7" s="11" t="s">
        <v>245</v>
      </c>
      <c r="D7" s="2">
        <v>65.52</v>
      </c>
      <c r="E7" s="12" t="s">
        <v>231</v>
      </c>
      <c r="F7" s="15">
        <v>0.119345029371557</v>
      </c>
      <c r="G7" s="15">
        <f>F7 - Portfolio_Mgmt!$C$10</f>
        <v>3.2345029371557005E-2</v>
      </c>
      <c r="H7" s="15">
        <f>F7 - Portfolio_Mgmt!$C$11</f>
        <v>0.100345029371557</v>
      </c>
      <c r="I7" s="15">
        <v>0</v>
      </c>
      <c r="J7" s="2">
        <v>38.708022700911378</v>
      </c>
      <c r="K7" s="2">
        <v>77.785604602754844</v>
      </c>
      <c r="L7" s="74">
        <v>76.489631443032536</v>
      </c>
      <c r="M7" s="2">
        <v>47.990079156610477</v>
      </c>
      <c r="N7" s="2">
        <v>71.206942663777582</v>
      </c>
      <c r="O7" s="4">
        <v>5.5240764274271263E-2</v>
      </c>
      <c r="P7" s="4">
        <v>6.3832417582417589E-2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238</v>
      </c>
      <c r="Y7" s="11" t="s">
        <v>234</v>
      </c>
      <c r="Z7" s="14">
        <v>45900</v>
      </c>
      <c r="AA7" s="16" t="s">
        <v>246</v>
      </c>
    </row>
    <row r="8" spans="1:27">
      <c r="B8" s="11" t="s">
        <v>247</v>
      </c>
      <c r="C8" s="11" t="s">
        <v>248</v>
      </c>
      <c r="D8" s="2">
        <v>10.18</v>
      </c>
      <c r="E8" s="12" t="s">
        <v>231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5.8598330354243915</v>
      </c>
      <c r="K8" s="2">
        <v>12.91528670453229</v>
      </c>
      <c r="L8" s="74">
        <v>11.80620806482221</v>
      </c>
      <c r="M8" s="2">
        <v>7.3153467927205327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2">
        <v>0.30413488760323032</v>
      </c>
      <c r="T8" s="81">
        <v>1.6800075256655485</v>
      </c>
      <c r="U8" s="15">
        <v>9.2587702159681276E-2</v>
      </c>
      <c r="V8" s="79">
        <v>2.0939079363495856</v>
      </c>
      <c r="W8" s="74">
        <v>2.6400638402357823</v>
      </c>
      <c r="X8" s="13" t="s">
        <v>249</v>
      </c>
      <c r="Y8" s="11" t="s">
        <v>250</v>
      </c>
      <c r="Z8" s="14">
        <v>45900</v>
      </c>
      <c r="AA8" s="16" t="s">
        <v>235</v>
      </c>
    </row>
    <row r="9" spans="1:27">
      <c r="B9" s="11" t="s">
        <v>251</v>
      </c>
      <c r="C9" s="11" t="s">
        <v>252</v>
      </c>
      <c r="D9" s="2">
        <v>5.53</v>
      </c>
      <c r="E9" s="12" t="s">
        <v>231</v>
      </c>
      <c r="F9" s="15">
        <v>0.11156651152863062</v>
      </c>
      <c r="G9" s="15">
        <f>F9 - Portfolio_Mgmt!$C$10</f>
        <v>2.4566511528630625E-2</v>
      </c>
      <c r="H9" s="15">
        <f>F9 - Portfolio_Mgmt!$C$11</f>
        <v>9.2566511528630616E-2</v>
      </c>
      <c r="I9" s="15">
        <v>0</v>
      </c>
      <c r="J9" s="2">
        <v>3.1476386351257846</v>
      </c>
      <c r="K9" s="2">
        <v>6.9895661568976033</v>
      </c>
      <c r="L9" s="74">
        <v>6.3521223870188166</v>
      </c>
      <c r="M9" s="2">
        <v>3.931774672331573</v>
      </c>
      <c r="N9" s="2">
        <v>5.902408832447132</v>
      </c>
      <c r="O9" s="4">
        <v>4.1591337580733148E-2</v>
      </c>
      <c r="P9" s="4">
        <v>3.2712477396021691E-2</v>
      </c>
      <c r="Q9" s="4">
        <v>4.9029562887232557E-2</v>
      </c>
      <c r="R9" s="4">
        <v>5.0475725130946753E-2</v>
      </c>
      <c r="S9" s="82">
        <v>0.56944999111533989</v>
      </c>
      <c r="T9" s="81">
        <v>1.7057676125178334</v>
      </c>
      <c r="U9" s="15">
        <v>2.5694600492681609E-2</v>
      </c>
      <c r="V9" s="79">
        <v>0.53421555755411909</v>
      </c>
      <c r="W9" s="74">
        <v>-0.36074239393771346</v>
      </c>
      <c r="X9" s="13" t="s">
        <v>253</v>
      </c>
      <c r="Y9" s="11" t="s">
        <v>234</v>
      </c>
      <c r="Z9" s="14">
        <v>45900</v>
      </c>
      <c r="AA9" s="16" t="s">
        <v>235</v>
      </c>
    </row>
    <row r="10" spans="1:27">
      <c r="B10" s="11" t="s">
        <v>256</v>
      </c>
      <c r="C10" s="11" t="s">
        <v>257</v>
      </c>
      <c r="D10" s="2">
        <v>20.66</v>
      </c>
      <c r="E10" s="12" t="s">
        <v>231</v>
      </c>
      <c r="F10" s="15">
        <v>7.6950997735104387E-2</v>
      </c>
      <c r="G10" s="15">
        <f>F10 - Portfolio_Mgmt!$C$10</f>
        <v>-1.0049002264895607E-2</v>
      </c>
      <c r="H10" s="15">
        <f>F10 - Portfolio_Mgmt!$C$11</f>
        <v>5.7950997735104384E-2</v>
      </c>
      <c r="I10" s="15">
        <v>0</v>
      </c>
      <c r="J10" s="2">
        <v>10.865098595499758</v>
      </c>
      <c r="K10" s="2">
        <v>22.601441956902718</v>
      </c>
      <c r="L10" s="74">
        <v>21.622888321317863</v>
      </c>
      <c r="M10" s="2">
        <v>13.504418281934191</v>
      </c>
      <c r="N10" s="2">
        <v>20.116801024749044</v>
      </c>
      <c r="O10" s="4">
        <v>5.2383580535012804E-2</v>
      </c>
      <c r="P10" s="4">
        <v>4.7918683446272994E-2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258</v>
      </c>
      <c r="Y10" s="11" t="s">
        <v>234</v>
      </c>
      <c r="Z10" s="14">
        <v>45900</v>
      </c>
      <c r="AA10" s="16" t="s">
        <v>235</v>
      </c>
    </row>
    <row r="11" spans="1:27">
      <c r="B11" s="11" t="s">
        <v>228</v>
      </c>
      <c r="C11" s="11" t="s">
        <v>254</v>
      </c>
      <c r="D11" s="2">
        <v>25.14</v>
      </c>
      <c r="E11" s="12" t="s">
        <v>231</v>
      </c>
      <c r="F11" s="15">
        <v>6.392228128073163E-2</v>
      </c>
      <c r="G11" s="15">
        <f>F11 - Portfolio_Mgmt!$C$10</f>
        <v>-2.3077718719268364E-2</v>
      </c>
      <c r="H11" s="15">
        <f>F11 - Portfolio_Mgmt!$C$11</f>
        <v>4.4922281280731627E-2</v>
      </c>
      <c r="I11" s="15">
        <v>0</v>
      </c>
      <c r="J11" s="2">
        <v>12.726109311153213</v>
      </c>
      <c r="K11" s="2">
        <v>26.888151196428591</v>
      </c>
      <c r="L11" s="74">
        <v>25.409202896038835</v>
      </c>
      <c r="M11" s="2">
        <v>15.835853412571439</v>
      </c>
      <c r="N11" s="2">
        <v>23.632551844105855</v>
      </c>
      <c r="O11" s="4">
        <v>0.21962475389768649</v>
      </c>
      <c r="P11" s="4">
        <v>4.2163882259347654E-2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182</v>
      </c>
      <c r="V11" s="79" t="s">
        <v>182</v>
      </c>
      <c r="W11" s="74">
        <v>-92.956751979911445</v>
      </c>
      <c r="X11" s="13" t="s">
        <v>255</v>
      </c>
      <c r="Y11" s="11" t="s">
        <v>234</v>
      </c>
      <c r="Z11" s="14">
        <v>45900</v>
      </c>
      <c r="AA11" s="16" t="s">
        <v>235</v>
      </c>
    </row>
    <row r="12" spans="1:27">
      <c r="B12" s="11" t="s">
        <v>259</v>
      </c>
      <c r="C12" s="11" t="s">
        <v>260</v>
      </c>
      <c r="D12" s="2">
        <v>14.64</v>
      </c>
      <c r="E12" s="12" t="s">
        <v>231</v>
      </c>
      <c r="F12" s="15">
        <v>-8.4242640912131184E-2</v>
      </c>
      <c r="G12" s="15">
        <f>F12 - Portfolio_Mgmt!$C$10</f>
        <v>-0.17124264091213118</v>
      </c>
      <c r="H12" s="15">
        <f>F12 - Portfolio_Mgmt!$C$11</f>
        <v>-0.10324264091213119</v>
      </c>
      <c r="I12" s="15">
        <v>0</v>
      </c>
      <c r="J12" s="2">
        <v>4.777129606353653</v>
      </c>
      <c r="K12" s="2">
        <v>10.251430255232371</v>
      </c>
      <c r="L12" s="74">
        <v>9.5695828227600401</v>
      </c>
      <c r="M12" s="2">
        <v>5.951452290678974</v>
      </c>
      <c r="N12" s="2">
        <v>8.8978683003699235</v>
      </c>
      <c r="O12" s="4">
        <v>3.0303290295866932E-2</v>
      </c>
      <c r="P12" s="4">
        <v>2.4590163934426233E-2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233</v>
      </c>
      <c r="Y12" s="11" t="s">
        <v>234</v>
      </c>
      <c r="Z12" s="14">
        <v>45900</v>
      </c>
      <c r="AA12" s="16" t="s">
        <v>246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5" sqref="D1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0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F14" sqref="F1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230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231</v>
      </c>
      <c r="E3" s="64" t="s">
        <v>155</v>
      </c>
      <c r="F3" s="59">
        <v>170000</v>
      </c>
      <c r="G3" s="61">
        <f>F3/$F$10</f>
        <v>0.53113381447808294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228</v>
      </c>
      <c r="C4" s="63">
        <f>VLOOKUP(B4,Opportunities!B$3:E$30,3,FALSE)</f>
        <v>25.14</v>
      </c>
      <c r="D4" s="62" t="str">
        <f>VLOOKUP(B4,Opportunities!B$3:E$30,4,FALSE)</f>
        <v>CNY</v>
      </c>
      <c r="E4" s="59">
        <v>3000</v>
      </c>
      <c r="F4" s="64">
        <f>E4*C4</f>
        <v>75420</v>
      </c>
      <c r="G4" s="61">
        <f>F4/$F$10</f>
        <v>0.23563595463492362</v>
      </c>
      <c r="H4" s="61">
        <f>VLOOKUP(B4,Opportunities!B$3:I$30,8,FALSE)</f>
        <v>0</v>
      </c>
      <c r="I4" s="84">
        <f>VLOOKUP(B4,Opportunities!B$3:N$30,12,FALSE)</f>
        <v>15.835853412571439</v>
      </c>
      <c r="J4" s="84">
        <f>VLOOKUP(B4,Opportunities!B$3:N$30,9,FALSE)</f>
        <v>12.726109311153213</v>
      </c>
      <c r="K4" s="84">
        <f>VLOOKUP(B4,Opportunities!B$3:N$30,11,FALSE)</f>
        <v>25.409202896038835</v>
      </c>
      <c r="L4" s="84">
        <f>VLOOKUP(B4,Opportunities!B$3:N$30,13,FALSE)</f>
        <v>23.632551844105855</v>
      </c>
    </row>
    <row r="5" spans="1:12">
      <c r="B5" s="66" t="s">
        <v>229</v>
      </c>
      <c r="C5" s="63">
        <f>VLOOKUP(B5,Opportunities!B$3:E$30,3,FALSE)</f>
        <v>14.93</v>
      </c>
      <c r="D5" s="62" t="str">
        <f>VLOOKUP(B5,Opportunities!B$3:E$30,4,FALSE)</f>
        <v>CNY</v>
      </c>
      <c r="E5" s="59">
        <v>5000</v>
      </c>
      <c r="F5" s="64">
        <f>C5*E5</f>
        <v>74650</v>
      </c>
      <c r="G5" s="61">
        <f>F5/$F$10</f>
        <v>0.23323023088699346</v>
      </c>
      <c r="H5" s="61">
        <f>VLOOKUP(B5,Opportunities!B$3:I$30,8,FALSE)</f>
        <v>0</v>
      </c>
      <c r="I5" s="84">
        <f>VLOOKUP(B5,Opportunities!B$3:N$30,12,FALSE)</f>
        <v>13.008295915247331</v>
      </c>
      <c r="J5" s="84">
        <f>VLOOKUP(B5,Opportunities!B$3:N$30,9,FALSE)</f>
        <v>10.465993175620561</v>
      </c>
      <c r="K5" s="84">
        <f>VLOOKUP(B5,Opportunities!B$3:N$30,11,FALSE)</f>
        <v>20.82831579044063</v>
      </c>
      <c r="L5" s="84">
        <f>VLOOKUP(B5,Opportunities!B$3:N$30,13,FALSE)</f>
        <v>19.377597519813985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>
        <f>SUM(F3:F8)</f>
        <v>320070</v>
      </c>
      <c r="G10" s="70">
        <f>SUM(G3:G8)</f>
        <v>1</v>
      </c>
      <c r="H10" s="76">
        <f>SUM(H3:H8)</f>
        <v>0.45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">
        <v>231</v>
      </c>
      <c r="E18" s="72" t="s">
        <v>155</v>
      </c>
      <c r="F18" s="69">
        <f>F3+SUM(F13:F16)</f>
        <v>170000</v>
      </c>
      <c r="G18" s="76">
        <f t="shared" ref="G18" si="0">F18/$F$10</f>
        <v>0.53113381447808294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16" t="s">
        <v>88</v>
      </c>
      <c r="C3" s="116"/>
      <c r="D3" s="116"/>
    </row>
    <row r="5" spans="1:4">
      <c r="B5" s="117" t="s">
        <v>90</v>
      </c>
      <c r="C5" s="118"/>
      <c r="D5" s="118"/>
    </row>
    <row r="6" spans="1:4">
      <c r="B6" s="117" t="s">
        <v>91</v>
      </c>
      <c r="C6" s="118"/>
      <c r="D6" s="11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16" t="s">
        <v>93</v>
      </c>
      <c r="C11" s="116"/>
      <c r="D11" s="116"/>
    </row>
    <row r="12" spans="1:4">
      <c r="B12" s="116" t="s">
        <v>94</v>
      </c>
      <c r="C12" s="116"/>
      <c r="D12" s="11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16" t="s">
        <v>106</v>
      </c>
      <c r="C28" s="116"/>
      <c r="D28" s="116"/>
    </row>
    <row r="29" spans="1:4">
      <c r="B29" s="116" t="s">
        <v>107</v>
      </c>
      <c r="C29" s="116"/>
      <c r="D29" s="11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2025-07-09T02:17:44Z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