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E46304C-C6C4-4379-A551-F19ABB47B7A6}" xr6:coauthVersionLast="47" xr6:coauthVersionMax="47" xr10:uidLastSave="{00000000-0000-0000-0000-000000000000}"/>
  <bookViews>
    <workbookView xWindow="368" yWindow="368" windowWidth="12689" windowHeight="7642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C18" i="11" s="1"/>
  <c r="D18" i="11" s="1"/>
  <c r="E18" i="11" s="1"/>
  <c r="C23" i="11" s="1"/>
  <c r="C33" i="10"/>
  <c r="C34" i="10" s="1"/>
  <c r="E34" i="10" s="1"/>
  <c r="D19" i="11"/>
  <c r="E19" i="11" s="1"/>
  <c r="C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<sst xmlns="http://schemas.openxmlformats.org/spreadsheetml/2006/main" count="400" uniqueCount="354">
  <si>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</si>
  <si>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</si>
  <si>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</si>
  <si>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</si>
  <si>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</si>
  <si>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</si>
  <si>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</si>
  <si>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</si>
  <si>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</si>
  <si>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</si>
  <si>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</si>
  <si>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</si>
  <si>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</si>
  <si>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</si>
  <si>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</si>
  <si>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</si>
  <si>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</si>
  <si>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</si>
  <si>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</si>
  <si>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</si>
  <si>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</si>
  <si>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</si>
  <si>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</si>
  <si>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</si>
  <si>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</si>
  <si>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</si>
  <si>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</si>
  <si>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</si>
  <si>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</si>
  <si>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</si>
  <si>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</si>
  <si>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</si>
  <si>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</si>
  <si>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</si>
  <si>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</si>
  <si>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</si>
  <si>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</si>
  <si>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</si>
  <si>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</si>
  <si>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</si>
  <si>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</si>
  <si>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</si>
  <si>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</si>
  <si>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</si>
  <si>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</si>
  <si>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</si>
  <si>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</si>
  <si>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</si>
  <si>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</si>
  <si>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</si>
  <si>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</si>
  <si>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</si>
  <si>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</si>
  <si>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</si>
  <si>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</si>
  <si>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</si>
  <si>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</si>
  <si>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</si>
  <si>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</si>
  <si>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</si>
  <si>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</si>
  <si>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</si>
  <si>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</si>
  <si>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</si>
  <si>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</si>
  <si>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</si>
  <si>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</si>
  <si>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</si>
  <si>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</si>
  <si>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</si>
  <si>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</si>
  <si>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</si>
  <si>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</si>
  <si>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</si>
  <si>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</si>
  <si>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</si>
  <si>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</si>
  <si>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</si>
  <si>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</si>
  <si>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</si>
  <si>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</si>
  <si>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</si>
  <si>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</si>
  <si>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</si>
  <si>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</si>
  <si>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</si>
  <si>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</si>
  <si>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</si>
  <si>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</si>
  <si>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</si>
  <si>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</si>
  <si>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</si>
  <si>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</si>
  <si>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</si>
  <si>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</si>
  <si>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</si>
  <si>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</si>
  <si>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</si>
  <si>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</si>
  <si>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</si>
  <si>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</si>
  <si>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</si>
  <si>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</si>
  <si>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</si>
  <si>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</si>
  <si>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</si>
  <si>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</si>
  <si>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</si>
  <si>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</si>
  <si>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</si>
  <si>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</si>
  <si>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</si>
  <si>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</si>
  <si>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</si>
  <si>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</si>
  <si>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</si>
  <si>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</si>
  <si>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</si>
  <si>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</si>
  <si>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</si>
  <si>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</si>
  <si>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</si>
  <si>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</si>
  <si>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</si>
  <si>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</si>
  <si>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</si>
  <si>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</si>
  <si>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</si>
  <si>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</si>
  <si>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</si>
  <si>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</si>
  <si>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</si>
  <si>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</si>
  <si>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</si>
  <si>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</si>
  <si>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</si>
  <si>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</si>
  <si>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</si>
  <si>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</si>
  <si>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</si>
  <si>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</si>
  <si>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</si>
  <si>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</si>
  <si>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</si>
  <si>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</si>
  <si>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</si>
  <si>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</si>
  <si>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</si>
  <si>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</si>
  <si>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</si>
  <si>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</si>
  <si>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</si>
  <si>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</si>
  <si>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</si>
  <si>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</si>
  <si>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</si>
  <si>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</si>
  <si>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</si>
  <si>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</si>
  <si>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</si>
  <si>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</si>
  <si>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</si>
  <si>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</si>
  <si>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</si>
  <si>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</si>
  <si>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</si>
  <si>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</si>
  <si>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</si>
  <si>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</si>
  <si>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</si>
  <si>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</si>
  <si>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</si>
  <si>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</si>
  <si>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</si>
  <si>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</si>
  <si>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</si>
  <si>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</si>
  <si>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</si>
  <si>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</si>
  <si>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</si>
  <si>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</si>
  <si>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</si>
  <si>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</si>
  <si>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</si>
  <si>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</si>
  <si>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</si>
  <si>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</si>
  <si>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</si>
  <si>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</si>
  <si>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</si>
  <si>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</si>
  <si>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</si>
  <si>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</si>
  <si>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</si>
  <si>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</si>
  <si>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</si>
  <si>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</si>
  <si>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</si>
  <si>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</si>
  <si>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</si>
  <si>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</si>
  <si>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</si>
  <si>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</si>
  <si>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</si>
  <si>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</si>
  <si>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</si>
  <si>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</si>
  <si>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</si>
  <si>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</si>
  <si>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</si>
  <si>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</si>
  <si>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</si>
  <si>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</si>
  <si>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</si>
  <si>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</si>
  <si>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</si>
  <si>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</si>
  <si>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</si>
  <si>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</si>
  <si>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</si>
  <si>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</si>
  <si>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</si>
  <si>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</si>
  <si>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</si>
  <si>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</si>
  <si>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</si>
  <si>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</si>
  <si>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</si>
  <si>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</si>
  <si>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</si>
  <si>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</si>
  <si>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</si>
  <si>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</si>
  <si>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</si>
  <si>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</si>
  <si>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</si>
  <si>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</si>
  <si>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</si>
  <si>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</si>
  <si>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</si>
  <si>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</si>
  <si>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</si>
  <si>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</si>
  <si>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</si>
  <si>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</si>
  <si>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</si>
  <si>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</si>
  <si>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</si>
  <si>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</si>
  <si>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</si>
  <si>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</si>
  <si>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</si>
  <si>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</si>
  <si>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</si>
  <si>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</si>
  <si>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</si>
  <si>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</si>
  <si>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</si>
  <si>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</si>
  <si>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</si>
  <si>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</si>
  <si>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</si>
  <si>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</si>
  <si>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</si>
  <si>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</si>
  <si>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</si>
  <si>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</si>
  <si>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</si>
  <si>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</si>
  <si>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</si>
  <si>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</si>
  <si>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</si>
  <si>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</si>
  <si>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</si>
  <si>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</si>
  <si>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</si>
  <si>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</si>
  <si>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</si>
  <si>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</si>
  <si>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</si>
  <si>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</si>
  <si>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</si>
  <si>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</si>
  <si>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</si>
  <si>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</si>
  <si>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</si>
  <si>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</si>
  <si>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</si>
  <si>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</si>
  <si>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</si>
  <si>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</si>
  <si>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</si>
  <si>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</si>
  <si>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</si>
  <si>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</si>
  <si>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</si>
  <si>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</si>
  <si>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</si>
  <si>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</si>
  <si>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</si>
  <si>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</si>
  <si>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</si>
  <si>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</si>
  <si>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</si>
  <si>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</si>
  <si>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</si>
  <si>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</si>
  <si>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</si>
  <si>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</si>
  <si>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</si>
  <si>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</si>
  <si>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</si>
  <si>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</si>
  <si>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</si>
  <si>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</si>
  <si>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</si>
  <si>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</si>
  <si>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</si>
  <si>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</si>
  <si>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</si>
  <si>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</si>
  <si>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</si>
  <si>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</si>
  <si>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</si>
  <si>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</si>
  <si>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</si>
  <si>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</si>
  <si>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</si>
  <si>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</si>
  <si>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</si>
  <si>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</si>
  <si>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</si>
  <si>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</si>
  <si>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</si>
  <si>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</si>
  <si>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</si>
  <si>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</si>
  <si>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</si>
  <si>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</si>
  <si>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</si>
  <si>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</si>
  <si>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</si>
  <si>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</si>
  <si>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</si>
  <si>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</si>
  <si>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</si>
  <si>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</si>
  <si>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</si>
  <si>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</si>
  <si>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</si>
  <si>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</si>
  <si>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</si>
  <si>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Allocation Strategy</t>
  </si>
  <si>
    <t>Goal: Use Kelly's forumla to determine the allocation during your investment horizon.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</si>
</sst>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2" zoomScale="83" workbookViewId="0">
      <selection activeCell="E46" sqref="E4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4</v>
      </c>
    </row>
    <row r="31" spans="1:5">
      <c r="B31" s="26" t="s">
        <v>194</v>
      </c>
      <c r="C31" s="134">
        <v>0.5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0.6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352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50% Allocation</v>
      </c>
      <c r="C46" s="142">
        <f>(1+D46)^(1/C$36)-1</f>
        <v>0.58740105196819958</v>
      </c>
      <c r="D46" s="137">
        <f>E46*-C$38</f>
        <v>3.0000000000000009</v>
      </c>
      <c r="E46" s="139">
        <f>(1-C$37)/(C$37-C$31)</f>
        <v>4.0000000000000009</v>
      </c>
    </row>
    <row r="47" spans="1:5">
      <c r="B47" s="26" t="str">
        <f>"Target "&amp;C$31/2*100&amp;"% Allocation"</f>
        <v>Target 25% Allocation</v>
      </c>
      <c r="C47" s="142">
        <f>(1+D47)^(1/C$36)-1</f>
        <v>0.2291789212788069</v>
      </c>
      <c r="D47" s="137">
        <f>E47*-C$38</f>
        <v>0.85714285714285721</v>
      </c>
      <c r="E47" s="139">
        <f>(1-C$37)/(C$37-C$31/2)</f>
        <v>1.142857142857143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/>
      <c r="C3" s="11"/>
      <c r="E3" s="12"/>
      <c r="L3" s="71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4</v>
      </c>
    </row>
    <row r="28" spans="1:5">
      <c r="B28" s="26" t="s">
        <v>254</v>
      </c>
      <c r="C28" s="107">
        <f>Portfolio_Mgmt!C31</f>
        <v>0.5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0.58740105196819958</v>
      </c>
      <c r="D32" s="93" t="s">
        <v>319</v>
      </c>
      <c r="E32" s="108">
        <f>Portfolio_Mgmt!E46</f>
        <v>4.0000000000000009</v>
      </c>
    </row>
    <row r="33" spans="1:5">
      <c r="B33" s="95" t="s">
        <v>260</v>
      </c>
      <c r="C33" s="109">
        <f>Portfolio_Mgmt!C47</f>
        <v>0.2291789212788069</v>
      </c>
      <c r="D33" s="96" t="s">
        <v>265</v>
      </c>
      <c r="E33" s="97">
        <f>(C32*C33+(1-C32)*C34)/(2*C33)</f>
        <v>4.1006710017615848</v>
      </c>
    </row>
    <row r="34" spans="1:5" ht="12" thickBot="1">
      <c r="B34" s="98" t="s">
        <v>261</v>
      </c>
      <c r="C34" s="99">
        <f>E32+C33</f>
        <v>4.229178921278808</v>
      </c>
      <c r="D34" s="100" t="s">
        <v>266</v>
      </c>
      <c r="E34" s="101">
        <f>-C33/C34</f>
        <v>-5.4189932737465828E-2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E18" sqref="E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353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f>Portfolio_Mgmt!C46</f>
        <v>0.58740105196819958</v>
      </c>
      <c r="D18" s="140">
        <f xml:space="preserve"> (1 + C18) ^ C$7-1</f>
        <v>3.0000000000000009</v>
      </c>
      <c r="E18" s="129">
        <f>-D18/C$10</f>
        <v>4.0000000000000009</v>
      </c>
    </row>
    <row r="19" spans="1:5">
      <c r="B19" s="127" t="s">
        <v>334</v>
      </c>
      <c r="C19" s="141">
        <f>Portfolio_Mgmt!C47</f>
        <v>0.2291789212788069</v>
      </c>
      <c r="D19" s="140">
        <f xml:space="preserve"> (1 + C19) ^ C$7-1</f>
        <v>0.85714285714285721</v>
      </c>
      <c r="E19" s="129">
        <f>-D19/C$10</f>
        <v>1.142857142857143</v>
      </c>
    </row>
    <row r="21" spans="1:5">
      <c r="A21" s="121" t="s">
        <v>331</v>
      </c>
    </row>
    <row r="22" spans="1:5">
      <c r="B22" s="123" t="s">
        <v>337</v>
      </c>
      <c r="C22" s="123" t="s">
        <v>213</v>
      </c>
    </row>
    <row r="23" spans="1:5">
      <c r="B23" s="127" t="s">
        <v>335</v>
      </c>
      <c r="C23" s="130">
        <f>(E18*C$8-C9)/E18</f>
        <v>0.5</v>
      </c>
    </row>
    <row r="24" spans="1:5">
      <c r="B24" s="127" t="s">
        <v>336</v>
      </c>
      <c r="C24" s="130">
        <f>(E19*C$8-(1-C$8))/E19</f>
        <v>0.25000000000000006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E19" sqref="E19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7.2499999999999995E-2</v>
      </c>
      <c r="E4" s="35">
        <f>D4-C4</f>
        <v>3.0699999999999998E-2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2025-10-08T04:00:15Z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