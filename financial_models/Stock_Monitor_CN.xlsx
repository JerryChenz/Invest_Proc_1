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99D4AA96-EEEE-45A5-9C89-03D6716656EF}"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<sst xmlns="http://schemas.openxmlformats.org/spreadsheetml/2006/main" count="334" uniqueCount="276">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</sst>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100" t="s">
        <v>204</v>
      </c>
      <c r="C4" s="100"/>
      <c r="D4" s="100"/>
      <c r="E4" s="100"/>
    </row>
    <row r="6" spans="1:5">
      <c r="A6" s="20" t="s">
        <v>63</v>
      </c>
      <c r="B6" s="19" t="s">
        <v>187</v>
      </c>
      <c r="C6" s="60"/>
    </row>
    <row r="7" spans="1:5">
      <c r="B7" s="100" t="s">
        <v>192</v>
      </c>
      <c r="C7" s="100"/>
      <c r="D7" s="100"/>
      <c r="E7" s="100"/>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100" t="s">
        <v>203</v>
      </c>
      <c r="C24" s="100"/>
      <c r="D24" s="100"/>
      <c r="E24" s="100"/>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100" t="s">
        <v>151</v>
      </c>
      <c r="C39" s="100"/>
      <c r="D39" s="100"/>
      <c r="E39" s="100"/>
    </row>
    <row r="40" spans="1:5" ht="46.5" customHeight="1">
      <c r="B40" s="100" t="s">
        <v>216</v>
      </c>
      <c r="C40" s="100"/>
      <c r="D40" s="100"/>
      <c r="E40" s="100"/>
    </row>
    <row r="42" spans="1:5">
      <c r="A42" s="21" t="s">
        <v>170</v>
      </c>
      <c r="B42" s="21"/>
      <c r="C42" s="21"/>
      <c r="D42" s="21"/>
      <c r="E42" s="21"/>
    </row>
    <row r="44" spans="1:5">
      <c r="B44" s="100" t="s">
        <v>191</v>
      </c>
      <c r="C44" s="100"/>
      <c r="D44" s="100"/>
      <c r="E44" s="100"/>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100" t="s">
        <v>179</v>
      </c>
      <c r="C71" s="100"/>
      <c r="D71" s="100"/>
      <c r="E71" s="100"/>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1" t="s">
        <v>175</v>
      </c>
      <c r="C85" s="101"/>
      <c r="D85" s="101"/>
      <c r="E85" s="101"/>
    </row>
    <row r="86" spans="1:5">
      <c r="B86" s="99" t="s">
        <v>173</v>
      </c>
      <c r="C86" s="99"/>
      <c r="D86" s="99"/>
      <c r="E86" s="99"/>
    </row>
    <row r="87" spans="1:5" ht="24.5" customHeight="1">
      <c r="B87" s="100" t="s">
        <v>172</v>
      </c>
      <c r="C87" s="100"/>
      <c r="D87" s="100"/>
      <c r="E87" s="100"/>
    </row>
    <row r="88" spans="1:5" ht="24.5" customHeight="1">
      <c r="B88" s="100" t="s">
        <v>208</v>
      </c>
      <c r="C88" s="100"/>
      <c r="D88" s="100"/>
      <c r="E88" s="100"/>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2" t="s">
        <v>194</v>
      </c>
      <c r="C97" s="102"/>
      <c r="D97" s="102"/>
      <c r="E97" s="102"/>
    </row>
    <row r="99" spans="1:5">
      <c r="B99" s="24" t="s">
        <v>198</v>
      </c>
    </row>
    <row r="100" spans="1:5" ht="12.4">
      <c r="B100" s="102" t="s">
        <v>195</v>
      </c>
      <c r="C100" s="102"/>
      <c r="D100" s="102"/>
      <c r="E100" s="102"/>
    </row>
    <row r="101" spans="1:5" ht="58.5" customHeight="1">
      <c r="B101" s="100" t="s">
        <v>202</v>
      </c>
      <c r="C101" s="100"/>
      <c r="D101" s="100"/>
      <c r="E101" s="100"/>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0.12630416004927869</v>
      </c>
      <c r="D112" s="60" t="str">
        <f>IF(C112&lt;benchmark,"Warning: Return is lower than the Benchmark.","")</f>
        <v/>
      </c>
    </row>
    <row r="114" spans="1:5" ht="24.5" customHeight="1">
      <c r="B114" s="100" t="s">
        <v>200</v>
      </c>
      <c r="C114" s="100"/>
      <c r="D114" s="100"/>
      <c r="E114" s="100"/>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15</v>
      </c>
      <c r="E3" s="12" t="s">
        <v>232</v>
      </c>
      <c r="F3" s="15">
        <v>0.18888383193830616</v>
      </c>
      <c r="G3" s="15">
        <f>F3 - Portfolio_Mgmt!$C$10</f>
        <v>0.10188383193830616</v>
      </c>
      <c r="H3" s="15">
        <f>F3 - Portfolio_Mgmt!$C$11</f>
        <v>0.16988383193830617</v>
      </c>
      <c r="I3" s="15">
        <v>0.28024307409244242</v>
      </c>
      <c r="J3" s="2">
        <v>10.755129516558478</v>
      </c>
      <c r="K3" s="2">
        <v>21.769702959467441</v>
      </c>
      <c r="L3" s="85">
        <v>20.82831579044063</v>
      </c>
      <c r="M3" s="2">
        <v>15.067903135098593</v>
      </c>
      <c r="N3" s="2">
        <v>19.377597519813985</v>
      </c>
      <c r="O3" s="4">
        <v>7.846821768395458E-2</v>
      </c>
      <c r="P3" s="4">
        <v>6.3600000000000004E-2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56.44</v>
      </c>
      <c r="E4" s="12" t="s">
        <v>232</v>
      </c>
      <c r="F4" s="15">
        <v>0.16986201632511033</v>
      </c>
      <c r="G4" s="15">
        <f>F4 - Portfolio_Mgmt!$C$10</f>
        <v>8.2862016325110338E-2</v>
      </c>
      <c r="H4" s="15">
        <f>F4 - Portfolio_Mgmt!$C$11</f>
        <v>0.15086201632511034</v>
      </c>
      <c r="I4" s="15">
        <v>0.25202079573458508</v>
      </c>
      <c r="J4" s="2">
        <v>38.338860273768745</v>
      </c>
      <c r="K4" s="2">
        <v>82.72003076740333</v>
      </c>
      <c r="L4" s="85">
        <v>75.227038736174251</v>
      </c>
      <c r="M4" s="2">
        <v>54.104773980226682</v>
      </c>
      <c r="N4" s="2">
        <v>69.902328891344681</v>
      </c>
      <c r="O4" s="4">
        <v>7.6878474529145466E-2</v>
      </c>
      <c r="P4" s="4">
        <v>3.8270729978738489E-2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44.81</v>
      </c>
      <c r="E5" s="12" t="s">
        <v>232</v>
      </c>
      <c r="F5" s="15">
        <v>0.14822098134465111</v>
      </c>
      <c r="G5" s="15">
        <f>F5 - Portfolio_Mgmt!$C$10</f>
        <v>6.1220981344651121E-2</v>
      </c>
      <c r="H5" s="15">
        <f>F5 - Portfolio_Mgmt!$C$11</f>
        <v>0.12922098134465113</v>
      </c>
      <c r="I5" s="15">
        <v>0.16773613017297251</v>
      </c>
      <c r="J5" s="2">
        <v>28.630686160261423</v>
      </c>
      <c r="K5" s="2">
        <v>64.714648137522119</v>
      </c>
      <c r="L5" s="85">
        <v>56.741377225429467</v>
      </c>
      <c r="M5" s="2">
        <v>40.629719578204039</v>
      </c>
      <c r="N5" s="2">
        <v>52.676874362859721</v>
      </c>
      <c r="O5" s="4">
        <v>4.8270013625167564E-2</v>
      </c>
      <c r="P5" s="4">
        <v>2.0084802499442087E-2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5.4</v>
      </c>
      <c r="E6" s="12" t="s">
        <v>232</v>
      </c>
      <c r="F6" s="15">
        <v>0.12067775792295632</v>
      </c>
      <c r="G6" s="15">
        <f>F6 - Portfolio_Mgmt!$C$10</f>
        <v>3.3677757922956325E-2</v>
      </c>
      <c r="H6" s="15">
        <f>F6 - Portfolio_Mgmt!$C$11</f>
        <v>0.10167775792295632</v>
      </c>
      <c r="I6" s="15">
        <v>0</v>
      </c>
      <c r="J6" s="2">
        <v>3.2367222690014161</v>
      </c>
      <c r="K6" s="2">
        <v>6.9895661568976033</v>
      </c>
      <c r="L6" s="85">
        <v>6.3521223870188166</v>
      </c>
      <c r="M6" s="2">
        <v>4.5682049056603367</v>
      </c>
      <c r="N6" s="2">
        <v>5.902408832447132</v>
      </c>
      <c r="O6" s="4">
        <v>4.2592610522491539E-2</v>
      </c>
      <c r="P6" s="4">
        <v>3.3499999999999995E-2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65.989999999999995</v>
      </c>
      <c r="E7" s="12" t="s">
        <v>232</v>
      </c>
      <c r="F7" s="15">
        <v>0.11652673797524615</v>
      </c>
      <c r="G7" s="15">
        <f>F7 - Portfolio_Mgmt!$C$10</f>
        <v>2.9526737975246159E-2</v>
      </c>
      <c r="H7" s="15">
        <f>F7 - Portfolio_Mgmt!$C$11</f>
        <v>9.752673797524615E-2</v>
      </c>
      <c r="I7" s="15">
        <v>0</v>
      </c>
      <c r="J7" s="2">
        <v>39.764265539137753</v>
      </c>
      <c r="K7" s="2">
        <v>77.785604602754844</v>
      </c>
      <c r="L7" s="85">
        <v>76.489631443032536</v>
      </c>
      <c r="M7" s="2">
        <v>55.502548055026942</v>
      </c>
      <c r="N7" s="2">
        <v>71.206942663777582</v>
      </c>
      <c r="O7" s="4">
        <v>5.4847323461892014E-2</v>
      </c>
      <c r="P7" s="4">
        <v>6.3377784512804985E-2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10.27</v>
      </c>
      <c r="E8" s="12" t="s">
        <v>232</v>
      </c>
      <c r="F8" s="15">
        <v>0.11197653523274731</v>
      </c>
      <c r="G8" s="15">
        <f>F8 - Portfolio_Mgmt!$C$10</f>
        <v>2.4976535232747316E-2</v>
      </c>
      <c r="H8" s="15">
        <f>F8 - Portfolio_Mgmt!$C$11</f>
        <v>9.2976535232747307E-2</v>
      </c>
      <c r="I8" s="15">
        <v>0</v>
      </c>
      <c r="J8" s="2">
        <v>6.0252106849259528</v>
      </c>
      <c r="K8" s="2">
        <v>12.91528670453229</v>
      </c>
      <c r="L8" s="85">
        <v>11.80620806482221</v>
      </c>
      <c r="M8" s="2">
        <v>8.4964380432942921</v>
      </c>
      <c r="N8" s="2">
        <v>10.971932453508362</v>
      </c>
      <c r="O8" s="4">
        <v>3.4353884945187131E-2</v>
      </c>
      <c r="P8" s="4">
        <v>3.5053554040895815E-2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23.06</v>
      </c>
      <c r="E9" s="12" t="s">
        <v>232</v>
      </c>
      <c r="F9" s="15">
        <v>0.10261755079069901</v>
      </c>
      <c r="G9" s="15">
        <f>F9 - Portfolio_Mgmt!$C$10</f>
        <v>1.5617550790699014E-2</v>
      </c>
      <c r="H9" s="15">
        <f>F9 - Portfolio_Mgmt!$C$11</f>
        <v>8.3617550790699005E-2</v>
      </c>
      <c r="I9" s="15">
        <v>0</v>
      </c>
      <c r="J9" s="2">
        <v>13.256008806508849</v>
      </c>
      <c r="K9" s="2">
        <v>27.746753827145845</v>
      </c>
      <c r="L9" s="85">
        <v>25.846762954608369</v>
      </c>
      <c r="M9" s="2">
        <v>18.641740581682459</v>
      </c>
      <c r="N9" s="2">
        <v>24.031296839608316</v>
      </c>
      <c r="O9" s="4">
        <v>5.7426752895672159E-2</v>
      </c>
      <c r="P9" s="4">
        <v>4.1370338248048574E-2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24</v>
      </c>
      <c r="E10" s="12" t="s">
        <v>232</v>
      </c>
      <c r="F10" s="15">
        <v>8.1192319066667018E-2</v>
      </c>
      <c r="G10" s="15">
        <f>F10 - Portfolio_Mgmt!$C$10</f>
        <v>-5.807680933332976E-3</v>
      </c>
      <c r="H10" s="15">
        <f>F10 - Portfolio_Mgmt!$C$11</f>
        <v>6.2192319066667015E-2</v>
      </c>
      <c r="I10" s="15">
        <v>0</v>
      </c>
      <c r="J10" s="2">
        <v>13.079690025486418</v>
      </c>
      <c r="K10" s="2">
        <v>26.888151196428591</v>
      </c>
      <c r="L10" s="85">
        <v>25.409202896038835</v>
      </c>
      <c r="M10" s="2">
        <v>18.356272555350223</v>
      </c>
      <c r="N10" s="2">
        <v>23.632551844105855</v>
      </c>
      <c r="O10" s="4">
        <v>0.2300569297078266</v>
      </c>
      <c r="P10" s="4">
        <v>4.4166666666666667E-2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21.78</v>
      </c>
      <c r="E11" s="12" t="s">
        <v>232</v>
      </c>
      <c r="F11" s="15">
        <v>5.7332356754072666E-2</v>
      </c>
      <c r="G11" s="15">
        <f>F11 - Portfolio_Mgmt!$C$10</f>
        <v>-2.9667643245927328E-2</v>
      </c>
      <c r="H11" s="15">
        <f>F11 - Portfolio_Mgmt!$C$11</f>
        <v>3.8332356754072663E-2</v>
      </c>
      <c r="I11" s="15">
        <v>0</v>
      </c>
      <c r="J11" s="2">
        <v>11.165268338950117</v>
      </c>
      <c r="K11" s="2">
        <v>22.601441956902718</v>
      </c>
      <c r="L11" s="85">
        <v>21.622888321317863</v>
      </c>
      <c r="M11" s="2">
        <v>15.642626483276317</v>
      </c>
      <c r="N11" s="2">
        <v>20.116801024749044</v>
      </c>
      <c r="O11" s="4">
        <v>4.968984269299194E-2</v>
      </c>
      <c r="P11" s="4">
        <v>4.5454545454545456E-2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13.82</v>
      </c>
      <c r="E12" s="12" t="s">
        <v>232</v>
      </c>
      <c r="F12" s="15">
        <v>-6.5958680292173444E-2</v>
      </c>
      <c r="G12" s="15">
        <f>F12 - Portfolio_Mgmt!$C$10</f>
        <v>-0.15295868029217344</v>
      </c>
      <c r="H12" s="15">
        <f>F12 - Portfolio_Mgmt!$C$11</f>
        <v>-8.4958680292173447E-2</v>
      </c>
      <c r="I12" s="15">
        <v>0</v>
      </c>
      <c r="J12" s="2">
        <v>4.9106169541815241</v>
      </c>
      <c r="K12" s="2">
        <v>10.251430255232371</v>
      </c>
      <c r="L12" s="85">
        <v>9.5695828227600401</v>
      </c>
      <c r="M12" s="2">
        <v>6.9036475281066911</v>
      </c>
      <c r="N12" s="2">
        <v>8.8978683003699235</v>
      </c>
      <c r="O12" s="4">
        <v>3.2101314756258464E-2</v>
      </c>
      <c r="P12" s="4">
        <v>2.6049204052098412E-2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4.41E-2</v>
      </c>
      <c r="D4" s="34">
        <v>7.4999999999999997E-2</v>
      </c>
      <c r="E4" s="35">
        <f>D4-C4</f>
        <v>3.0899999999999997E-2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0.5362776025236593</v>
      </c>
      <c r="H3" s="89">
        <f>Portfolio_Mgmt!E61</f>
        <v>0.3</v>
      </c>
      <c r="I3" s="96" t="s">
        <v>265</v>
      </c>
      <c r="J3" s="96" t="s">
        <v>265</v>
      </c>
      <c r="K3" s="96" t="s">
        <v>265</v>
      </c>
      <c r="L3" s="96" t="s">
        <v>265</v>
      </c>
    </row>
    <row r="4" spans="1:12">
      <c r="B4" s="77" t="s">
        <v>239</v>
      </c>
      <c r="C4" s="74">
        <f>VLOOKUP(B4,Opportunities!B$3:E$30,3,FALSE)</f>
        <v>24</v>
      </c>
      <c r="D4" s="73" t="str">
        <f>VLOOKUP(B4,Opportunities!B$3:E$30,4,FALSE)</f>
        <v>CNY</v>
      </c>
      <c r="E4" s="70">
        <v>3000</v>
      </c>
      <c r="F4" s="75">
        <f>C4*E4</f>
        <v>72000</v>
      </c>
      <c r="G4" s="72">
        <f t="shared" si="0"/>
        <v>0.22712933753943218</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15</v>
      </c>
      <c r="D5" s="73" t="str">
        <f>VLOOKUP(B5,Opportunities!B$3:E$30,4,FALSE)</f>
        <v>CNY</v>
      </c>
      <c r="E5" s="70">
        <v>5000</v>
      </c>
      <c r="F5" s="75">
        <f>C5*E5</f>
        <v>75000</v>
      </c>
      <c r="G5" s="72">
        <f t="shared" ref="G5" si="1">F5/$F$11</f>
        <v>0.23659305993690852</v>
      </c>
      <c r="H5" s="72">
        <f>VLOOKUP(B5,Opportunities!B$3:I$30,8,FALSE)</f>
        <v>0.28024307409244242</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317000</v>
      </c>
      <c r="G11" s="81">
        <f>SUM(G3:G9)</f>
        <v>1</v>
      </c>
      <c r="H11" s="87">
        <f>SUM(H3:H9)</f>
        <v>0.58024307409244247</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24</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44.81</v>
      </c>
      <c r="D15" s="73" t="str">
        <f>VLOOKUP(B15,Opportunities!B$3:E$30,4,FALSE)</f>
        <v>CNY</v>
      </c>
      <c r="E15" s="70">
        <v>0</v>
      </c>
      <c r="F15" s="75">
        <f>-C15*E15</f>
        <v>0</v>
      </c>
      <c r="G15" s="72">
        <f>-F15/$F$11</f>
        <v>0</v>
      </c>
      <c r="H15" s="72">
        <f>VLOOKUP(B15,Opportunities!B$3:I$30,8,FALSE)</f>
        <v>0.16773613017297251</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15</v>
      </c>
      <c r="D16" s="73" t="str">
        <f>VLOOKUP(B16,Opportunities!B$3:E$30,4,FALSE)</f>
        <v>CNY</v>
      </c>
      <c r="E16" s="70">
        <v>1000</v>
      </c>
      <c r="F16" s="75">
        <f>-C16*E16</f>
        <v>-15000</v>
      </c>
      <c r="G16" s="72">
        <f>-F16/$F$11</f>
        <v>4.7318611987381701E-2</v>
      </c>
      <c r="H16" s="72">
        <f>VLOOKUP(B16,Opportunities!B$3:I$30,8,FALSE)</f>
        <v>0.28024307409244242</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155000</v>
      </c>
      <c r="G18" s="87">
        <f t="shared" ref="G18" si="2">F18/$F$11</f>
        <v>0.48895899053627762</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2"/>
      <c r="D5" s="102"/>
    </row>
    <row r="6" spans="1:4">
      <c r="B6" s="112" t="s">
        <v>102</v>
      </c>
      <c r="C6" s="102"/>
      <c r="D6" s="102"/>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2025-06-18T03:26:07Z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