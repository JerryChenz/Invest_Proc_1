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kamanl/PycharmProjects/Invest_Proc/financial_models/"/>
    </mc:Choice>
  </mc:AlternateContent>
  <xr:revisionPtr revIDLastSave="0" documentId="13_ncr:1_{B9153910-72E1-314E-A53E-6C4ACB849B66}" xr6:coauthVersionLast="47" xr6:coauthVersionMax="47" xr10:uidLastSave="{00000000-0000-0000-0000-000000000000}"/>
  <bookViews>
    <workbookView xWindow="-100" yWindow="-100" windowWidth="17120" windowHeight="10760"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5" i="7"/>
  <c r="C5" i="7"/>
  <c r="F5" i="7" s="1"/>
  <c r="D5" i="7"/>
  <c r="H15" i="7" l="1"/>
  <c r="C15" i="7"/>
  <c r="D15" i="7"/>
  <c r="C36" i="5"/>
  <c r="C11" i="5"/>
  <c r="C10" i="5"/>
  <c r="D4" i="7"/>
  <c r="D14" i="7"/>
  <c r="H14" i="7"/>
  <c r="H4" i="7"/>
  <c r="C14" i="7"/>
  <c r="F14" i="7" s="1"/>
  <c r="C4" i="7"/>
  <c r="E36" i="5" l="1"/>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<sst xmlns="http://schemas.openxmlformats.org/spreadsheetml/2006/main" count="317" uniqueCount="273">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</sst>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x14ac:knownFonts="1">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0">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Hyperlink" xfId="2" builtinId="8"/>
    <cellStyle name="Normal" xfId="0" builtinId="0"/>
    <cellStyle name="Normal 2" xfId="1" xr:uid="{00000000-0005-0000-0000-000001000000}"/>
    <cellStyle name="常规 2" xfId="3" xr:uid="{32ADA8AA-F280-4250-ABBF-7E6B9CB799DC}"/>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46" zoomScaleNormal="100" workbookViewId="0">
      <selection activeCell="C57" sqref="C57"/>
    </sheetView>
  </sheetViews>
  <sheetFormatPr baseColWidth="10" defaultColWidth="9" defaultRowHeight="12" x14ac:dyDescent="0.15"/>
  <cols>
    <col min="1" max="1" width="2.6640625" style="1" customWidth="1"/>
    <col min="2" max="2" width="30" style="1" bestFit="1" customWidth="1"/>
    <col min="3" max="4" width="25.6640625" style="1" customWidth="1"/>
    <col min="5" max="5" width="10.6640625" style="1" customWidth="1"/>
    <col min="6" max="16384" width="9" style="1"/>
  </cols>
  <sheetData>
    <row r="1" spans="1:5" x14ac:dyDescent="0.15">
      <c r="A1" s="20" t="s">
        <v>155</v>
      </c>
    </row>
    <row r="2" spans="1:5" x14ac:dyDescent="0.15">
      <c r="A2" s="21" t="s">
        <v>52</v>
      </c>
      <c r="B2" s="21"/>
      <c r="C2" s="21"/>
      <c r="D2" s="21"/>
      <c r="E2" s="21"/>
    </row>
    <row r="4" spans="1:5" ht="24.5" customHeight="1" x14ac:dyDescent="0.15">
      <c r="B4" s="96" t="s">
        <v>204</v>
      </c>
      <c r="C4" s="96"/>
      <c r="D4" s="96"/>
      <c r="E4" s="96"/>
    </row>
    <row r="6" spans="1:5" x14ac:dyDescent="0.15">
      <c r="A6" s="20" t="s">
        <v>63</v>
      </c>
      <c r="B6" s="19" t="s">
        <v>187</v>
      </c>
      <c r="C6" s="60"/>
    </row>
    <row r="7" spans="1:5" x14ac:dyDescent="0.15">
      <c r="B7" s="96" t="s">
        <v>192</v>
      </c>
      <c r="C7" s="96"/>
      <c r="D7" s="96"/>
      <c r="E7" s="96"/>
    </row>
    <row r="9" spans="1:5" x14ac:dyDescent="0.15">
      <c r="B9" s="23" t="s">
        <v>55</v>
      </c>
    </row>
    <row r="10" spans="1:5" x14ac:dyDescent="0.15">
      <c r="B10" s="1" t="s">
        <v>61</v>
      </c>
      <c r="C10" s="93">
        <f>Market_Yield!D16</f>
        <v>8.6999999999999994E-2</v>
      </c>
    </row>
    <row r="11" spans="1:5" x14ac:dyDescent="0.15">
      <c r="B11" s="1" t="s">
        <v>51</v>
      </c>
      <c r="C11" s="93">
        <f>Market_Yield!C5</f>
        <v>1.9E-2</v>
      </c>
    </row>
    <row r="12" spans="1:5" x14ac:dyDescent="0.15">
      <c r="C12" s="4"/>
    </row>
    <row r="13" spans="1:5" x14ac:dyDescent="0.15">
      <c r="B13" s="23" t="s">
        <v>56</v>
      </c>
      <c r="C13" s="4"/>
    </row>
    <row r="14" spans="1:5" x14ac:dyDescent="0.15">
      <c r="B14" s="1" t="s">
        <v>189</v>
      </c>
      <c r="C14" s="4" t="s">
        <v>190</v>
      </c>
    </row>
    <row r="15" spans="1:5" x14ac:dyDescent="0.15">
      <c r="B15" s="1" t="s">
        <v>147</v>
      </c>
      <c r="C15" s="24" t="s">
        <v>145</v>
      </c>
    </row>
    <row r="16" spans="1:5" x14ac:dyDescent="0.15">
      <c r="B16" s="1" t="s">
        <v>148</v>
      </c>
      <c r="C16" s="24" t="s">
        <v>146</v>
      </c>
    </row>
    <row r="18" spans="1:5" x14ac:dyDescent="0.15">
      <c r="B18" s="23" t="s">
        <v>57</v>
      </c>
    </row>
    <row r="19" spans="1:5" x14ac:dyDescent="0.15">
      <c r="B19" s="24" t="s">
        <v>95</v>
      </c>
    </row>
    <row r="20" spans="1:5" x14ac:dyDescent="0.15">
      <c r="B20" s="24" t="s">
        <v>80</v>
      </c>
    </row>
    <row r="21" spans="1:5" x14ac:dyDescent="0.15">
      <c r="B21" s="24" t="s">
        <v>188</v>
      </c>
    </row>
    <row r="23" spans="1:5" x14ac:dyDescent="0.15">
      <c r="A23" s="25" t="s">
        <v>64</v>
      </c>
      <c r="B23" s="19" t="s">
        <v>186</v>
      </c>
      <c r="C23" s="60"/>
    </row>
    <row r="24" spans="1:5" x14ac:dyDescent="0.15">
      <c r="A24" s="18"/>
      <c r="B24" s="96" t="s">
        <v>203</v>
      </c>
      <c r="C24" s="96"/>
      <c r="D24" s="96"/>
      <c r="E24" s="96"/>
    </row>
    <row r="25" spans="1:5" x14ac:dyDescent="0.15">
      <c r="A25" s="18"/>
    </row>
    <row r="26" spans="1:5" x14ac:dyDescent="0.15">
      <c r="A26" s="18"/>
      <c r="B26" s="49" t="s">
        <v>149</v>
      </c>
      <c r="C26" s="49" t="s">
        <v>143</v>
      </c>
    </row>
    <row r="27" spans="1:5" x14ac:dyDescent="0.15">
      <c r="B27" s="26" t="s">
        <v>81</v>
      </c>
      <c r="C27" s="50">
        <v>4</v>
      </c>
    </row>
    <row r="28" spans="1:5" x14ac:dyDescent="0.15">
      <c r="B28" s="26" t="s">
        <v>60</v>
      </c>
      <c r="C28" s="51">
        <v>0.5</v>
      </c>
    </row>
    <row r="30" spans="1:5" x14ac:dyDescent="0.15">
      <c r="B30" s="49" t="s">
        <v>150</v>
      </c>
      <c r="C30" s="49" t="s">
        <v>143</v>
      </c>
    </row>
    <row r="31" spans="1:5" x14ac:dyDescent="0.15">
      <c r="B31" s="26" t="s">
        <v>144</v>
      </c>
      <c r="C31" s="58">
        <f>C27-C32</f>
        <v>3</v>
      </c>
    </row>
    <row r="32" spans="1:5" x14ac:dyDescent="0.15">
      <c r="B32" s="26" t="s">
        <v>142</v>
      </c>
      <c r="C32" s="57">
        <v>1</v>
      </c>
    </row>
    <row r="34" spans="1:5" x14ac:dyDescent="0.15">
      <c r="A34" s="20" t="s">
        <v>65</v>
      </c>
      <c r="B34" s="19" t="s">
        <v>12</v>
      </c>
      <c r="C34" s="60"/>
      <c r="D34" s="22"/>
    </row>
    <row r="35" spans="1:5" x14ac:dyDescent="0.15">
      <c r="B35" s="1" t="s">
        <v>13</v>
      </c>
      <c r="C35" s="47">
        <f>E36+15%</f>
        <v>0.33699999999999997</v>
      </c>
      <c r="D35" s="18" t="s">
        <v>53</v>
      </c>
      <c r="E35" s="91">
        <v>3</v>
      </c>
    </row>
    <row r="36" spans="1:5" x14ac:dyDescent="0.15">
      <c r="B36" s="1" t="s">
        <v>14</v>
      </c>
      <c r="C36" s="48">
        <f>MAX(6%,Market_Yield!C5:D6)</f>
        <v>0.06</v>
      </c>
      <c r="D36" s="1" t="s">
        <v>224</v>
      </c>
      <c r="E36" s="47">
        <f>benchmark+10%</f>
        <v>0.187</v>
      </c>
    </row>
    <row r="38" spans="1:5" x14ac:dyDescent="0.15">
      <c r="B38" s="20" t="s">
        <v>82</v>
      </c>
    </row>
    <row r="39" spans="1:5" x14ac:dyDescent="0.15">
      <c r="B39" s="96" t="s">
        <v>151</v>
      </c>
      <c r="C39" s="96"/>
      <c r="D39" s="96"/>
      <c r="E39" s="96"/>
    </row>
    <row r="40" spans="1:5" ht="46.5" customHeight="1" x14ac:dyDescent="0.15">
      <c r="B40" s="96" t="s">
        <v>216</v>
      </c>
      <c r="C40" s="96"/>
      <c r="D40" s="96"/>
      <c r="E40" s="96"/>
    </row>
    <row r="42" spans="1:5" x14ac:dyDescent="0.15">
      <c r="A42" s="21" t="s">
        <v>170</v>
      </c>
      <c r="B42" s="21"/>
      <c r="C42" s="21"/>
      <c r="D42" s="21"/>
      <c r="E42" s="21"/>
    </row>
    <row r="44" spans="1:5" x14ac:dyDescent="0.15">
      <c r="B44" s="96" t="s">
        <v>191</v>
      </c>
      <c r="C44" s="96"/>
      <c r="D44" s="96"/>
      <c r="E44" s="96"/>
    </row>
    <row r="46" spans="1:5" x14ac:dyDescent="0.15">
      <c r="B46" s="23" t="s">
        <v>87</v>
      </c>
    </row>
    <row r="48" spans="1:5" x14ac:dyDescent="0.15">
      <c r="B48" s="49" t="s">
        <v>88</v>
      </c>
      <c r="C48" s="49" t="s">
        <v>182</v>
      </c>
      <c r="D48" s="55"/>
      <c r="E48" s="55"/>
    </row>
    <row r="49" spans="2:5" x14ac:dyDescent="0.15">
      <c r="B49" s="26" t="s">
        <v>84</v>
      </c>
      <c r="C49" s="29">
        <v>0.5</v>
      </c>
      <c r="D49" s="56"/>
      <c r="E49" s="54"/>
    </row>
    <row r="50" spans="2:5" x14ac:dyDescent="0.15">
      <c r="B50" s="26" t="s">
        <v>85</v>
      </c>
      <c r="C50" s="29">
        <v>0.3</v>
      </c>
      <c r="D50" s="56"/>
      <c r="E50" s="54"/>
    </row>
    <row r="51" spans="2:5" x14ac:dyDescent="0.15">
      <c r="B51" s="26" t="s">
        <v>86</v>
      </c>
      <c r="C51" s="29">
        <v>0.2</v>
      </c>
      <c r="D51" s="61" t="s">
        <v>205</v>
      </c>
      <c r="E51" s="54"/>
    </row>
    <row r="53" spans="2:5" x14ac:dyDescent="0.15">
      <c r="B53" s="23" t="s">
        <v>83</v>
      </c>
    </row>
    <row r="55" spans="2:5" x14ac:dyDescent="0.15">
      <c r="B55" s="49" t="s">
        <v>89</v>
      </c>
      <c r="C55" s="49" t="s">
        <v>90</v>
      </c>
      <c r="D55" s="49" t="s">
        <v>91</v>
      </c>
      <c r="E55" s="49" t="s">
        <v>92</v>
      </c>
    </row>
    <row r="56" spans="2:5" x14ac:dyDescent="0.15">
      <c r="B56" s="26" t="s">
        <v>66</v>
      </c>
      <c r="C56" s="26" t="s">
        <v>72</v>
      </c>
      <c r="D56" s="26" t="s">
        <v>73</v>
      </c>
      <c r="E56" s="41">
        <v>1</v>
      </c>
    </row>
    <row r="57" spans="2:5" x14ac:dyDescent="0.15">
      <c r="B57" s="26" t="s">
        <v>67</v>
      </c>
      <c r="C57" s="26" t="s">
        <v>70</v>
      </c>
      <c r="D57" s="26" t="s">
        <v>74</v>
      </c>
      <c r="E57" s="41">
        <v>1</v>
      </c>
    </row>
    <row r="58" spans="2:5" x14ac:dyDescent="0.15">
      <c r="B58" s="26" t="s">
        <v>68</v>
      </c>
      <c r="C58" s="26" t="s">
        <v>227</v>
      </c>
      <c r="D58" s="26" t="s">
        <v>228</v>
      </c>
      <c r="E58" s="41">
        <v>1</v>
      </c>
    </row>
    <row r="59" spans="2:5" x14ac:dyDescent="0.15">
      <c r="B59" s="26" t="s">
        <v>69</v>
      </c>
      <c r="C59" s="26" t="s">
        <v>71</v>
      </c>
      <c r="D59" s="26" t="s">
        <v>75</v>
      </c>
      <c r="E59" s="41">
        <v>1</v>
      </c>
    </row>
    <row r="60" spans="2:5" x14ac:dyDescent="0.15">
      <c r="D60" s="27" t="s">
        <v>76</v>
      </c>
      <c r="E60" s="40">
        <f>SUM(E56:E59)</f>
        <v>4</v>
      </c>
    </row>
    <row r="61" spans="2:5" ht="13" thickBot="1" x14ac:dyDescent="0.2">
      <c r="D61" s="42" t="s">
        <v>180</v>
      </c>
      <c r="E61" s="43">
        <f>IF(E60&lt;=2,C49,IF(E60&gt;=6,C51,C50))</f>
        <v>0.3</v>
      </c>
    </row>
    <row r="62" spans="2:5" ht="13" thickTop="1" x14ac:dyDescent="0.15"/>
    <row r="63" spans="2:5" x14ac:dyDescent="0.15">
      <c r="B63" s="23" t="s">
        <v>181</v>
      </c>
    </row>
    <row r="64" spans="2:5" ht="13" x14ac:dyDescent="0.15">
      <c r="B64" s="52" t="s">
        <v>156</v>
      </c>
      <c r="C64" s="53">
        <f>-E61*(C35-Cash_Yield)</f>
        <v>-9.5399999999999985E-2</v>
      </c>
    </row>
    <row r="65" spans="1:5" ht="13" x14ac:dyDescent="0.15">
      <c r="B65" s="52" t="s">
        <v>157</v>
      </c>
      <c r="C65" s="53">
        <f>C35+C64</f>
        <v>0.24159999999999998</v>
      </c>
    </row>
    <row r="66" spans="1:5" x14ac:dyDescent="0.15">
      <c r="B66" s="45"/>
      <c r="C66" s="46"/>
    </row>
    <row r="67" spans="1:5" x14ac:dyDescent="0.15">
      <c r="B67" s="39" t="s">
        <v>185</v>
      </c>
    </row>
    <row r="69" spans="1:5" x14ac:dyDescent="0.15">
      <c r="A69" s="21" t="s">
        <v>77</v>
      </c>
      <c r="B69" s="21"/>
      <c r="C69" s="21"/>
      <c r="D69" s="21"/>
      <c r="E69" s="21"/>
    </row>
    <row r="71" spans="1:5" x14ac:dyDescent="0.15">
      <c r="B71" s="96" t="s">
        <v>179</v>
      </c>
      <c r="C71" s="96"/>
      <c r="D71" s="96"/>
      <c r="E71" s="96"/>
    </row>
    <row r="73" spans="1:5" x14ac:dyDescent="0.15">
      <c r="A73" s="28" t="s">
        <v>63</v>
      </c>
      <c r="B73" s="20" t="s">
        <v>161</v>
      </c>
    </row>
    <row r="74" spans="1:5" x14ac:dyDescent="0.15">
      <c r="B74" s="24" t="s">
        <v>207</v>
      </c>
    </row>
    <row r="75" spans="1:5" x14ac:dyDescent="0.15">
      <c r="B75" s="24" t="s">
        <v>206</v>
      </c>
    </row>
    <row r="77" spans="1:5" x14ac:dyDescent="0.15">
      <c r="A77" s="28" t="s">
        <v>123</v>
      </c>
      <c r="B77" s="20" t="s">
        <v>160</v>
      </c>
    </row>
    <row r="78" spans="1:5" x14ac:dyDescent="0.15">
      <c r="B78" s="39" t="s">
        <v>162</v>
      </c>
    </row>
    <row r="79" spans="1:5" x14ac:dyDescent="0.15">
      <c r="B79" s="24" t="s">
        <v>163</v>
      </c>
    </row>
    <row r="80" spans="1:5" x14ac:dyDescent="0.15">
      <c r="B80" s="24" t="s">
        <v>164</v>
      </c>
    </row>
    <row r="81" spans="1:5" x14ac:dyDescent="0.15">
      <c r="B81" s="24" t="s">
        <v>171</v>
      </c>
    </row>
    <row r="83" spans="1:5" x14ac:dyDescent="0.15">
      <c r="A83" s="28" t="s">
        <v>141</v>
      </c>
      <c r="B83" s="20" t="s">
        <v>199</v>
      </c>
    </row>
    <row r="84" spans="1:5" x14ac:dyDescent="0.15">
      <c r="B84" s="24" t="s">
        <v>174</v>
      </c>
    </row>
    <row r="85" spans="1:5" x14ac:dyDescent="0.15">
      <c r="B85" s="99" t="s">
        <v>175</v>
      </c>
      <c r="C85" s="99"/>
      <c r="D85" s="99"/>
      <c r="E85" s="99"/>
    </row>
    <row r="86" spans="1:5" x14ac:dyDescent="0.15">
      <c r="B86" s="98" t="s">
        <v>173</v>
      </c>
      <c r="C86" s="98"/>
      <c r="D86" s="98"/>
      <c r="E86" s="98"/>
    </row>
    <row r="87" spans="1:5" ht="24.5" customHeight="1" x14ac:dyDescent="0.15">
      <c r="B87" s="96" t="s">
        <v>172</v>
      </c>
      <c r="C87" s="96"/>
      <c r="D87" s="96"/>
      <c r="E87" s="96"/>
    </row>
    <row r="88" spans="1:5" ht="24.5" customHeight="1" x14ac:dyDescent="0.15">
      <c r="B88" s="96" t="s">
        <v>208</v>
      </c>
      <c r="C88" s="96"/>
      <c r="D88" s="96"/>
      <c r="E88" s="96"/>
    </row>
    <row r="90" spans="1:5" x14ac:dyDescent="0.15">
      <c r="B90" s="24" t="s">
        <v>177</v>
      </c>
    </row>
    <row r="91" spans="1:5" x14ac:dyDescent="0.15">
      <c r="B91" s="1" t="s">
        <v>176</v>
      </c>
    </row>
    <row r="92" spans="1:5" x14ac:dyDescent="0.15">
      <c r="B92" s="59" t="s">
        <v>165</v>
      </c>
    </row>
    <row r="93" spans="1:5" x14ac:dyDescent="0.15">
      <c r="B93" s="24" t="s">
        <v>178</v>
      </c>
    </row>
    <row r="94" spans="1:5" x14ac:dyDescent="0.15">
      <c r="B94" s="24" t="s">
        <v>166</v>
      </c>
    </row>
    <row r="96" spans="1:5" x14ac:dyDescent="0.15">
      <c r="B96" s="24" t="s">
        <v>193</v>
      </c>
    </row>
    <row r="97" spans="1:5" x14ac:dyDescent="0.15">
      <c r="B97" s="97" t="s">
        <v>194</v>
      </c>
      <c r="C97" s="97"/>
      <c r="D97" s="97"/>
      <c r="E97" s="97"/>
    </row>
    <row r="99" spans="1:5" x14ac:dyDescent="0.15">
      <c r="B99" s="24" t="s">
        <v>198</v>
      </c>
    </row>
    <row r="100" spans="1:5" x14ac:dyDescent="0.15">
      <c r="B100" s="97" t="s">
        <v>195</v>
      </c>
      <c r="C100" s="97"/>
      <c r="D100" s="97"/>
      <c r="E100" s="97"/>
    </row>
    <row r="101" spans="1:5" ht="58.5" customHeight="1" x14ac:dyDescent="0.15">
      <c r="B101" s="96" t="s">
        <v>202</v>
      </c>
      <c r="C101" s="96"/>
      <c r="D101" s="96"/>
      <c r="E101" s="96"/>
    </row>
    <row r="103" spans="1:5" x14ac:dyDescent="0.15">
      <c r="A103" s="28" t="s">
        <v>168</v>
      </c>
      <c r="B103" s="20" t="s">
        <v>167</v>
      </c>
    </row>
    <row r="104" spans="1:5" x14ac:dyDescent="0.15">
      <c r="B104" s="1" t="s">
        <v>183</v>
      </c>
    </row>
    <row r="105" spans="1:5" x14ac:dyDescent="0.15">
      <c r="B105" s="1" t="s">
        <v>184</v>
      </c>
    </row>
    <row r="107" spans="1:5" x14ac:dyDescent="0.15">
      <c r="B107" s="1" t="s">
        <v>169</v>
      </c>
    </row>
    <row r="108" spans="1:5" x14ac:dyDescent="0.15">
      <c r="B108" s="1" t="s">
        <v>196</v>
      </c>
    </row>
    <row r="110" spans="1:5" x14ac:dyDescent="0.15">
      <c r="B110" s="23" t="s">
        <v>152</v>
      </c>
    </row>
    <row r="111" spans="1:5" x14ac:dyDescent="0.15">
      <c r="B111" s="1" t="s">
        <v>158</v>
      </c>
      <c r="C111" s="44">
        <v>0.30000000000000004</v>
      </c>
    </row>
    <row r="112" spans="1:5" x14ac:dyDescent="0.15">
      <c r="B112" s="1" t="s">
        <v>159</v>
      </c>
      <c r="C112" s="44">
        <v>0.13621164658483448</v>
      </c>
      <c r="D112" s="60" t="str">
        <f>IF(C112&lt;benchmark,"Warning: Return is lower than the Benchmark.","")</f>
        <v/>
      </c>
    </row>
    <row r="114" spans="1:5" ht="24.5" customHeight="1" x14ac:dyDescent="0.15">
      <c r="B114" s="96" t="s">
        <v>200</v>
      </c>
      <c r="C114" s="96"/>
      <c r="D114" s="96"/>
      <c r="E114" s="96"/>
    </row>
    <row r="116" spans="1:5" x14ac:dyDescent="0.15">
      <c r="A116" s="21" t="s">
        <v>78</v>
      </c>
      <c r="B116" s="21"/>
      <c r="C116" s="21"/>
      <c r="D116" s="21"/>
      <c r="E116" s="21"/>
    </row>
    <row r="118" spans="1:5" x14ac:dyDescent="0.15">
      <c r="B118" s="20" t="s">
        <v>79</v>
      </c>
    </row>
    <row r="119" spans="1:5" x14ac:dyDescent="0.15">
      <c r="B119" s="24" t="s">
        <v>93</v>
      </c>
    </row>
    <row r="120" spans="1:5" x14ac:dyDescent="0.15">
      <c r="B120" s="24" t="s">
        <v>94</v>
      </c>
    </row>
    <row r="121" spans="1:5" x14ac:dyDescent="0.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0" zoomScaleNormal="110" workbookViewId="0">
      <pane xSplit="3" ySplit="2" topLeftCell="D3" activePane="bottomRight" state="frozen"/>
      <selection pane="topRight" activeCell="D1" sqref="D1"/>
      <selection pane="bottomLeft" activeCell="A5" sqref="A5"/>
      <selection pane="bottomRight" activeCell="I5" sqref="I3:I5"/>
    </sheetView>
  </sheetViews>
  <sheetFormatPr baseColWidth="10" defaultColWidth="8.83203125" defaultRowHeight="12" x14ac:dyDescent="0.15"/>
  <cols>
    <col min="1" max="1" width="2.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5" style="15" bestFit="1" customWidth="1"/>
    <col min="22" max="22" width="8.6640625" style="90" customWidth="1"/>
    <col min="23" max="23" width="8.6640625" style="85" customWidth="1"/>
    <col min="24" max="24" width="8.6640625" style="1" customWidth="1"/>
    <col min="25" max="25" width="20.6640625" style="1" customWidth="1"/>
    <col min="26" max="26" width="11.83203125" style="3" bestFit="1" customWidth="1"/>
    <col min="27" max="27" width="8.83203125" style="11"/>
    <col min="28" max="16384" width="8.83203125" style="1"/>
  </cols>
  <sheetData>
    <row r="1" spans="1:27" x14ac:dyDescent="0.15">
      <c r="A1" s="5"/>
      <c r="B1" s="6" t="s">
        <v>3</v>
      </c>
      <c r="C1" s="11"/>
      <c r="D1" s="102" t="s">
        <v>1</v>
      </c>
      <c r="E1" s="102"/>
      <c r="F1" s="102"/>
      <c r="G1" s="103" t="s">
        <v>96</v>
      </c>
      <c r="H1" s="103"/>
      <c r="I1" s="103"/>
      <c r="J1" s="105" t="s">
        <v>4</v>
      </c>
      <c r="K1" s="105"/>
      <c r="L1" s="105"/>
      <c r="M1" s="104" t="s">
        <v>226</v>
      </c>
      <c r="N1" s="104"/>
      <c r="O1" s="100" t="s">
        <v>8</v>
      </c>
      <c r="P1" s="100"/>
      <c r="Q1" s="107" t="s">
        <v>261</v>
      </c>
      <c r="R1" s="107"/>
      <c r="S1" s="107"/>
      <c r="T1" s="107"/>
      <c r="U1" s="106" t="s">
        <v>260</v>
      </c>
      <c r="V1" s="106"/>
      <c r="W1" s="106"/>
      <c r="X1" s="101" t="s">
        <v>50</v>
      </c>
      <c r="Y1" s="101"/>
      <c r="Z1" s="101"/>
      <c r="AA1" s="101"/>
    </row>
    <row r="2" spans="1:27" ht="26" customHeight="1" x14ac:dyDescent="0.15">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x14ac:dyDescent="0.15">
      <c r="B3" s="11" t="s">
        <v>252</v>
      </c>
      <c r="C3" s="11" t="s">
        <v>253</v>
      </c>
      <c r="D3" s="2">
        <v>16.22</v>
      </c>
      <c r="E3" s="12" t="s">
        <v>232</v>
      </c>
      <c r="F3" s="15">
        <v>0.22091218945949698</v>
      </c>
      <c r="G3" s="15">
        <f>F3 - Portfolio_Mgmt!$C$10</f>
        <v>0.13391218945949698</v>
      </c>
      <c r="H3" s="15">
        <f>F3 - Portfolio_Mgmt!$C$11</f>
        <v>0.20191218945949699</v>
      </c>
      <c r="I3" s="15">
        <v>0.32776289237314093</v>
      </c>
      <c r="J3" s="2">
        <v>12.534408209968158</v>
      </c>
      <c r="K3" s="2">
        <v>25.584938697660867</v>
      </c>
      <c r="L3" s="85">
        <v>24.315000552184742</v>
      </c>
      <c r="M3" s="2">
        <v>17.577047192866189</v>
      </c>
      <c r="N3" s="2">
        <v>22.61787767563613</v>
      </c>
      <c r="O3" s="4">
        <v>8.3823637401991447E-2</v>
      </c>
      <c r="P3" s="4">
        <v>6.5351418002466105E-2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x14ac:dyDescent="0.15">
      <c r="B4" s="11" t="s">
        <v>233</v>
      </c>
      <c r="C4" s="11" t="s">
        <v>234</v>
      </c>
      <c r="D4" s="2">
        <v>57.7</v>
      </c>
      <c r="E4" s="12" t="s">
        <v>232</v>
      </c>
      <c r="F4" s="15">
        <v>0.1647356777052329</v>
      </c>
      <c r="G4" s="15">
        <f>F4 - Portfolio_Mgmt!$C$10</f>
        <v>7.7735677705232903E-2</v>
      </c>
      <c r="H4" s="15">
        <f>F4 - Portfolio_Mgmt!$C$11</f>
        <v>0.14573567770523291</v>
      </c>
      <c r="I4" s="15">
        <v>0.24441495208491532</v>
      </c>
      <c r="J4" s="2">
        <v>38.753046443654675</v>
      </c>
      <c r="K4" s="2">
        <v>82.72003076740333</v>
      </c>
      <c r="L4" s="85">
        <v>75.868561604045041</v>
      </c>
      <c r="M4" s="2">
        <v>54.620804067443785</v>
      </c>
      <c r="N4" s="2">
        <v>70.513102505372515</v>
      </c>
      <c r="O4" s="4">
        <v>7.5199672485701377E-2</v>
      </c>
      <c r="P4" s="4">
        <v>4.1594454072790291E-2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x14ac:dyDescent="0.15">
      <c r="B5" s="11" t="s">
        <v>246</v>
      </c>
      <c r="C5" s="11" t="s">
        <v>247</v>
      </c>
      <c r="D5" s="2">
        <v>5.19</v>
      </c>
      <c r="E5" s="12" t="s">
        <v>232</v>
      </c>
      <c r="F5" s="15">
        <v>0.13957647293979125</v>
      </c>
      <c r="G5" s="15">
        <f>F5 - Portfolio_Mgmt!$C$10</f>
        <v>5.2576472939791258E-2</v>
      </c>
      <c r="H5" s="15">
        <f>F5 - Portfolio_Mgmt!$C$11</f>
        <v>0.12057647293979125</v>
      </c>
      <c r="I5" s="15">
        <v>0.12782215554194365</v>
      </c>
      <c r="J5" s="2">
        <v>3.2714103607293628</v>
      </c>
      <c r="K5" s="2">
        <v>6.9895661568976033</v>
      </c>
      <c r="L5" s="85">
        <v>6.4058499272029952</v>
      </c>
      <c r="M5" s="2">
        <v>4.6114224254647684</v>
      </c>
      <c r="N5" s="2">
        <v>5.9535611226219638</v>
      </c>
      <c r="O5" s="4">
        <v>4.4316010948257094E-2</v>
      </c>
      <c r="P5" s="4">
        <v>3.872832369942196E-2</v>
      </c>
      <c r="Q5" s="4">
        <v>4.9029562887232557E-2</v>
      </c>
      <c r="R5" s="4">
        <v>5.0475725130946753E-2</v>
      </c>
      <c r="S5" s="94">
        <v>0.56944999111533989</v>
      </c>
      <c r="T5" s="95">
        <v>1.7057676125178334</v>
      </c>
      <c r="U5" s="15">
        <v>2.5694600492681609E-2</v>
      </c>
      <c r="V5" s="90">
        <v>0.53421555755411909</v>
      </c>
      <c r="W5" s="85">
        <v>-0.36074239393771346</v>
      </c>
      <c r="X5" s="13" t="s">
        <v>248</v>
      </c>
      <c r="Y5" s="11" t="s">
        <v>154</v>
      </c>
      <c r="Z5" s="14">
        <v>45900</v>
      </c>
      <c r="AA5" s="16" t="s">
        <v>266</v>
      </c>
    </row>
    <row r="6" spans="1:27" x14ac:dyDescent="0.15">
      <c r="B6" s="11" t="s">
        <v>256</v>
      </c>
      <c r="C6" s="11" t="s">
        <v>257</v>
      </c>
      <c r="D6" s="2">
        <v>46.51</v>
      </c>
      <c r="E6" s="12" t="s">
        <v>232</v>
      </c>
      <c r="F6" s="15">
        <v>0.1357585521591167</v>
      </c>
      <c r="G6" s="15">
        <f>F6 - Portfolio_Mgmt!$C$10</f>
        <v>4.8758552159116703E-2</v>
      </c>
      <c r="H6" s="15">
        <f>F6 - Portfolio_Mgmt!$C$11</f>
        <v>0.11675855215911669</v>
      </c>
      <c r="I6" s="15">
        <v>0</v>
      </c>
      <c r="J6" s="2">
        <v>28.803263731047231</v>
      </c>
      <c r="K6" s="2">
        <v>64.714648137522119</v>
      </c>
      <c r="L6" s="85">
        <v>57.008678420375631</v>
      </c>
      <c r="M6" s="2">
        <v>40.844732114544499</v>
      </c>
      <c r="N6" s="2">
        <v>52.931363368704652</v>
      </c>
      <c r="O6" s="4">
        <v>4.650568287559146E-2</v>
      </c>
      <c r="P6" s="4">
        <v>2.1500752526338422E-2</v>
      </c>
      <c r="Q6" s="4">
        <v>0.14549955248916155</v>
      </c>
      <c r="R6" s="4">
        <v>0.22405670341828193</v>
      </c>
      <c r="S6" s="94">
        <v>0.42456310191863128</v>
      </c>
      <c r="T6" s="95">
        <v>1.5295422156001708</v>
      </c>
      <c r="U6" s="15">
        <v>5.3145118525683231E-2</v>
      </c>
      <c r="V6" s="90">
        <v>0.36488435676778314</v>
      </c>
      <c r="W6" s="85">
        <v>5.6082458208015922</v>
      </c>
      <c r="X6" s="13" t="s">
        <v>254</v>
      </c>
      <c r="Y6" s="11" t="s">
        <v>154</v>
      </c>
      <c r="Z6" s="14">
        <v>45900</v>
      </c>
      <c r="AA6" s="16" t="s">
        <v>266</v>
      </c>
    </row>
    <row r="7" spans="1:27" x14ac:dyDescent="0.15">
      <c r="B7" s="11" t="s">
        <v>230</v>
      </c>
      <c r="C7" s="11" t="s">
        <v>231</v>
      </c>
      <c r="D7" s="2">
        <v>65.98</v>
      </c>
      <c r="E7" s="12" t="s">
        <v>232</v>
      </c>
      <c r="F7" s="15">
        <v>0.1232882180025836</v>
      </c>
      <c r="G7" s="15">
        <f>F7 - Portfolio_Mgmt!$C$10</f>
        <v>3.6288218002583611E-2</v>
      </c>
      <c r="H7" s="15">
        <f>F7 - Portfolio_Mgmt!$C$11</f>
        <v>0.1042882180025836</v>
      </c>
      <c r="I7" s="15">
        <v>0</v>
      </c>
      <c r="J7" s="2">
        <v>40.566233510579387</v>
      </c>
      <c r="K7" s="2">
        <v>77.785604602754844</v>
      </c>
      <c r="L7" s="85">
        <v>77.731780095947357</v>
      </c>
      <c r="M7" s="2">
        <v>56.501711311401053</v>
      </c>
      <c r="N7" s="2">
        <v>72.389553073938998</v>
      </c>
      <c r="O7" s="4">
        <v>5.4855636181422453E-2</v>
      </c>
      <c r="P7" s="4">
        <v>7.0430433464686262E-2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x14ac:dyDescent="0.15">
      <c r="B8" s="11" t="s">
        <v>269</v>
      </c>
      <c r="C8" s="11" t="s">
        <v>270</v>
      </c>
      <c r="D8" s="2">
        <v>10.48</v>
      </c>
      <c r="E8" s="12" t="s">
        <v>232</v>
      </c>
      <c r="F8" s="15">
        <v>0.10784223317227548</v>
      </c>
      <c r="G8" s="15">
        <f>F8 - Portfolio_Mgmt!$C$10</f>
        <v>2.0842233172275487E-2</v>
      </c>
      <c r="H8" s="15">
        <f>F8 - Portfolio_Mgmt!$C$11</f>
        <v>8.8842233172275478E-2</v>
      </c>
      <c r="I8" s="15">
        <v>0</v>
      </c>
      <c r="J8" s="2">
        <v>6.0942417132402751</v>
      </c>
      <c r="K8" s="2">
        <v>12.91528670453229</v>
      </c>
      <c r="L8" s="85">
        <v>11.913128542800674</v>
      </c>
      <c r="M8" s="2">
        <v>8.582443057830476</v>
      </c>
      <c r="N8" s="2">
        <v>11.073728055846336</v>
      </c>
      <c r="O8" s="4">
        <v>3.3665496029300739E-2</v>
      </c>
      <c r="P8" s="4">
        <v>3.8167938931297711E-2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x14ac:dyDescent="0.15">
      <c r="B9" s="11" t="s">
        <v>243</v>
      </c>
      <c r="C9" s="11" t="s">
        <v>244</v>
      </c>
      <c r="D9" s="2">
        <v>23.08</v>
      </c>
      <c r="E9" s="12" t="s">
        <v>232</v>
      </c>
      <c r="F9" s="15">
        <v>0.10662497056700704</v>
      </c>
      <c r="G9" s="15">
        <f>F9 - Portfolio_Mgmt!$C$10</f>
        <v>1.9624970567007044E-2</v>
      </c>
      <c r="H9" s="15">
        <f>F9 - Portfolio_Mgmt!$C$11</f>
        <v>8.7624970567007035E-2</v>
      </c>
      <c r="I9" s="15">
        <v>0</v>
      </c>
      <c r="J9" s="2">
        <v>13.438941031541804</v>
      </c>
      <c r="K9" s="2">
        <v>27.746753827145845</v>
      </c>
      <c r="L9" s="85">
        <v>26.130102221251306</v>
      </c>
      <c r="M9" s="2">
        <v>18.869653870203344</v>
      </c>
      <c r="N9" s="2">
        <v>24.301055185803946</v>
      </c>
      <c r="O9" s="4">
        <v>5.7376989678258231E-2</v>
      </c>
      <c r="P9" s="4">
        <v>4.5927209705372625E-2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x14ac:dyDescent="0.15">
      <c r="B10" s="11" t="s">
        <v>239</v>
      </c>
      <c r="C10" s="11" t="s">
        <v>240</v>
      </c>
      <c r="D10" s="2">
        <v>22.62</v>
      </c>
      <c r="E10" s="12" t="s">
        <v>232</v>
      </c>
      <c r="F10" s="15">
        <v>0.10366547931610515</v>
      </c>
      <c r="G10" s="15">
        <f>F10 - Portfolio_Mgmt!$C$10</f>
        <v>1.6665479316105153E-2</v>
      </c>
      <c r="H10" s="15">
        <f>F10 - Portfolio_Mgmt!$C$11</f>
        <v>8.4665479316105144E-2</v>
      </c>
      <c r="I10" s="15">
        <v>0</v>
      </c>
      <c r="J10" s="2">
        <v>13.079690025486418</v>
      </c>
      <c r="K10" s="2">
        <v>26.888151196428591</v>
      </c>
      <c r="L10" s="85">
        <v>25.409202896038835</v>
      </c>
      <c r="M10" s="2">
        <v>18.356272555350223</v>
      </c>
      <c r="N10" s="2">
        <v>23.632551844105855</v>
      </c>
      <c r="O10" s="4">
        <v>0.24409223311175232</v>
      </c>
      <c r="P10" s="4">
        <v>4.6861184792219276E-2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x14ac:dyDescent="0.15">
      <c r="B11" s="11" t="s">
        <v>249</v>
      </c>
      <c r="C11" s="11" t="s">
        <v>250</v>
      </c>
      <c r="D11" s="2">
        <v>21.76</v>
      </c>
      <c r="E11" s="12" t="s">
        <v>232</v>
      </c>
      <c r="F11" s="15">
        <v>6.2666166557424186E-2</v>
      </c>
      <c r="G11" s="15">
        <f>F11 - Portfolio_Mgmt!$C$10</f>
        <v>-2.4333833442575808E-2</v>
      </c>
      <c r="H11" s="15">
        <f>F11 - Portfolio_Mgmt!$C$11</f>
        <v>4.3666166557424183E-2</v>
      </c>
      <c r="I11" s="15">
        <v>0</v>
      </c>
      <c r="J11" s="2">
        <v>11.355103666814504</v>
      </c>
      <c r="K11" s="2">
        <v>22.601441956902718</v>
      </c>
      <c r="L11" s="85">
        <v>21.916919635758642</v>
      </c>
      <c r="M11" s="2">
        <v>15.879140273250821</v>
      </c>
      <c r="N11" s="2">
        <v>20.396738931178472</v>
      </c>
      <c r="O11" s="4">
        <v>4.9735513504290646E-2</v>
      </c>
      <c r="P11" s="4">
        <v>5.0551470588235295E-2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x14ac:dyDescent="0.15">
      <c r="B12" s="11" t="s">
        <v>258</v>
      </c>
      <c r="C12" s="11" t="s">
        <v>259</v>
      </c>
      <c r="D12" s="2">
        <v>13.53</v>
      </c>
      <c r="E12" s="12" t="s">
        <v>232</v>
      </c>
      <c r="F12" s="15">
        <v>-5.5896901541827249E-2</v>
      </c>
      <c r="G12" s="15">
        <f>F12 - Portfolio_Mgmt!$C$10</f>
        <v>-0.14289690154182724</v>
      </c>
      <c r="H12" s="15">
        <f>F12 - Portfolio_Mgmt!$C$11</f>
        <v>-7.4896901541827252E-2</v>
      </c>
      <c r="I12" s="15">
        <v>0</v>
      </c>
      <c r="J12" s="2">
        <v>4.9796479824958464</v>
      </c>
      <c r="K12" s="2">
        <v>10.251430255232371</v>
      </c>
      <c r="L12" s="85">
        <v>9.6765033007385046</v>
      </c>
      <c r="M12" s="2">
        <v>6.9896525426428742</v>
      </c>
      <c r="N12" s="2">
        <v>8.9996639027078977</v>
      </c>
      <c r="O12" s="4">
        <v>3.2789369544086615E-2</v>
      </c>
      <c r="P12" s="4">
        <v>2.9563932002956397E-2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x14ac:dyDescent="0.15">
      <c r="B13" s="11"/>
      <c r="C13" s="11"/>
      <c r="E13" s="12"/>
      <c r="O13" s="4"/>
      <c r="P13" s="4"/>
      <c r="Q13" s="4"/>
      <c r="R13" s="4"/>
      <c r="X13" s="13"/>
      <c r="Y13" s="11"/>
      <c r="Z13" s="14"/>
    </row>
    <row r="14" spans="1:27" x14ac:dyDescent="0.15">
      <c r="B14" s="11"/>
      <c r="C14" s="11"/>
      <c r="E14" s="12"/>
      <c r="O14" s="4"/>
      <c r="P14" s="4"/>
      <c r="Q14" s="4"/>
      <c r="R14" s="4"/>
      <c r="X14" s="13"/>
      <c r="Y14" s="11"/>
      <c r="Z14" s="14"/>
    </row>
    <row r="15" spans="1:27" x14ac:dyDescent="0.15">
      <c r="B15" s="11"/>
      <c r="C15" s="11"/>
      <c r="E15" s="12"/>
      <c r="O15" s="4"/>
      <c r="P15" s="4"/>
      <c r="Q15" s="4"/>
      <c r="R15" s="4"/>
      <c r="X15" s="13"/>
      <c r="Y15" s="11"/>
      <c r="Z15" s="14"/>
    </row>
    <row r="16" spans="1:27" x14ac:dyDescent="0.15">
      <c r="B16" s="11"/>
      <c r="C16" s="11"/>
      <c r="E16" s="12"/>
      <c r="O16" s="4"/>
      <c r="P16" s="4"/>
      <c r="Q16" s="4"/>
      <c r="R16" s="4"/>
      <c r="X16" s="13"/>
      <c r="Y16" s="11"/>
      <c r="Z16" s="14"/>
    </row>
    <row r="17" spans="2:26" x14ac:dyDescent="0.15">
      <c r="B17" s="11"/>
      <c r="C17" s="11"/>
      <c r="E17" s="12"/>
      <c r="O17" s="4"/>
      <c r="P17" s="4"/>
      <c r="Q17" s="4"/>
      <c r="R17" s="4"/>
      <c r="X17" s="13"/>
      <c r="Y17" s="11"/>
      <c r="Z17" s="14"/>
    </row>
    <row r="18" spans="2:26" x14ac:dyDescent="0.15">
      <c r="B18" s="11"/>
      <c r="C18" s="11"/>
      <c r="E18" s="12"/>
      <c r="O18" s="4"/>
      <c r="P18" s="4"/>
      <c r="Q18" s="4"/>
      <c r="R18" s="4"/>
      <c r="X18" s="13"/>
      <c r="Y18" s="11"/>
      <c r="Z18" s="14"/>
    </row>
    <row r="19" spans="2:26" x14ac:dyDescent="0.15">
      <c r="B19" s="11"/>
      <c r="C19" s="11"/>
      <c r="E19" s="12"/>
      <c r="O19" s="4"/>
      <c r="P19" s="4"/>
      <c r="Q19" s="4"/>
      <c r="R19" s="4"/>
      <c r="X19" s="13"/>
      <c r="Y19" s="11"/>
      <c r="Z19" s="14"/>
    </row>
    <row r="20" spans="2:26" x14ac:dyDescent="0.15">
      <c r="B20" s="11"/>
      <c r="C20" s="11"/>
      <c r="E20" s="12"/>
      <c r="O20" s="4"/>
      <c r="P20" s="4"/>
      <c r="Q20" s="4"/>
      <c r="R20" s="4"/>
      <c r="X20" s="13"/>
      <c r="Y20" s="11"/>
      <c r="Z20" s="14"/>
    </row>
    <row r="21" spans="2:26" x14ac:dyDescent="0.15">
      <c r="B21" s="11"/>
      <c r="C21" s="11"/>
      <c r="E21" s="12"/>
      <c r="O21" s="4"/>
      <c r="P21" s="4"/>
      <c r="Q21" s="4"/>
      <c r="R21" s="4"/>
      <c r="X21" s="13"/>
      <c r="Y21" s="11"/>
      <c r="Z21" s="14"/>
    </row>
    <row r="22" spans="2:26" x14ac:dyDescent="0.15">
      <c r="B22" s="11"/>
      <c r="C22" s="11"/>
      <c r="E22" s="12"/>
      <c r="O22" s="4"/>
      <c r="P22" s="4"/>
      <c r="Q22" s="4"/>
      <c r="R22" s="4"/>
      <c r="X22" s="13"/>
      <c r="Y22" s="11"/>
      <c r="Z22" s="14"/>
    </row>
    <row r="23" spans="2:26" x14ac:dyDescent="0.15">
      <c r="B23" s="11"/>
      <c r="C23" s="11"/>
      <c r="E23" s="12"/>
      <c r="O23" s="4"/>
      <c r="P23" s="4"/>
      <c r="Q23" s="4"/>
      <c r="R23" s="4"/>
      <c r="X23" s="13"/>
      <c r="Y23" s="11"/>
      <c r="Z23" s="14"/>
    </row>
    <row r="24" spans="2:26" x14ac:dyDescent="0.15">
      <c r="B24" s="11"/>
      <c r="C24" s="11"/>
      <c r="E24" s="12"/>
      <c r="O24" s="4"/>
      <c r="P24" s="4"/>
      <c r="Q24" s="4"/>
      <c r="R24" s="4"/>
      <c r="X24" s="13"/>
      <c r="Y24" s="11"/>
      <c r="Z24" s="14"/>
    </row>
    <row r="25" spans="2:26" x14ac:dyDescent="0.15">
      <c r="B25" s="11"/>
      <c r="C25" s="11"/>
      <c r="E25" s="12"/>
      <c r="O25" s="4"/>
      <c r="P25" s="4"/>
      <c r="Q25" s="4"/>
      <c r="R25" s="4"/>
      <c r="X25" s="13"/>
      <c r="Y25" s="11"/>
      <c r="Z25" s="14"/>
    </row>
    <row r="26" spans="2:26" x14ac:dyDescent="0.15">
      <c r="B26" s="11"/>
      <c r="C26" s="11"/>
      <c r="E26" s="12"/>
      <c r="O26" s="4"/>
      <c r="P26" s="4"/>
      <c r="Q26" s="4"/>
      <c r="R26" s="4"/>
      <c r="X26" s="13"/>
      <c r="Y26" s="11"/>
      <c r="Z26" s="14"/>
    </row>
    <row r="27" spans="2:26" x14ac:dyDescent="0.15">
      <c r="B27" s="11"/>
      <c r="C27" s="11"/>
      <c r="E27" s="12"/>
      <c r="O27" s="4"/>
      <c r="P27" s="4"/>
      <c r="Q27" s="4"/>
      <c r="R27" s="4"/>
      <c r="X27" s="13"/>
      <c r="Y27" s="11"/>
      <c r="Z27" s="14"/>
    </row>
    <row r="28" spans="2:26" x14ac:dyDescent="0.15">
      <c r="B28" s="11"/>
      <c r="C28" s="11"/>
      <c r="E28" s="12"/>
      <c r="O28" s="4"/>
      <c r="P28" s="4"/>
      <c r="Q28" s="4"/>
      <c r="R28" s="4"/>
      <c r="X28" s="13"/>
      <c r="Y28" s="11"/>
      <c r="Z28" s="14"/>
    </row>
    <row r="29" spans="2:26" x14ac:dyDescent="0.15">
      <c r="B29" s="11"/>
      <c r="C29" s="11"/>
      <c r="E29" s="12"/>
      <c r="O29" s="4"/>
      <c r="P29" s="4"/>
      <c r="Q29" s="4"/>
      <c r="R29" s="4"/>
      <c r="X29" s="13"/>
      <c r="Y29" s="11"/>
      <c r="Z29" s="14"/>
    </row>
    <row r="30" spans="2:26" x14ac:dyDescent="0.15">
      <c r="B30" s="11"/>
      <c r="C30" s="11"/>
      <c r="E30" s="12"/>
      <c r="O30" s="4"/>
      <c r="P30" s="4"/>
      <c r="Q30" s="4"/>
      <c r="R30" s="4"/>
      <c r="X30" s="13"/>
      <c r="Y30" s="11"/>
      <c r="Z30" s="14"/>
    </row>
    <row r="31" spans="2:26" x14ac:dyDescent="0.15">
      <c r="B31" s="11"/>
      <c r="C31" s="11"/>
      <c r="E31" s="12"/>
      <c r="O31" s="4"/>
      <c r="P31" s="4"/>
      <c r="Q31" s="4"/>
      <c r="R31" s="4"/>
      <c r="X31" s="16"/>
      <c r="Y31" s="11"/>
      <c r="Z31" s="14"/>
    </row>
    <row r="32" spans="2:26" x14ac:dyDescent="0.15">
      <c r="B32" s="11"/>
      <c r="C32" s="11"/>
      <c r="E32" s="12"/>
      <c r="O32" s="4"/>
      <c r="P32" s="4"/>
      <c r="Q32" s="4"/>
      <c r="R32" s="4"/>
      <c r="X32" s="13"/>
      <c r="Y32" s="11"/>
      <c r="Z32" s="14"/>
    </row>
    <row r="33" spans="2:26" x14ac:dyDescent="0.15">
      <c r="B33" s="11"/>
      <c r="C33" s="11"/>
      <c r="E33" s="12"/>
      <c r="O33" s="4"/>
      <c r="P33" s="4"/>
      <c r="Q33" s="4"/>
      <c r="R33" s="4"/>
      <c r="X33" s="13"/>
      <c r="Y33" s="11"/>
      <c r="Z33" s="14"/>
    </row>
    <row r="34" spans="2:26" x14ac:dyDescent="0.15">
      <c r="B34" s="11"/>
      <c r="C34" s="11"/>
      <c r="E34" s="12"/>
      <c r="O34" s="4"/>
      <c r="P34" s="4"/>
      <c r="Q34" s="4"/>
      <c r="R34" s="4"/>
      <c r="X34" s="16"/>
      <c r="Y34" s="11"/>
      <c r="Z34" s="14"/>
    </row>
    <row r="35" spans="2:26" x14ac:dyDescent="0.15">
      <c r="B35" s="11"/>
      <c r="C35" s="11"/>
      <c r="E35" s="12"/>
      <c r="O35" s="4"/>
      <c r="P35" s="4"/>
      <c r="Q35" s="4"/>
      <c r="R35" s="4"/>
      <c r="X35" s="13"/>
      <c r="Y35" s="11"/>
      <c r="Z35" s="14"/>
    </row>
    <row r="36" spans="2:26" x14ac:dyDescent="0.15">
      <c r="B36" s="11"/>
      <c r="C36" s="11"/>
      <c r="E36" s="12"/>
      <c r="O36" s="4"/>
      <c r="P36" s="4"/>
      <c r="Q36" s="4"/>
      <c r="R36" s="4"/>
      <c r="X36" s="13"/>
      <c r="Y36" s="11"/>
      <c r="Z36" s="14"/>
    </row>
    <row r="37" spans="2:26" x14ac:dyDescent="0.15">
      <c r="B37" s="11"/>
      <c r="C37" s="11"/>
      <c r="E37" s="12"/>
      <c r="O37" s="4"/>
      <c r="P37" s="4"/>
      <c r="Q37" s="4"/>
      <c r="R37" s="4"/>
      <c r="X37" s="13"/>
      <c r="Y37" s="11"/>
      <c r="Z37" s="14"/>
    </row>
    <row r="38" spans="2:26" x14ac:dyDescent="0.15">
      <c r="B38" s="11"/>
      <c r="C38" s="11"/>
      <c r="E38" s="12"/>
      <c r="O38" s="4"/>
      <c r="P38" s="4"/>
      <c r="Q38" s="4"/>
      <c r="R38" s="4"/>
      <c r="X38" s="13"/>
      <c r="Y38" s="11"/>
      <c r="Z38" s="14"/>
    </row>
    <row r="39" spans="2:26" x14ac:dyDescent="0.15">
      <c r="B39" s="11"/>
      <c r="C39" s="11"/>
      <c r="E39" s="12"/>
      <c r="O39" s="4"/>
      <c r="P39" s="4"/>
      <c r="Q39" s="4"/>
      <c r="R39" s="4"/>
      <c r="X39" s="13"/>
      <c r="Y39" s="11"/>
      <c r="Z39" s="14"/>
    </row>
    <row r="40" spans="2:26" x14ac:dyDescent="0.15">
      <c r="B40" s="11"/>
      <c r="C40" s="11"/>
      <c r="E40" s="12"/>
      <c r="O40" s="4"/>
      <c r="P40" s="4"/>
      <c r="Q40" s="4"/>
      <c r="R40" s="4"/>
      <c r="X40" s="13"/>
      <c r="Y40" s="11"/>
      <c r="Z40" s="14"/>
    </row>
    <row r="41" spans="2:26" x14ac:dyDescent="0.15">
      <c r="B41" s="11"/>
      <c r="C41" s="11"/>
      <c r="E41" s="12"/>
      <c r="O41" s="4"/>
      <c r="P41" s="4"/>
      <c r="Q41" s="4"/>
      <c r="R41" s="4"/>
      <c r="X41" s="13"/>
      <c r="Y41" s="11"/>
      <c r="Z41" s="14"/>
    </row>
    <row r="42" spans="2:26" x14ac:dyDescent="0.15">
      <c r="B42" s="11"/>
      <c r="C42" s="11"/>
      <c r="E42" s="12"/>
      <c r="O42" s="4"/>
      <c r="P42" s="4"/>
      <c r="Q42" s="4"/>
      <c r="R42" s="4"/>
      <c r="X42" s="13"/>
      <c r="Y42" s="11"/>
      <c r="Z42" s="14"/>
    </row>
    <row r="43" spans="2:26" x14ac:dyDescent="0.15">
      <c r="B43" s="11"/>
      <c r="C43" s="11"/>
      <c r="E43" s="12"/>
      <c r="O43" s="4"/>
      <c r="P43" s="4"/>
      <c r="Q43" s="4"/>
      <c r="R43" s="4"/>
      <c r="X43" s="13"/>
      <c r="Y43" s="11"/>
      <c r="Z43" s="14"/>
    </row>
    <row r="44" spans="2:26" x14ac:dyDescent="0.15">
      <c r="B44" s="11"/>
      <c r="C44" s="11"/>
      <c r="E44" s="12"/>
      <c r="O44" s="4"/>
      <c r="P44" s="4"/>
      <c r="Q44" s="4"/>
      <c r="R44" s="4"/>
      <c r="X44" s="13"/>
      <c r="Y44" s="11"/>
      <c r="Z44" s="14"/>
    </row>
    <row r="45" spans="2:26" x14ac:dyDescent="0.15">
      <c r="B45" s="11"/>
      <c r="C45" s="11"/>
      <c r="E45" s="12"/>
      <c r="O45" s="4"/>
      <c r="P45" s="4"/>
      <c r="Q45" s="4"/>
      <c r="R45" s="4"/>
      <c r="X45" s="13"/>
      <c r="Y45" s="11"/>
      <c r="Z45" s="14"/>
    </row>
    <row r="46" spans="2:26" x14ac:dyDescent="0.15">
      <c r="B46" s="11"/>
      <c r="C46" s="11"/>
      <c r="E46" s="12"/>
      <c r="O46" s="4"/>
      <c r="P46" s="4"/>
      <c r="Q46" s="4"/>
      <c r="R46" s="4"/>
      <c r="X46" s="13"/>
      <c r="Y46" s="11"/>
      <c r="Z46" s="14"/>
    </row>
    <row r="47" spans="2:26" x14ac:dyDescent="0.15">
      <c r="B47" s="11"/>
      <c r="C47" s="11"/>
      <c r="E47" s="12"/>
      <c r="O47" s="4"/>
      <c r="P47" s="4"/>
      <c r="Q47" s="4"/>
      <c r="R47" s="4"/>
      <c r="X47" s="13"/>
      <c r="Y47" s="11"/>
      <c r="Z47" s="14"/>
    </row>
    <row r="48" spans="2:26" x14ac:dyDescent="0.15">
      <c r="B48" s="11"/>
      <c r="C48" s="11"/>
      <c r="E48" s="12"/>
      <c r="O48" s="4"/>
      <c r="P48" s="4"/>
      <c r="Q48" s="4"/>
      <c r="R48" s="4"/>
      <c r="X48" s="13"/>
      <c r="Y48" s="11"/>
      <c r="Z48" s="14"/>
    </row>
    <row r="49" spans="2:26" x14ac:dyDescent="0.15">
      <c r="B49" s="11"/>
      <c r="C49" s="11"/>
      <c r="E49" s="12"/>
      <c r="O49" s="4"/>
      <c r="P49" s="4"/>
      <c r="Q49" s="4"/>
      <c r="R49" s="4"/>
      <c r="X49" s="13"/>
      <c r="Y49" s="11"/>
      <c r="Z49" s="14"/>
    </row>
    <row r="50" spans="2:26" x14ac:dyDescent="0.15">
      <c r="B50" s="11"/>
      <c r="C50" s="11"/>
      <c r="E50" s="12"/>
      <c r="O50" s="4"/>
      <c r="P50" s="4"/>
      <c r="Q50" s="4"/>
      <c r="R50" s="4"/>
      <c r="X50" s="13"/>
      <c r="Y50" s="11"/>
      <c r="Z50" s="14"/>
    </row>
    <row r="51" spans="2:26" x14ac:dyDescent="0.15">
      <c r="B51" s="11"/>
      <c r="C51" s="11"/>
      <c r="E51" s="12"/>
      <c r="O51" s="4"/>
      <c r="P51" s="4"/>
      <c r="Q51" s="4"/>
      <c r="R51" s="4"/>
      <c r="X51" s="13"/>
      <c r="Y51" s="11"/>
      <c r="Z51" s="14"/>
    </row>
    <row r="52" spans="2:26" x14ac:dyDescent="0.15">
      <c r="B52" s="11"/>
      <c r="C52" s="11"/>
      <c r="E52" s="12"/>
      <c r="O52" s="4"/>
      <c r="P52" s="4"/>
      <c r="Q52" s="4"/>
      <c r="R52" s="4"/>
      <c r="X52" s="13"/>
      <c r="Y52" s="11"/>
      <c r="Z52" s="14"/>
    </row>
    <row r="53" spans="2:26" x14ac:dyDescent="0.15">
      <c r="B53" s="11"/>
      <c r="C53" s="11"/>
      <c r="E53" s="12"/>
      <c r="O53" s="4"/>
      <c r="P53" s="4"/>
      <c r="Q53" s="4"/>
      <c r="R53" s="4"/>
      <c r="X53" s="13"/>
      <c r="Y53" s="11"/>
      <c r="Z53" s="14"/>
    </row>
    <row r="54" spans="2:26" x14ac:dyDescent="0.15">
      <c r="B54" s="11"/>
      <c r="C54" s="11"/>
      <c r="E54" s="12"/>
      <c r="O54" s="4"/>
      <c r="P54" s="4"/>
      <c r="Q54" s="4"/>
      <c r="R54" s="4"/>
      <c r="X54" s="13"/>
      <c r="Y54" s="11"/>
      <c r="Z54" s="14"/>
    </row>
    <row r="55" spans="2:26" x14ac:dyDescent="0.15">
      <c r="B55" s="11"/>
      <c r="C55" s="11"/>
      <c r="E55" s="12"/>
      <c r="O55" s="4"/>
      <c r="P55" s="4"/>
      <c r="Q55" s="4"/>
      <c r="R55" s="4"/>
      <c r="X55" s="13"/>
      <c r="Y55" s="11"/>
      <c r="Z55" s="14"/>
    </row>
    <row r="56" spans="2:26" x14ac:dyDescent="0.15">
      <c r="B56" s="11"/>
      <c r="C56" s="11"/>
      <c r="E56" s="12"/>
      <c r="O56" s="4"/>
      <c r="P56" s="4"/>
      <c r="Q56" s="4"/>
      <c r="R56" s="4"/>
      <c r="X56" s="13"/>
      <c r="Y56" s="11"/>
      <c r="Z56" s="14"/>
    </row>
    <row r="57" spans="2:26" x14ac:dyDescent="0.15">
      <c r="B57" s="11"/>
      <c r="C57" s="11"/>
      <c r="E57" s="12"/>
      <c r="O57" s="4"/>
      <c r="P57" s="4"/>
      <c r="Q57" s="4"/>
      <c r="R57" s="4"/>
      <c r="X57" s="13"/>
      <c r="Y57" s="11"/>
      <c r="Z57" s="14"/>
    </row>
    <row r="58" spans="2:26" x14ac:dyDescent="0.15">
      <c r="B58" s="11"/>
      <c r="C58" s="11"/>
      <c r="E58" s="12"/>
      <c r="O58" s="4"/>
      <c r="P58" s="4"/>
      <c r="Q58" s="4"/>
      <c r="R58" s="4"/>
      <c r="X58" s="13"/>
      <c r="Y58" s="11"/>
      <c r="Z58" s="14"/>
    </row>
    <row r="59" spans="2:26" x14ac:dyDescent="0.15">
      <c r="B59" s="11"/>
      <c r="C59" s="11"/>
      <c r="E59" s="12"/>
      <c r="O59" s="4"/>
      <c r="P59" s="4"/>
      <c r="Q59" s="4"/>
      <c r="R59" s="4"/>
      <c r="X59" s="13"/>
      <c r="Y59" s="11"/>
      <c r="Z59" s="14"/>
    </row>
    <row r="60" spans="2:26" x14ac:dyDescent="0.15">
      <c r="B60" s="11"/>
      <c r="C60" s="11"/>
      <c r="E60" s="12"/>
      <c r="O60" s="4"/>
      <c r="P60" s="4"/>
      <c r="Q60" s="4"/>
      <c r="R60" s="4"/>
      <c r="X60" s="13"/>
      <c r="Y60" s="11"/>
      <c r="Z60" s="14"/>
    </row>
    <row r="61" spans="2:26" x14ac:dyDescent="0.15">
      <c r="B61" s="11"/>
      <c r="C61" s="11"/>
      <c r="E61" s="12"/>
      <c r="O61" s="4"/>
      <c r="P61" s="4"/>
      <c r="Q61" s="4"/>
      <c r="R61" s="4"/>
      <c r="X61" s="13"/>
      <c r="Y61" s="11"/>
      <c r="Z61" s="14"/>
    </row>
    <row r="62" spans="2:26" x14ac:dyDescent="0.15">
      <c r="B62" s="11"/>
      <c r="C62" s="11"/>
      <c r="E62" s="12"/>
      <c r="O62" s="4"/>
      <c r="P62" s="4"/>
      <c r="Q62" s="4"/>
      <c r="R62" s="4"/>
      <c r="X62" s="13"/>
      <c r="Y62" s="11"/>
      <c r="Z62" s="14"/>
    </row>
    <row r="63" spans="2:26" x14ac:dyDescent="0.15">
      <c r="B63" s="11"/>
      <c r="C63" s="11"/>
      <c r="E63" s="12"/>
      <c r="O63" s="4"/>
      <c r="P63" s="4"/>
      <c r="Q63" s="4"/>
      <c r="R63" s="4"/>
      <c r="X63" s="13"/>
      <c r="Y63" s="11"/>
      <c r="Z63" s="14"/>
    </row>
    <row r="64" spans="2:26" x14ac:dyDescent="0.15">
      <c r="B64" s="11"/>
      <c r="C64" s="11"/>
      <c r="E64" s="12"/>
      <c r="O64" s="4"/>
      <c r="P64" s="4"/>
      <c r="Q64" s="4"/>
      <c r="R64" s="4"/>
      <c r="X64" s="13"/>
      <c r="Y64" s="11"/>
      <c r="Z64" s="14"/>
    </row>
    <row r="65" spans="2:26" x14ac:dyDescent="0.15">
      <c r="B65" s="11"/>
      <c r="C65" s="11"/>
      <c r="E65" s="12"/>
      <c r="O65" s="4"/>
      <c r="P65" s="4"/>
      <c r="Q65" s="4"/>
      <c r="R65" s="4"/>
      <c r="X65" s="13"/>
      <c r="Y65" s="11"/>
      <c r="Z65" s="14"/>
    </row>
    <row r="66" spans="2:26" x14ac:dyDescent="0.15">
      <c r="B66" s="11"/>
      <c r="C66" s="11"/>
      <c r="E66" s="12"/>
      <c r="O66" s="4"/>
      <c r="P66" s="4"/>
      <c r="Q66" s="4"/>
      <c r="R66" s="4"/>
      <c r="X66" s="13"/>
      <c r="Y66" s="11"/>
      <c r="Z66" s="14"/>
    </row>
    <row r="67" spans="2:26" x14ac:dyDescent="0.15">
      <c r="B67" s="11"/>
      <c r="C67" s="11"/>
      <c r="E67" s="12"/>
      <c r="O67" s="4"/>
      <c r="P67" s="4"/>
      <c r="Q67" s="4"/>
      <c r="R67" s="4"/>
      <c r="X67" s="13"/>
      <c r="Y67" s="11"/>
      <c r="Z67" s="14"/>
    </row>
    <row r="68" spans="2:26" x14ac:dyDescent="0.15">
      <c r="B68" s="11"/>
      <c r="C68" s="11"/>
      <c r="E68" s="12"/>
      <c r="O68" s="4"/>
      <c r="P68" s="4"/>
      <c r="Q68" s="4"/>
      <c r="R68" s="4"/>
      <c r="X68" s="13"/>
      <c r="Y68" s="11"/>
      <c r="Z68" s="14"/>
    </row>
    <row r="69" spans="2:26" x14ac:dyDescent="0.15">
      <c r="B69" s="11"/>
      <c r="C69" s="11"/>
      <c r="E69" s="12"/>
      <c r="O69" s="4"/>
      <c r="P69" s="4"/>
      <c r="Q69" s="4"/>
      <c r="R69" s="4"/>
      <c r="X69" s="13"/>
      <c r="Y69" s="11"/>
      <c r="Z69" s="14"/>
    </row>
    <row r="70" spans="2:26" x14ac:dyDescent="0.15">
      <c r="B70" s="11"/>
      <c r="C70" s="11"/>
      <c r="E70" s="12"/>
      <c r="O70" s="4"/>
      <c r="P70" s="4"/>
      <c r="Q70" s="4"/>
      <c r="R70" s="4"/>
      <c r="X70" s="13"/>
      <c r="Y70" s="11"/>
      <c r="Z70" s="14"/>
    </row>
    <row r="71" spans="2:26" x14ac:dyDescent="0.15">
      <c r="B71" s="11"/>
      <c r="C71" s="11"/>
      <c r="E71" s="12"/>
      <c r="O71" s="4"/>
      <c r="P71" s="4"/>
      <c r="Q71" s="4"/>
      <c r="R71" s="4"/>
      <c r="X71" s="13"/>
      <c r="Y71" s="11"/>
      <c r="Z71" s="14"/>
    </row>
    <row r="72" spans="2:26" x14ac:dyDescent="0.15">
      <c r="B72" s="11"/>
      <c r="C72" s="11"/>
      <c r="E72" s="12"/>
      <c r="O72" s="4"/>
      <c r="P72" s="4"/>
      <c r="Q72" s="4"/>
      <c r="R72" s="4"/>
      <c r="X72" s="13"/>
      <c r="Y72" s="11"/>
      <c r="Z72" s="14"/>
    </row>
    <row r="73" spans="2:26" x14ac:dyDescent="0.15">
      <c r="B73" s="11"/>
      <c r="C73" s="11"/>
      <c r="E73" s="12"/>
      <c r="O73" s="4"/>
      <c r="P73" s="4"/>
      <c r="Q73" s="4"/>
      <c r="R73" s="4"/>
      <c r="X73" s="13"/>
      <c r="Y73" s="11"/>
      <c r="Z73" s="14"/>
    </row>
    <row r="74" spans="2:26" x14ac:dyDescent="0.15">
      <c r="B74" s="11"/>
      <c r="C74" s="11"/>
      <c r="E74" s="12"/>
      <c r="O74" s="4"/>
      <c r="P74" s="4"/>
      <c r="Q74" s="4"/>
      <c r="R74" s="4"/>
      <c r="X74" s="13"/>
      <c r="Y74" s="11"/>
      <c r="Z74" s="14"/>
    </row>
    <row r="75" spans="2:26" x14ac:dyDescent="0.15">
      <c r="B75" s="11"/>
      <c r="C75" s="11"/>
      <c r="E75" s="12"/>
      <c r="O75" s="4"/>
      <c r="P75" s="4"/>
      <c r="Q75" s="4"/>
      <c r="R75" s="4"/>
      <c r="X75" s="13"/>
      <c r="Y75" s="11"/>
      <c r="Z75" s="14"/>
    </row>
    <row r="76" spans="2:26" x14ac:dyDescent="0.15">
      <c r="B76" s="11"/>
      <c r="C76" s="11"/>
      <c r="E76" s="12"/>
      <c r="O76" s="4"/>
      <c r="P76" s="4"/>
      <c r="Q76" s="4"/>
      <c r="R76" s="4"/>
      <c r="X76" s="13"/>
      <c r="Y76" s="11"/>
      <c r="Z76" s="14"/>
    </row>
    <row r="77" spans="2:26" x14ac:dyDescent="0.15">
      <c r="B77" s="11"/>
      <c r="C77" s="11"/>
      <c r="E77" s="12"/>
      <c r="O77" s="4"/>
      <c r="P77" s="4"/>
      <c r="Q77" s="4"/>
      <c r="R77" s="4"/>
      <c r="X77" s="13"/>
      <c r="Y77" s="11"/>
      <c r="Z77" s="14"/>
    </row>
    <row r="78" spans="2:26" x14ac:dyDescent="0.15">
      <c r="B78" s="11"/>
      <c r="C78" s="11"/>
      <c r="E78" s="12"/>
      <c r="O78" s="4"/>
      <c r="P78" s="4"/>
      <c r="Q78" s="4"/>
      <c r="R78" s="4"/>
      <c r="X78" s="13"/>
      <c r="Y78" s="11"/>
      <c r="Z78" s="14"/>
    </row>
    <row r="79" spans="2:26" x14ac:dyDescent="0.15">
      <c r="B79" s="11"/>
      <c r="C79" s="11"/>
      <c r="E79" s="12"/>
      <c r="O79" s="4"/>
      <c r="P79" s="4"/>
      <c r="Q79" s="4"/>
      <c r="R79" s="4"/>
      <c r="X79" s="13"/>
      <c r="Y79" s="11"/>
      <c r="Z79" s="14"/>
    </row>
    <row r="80" spans="2:26" x14ac:dyDescent="0.15">
      <c r="B80" s="11"/>
      <c r="C80" s="11"/>
      <c r="E80" s="12"/>
      <c r="O80" s="4"/>
      <c r="P80" s="4"/>
      <c r="Q80" s="4"/>
      <c r="R80" s="4"/>
      <c r="X80" s="13"/>
      <c r="Y80" s="11"/>
      <c r="Z80" s="14"/>
    </row>
    <row r="81" spans="2:26" x14ac:dyDescent="0.15">
      <c r="B81" s="11"/>
      <c r="C81" s="11"/>
      <c r="E81" s="12"/>
      <c r="O81" s="4"/>
      <c r="P81" s="4"/>
      <c r="Q81" s="4"/>
      <c r="R81" s="4"/>
      <c r="X81" s="13"/>
      <c r="Y81" s="11"/>
      <c r="Z81" s="14"/>
    </row>
    <row r="82" spans="2:26" x14ac:dyDescent="0.15">
      <c r="B82" s="11"/>
      <c r="C82" s="11"/>
      <c r="E82" s="12"/>
      <c r="O82" s="4"/>
      <c r="P82" s="4"/>
      <c r="Q82" s="4"/>
      <c r="R82" s="4"/>
      <c r="X82" s="13"/>
      <c r="Y82" s="11"/>
      <c r="Z82" s="14"/>
    </row>
    <row r="83" spans="2:26" x14ac:dyDescent="0.15">
      <c r="B83" s="11"/>
      <c r="C83" s="11"/>
      <c r="E83" s="12"/>
      <c r="O83" s="4"/>
      <c r="P83" s="4"/>
      <c r="Q83" s="4"/>
      <c r="R83" s="4"/>
      <c r="X83" s="13"/>
      <c r="Y83" s="11"/>
      <c r="Z83" s="14"/>
    </row>
    <row r="84" spans="2:26" x14ac:dyDescent="0.15">
      <c r="B84" s="11"/>
      <c r="C84" s="11"/>
      <c r="E84" s="12"/>
      <c r="O84" s="4"/>
      <c r="P84" s="4"/>
      <c r="Q84" s="4"/>
      <c r="R84" s="4"/>
      <c r="X84" s="13"/>
      <c r="Y84" s="11"/>
      <c r="Z84" s="14"/>
    </row>
    <row r="85" spans="2:26" x14ac:dyDescent="0.15">
      <c r="B85" s="11"/>
      <c r="C85" s="11"/>
      <c r="E85" s="12"/>
      <c r="O85" s="4"/>
      <c r="P85" s="4"/>
      <c r="Q85" s="4"/>
      <c r="R85" s="4"/>
      <c r="X85" s="13"/>
      <c r="Y85" s="11"/>
      <c r="Z85" s="14"/>
    </row>
    <row r="86" spans="2:26" x14ac:dyDescent="0.15">
      <c r="B86" s="11"/>
      <c r="C86" s="11"/>
      <c r="E86" s="12"/>
      <c r="O86" s="4"/>
      <c r="P86" s="4"/>
      <c r="Q86" s="4"/>
      <c r="R86" s="4"/>
      <c r="X86" s="13"/>
      <c r="Y86" s="11"/>
      <c r="Z86" s="14"/>
    </row>
    <row r="87" spans="2:26" x14ac:dyDescent="0.15">
      <c r="B87" s="11"/>
      <c r="C87" s="11"/>
      <c r="E87" s="12"/>
      <c r="O87" s="4"/>
      <c r="P87" s="4"/>
      <c r="Q87" s="4"/>
      <c r="R87" s="4"/>
      <c r="X87" s="13"/>
      <c r="Y87" s="11"/>
      <c r="Z87" s="14"/>
    </row>
    <row r="88" spans="2:26" x14ac:dyDescent="0.15">
      <c r="B88" s="11"/>
      <c r="C88" s="11"/>
      <c r="E88" s="12"/>
      <c r="O88" s="4"/>
      <c r="P88" s="4"/>
      <c r="Q88" s="4"/>
      <c r="R88" s="4"/>
      <c r="X88" s="13"/>
      <c r="Y88" s="11"/>
      <c r="Z88" s="14"/>
    </row>
    <row r="89" spans="2:26" x14ac:dyDescent="0.15">
      <c r="B89" s="11"/>
      <c r="C89" s="11"/>
      <c r="E89" s="12"/>
      <c r="O89" s="4"/>
      <c r="P89" s="4"/>
      <c r="Q89" s="4"/>
      <c r="R89" s="4"/>
      <c r="X89" s="13"/>
      <c r="Y89" s="11"/>
      <c r="Z89" s="14"/>
    </row>
    <row r="90" spans="2:26" x14ac:dyDescent="0.15">
      <c r="B90" s="11"/>
      <c r="C90" s="11"/>
      <c r="E90" s="12"/>
      <c r="O90" s="4"/>
      <c r="P90" s="4"/>
      <c r="Q90" s="4"/>
      <c r="R90" s="4"/>
      <c r="X90" s="13"/>
      <c r="Y90" s="11"/>
      <c r="Z90" s="14"/>
    </row>
    <row r="91" spans="2:26" x14ac:dyDescent="0.15">
      <c r="B91" s="11"/>
      <c r="C91" s="11"/>
      <c r="E91" s="12"/>
      <c r="O91" s="4"/>
      <c r="P91" s="4"/>
      <c r="Q91" s="4"/>
      <c r="R91" s="4"/>
      <c r="X91" s="13"/>
      <c r="Y91" s="11"/>
      <c r="Z91" s="14"/>
    </row>
    <row r="92" spans="2:26" x14ac:dyDescent="0.15">
      <c r="B92" s="11"/>
      <c r="C92" s="11"/>
      <c r="E92" s="12"/>
      <c r="O92" s="4"/>
      <c r="P92" s="4"/>
      <c r="Q92" s="4"/>
      <c r="R92" s="4"/>
      <c r="X92" s="13"/>
      <c r="Y92" s="11"/>
      <c r="Z92" s="14"/>
    </row>
    <row r="93" spans="2:26" x14ac:dyDescent="0.15">
      <c r="B93" s="11"/>
      <c r="C93" s="11"/>
      <c r="E93" s="12"/>
      <c r="O93" s="4"/>
      <c r="P93" s="4"/>
      <c r="Q93" s="4"/>
      <c r="R93" s="4"/>
      <c r="X93" s="13"/>
      <c r="Y93" s="11"/>
      <c r="Z93" s="14"/>
    </row>
    <row r="94" spans="2:26" x14ac:dyDescent="0.15">
      <c r="B94" s="11"/>
      <c r="C94" s="11"/>
      <c r="E94" s="12"/>
      <c r="O94" s="4"/>
      <c r="P94" s="4"/>
      <c r="Q94" s="4"/>
      <c r="R94" s="4"/>
      <c r="X94" s="13"/>
      <c r="Y94" s="11"/>
      <c r="Z94" s="14"/>
    </row>
    <row r="95" spans="2:26" x14ac:dyDescent="0.15">
      <c r="B95" s="11"/>
      <c r="C95" s="11"/>
      <c r="E95" s="12"/>
      <c r="O95" s="4"/>
      <c r="P95" s="4"/>
      <c r="Q95" s="4"/>
      <c r="R95" s="4"/>
      <c r="X95" s="13"/>
      <c r="Y95" s="11"/>
      <c r="Z95" s="14"/>
    </row>
    <row r="96" spans="2:26" x14ac:dyDescent="0.15">
      <c r="B96" s="11"/>
      <c r="C96" s="11"/>
      <c r="E96" s="12"/>
      <c r="O96" s="4"/>
      <c r="P96" s="4"/>
      <c r="Q96" s="4"/>
      <c r="R96" s="4"/>
      <c r="X96" s="13"/>
      <c r="Y96" s="11"/>
      <c r="Z96" s="14"/>
    </row>
    <row r="97" spans="2:26" x14ac:dyDescent="0.15">
      <c r="B97" s="11"/>
      <c r="C97" s="11"/>
      <c r="E97" s="12"/>
      <c r="O97" s="4"/>
      <c r="P97" s="4"/>
      <c r="Q97" s="4"/>
      <c r="R97" s="4"/>
      <c r="X97" s="13"/>
      <c r="Y97" s="11"/>
      <c r="Z97" s="14"/>
    </row>
    <row r="98" spans="2:26" x14ac:dyDescent="0.15">
      <c r="B98" s="11"/>
      <c r="C98" s="11"/>
      <c r="E98" s="12"/>
      <c r="O98" s="4"/>
      <c r="P98" s="4"/>
      <c r="Q98" s="4"/>
      <c r="R98" s="4"/>
      <c r="X98" s="13"/>
      <c r="Y98" s="11"/>
      <c r="Z98" s="14"/>
    </row>
    <row r="99" spans="2:26" x14ac:dyDescent="0.15">
      <c r="B99" s="11"/>
      <c r="C99" s="11"/>
      <c r="E99" s="12"/>
      <c r="O99" s="4"/>
      <c r="P99" s="4"/>
      <c r="Q99" s="4"/>
      <c r="R99" s="4"/>
      <c r="X99" s="13"/>
      <c r="Y99" s="11"/>
      <c r="Z99" s="14"/>
    </row>
    <row r="100" spans="2:26" x14ac:dyDescent="0.15">
      <c r="B100" s="11"/>
      <c r="C100" s="11"/>
      <c r="E100" s="12"/>
      <c r="O100" s="4"/>
      <c r="P100" s="4"/>
      <c r="Q100" s="4"/>
      <c r="R100" s="4"/>
      <c r="X100" s="13"/>
      <c r="Y100" s="11"/>
      <c r="Z100" s="14"/>
    </row>
    <row r="101" spans="2:26" x14ac:dyDescent="0.15">
      <c r="B101" s="11"/>
      <c r="C101" s="11"/>
      <c r="E101" s="12"/>
      <c r="O101" s="4"/>
      <c r="P101" s="4"/>
      <c r="Q101" s="4"/>
      <c r="R101" s="4"/>
      <c r="X101" s="13"/>
      <c r="Y101" s="11"/>
      <c r="Z101" s="14"/>
    </row>
    <row r="102" spans="2:26" x14ac:dyDescent="0.15">
      <c r="B102" s="11"/>
      <c r="C102" s="11"/>
      <c r="E102" s="12"/>
      <c r="O102" s="4"/>
      <c r="P102" s="4"/>
      <c r="Q102" s="4"/>
      <c r="R102" s="4"/>
      <c r="X102" s="13"/>
      <c r="Y102" s="11"/>
      <c r="Z102" s="14"/>
    </row>
    <row r="103" spans="2:26" x14ac:dyDescent="0.15">
      <c r="B103" s="11"/>
      <c r="C103" s="11"/>
      <c r="E103" s="12"/>
      <c r="O103" s="4"/>
      <c r="P103" s="4"/>
      <c r="Q103" s="4"/>
      <c r="R103" s="4"/>
      <c r="X103" s="13"/>
      <c r="Y103" s="11"/>
      <c r="Z103" s="14"/>
    </row>
    <row r="104" spans="2:26" x14ac:dyDescent="0.15">
      <c r="B104" s="11"/>
      <c r="C104" s="11"/>
      <c r="E104" s="12"/>
      <c r="O104" s="4"/>
      <c r="P104" s="4"/>
      <c r="Q104" s="4"/>
      <c r="R104" s="4"/>
      <c r="X104" s="13"/>
      <c r="Y104" s="11"/>
      <c r="Z104" s="14"/>
    </row>
    <row r="105" spans="2:26" x14ac:dyDescent="0.15">
      <c r="B105" s="11"/>
      <c r="C105" s="11"/>
      <c r="E105" s="12"/>
      <c r="O105" s="4"/>
      <c r="P105" s="4"/>
      <c r="Q105" s="4"/>
      <c r="R105" s="4"/>
      <c r="X105" s="13"/>
      <c r="Y105" s="11"/>
      <c r="Z105" s="14"/>
    </row>
    <row r="106" spans="2:26" x14ac:dyDescent="0.15">
      <c r="B106" s="11"/>
      <c r="C106" s="11"/>
      <c r="E106" s="12"/>
      <c r="O106" s="4"/>
      <c r="P106" s="4"/>
      <c r="Q106" s="4"/>
      <c r="R106" s="4"/>
      <c r="X106" s="13"/>
      <c r="Y106" s="11"/>
      <c r="Z106" s="14"/>
    </row>
    <row r="107" spans="2:26" x14ac:dyDescent="0.15">
      <c r="B107" s="11"/>
      <c r="C107" s="11"/>
      <c r="E107" s="12"/>
      <c r="O107" s="4"/>
      <c r="P107" s="4"/>
      <c r="Q107" s="4"/>
      <c r="R107" s="4"/>
      <c r="X107" s="13"/>
      <c r="Y107" s="11"/>
      <c r="Z107" s="14"/>
    </row>
    <row r="108" spans="2:26" x14ac:dyDescent="0.15">
      <c r="B108" s="11"/>
      <c r="C108" s="11"/>
      <c r="E108" s="12"/>
      <c r="O108" s="4"/>
      <c r="P108" s="4"/>
      <c r="Q108" s="4"/>
      <c r="R108" s="4"/>
      <c r="X108" s="13"/>
      <c r="Y108" s="11"/>
      <c r="Z108" s="14"/>
    </row>
    <row r="109" spans="2:26" x14ac:dyDescent="0.15">
      <c r="B109" s="11"/>
      <c r="C109" s="11"/>
      <c r="E109" s="12"/>
      <c r="O109" s="4"/>
      <c r="P109" s="4"/>
      <c r="Q109" s="4"/>
      <c r="R109" s="4"/>
      <c r="X109" s="13"/>
      <c r="Y109" s="11"/>
      <c r="Z109" s="14"/>
    </row>
    <row r="110" spans="2:26" x14ac:dyDescent="0.15">
      <c r="B110" s="11"/>
      <c r="C110" s="11"/>
      <c r="E110" s="12"/>
      <c r="O110" s="4"/>
      <c r="P110" s="4"/>
      <c r="Q110" s="4"/>
      <c r="R110" s="4"/>
      <c r="X110" s="13"/>
      <c r="Y110" s="11"/>
      <c r="Z110" s="14"/>
    </row>
    <row r="111" spans="2:26" x14ac:dyDescent="0.15">
      <c r="B111" s="11"/>
      <c r="C111" s="11"/>
      <c r="E111" s="12"/>
      <c r="O111" s="4"/>
      <c r="P111" s="4"/>
      <c r="Q111" s="4"/>
      <c r="R111" s="4"/>
      <c r="X111" s="13"/>
      <c r="Y111" s="11"/>
      <c r="Z111" s="14"/>
    </row>
    <row r="112" spans="2:26" x14ac:dyDescent="0.15">
      <c r="B112" s="11"/>
      <c r="C112" s="11"/>
      <c r="E112" s="12"/>
      <c r="O112" s="4"/>
      <c r="P112" s="4"/>
      <c r="Q112" s="4"/>
      <c r="R112" s="4"/>
      <c r="X112" s="13"/>
      <c r="Y112" s="11"/>
      <c r="Z112" s="14"/>
    </row>
    <row r="113" spans="2:26" x14ac:dyDescent="0.15">
      <c r="B113" s="11"/>
      <c r="C113" s="11"/>
      <c r="E113" s="12"/>
      <c r="O113" s="4"/>
      <c r="P113" s="4"/>
      <c r="Q113" s="4"/>
      <c r="R113" s="4"/>
      <c r="X113" s="13"/>
      <c r="Y113" s="11"/>
      <c r="Z113" s="14"/>
    </row>
    <row r="114" spans="2:26" x14ac:dyDescent="0.15">
      <c r="B114" s="11"/>
      <c r="C114" s="11"/>
      <c r="E114" s="12"/>
      <c r="O114" s="4"/>
      <c r="P114" s="4"/>
      <c r="Q114" s="4"/>
      <c r="R114" s="4"/>
      <c r="X114" s="13"/>
      <c r="Y114" s="11"/>
      <c r="Z114" s="14"/>
    </row>
    <row r="115" spans="2:26" x14ac:dyDescent="0.15">
      <c r="B115" s="11"/>
      <c r="C115" s="11"/>
      <c r="E115" s="12"/>
      <c r="O115" s="4"/>
      <c r="P115" s="4"/>
      <c r="Q115" s="4"/>
      <c r="R115" s="4"/>
      <c r="X115" s="13"/>
      <c r="Y115" s="11"/>
      <c r="Z115" s="14"/>
    </row>
    <row r="116" spans="2:26" x14ac:dyDescent="0.15">
      <c r="B116" s="11"/>
      <c r="C116" s="11"/>
      <c r="E116" s="12"/>
      <c r="O116" s="4"/>
      <c r="P116" s="4"/>
      <c r="Q116" s="4"/>
      <c r="R116" s="4"/>
      <c r="X116" s="13"/>
      <c r="Y116" s="11"/>
      <c r="Z116" s="14"/>
    </row>
    <row r="117" spans="2:26" x14ac:dyDescent="0.15">
      <c r="B117" s="11"/>
      <c r="C117" s="11"/>
      <c r="E117" s="12"/>
      <c r="O117" s="4"/>
      <c r="P117" s="4"/>
      <c r="Q117" s="4"/>
      <c r="R117" s="4"/>
      <c r="X117" s="13"/>
      <c r="Y117" s="11"/>
      <c r="Z117" s="14"/>
    </row>
    <row r="118" spans="2:26" x14ac:dyDescent="0.15">
      <c r="B118" s="11"/>
      <c r="C118" s="11"/>
      <c r="E118" s="12"/>
      <c r="O118" s="4"/>
      <c r="P118" s="4"/>
      <c r="Q118" s="4"/>
      <c r="R118" s="4"/>
      <c r="X118" s="13"/>
      <c r="Y118" s="11"/>
      <c r="Z118" s="14"/>
    </row>
    <row r="119" spans="2:26" x14ac:dyDescent="0.15">
      <c r="B119" s="11"/>
      <c r="C119" s="11"/>
      <c r="E119" s="12"/>
      <c r="O119" s="4"/>
      <c r="P119" s="4"/>
      <c r="Q119" s="4"/>
      <c r="R119" s="4"/>
      <c r="X119" s="13"/>
      <c r="Y119" s="11"/>
      <c r="Z119" s="14"/>
    </row>
    <row r="120" spans="2:26" x14ac:dyDescent="0.15">
      <c r="B120" s="11"/>
      <c r="C120" s="11"/>
      <c r="E120" s="12"/>
      <c r="O120" s="4"/>
      <c r="P120" s="4"/>
      <c r="Q120" s="4"/>
      <c r="R120" s="4"/>
      <c r="X120" s="13"/>
      <c r="Y120" s="11"/>
      <c r="Z120" s="14"/>
    </row>
    <row r="121" spans="2:26" x14ac:dyDescent="0.15">
      <c r="B121" s="11"/>
      <c r="C121" s="11"/>
      <c r="E121" s="12"/>
      <c r="O121" s="4"/>
      <c r="P121" s="4"/>
      <c r="Q121" s="4"/>
      <c r="R121" s="4"/>
      <c r="X121" s="13"/>
      <c r="Y121" s="11"/>
      <c r="Z121" s="14"/>
    </row>
    <row r="122" spans="2:26" x14ac:dyDescent="0.15">
      <c r="B122" s="11"/>
      <c r="C122" s="11"/>
      <c r="E122" s="12"/>
      <c r="O122" s="4"/>
      <c r="P122" s="4"/>
      <c r="Q122" s="4"/>
      <c r="R122" s="4"/>
      <c r="X122" s="13"/>
      <c r="Y122" s="11"/>
      <c r="Z122" s="14"/>
    </row>
    <row r="123" spans="2:26" x14ac:dyDescent="0.15">
      <c r="B123" s="11"/>
      <c r="C123" s="11"/>
      <c r="E123" s="12"/>
      <c r="O123" s="4"/>
      <c r="P123" s="4"/>
      <c r="Q123" s="4"/>
      <c r="R123" s="4"/>
      <c r="X123" s="13"/>
      <c r="Y123" s="11"/>
      <c r="Z123" s="14"/>
    </row>
    <row r="124" spans="2:26" x14ac:dyDescent="0.15">
      <c r="B124" s="11"/>
      <c r="C124" s="11"/>
      <c r="E124" s="12"/>
      <c r="O124" s="4"/>
      <c r="P124" s="4"/>
      <c r="Q124" s="4"/>
      <c r="R124" s="4"/>
      <c r="X124" s="13"/>
      <c r="Y124" s="11"/>
      <c r="Z124" s="14"/>
    </row>
    <row r="125" spans="2:26" x14ac:dyDescent="0.15">
      <c r="B125" s="11"/>
      <c r="C125" s="11"/>
      <c r="E125" s="12"/>
      <c r="O125" s="4"/>
      <c r="P125" s="4"/>
      <c r="Q125" s="4"/>
      <c r="R125" s="4"/>
      <c r="X125" s="13"/>
      <c r="Y125" s="11"/>
      <c r="Z125" s="14"/>
    </row>
    <row r="126" spans="2:26" x14ac:dyDescent="0.15">
      <c r="B126" s="11"/>
      <c r="C126" s="11"/>
      <c r="E126" s="12"/>
      <c r="O126" s="4"/>
      <c r="P126" s="4"/>
      <c r="Q126" s="4"/>
      <c r="R126" s="4"/>
      <c r="X126" s="13"/>
      <c r="Y126" s="11"/>
      <c r="Z126" s="14"/>
    </row>
    <row r="127" spans="2:26" x14ac:dyDescent="0.15">
      <c r="B127" s="11"/>
      <c r="C127" s="11"/>
      <c r="E127" s="12"/>
      <c r="O127" s="4"/>
      <c r="P127" s="4"/>
      <c r="Q127" s="4"/>
      <c r="R127" s="4"/>
      <c r="X127" s="13"/>
      <c r="Y127" s="11"/>
      <c r="Z127" s="14"/>
    </row>
    <row r="128" spans="2:26" x14ac:dyDescent="0.15">
      <c r="B128" s="11"/>
      <c r="C128" s="11"/>
      <c r="E128" s="12"/>
      <c r="O128" s="4"/>
      <c r="P128" s="4"/>
      <c r="Q128" s="4"/>
      <c r="R128" s="4"/>
      <c r="X128" s="13"/>
      <c r="Y128" s="11"/>
      <c r="Z128" s="14"/>
    </row>
    <row r="129" spans="2:26" x14ac:dyDescent="0.15">
      <c r="B129" s="11"/>
      <c r="C129" s="11"/>
      <c r="E129" s="12"/>
      <c r="O129" s="4"/>
      <c r="P129" s="4"/>
      <c r="Q129" s="4"/>
      <c r="R129" s="4"/>
      <c r="X129" s="13"/>
      <c r="Y129" s="11"/>
      <c r="Z129" s="14"/>
    </row>
    <row r="130" spans="2:26" x14ac:dyDescent="0.15">
      <c r="B130" s="11"/>
      <c r="C130" s="11"/>
      <c r="E130" s="12"/>
      <c r="O130" s="4"/>
      <c r="P130" s="4"/>
      <c r="Q130" s="4"/>
      <c r="R130" s="4"/>
      <c r="X130" s="13"/>
      <c r="Y130" s="11"/>
      <c r="Z130" s="14"/>
    </row>
    <row r="131" spans="2:26" x14ac:dyDescent="0.15">
      <c r="B131" s="11"/>
      <c r="C131" s="11"/>
      <c r="E131" s="12"/>
      <c r="O131" s="4"/>
      <c r="P131" s="4"/>
      <c r="Q131" s="4"/>
      <c r="R131" s="4"/>
      <c r="X131" s="13"/>
      <c r="Y131" s="11"/>
      <c r="Z131" s="14"/>
    </row>
    <row r="132" spans="2:26" x14ac:dyDescent="0.15">
      <c r="B132" s="11"/>
      <c r="C132" s="11"/>
      <c r="E132" s="12"/>
      <c r="O132" s="4"/>
      <c r="P132" s="4"/>
      <c r="Q132" s="4"/>
      <c r="R132" s="4"/>
      <c r="X132" s="13"/>
      <c r="Y132" s="11"/>
      <c r="Z132" s="14"/>
    </row>
    <row r="133" spans="2:26" x14ac:dyDescent="0.15">
      <c r="B133" s="11"/>
      <c r="C133" s="11"/>
      <c r="E133" s="12"/>
      <c r="O133" s="4"/>
      <c r="P133" s="4"/>
      <c r="Q133" s="4"/>
      <c r="R133" s="4"/>
      <c r="X133" s="13"/>
      <c r="Y133" s="11"/>
      <c r="Z133" s="14"/>
    </row>
    <row r="134" spans="2:26" x14ac:dyDescent="0.15">
      <c r="B134" s="11"/>
      <c r="C134" s="11"/>
      <c r="E134" s="12"/>
      <c r="O134" s="4"/>
      <c r="P134" s="4"/>
      <c r="Q134" s="4"/>
      <c r="R134" s="4"/>
      <c r="X134" s="13"/>
      <c r="Y134" s="11"/>
      <c r="Z134" s="14"/>
    </row>
    <row r="135" spans="2:26" x14ac:dyDescent="0.15">
      <c r="B135" s="11"/>
      <c r="C135" s="11"/>
      <c r="E135" s="12"/>
      <c r="O135" s="4"/>
      <c r="P135" s="4"/>
      <c r="Q135" s="4"/>
      <c r="R135" s="4"/>
      <c r="X135" s="13"/>
      <c r="Y135" s="11"/>
      <c r="Z135" s="14"/>
    </row>
    <row r="136" spans="2:26" x14ac:dyDescent="0.15">
      <c r="B136" s="11"/>
      <c r="C136" s="11"/>
      <c r="E136" s="12"/>
      <c r="O136" s="4"/>
      <c r="P136" s="4"/>
      <c r="Q136" s="4"/>
      <c r="R136" s="4"/>
      <c r="X136" s="13"/>
      <c r="Y136" s="11"/>
      <c r="Z136" s="14"/>
    </row>
    <row r="137" spans="2:26" x14ac:dyDescent="0.15">
      <c r="B137" s="11"/>
      <c r="C137" s="11"/>
      <c r="E137" s="12"/>
      <c r="O137" s="4"/>
      <c r="P137" s="4"/>
      <c r="Q137" s="4"/>
      <c r="R137" s="4"/>
      <c r="X137" s="13"/>
      <c r="Y137" s="11"/>
      <c r="Z137" s="14"/>
    </row>
    <row r="138" spans="2:26" x14ac:dyDescent="0.15">
      <c r="B138" s="11"/>
      <c r="C138" s="11"/>
      <c r="E138" s="12"/>
      <c r="O138" s="4"/>
      <c r="P138" s="4"/>
      <c r="Q138" s="4"/>
      <c r="R138" s="4"/>
      <c r="X138" s="13"/>
      <c r="Y138" s="11"/>
      <c r="Z138" s="14"/>
    </row>
    <row r="139" spans="2:26" x14ac:dyDescent="0.15">
      <c r="B139" s="11"/>
      <c r="C139" s="11"/>
      <c r="E139" s="12"/>
      <c r="O139" s="4"/>
      <c r="P139" s="4"/>
      <c r="Q139" s="4"/>
      <c r="R139" s="4"/>
      <c r="X139" s="13"/>
      <c r="Y139" s="11"/>
      <c r="Z139" s="14"/>
    </row>
    <row r="140" spans="2:26" x14ac:dyDescent="0.15">
      <c r="B140" s="11"/>
      <c r="C140" s="11"/>
      <c r="E140" s="12"/>
      <c r="O140" s="4"/>
      <c r="P140" s="4"/>
      <c r="Q140" s="4"/>
      <c r="R140" s="4"/>
      <c r="X140" s="13"/>
      <c r="Y140" s="11"/>
      <c r="Z140" s="14"/>
    </row>
    <row r="141" spans="2:26" x14ac:dyDescent="0.15">
      <c r="B141" s="11"/>
      <c r="C141" s="11"/>
      <c r="E141" s="12"/>
      <c r="O141" s="4"/>
      <c r="P141" s="4"/>
      <c r="Q141" s="4"/>
      <c r="R141" s="4"/>
      <c r="X141" s="13"/>
      <c r="Y141" s="11"/>
      <c r="Z141" s="14"/>
    </row>
    <row r="142" spans="2:26" x14ac:dyDescent="0.15">
      <c r="B142" s="11"/>
      <c r="C142" s="11"/>
      <c r="E142" s="12"/>
      <c r="O142" s="4"/>
      <c r="P142" s="4"/>
      <c r="Q142" s="4"/>
      <c r="R142" s="4"/>
      <c r="X142" s="13"/>
      <c r="Y142" s="11"/>
      <c r="Z142" s="14"/>
    </row>
    <row r="143" spans="2:26" x14ac:dyDescent="0.15">
      <c r="B143" s="11"/>
      <c r="C143" s="11"/>
      <c r="E143" s="12"/>
      <c r="O143" s="4"/>
      <c r="P143" s="4"/>
      <c r="Q143" s="4"/>
      <c r="R143" s="4"/>
      <c r="X143" s="13"/>
      <c r="Y143" s="11"/>
      <c r="Z143" s="14"/>
    </row>
    <row r="144" spans="2:26" x14ac:dyDescent="0.15">
      <c r="B144" s="11"/>
      <c r="C144" s="11"/>
      <c r="E144" s="12"/>
      <c r="O144" s="4"/>
      <c r="P144" s="4"/>
      <c r="Q144" s="4"/>
      <c r="R144" s="4"/>
      <c r="X144" s="13"/>
      <c r="Y144" s="11"/>
      <c r="Z144" s="14"/>
    </row>
    <row r="145" spans="2:26" x14ac:dyDescent="0.15">
      <c r="B145" s="11"/>
      <c r="C145" s="11"/>
      <c r="E145" s="12"/>
      <c r="O145" s="4"/>
      <c r="P145" s="4"/>
      <c r="Q145" s="4"/>
      <c r="R145" s="4"/>
      <c r="X145" s="13"/>
      <c r="Y145" s="11"/>
      <c r="Z145" s="14"/>
    </row>
    <row r="146" spans="2:26" x14ac:dyDescent="0.15">
      <c r="B146" s="11"/>
      <c r="C146" s="11"/>
      <c r="E146" s="12"/>
      <c r="O146" s="4"/>
      <c r="P146" s="4"/>
      <c r="Q146" s="4"/>
      <c r="R146" s="4"/>
      <c r="X146" s="13"/>
      <c r="Y146" s="11"/>
      <c r="Z146" s="14"/>
    </row>
    <row r="147" spans="2:26" x14ac:dyDescent="0.15">
      <c r="B147" s="11"/>
      <c r="C147" s="11"/>
      <c r="E147" s="12"/>
      <c r="O147" s="4"/>
      <c r="P147" s="4"/>
      <c r="Q147" s="4"/>
      <c r="R147" s="4"/>
      <c r="X147" s="13"/>
      <c r="Y147" s="11"/>
      <c r="Z147" s="14"/>
    </row>
    <row r="148" spans="2:26" x14ac:dyDescent="0.15">
      <c r="B148" s="11"/>
      <c r="C148" s="11"/>
      <c r="E148" s="12"/>
      <c r="O148" s="4"/>
      <c r="P148" s="4"/>
      <c r="Q148" s="4"/>
      <c r="R148" s="4"/>
      <c r="X148" s="13"/>
      <c r="Y148" s="11"/>
      <c r="Z148" s="14"/>
    </row>
    <row r="149" spans="2:26" x14ac:dyDescent="0.15">
      <c r="B149" s="11"/>
      <c r="C149" s="11"/>
      <c r="E149" s="12"/>
      <c r="O149" s="4"/>
      <c r="P149" s="4"/>
      <c r="Q149" s="4"/>
      <c r="R149" s="4"/>
      <c r="X149" s="13"/>
      <c r="Y149" s="11"/>
      <c r="Z149" s="14"/>
    </row>
    <row r="150" spans="2:26" x14ac:dyDescent="0.15">
      <c r="B150" s="11"/>
      <c r="C150" s="11"/>
      <c r="E150" s="12"/>
      <c r="O150" s="4"/>
      <c r="P150" s="4"/>
      <c r="Q150" s="4"/>
      <c r="R150" s="4"/>
      <c r="X150" s="13"/>
      <c r="Y150" s="11"/>
      <c r="Z150" s="14"/>
    </row>
    <row r="151" spans="2:26" x14ac:dyDescent="0.15">
      <c r="B151" s="11"/>
      <c r="C151" s="11"/>
      <c r="E151" s="12"/>
      <c r="O151" s="4"/>
      <c r="P151" s="4"/>
      <c r="Q151" s="4"/>
      <c r="R151" s="4"/>
      <c r="X151" s="13"/>
      <c r="Y151" s="11"/>
      <c r="Z151" s="14"/>
    </row>
    <row r="152" spans="2:26" x14ac:dyDescent="0.15">
      <c r="B152" s="11"/>
      <c r="C152" s="11"/>
      <c r="E152" s="12"/>
      <c r="O152" s="4"/>
      <c r="P152" s="4"/>
      <c r="Q152" s="4"/>
      <c r="R152" s="4"/>
      <c r="X152" s="13"/>
      <c r="Y152" s="11"/>
      <c r="Z152" s="14"/>
    </row>
    <row r="153" spans="2:26" x14ac:dyDescent="0.15">
      <c r="B153" s="11"/>
      <c r="C153" s="11"/>
      <c r="E153" s="12"/>
      <c r="O153" s="4"/>
      <c r="P153" s="4"/>
      <c r="Q153" s="4"/>
      <c r="R153" s="4"/>
      <c r="X153" s="13"/>
      <c r="Y153" s="11"/>
      <c r="Z153" s="14"/>
    </row>
    <row r="154" spans="2:26" x14ac:dyDescent="0.15">
      <c r="B154" s="11"/>
      <c r="C154" s="11"/>
      <c r="E154" s="12"/>
      <c r="O154" s="4"/>
      <c r="P154" s="4"/>
      <c r="Q154" s="4"/>
      <c r="R154" s="4"/>
      <c r="X154" s="13"/>
      <c r="Y154" s="11"/>
      <c r="Z154" s="14"/>
    </row>
    <row r="155" spans="2:26" x14ac:dyDescent="0.15">
      <c r="B155" s="11"/>
      <c r="C155" s="11"/>
      <c r="E155" s="12"/>
      <c r="O155" s="4"/>
      <c r="P155" s="4"/>
      <c r="Q155" s="4"/>
      <c r="R155" s="4"/>
      <c r="X155" s="13"/>
      <c r="Y155" s="11"/>
      <c r="Z155" s="14"/>
    </row>
    <row r="156" spans="2:26" x14ac:dyDescent="0.15">
      <c r="B156" s="11"/>
      <c r="C156" s="11"/>
      <c r="E156" s="12"/>
      <c r="O156" s="4"/>
      <c r="P156" s="4"/>
      <c r="Q156" s="4"/>
      <c r="R156" s="4"/>
      <c r="X156" s="13"/>
      <c r="Y156" s="11"/>
      <c r="Z156" s="14"/>
    </row>
    <row r="157" spans="2:26" x14ac:dyDescent="0.15">
      <c r="B157" s="11"/>
      <c r="C157" s="11"/>
      <c r="E157" s="12"/>
      <c r="O157" s="4"/>
      <c r="P157" s="4"/>
      <c r="Q157" s="4"/>
      <c r="R157" s="4"/>
      <c r="X157" s="13"/>
      <c r="Y157" s="11"/>
      <c r="Z157" s="14"/>
    </row>
    <row r="158" spans="2:26" x14ac:dyDescent="0.15">
      <c r="B158" s="11"/>
      <c r="C158" s="11"/>
      <c r="E158" s="12"/>
      <c r="O158" s="4"/>
      <c r="P158" s="4"/>
      <c r="Q158" s="4"/>
      <c r="R158" s="4"/>
      <c r="X158" s="13"/>
      <c r="Y158" s="11"/>
      <c r="Z158" s="14"/>
    </row>
    <row r="159" spans="2:26" x14ac:dyDescent="0.15">
      <c r="X159" s="17"/>
    </row>
    <row r="160" spans="2:26" x14ac:dyDescent="0.15">
      <c r="X160" s="17"/>
    </row>
    <row r="161" spans="24:24" x14ac:dyDescent="0.15">
      <c r="X161" s="17"/>
    </row>
    <row r="162" spans="24:24" x14ac:dyDescent="0.15">
      <c r="X162" s="17"/>
    </row>
    <row r="163" spans="24:24" x14ac:dyDescent="0.15">
      <c r="X163" s="17"/>
    </row>
    <row r="164" spans="24:24" x14ac:dyDescent="0.15">
      <c r="X164" s="17"/>
    </row>
    <row r="165" spans="24:24" x14ac:dyDescent="0.15">
      <c r="X165" s="17"/>
    </row>
    <row r="166" spans="24:24" x14ac:dyDescent="0.15">
      <c r="X166" s="17"/>
    </row>
    <row r="167" spans="24:24" x14ac:dyDescent="0.15">
      <c r="X167" s="17"/>
    </row>
    <row r="168" spans="24:24" x14ac:dyDescent="0.15">
      <c r="X168" s="17"/>
    </row>
    <row r="169" spans="24:24" x14ac:dyDescent="0.15">
      <c r="X169" s="17"/>
    </row>
    <row r="170" spans="24:24" x14ac:dyDescent="0.15">
      <c r="X170" s="17"/>
    </row>
    <row r="171" spans="24:24" x14ac:dyDescent="0.15">
      <c r="X171" s="17"/>
    </row>
    <row r="172" spans="24:24" x14ac:dyDescent="0.15">
      <c r="X172" s="17"/>
    </row>
    <row r="173" spans="24:24" x14ac:dyDescent="0.15">
      <c r="X173" s="17"/>
    </row>
    <row r="174" spans="24:24" x14ac:dyDescent="0.15">
      <c r="X174" s="17"/>
    </row>
    <row r="175" spans="24:24" x14ac:dyDescent="0.15">
      <c r="X175" s="17"/>
    </row>
    <row r="176" spans="24:24" x14ac:dyDescent="0.15">
      <c r="X176" s="17"/>
    </row>
    <row r="177" spans="24:24" x14ac:dyDescent="0.15">
      <c r="X177" s="17"/>
    </row>
    <row r="178" spans="24:24" x14ac:dyDescent="0.15">
      <c r="X178" s="17"/>
    </row>
    <row r="179" spans="24:24" x14ac:dyDescent="0.15">
      <c r="X179" s="17"/>
    </row>
    <row r="180" spans="24:24" x14ac:dyDescent="0.15">
      <c r="X180" s="17"/>
    </row>
    <row r="181" spans="24:24" x14ac:dyDescent="0.15">
      <c r="X181" s="17"/>
    </row>
    <row r="182" spans="24:24" x14ac:dyDescent="0.15">
      <c r="X182" s="17"/>
    </row>
    <row r="183" spans="24:24" x14ac:dyDescent="0.15">
      <c r="X183" s="17"/>
    </row>
    <row r="184" spans="24:24" x14ac:dyDescent="0.15">
      <c r="X184" s="17"/>
    </row>
    <row r="185" spans="24:24" x14ac:dyDescent="0.15">
      <c r="X185" s="17"/>
    </row>
    <row r="186" spans="24:24" x14ac:dyDescent="0.15">
      <c r="X186" s="17"/>
    </row>
    <row r="187" spans="24:24" x14ac:dyDescent="0.15">
      <c r="X187" s="17"/>
    </row>
    <row r="188" spans="24:24" x14ac:dyDescent="0.15">
      <c r="X188" s="17"/>
    </row>
    <row r="189" spans="24:24" x14ac:dyDescent="0.15">
      <c r="X189" s="17"/>
    </row>
    <row r="190" spans="24:24" x14ac:dyDescent="0.15">
      <c r="X190" s="17"/>
    </row>
    <row r="191" spans="24:24" x14ac:dyDescent="0.15">
      <c r="X191" s="17"/>
    </row>
    <row r="192" spans="24:24" x14ac:dyDescent="0.15">
      <c r="X192" s="17"/>
    </row>
    <row r="193" spans="24:24" x14ac:dyDescent="0.15">
      <c r="X193" s="17"/>
    </row>
    <row r="194" spans="24:24" x14ac:dyDescent="0.15">
      <c r="X194" s="17"/>
    </row>
    <row r="195" spans="24:24" x14ac:dyDescent="0.15">
      <c r="X195" s="17"/>
    </row>
    <row r="196" spans="24:24" x14ac:dyDescent="0.15">
      <c r="X196" s="17"/>
    </row>
    <row r="197" spans="24:24" x14ac:dyDescent="0.15">
      <c r="X197" s="17"/>
    </row>
    <row r="198" spans="24:24" x14ac:dyDescent="0.15">
      <c r="X198" s="17"/>
    </row>
    <row r="199" spans="24:24" x14ac:dyDescent="0.15">
      <c r="X199" s="17"/>
    </row>
    <row r="200" spans="24:24" x14ac:dyDescent="0.15">
      <c r="X200" s="17"/>
    </row>
    <row r="201" spans="24:24" x14ac:dyDescent="0.15">
      <c r="X201" s="17"/>
    </row>
    <row r="202" spans="24:24" x14ac:dyDescent="0.15">
      <c r="X202" s="17"/>
    </row>
    <row r="203" spans="24:24" x14ac:dyDescent="0.15">
      <c r="X203" s="17"/>
    </row>
    <row r="204" spans="24:24" x14ac:dyDescent="0.15">
      <c r="X204" s="17"/>
    </row>
    <row r="205" spans="24:24" x14ac:dyDescent="0.15">
      <c r="X205" s="17"/>
    </row>
    <row r="206" spans="24:24" x14ac:dyDescent="0.15">
      <c r="X206" s="17"/>
    </row>
    <row r="207" spans="24:24" x14ac:dyDescent="0.15">
      <c r="X207" s="17"/>
    </row>
    <row r="208" spans="24:24" x14ac:dyDescent="0.15">
      <c r="X208" s="17"/>
    </row>
    <row r="209" spans="24:24" x14ac:dyDescent="0.15">
      <c r="X209" s="17"/>
    </row>
    <row r="210" spans="24:24" x14ac:dyDescent="0.15">
      <c r="X210" s="17"/>
    </row>
    <row r="211" spans="24:24" x14ac:dyDescent="0.15">
      <c r="X211" s="17"/>
    </row>
    <row r="212" spans="24:24" x14ac:dyDescent="0.15">
      <c r="X212" s="17"/>
    </row>
    <row r="213" spans="24:24" x14ac:dyDescent="0.15">
      <c r="X213" s="17"/>
    </row>
    <row r="214" spans="24:24" x14ac:dyDescent="0.15">
      <c r="X214" s="17"/>
    </row>
    <row r="215" spans="24:24" x14ac:dyDescent="0.15">
      <c r="X215" s="17"/>
    </row>
    <row r="216" spans="24:24" x14ac:dyDescent="0.15">
      <c r="X216" s="17"/>
    </row>
    <row r="217" spans="24:24" x14ac:dyDescent="0.15">
      <c r="X217" s="17"/>
    </row>
    <row r="218" spans="24:24" x14ac:dyDescent="0.15">
      <c r="X218" s="17"/>
    </row>
    <row r="219" spans="24:24" x14ac:dyDescent="0.15">
      <c r="X219" s="17"/>
    </row>
    <row r="220" spans="24:24" x14ac:dyDescent="0.15">
      <c r="X220" s="17"/>
    </row>
    <row r="221" spans="24:24" x14ac:dyDescent="0.15">
      <c r="X221" s="17"/>
    </row>
    <row r="222" spans="24:24" x14ac:dyDescent="0.15">
      <c r="X222" s="17"/>
    </row>
    <row r="223" spans="24:24" x14ac:dyDescent="0.15">
      <c r="X223" s="17"/>
    </row>
    <row r="224" spans="24:24" x14ac:dyDescent="0.15">
      <c r="X224" s="17"/>
    </row>
    <row r="225" spans="24:24" x14ac:dyDescent="0.15">
      <c r="X225" s="17"/>
    </row>
    <row r="226" spans="24:24" x14ac:dyDescent="0.15">
      <c r="X226" s="17"/>
    </row>
    <row r="227" spans="24:24" x14ac:dyDescent="0.15">
      <c r="X227" s="17"/>
    </row>
    <row r="228" spans="24:24" x14ac:dyDescent="0.15">
      <c r="X228" s="17"/>
    </row>
    <row r="229" spans="24:24" x14ac:dyDescent="0.15">
      <c r="X229" s="17"/>
    </row>
    <row r="230" spans="24:24" x14ac:dyDescent="0.15">
      <c r="X230" s="17"/>
    </row>
    <row r="231" spans="24:24" x14ac:dyDescent="0.15">
      <c r="X231" s="17"/>
    </row>
    <row r="232" spans="24:24" x14ac:dyDescent="0.15">
      <c r="X232" s="17"/>
    </row>
    <row r="233" spans="24:24" x14ac:dyDescent="0.15">
      <c r="X233" s="17"/>
    </row>
    <row r="234" spans="24:24" x14ac:dyDescent="0.15">
      <c r="X234" s="17"/>
    </row>
    <row r="235" spans="24:24" x14ac:dyDescent="0.15">
      <c r="X235" s="17"/>
    </row>
    <row r="236" spans="24:24" x14ac:dyDescent="0.15">
      <c r="X236" s="17"/>
    </row>
    <row r="237" spans="24:24" x14ac:dyDescent="0.15">
      <c r="X237" s="17"/>
    </row>
    <row r="238" spans="24:24" x14ac:dyDescent="0.15">
      <c r="X238" s="17"/>
    </row>
    <row r="239" spans="24:24" x14ac:dyDescent="0.15">
      <c r="X239" s="17"/>
    </row>
    <row r="240" spans="24:24" x14ac:dyDescent="0.15">
      <c r="X240" s="17"/>
    </row>
    <row r="241" spans="24:24" x14ac:dyDescent="0.15">
      <c r="X241" s="17"/>
    </row>
    <row r="242" spans="24:24" x14ac:dyDescent="0.15">
      <c r="X242" s="17"/>
    </row>
    <row r="243" spans="24:24" x14ac:dyDescent="0.15">
      <c r="X243" s="17"/>
    </row>
    <row r="244" spans="24:24" x14ac:dyDescent="0.15">
      <c r="X244" s="17"/>
    </row>
    <row r="245" spans="24:24" x14ac:dyDescent="0.15">
      <c r="X245" s="17"/>
    </row>
    <row r="246" spans="24:24" x14ac:dyDescent="0.15">
      <c r="X246" s="17"/>
    </row>
    <row r="247" spans="24:24" x14ac:dyDescent="0.15">
      <c r="X247" s="17"/>
    </row>
    <row r="248" spans="24:24" x14ac:dyDescent="0.15">
      <c r="X248" s="17"/>
    </row>
    <row r="249" spans="24:24" x14ac:dyDescent="0.15">
      <c r="X249" s="17"/>
    </row>
    <row r="250" spans="24:24" x14ac:dyDescent="0.15">
      <c r="X250" s="17"/>
    </row>
    <row r="251" spans="24:24" x14ac:dyDescent="0.15">
      <c r="X251" s="17"/>
    </row>
    <row r="252" spans="24:24" x14ac:dyDescent="0.15">
      <c r="X252" s="17"/>
    </row>
    <row r="253" spans="24:24" x14ac:dyDescent="0.15">
      <c r="X253" s="17"/>
    </row>
    <row r="254" spans="24:24" x14ac:dyDescent="0.15">
      <c r="X254" s="17"/>
    </row>
    <row r="255" spans="24:24" x14ac:dyDescent="0.15">
      <c r="X255" s="17"/>
    </row>
    <row r="256" spans="24:24" x14ac:dyDescent="0.15">
      <c r="X256" s="17"/>
    </row>
    <row r="257" spans="24:24" x14ac:dyDescent="0.15">
      <c r="X257" s="17"/>
    </row>
    <row r="258" spans="24:24" x14ac:dyDescent="0.15">
      <c r="X258" s="17"/>
    </row>
    <row r="259" spans="24:24" x14ac:dyDescent="0.15">
      <c r="X259" s="17"/>
    </row>
    <row r="260" spans="24:24" x14ac:dyDescent="0.15">
      <c r="X260" s="17"/>
    </row>
    <row r="261" spans="24:24" x14ac:dyDescent="0.15">
      <c r="X261" s="17"/>
    </row>
    <row r="262" spans="24:24" x14ac:dyDescent="0.15">
      <c r="X262" s="17"/>
    </row>
    <row r="263" spans="24:24" x14ac:dyDescent="0.15">
      <c r="X263" s="17"/>
    </row>
    <row r="264" spans="24:24" x14ac:dyDescent="0.15">
      <c r="X264" s="17"/>
    </row>
    <row r="265" spans="24:24" x14ac:dyDescent="0.15">
      <c r="X265" s="17"/>
    </row>
    <row r="266" spans="24:24" x14ac:dyDescent="0.15">
      <c r="X266" s="17"/>
    </row>
    <row r="267" spans="24:24" x14ac:dyDescent="0.15">
      <c r="X267" s="17"/>
    </row>
    <row r="268" spans="24:24" x14ac:dyDescent="0.15">
      <c r="X268" s="17"/>
    </row>
    <row r="269" spans="24:24" x14ac:dyDescent="0.15">
      <c r="X269" s="17"/>
    </row>
    <row r="270" spans="24:24" x14ac:dyDescent="0.15">
      <c r="X270" s="17"/>
    </row>
    <row r="271" spans="24:24" x14ac:dyDescent="0.15">
      <c r="X271" s="17"/>
    </row>
    <row r="272" spans="24:24" x14ac:dyDescent="0.15">
      <c r="X272" s="17"/>
    </row>
    <row r="273" spans="24:24" x14ac:dyDescent="0.15">
      <c r="X273" s="17"/>
    </row>
    <row r="274" spans="24:24" x14ac:dyDescent="0.15">
      <c r="X274" s="17"/>
    </row>
    <row r="275" spans="24:24" x14ac:dyDescent="0.15">
      <c r="X275" s="17"/>
    </row>
    <row r="276" spans="24:24" x14ac:dyDescent="0.15">
      <c r="X276" s="17"/>
    </row>
    <row r="277" spans="24:24" x14ac:dyDescent="0.15">
      <c r="X277" s="17"/>
    </row>
    <row r="278" spans="24:24" x14ac:dyDescent="0.15">
      <c r="X278" s="17"/>
    </row>
    <row r="279" spans="24:24" x14ac:dyDescent="0.15">
      <c r="X279" s="17"/>
    </row>
    <row r="280" spans="24:24" x14ac:dyDescent="0.15">
      <c r="X280" s="17"/>
    </row>
    <row r="281" spans="24:24" x14ac:dyDescent="0.15">
      <c r="X281" s="17"/>
    </row>
    <row r="282" spans="24:24" x14ac:dyDescent="0.15">
      <c r="X282" s="17"/>
    </row>
    <row r="283" spans="24:24" x14ac:dyDescent="0.15">
      <c r="X283" s="17"/>
    </row>
    <row r="284" spans="24:24" x14ac:dyDescent="0.15">
      <c r="X284" s="17"/>
    </row>
    <row r="285" spans="24:24" x14ac:dyDescent="0.15">
      <c r="X285" s="17"/>
    </row>
    <row r="286" spans="24:24" x14ac:dyDescent="0.15">
      <c r="X286" s="17"/>
    </row>
    <row r="287" spans="24:24" x14ac:dyDescent="0.15">
      <c r="X287" s="17"/>
    </row>
    <row r="288" spans="24:24" x14ac:dyDescent="0.15">
      <c r="X288" s="17"/>
    </row>
    <row r="289" spans="24:24" x14ac:dyDescent="0.15">
      <c r="X289" s="17"/>
    </row>
    <row r="290" spans="24:24" x14ac:dyDescent="0.15">
      <c r="X290" s="17"/>
    </row>
    <row r="291" spans="24:24" x14ac:dyDescent="0.15">
      <c r="X291" s="17"/>
    </row>
    <row r="292" spans="24:24" x14ac:dyDescent="0.15">
      <c r="X292" s="17"/>
    </row>
    <row r="293" spans="24:24" x14ac:dyDescent="0.15">
      <c r="X293" s="17"/>
    </row>
    <row r="294" spans="24:24" x14ac:dyDescent="0.15">
      <c r="X294" s="17"/>
    </row>
    <row r="295" spans="24:24" x14ac:dyDescent="0.15">
      <c r="X295" s="17"/>
    </row>
    <row r="296" spans="24:24" x14ac:dyDescent="0.15">
      <c r="X296" s="17"/>
    </row>
    <row r="297" spans="24:24" x14ac:dyDescent="0.15">
      <c r="X297" s="17"/>
    </row>
    <row r="298" spans="24:24" x14ac:dyDescent="0.15">
      <c r="X298" s="17"/>
    </row>
    <row r="299" spans="24:24" x14ac:dyDescent="0.15">
      <c r="X299" s="17"/>
    </row>
    <row r="300" spans="24:24" x14ac:dyDescent="0.15">
      <c r="X300" s="17"/>
    </row>
    <row r="301" spans="24:24" x14ac:dyDescent="0.15">
      <c r="X301" s="17"/>
    </row>
    <row r="302" spans="24:24" x14ac:dyDescent="0.15">
      <c r="X302" s="17"/>
    </row>
    <row r="303" spans="24:24" x14ac:dyDescent="0.15">
      <c r="X303" s="17"/>
    </row>
    <row r="304" spans="24:24" x14ac:dyDescent="0.15">
      <c r="X304" s="17"/>
    </row>
    <row r="305" spans="24:24" x14ac:dyDescent="0.15">
      <c r="X305" s="17"/>
    </row>
    <row r="306" spans="24:24" x14ac:dyDescent="0.15">
      <c r="X306" s="17"/>
    </row>
    <row r="307" spans="24:24" x14ac:dyDescent="0.15">
      <c r="X307" s="17"/>
    </row>
    <row r="308" spans="24:24" x14ac:dyDescent="0.15">
      <c r="X308" s="17"/>
    </row>
    <row r="309" spans="24:24" x14ac:dyDescent="0.15">
      <c r="X309" s="17"/>
    </row>
    <row r="310" spans="24:24" x14ac:dyDescent="0.15">
      <c r="X310" s="17"/>
    </row>
    <row r="311" spans="24:24" x14ac:dyDescent="0.15">
      <c r="X311" s="17"/>
    </row>
    <row r="312" spans="24:24" x14ac:dyDescent="0.15">
      <c r="X312" s="17"/>
    </row>
    <row r="313" spans="24:24" x14ac:dyDescent="0.15">
      <c r="X313" s="17"/>
    </row>
    <row r="314" spans="24:24" x14ac:dyDescent="0.15">
      <c r="X314" s="17"/>
    </row>
    <row r="315" spans="24:24" x14ac:dyDescent="0.15">
      <c r="X315" s="17"/>
    </row>
    <row r="316" spans="24:24" x14ac:dyDescent="0.15">
      <c r="X316" s="17"/>
    </row>
    <row r="317" spans="24:24" x14ac:dyDescent="0.15">
      <c r="X317" s="17"/>
    </row>
    <row r="318" spans="24:24" x14ac:dyDescent="0.15">
      <c r="X318" s="17"/>
    </row>
    <row r="319" spans="24:24" x14ac:dyDescent="0.15">
      <c r="X319" s="17"/>
    </row>
    <row r="320" spans="24:24" x14ac:dyDescent="0.15">
      <c r="X320" s="17"/>
    </row>
    <row r="321" spans="24:24" x14ac:dyDescent="0.15">
      <c r="X321" s="17"/>
    </row>
    <row r="322" spans="24:24" x14ac:dyDescent="0.15">
      <c r="X322" s="17"/>
    </row>
    <row r="323" spans="24:24" x14ac:dyDescent="0.15">
      <c r="X323" s="17"/>
    </row>
    <row r="324" spans="24:24" x14ac:dyDescent="0.15">
      <c r="X324" s="17"/>
    </row>
    <row r="325" spans="24:24" x14ac:dyDescent="0.15">
      <c r="X325" s="17"/>
    </row>
    <row r="326" spans="24:24" x14ac:dyDescent="0.15">
      <c r="X326" s="17"/>
    </row>
    <row r="327" spans="24:24" x14ac:dyDescent="0.15">
      <c r="X327" s="17"/>
    </row>
    <row r="328" spans="24:24" x14ac:dyDescent="0.15">
      <c r="X328" s="17"/>
    </row>
    <row r="329" spans="24:24" x14ac:dyDescent="0.15">
      <c r="X329" s="17"/>
    </row>
    <row r="330" spans="24:24" x14ac:dyDescent="0.15">
      <c r="X330" s="17"/>
    </row>
    <row r="331" spans="24:24" x14ac:dyDescent="0.15">
      <c r="X331" s="17"/>
    </row>
    <row r="332" spans="24:24" x14ac:dyDescent="0.15">
      <c r="X332" s="17"/>
    </row>
    <row r="333" spans="24:24" x14ac:dyDescent="0.15">
      <c r="X333" s="17"/>
    </row>
    <row r="334" spans="24:24" x14ac:dyDescent="0.15">
      <c r="X334" s="17"/>
    </row>
    <row r="335" spans="24:24" x14ac:dyDescent="0.15">
      <c r="X335" s="17"/>
    </row>
    <row r="336" spans="24:24" x14ac:dyDescent="0.15">
      <c r="X336" s="17"/>
    </row>
    <row r="337" spans="24:24" x14ac:dyDescent="0.15">
      <c r="X337" s="17"/>
    </row>
    <row r="338" spans="24:24" x14ac:dyDescent="0.15">
      <c r="X338" s="17"/>
    </row>
    <row r="339" spans="24:24" x14ac:dyDescent="0.15">
      <c r="X339" s="17"/>
    </row>
    <row r="340" spans="24:24" x14ac:dyDescent="0.15">
      <c r="X340" s="17"/>
    </row>
    <row r="341" spans="24:24" x14ac:dyDescent="0.15">
      <c r="X341" s="17"/>
    </row>
    <row r="342" spans="24:24" x14ac:dyDescent="0.15">
      <c r="X342" s="17"/>
    </row>
    <row r="343" spans="24:24" x14ac:dyDescent="0.15">
      <c r="X343" s="17"/>
    </row>
    <row r="344" spans="24:24" x14ac:dyDescent="0.15">
      <c r="X344" s="17"/>
    </row>
    <row r="345" spans="24:24" x14ac:dyDescent="0.15">
      <c r="X345" s="17"/>
    </row>
    <row r="346" spans="24:24" x14ac:dyDescent="0.15">
      <c r="X346" s="17"/>
    </row>
    <row r="347" spans="24:24" x14ac:dyDescent="0.15">
      <c r="X347" s="17"/>
    </row>
    <row r="348" spans="24:24" x14ac:dyDescent="0.15">
      <c r="X348" s="17"/>
    </row>
    <row r="349" spans="24:24" x14ac:dyDescent="0.15">
      <c r="X349" s="17"/>
    </row>
    <row r="350" spans="24:24" x14ac:dyDescent="0.15">
      <c r="X350" s="17"/>
    </row>
    <row r="351" spans="24:24" x14ac:dyDescent="0.15">
      <c r="X351" s="17"/>
    </row>
    <row r="352" spans="24:24" x14ac:dyDescent="0.15">
      <c r="X352" s="17"/>
    </row>
    <row r="353" spans="24:24" x14ac:dyDescent="0.15">
      <c r="X353" s="17"/>
    </row>
    <row r="354" spans="24:24" x14ac:dyDescent="0.15">
      <c r="X354" s="17"/>
    </row>
    <row r="355" spans="24:24" x14ac:dyDescent="0.15">
      <c r="X355" s="17"/>
    </row>
    <row r="356" spans="24:24" x14ac:dyDescent="0.15">
      <c r="X356" s="17"/>
    </row>
    <row r="357" spans="24:24" x14ac:dyDescent="0.15">
      <c r="X357" s="17"/>
    </row>
    <row r="358" spans="24:24" x14ac:dyDescent="0.15">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baseColWidth="10" defaultColWidth="9" defaultRowHeight="15.75" customHeight="1" zeroHeight="1" x14ac:dyDescent="0.2"/>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baseColWidth="10" defaultColWidth="8.83203125" defaultRowHeight="12" x14ac:dyDescent="0.15"/>
  <cols>
    <col min="1" max="1" width="2.5" style="1" customWidth="1"/>
    <col min="2" max="2" width="30.1640625" style="1" bestFit="1" customWidth="1"/>
    <col min="3" max="5" width="15.6640625" style="1" customWidth="1"/>
    <col min="6" max="16384" width="8.83203125" style="1"/>
  </cols>
  <sheetData>
    <row r="1" spans="1:5" x14ac:dyDescent="0.15">
      <c r="B1" s="20" t="s">
        <v>140</v>
      </c>
    </row>
    <row r="2" spans="1:5" x14ac:dyDescent="0.15">
      <c r="A2" s="31"/>
      <c r="B2" s="32" t="s">
        <v>15</v>
      </c>
      <c r="C2" s="18"/>
      <c r="D2" s="22"/>
      <c r="E2" s="18"/>
    </row>
    <row r="3" spans="1:5" x14ac:dyDescent="0.15">
      <c r="C3" s="28" t="s">
        <v>16</v>
      </c>
      <c r="D3" s="28" t="s">
        <v>17</v>
      </c>
      <c r="E3" s="28" t="s">
        <v>18</v>
      </c>
    </row>
    <row r="4" spans="1:5" x14ac:dyDescent="0.15">
      <c r="B4" s="33" t="s">
        <v>19</v>
      </c>
      <c r="C4" s="34">
        <v>4.5100000000000001E-2</v>
      </c>
      <c r="D4" s="34">
        <v>7.4999999999999997E-2</v>
      </c>
      <c r="E4" s="35">
        <f>D4-C4</f>
        <v>2.9899999999999996E-2</v>
      </c>
    </row>
    <row r="5" spans="1:5" x14ac:dyDescent="0.15">
      <c r="B5" s="33" t="s">
        <v>20</v>
      </c>
      <c r="C5" s="34">
        <v>1.9E-2</v>
      </c>
      <c r="D5" s="34">
        <v>3.1E-2</v>
      </c>
      <c r="E5" s="35">
        <f>D5-C5</f>
        <v>1.2E-2</v>
      </c>
    </row>
    <row r="6" spans="1:5" x14ac:dyDescent="0.15">
      <c r="B6" s="33" t="s">
        <v>21</v>
      </c>
      <c r="C6" s="34">
        <v>3.4500000000000003E-2</v>
      </c>
      <c r="D6" s="34">
        <v>5.2499999999999998E-2</v>
      </c>
      <c r="E6" s="35">
        <f>D6-C6</f>
        <v>1.7999999999999995E-2</v>
      </c>
    </row>
    <row r="8" spans="1:5" x14ac:dyDescent="0.15">
      <c r="A8" s="31"/>
      <c r="B8" s="32" t="s">
        <v>22</v>
      </c>
    </row>
    <row r="9" spans="1:5" x14ac:dyDescent="0.15">
      <c r="B9" s="1" t="s">
        <v>54</v>
      </c>
      <c r="C9" s="28" t="s">
        <v>23</v>
      </c>
      <c r="D9" s="28" t="s">
        <v>242</v>
      </c>
    </row>
    <row r="10" spans="1:5" x14ac:dyDescent="0.15">
      <c r="B10" s="26" t="s">
        <v>24</v>
      </c>
      <c r="C10" s="34">
        <v>9.9400000000000002E-2</v>
      </c>
    </row>
    <row r="11" spans="1:5" x14ac:dyDescent="0.15">
      <c r="B11" s="26" t="s">
        <v>25</v>
      </c>
      <c r="C11" s="34">
        <v>0.1174</v>
      </c>
    </row>
    <row r="12" spans="1:5" x14ac:dyDescent="0.15">
      <c r="B12" s="26" t="s">
        <v>26</v>
      </c>
      <c r="C12" s="34">
        <v>3.4500000000000003E-2</v>
      </c>
    </row>
    <row r="13" spans="1:5" x14ac:dyDescent="0.15">
      <c r="B13" s="26" t="s">
        <v>27</v>
      </c>
      <c r="C13" s="34">
        <v>3.3099999999999997E-2</v>
      </c>
    </row>
    <row r="14" spans="1:5" x14ac:dyDescent="0.15">
      <c r="B14" s="26" t="s">
        <v>28</v>
      </c>
      <c r="C14" s="34">
        <v>4.2299999999999997E-2</v>
      </c>
    </row>
    <row r="15" spans="1:5" x14ac:dyDescent="0.15">
      <c r="B15" s="26" t="s">
        <v>29</v>
      </c>
      <c r="C15" s="34">
        <v>5.1200000000000002E-2</v>
      </c>
    </row>
    <row r="16" spans="1:5" x14ac:dyDescent="0.15">
      <c r="B16" s="36" t="s">
        <v>62</v>
      </c>
      <c r="C16" s="37">
        <f>MAX(Portfolio_Mgmt!C36,C10:C15)</f>
        <v>0.1174</v>
      </c>
      <c r="D16" s="92">
        <v>8.6999999999999994E-2</v>
      </c>
    </row>
    <row r="18" spans="1:5" x14ac:dyDescent="0.15">
      <c r="A18" s="31"/>
      <c r="B18" s="32" t="s">
        <v>30</v>
      </c>
      <c r="C18" s="18"/>
      <c r="D18" s="22"/>
      <c r="E18" s="18"/>
    </row>
    <row r="19" spans="1:5" x14ac:dyDescent="0.15">
      <c r="B19" s="18" t="s">
        <v>31</v>
      </c>
      <c r="C19" s="38" t="s">
        <v>32</v>
      </c>
    </row>
    <row r="20" spans="1:5" x14ac:dyDescent="0.15">
      <c r="B20" s="1" t="s">
        <v>33</v>
      </c>
      <c r="C20" s="38" t="s">
        <v>34</v>
      </c>
    </row>
    <row r="21" spans="1:5" x14ac:dyDescent="0.15">
      <c r="B21" s="1" t="s">
        <v>35</v>
      </c>
      <c r="C21" s="38" t="s">
        <v>36</v>
      </c>
    </row>
    <row r="22" spans="1:5" x14ac:dyDescent="0.15">
      <c r="C22" s="38"/>
    </row>
    <row r="23" spans="1:5" x14ac:dyDescent="0.15">
      <c r="B23" s="1" t="s">
        <v>37</v>
      </c>
      <c r="C23" s="38" t="s">
        <v>38</v>
      </c>
    </row>
    <row r="24" spans="1:5" x14ac:dyDescent="0.15">
      <c r="B24" s="1" t="s">
        <v>39</v>
      </c>
      <c r="C24" s="38" t="s">
        <v>40</v>
      </c>
    </row>
    <row r="25" spans="1:5" x14ac:dyDescent="0.15">
      <c r="C25" s="38"/>
    </row>
    <row r="26" spans="1:5" x14ac:dyDescent="0.15">
      <c r="B26" s="1" t="s">
        <v>41</v>
      </c>
      <c r="C26" s="38" t="s">
        <v>42</v>
      </c>
    </row>
    <row r="27" spans="1:5" x14ac:dyDescent="0.15">
      <c r="B27" s="1" t="s">
        <v>43</v>
      </c>
      <c r="C27" s="38" t="s">
        <v>44</v>
      </c>
    </row>
    <row r="28" spans="1:5" x14ac:dyDescent="0.15">
      <c r="C28" s="38"/>
    </row>
    <row r="29" spans="1:5" x14ac:dyDescent="0.15">
      <c r="B29" s="1" t="s">
        <v>45</v>
      </c>
      <c r="C29" s="38" t="s">
        <v>46</v>
      </c>
    </row>
    <row r="31" spans="1:5" x14ac:dyDescent="0.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zoomScale="87" workbookViewId="0">
      <selection activeCell="I15" sqref="I15"/>
    </sheetView>
  </sheetViews>
  <sheetFormatPr baseColWidth="10" defaultColWidth="9" defaultRowHeight="13" x14ac:dyDescent="0.1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x14ac:dyDescent="0.15">
      <c r="A1" s="62"/>
      <c r="B1" s="63" t="s">
        <v>209</v>
      </c>
    </row>
    <row r="2" spans="1:8" ht="29.75" customHeight="1" x14ac:dyDescent="0.15">
      <c r="B2" s="65" t="s">
        <v>2</v>
      </c>
      <c r="C2" s="65" t="s">
        <v>212</v>
      </c>
      <c r="D2" s="65" t="s">
        <v>211</v>
      </c>
      <c r="E2" s="65" t="s">
        <v>210</v>
      </c>
      <c r="F2" s="65" t="s">
        <v>215</v>
      </c>
      <c r="G2" s="65" t="s">
        <v>220</v>
      </c>
      <c r="H2" s="65" t="s">
        <v>197</v>
      </c>
    </row>
    <row r="3" spans="1:8" x14ac:dyDescent="0.15">
      <c r="B3" s="76" t="s">
        <v>27</v>
      </c>
      <c r="C3" s="74" t="s">
        <v>214</v>
      </c>
      <c r="D3" s="73" t="s">
        <v>213</v>
      </c>
      <c r="E3" s="75" t="s">
        <v>214</v>
      </c>
      <c r="F3" s="70">
        <v>135246.84</v>
      </c>
      <c r="G3" s="72">
        <f t="shared" ref="G3:G4" si="0">F3/$F$11</f>
        <v>0.4758746833820045</v>
      </c>
      <c r="H3" s="89">
        <f>Portfolio_Mgmt!E61</f>
        <v>0.3</v>
      </c>
    </row>
    <row r="4" spans="1:8" x14ac:dyDescent="0.15">
      <c r="B4" s="77" t="s">
        <v>239</v>
      </c>
      <c r="C4" s="74">
        <f>VLOOKUP(B4,Opportunities!B$3:E$30,3,FALSE)</f>
        <v>22.62</v>
      </c>
      <c r="D4" s="73" t="str">
        <f>VLOOKUP(B4,Opportunities!B$3:E$30,4,FALSE)</f>
        <v>CNY</v>
      </c>
      <c r="E4" s="70">
        <v>3000</v>
      </c>
      <c r="F4" s="75">
        <f>C4*E4</f>
        <v>67860</v>
      </c>
      <c r="G4" s="72">
        <f t="shared" si="0"/>
        <v>0.23876976359893382</v>
      </c>
      <c r="H4" s="72">
        <f>VLOOKUP(B4,Opportunities!B$3:I$30,8,FALSE)</f>
        <v>0</v>
      </c>
    </row>
    <row r="5" spans="1:8" x14ac:dyDescent="0.15">
      <c r="B5" s="77" t="s">
        <v>252</v>
      </c>
      <c r="C5" s="74">
        <f>VLOOKUP(B5,Opportunities!B$3:E$30,3,FALSE)</f>
        <v>16.22</v>
      </c>
      <c r="D5" s="73" t="str">
        <f>VLOOKUP(B5,Opportunities!B$3:E$30,4,FALSE)</f>
        <v>CNY</v>
      </c>
      <c r="E5" s="70">
        <v>5000</v>
      </c>
      <c r="F5" s="75">
        <f>C5*E5</f>
        <v>81100</v>
      </c>
      <c r="G5" s="72">
        <f t="shared" ref="G5" si="1">F5/$F$11</f>
        <v>0.28535555301906179</v>
      </c>
      <c r="H5" s="72">
        <f>VLOOKUP(B5,Opportunities!B$3:I$30,8,FALSE)</f>
        <v>0.32776289237314093</v>
      </c>
    </row>
    <row r="6" spans="1:8" x14ac:dyDescent="0.15">
      <c r="B6" s="77"/>
      <c r="C6" s="74"/>
      <c r="D6" s="73"/>
      <c r="E6" s="70"/>
      <c r="F6" s="75"/>
      <c r="G6" s="72"/>
      <c r="H6" s="72"/>
    </row>
    <row r="7" spans="1:8" x14ac:dyDescent="0.15">
      <c r="B7" s="77"/>
      <c r="C7" s="74"/>
      <c r="D7" s="73"/>
      <c r="E7" s="70"/>
      <c r="F7" s="75"/>
      <c r="G7" s="72"/>
      <c r="H7" s="72"/>
    </row>
    <row r="8" spans="1:8" x14ac:dyDescent="0.15">
      <c r="B8" s="77"/>
      <c r="C8" s="74"/>
      <c r="D8" s="73"/>
      <c r="E8" s="70"/>
      <c r="F8" s="75"/>
      <c r="G8" s="72"/>
      <c r="H8" s="72"/>
    </row>
    <row r="9" spans="1:8" x14ac:dyDescent="0.15">
      <c r="B9" s="77"/>
      <c r="C9" s="74"/>
      <c r="D9" s="73"/>
      <c r="E9" s="70"/>
      <c r="F9" s="75"/>
      <c r="G9" s="72"/>
      <c r="H9" s="72"/>
    </row>
    <row r="10" spans="1:8" x14ac:dyDescent="0.15">
      <c r="B10" s="66"/>
      <c r="C10" s="69"/>
      <c r="D10" s="66"/>
      <c r="H10" s="88"/>
    </row>
    <row r="11" spans="1:8" x14ac:dyDescent="0.15">
      <c r="B11" s="78"/>
      <c r="C11" s="79"/>
      <c r="D11" s="78"/>
      <c r="E11" s="80" t="s">
        <v>219</v>
      </c>
      <c r="F11" s="80">
        <f>SUM(F3:F9)</f>
        <v>284206.83999999997</v>
      </c>
      <c r="G11" s="81">
        <f>SUM(G3:G9)</f>
        <v>1</v>
      </c>
      <c r="H11" s="87">
        <f>SUM(H3:H9)</f>
        <v>0.62776289237314087</v>
      </c>
    </row>
    <row r="12" spans="1:8" x14ac:dyDescent="0.15">
      <c r="B12" s="66"/>
      <c r="C12" s="69"/>
      <c r="D12" s="66"/>
      <c r="E12" s="70"/>
      <c r="F12" s="70"/>
    </row>
    <row r="13" spans="1:8" x14ac:dyDescent="0.15">
      <c r="A13" s="62"/>
      <c r="B13" s="63" t="s">
        <v>217</v>
      </c>
    </row>
    <row r="14" spans="1:8" x14ac:dyDescent="0.15">
      <c r="B14" s="77" t="s">
        <v>239</v>
      </c>
      <c r="C14" s="74">
        <f>VLOOKUP(B14,Opportunities!B$3:E$30,3,FALSE)</f>
        <v>22.62</v>
      </c>
      <c r="D14" s="73" t="str">
        <f>VLOOKUP(B14,Opportunities!B$3:E$30,4,FALSE)</f>
        <v>CNY</v>
      </c>
      <c r="E14" s="70">
        <v>-3000</v>
      </c>
      <c r="F14" s="75">
        <f>-C14*E14</f>
        <v>67860</v>
      </c>
      <c r="G14" s="72">
        <f>-F14/$F$11</f>
        <v>-0.23876976359893382</v>
      </c>
      <c r="H14" s="72">
        <f>VLOOKUP(B14,Opportunities!B$3:I$30,8,FALSE)</f>
        <v>0</v>
      </c>
    </row>
    <row r="15" spans="1:8" x14ac:dyDescent="0.15">
      <c r="B15" s="77" t="s">
        <v>252</v>
      </c>
      <c r="C15" s="74">
        <f>VLOOKUP(B15,Opportunities!B$3:E$30,3,FALSE)</f>
        <v>16.22</v>
      </c>
      <c r="D15" s="73" t="str">
        <f>VLOOKUP(B15,Opportunities!B$3:E$30,4,FALSE)</f>
        <v>CNY</v>
      </c>
      <c r="E15" s="70">
        <v>2500</v>
      </c>
      <c r="F15" s="75">
        <f>-C15*E15</f>
        <v>-40550</v>
      </c>
      <c r="G15" s="72">
        <f>-F15/$F$11</f>
        <v>0.1426777765095309</v>
      </c>
      <c r="H15" s="72">
        <f>VLOOKUP(B15,Opportunities!B$3:I$30,8,FALSE)</f>
        <v>0.32776289237314093</v>
      </c>
    </row>
    <row r="16" spans="1:8" x14ac:dyDescent="0.15">
      <c r="G16" s="86"/>
      <c r="H16" s="86"/>
    </row>
    <row r="17" spans="2:8" x14ac:dyDescent="0.15">
      <c r="B17" s="82" t="s">
        <v>218</v>
      </c>
      <c r="C17" s="83" t="s">
        <v>214</v>
      </c>
      <c r="D17" s="84" t="s">
        <v>153</v>
      </c>
      <c r="E17" s="83" t="s">
        <v>214</v>
      </c>
      <c r="F17" s="80">
        <f>F3+SUM(F14:F14)</f>
        <v>203106.84</v>
      </c>
      <c r="G17" s="87">
        <f t="shared" ref="G17" si="2">F17/$F$11</f>
        <v>0.71464444698093832</v>
      </c>
      <c r="H17" s="87">
        <f>Portfolio_Mgmt!E61</f>
        <v>0.3</v>
      </c>
    </row>
    <row r="19" spans="2:8" x14ac:dyDescent="0.15">
      <c r="B19" s="66"/>
      <c r="C19" s="69"/>
      <c r="D19" s="66"/>
      <c r="E19" s="70"/>
      <c r="F19" s="70"/>
    </row>
    <row r="29" spans="2:8" x14ac:dyDescent="0.15">
      <c r="B29" s="66"/>
      <c r="C29" s="69"/>
      <c r="D29" s="66"/>
      <c r="E29" s="70"/>
      <c r="F29" s="70"/>
    </row>
    <row r="30" spans="2:8" x14ac:dyDescent="0.15">
      <c r="B30" s="66"/>
      <c r="C30" s="69"/>
      <c r="D30" s="66"/>
      <c r="E30" s="70"/>
      <c r="F30" s="70"/>
    </row>
    <row r="31" spans="2:8" x14ac:dyDescent="0.15">
      <c r="B31" s="66"/>
      <c r="C31" s="69"/>
      <c r="D31" s="66"/>
      <c r="E31" s="70"/>
      <c r="F31" s="70"/>
    </row>
    <row r="32" spans="2:8" x14ac:dyDescent="0.15">
      <c r="B32" s="66"/>
      <c r="C32" s="69"/>
      <c r="D32" s="66"/>
      <c r="E32" s="70"/>
      <c r="F32" s="70"/>
    </row>
    <row r="33" spans="2:6" x14ac:dyDescent="0.15">
      <c r="B33" s="66"/>
      <c r="C33" s="69"/>
      <c r="D33" s="66"/>
      <c r="E33" s="70"/>
      <c r="F33" s="70"/>
    </row>
    <row r="34" spans="2:6" x14ac:dyDescent="0.15">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baseColWidth="10" defaultColWidth="9" defaultRowHeight="12" x14ac:dyDescent="0.15"/>
  <cols>
    <col min="1" max="1" width="2.6640625" style="1" customWidth="1"/>
    <col min="2" max="2" width="27.1640625" style="1" customWidth="1"/>
    <col min="3" max="3" width="34.33203125" style="1" customWidth="1"/>
    <col min="4" max="4" width="28.83203125" style="1" customWidth="1"/>
    <col min="5" max="16384" width="9" style="1"/>
  </cols>
  <sheetData>
    <row r="1" spans="1:4" x14ac:dyDescent="0.15">
      <c r="B1" s="20" t="s">
        <v>97</v>
      </c>
    </row>
    <row r="2" spans="1:4" x14ac:dyDescent="0.15">
      <c r="A2" s="5"/>
      <c r="B2" s="6" t="s">
        <v>98</v>
      </c>
    </row>
    <row r="3" spans="1:4" x14ac:dyDescent="0.15">
      <c r="B3" s="108" t="s">
        <v>99</v>
      </c>
      <c r="C3" s="108"/>
      <c r="D3" s="108"/>
    </row>
    <row r="5" spans="1:4" x14ac:dyDescent="0.15">
      <c r="B5" s="109" t="s">
        <v>101</v>
      </c>
      <c r="C5" s="97"/>
      <c r="D5" s="97"/>
    </row>
    <row r="6" spans="1:4" x14ac:dyDescent="0.15">
      <c r="B6" s="109" t="s">
        <v>102</v>
      </c>
      <c r="C6" s="97"/>
      <c r="D6" s="97"/>
    </row>
    <row r="8" spans="1:4" x14ac:dyDescent="0.15">
      <c r="B8" s="1" t="s">
        <v>100</v>
      </c>
    </row>
    <row r="10" spans="1:4" x14ac:dyDescent="0.15">
      <c r="A10" s="5"/>
      <c r="B10" s="6" t="s">
        <v>103</v>
      </c>
    </row>
    <row r="11" spans="1:4" x14ac:dyDescent="0.15">
      <c r="B11" s="108" t="s">
        <v>104</v>
      </c>
      <c r="C11" s="108"/>
      <c r="D11" s="108"/>
    </row>
    <row r="12" spans="1:4" x14ac:dyDescent="0.15">
      <c r="B12" s="108" t="s">
        <v>105</v>
      </c>
      <c r="C12" s="108"/>
      <c r="D12" s="108"/>
    </row>
    <row r="14" spans="1:4" x14ac:dyDescent="0.15">
      <c r="B14" s="23" t="s">
        <v>137</v>
      </c>
    </row>
    <row r="16" spans="1:4" ht="14" x14ac:dyDescent="0.2">
      <c r="B16" s="30" t="s">
        <v>114</v>
      </c>
      <c r="C16" s="30" t="s">
        <v>115</v>
      </c>
    </row>
    <row r="17" spans="1:4" x14ac:dyDescent="0.15">
      <c r="B17" s="26" t="s">
        <v>106</v>
      </c>
      <c r="C17" s="26" t="s">
        <v>110</v>
      </c>
    </row>
    <row r="18" spans="1:4" x14ac:dyDescent="0.15">
      <c r="B18" s="26" t="s">
        <v>107</v>
      </c>
      <c r="C18" s="26" t="s">
        <v>111</v>
      </c>
    </row>
    <row r="19" spans="1:4" x14ac:dyDescent="0.15">
      <c r="B19" s="26" t="s">
        <v>108</v>
      </c>
      <c r="C19" s="26" t="s">
        <v>112</v>
      </c>
    </row>
    <row r="20" spans="1:4" x14ac:dyDescent="0.15">
      <c r="B20" s="26" t="s">
        <v>109</v>
      </c>
      <c r="C20" s="26" t="s">
        <v>113</v>
      </c>
    </row>
    <row r="21" spans="1:4" x14ac:dyDescent="0.15">
      <c r="B21" s="26" t="s">
        <v>129</v>
      </c>
      <c r="C21" s="26" t="s">
        <v>130</v>
      </c>
    </row>
    <row r="22" spans="1:4" x14ac:dyDescent="0.15">
      <c r="B22" s="26" t="s">
        <v>131</v>
      </c>
      <c r="C22" s="26" t="s">
        <v>132</v>
      </c>
    </row>
    <row r="23" spans="1:4" x14ac:dyDescent="0.15">
      <c r="B23" s="26" t="s">
        <v>133</v>
      </c>
      <c r="C23" s="26" t="s">
        <v>134</v>
      </c>
    </row>
    <row r="24" spans="1:4" x14ac:dyDescent="0.15">
      <c r="B24" s="26" t="s">
        <v>138</v>
      </c>
      <c r="C24" s="26" t="s">
        <v>139</v>
      </c>
    </row>
    <row r="25" spans="1:4" x14ac:dyDescent="0.15">
      <c r="B25" s="26" t="s">
        <v>135</v>
      </c>
      <c r="C25" s="26" t="s">
        <v>136</v>
      </c>
    </row>
    <row r="27" spans="1:4" x14ac:dyDescent="0.15">
      <c r="A27" s="5"/>
      <c r="B27" s="6" t="s">
        <v>116</v>
      </c>
    </row>
    <row r="28" spans="1:4" x14ac:dyDescent="0.15">
      <c r="B28" s="108" t="s">
        <v>117</v>
      </c>
      <c r="C28" s="108"/>
      <c r="D28" s="108"/>
    </row>
    <row r="29" spans="1:4" x14ac:dyDescent="0.15">
      <c r="B29" s="108" t="s">
        <v>118</v>
      </c>
      <c r="C29" s="108"/>
      <c r="D29" s="108"/>
    </row>
    <row r="31" spans="1:4" x14ac:dyDescent="0.15">
      <c r="A31" s="5"/>
      <c r="B31" s="6" t="s">
        <v>119</v>
      </c>
    </row>
    <row r="32" spans="1:4" x14ac:dyDescent="0.15">
      <c r="A32" s="28" t="s">
        <v>63</v>
      </c>
      <c r="B32" s="23" t="s">
        <v>120</v>
      </c>
    </row>
    <row r="33" spans="1:2" x14ac:dyDescent="0.15">
      <c r="B33" s="1" t="s">
        <v>121</v>
      </c>
    </row>
    <row r="35" spans="1:2" x14ac:dyDescent="0.15">
      <c r="A35" s="28" t="s">
        <v>123</v>
      </c>
      <c r="B35" s="23" t="s">
        <v>122</v>
      </c>
    </row>
    <row r="36" spans="1:2" x14ac:dyDescent="0.15">
      <c r="B36" s="1" t="s">
        <v>124</v>
      </c>
    </row>
    <row r="38" spans="1:2" x14ac:dyDescent="0.15">
      <c r="A38" s="5"/>
      <c r="B38" s="6" t="s">
        <v>125</v>
      </c>
    </row>
    <row r="39" spans="1:2" x14ac:dyDescent="0.15">
      <c r="B39" s="24" t="s">
        <v>126</v>
      </c>
    </row>
    <row r="40" spans="1:2" x14ac:dyDescent="0.15">
      <c r="B40" s="1" t="s">
        <v>127</v>
      </c>
    </row>
    <row r="41" spans="1:2" x14ac:dyDescent="0.15">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2025-05-09T08:26:46Z</cp:lastPrinted>
  <dcterms:created xsi:type="dcterms:W3CDTF">2022-12-06T06:37:33Z</dcterms:created>
  <dcterms:modified xsi:type="dcterms:W3CDTF">2025-05-28T02:13:53Z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