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5181D3C-C52E-4D79-8A52-9AD600C1A4FA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7" i="5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<sst xmlns="http://schemas.openxmlformats.org/spreadsheetml/2006/main" count="319" uniqueCount="261">
  <si>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</si>
  <si>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</si>
  <si>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</si>
  <si>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</si>
  <si>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</si>
  <si>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</si>
  <si>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</si>
  <si>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</si>
  <si>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</si>
  <si>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</si>
  <si>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</si>
  <si>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</si>
  <si>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</si>
  <si>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</si>
  <si>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</si>
  <si>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</si>
  <si>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</si>
  <si>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</si>
  <si>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</si>
  <si>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</si>
  <si>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</si>
  <si>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</si>
  <si>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</si>
  <si>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</si>
  <si>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</si>
  <si>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</si>
  <si>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</si>
  <si>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</si>
  <si>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</si>
  <si>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</si>
  <si>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</si>
  <si>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</si>
  <si>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</si>
  <si>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</si>
  <si>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</si>
  <si>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</si>
  <si>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</si>
  <si>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</si>
  <si>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</si>
  <si>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</si>
  <si>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</si>
  <si>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</si>
  <si>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</si>
  <si>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</si>
  <si>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</si>
  <si>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</si>
  <si>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</si>
  <si>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</si>
  <si>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</si>
  <si>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</si>
  <si>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</si>
  <si>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</si>
  <si>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</si>
  <si>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</si>
  <si>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</si>
  <si>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</si>
  <si>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</si>
  <si>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</si>
  <si>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</si>
  <si>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</si>
  <si>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</si>
  <si>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</si>
  <si>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</si>
  <si>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</si>
  <si>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</si>
  <si>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</si>
  <si>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</si>
  <si>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</si>
  <si>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</si>
  <si>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</si>
  <si>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</si>
  <si>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</si>
  <si>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</si>
  <si>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</si>
  <si>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</si>
  <si>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</si>
  <si>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</si>
  <si>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</si>
  <si>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</si>
  <si>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</si>
  <si>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</si>
  <si>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</si>
  <si>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</si>
  <si>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</si>
  <si>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</si>
  <si>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</si>
  <si>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</si>
  <si>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</si>
  <si>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</si>
  <si>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</si>
  <si>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</si>
  <si>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</si>
  <si>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</si>
  <si>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</si>
  <si>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</si>
  <si>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</si>
  <si>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</si>
  <si>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</si>
  <si>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</si>
  <si>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</si>
  <si>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</si>
  <si>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</si>
  <si>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</si>
  <si>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</si>
  <si>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</si>
  <si>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</si>
  <si>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</si>
  <si>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</si>
  <si>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</si>
  <si>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</si>
  <si>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</si>
  <si>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</si>
  <si>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</si>
  <si>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</si>
  <si>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</si>
  <si>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</si>
  <si>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</si>
  <si>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</si>
  <si>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</si>
  <si>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</si>
  <si>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</si>
  <si>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</si>
  <si>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</si>
  <si>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</si>
  <si>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</si>
  <si>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</si>
  <si>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</si>
  <si>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</si>
  <si>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</si>
  <si>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</si>
  <si>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</si>
  <si>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</si>
  <si>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</si>
  <si>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</si>
  <si>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</si>
  <si>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</si>
  <si>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</si>
  <si>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</si>
  <si>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</si>
  <si>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</si>
  <si>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</si>
  <si>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</si>
  <si>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</si>
  <si>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</si>
  <si>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</si>
  <si>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</si>
  <si>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</si>
  <si>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</si>
  <si>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</si>
  <si>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</si>
  <si>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</si>
  <si>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</si>
  <si>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</si>
  <si>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</si>
  <si>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</si>
  <si>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</si>
  <si>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</si>
  <si>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</si>
  <si>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</si>
  <si>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</si>
  <si>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</si>
  <si>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</si>
  <si>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</si>
  <si>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</si>
  <si>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</si>
  <si>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</si>
  <si>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</si>
  <si>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</si>
  <si>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</si>
  <si>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</si>
  <si>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</si>
  <si>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</si>
  <si>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</si>
  <si>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</si>
  <si>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</si>
  <si>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</si>
  <si>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</si>
  <si>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</si>
  <si>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</si>
  <si>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</si>
  <si>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</si>
  <si>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</si>
  <si>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</si>
  <si>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</si>
  <si>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</si>
  <si>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</si>
  <si>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</si>
  <si>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</si>
  <si>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</si>
  <si>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</si>
  <si>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</si>
  <si>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</si>
  <si>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</si>
  <si>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</si>
  <si>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</si>
  <si>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</si>
  <si>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</si>
  <si>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</si>
  <si>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</si>
  <si>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</si>
  <si>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</si>
  <si>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</si>
  <si>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</si>
  <si>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</si>
  <si>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</si>
  <si>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</si>
  <si>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</si>
  <si>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</si>
  <si>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</si>
  <si>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</si>
  <si>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</si>
  <si>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</si>
  <si>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</si>
  <si>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</si>
  <si>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</si>
  <si>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</si>
  <si>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</si>
  <si>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</si>
  <si>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</si>
  <si>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</si>
  <si>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</si>
  <si>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</si>
  <si>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</si>
  <si>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</si>
  <si>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</si>
  <si>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</si>
  <si>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</si>
  <si>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</si>
  <si>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</si>
  <si>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</si>
  <si>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</si>
  <si>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</si>
  <si>
    <t>景津装备</t>
  </si>
  <si>
    <t>IND_01</t>
  </si>
  <si>
    <t xml:space="preserve">Low Growth </t>
  </si>
  <si>
    <t>Y</t>
  </si>
  <si>
    <t>600132.SS</t>
  </si>
  <si>
    <t>重庆啤酒</t>
  </si>
  <si>
    <t>CNS_03</t>
  </si>
  <si>
    <t>603338.SS</t>
  </si>
  <si>
    <t>浙江鼎力</t>
  </si>
  <si>
    <t>002557.SZ</t>
  </si>
  <si>
    <t>洽洽食品</t>
  </si>
  <si>
    <t>CNS_01</t>
  </si>
  <si>
    <t>002304.SZ</t>
  </si>
  <si>
    <t>洋河股份</t>
  </si>
  <si>
    <t>N</t>
  </si>
  <si>
    <t>600373.SS</t>
  </si>
  <si>
    <t>中文传媒</t>
  </si>
  <si>
    <t>TMT_02</t>
  </si>
  <si>
    <t>Low Growth Asset Play</t>
  </si>
  <si>
    <t>600583.SS</t>
  </si>
  <si>
    <t>海油工程</t>
  </si>
  <si>
    <t>ENG_03</t>
  </si>
  <si>
    <t>兴业银行</t>
  </si>
  <si>
    <t>FIN_01</t>
  </si>
  <si>
    <t>600007.SS</t>
  </si>
  <si>
    <t>中国国贸</t>
  </si>
  <si>
    <t>RES_01</t>
  </si>
  <si>
    <t>300481.SZ</t>
  </si>
  <si>
    <t>濮阳惠成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</si>
</sst>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5" zoomScale="105" workbookViewId="0">
      <selection activeCell="D36" sqref="D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3" sqref="A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 t="s">
        <v>229</v>
      </c>
      <c r="C3" s="11" t="s">
        <v>232</v>
      </c>
      <c r="D3" s="2">
        <v>14.86</v>
      </c>
      <c r="E3" s="12" t="s">
        <v>231</v>
      </c>
      <c r="F3" s="15">
        <v>0.19280525351101208</v>
      </c>
      <c r="G3" s="15">
        <f>F3 - Portfolio_Mgmt!$C$10</f>
        <v>0.10580525351101208</v>
      </c>
      <c r="H3" s="15">
        <f>F3 - Portfolio_Mgmt!$C$11</f>
        <v>0.17380525351101209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7.9207487567921842E-2</v>
      </c>
      <c r="P3" s="4">
        <v>6.41991924629879E-2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233</v>
      </c>
      <c r="Y3" s="11" t="s">
        <v>234</v>
      </c>
      <c r="Z3" s="14">
        <v>45900</v>
      </c>
      <c r="AA3" s="16" t="s">
        <v>235</v>
      </c>
    </row>
    <row r="4" spans="1:27">
      <c r="B4" s="11" t="s">
        <v>236</v>
      </c>
      <c r="C4" s="11" t="s">
        <v>237</v>
      </c>
      <c r="D4" s="2">
        <v>55.32</v>
      </c>
      <c r="E4" s="12" t="s">
        <v>231</v>
      </c>
      <c r="F4" s="15">
        <v>0.1779585752055195</v>
      </c>
      <c r="G4" s="15">
        <f>F4 - Portfolio_Mgmt!$C$10</f>
        <v>9.0958575205519504E-2</v>
      </c>
      <c r="H4" s="15">
        <f>F4 - Portfolio_Mgmt!$C$11</f>
        <v>0.15895857520551951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7.8434944006235907E-2</v>
      </c>
      <c r="P4" s="4">
        <v>3.9045553145336226E-2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238</v>
      </c>
      <c r="Y4" s="11" t="s">
        <v>234</v>
      </c>
      <c r="Z4" s="14">
        <v>45900</v>
      </c>
      <c r="AA4" s="16" t="s">
        <v>235</v>
      </c>
    </row>
    <row r="5" spans="1:27">
      <c r="B5" s="11" t="s">
        <v>241</v>
      </c>
      <c r="C5" s="11" t="s">
        <v>242</v>
      </c>
      <c r="D5" s="2">
        <v>21.46</v>
      </c>
      <c r="E5" s="12" t="s">
        <v>231</v>
      </c>
      <c r="F5" s="15">
        <v>0.13040905320925367</v>
      </c>
      <c r="G5" s="15">
        <f>F5 - Portfolio_Mgmt!$C$10</f>
        <v>4.3409053209253673E-2</v>
      </c>
      <c r="H5" s="15">
        <f>F5 - Portfolio_Mgmt!$C$11</f>
        <v>0.11140905320925366</v>
      </c>
      <c r="I5" s="15">
        <v>0</v>
      </c>
      <c r="J5" s="2">
        <v>12.895318326330678</v>
      </c>
      <c r="K5" s="2">
        <v>27.746753827145845</v>
      </c>
      <c r="L5" s="74">
        <v>25.846762954608369</v>
      </c>
      <c r="M5" s="2">
        <v>16.068545959498671</v>
      </c>
      <c r="N5" s="2">
        <v>24.031296839608316</v>
      </c>
      <c r="O5" s="4">
        <v>6.1708337454529347E-2</v>
      </c>
      <c r="P5" s="4">
        <v>4.4454799627213423E-2</v>
      </c>
      <c r="Q5" s="4">
        <v>0.15648173464349882</v>
      </c>
      <c r="R5" s="4">
        <v>0.13375671427886937</v>
      </c>
      <c r="S5" s="82">
        <v>0.66633267926556194</v>
      </c>
      <c r="T5" s="81">
        <v>1.7557268340491488</v>
      </c>
      <c r="U5" s="15">
        <v>0.3857437197038544</v>
      </c>
      <c r="V5" s="79">
        <v>2.3913910654887354</v>
      </c>
      <c r="W5" s="74">
        <v>3.5427832354191278</v>
      </c>
      <c r="X5" s="13" t="s">
        <v>243</v>
      </c>
      <c r="Y5" s="11" t="s">
        <v>234</v>
      </c>
      <c r="Z5" s="14">
        <v>45900</v>
      </c>
      <c r="AA5" s="16" t="s">
        <v>235</v>
      </c>
    </row>
    <row r="6" spans="1:27">
      <c r="B6" s="11" t="s">
        <v>239</v>
      </c>
      <c r="C6" s="11" t="s">
        <v>240</v>
      </c>
      <c r="D6" s="2">
        <v>47.09</v>
      </c>
      <c r="E6" s="12" t="s">
        <v>231</v>
      </c>
      <c r="F6" s="15">
        <v>0.12906849322302461</v>
      </c>
      <c r="G6" s="15">
        <f>F6 - Portfolio_Mgmt!$C$10</f>
        <v>4.2068493223024611E-2</v>
      </c>
      <c r="H6" s="15">
        <f>F6 - Portfolio_Mgmt!$C$11</f>
        <v>0.1100684932230246</v>
      </c>
      <c r="I6" s="15">
        <v>0</v>
      </c>
      <c r="J6" s="2">
        <v>27.829049692637142</v>
      </c>
      <c r="K6" s="2">
        <v>64.714648137522119</v>
      </c>
      <c r="L6" s="74">
        <v>56.741377225429467</v>
      </c>
      <c r="M6" s="2">
        <v>34.890699846411323</v>
      </c>
      <c r="N6" s="2">
        <v>52.676874362859721</v>
      </c>
      <c r="O6" s="4">
        <v>4.593287981617665E-2</v>
      </c>
      <c r="P6" s="4">
        <v>1.9112338076024634E-2</v>
      </c>
      <c r="Q6" s="4">
        <v>0.14549955248916155</v>
      </c>
      <c r="R6" s="4">
        <v>0.22405670341828193</v>
      </c>
      <c r="S6" s="82">
        <v>0.42456310191863128</v>
      </c>
      <c r="T6" s="81">
        <v>1.5295422156001708</v>
      </c>
      <c r="U6" s="15">
        <v>5.3145118525683231E-2</v>
      </c>
      <c r="V6" s="79">
        <v>0.36488435676778314</v>
      </c>
      <c r="W6" s="74">
        <v>5.6082458208015922</v>
      </c>
      <c r="X6" s="13" t="s">
        <v>233</v>
      </c>
      <c r="Y6" s="11" t="s">
        <v>234</v>
      </c>
      <c r="Z6" s="14">
        <v>45900</v>
      </c>
      <c r="AA6" s="16" t="s">
        <v>235</v>
      </c>
    </row>
    <row r="7" spans="1:27">
      <c r="B7" s="11" t="s">
        <v>244</v>
      </c>
      <c r="C7" s="11" t="s">
        <v>245</v>
      </c>
      <c r="D7" s="2">
        <v>65.2</v>
      </c>
      <c r="E7" s="12" t="s">
        <v>231</v>
      </c>
      <c r="F7" s="15">
        <v>0.12127992738044946</v>
      </c>
      <c r="G7" s="15">
        <f>F7 - Portfolio_Mgmt!$C$10</f>
        <v>3.4279927380449465E-2</v>
      </c>
      <c r="H7" s="15">
        <f>F7 - Portfolio_Mgmt!$C$11</f>
        <v>0.10227992738044946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5.5511884589727813E-2</v>
      </c>
      <c r="P7" s="4">
        <v>6.4145705521472404E-2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238</v>
      </c>
      <c r="Y7" s="11" t="s">
        <v>234</v>
      </c>
      <c r="Z7" s="14">
        <v>45900</v>
      </c>
      <c r="AA7" s="16" t="s">
        <v>246</v>
      </c>
    </row>
    <row r="8" spans="1:27">
      <c r="B8" s="11" t="s">
        <v>247</v>
      </c>
      <c r="C8" s="11" t="s">
        <v>248</v>
      </c>
      <c r="D8" s="2">
        <v>10.1</v>
      </c>
      <c r="E8" s="12" t="s">
        <v>231</v>
      </c>
      <c r="F8" s="15">
        <v>0.11837710727015116</v>
      </c>
      <c r="G8" s="15">
        <f>F8 - Portfolio_Mgmt!$C$10</f>
        <v>3.1377107270151167E-2</v>
      </c>
      <c r="H8" s="15">
        <f>F8 - Portfolio_Mgmt!$C$11</f>
        <v>9.9377107270151158E-2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3.4932118652185332E-2</v>
      </c>
      <c r="P8" s="4">
        <v>3.5643564356435647E-2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249</v>
      </c>
      <c r="Y8" s="11" t="s">
        <v>250</v>
      </c>
      <c r="Z8" s="14">
        <v>45900</v>
      </c>
      <c r="AA8" s="16" t="s">
        <v>235</v>
      </c>
    </row>
    <row r="9" spans="1:27">
      <c r="B9" s="11" t="s">
        <v>251</v>
      </c>
      <c r="C9" s="11" t="s">
        <v>252</v>
      </c>
      <c r="D9" s="2">
        <v>5.55</v>
      </c>
      <c r="E9" s="12" t="s">
        <v>231</v>
      </c>
      <c r="F9" s="15">
        <v>0.11019061500170646</v>
      </c>
      <c r="G9" s="15">
        <f>F9 - Portfolio_Mgmt!$C$10</f>
        <v>2.3190615001706466E-2</v>
      </c>
      <c r="H9" s="15">
        <f>F9 - Portfolio_Mgmt!$C$11</f>
        <v>9.1190615001706457E-2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4.1441458886748529E-2</v>
      </c>
      <c r="P9" s="4">
        <v>3.2594594594594593E-2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253</v>
      </c>
      <c r="Y9" s="11" t="s">
        <v>234</v>
      </c>
      <c r="Z9" s="14">
        <v>45900</v>
      </c>
      <c r="AA9" s="16" t="s">
        <v>235</v>
      </c>
    </row>
    <row r="10" spans="1:27">
      <c r="B10" s="11" t="s">
        <v>256</v>
      </c>
      <c r="C10" s="11" t="s">
        <v>257</v>
      </c>
      <c r="D10" s="2">
        <v>20.66</v>
      </c>
      <c r="E10" s="12" t="s">
        <v>231</v>
      </c>
      <c r="F10" s="15">
        <v>7.6950997735104387E-2</v>
      </c>
      <c r="G10" s="15">
        <f>F10 - Portfolio_Mgmt!$C$10</f>
        <v>-1.0049002264895607E-2</v>
      </c>
      <c r="H10" s="15">
        <f>F10 - Portfolio_Mgmt!$C$11</f>
        <v>5.7950997735104384E-2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5.2383580535012804E-2</v>
      </c>
      <c r="P10" s="4">
        <v>4.7918683446272994E-2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258</v>
      </c>
      <c r="Y10" s="11" t="s">
        <v>234</v>
      </c>
      <c r="Z10" s="14">
        <v>45900</v>
      </c>
      <c r="AA10" s="16" t="s">
        <v>235</v>
      </c>
    </row>
    <row r="11" spans="1:27">
      <c r="B11" s="11" t="s">
        <v>228</v>
      </c>
      <c r="C11" s="11" t="s">
        <v>254</v>
      </c>
      <c r="D11" s="2">
        <v>24.83</v>
      </c>
      <c r="E11" s="12" t="s">
        <v>231</v>
      </c>
      <c r="F11" s="15">
        <v>6.8510810559615054E-2</v>
      </c>
      <c r="G11" s="15">
        <f>F11 - Portfolio_Mgmt!$C$10</f>
        <v>-1.848918944038494E-2</v>
      </c>
      <c r="H11" s="15">
        <f>F11 - Portfolio_Mgmt!$C$11</f>
        <v>4.9510810559615051E-2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0.22236674639499954</v>
      </c>
      <c r="P11" s="4">
        <v>4.269029399919453E-2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182</v>
      </c>
      <c r="V11" s="79" t="s">
        <v>182</v>
      </c>
      <c r="W11" s="74">
        <v>-92.956751979911445</v>
      </c>
      <c r="X11" s="13" t="s">
        <v>255</v>
      </c>
      <c r="Y11" s="11" t="s">
        <v>234</v>
      </c>
      <c r="Z11" s="14">
        <v>45900</v>
      </c>
      <c r="AA11" s="16" t="s">
        <v>235</v>
      </c>
    </row>
    <row r="12" spans="1:27">
      <c r="B12" s="11" t="s">
        <v>259</v>
      </c>
      <c r="C12" s="11" t="s">
        <v>260</v>
      </c>
      <c r="D12" s="2">
        <v>14.25</v>
      </c>
      <c r="E12" s="12" t="s">
        <v>231</v>
      </c>
      <c r="F12" s="15">
        <v>-7.5724920811838015E-2</v>
      </c>
      <c r="G12" s="15">
        <f>F12 - Portfolio_Mgmt!$C$10</f>
        <v>-0.16272492081183801</v>
      </c>
      <c r="H12" s="15">
        <f>F12 - Portfolio_Mgmt!$C$11</f>
        <v>-9.4724920811838018E-2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3.1132643503964344E-2</v>
      </c>
      <c r="P12" s="4">
        <v>2.5263157894736845E-2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233</v>
      </c>
      <c r="Y12" s="11" t="s">
        <v>234</v>
      </c>
      <c r="Z12" s="14">
        <v>45900</v>
      </c>
      <c r="AA12" s="16" t="s">
        <v>246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>
        <f>F3/$F$10</f>
        <v>0.53326641362652527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>
        <f>VLOOKUP(B4,Opportunities!B$3:E$30,3,FALSE)</f>
        <v>24.83</v>
      </c>
      <c r="D4" s="62" t="str">
        <f>VLOOKUP(B4,Opportunities!B$3:E$30,4,FALSE)</f>
        <v>CNY</v>
      </c>
      <c r="E4" s="59">
        <v>3000</v>
      </c>
      <c r="F4" s="64">
        <f>E4*C4</f>
        <v>74490</v>
      </c>
      <c r="G4" s="61">
        <f>F4/$F$10</f>
        <v>0.23366479500611689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229</v>
      </c>
      <c r="C5" s="63">
        <f>VLOOKUP(B5,Opportunities!B$3:E$30,3,FALSE)</f>
        <v>14.86</v>
      </c>
      <c r="D5" s="62" t="str">
        <f>VLOOKUP(B5,Opportunities!B$3:E$30,4,FALSE)</f>
        <v>CNY</v>
      </c>
      <c r="E5" s="59">
        <v>5000</v>
      </c>
      <c r="F5" s="64">
        <f>C5*E5</f>
        <v>74300</v>
      </c>
      <c r="G5" s="61">
        <f>F5/$F$10</f>
        <v>0.23306879136735781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>
        <f>SUM(F3:F8)</f>
        <v>318790</v>
      </c>
      <c r="G10" s="70">
        <f>SUM(G3:G8)</f>
        <v>1</v>
      </c>
      <c r="H10" s="76">
        <f>SUM(H3:H8)</f>
        <v>0.45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>
        <f t="shared" ref="G18" si="0">F18/$F$10</f>
        <v>0.53326641362652527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2025-07-07T01:17:31Z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