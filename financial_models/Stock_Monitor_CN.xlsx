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1886331-F03C-4AF0-83EB-7F0AF646B174}" xr6:coauthVersionLast="47" xr6:coauthVersionMax="47" xr10:uidLastSave="{00000000-0000-0000-0000-000000000000}"/>
  <bookViews>
    <workbookView xWindow="1103" yWindow="1103" windowWidth="12690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<sst xmlns="http://schemas.openxmlformats.org/spreadsheetml/2006/main" count="423" uniqueCount="356">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</sst>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15.19</v>
      </c>
      <c r="E3" s="12" t="s">
        <v>327</v>
      </c>
      <c r="F3" s="15">
        <v>0.1119981216867616</v>
      </c>
      <c r="G3" s="15">
        <f>F3 - Portfolio_Mgmt!$C$10</f>
        <v>2.4998121686761604E-2</v>
      </c>
      <c r="H3" s="15">
        <f>F3 - Portfolio_Mgmt!$C$11</f>
        <v>9.2998121686761595E-2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7.7486719240244806E-2</v>
      </c>
      <c r="P3" s="4">
        <v>6.2804476629361422E-2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55.13</v>
      </c>
      <c r="E4" s="12" t="s">
        <v>327</v>
      </c>
      <c r="F4" s="15">
        <v>0.10324627704815326</v>
      </c>
      <c r="G4" s="15">
        <f>F4 - Portfolio_Mgmt!$C$10</f>
        <v>1.6246277048153263E-2</v>
      </c>
      <c r="H4" s="15">
        <f>F4 - Portfolio_Mgmt!$C$11</f>
        <v>8.4246277048153254E-2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7.8705262151731722E-2</v>
      </c>
      <c r="P4" s="4">
        <v>3.9180119717032467E-2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10.01</v>
      </c>
      <c r="E5" s="12" t="s">
        <v>327</v>
      </c>
      <c r="F5" s="15">
        <v>8.7928092344854658E-2</v>
      </c>
      <c r="G5" s="15">
        <f>F5 - Portfolio_Mgmt!$C$10</f>
        <v>9.2809234485466408E-4</v>
      </c>
      <c r="H5" s="15">
        <f>F5 - Portfolio_Mgmt!$C$11</f>
        <v>6.8928092344854655E-2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3.5246193645062117E-2</v>
      </c>
      <c r="P5" s="4">
        <v>3.5964035964035967E-2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5.46</v>
      </c>
      <c r="E6" s="12" t="s">
        <v>327</v>
      </c>
      <c r="F6" s="15">
        <v>7.0723186496473023E-2</v>
      </c>
      <c r="G6" s="15">
        <f>F6 - Portfolio_Mgmt!$C$10</f>
        <v>-1.6276813503526971E-2</v>
      </c>
      <c r="H6" s="15">
        <f>F6 - Portfolio_Mgmt!$C$11</f>
        <v>5.172318649647302E-2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4.2124559857409219E-2</v>
      </c>
      <c r="P6" s="4">
        <v>3.3131868131868129E-2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21.58</v>
      </c>
      <c r="E7" s="12" t="s">
        <v>327</v>
      </c>
      <c r="F7" s="15">
        <v>6.5748564983868274E-2</v>
      </c>
      <c r="G7" s="15">
        <f>F7 - Portfolio_Mgmt!$C$10</f>
        <v>-2.125143501613172E-2</v>
      </c>
      <c r="H7" s="15">
        <f>F7 - Portfolio_Mgmt!$C$11</f>
        <v>4.6748564983868271E-2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6.1365195633651524E-2</v>
      </c>
      <c r="P7" s="4">
        <v>4.420759962928638E-2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67.59</v>
      </c>
      <c r="E8" s="12" t="s">
        <v>327</v>
      </c>
      <c r="F8" s="15">
        <v>5.1164747448733117E-2</v>
      </c>
      <c r="G8" s="15">
        <f>F8 - Portfolio_Mgmt!$C$10</f>
        <v>-3.5835252551266877E-2</v>
      </c>
      <c r="H8" s="15">
        <f>F8 - Portfolio_Mgmt!$C$11</f>
        <v>3.2164747448733114E-2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5.3548969895698378E-2</v>
      </c>
      <c r="P8" s="4">
        <v>6.1877496671105196E-2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48.11</v>
      </c>
      <c r="E9" s="12" t="s">
        <v>327</v>
      </c>
      <c r="F9" s="15">
        <v>4.8507456316446929E-2</v>
      </c>
      <c r="G9" s="15">
        <f>F9 - Portfolio_Mgmt!$C$10</f>
        <v>-3.8492543683553065E-2</v>
      </c>
      <c r="H9" s="15">
        <f>F9 - Portfolio_Mgmt!$C$11</f>
        <v>2.9507456316446929E-2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4.4959037841275383E-2</v>
      </c>
      <c r="P9" s="4">
        <v>1.8707129494907503E-2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20.85</v>
      </c>
      <c r="E10" s="12" t="s">
        <v>327</v>
      </c>
      <c r="F10" s="15">
        <v>1.4524569071741933E-2</v>
      </c>
      <c r="G10" s="15">
        <f>F10 - Portfolio_Mgmt!$C$10</f>
        <v>-7.2475430928258061E-2</v>
      </c>
      <c r="H10" s="15">
        <f>F10 - Portfolio_Mgmt!$C$11</f>
        <v>-4.4754309282580666E-3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5.1906224165628984E-2</v>
      </c>
      <c r="P10" s="4">
        <v>4.7482014388489209E-2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24.29</v>
      </c>
      <c r="E11" s="12" t="s">
        <v>327</v>
      </c>
      <c r="F11" s="15">
        <v>-6.6766503434083635E-3</v>
      </c>
      <c r="G11" s="15">
        <f>F11 - Portfolio_Mgmt!$C$10</f>
        <v>-9.3676650343408358E-2</v>
      </c>
      <c r="H11" s="15">
        <f>F11 - Portfolio_Mgmt!$C$11</f>
        <v>-2.5676650343408363E-2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0.22731026401761376</v>
      </c>
      <c r="P11" s="4">
        <v>4.363935776039523E-2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14.57</v>
      </c>
      <c r="E12" s="12" t="s">
        <v>327</v>
      </c>
      <c r="F12" s="15">
        <v>-0.1284274085979954</v>
      </c>
      <c r="G12" s="15">
        <f>F12 - Portfolio_Mgmt!$C$10</f>
        <v>-0.21542740859799539</v>
      </c>
      <c r="H12" s="15">
        <f>F12 - Portfolio_Mgmt!$C$11</f>
        <v>-0.14742740859799539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3.0448879199141517E-2</v>
      </c>
      <c r="P12" s="4">
        <v>2.4708304735758409E-2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4.4999999999999998E-2</v>
      </c>
      <c r="D4" s="34">
        <v>7.4999999999999997E-2</v>
      </c>
      <c r="E4" s="35">
        <f>D4-C4</f>
        <v>0.03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0.53321623486606862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24.29</v>
      </c>
      <c r="D4" s="62" t="str">
        <f>VLOOKUP(B4,Opportunities!B$3:E$30,4,FALSE)</f>
        <v>CNY</v>
      </c>
      <c r="E4" s="59">
        <v>3000</v>
      </c>
      <c r="F4" s="64">
        <f>E4*C4</f>
        <v>72870</v>
      </c>
      <c r="G4" s="61">
        <f>F4/$F$10</f>
        <v>0.22856157079229658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15.19</v>
      </c>
      <c r="D5" s="62" t="str">
        <f>VLOOKUP(B5,Opportunities!B$3:E$30,4,FALSE)</f>
        <v>CNY</v>
      </c>
      <c r="E5" s="59">
        <v>5000</v>
      </c>
      <c r="F5" s="64">
        <f>C5*E5</f>
        <v>75950</v>
      </c>
      <c r="G5" s="61">
        <f>F5/$F$10</f>
        <v>0.23822219434163477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318820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0.53321623486606862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2025-07-17T10:00:44Z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