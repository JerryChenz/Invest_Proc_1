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925FF4A5-BC89-4024-913F-3C114207BC03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<sst xmlns="http://schemas.openxmlformats.org/spreadsheetml/2006/main" count="423" uniqueCount="356">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</sst>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333</v>
      </c>
      <c r="C3" s="11" t="s">
        <v>334</v>
      </c>
      <c r="D3" s="2">
        <v>55.09</v>
      </c>
      <c r="E3" s="12" t="s">
        <v>327</v>
      </c>
      <c r="F3" s="15">
        <v>0.10352274422855245</v>
      </c>
      <c r="G3" s="15">
        <f>F3 - Portfolio_Mgmt!$C$10</f>
        <v>1.6522744228552461E-2</v>
      </c>
      <c r="H3" s="15">
        <f>F3 - Portfolio_Mgmt!$C$11</f>
        <v>8.4522744228552452E-2</v>
      </c>
      <c r="I3" s="15">
        <v>0</v>
      </c>
      <c r="J3" s="2">
        <v>25.155911013083504</v>
      </c>
      <c r="K3" s="2">
        <v>66.857539212261699</v>
      </c>
      <c r="L3" s="74">
        <v>59.434818438436224</v>
      </c>
      <c r="M3" s="2">
        <v>34.354091585007595</v>
      </c>
      <c r="N3" s="2">
        <v>57.551879180502802</v>
      </c>
      <c r="O3" s="4">
        <v>7.8762408829641847E-2</v>
      </c>
      <c r="P3" s="4">
        <v>3.9208567798148485E-2</v>
      </c>
      <c r="Q3" s="4">
        <v>1.2182305488640417</v>
      </c>
      <c r="R3" s="4">
        <v>0.21117895977217718</v>
      </c>
      <c r="S3" s="82">
        <v>1.2904821269100146</v>
      </c>
      <c r="T3" s="81">
        <v>4.4701988818540466</v>
      </c>
      <c r="U3" s="15">
        <v>5.0341856510546588E-2</v>
      </c>
      <c r="V3" s="79">
        <v>4.1762542981319963E-2</v>
      </c>
      <c r="W3" s="74">
        <v>-13.312996389940134</v>
      </c>
      <c r="X3" s="13" t="s">
        <v>170</v>
      </c>
      <c r="Y3" s="11" t="s">
        <v>136</v>
      </c>
      <c r="Z3" s="14">
        <v>45900</v>
      </c>
      <c r="AA3" s="16" t="s">
        <v>183</v>
      </c>
    </row>
    <row r="4" spans="1:27">
      <c r="B4" s="11" t="s">
        <v>329</v>
      </c>
      <c r="C4" s="11" t="s">
        <v>331</v>
      </c>
      <c r="D4" s="2">
        <v>15.78</v>
      </c>
      <c r="E4" s="12" t="s">
        <v>327</v>
      </c>
      <c r="F4" s="15">
        <v>9.7166621706861633E-2</v>
      </c>
      <c r="G4" s="15">
        <f>F4 - Portfolio_Mgmt!$C$10</f>
        <v>1.0166621706861639E-2</v>
      </c>
      <c r="H4" s="15">
        <f>F4 - Portfolio_Mgmt!$C$11</f>
        <v>7.816662170686163E-2</v>
      </c>
      <c r="I4" s="15">
        <v>0</v>
      </c>
      <c r="J4" s="2">
        <v>7.2279420709207756</v>
      </c>
      <c r="K4" s="2">
        <v>17.692199895960851</v>
      </c>
      <c r="L4" s="74">
        <v>16.722424859968235</v>
      </c>
      <c r="M4" s="2">
        <v>9.7854619462725747</v>
      </c>
      <c r="N4" s="2">
        <v>16.202875796143875</v>
      </c>
      <c r="O4" s="4">
        <v>7.45895605360785E-2</v>
      </c>
      <c r="P4" s="4">
        <v>6.0456273764258564E-2</v>
      </c>
      <c r="Q4" s="4">
        <v>0.2026552385945618</v>
      </c>
      <c r="R4" s="4">
        <v>0.16696657384597549</v>
      </c>
      <c r="S4" s="82">
        <v>0.62476296032712075</v>
      </c>
      <c r="T4" s="81">
        <v>1.9427325871638936</v>
      </c>
      <c r="U4" s="15">
        <v>6.0553888114002474E-2</v>
      </c>
      <c r="V4" s="79">
        <v>0.30099118789407647</v>
      </c>
      <c r="W4" s="74">
        <v>-0.43338518935931036</v>
      </c>
      <c r="X4" s="13" t="s">
        <v>332</v>
      </c>
      <c r="Y4" s="11" t="s">
        <v>136</v>
      </c>
      <c r="Z4" s="14">
        <v>45900</v>
      </c>
      <c r="AA4" s="16" t="s">
        <v>183</v>
      </c>
    </row>
    <row r="5" spans="1:27">
      <c r="B5" s="11" t="s">
        <v>341</v>
      </c>
      <c r="C5" s="11" t="s">
        <v>342</v>
      </c>
      <c r="D5" s="2">
        <v>10.029999999999999</v>
      </c>
      <c r="E5" s="12" t="s">
        <v>327</v>
      </c>
      <c r="F5" s="15">
        <v>8.7180467568018338E-2</v>
      </c>
      <c r="G5" s="15">
        <f>F5 - Portfolio_Mgmt!$C$10</f>
        <v>1.8046756801834429E-4</v>
      </c>
      <c r="H5" s="15">
        <f>F5 - Portfolio_Mgmt!$C$11</f>
        <v>6.8180467568018335E-2</v>
      </c>
      <c r="I5" s="15">
        <v>0</v>
      </c>
      <c r="J5" s="2">
        <v>4.3792241541234382</v>
      </c>
      <c r="K5" s="2">
        <v>11.711712236864567</v>
      </c>
      <c r="L5" s="74">
        <v>10.363655818472994</v>
      </c>
      <c r="M5" s="2">
        <v>5.9845754378081768</v>
      </c>
      <c r="N5" s="2">
        <v>10.034835914511921</v>
      </c>
      <c r="O5" s="4">
        <v>3.5175912102399981E-2</v>
      </c>
      <c r="P5" s="4">
        <v>3.5892323030907287E-2</v>
      </c>
      <c r="Q5" s="4">
        <v>3.888300021475994E-2</v>
      </c>
      <c r="R5" s="4">
        <v>7.6099586896956867E-2</v>
      </c>
      <c r="S5" s="82">
        <v>0.30413488760323032</v>
      </c>
      <c r="T5" s="81">
        <v>1.6800075256655485</v>
      </c>
      <c r="U5" s="15">
        <v>9.2587702159681276E-2</v>
      </c>
      <c r="V5" s="79">
        <v>2.0939079363495856</v>
      </c>
      <c r="W5" s="74">
        <v>2.6400638402357823</v>
      </c>
      <c r="X5" s="13" t="s">
        <v>343</v>
      </c>
      <c r="Y5" s="11" t="s">
        <v>171</v>
      </c>
      <c r="Z5" s="14">
        <v>45900</v>
      </c>
      <c r="AA5" s="16" t="s">
        <v>183</v>
      </c>
    </row>
    <row r="6" spans="1:27">
      <c r="B6" s="11" t="s">
        <v>344</v>
      </c>
      <c r="C6" s="11" t="s">
        <v>345</v>
      </c>
      <c r="D6" s="2">
        <v>5.57</v>
      </c>
      <c r="E6" s="12" t="s">
        <v>327</v>
      </c>
      <c r="F6" s="15">
        <v>6.3408396767668407E-2</v>
      </c>
      <c r="G6" s="15">
        <f>F6 - Portfolio_Mgmt!$C$10</f>
        <v>-2.3591603232331587E-2</v>
      </c>
      <c r="H6" s="15">
        <f>F6 - Portfolio_Mgmt!$C$11</f>
        <v>4.4408396767668404E-2</v>
      </c>
      <c r="I6" s="15">
        <v>0</v>
      </c>
      <c r="J6" s="2">
        <v>2.2777045899700505</v>
      </c>
      <c r="K6" s="2">
        <v>6.1203199055974453</v>
      </c>
      <c r="L6" s="74">
        <v>5.3970513031335168</v>
      </c>
      <c r="M6" s="2">
        <v>3.1142971805177257</v>
      </c>
      <c r="N6" s="2">
        <v>5.225618425612172</v>
      </c>
      <c r="O6" s="4">
        <v>4.1292656520907418E-2</v>
      </c>
      <c r="P6" s="4">
        <v>3.2477558348294432E-2</v>
      </c>
      <c r="Q6" s="4">
        <v>4.9029562887232557E-2</v>
      </c>
      <c r="R6" s="4">
        <v>5.0475725130946753E-2</v>
      </c>
      <c r="S6" s="82">
        <v>0.56944999111533989</v>
      </c>
      <c r="T6" s="81">
        <v>1.7057676125178334</v>
      </c>
      <c r="U6" s="15">
        <v>2.5694600492681609E-2</v>
      </c>
      <c r="V6" s="79">
        <v>0.53421555755411909</v>
      </c>
      <c r="W6" s="74">
        <v>-0.36074239393771346</v>
      </c>
      <c r="X6" s="13" t="s">
        <v>346</v>
      </c>
      <c r="Y6" s="11" t="s">
        <v>136</v>
      </c>
      <c r="Z6" s="14">
        <v>45900</v>
      </c>
      <c r="AA6" s="16" t="s">
        <v>183</v>
      </c>
    </row>
    <row r="7" spans="1:27">
      <c r="B7" s="11" t="s">
        <v>339</v>
      </c>
      <c r="C7" s="11" t="s">
        <v>340</v>
      </c>
      <c r="D7" s="2">
        <v>68.48</v>
      </c>
      <c r="E7" s="12" t="s">
        <v>327</v>
      </c>
      <c r="F7" s="15">
        <v>4.6311593727142331E-2</v>
      </c>
      <c r="G7" s="15">
        <f>F7 - Portfolio_Mgmt!$C$10</f>
        <v>-4.0688406272857663E-2</v>
      </c>
      <c r="H7" s="15">
        <f>F7 - Portfolio_Mgmt!$C$11</f>
        <v>2.7311593727142331E-2</v>
      </c>
      <c r="I7" s="15">
        <v>0</v>
      </c>
      <c r="J7" s="2">
        <v>27.666459398619363</v>
      </c>
      <c r="K7" s="2">
        <v>65.304739034115954</v>
      </c>
      <c r="L7" s="74">
        <v>63.44391872644448</v>
      </c>
      <c r="M7" s="2">
        <v>37.320034608154735</v>
      </c>
      <c r="N7" s="2">
        <v>61.489408566601746</v>
      </c>
      <c r="O7" s="4">
        <v>5.2853020958677763E-2</v>
      </c>
      <c r="P7" s="4">
        <v>6.1073306074766361E-2</v>
      </c>
      <c r="Q7" s="4">
        <v>0.14093304007128551</v>
      </c>
      <c r="R7" s="4">
        <v>0.29188024664664569</v>
      </c>
      <c r="S7" s="82">
        <v>0.37062368553626046</v>
      </c>
      <c r="T7" s="81">
        <v>1.3027915865121182</v>
      </c>
      <c r="U7" s="15">
        <v>7.7640983998987034E-4</v>
      </c>
      <c r="V7" s="79">
        <v>5.5975167910006915E-3</v>
      </c>
      <c r="W7" s="74">
        <v>15.284602440692964</v>
      </c>
      <c r="X7" s="13" t="s">
        <v>170</v>
      </c>
      <c r="Y7" s="11" t="s">
        <v>136</v>
      </c>
      <c r="Z7" s="14">
        <v>45900</v>
      </c>
      <c r="AA7" s="16" t="s">
        <v>184</v>
      </c>
    </row>
    <row r="8" spans="1:27">
      <c r="B8" s="11" t="s">
        <v>337</v>
      </c>
      <c r="C8" s="11" t="s">
        <v>338</v>
      </c>
      <c r="D8" s="2">
        <v>23.12</v>
      </c>
      <c r="E8" s="12" t="s">
        <v>327</v>
      </c>
      <c r="F8" s="15">
        <v>4.0546486151939121E-2</v>
      </c>
      <c r="G8" s="15">
        <f>F8 - Portfolio_Mgmt!$C$10</f>
        <v>-4.6453513848060873E-2</v>
      </c>
      <c r="H8" s="15">
        <f>F8 - Portfolio_Mgmt!$C$11</f>
        <v>2.1546486151939121E-2</v>
      </c>
      <c r="I8" s="15">
        <v>0</v>
      </c>
      <c r="J8" s="2">
        <v>8.9913803957882639</v>
      </c>
      <c r="K8" s="2">
        <v>23.068262059109994</v>
      </c>
      <c r="L8" s="74">
        <v>21.049942920535798</v>
      </c>
      <c r="M8" s="2">
        <v>12.232463386030947</v>
      </c>
      <c r="N8" s="2">
        <v>20.388648577016472</v>
      </c>
      <c r="O8" s="4">
        <v>5.7277721530025937E-2</v>
      </c>
      <c r="P8" s="4">
        <v>4.1262975778546714E-2</v>
      </c>
      <c r="Q8" s="4">
        <v>0.15648173464349882</v>
      </c>
      <c r="R8" s="4">
        <v>0.13375671427886937</v>
      </c>
      <c r="S8" s="82">
        <v>0.66633267926556194</v>
      </c>
      <c r="T8" s="81">
        <v>1.7557268340491488</v>
      </c>
      <c r="U8" s="15">
        <v>0.3857437197038544</v>
      </c>
      <c r="V8" s="79">
        <v>2.3913910654887354</v>
      </c>
      <c r="W8" s="74">
        <v>3.5427832354191278</v>
      </c>
      <c r="X8" s="13" t="s">
        <v>172</v>
      </c>
      <c r="Y8" s="11" t="s">
        <v>136</v>
      </c>
      <c r="Z8" s="14">
        <v>45900</v>
      </c>
      <c r="AA8" s="16" t="s">
        <v>183</v>
      </c>
    </row>
    <row r="9" spans="1:27">
      <c r="B9" s="11" t="s">
        <v>335</v>
      </c>
      <c r="C9" s="11" t="s">
        <v>336</v>
      </c>
      <c r="D9" s="2">
        <v>49.24</v>
      </c>
      <c r="E9" s="12" t="s">
        <v>327</v>
      </c>
      <c r="F9" s="15">
        <v>4.0281612083983065E-2</v>
      </c>
      <c r="G9" s="15">
        <f>F9 - Portfolio_Mgmt!$C$10</f>
        <v>-4.6718387916016929E-2</v>
      </c>
      <c r="H9" s="15">
        <f>F9 - Portfolio_Mgmt!$C$11</f>
        <v>2.1281612083983065E-2</v>
      </c>
      <c r="I9" s="15">
        <v>0</v>
      </c>
      <c r="J9" s="2">
        <v>18.605220097652271</v>
      </c>
      <c r="K9" s="2">
        <v>52.623089120205158</v>
      </c>
      <c r="L9" s="74">
        <v>44.699984953439703</v>
      </c>
      <c r="M9" s="2">
        <v>25.586749713338708</v>
      </c>
      <c r="N9" s="2">
        <v>43.262452230628902</v>
      </c>
      <c r="O9" s="4">
        <v>4.3927280880255042E-2</v>
      </c>
      <c r="P9" s="4">
        <v>1.8277822908204712E-2</v>
      </c>
      <c r="Q9" s="4">
        <v>0.14549955248916155</v>
      </c>
      <c r="R9" s="4">
        <v>0.22405670341828193</v>
      </c>
      <c r="S9" s="82">
        <v>0.42456310191863128</v>
      </c>
      <c r="T9" s="81">
        <v>1.5295422156001708</v>
      </c>
      <c r="U9" s="15">
        <v>5.3145118525683231E-2</v>
      </c>
      <c r="V9" s="79">
        <v>0.36488435676778314</v>
      </c>
      <c r="W9" s="74">
        <v>5.6082458208015922</v>
      </c>
      <c r="X9" s="13" t="s">
        <v>332</v>
      </c>
      <c r="Y9" s="11" t="s">
        <v>136</v>
      </c>
      <c r="Z9" s="14">
        <v>45900</v>
      </c>
      <c r="AA9" s="16" t="s">
        <v>183</v>
      </c>
    </row>
    <row r="10" spans="1:27">
      <c r="B10" s="11" t="s">
        <v>347</v>
      </c>
      <c r="C10" s="11" t="s">
        <v>348</v>
      </c>
      <c r="D10" s="2">
        <v>20.53</v>
      </c>
      <c r="E10" s="12" t="s">
        <v>327</v>
      </c>
      <c r="F10" s="15">
        <v>2.002653273777133E-2</v>
      </c>
      <c r="G10" s="15">
        <f>F10 - Portfolio_Mgmt!$C$10</f>
        <v>-6.6973467262228664E-2</v>
      </c>
      <c r="H10" s="15">
        <f>F10 - Portfolio_Mgmt!$C$11</f>
        <v>1.0265327377713303E-3</v>
      </c>
      <c r="I10" s="15">
        <v>0</v>
      </c>
      <c r="J10" s="2">
        <v>7.6314402727898702</v>
      </c>
      <c r="K10" s="2">
        <v>18.758424601634019</v>
      </c>
      <c r="L10" s="74">
        <v>17.674312632907508</v>
      </c>
      <c r="M10" s="2">
        <v>10.336151389000461</v>
      </c>
      <c r="N10" s="2">
        <v>17.124648599063175</v>
      </c>
      <c r="O10" s="4">
        <v>5.2715283675273471E-2</v>
      </c>
      <c r="P10" s="4">
        <v>4.8222113979542139E-2</v>
      </c>
      <c r="Q10" s="4">
        <v>0.15161114820375229</v>
      </c>
      <c r="R10" s="4">
        <v>0.3932476207375345</v>
      </c>
      <c r="S10" s="82">
        <v>0.30212796693987309</v>
      </c>
      <c r="T10" s="81">
        <v>1.2760688428830085</v>
      </c>
      <c r="U10" s="15">
        <v>0.12757636177577109</v>
      </c>
      <c r="V10" s="79">
        <v>0.79731882844192148</v>
      </c>
      <c r="W10" s="74">
        <v>2.5713378719718771</v>
      </c>
      <c r="X10" s="16" t="s">
        <v>169</v>
      </c>
      <c r="Y10" s="11" t="s">
        <v>136</v>
      </c>
      <c r="Z10" s="14">
        <v>45900</v>
      </c>
      <c r="AA10" s="16" t="s">
        <v>183</v>
      </c>
    </row>
    <row r="11" spans="1:27">
      <c r="B11" s="11" t="s">
        <v>328</v>
      </c>
      <c r="C11" s="11" t="s">
        <v>349</v>
      </c>
      <c r="D11" s="2">
        <v>22.77</v>
      </c>
      <c r="E11" s="12" t="s">
        <v>327</v>
      </c>
      <c r="F11" s="15">
        <v>1.5977842779510532E-2</v>
      </c>
      <c r="G11" s="15">
        <f>F11 - Portfolio_Mgmt!$C$10</f>
        <v>-7.1022157220489462E-2</v>
      </c>
      <c r="H11" s="15">
        <f>F11 - Portfolio_Mgmt!$C$11</f>
        <v>-3.022157220489468E-3</v>
      </c>
      <c r="I11" s="15">
        <v>0</v>
      </c>
      <c r="J11" s="2">
        <v>8.355749929850889</v>
      </c>
      <c r="K11" s="2">
        <v>20.647898129891665</v>
      </c>
      <c r="L11" s="74">
        <v>19.377301122078141</v>
      </c>
      <c r="M11" s="2">
        <v>11.323303654934758</v>
      </c>
      <c r="N11" s="2">
        <v>18.773924722806626</v>
      </c>
      <c r="O11" s="4">
        <v>0.2424842473863785</v>
      </c>
      <c r="P11" s="4">
        <v>4.6552481335090032E-2</v>
      </c>
      <c r="Q11" s="4">
        <v>0.17249144202566888</v>
      </c>
      <c r="R11" s="4">
        <v>0.71319953730480046</v>
      </c>
      <c r="S11" s="82">
        <v>2.0567862383133143E-2</v>
      </c>
      <c r="T11" s="81">
        <v>11.758917470801054</v>
      </c>
      <c r="U11" s="15" t="s">
        <v>189</v>
      </c>
      <c r="V11" s="79" t="s">
        <v>189</v>
      </c>
      <c r="W11" s="74">
        <v>-92.956751979911445</v>
      </c>
      <c r="X11" s="13" t="s">
        <v>350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15.19</v>
      </c>
      <c r="E12" s="12" t="s">
        <v>327</v>
      </c>
      <c r="F12" s="15">
        <v>-0.14081241511647602</v>
      </c>
      <c r="G12" s="15">
        <f>F12 - Portfolio_Mgmt!$C$10</f>
        <v>-0.22781241511647601</v>
      </c>
      <c r="H12" s="15">
        <f>F12 - Portfolio_Mgmt!$C$11</f>
        <v>-0.15981241511647601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2.9206067803258188E-2</v>
      </c>
      <c r="P12" s="4">
        <v>2.3699802501645825E-2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4.2300000000000004E-2</v>
      </c>
      <c r="D4" s="34">
        <v>7.4999999999999997E-2</v>
      </c>
      <c r="E4" s="35">
        <f>D4-C4</f>
        <v>3.2699999999999993E-2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0.53592257495034834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22.77</v>
      </c>
      <c r="D4" s="62" t="str">
        <f>VLOOKUP(B4,Opportunities!B$3:E$30,4,FALSE)</f>
        <v>CNY</v>
      </c>
      <c r="E4" s="59">
        <v>3000</v>
      </c>
      <c r="F4" s="64">
        <f>E4*C4</f>
        <v>68310</v>
      </c>
      <c r="G4" s="61">
        <f>F4/$F$10</f>
        <v>0.21534630055798998</v>
      </c>
      <c r="H4" s="61">
        <f>VLOOKUP(B4,Opportunities!B$3:I$30,8,FALSE)</f>
        <v>0</v>
      </c>
      <c r="I4" s="84">
        <f>VLOOKUP(B4,Opportunities!B$3:N$30,12,FALSE)</f>
        <v>11.323303654934758</v>
      </c>
      <c r="J4" s="84">
        <f>VLOOKUP(B4,Opportunities!B$3:N$30,9,FALSE)</f>
        <v>8.355749929850889</v>
      </c>
      <c r="K4" s="84">
        <f>VLOOKUP(B4,Opportunities!B$3:N$30,11,FALSE)</f>
        <v>19.377301122078141</v>
      </c>
      <c r="L4" s="84">
        <f>VLOOKUP(B4,Opportunities!B$3:N$30,13,FALSE)</f>
        <v>18.773924722806626</v>
      </c>
    </row>
    <row r="5" spans="1:12">
      <c r="B5" s="66" t="s">
        <v>329</v>
      </c>
      <c r="C5" s="63">
        <f>VLOOKUP(B5,Opportunities!B$3:E$30,3,FALSE)</f>
        <v>15.78</v>
      </c>
      <c r="D5" s="62" t="str">
        <f>VLOOKUP(B5,Opportunities!B$3:E$30,4,FALSE)</f>
        <v>CNY</v>
      </c>
      <c r="E5" s="59">
        <v>5000</v>
      </c>
      <c r="F5" s="64">
        <f>C5*E5</f>
        <v>78900</v>
      </c>
      <c r="G5" s="61">
        <f>F5/$F$10</f>
        <v>0.24873112449166168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317210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0.53592257495034834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2025-08-05T03:13:00Z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