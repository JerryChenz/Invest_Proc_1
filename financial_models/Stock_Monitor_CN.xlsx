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46C44B8-9CD5-4444-A437-141F4F0D7AF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2" i="5"/>
  <c r="H16" i="7"/>
  <c r="I16" i="7"/>
  <c r="J16" i="7"/>
  <c r="K16" i="7"/>
  <c r="L16" i="7"/>
  <c r="C16" i="7"/>
  <c r="F16" i="7" s="1"/>
  <c r="D16" i="7"/>
  <c r="J15" i="7"/>
  <c r="J14" i="7"/>
  <c r="J5" i="7"/>
  <c r="J4" i="7"/>
  <c r="I15" i="7"/>
  <c r="K15" i="7"/>
  <c r="L15" i="7"/>
  <c r="L14" i="7"/>
  <c r="K14" i="7"/>
  <c r="I14" i="7"/>
  <c r="I5" i="7"/>
  <c r="K5" i="7"/>
  <c r="L5" i="7"/>
  <c r="L4" i="7"/>
  <c r="K4" i="7"/>
  <c r="I4" i="7"/>
  <c r="H5" i="7"/>
  <c r="C5" i="7"/>
  <c r="F5" i="7" s="1"/>
  <c r="D5" i="7"/>
  <c r="H15" i="7" l="1"/>
  <c r="C15" i="7"/>
  <c r="D15" i="7"/>
  <c r="C35" i="5"/>
  <c r="C11" i="5"/>
  <c r="C10" i="5"/>
  <c r="D4" i="7"/>
  <c r="D14" i="7"/>
  <c r="H14" i="7"/>
  <c r="H4" i="7"/>
  <c r="C14" i="7"/>
  <c r="F14" i="7" s="1"/>
  <c r="C4" i="7"/>
  <c r="C33" i="5" l="1"/>
  <c r="C31" i="5" s="1"/>
  <c r="C32" i="5" s="1"/>
  <c r="C34" i="5" s="1"/>
  <c r="E33" i="5" s="1"/>
  <c r="F15" i="7"/>
  <c r="F18" i="7" s="1"/>
  <c r="F4" i="7"/>
  <c r="F11" i="7" l="1"/>
  <c r="G16" i="7" s="1"/>
  <c r="E60" i="5"/>
  <c r="E61" i="5" s="1"/>
  <c r="G15" i="7" l="1"/>
  <c r="G5" i="7"/>
  <c r="G14" i="7"/>
  <c r="G18" i="7"/>
  <c r="C16" i="2"/>
  <c r="E6" i="2"/>
  <c r="E5" i="2"/>
  <c r="E4" i="2"/>
  <c r="H18" i="7" l="1"/>
  <c r="H3" i="7"/>
  <c r="H11" i="7" s="1"/>
  <c r="G4" i="7" l="1"/>
  <c r="G3" i="7"/>
  <c r="G11" i="7" l="1"/>
</calcChain>
</file>

<file path=xl/sharedStrings.xml><?xml version="1.0" encoding="utf-8"?>
<sst xmlns="http://schemas.openxmlformats.org/spreadsheetml/2006/main" count="310" uniqueCount="253">
  <si>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</si>
  <si>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</si>
  <si>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</si>
  <si>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</si>
  <si>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</si>
  <si>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</si>
  <si>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</si>
  <si>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</si>
  <si>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</si>
  <si>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</si>
  <si>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</si>
  <si>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</si>
  <si>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</si>
  <si>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</si>
  <si>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</si>
  <si>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</si>
  <si>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</si>
  <si>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</si>
  <si>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</si>
  <si>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</si>
  <si>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</si>
  <si>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</si>
  <si>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</si>
  <si>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</si>
  <si>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</si>
  <si>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</si>
  <si>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</si>
  <si>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</si>
  <si>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</si>
  <si>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</si>
  <si>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</si>
  <si>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</si>
  <si>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</si>
  <si>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</si>
  <si>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</si>
  <si>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</si>
  <si>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</si>
  <si>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</si>
  <si>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</si>
  <si>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</si>
  <si>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</si>
  <si>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</si>
  <si>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</si>
  <si>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</si>
  <si>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</si>
  <si>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</si>
  <si>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</si>
  <si>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</si>
  <si>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</si>
  <si>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</si>
  <si>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</si>
  <si>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</si>
  <si>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</si>
  <si>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</si>
  <si>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</si>
  <si>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</si>
  <si>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</si>
  <si>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</si>
  <si>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</si>
  <si>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</si>
  <si>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</si>
  <si>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</si>
  <si>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</si>
  <si>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</si>
  <si>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</si>
  <si>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</si>
  <si>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</si>
  <si>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</si>
  <si>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</si>
  <si>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</si>
  <si>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</si>
  <si>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</si>
  <si>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</si>
  <si>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</si>
  <si>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</si>
  <si>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</si>
  <si>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</si>
  <si>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</si>
  <si>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</si>
  <si>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</si>
  <si>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</si>
  <si>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</si>
  <si>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</si>
  <si>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</si>
  <si>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</si>
  <si>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</si>
  <si>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</si>
  <si>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</si>
  <si>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</si>
  <si>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</si>
  <si>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</si>
  <si>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</si>
  <si>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</si>
  <si>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</si>
  <si>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</si>
  <si>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</si>
  <si>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</si>
  <si>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</si>
  <si>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</si>
  <si>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</si>
  <si>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</si>
  <si>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</si>
  <si>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</si>
  <si>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</si>
  <si>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</si>
  <si>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</si>
  <si>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</si>
  <si>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</si>
  <si>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</si>
  <si>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</si>
  <si>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</si>
  <si>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</si>
  <si>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</si>
  <si>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</si>
  <si>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</si>
  <si>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</si>
  <si>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</si>
  <si>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</si>
  <si>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</si>
  <si>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</si>
  <si>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</si>
  <si>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</si>
  <si>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</si>
  <si>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</si>
  <si>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</si>
  <si>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</si>
  <si>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</si>
  <si>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</si>
  <si>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</si>
  <si>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</si>
  <si>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</si>
  <si>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</si>
  <si>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</si>
  <si>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</si>
  <si>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</si>
  <si>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</si>
  <si>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</si>
  <si>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</si>
  <si>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</si>
  <si>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</si>
  <si>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</si>
  <si>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</si>
  <si>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HKD</t>
  </si>
  <si>
    <t xml:space="preserve">Low Growth 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</si>
  <si>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</si>
  <si>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</si>
  <si>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</si>
  <si>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</si>
  <si>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</si>
  <si>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</si>
  <si>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</si>
  <si>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</si>
  <si>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</si>
  <si>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</si>
  <si>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</si>
  <si>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</si>
  <si>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</si>
  <si>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</si>
  <si>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</si>
  <si>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</si>
  <si>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</si>
  <si>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</si>
  <si>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</si>
  <si>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</si>
  <si>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</si>
  <si>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</si>
  <si>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</si>
  <si>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</si>
  <si>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</si>
  <si>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</si>
  <si>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</si>
  <si>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</si>
  <si>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</si>
  <si>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</si>
  <si>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</si>
  <si>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</si>
  <si>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</si>
  <si>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</si>
  <si>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</si>
  <si>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</si>
  <si>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</si>
  <si>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</si>
  <si>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</si>
  <si>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CNS_03</t>
  </si>
  <si>
    <t>002304.SZ</t>
  </si>
  <si>
    <t>洋河股份</t>
  </si>
  <si>
    <t>CNY</t>
  </si>
  <si>
    <t>600132.SS</t>
  </si>
  <si>
    <t>重庆啤酒</t>
  </si>
  <si>
    <t>Exit 
Price</t>
  </si>
  <si>
    <t>Sell 
Price</t>
  </si>
  <si>
    <t>Market  Yield</t>
  </si>
  <si>
    <t>CCY</t>
  </si>
  <si>
    <t>601166.SS</t>
  </si>
  <si>
    <t>兴业银行</t>
  </si>
  <si>
    <t>FIN_01</t>
  </si>
  <si>
    <t>CN (Last 20 yrs)</t>
  </si>
  <si>
    <t>002557.SZ</t>
  </si>
  <si>
    <t>洽洽食品</t>
  </si>
  <si>
    <t>CNS_01</t>
  </si>
  <si>
    <t>600583.SS</t>
  </si>
  <si>
    <t>海油工程</t>
  </si>
  <si>
    <t>ENG_03</t>
  </si>
  <si>
    <t>600007.SS</t>
  </si>
  <si>
    <t>中国国贸</t>
  </si>
  <si>
    <t>RES_01</t>
  </si>
  <si>
    <t>603279.SS</t>
  </si>
  <si>
    <t>景津装备</t>
  </si>
  <si>
    <t>IND_01</t>
  </si>
  <si>
    <t>Growth 
Classification</t>
  </si>
  <si>
    <t>603338.SS</t>
  </si>
  <si>
    <t>浙江鼎力</t>
  </si>
  <si>
    <t>300481.SZ</t>
  </si>
  <si>
    <t>濮阳惠成</t>
  </si>
  <si>
    <t>Balance Sheet Strength</t>
  </si>
  <si>
    <t>ROE Analysis</t>
  </si>
  <si>
    <t>ROE</t>
  </si>
  <si>
    <t>Sales/ Assets</t>
  </si>
  <si>
    <t>Assets/ Equity</t>
  </si>
  <si>
    <t>nm</t>
  </si>
  <si>
    <t>Y</t>
  </si>
  <si>
    <t>N</t>
  </si>
  <si>
    <t xml:space="preserve"> Profit/ Sales</t>
  </si>
  <si>
    <t>600373.SS</t>
  </si>
  <si>
    <t>中文传媒</t>
  </si>
  <si>
    <t>TMT_02</t>
  </si>
  <si>
    <t>Low Growth Asset Play</t>
  </si>
  <si>
    <t>Exit Price</t>
  </si>
  <si>
    <t>Sell Price</t>
  </si>
  <si>
    <t>Target Price</t>
  </si>
  <si>
    <t>Target Price at a Return (w) of</t>
  </si>
  <si>
    <t>Target Price at a loss (l) of</t>
  </si>
  <si>
    <t>Entry Price at a Return (w) of</t>
  </si>
  <si>
    <t>Entry Price at a loss (l) of</t>
  </si>
  <si>
    <t>for a Half Kelly Allocation % of</t>
  </si>
  <si>
    <t>at a valuation confidence (p) of</t>
  </si>
  <si>
    <t>Score &lt;= 4</t>
  </si>
  <si>
    <t>Score 5–7</t>
  </si>
  <si>
    <t>Score &gt;= 8</t>
  </si>
  <si>
    <t>3. Market Performance</t>
  </si>
  <si>
    <t>Strong</t>
  </si>
  <si>
    <t>Weak</t>
  </si>
  <si>
    <t>4. Economic Growth Forecast</t>
  </si>
  <si>
    <t>5. Investor Sentiment</t>
  </si>
  <si>
    <t>The two key assessments when deciding the Cash Reserve % are how things are priced and how investors around us are behaving.</t>
  </si>
  <si>
    <t>ii.</t>
  </si>
  <si>
    <t>a. Half Kelly Allocation</t>
  </si>
  <si>
    <t xml:space="preserve">market price loss when incorrect (l) = </t>
  </si>
  <si>
    <t>Target Price Loss when incorrect + (Market Price Yield - Target Price Return)</t>
  </si>
  <si>
    <t>market price Half Kelly Allocation (HK%) =</t>
  </si>
  <si>
    <t>(p*w + (1-p)*l)/2w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</si>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</sst>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</numFmts>
  <fonts count="32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9" fillId="0" borderId="0">
      <alignment vertical="center"/>
    </xf>
  </cellStyleXfs>
  <cellXfs count="107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1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2" fillId="0" borderId="0" xfId="0" applyNumberFormat="1" applyFont="1" applyAlignment="1">
      <alignment horizontal="left"/>
    </xf>
    <xf numFmtId="0" fontId="23" fillId="2" borderId="0" xfId="1" applyFont="1" applyFill="1"/>
    <xf numFmtId="0" fontId="24" fillId="0" borderId="1" xfId="1" applyFont="1" applyBorder="1" applyAlignment="1">
      <alignment vertical="center"/>
    </xf>
    <xf numFmtId="0" fontId="25" fillId="0" borderId="0" xfId="0" applyFont="1"/>
    <xf numFmtId="0" fontId="26" fillId="0" borderId="2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39" fontId="27" fillId="0" borderId="0" xfId="0" applyNumberFormat="1" applyFont="1" applyAlignment="1">
      <alignment horizontal="center"/>
    </xf>
    <xf numFmtId="37" fontId="27" fillId="0" borderId="0" xfId="0" applyNumberFormat="1" applyFont="1" applyAlignment="1">
      <alignment horizontal="center"/>
    </xf>
    <xf numFmtId="39" fontId="27" fillId="0" borderId="0" xfId="0" applyNumberFormat="1" applyFont="1" applyAlignment="1">
      <alignment horizontal="right"/>
    </xf>
    <xf numFmtId="37" fontId="27" fillId="0" borderId="0" xfId="0" applyNumberFormat="1" applyFont="1" applyAlignment="1">
      <alignment horizontal="right"/>
    </xf>
    <xf numFmtId="0" fontId="29" fillId="0" borderId="0" xfId="3">
      <alignment vertical="center"/>
    </xf>
    <xf numFmtId="10" fontId="25" fillId="0" borderId="0" xfId="0" applyNumberFormat="1" applyFont="1"/>
    <xf numFmtId="0" fontId="30" fillId="0" borderId="0" xfId="0" applyFont="1" applyAlignment="1">
      <alignment horizontal="center"/>
    </xf>
    <xf numFmtId="39" fontId="30" fillId="0" borderId="0" xfId="0" applyNumberFormat="1" applyFont="1" applyAlignment="1">
      <alignment horizontal="right"/>
    </xf>
    <xf numFmtId="37" fontId="30" fillId="0" borderId="0" xfId="0" applyNumberFormat="1" applyFont="1" applyAlignment="1">
      <alignment horizontal="right"/>
    </xf>
    <xf numFmtId="0" fontId="30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3" xfId="0" applyFont="1" applyBorder="1" applyAlignment="1">
      <alignment horizontal="center"/>
    </xf>
    <xf numFmtId="39" fontId="27" fillId="0" borderId="3" xfId="0" applyNumberFormat="1" applyFont="1" applyBorder="1" applyAlignment="1">
      <alignment horizontal="right"/>
    </xf>
    <xf numFmtId="37" fontId="28" fillId="0" borderId="3" xfId="0" applyNumberFormat="1" applyFont="1" applyBorder="1" applyAlignment="1">
      <alignment horizontal="right"/>
    </xf>
    <xf numFmtId="10" fontId="26" fillId="0" borderId="3" xfId="0" applyNumberFormat="1" applyFont="1" applyBorder="1"/>
    <xf numFmtId="0" fontId="28" fillId="0" borderId="3" xfId="0" applyFont="1" applyBorder="1" applyAlignment="1">
      <alignment horizontal="left"/>
    </xf>
    <xf numFmtId="39" fontId="28" fillId="0" borderId="3" xfId="0" applyNumberFormat="1" applyFont="1" applyBorder="1" applyAlignment="1">
      <alignment horizontal="right"/>
    </xf>
    <xf numFmtId="0" fontId="28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5" fillId="0" borderId="2" xfId="0" applyNumberFormat="1" applyFont="1" applyBorder="1"/>
    <xf numFmtId="10" fontId="26" fillId="0" borderId="0" xfId="0" applyNumberFormat="1" applyFont="1"/>
    <xf numFmtId="0" fontId="25" fillId="0" borderId="2" xfId="0" applyFont="1" applyBorder="1"/>
    <xf numFmtId="10" fontId="30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4" xfId="0" applyNumberFormat="1" applyFont="1" applyBorder="1"/>
    <xf numFmtId="10" fontId="21" fillId="0" borderId="0" xfId="0" applyNumberFormat="1" applyFont="1"/>
    <xf numFmtId="168" fontId="3" fillId="0" borderId="0" xfId="0" applyNumberFormat="1" applyFont="1"/>
    <xf numFmtId="168" fontId="3" fillId="0" borderId="0" xfId="0" applyNumberFormat="1" applyFont="1" applyAlignment="1">
      <alignment horizontal="right"/>
    </xf>
    <xf numFmtId="4" fontId="25" fillId="0" borderId="0" xfId="0" applyNumberFormat="1" applyFont="1" applyAlignment="1">
      <alignment horizontal="right"/>
    </xf>
    <xf numFmtId="4" fontId="25" fillId="0" borderId="3" xfId="0" applyNumberFormat="1" applyFont="1" applyBorder="1" applyAlignment="1">
      <alignment horizontal="right"/>
    </xf>
    <xf numFmtId="4" fontId="25" fillId="0" borderId="0" xfId="0" applyNumberFormat="1" applyFont="1"/>
    <xf numFmtId="169" fontId="11" fillId="0" borderId="0" xfId="0" applyNumberFormat="1" applyFont="1"/>
    <xf numFmtId="9" fontId="31" fillId="0" borderId="0" xfId="0" applyNumberFormat="1" applyFont="1" applyAlignment="1">
      <alignment horizontal="right"/>
    </xf>
    <xf numFmtId="169" fontId="9" fillId="0" borderId="0" xfId="0" applyNumberFormat="1" applyFont="1"/>
    <xf numFmtId="166" fontId="31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69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opLeftCell="A20" zoomScaleNormal="100" workbookViewId="0">
      <selection activeCell="C33" sqref="C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144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95" t="s">
        <v>161</v>
      </c>
      <c r="C4" s="95"/>
      <c r="D4" s="95"/>
      <c r="E4" s="95"/>
    </row>
    <row r="6" spans="1:5">
      <c r="A6" s="20" t="s">
        <v>62</v>
      </c>
      <c r="B6" s="19" t="s">
        <v>151</v>
      </c>
      <c r="C6" s="50"/>
    </row>
    <row r="7" spans="1:5">
      <c r="B7" s="95" t="s">
        <v>156</v>
      </c>
      <c r="C7" s="95"/>
      <c r="D7" s="95"/>
      <c r="E7" s="95"/>
    </row>
    <row r="9" spans="1:5">
      <c r="B9" s="23" t="s">
        <v>54</v>
      </c>
    </row>
    <row r="10" spans="1:5">
      <c r="B10" s="1" t="s">
        <v>60</v>
      </c>
      <c r="C10" s="82">
        <f>Market_Yield!D16</f>
        <v>8.6999999999999994E-2</v>
      </c>
    </row>
    <row r="11" spans="1:5">
      <c r="B11" s="1" t="s">
        <v>50</v>
      </c>
      <c r="C11" s="82">
        <f>Market_Yield!C5</f>
        <v>1.9E-2</v>
      </c>
    </row>
    <row r="12" spans="1:5">
      <c r="C12" s="4"/>
    </row>
    <row r="13" spans="1:5">
      <c r="B13" s="23" t="s">
        <v>55</v>
      </c>
      <c r="C13" s="4"/>
    </row>
    <row r="14" spans="1:5">
      <c r="B14" s="1" t="s">
        <v>153</v>
      </c>
      <c r="C14" s="4" t="s">
        <v>154</v>
      </c>
    </row>
    <row r="15" spans="1:5">
      <c r="B15" s="1" t="s">
        <v>138</v>
      </c>
      <c r="C15" s="24" t="s">
        <v>136</v>
      </c>
    </row>
    <row r="16" spans="1:5">
      <c r="B16" s="1" t="s">
        <v>139</v>
      </c>
      <c r="C16" s="24" t="s">
        <v>137</v>
      </c>
    </row>
    <row r="18" spans="1:5">
      <c r="B18" s="23" t="s">
        <v>56</v>
      </c>
    </row>
    <row r="19" spans="1:5">
      <c r="B19" s="24" t="s">
        <v>89</v>
      </c>
    </row>
    <row r="20" spans="1:5">
      <c r="B20" s="24" t="s">
        <v>77</v>
      </c>
    </row>
    <row r="21" spans="1:5">
      <c r="B21" s="24" t="s">
        <v>152</v>
      </c>
    </row>
    <row r="23" spans="1:5">
      <c r="A23" s="25" t="s">
        <v>63</v>
      </c>
      <c r="B23" s="19" t="s">
        <v>150</v>
      </c>
      <c r="C23" s="50"/>
    </row>
    <row r="24" spans="1:5">
      <c r="A24" s="18"/>
      <c r="B24" s="95" t="s">
        <v>160</v>
      </c>
      <c r="C24" s="95"/>
      <c r="D24" s="95"/>
      <c r="E24" s="95"/>
    </row>
    <row r="25" spans="1:5">
      <c r="A25" s="18"/>
    </row>
    <row r="26" spans="1:5">
      <c r="A26" s="18"/>
      <c r="B26" s="44" t="s">
        <v>140</v>
      </c>
      <c r="C26" s="44" t="s">
        <v>135</v>
      </c>
    </row>
    <row r="27" spans="1:5">
      <c r="B27" s="26" t="s">
        <v>78</v>
      </c>
      <c r="C27" s="45">
        <v>4</v>
      </c>
    </row>
    <row r="28" spans="1:5">
      <c r="B28" s="26" t="s">
        <v>59</v>
      </c>
      <c r="C28" s="46">
        <v>0.5</v>
      </c>
    </row>
    <row r="30" spans="1:5">
      <c r="A30" s="20" t="s">
        <v>64</v>
      </c>
      <c r="B30" s="19" t="s">
        <v>12</v>
      </c>
      <c r="C30" s="50"/>
      <c r="D30" s="22"/>
    </row>
    <row r="31" spans="1:5">
      <c r="B31" s="1" t="s">
        <v>230</v>
      </c>
      <c r="C31" s="43">
        <f>C33+15%</f>
        <v>0.33699999999999997</v>
      </c>
      <c r="D31" s="1" t="s">
        <v>234</v>
      </c>
      <c r="E31" s="88">
        <v>0.3</v>
      </c>
    </row>
    <row r="32" spans="1:5">
      <c r="B32" s="1" t="s">
        <v>231</v>
      </c>
      <c r="C32" s="92">
        <f>-(E32*C31-2*C31*E31)/(1-E32)</f>
        <v>-0.20220000000000005</v>
      </c>
      <c r="D32" s="1" t="s">
        <v>235</v>
      </c>
      <c r="E32" s="89">
        <f>3/4</f>
        <v>0.75</v>
      </c>
    </row>
    <row r="33" spans="1:5">
      <c r="B33" s="1" t="s">
        <v>232</v>
      </c>
      <c r="C33" s="43">
        <f>benchmark+10%</f>
        <v>0.187</v>
      </c>
      <c r="D33" s="1" t="s">
        <v>234</v>
      </c>
      <c r="E33" s="90">
        <f>(E32*C33+(1-E32)*C34)/(2*C33)</f>
        <v>0.13957219251336894</v>
      </c>
    </row>
    <row r="34" spans="1:5">
      <c r="B34" s="1" t="s">
        <v>233</v>
      </c>
      <c r="C34" s="92">
        <f>C32+(C33-C31)</f>
        <v>-0.35220000000000001</v>
      </c>
      <c r="D34" s="18" t="s">
        <v>52</v>
      </c>
      <c r="E34" s="91">
        <v>3</v>
      </c>
    </row>
    <row r="35" spans="1:5">
      <c r="B35" s="1" t="s">
        <v>13</v>
      </c>
      <c r="C35" s="93">
        <f>MAX(6%,Market_Yield!C5:D6)</f>
        <v>0.06</v>
      </c>
    </row>
    <row r="37" spans="1:5">
      <c r="B37" s="20" t="s">
        <v>79</v>
      </c>
    </row>
    <row r="38" spans="1:5">
      <c r="B38" s="95" t="s">
        <v>141</v>
      </c>
      <c r="C38" s="95"/>
      <c r="D38" s="95"/>
      <c r="E38" s="95"/>
    </row>
    <row r="39" spans="1:5" ht="46.5" customHeight="1">
      <c r="B39" s="95" t="s">
        <v>171</v>
      </c>
      <c r="C39" s="95"/>
      <c r="D39" s="95"/>
      <c r="E39" s="95"/>
    </row>
    <row r="41" spans="1:5">
      <c r="A41" s="21" t="s">
        <v>146</v>
      </c>
      <c r="B41" s="21"/>
      <c r="C41" s="21"/>
      <c r="D41" s="21"/>
      <c r="E41" s="21"/>
    </row>
    <row r="43" spans="1:5">
      <c r="B43" s="95" t="s">
        <v>155</v>
      </c>
      <c r="C43" s="95"/>
      <c r="D43" s="95"/>
      <c r="E43" s="95"/>
    </row>
    <row r="45" spans="1:5">
      <c r="B45" s="23" t="s">
        <v>81</v>
      </c>
    </row>
    <row r="47" spans="1:5">
      <c r="B47" s="44" t="s">
        <v>82</v>
      </c>
      <c r="C47" s="44" t="s">
        <v>149</v>
      </c>
      <c r="D47" s="48"/>
      <c r="E47" s="48"/>
    </row>
    <row r="48" spans="1:5">
      <c r="B48" s="26" t="s">
        <v>236</v>
      </c>
      <c r="C48" s="29">
        <v>0.5</v>
      </c>
      <c r="D48" s="49"/>
      <c r="E48" s="47"/>
    </row>
    <row r="49" spans="2:5">
      <c r="B49" s="26" t="s">
        <v>237</v>
      </c>
      <c r="C49" s="29">
        <v>0.35</v>
      </c>
      <c r="D49" s="49"/>
      <c r="E49" s="47"/>
    </row>
    <row r="50" spans="2:5">
      <c r="B50" s="26" t="s">
        <v>238</v>
      </c>
      <c r="C50" s="29">
        <v>0.2</v>
      </c>
      <c r="D50" s="51" t="s">
        <v>162</v>
      </c>
      <c r="E50" s="47"/>
    </row>
    <row r="52" spans="2:5">
      <c r="B52" s="23" t="s">
        <v>80</v>
      </c>
    </row>
    <row r="54" spans="2:5">
      <c r="B54" s="44" t="s">
        <v>83</v>
      </c>
      <c r="C54" s="44" t="s">
        <v>84</v>
      </c>
      <c r="D54" s="44" t="s">
        <v>85</v>
      </c>
      <c r="E54" s="44" t="s">
        <v>86</v>
      </c>
    </row>
    <row r="55" spans="2:5">
      <c r="B55" s="26" t="s">
        <v>65</v>
      </c>
      <c r="C55" s="26" t="s">
        <v>69</v>
      </c>
      <c r="D55" s="26" t="s">
        <v>70</v>
      </c>
      <c r="E55" s="40">
        <v>0</v>
      </c>
    </row>
    <row r="56" spans="2:5">
      <c r="B56" s="26" t="s">
        <v>66</v>
      </c>
      <c r="C56" s="26" t="s">
        <v>67</v>
      </c>
      <c r="D56" s="26" t="s">
        <v>71</v>
      </c>
      <c r="E56" s="40">
        <v>1</v>
      </c>
    </row>
    <row r="57" spans="2:5">
      <c r="B57" s="26" t="s">
        <v>239</v>
      </c>
      <c r="C57" s="26" t="s">
        <v>240</v>
      </c>
      <c r="D57" s="26" t="s">
        <v>241</v>
      </c>
      <c r="E57" s="40">
        <v>0</v>
      </c>
    </row>
    <row r="58" spans="2:5">
      <c r="B58" s="26" t="s">
        <v>242</v>
      </c>
      <c r="C58" s="26" t="s">
        <v>181</v>
      </c>
      <c r="D58" s="26" t="s">
        <v>182</v>
      </c>
      <c r="E58" s="40">
        <v>2</v>
      </c>
    </row>
    <row r="59" spans="2:5">
      <c r="B59" s="26" t="s">
        <v>243</v>
      </c>
      <c r="C59" s="26" t="s">
        <v>68</v>
      </c>
      <c r="D59" s="26" t="s">
        <v>72</v>
      </c>
      <c r="E59" s="40">
        <v>1</v>
      </c>
    </row>
    <row r="60" spans="2:5">
      <c r="D60" s="27" t="s">
        <v>73</v>
      </c>
      <c r="E60" s="39">
        <f>SUM(E55:E59)</f>
        <v>4</v>
      </c>
    </row>
    <row r="61" spans="2:5" ht="12" thickBot="1">
      <c r="D61" s="41" t="s">
        <v>148</v>
      </c>
      <c r="E61" s="42">
        <f>IF(E60&lt;=4,C48,IF(E60&gt;=8,C50,C49))</f>
        <v>0.5</v>
      </c>
    </row>
    <row r="62" spans="2:5" ht="12" thickTop="1"/>
    <row r="63" spans="2:5">
      <c r="B63" s="1" t="s">
        <v>244</v>
      </c>
    </row>
    <row r="65" spans="1:5">
      <c r="A65" s="21" t="s">
        <v>74</v>
      </c>
      <c r="B65" s="21"/>
      <c r="C65" s="21"/>
      <c r="D65" s="21"/>
      <c r="E65" s="21"/>
    </row>
    <row r="67" spans="1:5">
      <c r="B67" s="95" t="s">
        <v>147</v>
      </c>
      <c r="C67" s="95"/>
      <c r="D67" s="95"/>
      <c r="E67" s="95"/>
    </row>
    <row r="69" spans="1:5">
      <c r="A69" s="28" t="s">
        <v>62</v>
      </c>
      <c r="B69" s="20" t="s">
        <v>145</v>
      </c>
    </row>
    <row r="70" spans="1:5">
      <c r="B70" s="24" t="s">
        <v>163</v>
      </c>
    </row>
    <row r="72" spans="1:5">
      <c r="A72" s="28" t="s">
        <v>245</v>
      </c>
      <c r="B72" s="20" t="s">
        <v>158</v>
      </c>
    </row>
    <row r="73" spans="1:5">
      <c r="B73" s="1" t="s">
        <v>246</v>
      </c>
    </row>
    <row r="74" spans="1:5">
      <c r="B74" s="24" t="s">
        <v>247</v>
      </c>
      <c r="C74" s="94" t="s">
        <v>248</v>
      </c>
    </row>
    <row r="75" spans="1:5">
      <c r="B75" s="24" t="s">
        <v>249</v>
      </c>
      <c r="C75" s="94" t="s">
        <v>250</v>
      </c>
    </row>
    <row r="77" spans="1:5">
      <c r="B77" s="1" t="s">
        <v>251</v>
      </c>
    </row>
    <row r="78" spans="1:5">
      <c r="B78" s="1" t="s">
        <v>252</v>
      </c>
    </row>
    <row r="80" spans="1:5">
      <c r="A80" s="21" t="s">
        <v>75</v>
      </c>
      <c r="B80" s="21"/>
      <c r="C80" s="21"/>
      <c r="D80" s="21"/>
      <c r="E80" s="21"/>
    </row>
    <row r="82" spans="2:2">
      <c r="B82" s="20" t="s">
        <v>76</v>
      </c>
    </row>
    <row r="83" spans="2:2">
      <c r="B83" s="24" t="s">
        <v>87</v>
      </c>
    </row>
    <row r="84" spans="2:2">
      <c r="B84" s="24" t="s">
        <v>88</v>
      </c>
    </row>
    <row r="85" spans="2:2">
      <c r="B85" s="24" t="s">
        <v>159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0" zoomScaleNormal="11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4" customWidth="1"/>
    <col min="21" max="21" width="9.46484375" style="15" bestFit="1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98" t="s">
        <v>1</v>
      </c>
      <c r="E1" s="98"/>
      <c r="F1" s="98"/>
      <c r="G1" s="99" t="s">
        <v>90</v>
      </c>
      <c r="H1" s="99"/>
      <c r="I1" s="99"/>
      <c r="J1" s="101" t="s">
        <v>4</v>
      </c>
      <c r="K1" s="101"/>
      <c r="L1" s="101"/>
      <c r="M1" s="100" t="s">
        <v>180</v>
      </c>
      <c r="N1" s="100"/>
      <c r="O1" s="96" t="s">
        <v>8</v>
      </c>
      <c r="P1" s="96"/>
      <c r="Q1" s="103" t="s">
        <v>215</v>
      </c>
      <c r="R1" s="103"/>
      <c r="S1" s="103"/>
      <c r="T1" s="103"/>
      <c r="U1" s="102" t="s">
        <v>214</v>
      </c>
      <c r="V1" s="102"/>
      <c r="W1" s="102"/>
      <c r="X1" s="97" t="s">
        <v>49</v>
      </c>
      <c r="Y1" s="97"/>
      <c r="Z1" s="97"/>
      <c r="AA1" s="9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192</v>
      </c>
      <c r="F2" s="7" t="s">
        <v>191</v>
      </c>
      <c r="G2" s="7" t="s">
        <v>57</v>
      </c>
      <c r="H2" s="7" t="s">
        <v>58</v>
      </c>
      <c r="I2" s="7" t="s">
        <v>157</v>
      </c>
      <c r="J2" s="8" t="s">
        <v>7</v>
      </c>
      <c r="K2" s="8" t="s">
        <v>10</v>
      </c>
      <c r="L2" s="8" t="s">
        <v>190</v>
      </c>
      <c r="M2" s="8" t="s">
        <v>179</v>
      </c>
      <c r="N2" s="8" t="s">
        <v>189</v>
      </c>
      <c r="O2" s="7" t="s">
        <v>11</v>
      </c>
      <c r="P2" s="7" t="s">
        <v>6</v>
      </c>
      <c r="Q2" s="7" t="s">
        <v>216</v>
      </c>
      <c r="R2" s="7" t="s">
        <v>222</v>
      </c>
      <c r="S2" s="7" t="s">
        <v>217</v>
      </c>
      <c r="T2" s="7" t="s">
        <v>218</v>
      </c>
      <c r="U2" s="7" t="s">
        <v>176</v>
      </c>
      <c r="V2" s="7" t="s">
        <v>178</v>
      </c>
      <c r="W2" s="7" t="s">
        <v>177</v>
      </c>
      <c r="X2" s="7" t="s">
        <v>5</v>
      </c>
      <c r="Y2" s="7" t="s">
        <v>209</v>
      </c>
      <c r="Z2" s="9" t="s">
        <v>9</v>
      </c>
      <c r="AA2" s="10" t="s">
        <v>48</v>
      </c>
    </row>
    <row r="3" spans="1:27">
      <c r="B3" s="11" t="s">
        <v>206</v>
      </c>
      <c r="C3" s="11" t="s">
        <v>207</v>
      </c>
      <c r="D3" s="2">
        <v>15.02</v>
      </c>
      <c r="E3" s="12" t="s">
        <v>186</v>
      </c>
      <c r="F3" s="15">
        <v>0.18832775240825339</v>
      </c>
      <c r="G3" s="15">
        <f>F3 - Portfolio_Mgmt!$C$10</f>
        <v>0.1013277524082534</v>
      </c>
      <c r="H3" s="15">
        <f>F3 - Portfolio_Mgmt!$C$11</f>
        <v>0.1693277524082534</v>
      </c>
      <c r="I3" s="15">
        <v>0.16052832211647231</v>
      </c>
      <c r="J3" s="2">
        <v>10.755129516558478</v>
      </c>
      <c r="K3" s="2">
        <v>21.769702959467441</v>
      </c>
      <c r="L3" s="75">
        <v>20.82831579044063</v>
      </c>
      <c r="M3" s="2">
        <v>15.067903135098593</v>
      </c>
      <c r="N3" s="2">
        <v>19.377597519813985</v>
      </c>
      <c r="O3" s="4">
        <v>7.8363732707011899E-2</v>
      </c>
      <c r="P3" s="4">
        <v>6.3515312916111857E-2</v>
      </c>
      <c r="Q3" s="4">
        <v>0.2026552385945618</v>
      </c>
      <c r="R3" s="4">
        <v>0.16696657384597549</v>
      </c>
      <c r="S3" s="83">
        <v>0.62476296032712075</v>
      </c>
      <c r="T3" s="84">
        <v>1.9427325871638936</v>
      </c>
      <c r="U3" s="15">
        <v>6.0553888114002474E-2</v>
      </c>
      <c r="V3" s="80">
        <v>0.30099118789407647</v>
      </c>
      <c r="W3" s="75">
        <v>-0.43338518935931036</v>
      </c>
      <c r="X3" s="13" t="s">
        <v>208</v>
      </c>
      <c r="Y3" s="11" t="s">
        <v>143</v>
      </c>
      <c r="Z3" s="14">
        <v>45900</v>
      </c>
      <c r="AA3" s="16" t="s">
        <v>220</v>
      </c>
    </row>
    <row r="4" spans="1:27">
      <c r="B4" s="11" t="s">
        <v>187</v>
      </c>
      <c r="C4" s="11" t="s">
        <v>188</v>
      </c>
      <c r="D4" s="2">
        <v>55.22</v>
      </c>
      <c r="E4" s="12" t="s">
        <v>186</v>
      </c>
      <c r="F4" s="15">
        <v>0.17869233183671951</v>
      </c>
      <c r="G4" s="15">
        <f>F4 - Portfolio_Mgmt!$C$10</f>
        <v>9.1692331836719515E-2</v>
      </c>
      <c r="H4" s="15">
        <f>F4 - Portfolio_Mgmt!$C$11</f>
        <v>0.15969233183671952</v>
      </c>
      <c r="I4" s="15">
        <v>0</v>
      </c>
      <c r="J4" s="2">
        <v>38.338860273768745</v>
      </c>
      <c r="K4" s="2">
        <v>82.72003076740333</v>
      </c>
      <c r="L4" s="75">
        <v>75.227038736174251</v>
      </c>
      <c r="M4" s="2">
        <v>54.104773980226682</v>
      </c>
      <c r="N4" s="2">
        <v>69.902328891344681</v>
      </c>
      <c r="O4" s="4">
        <v>7.8576984832034957E-2</v>
      </c>
      <c r="P4" s="4">
        <v>3.9116262223831945E-2</v>
      </c>
      <c r="Q4" s="4">
        <v>1.2182305488640417</v>
      </c>
      <c r="R4" s="4">
        <v>0.21117895977217718</v>
      </c>
      <c r="S4" s="83">
        <v>1.2904821269100146</v>
      </c>
      <c r="T4" s="84">
        <v>4.4701988818540466</v>
      </c>
      <c r="U4" s="15">
        <v>5.0341856510546588E-2</v>
      </c>
      <c r="V4" s="80">
        <v>4.1762542981319963E-2</v>
      </c>
      <c r="W4" s="75">
        <v>-13.312996389940134</v>
      </c>
      <c r="X4" s="13" t="s">
        <v>183</v>
      </c>
      <c r="Y4" s="11" t="s">
        <v>143</v>
      </c>
      <c r="Z4" s="14">
        <v>45900</v>
      </c>
      <c r="AA4" s="16" t="s">
        <v>220</v>
      </c>
    </row>
    <row r="5" spans="1:27">
      <c r="B5" s="11" t="s">
        <v>210</v>
      </c>
      <c r="C5" s="11" t="s">
        <v>211</v>
      </c>
      <c r="D5" s="2">
        <v>46.83</v>
      </c>
      <c r="E5" s="12" t="s">
        <v>186</v>
      </c>
      <c r="F5" s="15">
        <v>0.1311887749570162</v>
      </c>
      <c r="G5" s="15">
        <f>F5 - Portfolio_Mgmt!$C$10</f>
        <v>4.4188774957016203E-2</v>
      </c>
      <c r="H5" s="15">
        <f>F5 - Portfolio_Mgmt!$C$11</f>
        <v>0.11218877495701619</v>
      </c>
      <c r="I5" s="15">
        <v>0</v>
      </c>
      <c r="J5" s="2">
        <v>28.630686160261423</v>
      </c>
      <c r="K5" s="2">
        <v>64.714648137522119</v>
      </c>
      <c r="L5" s="75">
        <v>56.741377225429467</v>
      </c>
      <c r="M5" s="2">
        <v>40.629719578204039</v>
      </c>
      <c r="N5" s="2">
        <v>52.676874362859721</v>
      </c>
      <c r="O5" s="4">
        <v>4.6187899007981183E-2</v>
      </c>
      <c r="P5" s="4">
        <v>1.9218449711723255E-2</v>
      </c>
      <c r="Q5" s="4">
        <v>0.14549955248916155</v>
      </c>
      <c r="R5" s="4">
        <v>0.22405670341828193</v>
      </c>
      <c r="S5" s="83">
        <v>0.42456310191863128</v>
      </c>
      <c r="T5" s="84">
        <v>1.5295422156001708</v>
      </c>
      <c r="U5" s="15">
        <v>5.3145118525683231E-2</v>
      </c>
      <c r="V5" s="80">
        <v>0.36488435676778314</v>
      </c>
      <c r="W5" s="75">
        <v>5.6082458208015922</v>
      </c>
      <c r="X5" s="13" t="s">
        <v>208</v>
      </c>
      <c r="Y5" s="11" t="s">
        <v>143</v>
      </c>
      <c r="Z5" s="14">
        <v>45900</v>
      </c>
      <c r="AA5" s="16" t="s">
        <v>220</v>
      </c>
    </row>
    <row r="6" spans="1:27">
      <c r="B6" s="11" t="s">
        <v>197</v>
      </c>
      <c r="C6" s="11" t="s">
        <v>198</v>
      </c>
      <c r="D6" s="2">
        <v>21.55</v>
      </c>
      <c r="E6" s="12" t="s">
        <v>186</v>
      </c>
      <c r="F6" s="15">
        <v>0.12877138948591438</v>
      </c>
      <c r="G6" s="15">
        <f>F6 - Portfolio_Mgmt!$C$10</f>
        <v>4.1771389485914384E-2</v>
      </c>
      <c r="H6" s="15">
        <f>F6 - Portfolio_Mgmt!$C$11</f>
        <v>0.10977138948591438</v>
      </c>
      <c r="I6" s="15">
        <v>0</v>
      </c>
      <c r="J6" s="2">
        <v>13.256008806508849</v>
      </c>
      <c r="K6" s="2">
        <v>27.746753827145845</v>
      </c>
      <c r="L6" s="75">
        <v>25.846762954608369</v>
      </c>
      <c r="M6" s="2">
        <v>18.641740581682459</v>
      </c>
      <c r="N6" s="2">
        <v>24.031296839608316</v>
      </c>
      <c r="O6" s="4">
        <v>6.145062282014848E-2</v>
      </c>
      <c r="P6" s="4">
        <v>4.4269141531322505E-2</v>
      </c>
      <c r="Q6" s="4">
        <v>0.15648173464349882</v>
      </c>
      <c r="R6" s="4">
        <v>0.13375671427886937</v>
      </c>
      <c r="S6" s="83">
        <v>0.66633267926556194</v>
      </c>
      <c r="T6" s="84">
        <v>1.7557268340491488</v>
      </c>
      <c r="U6" s="15">
        <v>0.3857437197038544</v>
      </c>
      <c r="V6" s="80">
        <v>2.3913910654887354</v>
      </c>
      <c r="W6" s="75">
        <v>3.5427832354191278</v>
      </c>
      <c r="X6" s="13" t="s">
        <v>199</v>
      </c>
      <c r="Y6" s="11" t="s">
        <v>143</v>
      </c>
      <c r="Z6" s="14">
        <v>45900</v>
      </c>
      <c r="AA6" s="16" t="s">
        <v>220</v>
      </c>
    </row>
    <row r="7" spans="1:27">
      <c r="B7" s="11" t="s">
        <v>184</v>
      </c>
      <c r="C7" s="11" t="s">
        <v>185</v>
      </c>
      <c r="D7" s="2">
        <v>65.209999999999994</v>
      </c>
      <c r="E7" s="12" t="s">
        <v>186</v>
      </c>
      <c r="F7" s="15">
        <v>0.12121926297583663</v>
      </c>
      <c r="G7" s="15">
        <f>F7 - Portfolio_Mgmt!$C$10</f>
        <v>3.4219262975836634E-2</v>
      </c>
      <c r="H7" s="15">
        <f>F7 - Portfolio_Mgmt!$C$11</f>
        <v>0.10221926297583663</v>
      </c>
      <c r="I7" s="15">
        <v>0</v>
      </c>
      <c r="J7" s="2">
        <v>39.764265539137753</v>
      </c>
      <c r="K7" s="2">
        <v>77.785604602754844</v>
      </c>
      <c r="L7" s="75">
        <v>76.489631443032536</v>
      </c>
      <c r="M7" s="2">
        <v>55.502548055026942</v>
      </c>
      <c r="N7" s="2">
        <v>71.206942663777582</v>
      </c>
      <c r="O7" s="4">
        <v>5.5503371802641525E-2</v>
      </c>
      <c r="P7" s="4">
        <v>6.4135868731789614E-2</v>
      </c>
      <c r="Q7" s="4">
        <v>0.14093304007128551</v>
      </c>
      <c r="R7" s="4">
        <v>0.29188024664664569</v>
      </c>
      <c r="S7" s="83">
        <v>0.37062368553626046</v>
      </c>
      <c r="T7" s="84">
        <v>1.3027915865121182</v>
      </c>
      <c r="U7" s="15">
        <v>7.7640983998987034E-4</v>
      </c>
      <c r="V7" s="80">
        <v>5.5975167910006915E-3</v>
      </c>
      <c r="W7" s="75">
        <v>15.284602440692964</v>
      </c>
      <c r="X7" s="13" t="s">
        <v>183</v>
      </c>
      <c r="Y7" s="11" t="s">
        <v>143</v>
      </c>
      <c r="Z7" s="14">
        <v>45900</v>
      </c>
      <c r="AA7" s="16" t="s">
        <v>221</v>
      </c>
    </row>
    <row r="8" spans="1:27">
      <c r="B8" s="11" t="s">
        <v>223</v>
      </c>
      <c r="C8" s="11" t="s">
        <v>224</v>
      </c>
      <c r="D8" s="2">
        <v>10.18</v>
      </c>
      <c r="E8" s="12" t="s">
        <v>186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6.0252106849259528</v>
      </c>
      <c r="K8" s="2">
        <v>12.91528670453229</v>
      </c>
      <c r="L8" s="75">
        <v>11.80620806482221</v>
      </c>
      <c r="M8" s="2">
        <v>8.4964380432942921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3">
        <v>0.30413488760323032</v>
      </c>
      <c r="T8" s="84">
        <v>1.6800075256655485</v>
      </c>
      <c r="U8" s="15">
        <v>9.2587702159681276E-2</v>
      </c>
      <c r="V8" s="80">
        <v>2.0939079363495856</v>
      </c>
      <c r="W8" s="75">
        <v>2.6400638402357823</v>
      </c>
      <c r="X8" s="13" t="s">
        <v>225</v>
      </c>
      <c r="Y8" s="11" t="s">
        <v>226</v>
      </c>
      <c r="Z8" s="14">
        <v>45900</v>
      </c>
      <c r="AA8" s="16" t="s">
        <v>220</v>
      </c>
    </row>
    <row r="9" spans="1:27">
      <c r="B9" s="11" t="s">
        <v>200</v>
      </c>
      <c r="C9" s="11" t="s">
        <v>201</v>
      </c>
      <c r="D9" s="2">
        <v>5.57</v>
      </c>
      <c r="E9" s="12" t="s">
        <v>186</v>
      </c>
      <c r="F9" s="15">
        <v>0.10882144095987556</v>
      </c>
      <c r="G9" s="15">
        <f>F9 - Portfolio_Mgmt!$C$10</f>
        <v>2.1821440959875565E-2</v>
      </c>
      <c r="H9" s="15">
        <f>F9 - Portfolio_Mgmt!$C$11</f>
        <v>8.9821440959875556E-2</v>
      </c>
      <c r="I9" s="15">
        <v>0</v>
      </c>
      <c r="J9" s="2">
        <v>3.2367222690014161</v>
      </c>
      <c r="K9" s="2">
        <v>6.9895661568976033</v>
      </c>
      <c r="L9" s="75">
        <v>6.3521223870188166</v>
      </c>
      <c r="M9" s="2">
        <v>4.5682049056603367</v>
      </c>
      <c r="N9" s="2">
        <v>5.902408832447132</v>
      </c>
      <c r="O9" s="4">
        <v>4.1292656520907418E-2</v>
      </c>
      <c r="P9" s="4">
        <v>3.2477558348294432E-2</v>
      </c>
      <c r="Q9" s="4">
        <v>4.9029562887232557E-2</v>
      </c>
      <c r="R9" s="4">
        <v>5.0475725130946753E-2</v>
      </c>
      <c r="S9" s="83">
        <v>0.56944999111533989</v>
      </c>
      <c r="T9" s="84">
        <v>1.7057676125178334</v>
      </c>
      <c r="U9" s="15">
        <v>2.5694600492681609E-2</v>
      </c>
      <c r="V9" s="80">
        <v>0.53421555755411909</v>
      </c>
      <c r="W9" s="75">
        <v>-0.36074239393771346</v>
      </c>
      <c r="X9" s="13" t="s">
        <v>202</v>
      </c>
      <c r="Y9" s="11" t="s">
        <v>143</v>
      </c>
      <c r="Z9" s="14">
        <v>45900</v>
      </c>
      <c r="AA9" s="16" t="s">
        <v>220</v>
      </c>
    </row>
    <row r="10" spans="1:27">
      <c r="B10" s="11" t="s">
        <v>193</v>
      </c>
      <c r="C10" s="11" t="s">
        <v>194</v>
      </c>
      <c r="D10" s="2">
        <v>24.07</v>
      </c>
      <c r="E10" s="12" t="s">
        <v>186</v>
      </c>
      <c r="F10" s="15">
        <v>8.009974005597531E-2</v>
      </c>
      <c r="G10" s="15">
        <f>F10 - Portfolio_Mgmt!$C$10</f>
        <v>-6.9002599440246837E-3</v>
      </c>
      <c r="H10" s="15">
        <f>F10 - Portfolio_Mgmt!$C$11</f>
        <v>6.1099740055975307E-2</v>
      </c>
      <c r="I10" s="15">
        <v>0</v>
      </c>
      <c r="J10" s="2">
        <v>13.079690025486418</v>
      </c>
      <c r="K10" s="2">
        <v>26.888151196428591</v>
      </c>
      <c r="L10" s="75">
        <v>25.409202896038835</v>
      </c>
      <c r="M10" s="2">
        <v>18.356272555350223</v>
      </c>
      <c r="N10" s="2">
        <v>23.632551844105855</v>
      </c>
      <c r="O10" s="4">
        <v>0.2293878817194781</v>
      </c>
      <c r="P10" s="4">
        <v>4.4038221852928959E-2</v>
      </c>
      <c r="Q10" s="4">
        <v>0.17249144202566888</v>
      </c>
      <c r="R10" s="4">
        <v>0.71319953730480046</v>
      </c>
      <c r="S10" s="83">
        <v>2.0567862383133143E-2</v>
      </c>
      <c r="T10" s="84">
        <v>11.758917470801054</v>
      </c>
      <c r="U10" s="15" t="s">
        <v>219</v>
      </c>
      <c r="V10" s="80" t="s">
        <v>219</v>
      </c>
      <c r="W10" s="75">
        <v>-92.956751979911445</v>
      </c>
      <c r="X10" s="16" t="s">
        <v>195</v>
      </c>
      <c r="Y10" s="11" t="s">
        <v>143</v>
      </c>
      <c r="Z10" s="14">
        <v>45900</v>
      </c>
      <c r="AA10" s="16" t="s">
        <v>220</v>
      </c>
    </row>
    <row r="11" spans="1:27">
      <c r="B11" s="11" t="s">
        <v>203</v>
      </c>
      <c r="C11" s="11" t="s">
        <v>204</v>
      </c>
      <c r="D11" s="2">
        <v>20.76</v>
      </c>
      <c r="E11" s="12" t="s">
        <v>186</v>
      </c>
      <c r="F11" s="15">
        <v>7.5140533646880892E-2</v>
      </c>
      <c r="G11" s="15">
        <f>F11 - Portfolio_Mgmt!$C$10</f>
        <v>-1.1859466353119102E-2</v>
      </c>
      <c r="H11" s="15">
        <f>F11 - Portfolio_Mgmt!$C$11</f>
        <v>5.6140533646880889E-2</v>
      </c>
      <c r="I11" s="15">
        <v>0</v>
      </c>
      <c r="J11" s="2">
        <v>11.165268338950117</v>
      </c>
      <c r="K11" s="2">
        <v>22.601441956902718</v>
      </c>
      <c r="L11" s="75">
        <v>21.622888321317863</v>
      </c>
      <c r="M11" s="2">
        <v>15.642626483276317</v>
      </c>
      <c r="N11" s="2">
        <v>20.116801024749044</v>
      </c>
      <c r="O11" s="4">
        <v>5.2131251149005992E-2</v>
      </c>
      <c r="P11" s="4">
        <v>4.7687861271676305E-2</v>
      </c>
      <c r="Q11" s="4">
        <v>0.15161114820375229</v>
      </c>
      <c r="R11" s="4">
        <v>0.3932476207375345</v>
      </c>
      <c r="S11" s="83">
        <v>0.30212796693987309</v>
      </c>
      <c r="T11" s="84">
        <v>1.2760688428830085</v>
      </c>
      <c r="U11" s="15">
        <v>0.12757636177577109</v>
      </c>
      <c r="V11" s="80">
        <v>0.79731882844192148</v>
      </c>
      <c r="W11" s="75">
        <v>2.5713378719718771</v>
      </c>
      <c r="X11" s="13" t="s">
        <v>205</v>
      </c>
      <c r="Y11" s="11" t="s">
        <v>143</v>
      </c>
      <c r="Z11" s="14">
        <v>45900</v>
      </c>
      <c r="AA11" s="16" t="s">
        <v>220</v>
      </c>
    </row>
    <row r="12" spans="1:27">
      <c r="B12" s="11" t="s">
        <v>212</v>
      </c>
      <c r="C12" s="11" t="s">
        <v>213</v>
      </c>
      <c r="D12" s="2">
        <v>14.5</v>
      </c>
      <c r="E12" s="12" t="s">
        <v>186</v>
      </c>
      <c r="F12" s="15">
        <v>-8.1220829943830841E-2</v>
      </c>
      <c r="G12" s="15">
        <f>F12 - Portfolio_Mgmt!$C$10</f>
        <v>-0.16822082994383084</v>
      </c>
      <c r="H12" s="15">
        <f>F12 - Portfolio_Mgmt!$C$11</f>
        <v>-0.10022082994383084</v>
      </c>
      <c r="I12" s="15">
        <v>0</v>
      </c>
      <c r="J12" s="2">
        <v>4.9106169541815241</v>
      </c>
      <c r="K12" s="2">
        <v>10.251430255232371</v>
      </c>
      <c r="L12" s="75">
        <v>9.5695828227600401</v>
      </c>
      <c r="M12" s="2">
        <v>6.9036475281066911</v>
      </c>
      <c r="N12" s="2">
        <v>8.8978683003699235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3">
        <v>0.50157874313934503</v>
      </c>
      <c r="T12" s="84">
        <v>1.1665094444773738</v>
      </c>
      <c r="U12" s="15">
        <v>4.1494671576720196E-2</v>
      </c>
      <c r="V12" s="80">
        <v>0.57353573509526667</v>
      </c>
      <c r="W12" s="75">
        <v>3.275077370273292</v>
      </c>
      <c r="X12" s="13" t="s">
        <v>208</v>
      </c>
      <c r="Y12" s="11" t="s">
        <v>143</v>
      </c>
      <c r="Z12" s="14">
        <v>45900</v>
      </c>
      <c r="AA12" s="11" t="s">
        <v>221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2" sqref="C12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134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53</v>
      </c>
      <c r="C9" s="28" t="s">
        <v>22</v>
      </c>
      <c r="D9" s="28" t="s">
        <v>196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61</v>
      </c>
      <c r="C16" s="37">
        <f>MAX(Portfolio_Mgmt!C35,C10:C15)</f>
        <v>0.1174</v>
      </c>
      <c r="D16" s="81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topLeftCell="A2" zoomScale="150" workbookViewId="0">
      <selection activeCell="F16" sqref="F16"/>
    </sheetView>
  </sheetViews>
  <sheetFormatPr defaultColWidth="9" defaultRowHeight="12.75"/>
  <cols>
    <col min="1" max="1" width="2.6640625" style="54" customWidth="1"/>
    <col min="2" max="2" width="16.6640625" style="54" bestFit="1" customWidth="1"/>
    <col min="3" max="4" width="9" style="54"/>
    <col min="5" max="6" width="15.6640625" style="54" customWidth="1"/>
    <col min="7" max="8" width="10" style="54" customWidth="1"/>
    <col min="9" max="12" width="10" style="87" customWidth="1"/>
    <col min="13" max="16384" width="9" style="54"/>
  </cols>
  <sheetData>
    <row r="1" spans="1:12" ht="13.15">
      <c r="A1" s="52"/>
      <c r="B1" s="53" t="s">
        <v>164</v>
      </c>
      <c r="I1" s="54"/>
      <c r="J1" s="54"/>
      <c r="K1" s="54"/>
      <c r="L1" s="54"/>
    </row>
    <row r="2" spans="1:12" ht="29.75" customHeight="1">
      <c r="B2" s="55" t="s">
        <v>2</v>
      </c>
      <c r="C2" s="55" t="s">
        <v>167</v>
      </c>
      <c r="D2" s="55" t="s">
        <v>166</v>
      </c>
      <c r="E2" s="55" t="s">
        <v>165</v>
      </c>
      <c r="F2" s="55" t="s">
        <v>170</v>
      </c>
      <c r="G2" s="55" t="s">
        <v>175</v>
      </c>
      <c r="H2" s="55" t="s">
        <v>157</v>
      </c>
      <c r="I2" s="55" t="s">
        <v>179</v>
      </c>
      <c r="J2" s="55" t="s">
        <v>229</v>
      </c>
      <c r="K2" s="55" t="s">
        <v>227</v>
      </c>
      <c r="L2" s="55" t="s">
        <v>228</v>
      </c>
    </row>
    <row r="3" spans="1:12">
      <c r="B3" s="66" t="s">
        <v>26</v>
      </c>
      <c r="C3" s="64" t="s">
        <v>169</v>
      </c>
      <c r="D3" s="63" t="s">
        <v>168</v>
      </c>
      <c r="E3" s="65" t="s">
        <v>169</v>
      </c>
      <c r="F3" s="60">
        <v>170000</v>
      </c>
      <c r="G3" s="62">
        <f t="shared" ref="G3:G4" si="0">F3/$F$11</f>
        <v>0.53575367936718032</v>
      </c>
      <c r="H3" s="79">
        <f>Portfolio_Mgmt!E61</f>
        <v>0.5</v>
      </c>
      <c r="I3" s="85" t="s">
        <v>219</v>
      </c>
      <c r="J3" s="85" t="s">
        <v>219</v>
      </c>
      <c r="K3" s="85" t="s">
        <v>219</v>
      </c>
      <c r="L3" s="85" t="s">
        <v>219</v>
      </c>
    </row>
    <row r="4" spans="1:12">
      <c r="B4" s="67" t="s">
        <v>193</v>
      </c>
      <c r="C4" s="64">
        <f>VLOOKUP(B4,Opportunities!B$3:E$30,3,FALSE)</f>
        <v>24.07</v>
      </c>
      <c r="D4" s="63" t="str">
        <f>VLOOKUP(B4,Opportunities!B$3:E$30,4,FALSE)</f>
        <v>CNY</v>
      </c>
      <c r="E4" s="60">
        <v>3000</v>
      </c>
      <c r="F4" s="65">
        <f>C4*E4</f>
        <v>72210</v>
      </c>
      <c r="G4" s="62">
        <f t="shared" si="0"/>
        <v>0.22756925404178879</v>
      </c>
      <c r="H4" s="62">
        <f>VLOOKUP(B4,Opportunities!B$3:I$30,8,FALSE)</f>
        <v>0</v>
      </c>
      <c r="I4" s="87">
        <f>VLOOKUP(B4,Opportunities!B$3:N$30,12,FALSE)</f>
        <v>18.356272555350223</v>
      </c>
      <c r="J4" s="87">
        <f>VLOOKUP(B4,Opportunities!B$3:N$30,9,FALSE)</f>
        <v>13.079690025486418</v>
      </c>
      <c r="K4" s="87">
        <f>VLOOKUP(B4,Opportunities!B$3:N$30,11,FALSE)</f>
        <v>25.409202896038835</v>
      </c>
      <c r="L4" s="87">
        <f>VLOOKUP(B4,Opportunities!B$3:N$30,13,FALSE)</f>
        <v>23.632551844105855</v>
      </c>
    </row>
    <row r="5" spans="1:12">
      <c r="B5" s="67" t="s">
        <v>206</v>
      </c>
      <c r="C5" s="64">
        <f>VLOOKUP(B5,Opportunities!B$3:E$30,3,FALSE)</f>
        <v>15.02</v>
      </c>
      <c r="D5" s="63" t="str">
        <f>VLOOKUP(B5,Opportunities!B$3:E$30,4,FALSE)</f>
        <v>CNY</v>
      </c>
      <c r="E5" s="60">
        <v>5000</v>
      </c>
      <c r="F5" s="65">
        <f>C5*E5</f>
        <v>75100</v>
      </c>
      <c r="G5" s="62">
        <f t="shared" ref="G5" si="1">F5/$F$11</f>
        <v>0.23667706659103085</v>
      </c>
      <c r="H5" s="62">
        <f>VLOOKUP(B5,Opportunities!B$3:I$30,8,FALSE)</f>
        <v>0.16052832211647231</v>
      </c>
      <c r="I5" s="87">
        <f>VLOOKUP(B5,Opportunities!B$3:N$30,12,FALSE)</f>
        <v>15.067903135098593</v>
      </c>
      <c r="J5" s="87">
        <f>VLOOKUP(B5,Opportunities!B$3:N$30,9,FALSE)</f>
        <v>10.755129516558478</v>
      </c>
      <c r="K5" s="87">
        <f>VLOOKUP(B5,Opportunities!B$3:N$30,11,FALSE)</f>
        <v>20.82831579044063</v>
      </c>
      <c r="L5" s="87">
        <f>VLOOKUP(B5,Opportunities!B$3:N$30,13,FALSE)</f>
        <v>19.377597519813985</v>
      </c>
    </row>
    <row r="6" spans="1:12">
      <c r="B6" s="67"/>
      <c r="C6" s="64"/>
      <c r="D6" s="63"/>
      <c r="E6" s="60"/>
      <c r="F6" s="65"/>
      <c r="G6" s="62"/>
      <c r="H6" s="62"/>
    </row>
    <row r="7" spans="1:12">
      <c r="B7" s="67"/>
      <c r="C7" s="64"/>
      <c r="D7" s="63"/>
      <c r="E7" s="60"/>
      <c r="F7" s="65"/>
      <c r="G7" s="62"/>
      <c r="H7" s="62"/>
    </row>
    <row r="8" spans="1:12">
      <c r="B8" s="67"/>
      <c r="C8" s="64"/>
      <c r="D8" s="63"/>
      <c r="E8" s="60"/>
      <c r="F8" s="65"/>
      <c r="G8" s="62"/>
      <c r="H8" s="62"/>
    </row>
    <row r="9" spans="1:12">
      <c r="B9" s="67"/>
      <c r="C9" s="64"/>
      <c r="D9" s="63"/>
      <c r="E9" s="60"/>
      <c r="F9" s="65"/>
      <c r="G9" s="62"/>
      <c r="H9" s="62"/>
    </row>
    <row r="10" spans="1:12">
      <c r="B10" s="56"/>
      <c r="C10" s="59"/>
      <c r="D10" s="56"/>
      <c r="H10" s="78"/>
    </row>
    <row r="11" spans="1:12" ht="13.15">
      <c r="B11" s="68"/>
      <c r="C11" s="69"/>
      <c r="D11" s="68"/>
      <c r="E11" s="70" t="s">
        <v>174</v>
      </c>
      <c r="F11" s="70">
        <f>SUM(F3:F9)</f>
        <v>317310</v>
      </c>
      <c r="G11" s="71">
        <f>SUM(G3:G9)</f>
        <v>0.99999999999999989</v>
      </c>
      <c r="H11" s="77">
        <f>SUM(H3:H9)</f>
        <v>0.66052832211647228</v>
      </c>
      <c r="I11" s="86" t="s">
        <v>219</v>
      </c>
      <c r="J11" s="86" t="s">
        <v>219</v>
      </c>
      <c r="K11" s="86" t="s">
        <v>219</v>
      </c>
      <c r="L11" s="86" t="s">
        <v>219</v>
      </c>
    </row>
    <row r="12" spans="1:12">
      <c r="B12" s="56"/>
      <c r="C12" s="59"/>
      <c r="D12" s="56"/>
      <c r="E12" s="60"/>
      <c r="F12" s="60"/>
    </row>
    <row r="13" spans="1:12" ht="13.15">
      <c r="A13" s="52"/>
      <c r="B13" s="53" t="s">
        <v>172</v>
      </c>
    </row>
    <row r="14" spans="1:12">
      <c r="B14" s="67" t="s">
        <v>193</v>
      </c>
      <c r="C14" s="64">
        <f>VLOOKUP(B14,Opportunities!B$3:E$30,3,FALSE)</f>
        <v>24.07</v>
      </c>
      <c r="D14" s="63" t="str">
        <f>VLOOKUP(B14,Opportunities!B$3:E$30,4,FALSE)</f>
        <v>CNY</v>
      </c>
      <c r="E14" s="60">
        <v>0</v>
      </c>
      <c r="F14" s="65">
        <f>-C14*E14</f>
        <v>0</v>
      </c>
      <c r="G14" s="62">
        <f>-F14/$F$11</f>
        <v>0</v>
      </c>
      <c r="H14" s="62">
        <f>VLOOKUP(B14,Opportunities!B$3:I$30,8,FALSE)</f>
        <v>0</v>
      </c>
      <c r="I14" s="87">
        <f>VLOOKUP(B14,Opportunities!B$3:N$30,12,FALSE)</f>
        <v>18.356272555350223</v>
      </c>
      <c r="J14" s="87">
        <f>VLOOKUP(B14,Opportunities!B$3:N$30,9,FALSE)</f>
        <v>13.079690025486418</v>
      </c>
      <c r="K14" s="87">
        <f>VLOOKUP(B14,Opportunities!B$3:N$30,11,FALSE)</f>
        <v>25.409202896038835</v>
      </c>
      <c r="L14" s="87">
        <f>VLOOKUP(B14,Opportunities!B$3:N$30,13,FALSE)</f>
        <v>23.632551844105855</v>
      </c>
    </row>
    <row r="15" spans="1:12">
      <c r="B15" s="67" t="s">
        <v>210</v>
      </c>
      <c r="C15" s="64">
        <f>VLOOKUP(B15,Opportunities!B$3:E$30,3,FALSE)</f>
        <v>46.83</v>
      </c>
      <c r="D15" s="63" t="str">
        <f>VLOOKUP(B15,Opportunities!B$3:E$30,4,FALSE)</f>
        <v>CNY</v>
      </c>
      <c r="E15" s="60">
        <v>0</v>
      </c>
      <c r="F15" s="65">
        <f>-C15*E15</f>
        <v>0</v>
      </c>
      <c r="G15" s="62">
        <f>-F15/$F$11</f>
        <v>0</v>
      </c>
      <c r="H15" s="62">
        <f>VLOOKUP(B15,Opportunities!B$3:I$30,8,FALSE)</f>
        <v>0</v>
      </c>
      <c r="I15" s="87">
        <f>VLOOKUP(B15,Opportunities!B$3:N$30,12,FALSE)</f>
        <v>40.629719578204039</v>
      </c>
      <c r="J15" s="87">
        <f>VLOOKUP(B15,Opportunities!B$3:N$30,9,FALSE)</f>
        <v>28.630686160261423</v>
      </c>
      <c r="K15" s="87">
        <f>VLOOKUP(B15,Opportunities!B$3:N$30,11,FALSE)</f>
        <v>56.741377225429467</v>
      </c>
      <c r="L15" s="87">
        <f>VLOOKUP(B15,Opportunities!B$3:N$30,13,FALSE)</f>
        <v>52.676874362859721</v>
      </c>
    </row>
    <row r="16" spans="1:12">
      <c r="B16" s="67" t="s">
        <v>206</v>
      </c>
      <c r="C16" s="64">
        <f>VLOOKUP(B16,Opportunities!B$3:E$30,3,FALSE)</f>
        <v>15.02</v>
      </c>
      <c r="D16" s="63" t="str">
        <f>VLOOKUP(B16,Opportunities!B$3:E$30,4,FALSE)</f>
        <v>CNY</v>
      </c>
      <c r="E16" s="60">
        <v>1000</v>
      </c>
      <c r="F16" s="65">
        <f>-C16*E16</f>
        <v>-15020</v>
      </c>
      <c r="G16" s="62">
        <f>-F16/$F$11</f>
        <v>4.733541331820617E-2</v>
      </c>
      <c r="H16" s="62">
        <f>VLOOKUP(B16,Opportunities!B$3:I$30,8,FALSE)</f>
        <v>0.16052832211647231</v>
      </c>
      <c r="I16" s="87">
        <f>VLOOKUP(B16,Opportunities!B$3:N$30,12,FALSE)</f>
        <v>15.067903135098593</v>
      </c>
      <c r="J16" s="87">
        <f>VLOOKUP(B16,Opportunities!B$3:N$30,9,FALSE)</f>
        <v>10.755129516558478</v>
      </c>
      <c r="K16" s="87">
        <f>VLOOKUP(B16,Opportunities!B$3:N$30,11,FALSE)</f>
        <v>20.82831579044063</v>
      </c>
      <c r="L16" s="87">
        <f>VLOOKUP(B16,Opportunities!B$3:N$30,13,FALSE)</f>
        <v>19.377597519813985</v>
      </c>
    </row>
    <row r="17" spans="2:12">
      <c r="G17" s="76"/>
      <c r="H17" s="76"/>
    </row>
    <row r="18" spans="2:12" ht="13.15">
      <c r="B18" s="72" t="s">
        <v>173</v>
      </c>
      <c r="C18" s="73" t="s">
        <v>169</v>
      </c>
      <c r="D18" s="74" t="s">
        <v>142</v>
      </c>
      <c r="E18" s="73" t="s">
        <v>169</v>
      </c>
      <c r="F18" s="70">
        <f>F3+SUM(F14:F16)</f>
        <v>154980</v>
      </c>
      <c r="G18" s="77">
        <f t="shared" ref="G18" si="2">F18/$F$11</f>
        <v>0.4884182660489742</v>
      </c>
      <c r="H18" s="77">
        <f>Portfolio_Mgmt!E61</f>
        <v>0.5</v>
      </c>
      <c r="I18" s="86" t="s">
        <v>219</v>
      </c>
      <c r="J18" s="86" t="s">
        <v>219</v>
      </c>
      <c r="K18" s="86" t="s">
        <v>219</v>
      </c>
      <c r="L18" s="86" t="s">
        <v>219</v>
      </c>
    </row>
    <row r="20" spans="2:12">
      <c r="B20" s="56"/>
      <c r="C20" s="59"/>
      <c r="D20" s="56"/>
      <c r="E20" s="60"/>
      <c r="F20" s="60"/>
    </row>
    <row r="30" spans="2:12">
      <c r="B30" s="56"/>
      <c r="C30" s="59"/>
      <c r="D30" s="56"/>
      <c r="E30" s="60"/>
      <c r="F30" s="60"/>
    </row>
    <row r="31" spans="2:12">
      <c r="B31" s="56"/>
      <c r="C31" s="59"/>
      <c r="D31" s="56"/>
      <c r="E31" s="60"/>
      <c r="F31" s="60"/>
    </row>
    <row r="32" spans="2:12">
      <c r="B32" s="56"/>
      <c r="C32" s="59"/>
      <c r="D32" s="56"/>
      <c r="E32" s="60"/>
      <c r="F32" s="60"/>
    </row>
    <row r="33" spans="2:6">
      <c r="B33" s="56"/>
      <c r="C33" s="59"/>
      <c r="D33" s="56"/>
      <c r="E33" s="60"/>
      <c r="F33" s="60"/>
    </row>
    <row r="34" spans="2:6">
      <c r="B34" s="56"/>
      <c r="C34" s="59"/>
      <c r="D34" s="56"/>
      <c r="E34" s="60"/>
      <c r="F34" s="60"/>
    </row>
    <row r="35" spans="2:6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91</v>
      </c>
    </row>
    <row r="2" spans="1:4">
      <c r="A2" s="5"/>
      <c r="B2" s="6" t="s">
        <v>92</v>
      </c>
    </row>
    <row r="3" spans="1:4">
      <c r="B3" s="104" t="s">
        <v>93</v>
      </c>
      <c r="C3" s="104"/>
      <c r="D3" s="104"/>
    </row>
    <row r="5" spans="1:4">
      <c r="B5" s="105" t="s">
        <v>95</v>
      </c>
      <c r="C5" s="106"/>
      <c r="D5" s="106"/>
    </row>
    <row r="6" spans="1:4">
      <c r="B6" s="105" t="s">
        <v>96</v>
      </c>
      <c r="C6" s="106"/>
      <c r="D6" s="106"/>
    </row>
    <row r="8" spans="1:4">
      <c r="B8" s="1" t="s">
        <v>94</v>
      </c>
    </row>
    <row r="10" spans="1:4">
      <c r="A10" s="5"/>
      <c r="B10" s="6" t="s">
        <v>97</v>
      </c>
    </row>
    <row r="11" spans="1:4">
      <c r="B11" s="104" t="s">
        <v>98</v>
      </c>
      <c r="C11" s="104"/>
      <c r="D11" s="104"/>
    </row>
    <row r="12" spans="1:4">
      <c r="B12" s="104" t="s">
        <v>99</v>
      </c>
      <c r="C12" s="104"/>
      <c r="D12" s="104"/>
    </row>
    <row r="14" spans="1:4">
      <c r="B14" s="23" t="s">
        <v>131</v>
      </c>
    </row>
    <row r="16" spans="1:4" ht="12.4">
      <c r="B16" s="30" t="s">
        <v>108</v>
      </c>
      <c r="C16" s="30" t="s">
        <v>109</v>
      </c>
    </row>
    <row r="17" spans="1:4">
      <c r="B17" s="26" t="s">
        <v>100</v>
      </c>
      <c r="C17" s="26" t="s">
        <v>104</v>
      </c>
    </row>
    <row r="18" spans="1:4">
      <c r="B18" s="26" t="s">
        <v>101</v>
      </c>
      <c r="C18" s="26" t="s">
        <v>105</v>
      </c>
    </row>
    <row r="19" spans="1:4">
      <c r="B19" s="26" t="s">
        <v>102</v>
      </c>
      <c r="C19" s="26" t="s">
        <v>106</v>
      </c>
    </row>
    <row r="20" spans="1:4">
      <c r="B20" s="26" t="s">
        <v>103</v>
      </c>
      <c r="C20" s="26" t="s">
        <v>107</v>
      </c>
    </row>
    <row r="21" spans="1:4">
      <c r="B21" s="26" t="s">
        <v>123</v>
      </c>
      <c r="C21" s="26" t="s">
        <v>124</v>
      </c>
    </row>
    <row r="22" spans="1:4">
      <c r="B22" s="26" t="s">
        <v>125</v>
      </c>
      <c r="C22" s="26" t="s">
        <v>126</v>
      </c>
    </row>
    <row r="23" spans="1:4">
      <c r="B23" s="26" t="s">
        <v>127</v>
      </c>
      <c r="C23" s="26" t="s">
        <v>128</v>
      </c>
    </row>
    <row r="24" spans="1:4">
      <c r="B24" s="26" t="s">
        <v>132</v>
      </c>
      <c r="C24" s="26" t="s">
        <v>133</v>
      </c>
    </row>
    <row r="25" spans="1:4">
      <c r="B25" s="26" t="s">
        <v>129</v>
      </c>
      <c r="C25" s="26" t="s">
        <v>130</v>
      </c>
    </row>
    <row r="27" spans="1:4">
      <c r="A27" s="5"/>
      <c r="B27" s="6" t="s">
        <v>110</v>
      </c>
    </row>
    <row r="28" spans="1:4">
      <c r="B28" s="104" t="s">
        <v>111</v>
      </c>
      <c r="C28" s="104"/>
      <c r="D28" s="104"/>
    </row>
    <row r="29" spans="1:4">
      <c r="B29" s="104" t="s">
        <v>112</v>
      </c>
      <c r="C29" s="104"/>
      <c r="D29" s="104"/>
    </row>
    <row r="31" spans="1:4">
      <c r="A31" s="5"/>
      <c r="B31" s="6" t="s">
        <v>113</v>
      </c>
    </row>
    <row r="32" spans="1:4">
      <c r="A32" s="28" t="s">
        <v>62</v>
      </c>
      <c r="B32" s="23" t="s">
        <v>114</v>
      </c>
    </row>
    <row r="33" spans="1:2">
      <c r="B33" s="1" t="s">
        <v>115</v>
      </c>
    </row>
    <row r="35" spans="1:2">
      <c r="A35" s="28" t="s">
        <v>117</v>
      </c>
      <c r="B35" s="23" t="s">
        <v>116</v>
      </c>
    </row>
    <row r="36" spans="1:2">
      <c r="B36" s="1" t="s">
        <v>118</v>
      </c>
    </row>
    <row r="38" spans="1:2">
      <c r="A38" s="5"/>
      <c r="B38" s="6" t="s">
        <v>119</v>
      </c>
    </row>
    <row r="39" spans="1:2">
      <c r="B39" s="24" t="s">
        <v>120</v>
      </c>
    </row>
    <row r="40" spans="1:2">
      <c r="B40" s="1" t="s">
        <v>121</v>
      </c>
    </row>
    <row r="41" spans="1:2">
      <c r="B41" s="1" t="s">
        <v>122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2025-07-04T16:49:01Z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