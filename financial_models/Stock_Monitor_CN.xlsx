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368B8D8-8CF4-4E42-BDB4-4461376A1B52}"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<sst xmlns="http://schemas.openxmlformats.org/spreadsheetml/2006/main" count="285" uniqueCount="257">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</sst>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4" t="s">
        <v>205</v>
      </c>
      <c r="C4" s="94"/>
      <c r="D4" s="94"/>
      <c r="E4" s="94"/>
    </row>
    <row r="6" spans="1:5">
      <c r="A6" s="20" t="s">
        <v>64</v>
      </c>
      <c r="B6" s="19" t="s">
        <v>188</v>
      </c>
      <c r="C6" s="60"/>
    </row>
    <row r="7" spans="1:5">
      <c r="B7" s="94" t="s">
        <v>193</v>
      </c>
      <c r="C7" s="94"/>
      <c r="D7" s="94"/>
      <c r="E7" s="94"/>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4" t="s">
        <v>204</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0.33699999999999997</v>
      </c>
      <c r="D35" s="18" t="s">
        <v>54</v>
      </c>
      <c r="E35" s="91">
        <v>3</v>
      </c>
    </row>
    <row r="36" spans="1:5">
      <c r="B36" s="1" t="s">
        <v>15</v>
      </c>
      <c r="C36" s="48">
        <f>MAX(6%,Market_Yield!C5:D6)</f>
        <v>0.06</v>
      </c>
      <c r="D36" s="1" t="s">
        <v>227</v>
      </c>
      <c r="E36" s="47">
        <f>benchmark+10%</f>
        <v>0.187</v>
      </c>
    </row>
    <row r="38" spans="1:5">
      <c r="B38" s="20" t="s">
        <v>83</v>
      </c>
    </row>
    <row r="39" spans="1:5">
      <c r="B39" s="94" t="s">
        <v>152</v>
      </c>
      <c r="C39" s="94"/>
      <c r="D39" s="94"/>
      <c r="E39" s="94"/>
    </row>
    <row r="40" spans="1:5" ht="46.5" customHeight="1">
      <c r="B40" s="94" t="s">
        <v>217</v>
      </c>
      <c r="C40" s="94"/>
      <c r="D40" s="94"/>
      <c r="E40" s="94"/>
    </row>
    <row r="42" spans="1:5">
      <c r="A42" s="21" t="s">
        <v>171</v>
      </c>
      <c r="B42" s="21"/>
      <c r="C42" s="21"/>
      <c r="D42" s="21"/>
      <c r="E42" s="21"/>
    </row>
    <row r="44" spans="1:5">
      <c r="B44" s="94" t="s">
        <v>192</v>
      </c>
      <c r="C44" s="94"/>
      <c r="D44" s="94"/>
      <c r="E44" s="94"/>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230</v>
      </c>
      <c r="D58" s="26" t="s">
        <v>231</v>
      </c>
      <c r="E58" s="41">
        <v>1</v>
      </c>
    </row>
    <row r="59" spans="2:5">
      <c r="B59" s="26" t="s">
        <v>70</v>
      </c>
      <c r="C59" s="26" t="s">
        <v>72</v>
      </c>
      <c r="D59" s="26" t="s">
        <v>76</v>
      </c>
      <c r="E59" s="41">
        <v>1</v>
      </c>
    </row>
    <row r="60" spans="2:5">
      <c r="D60" s="27" t="s">
        <v>77</v>
      </c>
      <c r="E60" s="40">
        <f>SUM(E56:E59)</f>
        <v>4</v>
      </c>
    </row>
    <row r="61" spans="2:5" ht="12" thickBot="1">
      <c r="D61" s="42" t="s">
        <v>181</v>
      </c>
      <c r="E61" s="43">
        <f>IF(E60&lt;=2,C49,IF(E60&gt;=6,C51,C50))</f>
        <v>0.3</v>
      </c>
    </row>
    <row r="62" spans="2:5" ht="12" thickTop="1"/>
    <row r="63" spans="2:5">
      <c r="B63" s="23" t="s">
        <v>182</v>
      </c>
    </row>
    <row r="64" spans="2:5">
      <c r="B64" s="52" t="s">
        <v>157</v>
      </c>
      <c r="C64" s="53">
        <f>-E61*(C35-Cash_Yield)</f>
        <v>-9.5399999999999985E-2</v>
      </c>
    </row>
    <row r="65" spans="1:5">
      <c r="B65" s="52" t="s">
        <v>158</v>
      </c>
      <c r="C65" s="53">
        <f>C35+C64</f>
        <v>0.24159999999999998</v>
      </c>
    </row>
    <row r="66" spans="1:5">
      <c r="B66" s="45"/>
      <c r="C66" s="46"/>
    </row>
    <row r="67" spans="1:5">
      <c r="B67" s="39" t="s">
        <v>186</v>
      </c>
    </row>
    <row r="69" spans="1:5">
      <c r="A69" s="21" t="s">
        <v>78</v>
      </c>
      <c r="B69" s="21"/>
      <c r="C69" s="21"/>
      <c r="D69" s="21"/>
      <c r="E69" s="21"/>
    </row>
    <row r="71" spans="1:5">
      <c r="B71" s="94" t="s">
        <v>180</v>
      </c>
      <c r="C71" s="94"/>
      <c r="D71" s="94"/>
      <c r="E71" s="94"/>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7" t="s">
        <v>176</v>
      </c>
      <c r="C85" s="97"/>
      <c r="D85" s="97"/>
      <c r="E85" s="97"/>
    </row>
    <row r="86" spans="1:5">
      <c r="B86" s="96" t="s">
        <v>174</v>
      </c>
      <c r="C86" s="96"/>
      <c r="D86" s="96"/>
      <c r="E86" s="96"/>
    </row>
    <row r="87" spans="1:5" ht="24.5" customHeight="1">
      <c r="B87" s="94" t="s">
        <v>173</v>
      </c>
      <c r="C87" s="94"/>
      <c r="D87" s="94"/>
      <c r="E87" s="94"/>
    </row>
    <row r="88" spans="1:5" ht="24.5" customHeight="1">
      <c r="B88" s="94" t="s">
        <v>209</v>
      </c>
      <c r="C88" s="94"/>
      <c r="D88" s="94"/>
      <c r="E88" s="94"/>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5" t="s">
        <v>195</v>
      </c>
      <c r="C97" s="95"/>
      <c r="D97" s="95"/>
      <c r="E97" s="95"/>
    </row>
    <row r="99" spans="1:5">
      <c r="B99" s="24" t="s">
        <v>199</v>
      </c>
    </row>
    <row r="100" spans="1:5" ht="12.4">
      <c r="B100" s="95" t="s">
        <v>196</v>
      </c>
      <c r="C100" s="95"/>
      <c r="D100" s="95"/>
      <c r="E100" s="95"/>
    </row>
    <row r="101" spans="1:5" ht="58.5" customHeight="1">
      <c r="B101" s="94" t="s">
        <v>203</v>
      </c>
      <c r="C101" s="94"/>
      <c r="D101" s="94"/>
      <c r="E101" s="94"/>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0.43570689983354394</v>
      </c>
    </row>
    <row r="112" spans="1:5">
      <c r="B112" s="1" t="s">
        <v>160</v>
      </c>
      <c r="C112" s="44">
        <v>0.10557588184293645</v>
      </c>
      <c r="D112" s="60" t="str">
        <f>IF(C112&lt;benchmark,"Warning: Return is lower than the Benchmark.","")</f>
        <v/>
      </c>
    </row>
    <row r="114" spans="1:5" ht="24.5" customHeight="1">
      <c r="B114" s="94" t="s">
        <v>201</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H3" sqref="H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c r="B3" s="11" t="s">
        <v>234</v>
      </c>
      <c r="C3" s="11" t="s">
        <v>235</v>
      </c>
      <c r="D3" s="2">
        <v>68.099999999999994</v>
      </c>
      <c r="E3" s="12" t="s">
        <v>236</v>
      </c>
      <c r="F3" s="15">
        <v>0.2194806865769845</v>
      </c>
      <c r="G3" s="15">
        <f>F3 - Portfolio_Mgmt!$C$10</f>
        <v>0.1324806865769845</v>
      </c>
      <c r="H3" s="15">
        <f>F3 - Portfolio_Mgmt!$C$11</f>
        <v>0.20048068657698451</v>
      </c>
      <c r="I3" s="15">
        <v>0.19538340051363606</v>
      </c>
      <c r="J3" s="2">
        <v>52.487323639990407</v>
      </c>
      <c r="K3" s="2">
        <v>106.27676864573534</v>
      </c>
      <c r="L3" s="85">
        <v>101.65351082247034</v>
      </c>
      <c r="M3" s="2">
        <v>73.53733493377743</v>
      </c>
      <c r="N3" s="2">
        <v>94.572618545902628</v>
      </c>
      <c r="O3" s="4">
        <v>7.7093330290112269E-2</v>
      </c>
      <c r="P3" s="4">
        <v>6.8237885462555076E-2</v>
      </c>
      <c r="Q3" s="15">
        <v>0.30279158651211824</v>
      </c>
      <c r="R3" s="15">
        <v>7.7640983998987034E-4</v>
      </c>
      <c r="S3" s="90">
        <v>3.8209153156820415E-3</v>
      </c>
      <c r="T3" s="85">
        <v>15.284602440692964</v>
      </c>
      <c r="U3" s="13" t="s">
        <v>232</v>
      </c>
      <c r="V3" s="11" t="s">
        <v>155</v>
      </c>
      <c r="W3" s="14">
        <v>45900</v>
      </c>
      <c r="X3" s="11" t="s">
        <v>250</v>
      </c>
    </row>
    <row r="4" spans="1:24">
      <c r="B4" s="11" t="s">
        <v>237</v>
      </c>
      <c r="C4" s="11" t="s">
        <v>238</v>
      </c>
      <c r="D4" s="2">
        <v>57.9</v>
      </c>
      <c r="E4" s="12" t="s">
        <v>236</v>
      </c>
      <c r="F4" s="15">
        <v>0.18459249999780813</v>
      </c>
      <c r="G4" s="15">
        <f>F4 - Portfolio_Mgmt!$C$10</f>
        <v>9.7592499997808141E-2</v>
      </c>
      <c r="H4" s="15">
        <f>F4 - Portfolio_Mgmt!$C$11</f>
        <v>0.16559249999780815</v>
      </c>
      <c r="I4" s="15">
        <v>0.16432566765383513</v>
      </c>
      <c r="J4" s="2">
        <v>40.809862006189697</v>
      </c>
      <c r="K4" s="2">
        <v>87.635778317517335</v>
      </c>
      <c r="L4" s="85">
        <v>79.995918037639569</v>
      </c>
      <c r="M4" s="2">
        <v>57.560060075377699</v>
      </c>
      <c r="N4" s="2">
        <v>74.340476830385043</v>
      </c>
      <c r="O4" s="4">
        <v>7.9362802074755184E-2</v>
      </c>
      <c r="P4" s="4">
        <v>4.145077720207254E-2</v>
      </c>
      <c r="Q4" s="15">
        <v>3.4701988818540461</v>
      </c>
      <c r="R4" s="15">
        <v>5.0341856510546588E-2</v>
      </c>
      <c r="S4" s="90">
        <v>3.9546057100127742E-2</v>
      </c>
      <c r="T4" s="85">
        <v>-13.312996389940134</v>
      </c>
      <c r="U4" s="13" t="s">
        <v>232</v>
      </c>
      <c r="V4" s="11" t="s">
        <v>155</v>
      </c>
      <c r="W4" s="14">
        <v>45900</v>
      </c>
      <c r="X4" s="11" t="s">
        <v>250</v>
      </c>
    </row>
    <row r="5" spans="1:24">
      <c r="B5" s="11" t="s">
        <v>251</v>
      </c>
      <c r="C5" s="11" t="s">
        <v>252</v>
      </c>
      <c r="D5" s="2">
        <v>5.28</v>
      </c>
      <c r="E5" s="12" t="s">
        <v>236</v>
      </c>
      <c r="F5" s="15">
        <v>0.13284675364661358</v>
      </c>
      <c r="G5" s="15">
        <f>F5 - Portfolio_Mgmt!$C$10</f>
        <v>4.5846753646613586E-2</v>
      </c>
      <c r="H5" s="15">
        <f>F5 - Portfolio_Mgmt!$C$11</f>
        <v>0.11384675364661358</v>
      </c>
      <c r="I5" s="15">
        <v>0.11826120502665899</v>
      </c>
      <c r="J5" s="2">
        <v>3.2714103607293628</v>
      </c>
      <c r="K5" s="2">
        <v>6.9895661568976033</v>
      </c>
      <c r="L5" s="85">
        <v>6.4058499272029952</v>
      </c>
      <c r="M5" s="2">
        <v>4.6114224254647684</v>
      </c>
      <c r="N5" s="2">
        <v>5.9535611226219638</v>
      </c>
      <c r="O5" s="4">
        <v>4.3560624398002713E-2</v>
      </c>
      <c r="P5" s="4">
        <v>3.8068181818181814E-2</v>
      </c>
      <c r="Q5" s="15">
        <v>0.70576761251783326</v>
      </c>
      <c r="R5" s="15">
        <v>2.5694600492681609E-2</v>
      </c>
      <c r="S5" s="90">
        <v>0.53421555755411909</v>
      </c>
      <c r="T5" s="85">
        <v>-0.36074239393771346</v>
      </c>
      <c r="U5" s="13" t="s">
        <v>253</v>
      </c>
      <c r="V5" s="11" t="s">
        <v>155</v>
      </c>
      <c r="W5" s="14">
        <v>45900</v>
      </c>
      <c r="X5" s="11" t="s">
        <v>250</v>
      </c>
    </row>
    <row r="6" spans="1:24">
      <c r="B6" s="11" t="s">
        <v>243</v>
      </c>
      <c r="C6" s="11" t="s">
        <v>244</v>
      </c>
      <c r="D6" s="2">
        <v>22.52</v>
      </c>
      <c r="E6" s="12" t="s">
        <v>236</v>
      </c>
      <c r="F6" s="15">
        <v>0.10536678638212904</v>
      </c>
      <c r="G6" s="15">
        <f>F6 - Portfolio_Mgmt!$C$10</f>
        <v>1.8366786382129047E-2</v>
      </c>
      <c r="H6" s="15">
        <f>F6 - Portfolio_Mgmt!$C$11</f>
        <v>8.6366786382129038E-2</v>
      </c>
      <c r="I6" s="15">
        <v>0</v>
      </c>
      <c r="J6" s="2">
        <v>13.079690025486418</v>
      </c>
      <c r="K6" s="2">
        <v>26.888151196428591</v>
      </c>
      <c r="L6" s="85">
        <v>25.409202896038835</v>
      </c>
      <c r="M6" s="2">
        <v>18.356272555350223</v>
      </c>
      <c r="N6" s="2">
        <v>23.632551844105855</v>
      </c>
      <c r="O6" s="4">
        <v>0.24517612402255057</v>
      </c>
      <c r="P6" s="4">
        <v>4.7069271758436948E-2</v>
      </c>
      <c r="Q6" s="15">
        <v>10.758917470801054</v>
      </c>
      <c r="R6" s="15">
        <v>10.649677544255834</v>
      </c>
      <c r="S6" s="90">
        <v>1577.3702399204408</v>
      </c>
      <c r="T6" s="85">
        <v>-92.956751979911445</v>
      </c>
      <c r="U6" s="13" t="s">
        <v>245</v>
      </c>
      <c r="V6" s="11" t="s">
        <v>155</v>
      </c>
      <c r="W6" s="14">
        <v>45900</v>
      </c>
      <c r="X6" s="11" t="s">
        <v>233</v>
      </c>
    </row>
    <row r="7" spans="1:24">
      <c r="B7" s="11" t="s">
        <v>247</v>
      </c>
      <c r="C7" s="11" t="s">
        <v>248</v>
      </c>
      <c r="D7" s="2">
        <v>23.67</v>
      </c>
      <c r="E7" s="12" t="s">
        <v>236</v>
      </c>
      <c r="F7" s="15">
        <v>9.6969308965579426E-2</v>
      </c>
      <c r="G7" s="15">
        <f>F7 - Portfolio_Mgmt!$C$10</f>
        <v>9.969308965579432E-3</v>
      </c>
      <c r="H7" s="15">
        <f>F7 - Portfolio_Mgmt!$C$11</f>
        <v>7.7969308965579423E-2</v>
      </c>
      <c r="I7" s="15">
        <v>8.632282697232592E-2</v>
      </c>
      <c r="J7" s="2">
        <v>13.438941031541804</v>
      </c>
      <c r="K7" s="2">
        <v>27.746753827145845</v>
      </c>
      <c r="L7" s="85">
        <v>26.130102221251306</v>
      </c>
      <c r="M7" s="2">
        <v>18.869653870203344</v>
      </c>
      <c r="N7" s="2">
        <v>24.301055185803946</v>
      </c>
      <c r="O7" s="4">
        <v>5.5946807003557232E-2</v>
      </c>
      <c r="P7" s="4">
        <v>4.4782425010561892E-2</v>
      </c>
      <c r="Q7" s="15">
        <v>0.75572683404914875</v>
      </c>
      <c r="R7" s="15">
        <v>0.3857437197038544</v>
      </c>
      <c r="S7" s="90">
        <v>2.3913910654887354</v>
      </c>
      <c r="T7" s="85">
        <v>3.5427832354191278</v>
      </c>
      <c r="U7" s="13" t="s">
        <v>249</v>
      </c>
      <c r="V7" s="11" t="s">
        <v>155</v>
      </c>
      <c r="W7" s="14">
        <v>45900</v>
      </c>
      <c r="X7" s="11" t="s">
        <v>250</v>
      </c>
    </row>
    <row r="8" spans="1:24">
      <c r="B8" s="11" t="s">
        <v>254</v>
      </c>
      <c r="C8" s="11" t="s">
        <v>255</v>
      </c>
      <c r="D8" s="2">
        <v>21.57</v>
      </c>
      <c r="E8" s="12" t="s">
        <v>236</v>
      </c>
      <c r="F8" s="15">
        <v>6.5930019453462219E-2</v>
      </c>
      <c r="G8" s="15">
        <f>F8 - Portfolio_Mgmt!$C$10</f>
        <v>-2.1069980546537775E-2</v>
      </c>
      <c r="H8" s="15">
        <f>F8 - Portfolio_Mgmt!$C$11</f>
        <v>4.6930019453462216E-2</v>
      </c>
      <c r="I8" s="15">
        <v>0</v>
      </c>
      <c r="J8" s="2">
        <v>11.355103666814504</v>
      </c>
      <c r="K8" s="2">
        <v>22.601441956902718</v>
      </c>
      <c r="L8" s="85">
        <v>21.916919635758642</v>
      </c>
      <c r="M8" s="2">
        <v>15.879140273250821</v>
      </c>
      <c r="N8" s="2">
        <v>20.396738931178472</v>
      </c>
      <c r="O8" s="4">
        <v>5.0173610285274194E-2</v>
      </c>
      <c r="P8" s="4">
        <v>5.0996754751970332E-2</v>
      </c>
      <c r="Q8" s="15">
        <v>0.27606884288300854</v>
      </c>
      <c r="R8" s="15">
        <v>0.12757636177577109</v>
      </c>
      <c r="S8" s="90">
        <v>0.79731882844192148</v>
      </c>
      <c r="T8" s="85">
        <v>2.5713378719718771</v>
      </c>
      <c r="U8" s="13" t="s">
        <v>256</v>
      </c>
      <c r="V8" s="11" t="s">
        <v>155</v>
      </c>
      <c r="W8" s="14">
        <v>45900</v>
      </c>
      <c r="X8" s="11" t="s">
        <v>250</v>
      </c>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246</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221</v>
      </c>
      <c r="H2" s="65" t="s">
        <v>198</v>
      </c>
    </row>
    <row r="3" spans="1:8">
      <c r="B3" s="76" t="s">
        <v>28</v>
      </c>
      <c r="C3" s="74" t="s">
        <v>215</v>
      </c>
      <c r="D3" s="73" t="s">
        <v>214</v>
      </c>
      <c r="E3" s="75" t="s">
        <v>215</v>
      </c>
      <c r="F3" s="70">
        <v>168044.08</v>
      </c>
      <c r="G3" s="72">
        <f t="shared" ref="G3:G4" si="0">F3/$F$11</f>
        <v>0.71324775020873998</v>
      </c>
      <c r="H3" s="89">
        <f>Portfolio_Mgmt!E61</f>
        <v>0.3</v>
      </c>
    </row>
    <row r="4" spans="1:8">
      <c r="B4" s="77" t="s">
        <v>243</v>
      </c>
      <c r="C4" s="74">
        <f>VLOOKUP(B4,Opportunities!B$3:E$30,3,FALSE)</f>
        <v>22.52</v>
      </c>
      <c r="D4" s="73" t="str">
        <f>VLOOKUP(B4,Opportunities!B$3:E$30,4,FALSE)</f>
        <v>CNY</v>
      </c>
      <c r="E4" s="70">
        <v>3000</v>
      </c>
      <c r="F4" s="75">
        <f>C4*E4</f>
        <v>67560</v>
      </c>
      <c r="G4" s="72">
        <f t="shared" si="0"/>
        <v>0.28675224979126002</v>
      </c>
      <c r="H4" s="72">
        <f>VLOOKUP(B4,Opportunities!B$3:I$30,8,FALSE)</f>
        <v>0</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220</v>
      </c>
      <c r="F11" s="80">
        <f>SUM(F3:F9)</f>
        <v>235604.08</v>
      </c>
      <c r="G11" s="81">
        <f>SUM(G3:G9)</f>
        <v>1</v>
      </c>
      <c r="H11" s="87">
        <f>SUM(H3:H9)</f>
        <v>0.3</v>
      </c>
    </row>
    <row r="12" spans="1:8">
      <c r="B12" s="66"/>
      <c r="C12" s="69"/>
      <c r="D12" s="66"/>
      <c r="E12" s="70"/>
      <c r="F12" s="70"/>
    </row>
    <row r="13" spans="1:8" ht="13.15">
      <c r="A13" s="62"/>
      <c r="B13" s="63" t="s">
        <v>218</v>
      </c>
    </row>
    <row r="14" spans="1:8">
      <c r="B14" s="77" t="s">
        <v>243</v>
      </c>
      <c r="C14" s="74">
        <f>VLOOKUP(B14,Opportunities!B$3:E$30,3,FALSE)</f>
        <v>22.52</v>
      </c>
      <c r="D14" s="73" t="str">
        <f>VLOOKUP(B14,Opportunities!B$3:E$30,4,FALSE)</f>
        <v>CNY</v>
      </c>
      <c r="E14" s="70">
        <v>3000</v>
      </c>
      <c r="F14" s="75">
        <f>C14*E14</f>
        <v>67560</v>
      </c>
      <c r="G14" s="72">
        <f>-F14/$F$11</f>
        <v>-0.28675224979126002</v>
      </c>
      <c r="H14" s="72">
        <f>VLOOKUP(B14,Opportunities!B$3:I$30,8,FALSE)</f>
        <v>0</v>
      </c>
    </row>
    <row r="15" spans="1:8">
      <c r="G15" s="86"/>
      <c r="H15" s="86"/>
    </row>
    <row r="16" spans="1:8" ht="13.15">
      <c r="B16" s="82" t="s">
        <v>219</v>
      </c>
      <c r="C16" s="83" t="s">
        <v>215</v>
      </c>
      <c r="D16" s="84" t="s">
        <v>154</v>
      </c>
      <c r="E16" s="83" t="s">
        <v>215</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5"/>
      <c r="D5" s="95"/>
    </row>
    <row r="6" spans="1:4">
      <c r="B6" s="106" t="s">
        <v>103</v>
      </c>
      <c r="C6" s="95"/>
      <c r="D6" s="95"/>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2025-05-20T08:56:32Z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