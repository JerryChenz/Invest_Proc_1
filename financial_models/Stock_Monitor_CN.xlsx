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EBDCB92-969A-42A0-AB57-11AACF3897DC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<sst xmlns="http://schemas.openxmlformats.org/spreadsheetml/2006/main" count="408" uniqueCount="360">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</sst>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" zoomScale="110" zoomScaleNormal="110" workbookViewId="0">
      <selection activeCell="C18" sqref="C1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102.63</v>
      </c>
      <c r="E3" s="12" t="s">
        <v>350</v>
      </c>
      <c r="F3" s="15">
        <v>0.22681235763738272</v>
      </c>
      <c r="G3" s="15">
        <v>5.0423218812731152E-2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8.7250755231302921E-2</v>
      </c>
      <c r="N3" s="4">
        <v>4.0268927214264838E-2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101.27</v>
      </c>
      <c r="E4" s="12" t="s">
        <v>350</v>
      </c>
      <c r="F4" s="15">
        <v>0.16655268298421899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7.5815378104586578E-2</v>
      </c>
      <c r="N4" s="4">
        <v>2.8163325762812285E-2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17.79</v>
      </c>
      <c r="E5" s="12" t="s">
        <v>350</v>
      </c>
      <c r="F5" s="15">
        <v>0.13155250343933422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7.8489055244055764E-2</v>
      </c>
      <c r="N5" s="4">
        <v>5.9584035975267007E-2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J7" sqref="J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1000000</v>
      </c>
      <c r="H3" s="58">
        <f>G3/$G$6</f>
        <v>0.93297420046443458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102.63</v>
      </c>
      <c r="E4" s="59" t="str">
        <f>VLOOKUP(B4,Opportunities!B$3:E$30,4,FALSE)</f>
        <v>CNY</v>
      </c>
      <c r="F4" s="57">
        <v>700</v>
      </c>
      <c r="G4" s="61">
        <f>D4*F4</f>
        <v>71841</v>
      </c>
      <c r="H4" s="58">
        <f>G4/$G$6</f>
        <v>6.7025799535565436E-2</v>
      </c>
      <c r="I4" s="58">
        <f>VLOOKUP(B4,Opportunities!B$3:G$30,6,FALSE)</f>
        <v>5.0423218812731152E-2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1071841</v>
      </c>
      <c r="H6" s="67">
        <f>SUM(H3:H4)</f>
        <v>1</v>
      </c>
      <c r="I6" s="73">
        <f>SUM(I3:I4)</f>
        <v>0.35042321881273114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102.63</v>
      </c>
      <c r="E9" s="59" t="str">
        <f>VLOOKUP(B9,Opportunities!B$3:E$30,4,FALSE)</f>
        <v>CNY</v>
      </c>
      <c r="F9" s="57">
        <v>200</v>
      </c>
      <c r="G9" s="61">
        <f>-D9*F9</f>
        <v>-20526</v>
      </c>
      <c r="H9" s="58">
        <f>-G9/$G$6</f>
        <v>1.9150228438732982E-2</v>
      </c>
      <c r="I9" s="58">
        <f>VLOOKUP(B9,Opportunities!B$3:G$30,6,FALSE)</f>
        <v>5.0423218812731152E-2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979474</v>
      </c>
      <c r="H11" s="73">
        <f t="shared" ref="H11" si="0">G11/$G$6</f>
        <v>0.91382397202570154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2026-04-24T09:40:19Z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