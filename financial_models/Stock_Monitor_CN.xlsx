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5ABD979-8299-4211-B03C-DC1418CD1B2A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<sst xmlns="http://schemas.openxmlformats.org/spreadsheetml/2006/main" count="408" uniqueCount="359">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</sst>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="110" zoomScaleNormal="110" workbookViewId="0">
      <selection activeCell="C70" sqref="C7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" sqref="D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106.26</v>
      </c>
      <c r="E3" s="12" t="s">
        <v>350</v>
      </c>
      <c r="F3" s="15">
        <v>0.21223826010541716</v>
      </c>
      <c r="G3" s="15">
        <v>3.936287499856736E-2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8.4270139369363992E-2</v>
      </c>
      <c r="N3" s="4">
        <v>3.889328063241107E-2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104.39</v>
      </c>
      <c r="E4" s="12" t="s">
        <v>350</v>
      </c>
      <c r="F4" s="15">
        <v>0.15454049112527285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7.3549414126367299E-2</v>
      </c>
      <c r="N4" s="4">
        <v>2.7321582527061981E-2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17</v>
      </c>
      <c r="E5" s="12" t="s">
        <v>350</v>
      </c>
      <c r="F5" s="15">
        <v>0.14975564269949415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8.2136487811279538E-2</v>
      </c>
      <c r="N5" s="4">
        <v>6.235294117647059E-2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4.3499999999999997E-2</v>
      </c>
      <c r="D4" s="34">
        <v>6.7500000000000004E-2</v>
      </c>
      <c r="E4" s="35">
        <f>D4-C4</f>
        <v>2.4000000000000007E-2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E11" sqref="E1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106.26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3.936287499856736E-2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0.33936287499856732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106.26</v>
      </c>
      <c r="E9" s="59" t="str">
        <f>VLOOKUP(B9,Opportunities!B$3:E$30,4,FALSE)</f>
        <v>CNY</v>
      </c>
      <c r="F9" s="57">
        <v>200</v>
      </c>
      <c r="G9" s="61">
        <f>-D9*F9</f>
        <v>-21252</v>
      </c>
      <c r="H9" s="58">
        <f>-G9/$G$6</f>
        <v>4.2504E-2</v>
      </c>
      <c r="I9" s="58">
        <f>VLOOKUP(B9,Opportunities!B$3:G$30,6,FALSE)</f>
        <v>3.936287499856736E-2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478748</v>
      </c>
      <c r="H11" s="73">
        <f t="shared" ref="H11" si="0">G11/$G$6</f>
        <v>0.95749600000000001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2026-04-01T09:20:09Z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