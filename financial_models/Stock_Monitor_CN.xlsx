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EA03B1A-B27B-455E-AB67-F4DF805F7CB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<sst xmlns="http://schemas.openxmlformats.org/spreadsheetml/2006/main" count="423" uniqueCount="356">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</sst>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55.39</v>
      </c>
      <c r="E3" s="12" t="s">
        <v>327</v>
      </c>
      <c r="F3" s="15">
        <v>0.10145588872206046</v>
      </c>
      <c r="G3" s="15">
        <f>F3 - Portfolio_Mgmt!$C$10</f>
        <v>1.4455888722060467E-2</v>
      </c>
      <c r="H3" s="15">
        <f>F3 - Portfolio_Mgmt!$C$11</f>
        <v>8.2455888722060458E-2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7.8335820589004693E-2</v>
      </c>
      <c r="P3" s="4">
        <v>3.899620870193176E-2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16.100000000000001</v>
      </c>
      <c r="E4" s="12" t="s">
        <v>327</v>
      </c>
      <c r="F4" s="15">
        <v>8.9439282299528022E-2</v>
      </c>
      <c r="G4" s="15">
        <f>F4 - Portfolio_Mgmt!$C$10</f>
        <v>2.4392822995280283E-3</v>
      </c>
      <c r="H4" s="15">
        <f>F4 - Portfolio_Mgmt!$C$11</f>
        <v>7.0439282299528019E-2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7.3107035109274451E-2</v>
      </c>
      <c r="P4" s="4">
        <v>5.9254658385093167E-2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10.28</v>
      </c>
      <c r="E5" s="12" t="s">
        <v>327</v>
      </c>
      <c r="F5" s="15">
        <v>7.8003271289299514E-2</v>
      </c>
      <c r="G5" s="15">
        <f>F5 - Portfolio_Mgmt!$C$10</f>
        <v>-8.9967287107004801E-3</v>
      </c>
      <c r="H5" s="15">
        <f>F5 - Portfolio_Mgmt!$C$11</f>
        <v>5.9003271289299511E-2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3.4320466769170409E-2</v>
      </c>
      <c r="P5" s="4">
        <v>3.5019455252918295E-2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5.73</v>
      </c>
      <c r="E6" s="12" t="s">
        <v>327</v>
      </c>
      <c r="F6" s="15">
        <v>5.3112503494364027E-2</v>
      </c>
      <c r="G6" s="15">
        <f>F6 - Portfolio_Mgmt!$C$10</f>
        <v>-3.3887496505635967E-2</v>
      </c>
      <c r="H6" s="15">
        <f>F6 - Portfolio_Mgmt!$C$11</f>
        <v>3.4112503494364024E-2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4.0139632953133386E-2</v>
      </c>
      <c r="P6" s="4">
        <v>3.1570680628272244E-2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22.74</v>
      </c>
      <c r="E7" s="12" t="s">
        <v>327</v>
      </c>
      <c r="F7" s="15">
        <v>4.6547136992241445E-2</v>
      </c>
      <c r="G7" s="15">
        <f>F7 - Portfolio_Mgmt!$C$10</f>
        <v>-4.0452863007758549E-2</v>
      </c>
      <c r="H7" s="15">
        <f>F7 - Portfolio_Mgmt!$C$11</f>
        <v>2.7547136992241445E-2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5.8234869031407205E-2</v>
      </c>
      <c r="P7" s="4">
        <v>4.1952506596306074E-2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68.88</v>
      </c>
      <c r="E8" s="12" t="s">
        <v>327</v>
      </c>
      <c r="F8" s="15">
        <v>4.4158785780313403E-2</v>
      </c>
      <c r="G8" s="15">
        <f>F8 - Portfolio_Mgmt!$C$10</f>
        <v>-4.2841214219686591E-2</v>
      </c>
      <c r="H8" s="15">
        <f>F8 - Portfolio_Mgmt!$C$11</f>
        <v>2.5158785780313404E-2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5.2546092846258032E-2</v>
      </c>
      <c r="P8" s="4">
        <v>6.071864111498259E-2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347</v>
      </c>
      <c r="C9" s="11" t="s">
        <v>348</v>
      </c>
      <c r="D9" s="2">
        <v>20.53</v>
      </c>
      <c r="E9" s="12" t="s">
        <v>327</v>
      </c>
      <c r="F9" s="15">
        <v>2.002653273777133E-2</v>
      </c>
      <c r="G9" s="15">
        <f>F9 - Portfolio_Mgmt!$C$10</f>
        <v>-6.6973467262228664E-2</v>
      </c>
      <c r="H9" s="15">
        <f>F9 - Portfolio_Mgmt!$C$11</f>
        <v>1.0265327377713303E-3</v>
      </c>
      <c r="I9" s="15">
        <v>0</v>
      </c>
      <c r="J9" s="2">
        <v>7.6314402727898702</v>
      </c>
      <c r="K9" s="2">
        <v>18.758424601634019</v>
      </c>
      <c r="L9" s="74">
        <v>17.674312632907508</v>
      </c>
      <c r="M9" s="2">
        <v>10.336151389000461</v>
      </c>
      <c r="N9" s="2">
        <v>17.124648599063175</v>
      </c>
      <c r="O9" s="4">
        <v>5.2715283675273471E-2</v>
      </c>
      <c r="P9" s="4">
        <v>4.8222113979542139E-2</v>
      </c>
      <c r="Q9" s="4">
        <v>0.15161114820375229</v>
      </c>
      <c r="R9" s="4">
        <v>0.3932476207375345</v>
      </c>
      <c r="S9" s="82">
        <v>0.30212796693987309</v>
      </c>
      <c r="T9" s="81">
        <v>1.2760688428830085</v>
      </c>
      <c r="U9" s="15">
        <v>0.12757636177577109</v>
      </c>
      <c r="V9" s="79">
        <v>0.79731882844192148</v>
      </c>
      <c r="W9" s="74">
        <v>2.5713378719718771</v>
      </c>
      <c r="X9" s="13" t="s">
        <v>169</v>
      </c>
      <c r="Y9" s="11" t="s">
        <v>136</v>
      </c>
      <c r="Z9" s="14">
        <v>45900</v>
      </c>
      <c r="AA9" s="16" t="s">
        <v>183</v>
      </c>
    </row>
    <row r="10" spans="1:27">
      <c r="B10" s="11" t="s">
        <v>328</v>
      </c>
      <c r="C10" s="11" t="s">
        <v>349</v>
      </c>
      <c r="D10" s="2">
        <v>22.8</v>
      </c>
      <c r="E10" s="12" t="s">
        <v>327</v>
      </c>
      <c r="F10" s="15">
        <v>1.5510765594796805E-2</v>
      </c>
      <c r="G10" s="15">
        <f>F10 - Portfolio_Mgmt!$C$10</f>
        <v>-7.1489234405203189E-2</v>
      </c>
      <c r="H10" s="15">
        <f>F10 - Portfolio_Mgmt!$C$11</f>
        <v>-3.4892344052031947E-3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0.24216518916613325</v>
      </c>
      <c r="P10" s="4">
        <v>4.6491228070175437E-2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335</v>
      </c>
      <c r="C11" s="11" t="s">
        <v>336</v>
      </c>
      <c r="D11" s="2">
        <v>53.23</v>
      </c>
      <c r="E11" s="12" t="s">
        <v>327</v>
      </c>
      <c r="F11" s="15">
        <v>1.3156769539393265E-2</v>
      </c>
      <c r="G11" s="15">
        <f>F11 - Portfolio_Mgmt!$C$10</f>
        <v>-7.3843230460606729E-2</v>
      </c>
      <c r="H11" s="15">
        <f>F11 - Portfolio_Mgmt!$C$11</f>
        <v>-5.8432304606067346E-3</v>
      </c>
      <c r="I11" s="15">
        <v>0</v>
      </c>
      <c r="J11" s="2">
        <v>18.605220097652271</v>
      </c>
      <c r="K11" s="2">
        <v>52.623089120205158</v>
      </c>
      <c r="L11" s="74">
        <v>44.699984953439703</v>
      </c>
      <c r="M11" s="2">
        <v>25.586749713338708</v>
      </c>
      <c r="N11" s="2">
        <v>43.262452230628902</v>
      </c>
      <c r="O11" s="4">
        <v>4.0634591593908677E-2</v>
      </c>
      <c r="P11" s="4">
        <v>1.690775878264137E-2</v>
      </c>
      <c r="Q11" s="4">
        <v>0.14549955248916155</v>
      </c>
      <c r="R11" s="4">
        <v>0.22405670341828193</v>
      </c>
      <c r="S11" s="82">
        <v>0.42456310191863128</v>
      </c>
      <c r="T11" s="81">
        <v>1.5295422156001708</v>
      </c>
      <c r="U11" s="15">
        <v>5.3145118525683231E-2</v>
      </c>
      <c r="V11" s="79">
        <v>0.36488435676778314</v>
      </c>
      <c r="W11" s="74">
        <v>5.6082458208015922</v>
      </c>
      <c r="X11" s="13" t="s">
        <v>332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15.57</v>
      </c>
      <c r="E12" s="12" t="s">
        <v>327</v>
      </c>
      <c r="F12" s="15">
        <v>-0.14806866552364339</v>
      </c>
      <c r="G12" s="15">
        <f>F12 - Portfolio_Mgmt!$C$10</f>
        <v>-0.23506866552364339</v>
      </c>
      <c r="H12" s="15">
        <f>F12 - Portfolio_Mgmt!$C$11</f>
        <v>-0.16706866552364338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2.8493267176075268E-2</v>
      </c>
      <c r="P12" s="4">
        <v>2.3121387283236997E-2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4.2699999999999995E-2</v>
      </c>
      <c r="D4" s="34">
        <v>7.4999999999999997E-2</v>
      </c>
      <c r="E4" s="35">
        <f>D4-C4</f>
        <v>3.2300000000000002E-2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0.53308247099404205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22.8</v>
      </c>
      <c r="D4" s="62" t="str">
        <f>VLOOKUP(B4,Opportunities!B$3:E$30,4,FALSE)</f>
        <v>CNY</v>
      </c>
      <c r="E4" s="59">
        <v>3000</v>
      </c>
      <c r="F4" s="64">
        <f>E4*C4</f>
        <v>68400</v>
      </c>
      <c r="G4" s="61">
        <f>F4/$F$10</f>
        <v>0.21448730009407338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16.100000000000001</v>
      </c>
      <c r="D5" s="62" t="str">
        <f>VLOOKUP(B5,Opportunities!B$3:E$30,4,FALSE)</f>
        <v>CNY</v>
      </c>
      <c r="E5" s="59">
        <v>5000</v>
      </c>
      <c r="F5" s="64">
        <f>C5*E5</f>
        <v>80500</v>
      </c>
      <c r="G5" s="61">
        <f>F5/$F$10</f>
        <v>0.2524302289118846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318900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0.53308247099404205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2025-08-13T10:15:40Z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