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849FF41D-5ECB-4D3C-B387-FD93446169E2}"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<sst xmlns="http://schemas.openxmlformats.org/spreadsheetml/2006/main" count="334" uniqueCount="276">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</sst>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0.12860438404219296</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14.87</v>
      </c>
      <c r="E3" s="12" t="s">
        <v>232</v>
      </c>
      <c r="F3" s="15">
        <v>0.19252346326877756</v>
      </c>
      <c r="G3" s="15">
        <f>F3 - Portfolio_Mgmt!$C$10</f>
        <v>0.10552346326877757</v>
      </c>
      <c r="H3" s="15">
        <f>F3 - Portfolio_Mgmt!$C$11</f>
        <v>0.17352346326877757</v>
      </c>
      <c r="I3" s="15">
        <v>0.28564312057682134</v>
      </c>
      <c r="J3" s="2">
        <v>10.755129516558478</v>
      </c>
      <c r="K3" s="2">
        <v>21.769702959467441</v>
      </c>
      <c r="L3" s="85">
        <v>20.82831579044063</v>
      </c>
      <c r="M3" s="2">
        <v>15.067903135098593</v>
      </c>
      <c r="N3" s="2">
        <v>19.377597519813985</v>
      </c>
      <c r="O3" s="4">
        <v>7.9154220932032185E-2</v>
      </c>
      <c r="P3" s="4">
        <v>6.4156018829858788E-2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55.15</v>
      </c>
      <c r="E4" s="12" t="s">
        <v>232</v>
      </c>
      <c r="F4" s="15">
        <v>0.17920703932311821</v>
      </c>
      <c r="G4" s="15">
        <f>F4 - Portfolio_Mgmt!$C$10</f>
        <v>9.2207039323118217E-2</v>
      </c>
      <c r="H4" s="15">
        <f>F4 - Portfolio_Mgmt!$C$11</f>
        <v>0.16020703932311822</v>
      </c>
      <c r="I4" s="15">
        <v>0.26588581501946329</v>
      </c>
      <c r="J4" s="2">
        <v>38.338860273768745</v>
      </c>
      <c r="K4" s="2">
        <v>82.72003076740333</v>
      </c>
      <c r="L4" s="85">
        <v>75.227038736174251</v>
      </c>
      <c r="M4" s="2">
        <v>54.104773980226682</v>
      </c>
      <c r="N4" s="2">
        <v>69.902328891344681</v>
      </c>
      <c r="O4" s="4">
        <v>7.8676719898911507E-2</v>
      </c>
      <c r="P4" s="4">
        <v>3.9165911151405261E-2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46.19</v>
      </c>
      <c r="E5" s="12" t="s">
        <v>232</v>
      </c>
      <c r="F5" s="15">
        <v>0.13647623248050844</v>
      </c>
      <c r="G5" s="15">
        <f>F5 - Portfolio_Mgmt!$C$10</f>
        <v>4.9476232480508447E-2</v>
      </c>
      <c r="H5" s="15">
        <f>F5 - Portfolio_Mgmt!$C$11</f>
        <v>0.11747623248050844</v>
      </c>
      <c r="I5" s="15">
        <v>0.14847106440371527</v>
      </c>
      <c r="J5" s="2">
        <v>28.630686160261423</v>
      </c>
      <c r="K5" s="2">
        <v>64.714648137522119</v>
      </c>
      <c r="L5" s="85">
        <v>56.741377225429467</v>
      </c>
      <c r="M5" s="2">
        <v>40.629719578204039</v>
      </c>
      <c r="N5" s="2">
        <v>52.676874362859721</v>
      </c>
      <c r="O5" s="4">
        <v>4.6827869897028765E-2</v>
      </c>
      <c r="P5" s="4">
        <v>1.9484736956051095E-2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243</v>
      </c>
      <c r="C6" s="11" t="s">
        <v>244</v>
      </c>
      <c r="D6" s="2">
        <v>21.51</v>
      </c>
      <c r="E6" s="12" t="s">
        <v>232</v>
      </c>
      <c r="F6" s="15">
        <v>0.12949808280561848</v>
      </c>
      <c r="G6" s="15">
        <f>F6 - Portfolio_Mgmt!$C$10</f>
        <v>4.2498082805618481E-2</v>
      </c>
      <c r="H6" s="15">
        <f>F6 - Portfolio_Mgmt!$C$11</f>
        <v>0.11049808280561847</v>
      </c>
      <c r="I6" s="15">
        <v>0</v>
      </c>
      <c r="J6" s="2">
        <v>13.256008806508849</v>
      </c>
      <c r="K6" s="2">
        <v>27.746753827145845</v>
      </c>
      <c r="L6" s="85">
        <v>25.846762954608369</v>
      </c>
      <c r="M6" s="2">
        <v>18.641740581682459</v>
      </c>
      <c r="N6" s="2">
        <v>24.031296839608316</v>
      </c>
      <c r="O6" s="4">
        <v>6.1564896409772189E-2</v>
      </c>
      <c r="P6" s="4">
        <v>4.4351464435146447E-2</v>
      </c>
      <c r="Q6" s="4">
        <v>0.15648173464349882</v>
      </c>
      <c r="R6" s="4">
        <v>0.13375671427886937</v>
      </c>
      <c r="S6" s="94">
        <v>0.66633267926556194</v>
      </c>
      <c r="T6" s="95">
        <v>1.7557268340491488</v>
      </c>
      <c r="U6" s="15">
        <v>0.3857437197038544</v>
      </c>
      <c r="V6" s="90">
        <v>2.3913910654887354</v>
      </c>
      <c r="W6" s="85">
        <v>3.5427832354191278</v>
      </c>
      <c r="X6" s="13" t="s">
        <v>245</v>
      </c>
      <c r="Y6" s="11" t="s">
        <v>154</v>
      </c>
      <c r="Z6" s="14">
        <v>45900</v>
      </c>
      <c r="AA6" s="16" t="s">
        <v>266</v>
      </c>
    </row>
    <row r="7" spans="1:27">
      <c r="B7" s="11" t="s">
        <v>230</v>
      </c>
      <c r="C7" s="11" t="s">
        <v>231</v>
      </c>
      <c r="D7" s="2">
        <v>65.05</v>
      </c>
      <c r="E7" s="12" t="s">
        <v>232</v>
      </c>
      <c r="F7" s="15">
        <v>0.12219144178401908</v>
      </c>
      <c r="G7" s="15">
        <f>F7 - Portfolio_Mgmt!$C$10</f>
        <v>3.519144178401909E-2</v>
      </c>
      <c r="H7" s="15">
        <f>F7 - Portfolio_Mgmt!$C$11</f>
        <v>0.10319144178401908</v>
      </c>
      <c r="I7" s="15">
        <v>0</v>
      </c>
      <c r="J7" s="2">
        <v>39.764265539137753</v>
      </c>
      <c r="K7" s="2">
        <v>77.785604602754844</v>
      </c>
      <c r="L7" s="85">
        <v>76.489631443032536</v>
      </c>
      <c r="M7" s="2">
        <v>55.502548055026942</v>
      </c>
      <c r="N7" s="2">
        <v>71.206942663777582</v>
      </c>
      <c r="O7" s="4">
        <v>5.5639890472717189E-2</v>
      </c>
      <c r="P7" s="4">
        <v>6.429362029208302E-2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10.17</v>
      </c>
      <c r="E8" s="12" t="s">
        <v>232</v>
      </c>
      <c r="F8" s="15">
        <v>0.11572394515178419</v>
      </c>
      <c r="G8" s="15">
        <f>F8 - Portfolio_Mgmt!$C$10</f>
        <v>2.8723945151784197E-2</v>
      </c>
      <c r="H8" s="15">
        <f>F8 - Portfolio_Mgmt!$C$11</f>
        <v>9.6723945151784188E-2</v>
      </c>
      <c r="I8" s="15">
        <v>0</v>
      </c>
      <c r="J8" s="2">
        <v>6.0252106849259528</v>
      </c>
      <c r="K8" s="2">
        <v>12.91528670453229</v>
      </c>
      <c r="L8" s="85">
        <v>11.80620806482221</v>
      </c>
      <c r="M8" s="2">
        <v>8.4964380432942921</v>
      </c>
      <c r="N8" s="2">
        <v>10.971932453508362</v>
      </c>
      <c r="O8" s="4">
        <v>3.4691681257332525E-2</v>
      </c>
      <c r="P8" s="4">
        <v>3.5398230088495582E-2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246</v>
      </c>
      <c r="C9" s="11" t="s">
        <v>247</v>
      </c>
      <c r="D9" s="2">
        <v>5.55</v>
      </c>
      <c r="E9" s="12" t="s">
        <v>232</v>
      </c>
      <c r="F9" s="15">
        <v>0.11019061500170646</v>
      </c>
      <c r="G9" s="15">
        <f>F9 - Portfolio_Mgmt!$C$10</f>
        <v>2.3190615001706466E-2</v>
      </c>
      <c r="H9" s="15">
        <f>F9 - Portfolio_Mgmt!$C$11</f>
        <v>9.1190615001706457E-2</v>
      </c>
      <c r="I9" s="15">
        <v>0</v>
      </c>
      <c r="J9" s="2">
        <v>3.2367222690014161</v>
      </c>
      <c r="K9" s="2">
        <v>6.9895661568976033</v>
      </c>
      <c r="L9" s="85">
        <v>6.3521223870188166</v>
      </c>
      <c r="M9" s="2">
        <v>4.5682049056603367</v>
      </c>
      <c r="N9" s="2">
        <v>5.902408832447132</v>
      </c>
      <c r="O9" s="4">
        <v>4.1441458886748529E-2</v>
      </c>
      <c r="P9" s="4">
        <v>3.2594594594594593E-2</v>
      </c>
      <c r="Q9" s="4">
        <v>4.9029562887232557E-2</v>
      </c>
      <c r="R9" s="4">
        <v>5.0475725130946753E-2</v>
      </c>
      <c r="S9" s="94">
        <v>0.56944999111533989</v>
      </c>
      <c r="T9" s="95">
        <v>1.7057676125178334</v>
      </c>
      <c r="U9" s="15">
        <v>2.5694600492681609E-2</v>
      </c>
      <c r="V9" s="90">
        <v>0.53421555755411909</v>
      </c>
      <c r="W9" s="85">
        <v>-0.36074239393771346</v>
      </c>
      <c r="X9" s="13" t="s">
        <v>248</v>
      </c>
      <c r="Y9" s="11" t="s">
        <v>154</v>
      </c>
      <c r="Z9" s="14">
        <v>45900</v>
      </c>
      <c r="AA9" s="16" t="s">
        <v>266</v>
      </c>
    </row>
    <row r="10" spans="1:27">
      <c r="B10" s="11" t="s">
        <v>239</v>
      </c>
      <c r="C10" s="11" t="s">
        <v>240</v>
      </c>
      <c r="D10" s="2">
        <v>23.81</v>
      </c>
      <c r="E10" s="12" t="s">
        <v>232</v>
      </c>
      <c r="F10" s="15">
        <v>8.4180024924960684E-2</v>
      </c>
      <c r="G10" s="15">
        <f>F10 - Portfolio_Mgmt!$C$10</f>
        <v>-2.8199750750393104E-3</v>
      </c>
      <c r="H10" s="15">
        <f>F10 - Portfolio_Mgmt!$C$11</f>
        <v>6.5180024924960681E-2</v>
      </c>
      <c r="I10" s="15">
        <v>0</v>
      </c>
      <c r="J10" s="2">
        <v>13.079690025486418</v>
      </c>
      <c r="K10" s="2">
        <v>26.888151196428591</v>
      </c>
      <c r="L10" s="85">
        <v>25.409202896038835</v>
      </c>
      <c r="M10" s="2">
        <v>18.356272555350223</v>
      </c>
      <c r="N10" s="2">
        <v>23.632551844105855</v>
      </c>
      <c r="O10" s="4">
        <v>0.23189274729054341</v>
      </c>
      <c r="P10" s="4">
        <v>4.4519109617807646E-2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20.76</v>
      </c>
      <c r="E11" s="12" t="s">
        <v>232</v>
      </c>
      <c r="F11" s="15">
        <v>7.5140533646880892E-2</v>
      </c>
      <c r="G11" s="15">
        <f>F11 - Portfolio_Mgmt!$C$10</f>
        <v>-1.1859466353119102E-2</v>
      </c>
      <c r="H11" s="15">
        <f>F11 - Portfolio_Mgmt!$C$11</f>
        <v>5.6140533646880889E-2</v>
      </c>
      <c r="I11" s="15">
        <v>0</v>
      </c>
      <c r="J11" s="2">
        <v>11.165268338950117</v>
      </c>
      <c r="K11" s="2">
        <v>22.601441956902718</v>
      </c>
      <c r="L11" s="85">
        <v>21.622888321317863</v>
      </c>
      <c r="M11" s="2">
        <v>15.642626483276317</v>
      </c>
      <c r="N11" s="2">
        <v>20.116801024749044</v>
      </c>
      <c r="O11" s="4">
        <v>5.2131251149005992E-2</v>
      </c>
      <c r="P11" s="4">
        <v>4.7687861271676305E-2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14.38</v>
      </c>
      <c r="E12" s="12" t="s">
        <v>232</v>
      </c>
      <c r="F12" s="15">
        <v>-7.859899226480771E-2</v>
      </c>
      <c r="G12" s="15">
        <f>F12 - Portfolio_Mgmt!$C$10</f>
        <v>-0.1655989922648077</v>
      </c>
      <c r="H12" s="15">
        <f>F12 - Portfolio_Mgmt!$C$11</f>
        <v>-9.7598992264807713E-2</v>
      </c>
      <c r="I12" s="15">
        <v>0</v>
      </c>
      <c r="J12" s="2">
        <v>4.9106169541815241</v>
      </c>
      <c r="K12" s="2">
        <v>10.251430255232371</v>
      </c>
      <c r="L12" s="85">
        <v>9.5695828227600401</v>
      </c>
      <c r="M12" s="2">
        <v>6.9036475281066911</v>
      </c>
      <c r="N12" s="2">
        <v>8.8978683003699235</v>
      </c>
      <c r="O12" s="4">
        <v>3.0851194014707366E-2</v>
      </c>
      <c r="P12" s="4">
        <v>2.5034770514603618E-2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4.2599999999999999E-2</v>
      </c>
      <c r="D4" s="34">
        <v>7.4999999999999997E-2</v>
      </c>
      <c r="E4" s="35">
        <f>D4-C4</f>
        <v>3.2399999999999998E-2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0.53834948381784786</v>
      </c>
      <c r="H3" s="89">
        <f>Portfolio_Mgmt!E61</f>
        <v>0.3</v>
      </c>
      <c r="I3" s="96" t="s">
        <v>265</v>
      </c>
      <c r="J3" s="96" t="s">
        <v>265</v>
      </c>
      <c r="K3" s="96" t="s">
        <v>265</v>
      </c>
      <c r="L3" s="96" t="s">
        <v>265</v>
      </c>
    </row>
    <row r="4" spans="1:12">
      <c r="B4" s="77" t="s">
        <v>239</v>
      </c>
      <c r="C4" s="74">
        <f>VLOOKUP(B4,Opportunities!B$3:E$30,3,FALSE)</f>
        <v>23.81</v>
      </c>
      <c r="D4" s="73" t="str">
        <f>VLOOKUP(B4,Opportunities!B$3:E$30,4,FALSE)</f>
        <v>CNY</v>
      </c>
      <c r="E4" s="70">
        <v>3000</v>
      </c>
      <c r="F4" s="75">
        <f>C4*E4</f>
        <v>71430</v>
      </c>
      <c r="G4" s="72">
        <f t="shared" si="0"/>
        <v>0.2262017860535816</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14.87</v>
      </c>
      <c r="D5" s="73" t="str">
        <f>VLOOKUP(B5,Opportunities!B$3:E$30,4,FALSE)</f>
        <v>CNY</v>
      </c>
      <c r="E5" s="70">
        <v>5000</v>
      </c>
      <c r="F5" s="75">
        <f>C5*E5</f>
        <v>74350</v>
      </c>
      <c r="G5" s="72">
        <f t="shared" ref="G5" si="1">F5/$F$11</f>
        <v>0.23544873012857051</v>
      </c>
      <c r="H5" s="72">
        <f>VLOOKUP(B5,Opportunities!B$3:I$30,8,FALSE)</f>
        <v>0.28564312057682134</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315780</v>
      </c>
      <c r="G11" s="81">
        <f>SUM(G3:G9)</f>
        <v>0.99999999999999989</v>
      </c>
      <c r="H11" s="87">
        <f>SUM(H3:H9)</f>
        <v>0.58564312057682133</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23.81</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46.19</v>
      </c>
      <c r="D15" s="73" t="str">
        <f>VLOOKUP(B15,Opportunities!B$3:E$30,4,FALSE)</f>
        <v>CNY</v>
      </c>
      <c r="E15" s="70">
        <v>0</v>
      </c>
      <c r="F15" s="75">
        <f>-C15*E15</f>
        <v>0</v>
      </c>
      <c r="G15" s="72">
        <f>-F15/$F$11</f>
        <v>0</v>
      </c>
      <c r="H15" s="72">
        <f>VLOOKUP(B15,Opportunities!B$3:I$30,8,FALSE)</f>
        <v>0.14847106440371527</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14.87</v>
      </c>
      <c r="D16" s="73" t="str">
        <f>VLOOKUP(B16,Opportunities!B$3:E$30,4,FALSE)</f>
        <v>CNY</v>
      </c>
      <c r="E16" s="70">
        <v>1000</v>
      </c>
      <c r="F16" s="75">
        <f>-C16*E16</f>
        <v>-14870</v>
      </c>
      <c r="G16" s="72">
        <f>-F16/$F$11</f>
        <v>4.7089746025714106E-2</v>
      </c>
      <c r="H16" s="72">
        <f>VLOOKUP(B16,Opportunities!B$3:I$30,8,FALSE)</f>
        <v>0.28564312057682134</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155130</v>
      </c>
      <c r="G18" s="87">
        <f t="shared" ref="G18" si="2">F18/$F$11</f>
        <v>0.49125973779213378</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2025-07-03T02:58:39Z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