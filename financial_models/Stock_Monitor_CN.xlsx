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BA04AB6-035E-4BAA-ABF7-2A10751B613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<sst xmlns="http://schemas.openxmlformats.org/spreadsheetml/2006/main" count="423" uniqueCount="356">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</sst>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56.51</v>
      </c>
      <c r="E3" s="12" t="s">
        <v>327</v>
      </c>
      <c r="F3" s="15">
        <v>9.3872552740446258E-2</v>
      </c>
      <c r="G3" s="15">
        <f>F3 - Portfolio_Mgmt!$C$10</f>
        <v>6.8725527404462639E-3</v>
      </c>
      <c r="H3" s="15">
        <f>F3 - Portfolio_Mgmt!$C$11</f>
        <v>7.4872552740446255E-2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7.6783243716598309E-2</v>
      </c>
      <c r="P3" s="4">
        <v>3.8223323305609631E-2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16.03</v>
      </c>
      <c r="E4" s="12" t="s">
        <v>327</v>
      </c>
      <c r="F4" s="15">
        <v>9.1111397458026211E-2</v>
      </c>
      <c r="G4" s="15">
        <f>F4 - Portfolio_Mgmt!$C$10</f>
        <v>4.1113974580262169E-3</v>
      </c>
      <c r="H4" s="15">
        <f>F4 - Portfolio_Mgmt!$C$11</f>
        <v>7.2111397458026208E-2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7.3426279804074776E-2</v>
      </c>
      <c r="P4" s="4">
        <v>5.9513412351840302E-2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10.14</v>
      </c>
      <c r="E5" s="12" t="s">
        <v>327</v>
      </c>
      <c r="F5" s="15">
        <v>8.3104535912487121E-2</v>
      </c>
      <c r="G5" s="15">
        <f>F5 - Portfolio_Mgmt!$C$10</f>
        <v>-3.8954640875128732E-3</v>
      </c>
      <c r="H5" s="15">
        <f>F5 - Portfolio_Mgmt!$C$11</f>
        <v>6.4104535912487118E-2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3.4794319367561319E-2</v>
      </c>
      <c r="P5" s="4">
        <v>3.5502958579881658E-2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5.66</v>
      </c>
      <c r="E6" s="12" t="s">
        <v>327</v>
      </c>
      <c r="F6" s="15">
        <v>5.7568222868002339E-2</v>
      </c>
      <c r="G6" s="15">
        <f>F6 - Portfolio_Mgmt!$C$10</f>
        <v>-2.9431777131997655E-2</v>
      </c>
      <c r="H6" s="15">
        <f>F6 - Portfolio_Mgmt!$C$11</f>
        <v>3.8568222868002336E-2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4.0636059509090869E-2</v>
      </c>
      <c r="P6" s="4">
        <v>3.1961130742049468E-2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339</v>
      </c>
      <c r="C7" s="11" t="s">
        <v>340</v>
      </c>
      <c r="D7" s="2">
        <v>68.3</v>
      </c>
      <c r="E7" s="12" t="s">
        <v>327</v>
      </c>
      <c r="F7" s="15">
        <v>4.7286052338489926E-2</v>
      </c>
      <c r="G7" s="15">
        <f>F7 - Portfolio_Mgmt!$C$10</f>
        <v>-3.9713947661510068E-2</v>
      </c>
      <c r="H7" s="15">
        <f>F7 - Portfolio_Mgmt!$C$11</f>
        <v>2.8286052338489926E-2</v>
      </c>
      <c r="I7" s="15">
        <v>0</v>
      </c>
      <c r="J7" s="2">
        <v>27.666459398619363</v>
      </c>
      <c r="K7" s="2">
        <v>65.304739034115954</v>
      </c>
      <c r="L7" s="74">
        <v>63.44391872644448</v>
      </c>
      <c r="M7" s="2">
        <v>37.320034608154735</v>
      </c>
      <c r="N7" s="2">
        <v>61.489408566601746</v>
      </c>
      <c r="O7" s="4">
        <v>5.2992311497075451E-2</v>
      </c>
      <c r="P7" s="4">
        <v>6.1234260614934123E-2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337</v>
      </c>
      <c r="C8" s="11" t="s">
        <v>338</v>
      </c>
      <c r="D8" s="2">
        <v>22.78</v>
      </c>
      <c r="E8" s="12" t="s">
        <v>327</v>
      </c>
      <c r="F8" s="15">
        <v>4.590904453268374E-2</v>
      </c>
      <c r="G8" s="15">
        <f>F8 - Portfolio_Mgmt!$C$10</f>
        <v>-4.1090955467316254E-2</v>
      </c>
      <c r="H8" s="15">
        <f>F8 - Portfolio_Mgmt!$C$11</f>
        <v>2.6909044532683741E-2</v>
      </c>
      <c r="I8" s="15">
        <v>0</v>
      </c>
      <c r="J8" s="2">
        <v>8.9913803957882639</v>
      </c>
      <c r="K8" s="2">
        <v>23.068262059109994</v>
      </c>
      <c r="L8" s="74">
        <v>21.049942920535798</v>
      </c>
      <c r="M8" s="2">
        <v>12.232463386030947</v>
      </c>
      <c r="N8" s="2">
        <v>20.388648577016472</v>
      </c>
      <c r="O8" s="4">
        <v>5.8132612896145734E-2</v>
      </c>
      <c r="P8" s="4">
        <v>4.1878841088674276E-2</v>
      </c>
      <c r="Q8" s="4">
        <v>0.15648173464349882</v>
      </c>
      <c r="R8" s="4">
        <v>0.13375671427886937</v>
      </c>
      <c r="S8" s="82">
        <v>0.66633267926556194</v>
      </c>
      <c r="T8" s="81">
        <v>1.7557268340491488</v>
      </c>
      <c r="U8" s="15">
        <v>0.3857437197038544</v>
      </c>
      <c r="V8" s="79">
        <v>2.3913910654887354</v>
      </c>
      <c r="W8" s="74">
        <v>3.5427832354191278</v>
      </c>
      <c r="X8" s="13" t="s">
        <v>172</v>
      </c>
      <c r="Y8" s="11" t="s">
        <v>136</v>
      </c>
      <c r="Z8" s="14">
        <v>45900</v>
      </c>
      <c r="AA8" s="16" t="s">
        <v>183</v>
      </c>
    </row>
    <row r="9" spans="1:27">
      <c r="B9" s="11" t="s">
        <v>335</v>
      </c>
      <c r="C9" s="11" t="s">
        <v>336</v>
      </c>
      <c r="D9" s="2">
        <v>53.28</v>
      </c>
      <c r="E9" s="12" t="s">
        <v>327</v>
      </c>
      <c r="F9" s="15">
        <v>1.2834387460451735E-2</v>
      </c>
      <c r="G9" s="15">
        <f>F9 - Portfolio_Mgmt!$C$10</f>
        <v>-7.4165612539548259E-2</v>
      </c>
      <c r="H9" s="15">
        <f>F9 - Portfolio_Mgmt!$C$11</f>
        <v>-6.1656125395482646E-3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4.0596458531226703E-2</v>
      </c>
      <c r="P9" s="4">
        <v>1.6891891891891893E-2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20.99</v>
      </c>
      <c r="E10" s="12" t="s">
        <v>327</v>
      </c>
      <c r="F10" s="15">
        <v>1.2153857735920148E-2</v>
      </c>
      <c r="G10" s="15">
        <f>F10 - Portfolio_Mgmt!$C$10</f>
        <v>-7.4846142264079846E-2</v>
      </c>
      <c r="H10" s="15">
        <f>F10 - Portfolio_Mgmt!$C$11</f>
        <v>-6.8461422640798512E-3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5.1560017811022603E-2</v>
      </c>
      <c r="P10" s="4">
        <v>4.7165316817532166E-2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23.17</v>
      </c>
      <c r="E11" s="12" t="s">
        <v>327</v>
      </c>
      <c r="F11" s="15">
        <v>9.8187410185068824E-3</v>
      </c>
      <c r="G11" s="15">
        <f>F11 - Portfolio_Mgmt!$C$10</f>
        <v>-7.7181258981493112E-2</v>
      </c>
      <c r="H11" s="15">
        <f>F11 - Portfolio_Mgmt!$C$11</f>
        <v>-9.1812589814931171E-3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0.23829807134172801</v>
      </c>
      <c r="P11" s="4">
        <v>4.5748813120414331E-2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15.15</v>
      </c>
      <c r="E12" s="12" t="s">
        <v>327</v>
      </c>
      <c r="F12" s="15">
        <v>-0.14003425580503703</v>
      </c>
      <c r="G12" s="15">
        <f>F12 - Portfolio_Mgmt!$C$10</f>
        <v>-0.22703425580503703</v>
      </c>
      <c r="H12" s="15">
        <f>F12 - Portfolio_Mgmt!$C$11</f>
        <v>-0.15903425580503702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2.9283179533431812E-2</v>
      </c>
      <c r="P12" s="4">
        <v>2.3762376237623766E-2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4.4299999999999999E-2</v>
      </c>
      <c r="D4" s="34">
        <v>7.4999999999999997E-2</v>
      </c>
      <c r="E4" s="35">
        <f>D4-C4</f>
        <v>3.0699999999999998E-2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0.53181505349433777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23.17</v>
      </c>
      <c r="D4" s="62" t="str">
        <f>VLOOKUP(B4,Opportunities!B$3:E$30,4,FALSE)</f>
        <v>CNY</v>
      </c>
      <c r="E4" s="59">
        <v>3000</v>
      </c>
      <c r="F4" s="64">
        <f>E4*C4</f>
        <v>69510</v>
      </c>
      <c r="G4" s="61">
        <f>F4/$F$10</f>
        <v>0.21744979040230245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16.03</v>
      </c>
      <c r="D5" s="62" t="str">
        <f>VLOOKUP(B5,Opportunities!B$3:E$30,4,FALSE)</f>
        <v>CNY</v>
      </c>
      <c r="E5" s="59">
        <v>5000</v>
      </c>
      <c r="F5" s="64">
        <f>C5*E5</f>
        <v>80150</v>
      </c>
      <c r="G5" s="61">
        <f>F5/$F$10</f>
        <v>0.25073515610335984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319660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0.53181505349433777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2025-07-27T01:05:59Z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