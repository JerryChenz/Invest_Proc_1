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BF0C0E14-5AFF-4501-A287-DD00F1E4CE05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<sst xmlns="http://schemas.openxmlformats.org/spreadsheetml/2006/main" count="407" uniqueCount="361">
  <si>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</si>
  <si>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</si>
  <si>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</si>
  <si>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</si>
  <si>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</si>
  <si>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</si>
  <si>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</si>
  <si>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</si>
  <si>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</si>
  <si>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</si>
  <si>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</si>
  <si>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</si>
  <si>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</si>
  <si>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</si>
  <si>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</si>
  <si>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</si>
  <si>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</si>
  <si>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</si>
  <si>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</si>
  <si>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</si>
  <si>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</si>
  <si>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</si>
  <si>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</si>
  <si>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</si>
  <si>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</si>
  <si>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</si>
  <si>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</si>
  <si>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</si>
  <si>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</si>
  <si>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</si>
  <si>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</si>
  <si>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</si>
  <si>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</si>
  <si>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</si>
  <si>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</si>
  <si>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</si>
  <si>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</si>
  <si>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</si>
  <si>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</si>
  <si>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</si>
  <si>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</si>
  <si>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</si>
  <si>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</si>
  <si>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</si>
  <si>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</si>
  <si>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</si>
  <si>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</si>
  <si>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</si>
  <si>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</si>
  <si>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</si>
  <si>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</si>
  <si>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</si>
  <si>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</si>
  <si>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</si>
  <si>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</si>
  <si>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</si>
  <si>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</si>
  <si>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</si>
  <si>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</si>
  <si>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</si>
  <si>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</si>
  <si>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</si>
  <si>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</si>
  <si>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</si>
  <si>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</si>
  <si>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</si>
  <si>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</si>
  <si>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</si>
  <si>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</si>
  <si>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</si>
  <si>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</si>
  <si>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</si>
  <si>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</si>
  <si>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</si>
  <si>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</si>
  <si>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</si>
  <si>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</si>
  <si>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</si>
  <si>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</si>
  <si>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</si>
  <si>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</si>
  <si>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</si>
  <si>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</si>
  <si>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</si>
  <si>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</si>
  <si>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</si>
  <si>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</si>
  <si>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</si>
  <si>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</si>
  <si>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</si>
  <si>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</si>
  <si>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</si>
  <si>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</si>
  <si>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</si>
  <si>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</si>
  <si>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</si>
  <si>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</si>
  <si>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</si>
  <si>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</si>
  <si>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</si>
  <si>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</si>
  <si>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</si>
  <si>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</si>
  <si>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</si>
  <si>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</si>
  <si>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</si>
  <si>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</si>
  <si>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</si>
  <si>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</si>
  <si>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</si>
  <si>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</si>
  <si>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</si>
  <si>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</si>
  <si>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</si>
  <si>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</si>
  <si>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</si>
  <si>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</si>
  <si>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</si>
  <si>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</si>
  <si>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</si>
  <si>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</si>
  <si>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</si>
  <si>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</si>
  <si>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</si>
  <si>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</si>
  <si>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</si>
  <si>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</si>
  <si>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</si>
  <si>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</si>
  <si>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</si>
  <si>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</si>
  <si>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</si>
  <si>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</si>
  <si>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</si>
  <si>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</si>
  <si>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</si>
  <si>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</si>
  <si>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</si>
  <si>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</si>
  <si>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</si>
  <si>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</si>
  <si>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</si>
  <si>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</si>
  <si>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</si>
  <si>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</si>
  <si>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</si>
  <si>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</si>
  <si>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</si>
  <si>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</si>
  <si>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</si>
  <si>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</si>
  <si>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</si>
  <si>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</si>
  <si>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</si>
  <si>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</si>
  <si>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</si>
  <si>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</si>
  <si>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</si>
  <si>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</si>
  <si>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</si>
  <si>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</si>
  <si>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</si>
  <si>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</si>
  <si>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</si>
  <si>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</si>
  <si>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</si>
  <si>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</si>
  <si>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</si>
  <si>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</si>
  <si>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</si>
  <si>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</si>
  <si>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</si>
  <si>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</si>
  <si>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</si>
  <si>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</si>
  <si>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</si>
  <si>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</si>
  <si>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</si>
  <si>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</si>
  <si>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</si>
  <si>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</si>
  <si>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</si>
  <si>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</si>
  <si>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</si>
  <si>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</si>
  <si>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</si>
  <si>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</si>
  <si>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</si>
  <si>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</si>
  <si>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</si>
  <si>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</si>
  <si>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</si>
  <si>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</si>
  <si>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</si>
  <si>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</si>
  <si>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</si>
  <si>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</si>
  <si>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</si>
  <si>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</si>
  <si>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</si>
  <si>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</si>
  <si>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</si>
  <si>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</si>
  <si>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</si>
  <si>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</si>
  <si>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</si>
  <si>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</si>
  <si>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</si>
  <si>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</si>
  <si>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</si>
  <si>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</si>
  <si>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</si>
  <si>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</si>
  <si>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</si>
  <si>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</si>
  <si>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</si>
  <si>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</si>
  <si>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</si>
  <si>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</si>
  <si>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</si>
  <si>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</si>
  <si>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</si>
  <si>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</si>
  <si>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</si>
  <si>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</si>
  <si>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</si>
  <si>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</si>
  <si>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</si>
  <si>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</si>
  <si>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</si>
  <si>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</si>
  <si>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</si>
  <si>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</si>
  <si>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</si>
  <si>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</si>
  <si>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</si>
  <si>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</si>
  <si>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</si>
  <si>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</si>
  <si>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</si>
  <si>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</si>
  <si>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</si>
  <si>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</si>
  <si>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</si>
  <si>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</si>
  <si>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</si>
  <si>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</si>
  <si>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</si>
  <si>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</si>
  <si>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</si>
  <si>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</si>
  <si>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</si>
  <si>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</si>
  <si>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</si>
  <si>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</si>
  <si>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</si>
  <si>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</si>
  <si>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</si>
  <si>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</si>
  <si>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</si>
  <si>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</si>
  <si>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</si>
  <si>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</si>
  <si>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</si>
  <si>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</si>
  <si>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</si>
  <si>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</si>
  <si>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</si>
  <si>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</si>
  <si>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</si>
  <si>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</si>
  <si>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</si>
  <si>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</si>
  <si>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</si>
  <si>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</si>
  <si>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</si>
  <si>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</si>
  <si>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</si>
  <si>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</si>
  <si>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</si>
  <si>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</si>
  <si>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</si>
  <si>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</si>
  <si>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</si>
  <si>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</si>
  <si>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</si>
  <si>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</si>
  <si>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</si>
  <si>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</si>
  <si>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</si>
  <si>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</si>
  <si>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</si>
  <si>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</si>
  <si>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</si>
  <si>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</si>
  <si>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</si>
  <si>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</si>
  <si>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</si>
  <si>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</si>
  <si>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</si>
  <si>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</si>
  <si>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</si>
  <si>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</si>
  <si>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</si>
  <si>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</si>
  <si>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</si>
  <si>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</si>
  <si>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</si>
  <si>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</si>
  <si>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</si>
  <si>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</si>
  <si>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</si>
  <si>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</si>
  <si>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</si>
  <si>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</si>
  <si>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</si>
  <si>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</si>
  <si>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</si>
  <si>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</si>
  <si>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</si>
  <si>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</si>
  <si>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</si>
  <si>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</si>
  <si>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</si>
  <si>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</si>
  <si>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</si>
  <si>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</si>
  <si>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</si>
  <si>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</si>
  <si>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</si>
  <si>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</si>
  <si>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</si>
  <si>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</si>
  <si>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</si>
  <si>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</si>
  <si>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</si>
  <si>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</si>
  <si>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</si>
  <si>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</si>
  <si>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</si>
  <si>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</si>
  <si>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</si>
  <si>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</si>
  <si>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</si>
  <si>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</si>
  <si>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</si>
  <si>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</si>
  <si>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</si>
  <si>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</si>
  <si>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</si>
  <si>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</si>
  <si>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</si>
  <si>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</si>
  <si>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</si>
  <si>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</si>
  <si>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</si>
  <si>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</si>
  <si>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</si>
  <si>
    <t>CNS_01</t>
  </si>
  <si>
    <t>Lower than Inflation rate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</si>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</sst>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205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347</v>
      </c>
      <c r="C12" s="77">
        <v>7.2499999999999995E-2</v>
      </c>
    </row>
    <row r="13" spans="1:5">
      <c r="C13" s="4"/>
    </row>
    <row r="14" spans="1:5" ht="46.5" customHeight="1">
      <c r="B14" s="144" t="s">
        <v>348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207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194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346</v>
      </c>
      <c r="C35" s="43" t="s">
        <v>129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0.55000000000000004</v>
      </c>
    </row>
    <row r="38" spans="1:5">
      <c r="B38" s="26" t="s">
        <v>342</v>
      </c>
      <c r="C38" s="138">
        <v>-0.75</v>
      </c>
    </row>
    <row r="40" spans="1:5">
      <c r="B40" s="20" t="s">
        <v>215</v>
      </c>
    </row>
    <row r="41" spans="1:5">
      <c r="B41" s="144" t="s">
        <v>214</v>
      </c>
      <c r="C41" s="144"/>
      <c r="D41" s="144"/>
      <c r="E41" s="144"/>
    </row>
    <row r="43" spans="1:5">
      <c r="A43" s="20" t="s">
        <v>61</v>
      </c>
      <c r="B43" s="19" t="s">
        <v>354</v>
      </c>
    </row>
    <row r="45" spans="1:5">
      <c r="B45" s="43" t="s">
        <v>208</v>
      </c>
      <c r="C45" s="43" t="s">
        <v>343</v>
      </c>
      <c r="D45" s="43" t="s">
        <v>350</v>
      </c>
      <c r="E45" s="43" t="s">
        <v>349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215</v>
      </c>
    </row>
    <row r="50" spans="1:5">
      <c r="B50" s="145" t="s">
        <v>351</v>
      </c>
      <c r="C50" s="144"/>
      <c r="D50" s="144"/>
      <c r="E50" s="144"/>
    </row>
    <row r="51" spans="1:5">
      <c r="B51" s="145" t="s">
        <v>227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216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198</v>
      </c>
      <c r="C69" s="26" t="s">
        <v>199</v>
      </c>
      <c r="D69" s="26" t="s">
        <v>200</v>
      </c>
      <c r="E69" s="40">
        <v>0</v>
      </c>
    </row>
    <row r="70" spans="1:5">
      <c r="B70" s="26" t="s">
        <v>196</v>
      </c>
      <c r="C70" s="26" t="s">
        <v>168</v>
      </c>
      <c r="D70" s="26" t="s">
        <v>169</v>
      </c>
      <c r="E70" s="40">
        <v>2</v>
      </c>
    </row>
    <row r="71" spans="1:5">
      <c r="B71" s="26" t="s">
        <v>197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220</v>
      </c>
    </row>
    <row r="84" spans="1:5">
      <c r="B84" s="24" t="s">
        <v>150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180</v>
      </c>
      <c r="R1" s="153"/>
      <c r="S1" s="153"/>
      <c r="T1" s="153"/>
      <c r="U1" s="152" t="s">
        <v>176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172</v>
      </c>
      <c r="M2" s="8" t="s">
        <v>166</v>
      </c>
      <c r="N2" s="8" t="s">
        <v>171</v>
      </c>
      <c r="O2" s="7" t="s">
        <v>11</v>
      </c>
      <c r="P2" s="7" t="s">
        <v>6</v>
      </c>
      <c r="Q2" s="7" t="s">
        <v>177</v>
      </c>
      <c r="R2" s="7" t="s">
        <v>181</v>
      </c>
      <c r="S2" s="7" t="s">
        <v>178</v>
      </c>
      <c r="T2" s="7" t="s">
        <v>179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175</v>
      </c>
      <c r="Z2" s="9" t="s">
        <v>9</v>
      </c>
      <c r="AA2" s="10" t="s">
        <v>47</v>
      </c>
    </row>
    <row r="3" spans="1:27">
      <c r="B3" s="11" t="s">
        <v>355</v>
      </c>
      <c r="C3" s="11" t="s">
        <v>356</v>
      </c>
      <c r="D3" s="2">
        <v>16.64</v>
      </c>
      <c r="E3" s="12" t="s">
        <v>357</v>
      </c>
      <c r="F3" s="15">
        <v>0.15844297920474573</v>
      </c>
      <c r="G3" s="15">
        <f>F3 - Portfolio_Mgmt!$C$10</f>
        <v>7.1442979204745738E-2</v>
      </c>
      <c r="H3" s="15">
        <f>F3 - Portfolio_Mgmt!$C$11</f>
        <v>0.13944297920474574</v>
      </c>
      <c r="I3" s="15">
        <v>0</v>
      </c>
      <c r="J3" s="2">
        <v>11.277152172588272</v>
      </c>
      <c r="K3" s="2">
        <v>22.158401911290397</v>
      </c>
      <c r="L3" s="71">
        <v>20.730780285650923</v>
      </c>
      <c r="M3" s="2">
        <v>14.162449719634122</v>
      </c>
      <c r="N3" s="2">
        <v>19.949994757287094</v>
      </c>
      <c r="O3" s="4">
        <v>8.3913479134119714E-2</v>
      </c>
      <c r="P3" s="4">
        <v>6.3701923076923073E-2</v>
      </c>
      <c r="Q3" s="4">
        <v>0.23262925318478492</v>
      </c>
      <c r="R3" s="4">
        <v>0.17509284601323677</v>
      </c>
      <c r="S3" s="79">
        <v>0.68288968092621871</v>
      </c>
      <c r="T3" s="78">
        <v>1.9455633401039498</v>
      </c>
      <c r="U3" s="15">
        <v>4.3380350010353987E-2</v>
      </c>
      <c r="V3" s="76">
        <v>0.18538212957704164</v>
      </c>
      <c r="W3" s="71">
        <v>-0.45026820353990077</v>
      </c>
      <c r="X3" s="13" t="s">
        <v>358</v>
      </c>
      <c r="Y3" s="11" t="s">
        <v>359</v>
      </c>
      <c r="Z3" s="14">
        <v>46081</v>
      </c>
      <c r="AA3" s="16" t="s">
        <v>360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5" t="s">
        <v>233</v>
      </c>
      <c r="C4" s="144"/>
      <c r="D4" s="144"/>
      <c r="E4" s="144"/>
    </row>
    <row r="6" spans="1:5">
      <c r="A6" s="20" t="s">
        <v>59</v>
      </c>
      <c r="B6" s="19" t="s">
        <v>234</v>
      </c>
      <c r="C6" s="47"/>
    </row>
    <row r="7" spans="1:5">
      <c r="B7" s="145" t="s">
        <v>324</v>
      </c>
      <c r="C7" s="144"/>
      <c r="D7" s="144"/>
      <c r="E7" s="144"/>
    </row>
    <row r="9" spans="1:5">
      <c r="B9" s="23" t="s">
        <v>235</v>
      </c>
    </row>
    <row r="10" spans="1:5">
      <c r="B10" s="1" t="s">
        <v>236</v>
      </c>
      <c r="C10" s="105">
        <f>benchmark</f>
        <v>8.6999999999999994E-2</v>
      </c>
    </row>
    <row r="11" spans="1:5">
      <c r="B11" s="1" t="s">
        <v>237</v>
      </c>
      <c r="C11" s="105">
        <f>Cash_Yield</f>
        <v>1.9E-2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60</v>
      </c>
      <c r="B23" s="19" t="s">
        <v>250</v>
      </c>
      <c r="C23" s="47"/>
    </row>
    <row r="24" spans="1:5">
      <c r="A24" s="18"/>
      <c r="B24" s="145" t="s">
        <v>249</v>
      </c>
      <c r="C24" s="144"/>
      <c r="D24" s="144"/>
      <c r="E24" s="144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6</v>
      </c>
    </row>
    <row r="28" spans="1:5">
      <c r="B28" s="26" t="s">
        <v>254</v>
      </c>
      <c r="C28" s="107">
        <f>Portfolio_Mgmt!C31</f>
        <v>0.3</v>
      </c>
    </row>
    <row r="30" spans="1:5">
      <c r="A30" s="20" t="s">
        <v>61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0.32950289523458665</v>
      </c>
      <c r="D32" s="93" t="s">
        <v>319</v>
      </c>
      <c r="E32" s="108">
        <f>Portfolio_Mgmt!E46</f>
        <v>1.7999999999999994</v>
      </c>
    </row>
    <row r="33" spans="1:5">
      <c r="B33" s="95" t="s">
        <v>260</v>
      </c>
      <c r="C33" s="109">
        <f>Portfolio_Mgmt!C47</f>
        <v>0.22621703288100403</v>
      </c>
      <c r="D33" s="96" t="s">
        <v>265</v>
      </c>
      <c r="E33" s="97">
        <f>(C32*C33+(1-C32)*C34)/(2*C33)</f>
        <v>3.1675594963103455</v>
      </c>
    </row>
    <row r="34" spans="1:5" ht="12" thickBot="1">
      <c r="B34" s="98" t="s">
        <v>261</v>
      </c>
      <c r="C34" s="99">
        <f>E32+C33</f>
        <v>2.0262170328810036</v>
      </c>
      <c r="D34" s="100" t="s">
        <v>266</v>
      </c>
      <c r="E34" s="101">
        <f>-C33/C34</f>
        <v>-0.11164501591389464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4" t="s">
        <v>269</v>
      </c>
      <c r="C40" s="144"/>
      <c r="D40" s="144"/>
      <c r="E40" s="144"/>
    </row>
    <row r="41" spans="1:5">
      <c r="B41" s="145" t="s">
        <v>270</v>
      </c>
      <c r="C41" s="144"/>
      <c r="D41" s="144"/>
      <c r="E41" s="144"/>
    </row>
    <row r="42" spans="1:5">
      <c r="B42" s="145" t="s">
        <v>271</v>
      </c>
      <c r="C42" s="144"/>
      <c r="D42" s="144"/>
      <c r="E42" s="144"/>
    </row>
    <row r="43" spans="1:5">
      <c r="B43" s="145" t="s">
        <v>272</v>
      </c>
      <c r="C43" s="145"/>
      <c r="D43" s="145"/>
      <c r="E43" s="145"/>
    </row>
    <row r="44" spans="1:5" ht="34.35" customHeight="1">
      <c r="B44" s="144" t="s">
        <v>323</v>
      </c>
      <c r="C44" s="144"/>
      <c r="D44" s="144"/>
      <c r="E44" s="144"/>
    </row>
    <row r="46" spans="1:5">
      <c r="A46" s="21" t="s">
        <v>273</v>
      </c>
      <c r="B46" s="21"/>
      <c r="C46" s="21"/>
      <c r="D46" s="21"/>
      <c r="E46" s="21"/>
    </row>
    <row r="48" spans="1:5">
      <c r="B48" s="144" t="s">
        <v>274</v>
      </c>
      <c r="C48" s="144"/>
      <c r="D48" s="144"/>
      <c r="E48" s="144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1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0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2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0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4" t="s">
        <v>306</v>
      </c>
      <c r="C74" s="144"/>
      <c r="D74" s="144"/>
      <c r="E74" s="144"/>
    </row>
    <row r="76" spans="1:5">
      <c r="A76" s="28" t="s">
        <v>59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345</v>
      </c>
    </row>
    <row r="3" spans="1:4">
      <c r="B3" s="120" t="s">
        <v>352</v>
      </c>
    </row>
    <row r="5" spans="1:4">
      <c r="A5" s="121" t="s">
        <v>329</v>
      </c>
      <c r="B5" s="122" t="s">
        <v>12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338</v>
      </c>
    </row>
    <row r="9" spans="1:4">
      <c r="B9" s="127" t="s">
        <v>344</v>
      </c>
      <c r="C9" s="128">
        <f>1-C8</f>
        <v>0.4</v>
      </c>
    </row>
    <row r="10" spans="1:4">
      <c r="B10" s="127" t="s">
        <v>342</v>
      </c>
      <c r="C10" s="141">
        <f>Portfolio_Mgmt!C38</f>
        <v>-0.75</v>
      </c>
    </row>
    <row r="12" spans="1:4">
      <c r="B12" s="119" t="s">
        <v>215</v>
      </c>
    </row>
    <row r="13" spans="1:4">
      <c r="B13" s="154" t="s">
        <v>339</v>
      </c>
      <c r="C13" s="154"/>
      <c r="D13" s="154"/>
    </row>
    <row r="14" spans="1:4">
      <c r="B14" s="155" t="s">
        <v>340</v>
      </c>
      <c r="C14" s="156"/>
      <c r="D14" s="156"/>
    </row>
    <row r="16" spans="1:4">
      <c r="A16" s="121" t="s">
        <v>204</v>
      </c>
      <c r="B16" s="122" t="s">
        <v>330</v>
      </c>
    </row>
    <row r="17" spans="1:5">
      <c r="B17" s="123" t="s">
        <v>332</v>
      </c>
      <c r="C17" s="123" t="s">
        <v>343</v>
      </c>
      <c r="D17" s="123" t="s">
        <v>350</v>
      </c>
      <c r="E17" s="123" t="s">
        <v>341</v>
      </c>
    </row>
    <row r="18" spans="1:5">
      <c r="B18" s="127" t="s">
        <v>333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334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331</v>
      </c>
    </row>
    <row r="22" spans="1:5">
      <c r="B22" s="123" t="s">
        <v>337</v>
      </c>
      <c r="C22" s="123" t="s">
        <v>353</v>
      </c>
      <c r="D22" s="123" t="s">
        <v>213</v>
      </c>
    </row>
    <row r="23" spans="1:5">
      <c r="B23" s="127" t="s">
        <v>335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336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4.1500000000000002E-2</v>
      </c>
      <c r="D4" s="34">
        <v>6.7500000000000004E-2</v>
      </c>
      <c r="E4" s="35">
        <f>D4-C4</f>
        <v>2.6000000000000002E-2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328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183</v>
      </c>
      <c r="L2" s="52" t="s">
        <v>184</v>
      </c>
      <c r="M2" s="52" t="s">
        <v>185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170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182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326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186</v>
      </c>
      <c r="K9" s="82" t="s">
        <v>186</v>
      </c>
      <c r="L9" s="82" t="s">
        <v>186</v>
      </c>
      <c r="M9" s="82" t="s">
        <v>186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170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182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326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327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186</v>
      </c>
      <c r="K18" s="82" t="s">
        <v>186</v>
      </c>
      <c r="L18" s="82" t="s">
        <v>186</v>
      </c>
      <c r="M18" s="82" t="s">
        <v>186</v>
      </c>
    </row>
    <row r="20" spans="1:13" ht="13.15">
      <c r="A20" s="49"/>
      <c r="B20" s="50" t="s">
        <v>187</v>
      </c>
      <c r="C20" s="115"/>
      <c r="D20" s="56"/>
      <c r="E20" s="53"/>
      <c r="F20" s="57"/>
      <c r="G20" s="57"/>
    </row>
    <row r="21" spans="1:13" ht="13.15">
      <c r="C21" s="84" t="s">
        <v>188</v>
      </c>
      <c r="D21" s="84" t="s">
        <v>191</v>
      </c>
      <c r="F21" s="84" t="s">
        <v>192</v>
      </c>
    </row>
    <row r="22" spans="1:13" ht="14.25">
      <c r="B22" s="83" t="s">
        <v>189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190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193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2026-01-16T14:54:23Z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