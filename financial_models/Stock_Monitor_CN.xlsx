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D182B40-1AB6-4736-A444-D4A34F359992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1" i="5" l="1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<sst xmlns="http://schemas.openxmlformats.org/spreadsheetml/2006/main" count="419" uniqueCount="366">
  <si>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</si>
  <si>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</si>
  <si>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</si>
  <si>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</si>
  <si>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</si>
  <si>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</si>
  <si>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</si>
  <si>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</si>
  <si>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</si>
  <si>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</si>
  <si>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</si>
  <si>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</si>
  <si>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</si>
  <si>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</si>
  <si>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</si>
  <si>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</si>
  <si>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</si>
  <si>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</si>
  <si>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</si>
  <si>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</si>
  <si>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</si>
  <si>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</si>
  <si>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</si>
  <si>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</si>
  <si>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</si>
  <si>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</si>
  <si>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</si>
  <si>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</si>
  <si>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</si>
  <si>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</si>
  <si>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</si>
  <si>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</si>
  <si>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</si>
  <si>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</si>
  <si>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</si>
  <si>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</si>
  <si>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</si>
  <si>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</si>
  <si>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</si>
  <si>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</si>
  <si>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</si>
  <si>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</si>
  <si>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</si>
  <si>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</si>
  <si>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</si>
  <si>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</si>
  <si>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</si>
  <si>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</si>
  <si>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</si>
  <si>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</si>
  <si>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</si>
  <si>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</si>
  <si>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</si>
  <si>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</si>
  <si>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</si>
  <si>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</si>
  <si>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</si>
  <si>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</si>
  <si>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</si>
  <si>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</si>
  <si>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</si>
  <si>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</si>
  <si>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</si>
  <si>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</si>
  <si>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</si>
  <si>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</si>
  <si>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</si>
  <si>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</si>
  <si>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</si>
  <si>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</si>
  <si>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</si>
  <si>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</si>
  <si>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</si>
  <si>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</si>
  <si>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</si>
  <si>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</si>
  <si>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</si>
  <si>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</si>
  <si>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</si>
  <si>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</si>
  <si>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</si>
  <si>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</si>
  <si>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</si>
  <si>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</si>
  <si>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</si>
  <si>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</si>
  <si>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</si>
  <si>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</si>
  <si>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</si>
  <si>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</si>
  <si>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</si>
  <si>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</si>
  <si>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</si>
  <si>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</si>
  <si>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</si>
  <si>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</si>
  <si>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</si>
  <si>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</si>
  <si>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</si>
  <si>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</si>
  <si>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</si>
  <si>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</si>
  <si>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</si>
  <si>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</si>
  <si>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</si>
  <si>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</si>
  <si>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</si>
  <si>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</si>
  <si>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</si>
  <si>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</si>
  <si>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</si>
  <si>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</si>
  <si>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</si>
  <si>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</si>
  <si>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</si>
  <si>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</si>
  <si>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</si>
  <si>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</si>
  <si>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</si>
  <si>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</si>
  <si>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</si>
  <si>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</si>
  <si>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</si>
  <si>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</si>
  <si>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</si>
  <si>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</si>
  <si>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</si>
  <si>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</si>
  <si>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</si>
  <si>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</si>
  <si>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</si>
  <si>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</si>
  <si>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</si>
  <si>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</si>
  <si>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</si>
  <si>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</si>
  <si>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</si>
  <si>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</si>
  <si>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</si>
  <si>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</si>
  <si>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</si>
  <si>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</si>
  <si>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</si>
  <si>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</si>
  <si>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</si>
  <si>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</si>
  <si>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</si>
  <si>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</si>
  <si>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</si>
  <si>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</si>
  <si>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</si>
  <si>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</si>
  <si>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</si>
  <si>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</si>
  <si>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</si>
  <si>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</si>
  <si>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</si>
  <si>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</si>
  <si>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</si>
  <si>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</si>
  <si>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</si>
  <si>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</si>
  <si>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</si>
  <si>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</si>
  <si>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</si>
  <si>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</si>
  <si>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</si>
  <si>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</si>
  <si>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</si>
  <si>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</si>
  <si>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</si>
  <si>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</si>
  <si>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</si>
  <si>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</si>
  <si>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</si>
  <si>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</si>
  <si>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</si>
  <si>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</si>
  <si>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</si>
  <si>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</si>
  <si>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</si>
  <si>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</si>
  <si>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</si>
  <si>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</si>
  <si>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</si>
  <si>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</si>
  <si>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</si>
  <si>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</si>
  <si>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</si>
  <si>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</si>
  <si>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</si>
  <si>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</si>
  <si>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</si>
  <si>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</si>
  <si>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</si>
  <si>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</si>
  <si>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</si>
  <si>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</si>
  <si>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</si>
  <si>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</si>
  <si>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</si>
  <si>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</si>
  <si>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</si>
  <si>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</si>
  <si>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</si>
  <si>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</si>
  <si>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</si>
  <si>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</si>
  <si>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</si>
  <si>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</si>
  <si>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</si>
  <si>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</si>
  <si>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</si>
  <si>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</si>
  <si>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</si>
  <si>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</si>
  <si>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</si>
  <si>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</si>
  <si>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</si>
  <si>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</si>
  <si>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</si>
  <si>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</si>
  <si>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</si>
  <si>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</si>
  <si>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</si>
  <si>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</si>
  <si>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</si>
  <si>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</si>
  <si>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</si>
  <si>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</si>
  <si>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</si>
  <si>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</si>
  <si>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</si>
  <si>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</si>
  <si>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</si>
  <si>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</si>
  <si>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</si>
  <si>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</si>
  <si>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</si>
  <si>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</si>
  <si>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</si>
  <si>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</si>
  <si>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</si>
  <si>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</si>
  <si>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</si>
  <si>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</si>
  <si>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</si>
  <si>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</si>
  <si>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</si>
  <si>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</si>
  <si>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</si>
  <si>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</si>
  <si>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</si>
  <si>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</si>
  <si>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</si>
  <si>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</si>
  <si>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</si>
  <si>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</si>
  <si>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</si>
  <si>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</si>
  <si>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</si>
  <si>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</si>
  <si>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</si>
  <si>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</si>
  <si>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</si>
  <si>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</si>
  <si>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</si>
  <si>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</si>
  <si>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</si>
  <si>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</si>
  <si>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</si>
  <si>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</si>
  <si>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</si>
  <si>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</si>
  <si>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</si>
  <si>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</si>
  <si>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</si>
  <si>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</si>
  <si>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</si>
  <si>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</si>
  <si>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</si>
  <si>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</si>
  <si>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</si>
  <si>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</si>
  <si>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</si>
  <si>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</si>
  <si>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</si>
  <si>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</si>
  <si>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</si>
  <si>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</si>
  <si>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</si>
  <si>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</si>
  <si>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</si>
  <si>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</si>
  <si>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</si>
  <si>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</si>
  <si>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</si>
  <si>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</si>
  <si>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</si>
  <si>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</si>
  <si>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</si>
  <si>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</si>
  <si>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</si>
  <si>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</si>
  <si>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</si>
  <si>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</si>
  <si>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</si>
  <si>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</si>
  <si>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</si>
  <si>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</si>
  <si>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</si>
  <si>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</si>
  <si>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</si>
  <si>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</si>
  <si>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</si>
  <si>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</si>
  <si>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</si>
  <si>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</si>
  <si>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</si>
  <si>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</si>
  <si>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</si>
  <si>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</si>
  <si>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</si>
  <si>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</si>
  <si>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</si>
  <si>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</si>
  <si>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</si>
  <si>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</si>
  <si>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</si>
  <si>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</si>
  <si>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</si>
  <si>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</si>
  <si>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</si>
  <si>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</si>
  <si>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</si>
  <si>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</si>
  <si>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</si>
  <si>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</si>
  <si>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</si>
  <si>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</si>
  <si>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</si>
  <si>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</si>
  <si>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</si>
  <si>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</si>
  <si>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</si>
  <si>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</si>
  <si>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</si>
  <si>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</si>
  <si>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</si>
  <si>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</si>
  <si>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</si>
  <si>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</si>
  <si>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</si>
  <si>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</si>
  <si>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</si>
  <si>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</si>
  <si>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</si>
  <si>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</si>
  <si>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</si>
  <si>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</si>
  <si>
    <t>000568.SZ</t>
  </si>
  <si>
    <t>泸州老窖</t>
  </si>
  <si>
    <t>Low growth</t>
  </si>
  <si>
    <t>000858.SZ</t>
  </si>
  <si>
    <t>五粮液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</si>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</sst>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D69" sqref="D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147</v>
      </c>
      <c r="C4" s="144"/>
      <c r="D4" s="144"/>
      <c r="E4" s="144"/>
    </row>
    <row r="6" spans="1:5">
      <c r="A6" s="20" t="s">
        <v>59</v>
      </c>
      <c r="B6" s="19" t="s">
        <v>141</v>
      </c>
      <c r="C6" s="47"/>
    </row>
    <row r="7" spans="1:5">
      <c r="B7" s="144" t="s">
        <v>204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346</v>
      </c>
      <c r="C12" s="77">
        <v>7.2499999999999995E-2</v>
      </c>
    </row>
    <row r="13" spans="1:5">
      <c r="C13" s="4"/>
    </row>
    <row r="14" spans="1:5" ht="46.5" customHeight="1">
      <c r="B14" s="144" t="s">
        <v>347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54</v>
      </c>
    </row>
    <row r="22" spans="1:5">
      <c r="B22" s="24" t="s">
        <v>228</v>
      </c>
    </row>
    <row r="23" spans="1:5">
      <c r="B23" s="24" t="s">
        <v>205</v>
      </c>
    </row>
    <row r="24" spans="1:5">
      <c r="B24" s="24" t="s">
        <v>142</v>
      </c>
    </row>
    <row r="26" spans="1:5">
      <c r="A26" s="25" t="s">
        <v>60</v>
      </c>
      <c r="B26" s="19" t="s">
        <v>140</v>
      </c>
      <c r="C26" s="47"/>
    </row>
    <row r="27" spans="1:5">
      <c r="A27" s="18"/>
      <c r="B27" s="145" t="s">
        <v>206</v>
      </c>
      <c r="C27" s="144"/>
      <c r="D27" s="144"/>
      <c r="E27" s="144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74</v>
      </c>
      <c r="C30" s="133">
        <v>6</v>
      </c>
    </row>
    <row r="31" spans="1:5">
      <c r="B31" s="26" t="s">
        <v>193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345</v>
      </c>
      <c r="C35" s="43" t="s">
        <v>128</v>
      </c>
    </row>
    <row r="36" spans="1:5">
      <c r="B36" s="131" t="s">
        <v>211</v>
      </c>
      <c r="C36" s="132">
        <v>3</v>
      </c>
    </row>
    <row r="37" spans="1:5">
      <c r="B37" s="26" t="s">
        <v>210</v>
      </c>
      <c r="C37" s="136">
        <v>0.55000000000000004</v>
      </c>
    </row>
    <row r="38" spans="1:5">
      <c r="B38" s="26" t="s">
        <v>341</v>
      </c>
      <c r="C38" s="138">
        <v>-0.75</v>
      </c>
    </row>
    <row r="40" spans="1:5">
      <c r="B40" s="20" t="s">
        <v>214</v>
      </c>
    </row>
    <row r="41" spans="1:5">
      <c r="B41" s="144" t="s">
        <v>213</v>
      </c>
      <c r="C41" s="144"/>
      <c r="D41" s="144"/>
      <c r="E41" s="144"/>
    </row>
    <row r="43" spans="1:5">
      <c r="A43" s="20" t="s">
        <v>61</v>
      </c>
      <c r="B43" s="19" t="s">
        <v>353</v>
      </c>
    </row>
    <row r="45" spans="1:5">
      <c r="B45" s="43" t="s">
        <v>207</v>
      </c>
      <c r="C45" s="43" t="s">
        <v>342</v>
      </c>
      <c r="D45" s="43" t="s">
        <v>349</v>
      </c>
      <c r="E45" s="43" t="s">
        <v>348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214</v>
      </c>
    </row>
    <row r="50" spans="1:5">
      <c r="B50" s="145" t="s">
        <v>350</v>
      </c>
      <c r="C50" s="144"/>
      <c r="D50" s="144"/>
      <c r="E50" s="144"/>
    </row>
    <row r="51" spans="1:5">
      <c r="B51" s="145" t="s">
        <v>226</v>
      </c>
      <c r="C51" s="145"/>
      <c r="D51" s="145"/>
      <c r="E51" s="145"/>
    </row>
    <row r="53" spans="1:5">
      <c r="A53" s="21" t="s">
        <v>136</v>
      </c>
      <c r="B53" s="21"/>
      <c r="C53" s="21"/>
      <c r="D53" s="21"/>
      <c r="E53" s="21"/>
    </row>
    <row r="55" spans="1:5">
      <c r="B55" s="144" t="s">
        <v>215</v>
      </c>
      <c r="C55" s="144"/>
      <c r="D55" s="144"/>
      <c r="E55" s="144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202</v>
      </c>
      <c r="C60" s="29">
        <v>0.45</v>
      </c>
      <c r="D60" s="46"/>
      <c r="E60" s="44"/>
    </row>
    <row r="61" spans="1:5">
      <c r="B61" s="26" t="s">
        <v>201</v>
      </c>
      <c r="C61" s="29">
        <v>0.3</v>
      </c>
      <c r="D61" s="46"/>
      <c r="E61" s="44"/>
    </row>
    <row r="62" spans="1:5">
      <c r="B62" s="26" t="s">
        <v>200</v>
      </c>
      <c r="C62" s="29">
        <v>0.15</v>
      </c>
      <c r="D62" s="48" t="s">
        <v>148</v>
      </c>
      <c r="E62" s="44"/>
    </row>
    <row r="64" spans="1:5">
      <c r="B64" s="23" t="s">
        <v>365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197</v>
      </c>
      <c r="C69" s="26" t="s">
        <v>198</v>
      </c>
      <c r="D69" s="26" t="s">
        <v>199</v>
      </c>
      <c r="E69" s="40">
        <v>0</v>
      </c>
    </row>
    <row r="70" spans="1:5">
      <c r="B70" s="26" t="s">
        <v>195</v>
      </c>
      <c r="C70" s="26" t="s">
        <v>167</v>
      </c>
      <c r="D70" s="26" t="s">
        <v>168</v>
      </c>
      <c r="E70" s="40">
        <v>2</v>
      </c>
    </row>
    <row r="71" spans="1:5">
      <c r="B71" s="26" t="s">
        <v>196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217</v>
      </c>
    </row>
    <row r="76" spans="1:5">
      <c r="B76" s="1" t="s">
        <v>227</v>
      </c>
    </row>
    <row r="77" spans="1:5">
      <c r="B77" s="1" t="s">
        <v>216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137</v>
      </c>
      <c r="C81" s="144"/>
      <c r="D81" s="144"/>
      <c r="E81" s="144"/>
    </row>
    <row r="83" spans="1:5">
      <c r="A83" s="28" t="s">
        <v>59</v>
      </c>
      <c r="B83" s="20" t="s">
        <v>219</v>
      </c>
    </row>
    <row r="84" spans="1:5">
      <c r="B84" s="24" t="s">
        <v>149</v>
      </c>
    </row>
    <row r="86" spans="1:5">
      <c r="A86" s="28" t="s">
        <v>203</v>
      </c>
      <c r="B86" s="20" t="s">
        <v>218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222</v>
      </c>
      <c r="C88" s="91" t="s">
        <v>229</v>
      </c>
    </row>
    <row r="89" spans="1:5">
      <c r="B89" s="104" t="s">
        <v>221</v>
      </c>
      <c r="C89" s="91" t="s">
        <v>194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220</v>
      </c>
    </row>
    <row r="93" spans="1:5">
      <c r="B93" s="1" t="s">
        <v>223</v>
      </c>
    </row>
    <row r="94" spans="1:5">
      <c r="B94" s="1" t="s">
        <v>225</v>
      </c>
    </row>
    <row r="95" spans="1:5">
      <c r="B95" s="1" t="s">
        <v>224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83</v>
      </c>
      <c r="H1" s="149"/>
      <c r="I1" s="149"/>
      <c r="J1" s="151" t="s">
        <v>4</v>
      </c>
      <c r="K1" s="151"/>
      <c r="L1" s="151"/>
      <c r="M1" s="150" t="s">
        <v>166</v>
      </c>
      <c r="N1" s="150"/>
      <c r="O1" s="146" t="s">
        <v>8</v>
      </c>
      <c r="P1" s="146"/>
      <c r="Q1" s="153" t="s">
        <v>179</v>
      </c>
      <c r="R1" s="153"/>
      <c r="S1" s="153"/>
      <c r="T1" s="153"/>
      <c r="U1" s="152" t="s">
        <v>175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55</v>
      </c>
      <c r="H2" s="7" t="s">
        <v>56</v>
      </c>
      <c r="I2" s="7" t="s">
        <v>145</v>
      </c>
      <c r="J2" s="8" t="s">
        <v>7</v>
      </c>
      <c r="K2" s="8" t="s">
        <v>10</v>
      </c>
      <c r="L2" s="8" t="s">
        <v>171</v>
      </c>
      <c r="M2" s="8" t="s">
        <v>165</v>
      </c>
      <c r="N2" s="8" t="s">
        <v>170</v>
      </c>
      <c r="O2" s="7" t="s">
        <v>11</v>
      </c>
      <c r="P2" s="7" t="s">
        <v>6</v>
      </c>
      <c r="Q2" s="7" t="s">
        <v>176</v>
      </c>
      <c r="R2" s="7" t="s">
        <v>180</v>
      </c>
      <c r="S2" s="7" t="s">
        <v>177</v>
      </c>
      <c r="T2" s="7" t="s">
        <v>178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174</v>
      </c>
      <c r="Z2" s="9" t="s">
        <v>9</v>
      </c>
      <c r="AA2" s="10" t="s">
        <v>47</v>
      </c>
    </row>
    <row r="3" spans="1:27">
      <c r="B3" s="11" t="s">
        <v>360</v>
      </c>
      <c r="C3" s="11" t="s">
        <v>361</v>
      </c>
      <c r="D3" s="2">
        <v>109.99</v>
      </c>
      <c r="E3" s="12" t="s">
        <v>356</v>
      </c>
      <c r="F3" s="15">
        <v>0.15464914212088174</v>
      </c>
      <c r="G3" s="15">
        <v>0</v>
      </c>
      <c r="H3" s="15">
        <v>73.121635714867196</v>
      </c>
      <c r="I3" s="15">
        <v>154.90342821921132</v>
      </c>
      <c r="J3" s="2">
        <v>136.36157636797898</v>
      </c>
      <c r="K3" s="2">
        <v>92.375891520070169</v>
      </c>
      <c r="L3" s="71">
        <v>131.12448893172376</v>
      </c>
      <c r="M3" s="2">
        <v>8.141235575405599E-2</v>
      </c>
      <c r="N3" s="2">
        <v>3.757432493863079E-2</v>
      </c>
      <c r="O3" s="4">
        <v>0.37772085893132024</v>
      </c>
      <c r="P3" s="4">
        <v>0.56520395086535147</v>
      </c>
      <c r="Q3" s="4">
        <v>0.44445275381950455</v>
      </c>
      <c r="R3" s="4">
        <v>1.5036272168761813</v>
      </c>
      <c r="S3" s="79">
        <v>5.8904840599867017E-2</v>
      </c>
      <c r="T3" s="78">
        <v>0.15503078912543219</v>
      </c>
      <c r="U3" s="15">
        <v>12.72773462292413</v>
      </c>
      <c r="V3" s="76" t="s">
        <v>357</v>
      </c>
      <c r="W3" s="71" t="s">
        <v>362</v>
      </c>
      <c r="X3" s="13">
        <v>46081</v>
      </c>
      <c r="Y3" s="11" t="s">
        <v>359</v>
      </c>
      <c r="Z3" s="14"/>
      <c r="AA3" s="16"/>
    </row>
    <row r="4" spans="1:27">
      <c r="B4" s="11" t="s">
        <v>354</v>
      </c>
      <c r="C4" s="11" t="s">
        <v>355</v>
      </c>
      <c r="D4" s="2">
        <v>17.920000000000002</v>
      </c>
      <c r="E4" s="12" t="s">
        <v>356</v>
      </c>
      <c r="F4" s="15">
        <v>0.12866384226831784</v>
      </c>
      <c r="G4" s="15">
        <v>0</v>
      </c>
      <c r="H4" s="15">
        <v>11.277152172588272</v>
      </c>
      <c r="I4" s="15">
        <v>22.158401911290397</v>
      </c>
      <c r="J4" s="2">
        <v>20.730780285650923</v>
      </c>
      <c r="K4" s="2">
        <v>14.162449719634122</v>
      </c>
      <c r="L4" s="71">
        <v>19.949994757287094</v>
      </c>
      <c r="M4" s="2">
        <v>7.7919659195968285E-2</v>
      </c>
      <c r="N4" s="2">
        <v>5.9151785714285712E-2</v>
      </c>
      <c r="O4" s="4">
        <v>0.23262925318478492</v>
      </c>
      <c r="P4" s="4">
        <v>0.17509284601323677</v>
      </c>
      <c r="Q4" s="4">
        <v>0.68288968092621871</v>
      </c>
      <c r="R4" s="4">
        <v>1.9455633401039498</v>
      </c>
      <c r="S4" s="79">
        <v>4.3380350010353987E-2</v>
      </c>
      <c r="T4" s="78">
        <v>0.18538212957704164</v>
      </c>
      <c r="U4" s="15">
        <v>-0.45026820353990077</v>
      </c>
      <c r="V4" s="76" t="s">
        <v>357</v>
      </c>
      <c r="W4" s="71" t="s">
        <v>358</v>
      </c>
      <c r="X4" s="13">
        <v>46081</v>
      </c>
      <c r="Y4" s="11" t="s">
        <v>359</v>
      </c>
      <c r="Z4" s="14"/>
      <c r="AA4" s="16"/>
    </row>
    <row r="5" spans="1:27">
      <c r="B5" s="11" t="s">
        <v>363</v>
      </c>
      <c r="C5" s="11" t="s">
        <v>364</v>
      </c>
      <c r="D5" s="2">
        <v>105.66</v>
      </c>
      <c r="E5" s="12" t="s">
        <v>356</v>
      </c>
      <c r="F5" s="15">
        <v>0.10930488673979756</v>
      </c>
      <c r="G5" s="15">
        <v>0</v>
      </c>
      <c r="H5" s="15">
        <v>62.294573384207148</v>
      </c>
      <c r="I5" s="15">
        <v>134.70696317865062</v>
      </c>
      <c r="J5" s="2">
        <v>116.64459638273874</v>
      </c>
      <c r="K5" s="2">
        <v>78.83107675053482</v>
      </c>
      <c r="L5" s="71">
        <v>112.14039032279322</v>
      </c>
      <c r="M5" s="2">
        <v>7.2665373278927525E-2</v>
      </c>
      <c r="N5" s="2">
        <v>2.6993185689948896E-2</v>
      </c>
      <c r="O5" s="4">
        <v>0.25</v>
      </c>
      <c r="P5" s="4">
        <v>0.40406742273746776</v>
      </c>
      <c r="Q5" s="4">
        <v>0.4610552539366265</v>
      </c>
      <c r="R5" s="4">
        <v>1.3419403008261008</v>
      </c>
      <c r="S5" s="79">
        <v>1.4942693904035366E-3</v>
      </c>
      <c r="T5" s="78">
        <v>5.1971735080735887E-3</v>
      </c>
      <c r="U5" s="15">
        <v>24.855396491318039</v>
      </c>
      <c r="V5" s="76" t="s">
        <v>357</v>
      </c>
      <c r="W5" s="71" t="s">
        <v>362</v>
      </c>
      <c r="X5" s="13">
        <v>46081</v>
      </c>
      <c r="Y5" s="11" t="s">
        <v>359</v>
      </c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230</v>
      </c>
    </row>
    <row r="2" spans="1:5">
      <c r="A2" s="21" t="s">
        <v>231</v>
      </c>
      <c r="B2" s="21"/>
      <c r="C2" s="21"/>
      <c r="D2" s="21"/>
      <c r="E2" s="21"/>
    </row>
    <row r="4" spans="1:5">
      <c r="B4" s="145" t="s">
        <v>232</v>
      </c>
      <c r="C4" s="144"/>
      <c r="D4" s="144"/>
      <c r="E4" s="144"/>
    </row>
    <row r="6" spans="1:5">
      <c r="A6" s="20" t="s">
        <v>59</v>
      </c>
      <c r="B6" s="19" t="s">
        <v>233</v>
      </c>
      <c r="C6" s="47"/>
    </row>
    <row r="7" spans="1:5">
      <c r="B7" s="145" t="s">
        <v>323</v>
      </c>
      <c r="C7" s="144"/>
      <c r="D7" s="144"/>
      <c r="E7" s="144"/>
    </row>
    <row r="9" spans="1:5">
      <c r="B9" s="23" t="s">
        <v>234</v>
      </c>
    </row>
    <row r="10" spans="1:5">
      <c r="B10" s="1" t="s">
        <v>235</v>
      </c>
      <c r="C10" s="105">
        <f>benchmark</f>
        <v>8.6999999999999994E-2</v>
      </c>
    </row>
    <row r="11" spans="1:5">
      <c r="B11" s="1" t="s">
        <v>236</v>
      </c>
      <c r="C11" s="105">
        <f>Cash_Yield</f>
        <v>1.9E-2</v>
      </c>
    </row>
    <row r="12" spans="1:5">
      <c r="C12" s="4"/>
    </row>
    <row r="13" spans="1:5">
      <c r="B13" s="23" t="s">
        <v>237</v>
      </c>
      <c r="C13" s="4"/>
    </row>
    <row r="14" spans="1:5">
      <c r="B14" s="1" t="s">
        <v>238</v>
      </c>
      <c r="C14" s="4" t="s">
        <v>241</v>
      </c>
    </row>
    <row r="15" spans="1:5">
      <c r="B15" s="1" t="s">
        <v>239</v>
      </c>
      <c r="C15" s="24" t="s">
        <v>242</v>
      </c>
    </row>
    <row r="16" spans="1:5">
      <c r="B16" s="1" t="s">
        <v>240</v>
      </c>
      <c r="C16" s="24" t="s">
        <v>243</v>
      </c>
    </row>
    <row r="18" spans="1:5">
      <c r="B18" s="23" t="s">
        <v>244</v>
      </c>
    </row>
    <row r="19" spans="1:5">
      <c r="B19" s="24" t="s">
        <v>245</v>
      </c>
    </row>
    <row r="20" spans="1:5">
      <c r="B20" s="24" t="s">
        <v>246</v>
      </c>
    </row>
    <row r="21" spans="1:5">
      <c r="B21" s="24" t="s">
        <v>247</v>
      </c>
    </row>
    <row r="23" spans="1:5">
      <c r="A23" s="25" t="s">
        <v>60</v>
      </c>
      <c r="B23" s="19" t="s">
        <v>249</v>
      </c>
      <c r="C23" s="47"/>
    </row>
    <row r="24" spans="1:5">
      <c r="A24" s="18"/>
      <c r="B24" s="145" t="s">
        <v>248</v>
      </c>
      <c r="C24" s="144"/>
      <c r="D24" s="144"/>
      <c r="E24" s="144"/>
    </row>
    <row r="25" spans="1:5">
      <c r="A25" s="18"/>
    </row>
    <row r="26" spans="1:5">
      <c r="A26" s="18"/>
      <c r="B26" s="43" t="s">
        <v>250</v>
      </c>
      <c r="C26" s="43" t="s">
        <v>251</v>
      </c>
    </row>
    <row r="27" spans="1:5">
      <c r="B27" s="26" t="s">
        <v>252</v>
      </c>
      <c r="C27" s="106">
        <f>Portfolio_Mgmt!C30</f>
        <v>6</v>
      </c>
    </row>
    <row r="28" spans="1:5">
      <c r="B28" s="26" t="s">
        <v>253</v>
      </c>
      <c r="C28" s="107">
        <f>Portfolio_Mgmt!C31</f>
        <v>0.3</v>
      </c>
    </row>
    <row r="30" spans="1:5">
      <c r="A30" s="20" t="s">
        <v>61</v>
      </c>
      <c r="B30" s="92" t="s">
        <v>254</v>
      </c>
      <c r="C30" s="47"/>
    </row>
    <row r="31" spans="1:5">
      <c r="A31" s="20"/>
      <c r="B31" s="43" t="s">
        <v>255</v>
      </c>
      <c r="C31" s="43" t="s">
        <v>256</v>
      </c>
      <c r="D31" s="43" t="s">
        <v>257</v>
      </c>
      <c r="E31" s="43" t="s">
        <v>256</v>
      </c>
    </row>
    <row r="32" spans="1:5" ht="12" thickBot="1">
      <c r="A32" s="20"/>
      <c r="B32" s="93" t="s">
        <v>258</v>
      </c>
      <c r="C32" s="108">
        <f>Portfolio_Mgmt!C46</f>
        <v>0.32950289523458665</v>
      </c>
      <c r="D32" s="93" t="s">
        <v>318</v>
      </c>
      <c r="E32" s="108">
        <f>Portfolio_Mgmt!E46</f>
        <v>1.7999999999999994</v>
      </c>
    </row>
    <row r="33" spans="1:5">
      <c r="B33" s="95" t="s">
        <v>259</v>
      </c>
      <c r="C33" s="109">
        <f>Portfolio_Mgmt!C47</f>
        <v>0.22621703288100403</v>
      </c>
      <c r="D33" s="96" t="s">
        <v>264</v>
      </c>
      <c r="E33" s="97">
        <f>(C32*C33+(1-C32)*C34)/(2*C33)</f>
        <v>3.1675594963103455</v>
      </c>
    </row>
    <row r="34" spans="1:5" ht="12" thickBot="1">
      <c r="B34" s="98" t="s">
        <v>260</v>
      </c>
      <c r="C34" s="99">
        <f>E32+C33</f>
        <v>2.0262170328810036</v>
      </c>
      <c r="D34" s="100" t="s">
        <v>265</v>
      </c>
      <c r="E34" s="101">
        <f>-C33/C34</f>
        <v>-0.11164501591389464</v>
      </c>
    </row>
    <row r="35" spans="1:5">
      <c r="B35" s="95" t="s">
        <v>261</v>
      </c>
      <c r="C35" s="109"/>
      <c r="D35" s="96" t="s">
        <v>264</v>
      </c>
      <c r="E35" s="97"/>
    </row>
    <row r="36" spans="1:5" ht="12" thickBot="1">
      <c r="B36" s="98" t="s">
        <v>262</v>
      </c>
      <c r="C36" s="99"/>
      <c r="D36" s="100" t="s">
        <v>265</v>
      </c>
      <c r="E36" s="101"/>
    </row>
    <row r="37" spans="1:5">
      <c r="B37" s="102" t="s">
        <v>263</v>
      </c>
      <c r="C37" s="110"/>
      <c r="D37" s="94" t="s">
        <v>266</v>
      </c>
      <c r="E37" s="111"/>
    </row>
    <row r="38" spans="1:5">
      <c r="C38" s="90"/>
    </row>
    <row r="39" spans="1:5">
      <c r="B39" s="20" t="s">
        <v>267</v>
      </c>
    </row>
    <row r="40" spans="1:5">
      <c r="B40" s="144" t="s">
        <v>268</v>
      </c>
      <c r="C40" s="144"/>
      <c r="D40" s="144"/>
      <c r="E40" s="144"/>
    </row>
    <row r="41" spans="1:5">
      <c r="B41" s="145" t="s">
        <v>269</v>
      </c>
      <c r="C41" s="144"/>
      <c r="D41" s="144"/>
      <c r="E41" s="144"/>
    </row>
    <row r="42" spans="1:5">
      <c r="B42" s="145" t="s">
        <v>270</v>
      </c>
      <c r="C42" s="144"/>
      <c r="D42" s="144"/>
      <c r="E42" s="144"/>
    </row>
    <row r="43" spans="1:5">
      <c r="B43" s="145" t="s">
        <v>271</v>
      </c>
      <c r="C43" s="145"/>
      <c r="D43" s="145"/>
      <c r="E43" s="145"/>
    </row>
    <row r="44" spans="1:5" ht="34.25" customHeight="1">
      <c r="B44" s="144" t="s">
        <v>322</v>
      </c>
      <c r="C44" s="144"/>
      <c r="D44" s="144"/>
      <c r="E44" s="144"/>
    </row>
    <row r="46" spans="1:5">
      <c r="A46" s="21" t="s">
        <v>272</v>
      </c>
      <c r="B46" s="21"/>
      <c r="C46" s="21"/>
      <c r="D46" s="21"/>
      <c r="E46" s="21"/>
    </row>
    <row r="48" spans="1:5">
      <c r="B48" s="144" t="s">
        <v>273</v>
      </c>
      <c r="C48" s="144"/>
      <c r="D48" s="144"/>
      <c r="E48" s="144"/>
    </row>
    <row r="50" spans="2:5">
      <c r="B50" s="23" t="s">
        <v>274</v>
      </c>
    </row>
    <row r="52" spans="2:5">
      <c r="B52" s="43" t="s">
        <v>275</v>
      </c>
      <c r="C52" s="43" t="s">
        <v>276</v>
      </c>
      <c r="D52" s="45"/>
      <c r="E52" s="45"/>
    </row>
    <row r="53" spans="2:5">
      <c r="B53" s="26" t="s">
        <v>277</v>
      </c>
      <c r="C53" s="112">
        <f>Portfolio_Mgmt!C60</f>
        <v>0.45</v>
      </c>
      <c r="D53" s="46"/>
      <c r="E53" s="44"/>
    </row>
    <row r="54" spans="2:5">
      <c r="B54" s="26" t="s">
        <v>278</v>
      </c>
      <c r="C54" s="112">
        <f>Portfolio_Mgmt!C61</f>
        <v>0.3</v>
      </c>
      <c r="D54" s="46"/>
      <c r="E54" s="44"/>
    </row>
    <row r="55" spans="2:5">
      <c r="B55" s="26" t="s">
        <v>279</v>
      </c>
      <c r="C55" s="112">
        <f>Portfolio_Mgmt!C62</f>
        <v>0.15</v>
      </c>
      <c r="D55" s="114" t="s">
        <v>320</v>
      </c>
      <c r="E55" s="44"/>
    </row>
    <row r="57" spans="2:5">
      <c r="B57" s="23" t="s">
        <v>280</v>
      </c>
    </row>
    <row r="59" spans="2:5">
      <c r="B59" s="43" t="s">
        <v>257</v>
      </c>
      <c r="C59" s="43" t="s">
        <v>281</v>
      </c>
      <c r="D59" s="43" t="s">
        <v>282</v>
      </c>
      <c r="E59" s="43" t="s">
        <v>283</v>
      </c>
    </row>
    <row r="60" spans="2:5">
      <c r="B60" s="26" t="s">
        <v>284</v>
      </c>
      <c r="C60" s="26" t="s">
        <v>289</v>
      </c>
      <c r="D60" s="26" t="s">
        <v>290</v>
      </c>
      <c r="E60" s="113">
        <f>Portfolio_Mgmt!E67</f>
        <v>1</v>
      </c>
    </row>
    <row r="61" spans="2:5">
      <c r="B61" s="26" t="s">
        <v>285</v>
      </c>
      <c r="C61" s="26" t="s">
        <v>291</v>
      </c>
      <c r="D61" s="26" t="s">
        <v>292</v>
      </c>
      <c r="E61" s="113">
        <f>Portfolio_Mgmt!E68</f>
        <v>1</v>
      </c>
    </row>
    <row r="62" spans="2:5">
      <c r="B62" s="26" t="s">
        <v>286</v>
      </c>
      <c r="C62" s="26" t="s">
        <v>293</v>
      </c>
      <c r="D62" s="26" t="s">
        <v>294</v>
      </c>
      <c r="E62" s="113">
        <f>Portfolio_Mgmt!E69</f>
        <v>0</v>
      </c>
    </row>
    <row r="63" spans="2:5">
      <c r="B63" s="26" t="s">
        <v>287</v>
      </c>
      <c r="C63" s="26" t="s">
        <v>295</v>
      </c>
      <c r="D63" s="26" t="s">
        <v>296</v>
      </c>
      <c r="E63" s="113">
        <f>Portfolio_Mgmt!E70</f>
        <v>2</v>
      </c>
    </row>
    <row r="64" spans="2:5">
      <c r="B64" s="26" t="s">
        <v>288</v>
      </c>
      <c r="C64" s="26" t="s">
        <v>297</v>
      </c>
      <c r="D64" s="26" t="s">
        <v>298</v>
      </c>
      <c r="E64" s="113">
        <f>Portfolio_Mgmt!E71</f>
        <v>0</v>
      </c>
    </row>
    <row r="65" spans="1:5">
      <c r="D65" s="27" t="s">
        <v>299</v>
      </c>
      <c r="E65" s="39">
        <f>SUM(E60:E64)</f>
        <v>4</v>
      </c>
    </row>
    <row r="66" spans="1:5" ht="12" thickBot="1">
      <c r="D66" s="41" t="s">
        <v>300</v>
      </c>
      <c r="E66" s="42">
        <f>IF(E65&lt;=4,C53,IF(E65&gt;=8,C55,C54))</f>
        <v>0.45</v>
      </c>
    </row>
    <row r="67" spans="1:5" ht="12" thickTop="1"/>
    <row r="68" spans="1:5">
      <c r="B68" s="1" t="s">
        <v>301</v>
      </c>
    </row>
    <row r="69" spans="1:5">
      <c r="B69" s="1" t="s">
        <v>302</v>
      </c>
    </row>
    <row r="70" spans="1:5">
      <c r="B70" s="1" t="s">
        <v>303</v>
      </c>
    </row>
    <row r="72" spans="1:5">
      <c r="A72" s="21" t="s">
        <v>304</v>
      </c>
      <c r="B72" s="21"/>
      <c r="C72" s="21"/>
      <c r="D72" s="21"/>
      <c r="E72" s="21"/>
    </row>
    <row r="74" spans="1:5">
      <c r="B74" s="144" t="s">
        <v>305</v>
      </c>
      <c r="C74" s="144"/>
      <c r="D74" s="144"/>
      <c r="E74" s="144"/>
    </row>
    <row r="76" spans="1:5">
      <c r="A76" s="28" t="s">
        <v>59</v>
      </c>
      <c r="B76" s="20" t="s">
        <v>307</v>
      </c>
    </row>
    <row r="77" spans="1:5">
      <c r="B77" s="24" t="s">
        <v>306</v>
      </c>
    </row>
    <row r="79" spans="1:5">
      <c r="A79" s="28" t="s">
        <v>203</v>
      </c>
      <c r="B79" s="20" t="s">
        <v>308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309</v>
      </c>
      <c r="C81" s="91" t="s">
        <v>319</v>
      </c>
    </row>
    <row r="82" spans="1:5">
      <c r="B82" s="104" t="s">
        <v>310</v>
      </c>
      <c r="C82" s="91" t="s">
        <v>194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311</v>
      </c>
    </row>
    <row r="86" spans="1:5">
      <c r="B86" s="1" t="s">
        <v>321</v>
      </c>
    </row>
    <row r="87" spans="1:5">
      <c r="B87" s="1" t="s">
        <v>312</v>
      </c>
    </row>
    <row r="88" spans="1:5">
      <c r="B88" s="1" t="s">
        <v>313</v>
      </c>
    </row>
    <row r="90" spans="1:5">
      <c r="A90" s="21" t="s">
        <v>317</v>
      </c>
      <c r="B90" s="21"/>
      <c r="C90" s="21"/>
      <c r="D90" s="21"/>
      <c r="E90" s="21"/>
    </row>
    <row r="92" spans="1:5">
      <c r="B92" s="20" t="s">
        <v>314</v>
      </c>
    </row>
    <row r="93" spans="1:5">
      <c r="B93" s="24" t="s">
        <v>315</v>
      </c>
    </row>
    <row r="94" spans="1:5">
      <c r="B94" s="24" t="s">
        <v>316</v>
      </c>
    </row>
    <row r="95" spans="1:5">
      <c r="B95" s="24" t="s">
        <v>324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344</v>
      </c>
    </row>
    <row r="3" spans="1:4">
      <c r="B3" s="120" t="s">
        <v>351</v>
      </c>
    </row>
    <row r="5" spans="1:4">
      <c r="A5" s="121" t="s">
        <v>328</v>
      </c>
      <c r="B5" s="122" t="s">
        <v>12</v>
      </c>
    </row>
    <row r="6" spans="1:4">
      <c r="B6" s="123" t="s">
        <v>209</v>
      </c>
      <c r="C6" s="123" t="s">
        <v>208</v>
      </c>
      <c r="D6" s="124"/>
    </row>
    <row r="7" spans="1:4">
      <c r="B7" s="125" t="s">
        <v>211</v>
      </c>
      <c r="C7" s="126">
        <f>Portfolio_Mgmt!C36</f>
        <v>3</v>
      </c>
    </row>
    <row r="8" spans="1:4">
      <c r="B8" s="127" t="s">
        <v>210</v>
      </c>
      <c r="C8" s="128">
        <v>0.6</v>
      </c>
      <c r="D8" s="120" t="s">
        <v>337</v>
      </c>
    </row>
    <row r="9" spans="1:4">
      <c r="B9" s="127" t="s">
        <v>343</v>
      </c>
      <c r="C9" s="128">
        <f>1-C8</f>
        <v>0.4</v>
      </c>
    </row>
    <row r="10" spans="1:4">
      <c r="B10" s="127" t="s">
        <v>341</v>
      </c>
      <c r="C10" s="141">
        <f>Portfolio_Mgmt!C38</f>
        <v>-0.75</v>
      </c>
    </row>
    <row r="12" spans="1:4">
      <c r="B12" s="119" t="s">
        <v>214</v>
      </c>
    </row>
    <row r="13" spans="1:4">
      <c r="B13" s="154" t="s">
        <v>338</v>
      </c>
      <c r="C13" s="154"/>
      <c r="D13" s="154"/>
    </row>
    <row r="14" spans="1:4">
      <c r="B14" s="155" t="s">
        <v>339</v>
      </c>
      <c r="C14" s="156"/>
      <c r="D14" s="156"/>
    </row>
    <row r="16" spans="1:4">
      <c r="A16" s="121" t="s">
        <v>203</v>
      </c>
      <c r="B16" s="122" t="s">
        <v>329</v>
      </c>
    </row>
    <row r="17" spans="1:5">
      <c r="B17" s="123" t="s">
        <v>331</v>
      </c>
      <c r="C17" s="123" t="s">
        <v>342</v>
      </c>
      <c r="D17" s="123" t="s">
        <v>349</v>
      </c>
      <c r="E17" s="123" t="s">
        <v>340</v>
      </c>
    </row>
    <row r="18" spans="1:5">
      <c r="B18" s="127" t="s">
        <v>332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333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330</v>
      </c>
    </row>
    <row r="22" spans="1:5">
      <c r="B22" s="123" t="s">
        <v>336</v>
      </c>
      <c r="C22" s="123" t="s">
        <v>352</v>
      </c>
      <c r="D22" s="123" t="s">
        <v>212</v>
      </c>
    </row>
    <row r="23" spans="1:5">
      <c r="B23" s="127" t="s">
        <v>334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335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327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182</v>
      </c>
      <c r="L2" s="52" t="s">
        <v>183</v>
      </c>
      <c r="M2" s="52" t="s">
        <v>184</v>
      </c>
    </row>
    <row r="3" spans="1:13">
      <c r="B3" s="62" t="s">
        <v>25</v>
      </c>
      <c r="C3" s="62"/>
      <c r="D3" s="60" t="s">
        <v>155</v>
      </c>
      <c r="E3" s="59" t="s">
        <v>154</v>
      </c>
      <c r="F3" s="61" t="s">
        <v>155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185</v>
      </c>
      <c r="K3" s="80" t="s">
        <v>185</v>
      </c>
      <c r="L3" s="80" t="s">
        <v>185</v>
      </c>
      <c r="M3" s="80" t="s">
        <v>185</v>
      </c>
    </row>
    <row r="4" spans="1:13">
      <c r="B4" s="63" t="s">
        <v>157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169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181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325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160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185</v>
      </c>
      <c r="K9" s="82" t="s">
        <v>185</v>
      </c>
      <c r="L9" s="82" t="s">
        <v>185</v>
      </c>
      <c r="M9" s="82" t="s">
        <v>185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158</v>
      </c>
      <c r="C11" s="115"/>
    </row>
    <row r="12" spans="1:13">
      <c r="B12" s="63" t="s">
        <v>157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169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181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325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326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159</v>
      </c>
      <c r="C18" s="68"/>
      <c r="D18" s="69" t="s">
        <v>155</v>
      </c>
      <c r="E18" s="70" t="s">
        <v>134</v>
      </c>
      <c r="F18" s="69" t="s">
        <v>155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185</v>
      </c>
      <c r="K18" s="82" t="s">
        <v>185</v>
      </c>
      <c r="L18" s="82" t="s">
        <v>185</v>
      </c>
      <c r="M18" s="82" t="s">
        <v>185</v>
      </c>
    </row>
    <row r="20" spans="1:13" ht="13.15">
      <c r="A20" s="49"/>
      <c r="B20" s="50" t="s">
        <v>186</v>
      </c>
      <c r="C20" s="115"/>
      <c r="D20" s="56"/>
      <c r="E20" s="53"/>
      <c r="F20" s="57"/>
      <c r="G20" s="57"/>
    </row>
    <row r="21" spans="1:13" ht="13.15">
      <c r="C21" s="84" t="s">
        <v>187</v>
      </c>
      <c r="D21" s="84" t="s">
        <v>190</v>
      </c>
      <c r="F21" s="84" t="s">
        <v>191</v>
      </c>
    </row>
    <row r="22" spans="1:13" ht="14.25">
      <c r="B22" s="83" t="s">
        <v>188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189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192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59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2026-03-17T02:53:53Z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