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AD50986-2B56-4DD3-A5B6-77342F99EEAF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<sst xmlns="http://schemas.openxmlformats.org/spreadsheetml/2006/main" count="423" uniqueCount="356">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</sst>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15.78</v>
      </c>
      <c r="E3" s="12" t="s">
        <v>327</v>
      </c>
      <c r="F3" s="15">
        <v>9.7166621706861633E-2</v>
      </c>
      <c r="G3" s="15">
        <f>F3 - Portfolio_Mgmt!$C$10</f>
        <v>1.0166621706861639E-2</v>
      </c>
      <c r="H3" s="15">
        <f>F3 - Portfolio_Mgmt!$C$11</f>
        <v>7.816662170686163E-2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7.45895605360785E-2</v>
      </c>
      <c r="P3" s="4">
        <v>6.0456273764258564E-2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56.22</v>
      </c>
      <c r="E4" s="12" t="s">
        <v>327</v>
      </c>
      <c r="F4" s="15">
        <v>9.5816298545522871E-2</v>
      </c>
      <c r="G4" s="15">
        <f>F4 - Portfolio_Mgmt!$C$10</f>
        <v>8.8162985455228771E-3</v>
      </c>
      <c r="H4" s="15">
        <f>F4 - Portfolio_Mgmt!$C$11</f>
        <v>7.6816298545522868E-2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7.7179315233457321E-2</v>
      </c>
      <c r="P4" s="4">
        <v>3.8420490928495199E-2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10.08</v>
      </c>
      <c r="E5" s="12" t="s">
        <v>327</v>
      </c>
      <c r="F5" s="15">
        <v>8.5320259484573446E-2</v>
      </c>
      <c r="G5" s="15">
        <f>F5 - Portfolio_Mgmt!$C$10</f>
        <v>-1.6797405154265477E-3</v>
      </c>
      <c r="H5" s="15">
        <f>F5 - Portfolio_Mgmt!$C$11</f>
        <v>6.6320259484573443E-2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3.5001428411415854E-2</v>
      </c>
      <c r="P5" s="4">
        <v>3.5714285714285719E-2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5.63</v>
      </c>
      <c r="E6" s="12" t="s">
        <v>327</v>
      </c>
      <c r="F6" s="15">
        <v>5.9500828115713E-2</v>
      </c>
      <c r="G6" s="15">
        <f>F6 - Portfolio_Mgmt!$C$10</f>
        <v>-2.7499171884286994E-2</v>
      </c>
      <c r="H6" s="15">
        <f>F6 - Portfolio_Mgmt!$C$11</f>
        <v>4.0500828115712997E-2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4.0852592685871103E-2</v>
      </c>
      <c r="P6" s="4">
        <v>3.2131438721136767E-2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22.4</v>
      </c>
      <c r="E7" s="12" t="s">
        <v>327</v>
      </c>
      <c r="F7" s="15">
        <v>5.2033709571489783E-2</v>
      </c>
      <c r="G7" s="15">
        <f>F7 - Portfolio_Mgmt!$C$10</f>
        <v>-3.4966290428510211E-2</v>
      </c>
      <c r="H7" s="15">
        <f>F7 - Portfolio_Mgmt!$C$11</f>
        <v>3.303370957148978E-2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5.9118791150633926E-2</v>
      </c>
      <c r="P7" s="4">
        <v>4.2589285714285718E-2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67.94</v>
      </c>
      <c r="E8" s="12" t="s">
        <v>327</v>
      </c>
      <c r="F8" s="15">
        <v>4.9245691732304975E-2</v>
      </c>
      <c r="G8" s="15">
        <f>F8 - Portfolio_Mgmt!$C$10</f>
        <v>-3.7754308267695019E-2</v>
      </c>
      <c r="H8" s="15">
        <f>F8 - Portfolio_Mgmt!$C$11</f>
        <v>3.0245691732304975E-2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5.3273106789082328E-2</v>
      </c>
      <c r="P8" s="4">
        <v>6.1558728289667367E-2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51.74</v>
      </c>
      <c r="E9" s="12" t="s">
        <v>327</v>
      </c>
      <c r="F9" s="15">
        <v>2.2955316477977661E-2</v>
      </c>
      <c r="G9" s="15">
        <f>F9 - Portfolio_Mgmt!$C$10</f>
        <v>-6.4044683522022333E-2</v>
      </c>
      <c r="H9" s="15">
        <f>F9 - Portfolio_Mgmt!$C$11</f>
        <v>3.9553164779776613E-3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4.1804779871352116E-2</v>
      </c>
      <c r="P9" s="4">
        <v>1.7394665635871664E-2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328</v>
      </c>
      <c r="C10" s="11" t="s">
        <v>349</v>
      </c>
      <c r="D10" s="2">
        <v>22.71</v>
      </c>
      <c r="E10" s="12" t="s">
        <v>327</v>
      </c>
      <c r="F10" s="15">
        <v>1.6914540272505496E-2</v>
      </c>
      <c r="G10" s="15">
        <f>F10 - Portfolio_Mgmt!$C$10</f>
        <v>-7.0085459727494498E-2</v>
      </c>
      <c r="H10" s="15">
        <f>F10 - Portfolio_Mgmt!$C$11</f>
        <v>-2.0854597274945035E-3</v>
      </c>
      <c r="I10" s="15">
        <v>0</v>
      </c>
      <c r="J10" s="2">
        <v>8.355749929850889</v>
      </c>
      <c r="K10" s="2">
        <v>20.647898129891665</v>
      </c>
      <c r="L10" s="74">
        <v>19.377301122078141</v>
      </c>
      <c r="M10" s="2">
        <v>11.323303654934758</v>
      </c>
      <c r="N10" s="2">
        <v>18.773924722806626</v>
      </c>
      <c r="O10" s="4">
        <v>0.24312489268990922</v>
      </c>
      <c r="P10" s="4">
        <v>4.6675473359753417E-2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189</v>
      </c>
      <c r="V10" s="79" t="s">
        <v>189</v>
      </c>
      <c r="W10" s="74">
        <v>-92.956751979911445</v>
      </c>
      <c r="X10" s="16" t="s">
        <v>350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347</v>
      </c>
      <c r="C11" s="11" t="s">
        <v>348</v>
      </c>
      <c r="D11" s="2">
        <v>20.91</v>
      </c>
      <c r="E11" s="12" t="s">
        <v>327</v>
      </c>
      <c r="F11" s="15">
        <v>1.3505876421882279E-2</v>
      </c>
      <c r="G11" s="15">
        <f>F11 - Portfolio_Mgmt!$C$10</f>
        <v>-7.3494123578117715E-2</v>
      </c>
      <c r="H11" s="15">
        <f>F11 - Portfolio_Mgmt!$C$11</f>
        <v>-5.4941235781177204E-3</v>
      </c>
      <c r="I11" s="15">
        <v>0</v>
      </c>
      <c r="J11" s="2">
        <v>7.6314402727898702</v>
      </c>
      <c r="K11" s="2">
        <v>18.758424601634019</v>
      </c>
      <c r="L11" s="74">
        <v>17.674312632907508</v>
      </c>
      <c r="M11" s="2">
        <v>10.336151389000461</v>
      </c>
      <c r="N11" s="2">
        <v>17.124648599063175</v>
      </c>
      <c r="O11" s="4">
        <v>5.1757282345928482E-2</v>
      </c>
      <c r="P11" s="4">
        <v>4.7345767575322814E-2</v>
      </c>
      <c r="Q11" s="4">
        <v>0.15161114820375229</v>
      </c>
      <c r="R11" s="4">
        <v>0.3932476207375345</v>
      </c>
      <c r="S11" s="82">
        <v>0.30212796693987309</v>
      </c>
      <c r="T11" s="81">
        <v>1.2760688428830085</v>
      </c>
      <c r="U11" s="15">
        <v>0.12757636177577109</v>
      </c>
      <c r="V11" s="79">
        <v>0.79731882844192148</v>
      </c>
      <c r="W11" s="74">
        <v>2.5713378719718771</v>
      </c>
      <c r="X11" s="13" t="s">
        <v>169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15.55</v>
      </c>
      <c r="E12" s="12" t="s">
        <v>327</v>
      </c>
      <c r="F12" s="15">
        <v>-0.14769277958615201</v>
      </c>
      <c r="G12" s="15">
        <f>F12 - Portfolio_Mgmt!$C$10</f>
        <v>-0.23469277958615201</v>
      </c>
      <c r="H12" s="15">
        <f>F12 - Portfolio_Mgmt!$C$11</f>
        <v>-0.166692779586152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2.8529914465047709E-2</v>
      </c>
      <c r="P12" s="4">
        <v>2.3151125401929262E-2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4.4000000000000004E-2</v>
      </c>
      <c r="D4" s="34">
        <v>7.4999999999999997E-2</v>
      </c>
      <c r="E4" s="35">
        <f>D4-C4</f>
        <v>3.0999999999999993E-2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0.53622685550263383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22.71</v>
      </c>
      <c r="D4" s="62" t="str">
        <f>VLOOKUP(B4,Opportunities!B$3:E$30,4,FALSE)</f>
        <v>CNY</v>
      </c>
      <c r="E4" s="59">
        <v>3000</v>
      </c>
      <c r="F4" s="64">
        <f>E4*C4</f>
        <v>68130</v>
      </c>
      <c r="G4" s="61">
        <f>F4/$F$10</f>
        <v>0.21490079803173201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15.78</v>
      </c>
      <c r="D5" s="62" t="str">
        <f>VLOOKUP(B5,Opportunities!B$3:E$30,4,FALSE)</f>
        <v>CNY</v>
      </c>
      <c r="E5" s="59">
        <v>5000</v>
      </c>
      <c r="F5" s="64">
        <f>C5*E5</f>
        <v>78900</v>
      </c>
      <c r="G5" s="61">
        <f>F5/$F$10</f>
        <v>0.24887234646563416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317030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0.53622685550263383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2025-07-29T11:03:52Z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