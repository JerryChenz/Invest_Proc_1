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75D3E8E-EA45-4FFA-AA5F-63F932470727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<sst xmlns="http://schemas.openxmlformats.org/spreadsheetml/2006/main" count="408" uniqueCount="360">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</sst>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" zoomScale="110" zoomScaleNormal="110" workbookViewId="0">
      <selection activeCell="C18" sqref="C1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51" t="s">
        <v>144</v>
      </c>
      <c r="C4" s="151"/>
      <c r="D4" s="151"/>
      <c r="E4" s="151"/>
    </row>
    <row r="6" spans="1:5">
      <c r="A6" s="20" t="s">
        <v>57</v>
      </c>
      <c r="B6" s="19" t="s">
        <v>138</v>
      </c>
      <c r="C6" s="47"/>
    </row>
    <row r="7" spans="1:5">
      <c r="B7" s="151" t="s">
        <v>198</v>
      </c>
      <c r="C7" s="151"/>
      <c r="D7" s="151"/>
      <c r="E7" s="151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51" t="s">
        <v>339</v>
      </c>
      <c r="C14" s="151"/>
      <c r="D14" s="151"/>
      <c r="E14" s="151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52" t="s">
        <v>200</v>
      </c>
      <c r="C27" s="151"/>
      <c r="D27" s="151"/>
      <c r="E27" s="151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3</v>
      </c>
    </row>
    <row r="31" spans="1:5">
      <c r="B31" s="26" t="s">
        <v>187</v>
      </c>
      <c r="C31" s="134">
        <v>0.5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51" t="s">
        <v>207</v>
      </c>
      <c r="C41" s="151"/>
      <c r="D41" s="151"/>
      <c r="E41" s="151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2" t="s">
        <v>341</v>
      </c>
      <c r="C50" s="151"/>
      <c r="D50" s="151"/>
      <c r="E50" s="151"/>
    </row>
    <row r="51" spans="1:5">
      <c r="B51" s="152" t="s">
        <v>220</v>
      </c>
      <c r="C51" s="152"/>
      <c r="D51" s="152"/>
      <c r="E51" s="152"/>
    </row>
    <row r="53" spans="1:5">
      <c r="A53" s="21" t="s">
        <v>133</v>
      </c>
      <c r="B53" s="21"/>
      <c r="C53" s="21"/>
      <c r="D53" s="21"/>
      <c r="E53" s="21"/>
    </row>
    <row r="55" spans="1:5">
      <c r="B55" s="151" t="s">
        <v>209</v>
      </c>
      <c r="C55" s="151"/>
      <c r="D55" s="151"/>
      <c r="E55" s="151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51" t="s">
        <v>134</v>
      </c>
      <c r="C81" s="151"/>
      <c r="D81" s="151"/>
      <c r="E81" s="151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B3" sqref="B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6" t="s">
        <v>1</v>
      </c>
      <c r="E1" s="146"/>
      <c r="F1" s="146"/>
      <c r="G1" s="143"/>
      <c r="H1" s="148" t="s">
        <v>4</v>
      </c>
      <c r="I1" s="148"/>
      <c r="J1" s="148"/>
      <c r="K1" s="147" t="s">
        <v>162</v>
      </c>
      <c r="L1" s="147"/>
      <c r="M1" s="144" t="s">
        <v>8</v>
      </c>
      <c r="N1" s="144"/>
      <c r="O1" s="150" t="s">
        <v>174</v>
      </c>
      <c r="P1" s="150"/>
      <c r="Q1" s="150"/>
      <c r="R1" s="150"/>
      <c r="S1" s="149" t="s">
        <v>170</v>
      </c>
      <c r="T1" s="149"/>
      <c r="U1" s="149"/>
      <c r="V1" s="145" t="s">
        <v>48</v>
      </c>
      <c r="W1" s="145"/>
      <c r="X1" s="145"/>
      <c r="Y1" s="145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102.63</v>
      </c>
      <c r="E3" s="12" t="s">
        <v>350</v>
      </c>
      <c r="F3" s="15">
        <v>0.22681235763738272</v>
      </c>
      <c r="G3" s="15">
        <v>5.0423218812731152E-2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8.7250755231302921E-2</v>
      </c>
      <c r="N3" s="4">
        <v>4.0268927214264838E-2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101.27</v>
      </c>
      <c r="E4" s="12" t="s">
        <v>350</v>
      </c>
      <c r="F4" s="15">
        <v>0.16655268298421899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7.5815378104586578E-2</v>
      </c>
      <c r="N4" s="4">
        <v>2.8163325762812285E-2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17.79</v>
      </c>
      <c r="E5" s="12" t="s">
        <v>350</v>
      </c>
      <c r="F5" s="15">
        <v>0.13155250343933422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7.8489055244055764E-2</v>
      </c>
      <c r="N5" s="4">
        <v>5.9584035975267007E-2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2" t="s">
        <v>226</v>
      </c>
      <c r="C4" s="151"/>
      <c r="D4" s="151"/>
      <c r="E4" s="151"/>
    </row>
    <row r="6" spans="1:5">
      <c r="A6" s="20" t="s">
        <v>57</v>
      </c>
      <c r="B6" s="19" t="s">
        <v>227</v>
      </c>
      <c r="C6" s="47"/>
    </row>
    <row r="7" spans="1:5">
      <c r="B7" s="152" t="s">
        <v>317</v>
      </c>
      <c r="C7" s="151"/>
      <c r="D7" s="151"/>
      <c r="E7" s="151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52" t="s">
        <v>242</v>
      </c>
      <c r="C24" s="151"/>
      <c r="D24" s="151"/>
      <c r="E24" s="151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3</v>
      </c>
    </row>
    <row r="28" spans="1:5">
      <c r="B28" s="26" t="s">
        <v>247</v>
      </c>
      <c r="C28" s="107">
        <f>Portfolio_Mgmt!C31</f>
        <v>0.5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1" t="s">
        <v>262</v>
      </c>
      <c r="C40" s="151"/>
      <c r="D40" s="151"/>
      <c r="E40" s="151"/>
    </row>
    <row r="41" spans="1:5">
      <c r="B41" s="152" t="s">
        <v>263</v>
      </c>
      <c r="C41" s="151"/>
      <c r="D41" s="151"/>
      <c r="E41" s="151"/>
    </row>
    <row r="42" spans="1:5">
      <c r="B42" s="152" t="s">
        <v>264</v>
      </c>
      <c r="C42" s="151"/>
      <c r="D42" s="151"/>
      <c r="E42" s="151"/>
    </row>
    <row r="43" spans="1:5">
      <c r="B43" s="152" t="s">
        <v>265</v>
      </c>
      <c r="C43" s="152"/>
      <c r="D43" s="152"/>
      <c r="E43" s="152"/>
    </row>
    <row r="44" spans="1:5" ht="34.25" customHeight="1">
      <c r="B44" s="151" t="s">
        <v>316</v>
      </c>
      <c r="C44" s="151"/>
      <c r="D44" s="151"/>
      <c r="E44" s="151"/>
    </row>
    <row r="46" spans="1:5">
      <c r="A46" s="21" t="s">
        <v>266</v>
      </c>
      <c r="B46" s="21"/>
      <c r="C46" s="21"/>
      <c r="D46" s="21"/>
      <c r="E46" s="21"/>
    </row>
    <row r="48" spans="1:5">
      <c r="B48" s="151" t="s">
        <v>267</v>
      </c>
      <c r="C48" s="151"/>
      <c r="D48" s="151"/>
      <c r="E48" s="151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1" t="s">
        <v>299</v>
      </c>
      <c r="C74" s="151"/>
      <c r="D74" s="151"/>
      <c r="E74" s="151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4.3400000000000001E-2</v>
      </c>
      <c r="D4" s="34">
        <v>6.7500000000000004E-2</v>
      </c>
      <c r="E4" s="35">
        <f>D4-C4</f>
        <v>2.4100000000000003E-2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J7" sqref="J7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359</v>
      </c>
      <c r="C3" s="62"/>
      <c r="D3" s="60" t="s">
        <v>152</v>
      </c>
      <c r="E3" s="59" t="s">
        <v>151</v>
      </c>
      <c r="F3" s="61" t="s">
        <v>152</v>
      </c>
      <c r="G3" s="57">
        <v>1000000</v>
      </c>
      <c r="H3" s="58">
        <f>G3/$G$6</f>
        <v>0.93297420046443458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102.63</v>
      </c>
      <c r="E4" s="59" t="str">
        <f>VLOOKUP(B4,Opportunities!B$3:E$30,4,FALSE)</f>
        <v>CNY</v>
      </c>
      <c r="F4" s="57">
        <v>700</v>
      </c>
      <c r="G4" s="61">
        <f>D4*F4</f>
        <v>71841</v>
      </c>
      <c r="H4" s="58">
        <f>G4/$G$6</f>
        <v>6.7025799535565436E-2</v>
      </c>
      <c r="I4" s="58">
        <f>VLOOKUP(B4,Opportunities!B$3:G$30,6,FALSE)</f>
        <v>5.0423218812731152E-2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1071841</v>
      </c>
      <c r="H6" s="67">
        <f>SUM(H3:H4)</f>
        <v>1</v>
      </c>
      <c r="I6" s="73">
        <f>SUM(I3:I4)</f>
        <v>0.35042321881273114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102.63</v>
      </c>
      <c r="E9" s="59" t="str">
        <f>VLOOKUP(B9,Opportunities!B$3:E$30,4,FALSE)</f>
        <v>CNY</v>
      </c>
      <c r="F9" s="57">
        <v>200</v>
      </c>
      <c r="G9" s="61">
        <f>-D9*F9</f>
        <v>-20526</v>
      </c>
      <c r="H9" s="58">
        <f>-G9/$G$6</f>
        <v>1.9150228438732982E-2</v>
      </c>
      <c r="I9" s="58">
        <f>VLOOKUP(B9,Opportunities!B$3:G$30,6,FALSE)</f>
        <v>5.0423218812731152E-2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979474</v>
      </c>
      <c r="H11" s="73">
        <f t="shared" ref="H11" si="0">G11/$G$6</f>
        <v>0.91382397202570154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2026-04-26T09:08:05Z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