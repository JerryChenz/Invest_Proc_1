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6BF21220-07B5-4F7B-A2F6-E8EF1506EE45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D18" i="7"/>
  <c r="C11" i="5"/>
  <c r="C10" i="5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B80" i="10"/>
  <c r="B83" i="10"/>
  <c r="B83" i="5"/>
  <c r="B80" i="5"/>
  <c r="C11" i="10" l="1"/>
  <c r="C10" i="10"/>
  <c r="E65" i="10"/>
  <c r="E66" i="10" s="1"/>
  <c r="C34" i="10"/>
  <c r="E33" i="10" s="1"/>
  <c r="E35" i="10"/>
  <c r="C34" i="5"/>
  <c r="E34" i="5" s="1"/>
  <c r="C36" i="5"/>
  <c r="E36" i="5" s="1"/>
  <c r="I4" i="7"/>
  <c r="J4" i="7"/>
  <c r="K4" i="7"/>
  <c r="L4" i="7"/>
  <c r="I5" i="7"/>
  <c r="J5" i="7"/>
  <c r="K5" i="7"/>
  <c r="L5" i="7"/>
  <c r="E37" i="5"/>
  <c r="E37" i="10" s="1"/>
  <c r="D4" i="7"/>
  <c r="D5" i="7"/>
  <c r="H4" i="7"/>
  <c r="H5" i="7"/>
  <c r="C4" i="7"/>
  <c r="C5" i="7"/>
  <c r="E34" i="10" l="1"/>
  <c r="E35" i="5"/>
  <c r="E33" i="5"/>
  <c r="F18" i="7"/>
  <c r="F5" i="7"/>
  <c r="F4" i="7" l="1"/>
  <c r="F10" i="7" s="1"/>
  <c r="E65" i="5" l="1"/>
  <c r="E66" i="5" s="1"/>
  <c r="G5" i="7" l="1"/>
  <c r="G18" i="7"/>
  <c r="C16" i="2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<sst xmlns="http://schemas.openxmlformats.org/spreadsheetml/2006/main" count="423" uniqueCount="356">
  <si>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</si>
  <si>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</si>
  <si>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</si>
  <si>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</si>
  <si>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</si>
  <si>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</si>
  <si>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</si>
  <si>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</si>
  <si>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</si>
  <si>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</si>
  <si>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</si>
  <si>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</si>
  <si>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</si>
  <si>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</si>
  <si>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</si>
  <si>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</si>
  <si>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</si>
  <si>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</si>
  <si>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</si>
  <si>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</si>
  <si>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</si>
  <si>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</si>
  <si>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</si>
  <si>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</si>
  <si>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</si>
  <si>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</si>
  <si>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</si>
  <si>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</si>
  <si>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</si>
  <si>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</si>
  <si>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</si>
  <si>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</si>
  <si>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</si>
  <si>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</si>
  <si>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</si>
  <si>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</si>
  <si>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</si>
  <si>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</si>
  <si>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</si>
  <si>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</si>
  <si>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</si>
  <si>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</si>
  <si>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</si>
  <si>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</si>
  <si>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</si>
  <si>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</si>
  <si>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</si>
  <si>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</si>
  <si>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</si>
  <si>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</si>
  <si>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</si>
  <si>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</si>
  <si>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</si>
  <si>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</si>
  <si>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</si>
  <si>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</si>
  <si>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</si>
  <si>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</si>
  <si>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</si>
  <si>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</si>
  <si>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</si>
  <si>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</si>
  <si>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</si>
  <si>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</si>
  <si>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</si>
  <si>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</si>
  <si>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</si>
  <si>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</si>
  <si>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</si>
  <si>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</si>
  <si>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</si>
  <si>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</si>
  <si>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</si>
  <si>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</si>
  <si>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</si>
  <si>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</si>
  <si>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</si>
  <si>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</si>
  <si>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</si>
  <si>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</si>
  <si>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</si>
  <si>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</si>
  <si>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</si>
  <si>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</si>
  <si>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</si>
  <si>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</si>
  <si>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</si>
  <si>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</si>
  <si>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</si>
  <si>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</si>
  <si>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</si>
  <si>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</si>
  <si>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</si>
  <si>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</si>
  <si>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</si>
  <si>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</si>
  <si>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</si>
  <si>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</si>
  <si>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</si>
  <si>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</si>
  <si>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</si>
  <si>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</si>
  <si>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</si>
  <si>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</si>
  <si>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</si>
  <si>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</si>
  <si>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</si>
  <si>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</si>
  <si>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</si>
  <si>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</si>
  <si>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</si>
  <si>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</si>
  <si>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</si>
  <si>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</si>
  <si>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</si>
  <si>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</si>
  <si>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</si>
  <si>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</si>
  <si>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</si>
  <si>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</si>
  <si>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</si>
  <si>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</si>
  <si>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</si>
  <si>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</si>
  <si>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</si>
  <si>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</si>
  <si>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</si>
  <si>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</si>
  <si>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</si>
  <si>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</si>
  <si>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</si>
  <si>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</si>
  <si>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</si>
  <si>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</si>
  <si>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</si>
  <si>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</si>
  <si>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 xml:space="preserve">Low Growth 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</si>
  <si>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</si>
  <si>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</si>
  <si>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</si>
  <si>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</si>
  <si>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</si>
  <si>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</si>
  <si>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</si>
  <si>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</si>
  <si>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</si>
  <si>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</si>
  <si>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</si>
  <si>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</si>
  <si>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</si>
  <si>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</si>
  <si>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</si>
  <si>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</si>
  <si>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</si>
  <si>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</si>
  <si>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</si>
  <si>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nm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</si>
  <si>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</si>
  <si>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</si>
  <si>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</si>
  <si>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</si>
  <si>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</si>
  <si>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</si>
  <si>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</si>
  <si>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</si>
  <si>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</si>
  <si>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</si>
  <si>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</si>
  <si>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</si>
  <si>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RES_01</t>
  </si>
  <si>
    <t>CNS_03</t>
  </si>
  <si>
    <t>Low Growth Asset Play</t>
  </si>
  <si>
    <t>CNS_01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</si>
  <si>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</si>
  <si>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</si>
  <si>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</si>
  <si>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</si>
  <si>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</si>
  <si>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</si>
  <si>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</si>
  <si>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</si>
  <si>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</si>
  <si>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</si>
  <si>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</si>
  <si>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</si>
  <si>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</si>
  <si>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Target Price</t>
  </si>
  <si>
    <t>Exit Price</t>
  </si>
  <si>
    <t>Sell Price</t>
  </si>
  <si>
    <t>nm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</si>
  <si>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</si>
  <si>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</si>
  <si>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</si>
  <si>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</si>
  <si>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</si>
  <si>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</si>
  <si>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</si>
  <si>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</si>
  <si>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</si>
  <si>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</si>
  <si>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</si>
  <si>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</si>
  <si>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</si>
  <si>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</si>
  <si>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</si>
  <si>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</si>
  <si>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</si>
  <si>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</si>
  <si>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</si>
  <si>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</si>
  <si>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</si>
  <si>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</si>
  <si>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</si>
  <si>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</si>
  <si>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</si>
  <si>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</si>
  <si>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</si>
  <si>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</si>
  <si>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</si>
  <si>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</si>
  <si>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</si>
  <si>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</si>
  <si>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</si>
  <si>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</si>
  <si>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</si>
  <si>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</si>
  <si>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</si>
  <si>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</si>
  <si>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</si>
  <si>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</si>
  <si>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</si>
  <si>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</si>
  <si>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</si>
  <si>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</si>
  <si>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</si>
  <si>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</si>
  <si>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</si>
  <si>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</si>
  <si>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</si>
  <si>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</si>
  <si>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</si>
  <si>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</si>
  <si>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</si>
  <si>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</si>
  <si>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</si>
  <si>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</si>
  <si>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</si>
  <si>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</si>
  <si>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</si>
  <si>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</si>
  <si>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</si>
  <si>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</si>
  <si>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</si>
  <si>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</si>
  <si>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</si>
  <si>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</si>
  <si>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</si>
  <si>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</si>
  <si>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</si>
  <si>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</si>
  <si>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</si>
  <si>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</si>
  <si>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</si>
  <si>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</si>
  <si>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</si>
  <si>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</si>
  <si>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</si>
  <si>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</si>
  <si>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</si>
  <si>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</si>
  <si>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</si>
  <si>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</si>
  <si>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</si>
  <si>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</si>
  <si>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</si>
  <si>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</si>
  <si>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</si>
  <si>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</si>
  <si>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</si>
  <si>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</si>
  <si>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</si>
  <si>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</si>
  <si>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</si>
  <si>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</si>
  <si>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</si>
  <si>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</si>
  <si>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</si>
  <si>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</si>
  <si>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</si>
  <si>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</si>
  <si>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</si>
  <si>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</si>
  <si>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</si>
  <si>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</si>
  <si>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</si>
  <si>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</si>
  <si>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</si>
  <si>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</si>
  <si>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</si>
  <si>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</si>
  <si>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</si>
  <si>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</si>
  <si>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</si>
  <si>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</si>
  <si>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</si>
  <si>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</si>
  <si>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</si>
  <si>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</si>
  <si>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</si>
  <si>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</si>
  <si>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</si>
  <si>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</si>
  <si>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</si>
  <si>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</si>
  <si>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</si>
  <si>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</si>
  <si>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</si>
  <si>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</si>
  <si>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</si>
  <si>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</si>
  <si>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</si>
  <si>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</si>
  <si>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</si>
  <si>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</si>
  <si>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</si>
  <si>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</si>
  <si>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</si>
  <si>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t>CNY</t>
  </si>
  <si>
    <t>601166.SS</t>
  </si>
  <si>
    <t>603279.SS</t>
  </si>
  <si>
    <t>Market Value (CNY)</t>
  </si>
  <si>
    <t>景津装备</t>
  </si>
  <si>
    <t>IND_01</t>
  </si>
  <si>
    <t>600132.SS</t>
  </si>
  <si>
    <t>重庆啤酒</t>
  </si>
  <si>
    <t>603338.SS</t>
  </si>
  <si>
    <t>浙江鼎力</t>
  </si>
  <si>
    <t>002557.SZ</t>
  </si>
  <si>
    <t>洽洽食品</t>
  </si>
  <si>
    <t>002304.SZ</t>
  </si>
  <si>
    <t>洋河股份</t>
  </si>
  <si>
    <t>600373.SS</t>
  </si>
  <si>
    <t>中文传媒</t>
  </si>
  <si>
    <t>TMT_02</t>
  </si>
  <si>
    <t>600583.SS</t>
  </si>
  <si>
    <t>海油工程</t>
  </si>
  <si>
    <t>ENG_03</t>
  </si>
  <si>
    <t>600007.SS</t>
  </si>
  <si>
    <t>中国国贸</t>
  </si>
  <si>
    <t>兴业银行</t>
  </si>
  <si>
    <t>FIN_01</t>
  </si>
  <si>
    <t>300481.SZ</t>
  </si>
  <si>
    <t>濮阳惠成</t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</si>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</sst>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  <numFmt numFmtId="170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10" fontId="30" fillId="0" borderId="0" xfId="0" applyNumberFormat="1" applyFont="1" applyAlignment="1">
      <alignment horizontal="right"/>
    </xf>
    <xf numFmtId="169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0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69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0" fontId="3" fillId="0" borderId="13" xfId="0" applyNumberFormat="1" applyFont="1" applyBorder="1"/>
    <xf numFmtId="0" fontId="4" fillId="0" borderId="7" xfId="0" applyFont="1" applyBorder="1"/>
    <xf numFmtId="166" fontId="30" fillId="0" borderId="7" xfId="0" applyNumberFormat="1" applyFont="1" applyBorder="1" applyAlignment="1">
      <alignment horizontal="right"/>
    </xf>
    <xf numFmtId="10" fontId="30" fillId="0" borderId="7" xfId="0" applyNumberFormat="1" applyFont="1" applyBorder="1" applyAlignment="1">
      <alignment horizontal="right"/>
    </xf>
    <xf numFmtId="0" fontId="31" fillId="0" borderId="0" xfId="0" applyFont="1"/>
    <xf numFmtId="0" fontId="31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2" fillId="0" borderId="0" xfId="0" applyNumberFormat="1" applyFont="1" applyAlignment="1">
      <alignment horizontal="left"/>
    </xf>
    <xf numFmtId="10" fontId="33" fillId="0" borderId="4" xfId="0" applyNumberFormat="1" applyFont="1" applyBorder="1"/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tabSelected="1" topLeftCell="A76" zoomScale="105" workbookViewId="0">
      <selection activeCell="B96" sqref="B9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235</v>
      </c>
    </row>
    <row r="2" spans="1:5">
      <c r="A2" s="21" t="s">
        <v>236</v>
      </c>
      <c r="B2" s="21"/>
      <c r="C2" s="21"/>
      <c r="D2" s="21"/>
      <c r="E2" s="21"/>
    </row>
    <row r="4" spans="1:5">
      <c r="B4" s="116" t="s">
        <v>237</v>
      </c>
      <c r="C4" s="117"/>
      <c r="D4" s="117"/>
      <c r="E4" s="117"/>
    </row>
    <row r="6" spans="1:5">
      <c r="A6" s="20" t="s">
        <v>60</v>
      </c>
      <c r="B6" s="19" t="s">
        <v>238</v>
      </c>
      <c r="C6" s="49"/>
    </row>
    <row r="7" spans="1:5">
      <c r="B7" s="116" t="s">
        <v>353</v>
      </c>
      <c r="C7" s="117"/>
      <c r="D7" s="117"/>
      <c r="E7" s="117"/>
    </row>
    <row r="9" spans="1:5">
      <c r="B9" s="23" t="s">
        <v>239</v>
      </c>
    </row>
    <row r="10" spans="1:5">
      <c r="B10" s="1" t="s">
        <v>240</v>
      </c>
      <c r="C10" s="105">
        <f>benchmark</f>
        <v>8.6999999999999994E-2</v>
      </c>
    </row>
    <row r="11" spans="1:5">
      <c r="B11" s="1" t="s">
        <v>241</v>
      </c>
      <c r="C11" s="105">
        <f>Cash_Yield</f>
        <v>1.9E-2</v>
      </c>
    </row>
    <row r="12" spans="1:5">
      <c r="C12" s="4"/>
    </row>
    <row r="13" spans="1:5">
      <c r="B13" s="23" t="s">
        <v>242</v>
      </c>
      <c r="C13" s="4"/>
    </row>
    <row r="14" spans="1:5">
      <c r="B14" s="1" t="s">
        <v>243</v>
      </c>
      <c r="C14" s="4" t="s">
        <v>246</v>
      </c>
    </row>
    <row r="15" spans="1:5">
      <c r="B15" s="1" t="s">
        <v>244</v>
      </c>
      <c r="C15" s="24" t="s">
        <v>247</v>
      </c>
    </row>
    <row r="16" spans="1:5">
      <c r="B16" s="1" t="s">
        <v>245</v>
      </c>
      <c r="C16" s="24" t="s">
        <v>248</v>
      </c>
    </row>
    <row r="18" spans="1:5">
      <c r="B18" s="23" t="s">
        <v>249</v>
      </c>
    </row>
    <row r="19" spans="1:5">
      <c r="B19" s="24" t="s">
        <v>250</v>
      </c>
    </row>
    <row r="20" spans="1:5">
      <c r="B20" s="24" t="s">
        <v>251</v>
      </c>
    </row>
    <row r="21" spans="1:5">
      <c r="B21" s="24" t="s">
        <v>252</v>
      </c>
    </row>
    <row r="23" spans="1:5">
      <c r="A23" s="25" t="s">
        <v>61</v>
      </c>
      <c r="B23" s="19" t="s">
        <v>254</v>
      </c>
      <c r="C23" s="49"/>
    </row>
    <row r="24" spans="1:5">
      <c r="A24" s="18"/>
      <c r="B24" s="116" t="s">
        <v>253</v>
      </c>
      <c r="C24" s="117"/>
      <c r="D24" s="117"/>
      <c r="E24" s="117"/>
    </row>
    <row r="25" spans="1:5">
      <c r="A25" s="18"/>
    </row>
    <row r="26" spans="1:5">
      <c r="A26" s="18"/>
      <c r="B26" s="43" t="s">
        <v>255</v>
      </c>
      <c r="C26" s="43" t="s">
        <v>256</v>
      </c>
    </row>
    <row r="27" spans="1:5">
      <c r="B27" s="26" t="s">
        <v>257</v>
      </c>
      <c r="C27" s="106">
        <f>Portfolio_Mgmt!C27</f>
        <v>4</v>
      </c>
    </row>
    <row r="28" spans="1:5">
      <c r="B28" s="26" t="s">
        <v>258</v>
      </c>
      <c r="C28" s="107">
        <f>Portfolio_Mgmt!C28</f>
        <v>0.5</v>
      </c>
    </row>
    <row r="30" spans="1:5">
      <c r="A30" s="20" t="s">
        <v>62</v>
      </c>
      <c r="B30" s="88" t="s">
        <v>259</v>
      </c>
      <c r="C30" s="49"/>
    </row>
    <row r="31" spans="1:5">
      <c r="A31" s="20"/>
      <c r="B31" s="43" t="s">
        <v>260</v>
      </c>
      <c r="C31" s="43" t="s">
        <v>261</v>
      </c>
      <c r="D31" s="43" t="s">
        <v>262</v>
      </c>
      <c r="E31" s="43" t="s">
        <v>261</v>
      </c>
    </row>
    <row r="32" spans="1:5" ht="12" thickBot="1">
      <c r="A32" s="20"/>
      <c r="B32" s="89" t="s">
        <v>263</v>
      </c>
      <c r="C32" s="108">
        <f>Portfolio_Mgmt!C32</f>
        <v>0.55000000000000004</v>
      </c>
      <c r="D32" s="89" t="s">
        <v>323</v>
      </c>
      <c r="E32" s="108">
        <f>Portfolio_Mgmt!E32</f>
        <v>-0.5</v>
      </c>
    </row>
    <row r="33" spans="1:5">
      <c r="B33" s="92" t="s">
        <v>264</v>
      </c>
      <c r="C33" s="109">
        <f>Portfolio_Mgmt!C33</f>
        <v>0.45</v>
      </c>
      <c r="D33" s="94" t="s">
        <v>269</v>
      </c>
      <c r="E33" s="95">
        <f>(C32*C33+(1-C32)*C34)/(2*C33)</f>
        <v>0.25000000000000006</v>
      </c>
    </row>
    <row r="34" spans="1:5" ht="12" thickBot="1">
      <c r="B34" s="96" t="s">
        <v>265</v>
      </c>
      <c r="C34" s="97">
        <f>E32+C33</f>
        <v>-4.9999999999999989E-2</v>
      </c>
      <c r="D34" s="98" t="s">
        <v>270</v>
      </c>
      <c r="E34" s="99">
        <f>-C33/C34</f>
        <v>9.0000000000000018</v>
      </c>
    </row>
    <row r="35" spans="1:5">
      <c r="B35" s="92" t="s">
        <v>266</v>
      </c>
      <c r="C35" s="109">
        <f>Portfolio_Mgmt!C35</f>
        <v>0.3</v>
      </c>
      <c r="D35" s="94" t="s">
        <v>269</v>
      </c>
      <c r="E35" s="95">
        <f>(C32*C35+(1-C32)*C36)/(2*C35)</f>
        <v>0.12500000000000003</v>
      </c>
    </row>
    <row r="36" spans="1:5" ht="12" thickBot="1">
      <c r="B36" s="96" t="s">
        <v>267</v>
      </c>
      <c r="C36" s="97">
        <f>E32+C35</f>
        <v>-0.2</v>
      </c>
      <c r="D36" s="98" t="s">
        <v>270</v>
      </c>
      <c r="E36" s="99">
        <f>-C35/C36</f>
        <v>1.4999999999999998</v>
      </c>
    </row>
    <row r="37" spans="1:5">
      <c r="B37" s="100" t="s">
        <v>268</v>
      </c>
      <c r="C37" s="110">
        <f>Portfolio_Mgmt!C37</f>
        <v>3</v>
      </c>
      <c r="D37" s="91" t="s">
        <v>271</v>
      </c>
      <c r="E37" s="111">
        <f>Portfolio_Mgmt!E37</f>
        <v>7.4999999999999997E-2</v>
      </c>
    </row>
    <row r="38" spans="1:5">
      <c r="C38" s="86"/>
    </row>
    <row r="39" spans="1:5">
      <c r="B39" s="20" t="s">
        <v>272</v>
      </c>
    </row>
    <row r="40" spans="1:5">
      <c r="B40" s="117" t="s">
        <v>273</v>
      </c>
      <c r="C40" s="117"/>
      <c r="D40" s="117"/>
      <c r="E40" s="117"/>
    </row>
    <row r="41" spans="1:5">
      <c r="B41" s="116" t="s">
        <v>274</v>
      </c>
      <c r="C41" s="117"/>
      <c r="D41" s="117"/>
      <c r="E41" s="117"/>
    </row>
    <row r="42" spans="1:5">
      <c r="B42" s="116" t="s">
        <v>275</v>
      </c>
      <c r="C42" s="117"/>
      <c r="D42" s="117"/>
      <c r="E42" s="117"/>
    </row>
    <row r="43" spans="1:5">
      <c r="B43" s="116" t="s">
        <v>276</v>
      </c>
      <c r="C43" s="116"/>
      <c r="D43" s="116"/>
      <c r="E43" s="116"/>
    </row>
    <row r="44" spans="1:5" ht="34.35" customHeight="1">
      <c r="B44" s="117" t="s">
        <v>354</v>
      </c>
      <c r="C44" s="117"/>
      <c r="D44" s="117"/>
      <c r="E44" s="117"/>
    </row>
    <row r="46" spans="1:5">
      <c r="A46" s="21" t="s">
        <v>277</v>
      </c>
      <c r="B46" s="21"/>
      <c r="C46" s="21"/>
      <c r="D46" s="21"/>
      <c r="E46" s="21"/>
    </row>
    <row r="48" spans="1:5">
      <c r="B48" s="117" t="s">
        <v>278</v>
      </c>
      <c r="C48" s="117"/>
      <c r="D48" s="117"/>
      <c r="E48" s="117"/>
    </row>
    <row r="50" spans="2:5">
      <c r="B50" s="23" t="s">
        <v>279</v>
      </c>
    </row>
    <row r="52" spans="2:5">
      <c r="B52" s="43" t="s">
        <v>280</v>
      </c>
      <c r="C52" s="43" t="s">
        <v>281</v>
      </c>
      <c r="D52" s="47"/>
      <c r="E52" s="47"/>
    </row>
    <row r="53" spans="2:5">
      <c r="B53" s="26" t="s">
        <v>282</v>
      </c>
      <c r="C53" s="112">
        <f>Portfolio_Mgmt!C53</f>
        <v>0.45</v>
      </c>
      <c r="D53" s="48"/>
      <c r="E53" s="46"/>
    </row>
    <row r="54" spans="2:5">
      <c r="B54" s="26" t="s">
        <v>283</v>
      </c>
      <c r="C54" s="112">
        <f>Portfolio_Mgmt!C54</f>
        <v>0.3</v>
      </c>
      <c r="D54" s="48"/>
      <c r="E54" s="46"/>
    </row>
    <row r="55" spans="2:5">
      <c r="B55" s="26" t="s">
        <v>284</v>
      </c>
      <c r="C55" s="112">
        <f>Portfolio_Mgmt!C55</f>
        <v>0.15</v>
      </c>
      <c r="D55" s="114" t="s">
        <v>325</v>
      </c>
      <c r="E55" s="46"/>
    </row>
    <row r="57" spans="2:5">
      <c r="B57" s="23" t="s">
        <v>285</v>
      </c>
    </row>
    <row r="59" spans="2:5">
      <c r="B59" s="43" t="s">
        <v>262</v>
      </c>
      <c r="C59" s="43" t="s">
        <v>286</v>
      </c>
      <c r="D59" s="43" t="s">
        <v>287</v>
      </c>
      <c r="E59" s="43" t="s">
        <v>288</v>
      </c>
    </row>
    <row r="60" spans="2:5">
      <c r="B60" s="26" t="s">
        <v>289</v>
      </c>
      <c r="C60" s="26" t="s">
        <v>294</v>
      </c>
      <c r="D60" s="26" t="s">
        <v>295</v>
      </c>
      <c r="E60" s="113">
        <f>Portfolio_Mgmt!E60</f>
        <v>0</v>
      </c>
    </row>
    <row r="61" spans="2:5">
      <c r="B61" s="26" t="s">
        <v>290</v>
      </c>
      <c r="C61" s="26" t="s">
        <v>296</v>
      </c>
      <c r="D61" s="26" t="s">
        <v>297</v>
      </c>
      <c r="E61" s="113">
        <f>Portfolio_Mgmt!E61</f>
        <v>1</v>
      </c>
    </row>
    <row r="62" spans="2:5">
      <c r="B62" s="26" t="s">
        <v>291</v>
      </c>
      <c r="C62" s="26" t="s">
        <v>298</v>
      </c>
      <c r="D62" s="26" t="s">
        <v>299</v>
      </c>
      <c r="E62" s="113">
        <f>Portfolio_Mgmt!E62</f>
        <v>0</v>
      </c>
    </row>
    <row r="63" spans="2:5">
      <c r="B63" s="26" t="s">
        <v>292</v>
      </c>
      <c r="C63" s="26" t="s">
        <v>300</v>
      </c>
      <c r="D63" s="26" t="s">
        <v>301</v>
      </c>
      <c r="E63" s="113">
        <f>Portfolio_Mgmt!E63</f>
        <v>2</v>
      </c>
    </row>
    <row r="64" spans="2:5">
      <c r="B64" s="26" t="s">
        <v>293</v>
      </c>
      <c r="C64" s="26" t="s">
        <v>302</v>
      </c>
      <c r="D64" s="26" t="s">
        <v>303</v>
      </c>
      <c r="E64" s="113">
        <f>Portfolio_Mgmt!E64</f>
        <v>0</v>
      </c>
    </row>
    <row r="65" spans="1:5">
      <c r="D65" s="27" t="s">
        <v>304</v>
      </c>
      <c r="E65" s="39">
        <f>SUM(E60:E64)</f>
        <v>3</v>
      </c>
    </row>
    <row r="66" spans="1:5" ht="12" thickBot="1">
      <c r="D66" s="41" t="s">
        <v>305</v>
      </c>
      <c r="E66" s="42">
        <f>IF(E65&lt;=4,C53,IF(E65&gt;=8,C55,C54))</f>
        <v>0.45</v>
      </c>
    </row>
    <row r="67" spans="1:5" ht="12" thickTop="1"/>
    <row r="68" spans="1:5">
      <c r="B68" s="1" t="s">
        <v>306</v>
      </c>
    </row>
    <row r="69" spans="1:5">
      <c r="B69" s="1" t="s">
        <v>307</v>
      </c>
    </row>
    <row r="70" spans="1:5">
      <c r="B70" s="1" t="s">
        <v>308</v>
      </c>
    </row>
    <row r="72" spans="1:5">
      <c r="A72" s="21" t="s">
        <v>309</v>
      </c>
      <c r="B72" s="21"/>
      <c r="C72" s="21"/>
      <c r="D72" s="21"/>
      <c r="E72" s="21"/>
    </row>
    <row r="74" spans="1:5">
      <c r="B74" s="117" t="s">
        <v>310</v>
      </c>
      <c r="C74" s="117"/>
      <c r="D74" s="117"/>
      <c r="E74" s="117"/>
    </row>
    <row r="76" spans="1:5">
      <c r="A76" s="28" t="s">
        <v>60</v>
      </c>
      <c r="B76" s="20" t="s">
        <v>312</v>
      </c>
    </row>
    <row r="77" spans="1:5">
      <c r="B77" s="24" t="s">
        <v>311</v>
      </c>
    </row>
    <row r="79" spans="1:5">
      <c r="A79" s="28" t="s">
        <v>200</v>
      </c>
      <c r="B79" s="20" t="s">
        <v>313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314</v>
      </c>
      <c r="C81" s="87" t="s">
        <v>324</v>
      </c>
    </row>
    <row r="82" spans="1:5">
      <c r="B82" s="104" t="s">
        <v>315</v>
      </c>
      <c r="C82" s="87" t="s">
        <v>191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316</v>
      </c>
    </row>
    <row r="86" spans="1:5">
      <c r="B86" s="1" t="s">
        <v>326</v>
      </c>
    </row>
    <row r="87" spans="1:5">
      <c r="B87" s="1" t="s">
        <v>317</v>
      </c>
    </row>
    <row r="88" spans="1:5">
      <c r="B88" s="1" t="s">
        <v>318</v>
      </c>
    </row>
    <row r="90" spans="1:5">
      <c r="A90" s="21" t="s">
        <v>322</v>
      </c>
      <c r="B90" s="21"/>
      <c r="C90" s="21"/>
      <c r="D90" s="21"/>
      <c r="E90" s="21"/>
    </row>
    <row r="92" spans="1:5">
      <c r="B92" s="20" t="s">
        <v>319</v>
      </c>
    </row>
    <row r="93" spans="1:5">
      <c r="B93" s="24" t="s">
        <v>320</v>
      </c>
    </row>
    <row r="94" spans="1:5">
      <c r="B94" s="24" t="s">
        <v>321</v>
      </c>
    </row>
    <row r="95" spans="1:5">
      <c r="B95" s="24" t="s">
        <v>355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34" zoomScale="105" workbookViewId="0">
      <selection activeCell="E37" sqref="E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137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17" t="s">
        <v>149</v>
      </c>
      <c r="C4" s="117"/>
      <c r="D4" s="117"/>
      <c r="E4" s="117"/>
    </row>
    <row r="6" spans="1:5">
      <c r="A6" s="20" t="s">
        <v>60</v>
      </c>
      <c r="B6" s="19" t="s">
        <v>143</v>
      </c>
      <c r="C6" s="49"/>
    </row>
    <row r="7" spans="1:5">
      <c r="B7" s="117" t="s">
        <v>201</v>
      </c>
      <c r="C7" s="117"/>
      <c r="D7" s="117"/>
      <c r="E7" s="117"/>
    </row>
    <row r="9" spans="1:5">
      <c r="B9" s="23" t="s">
        <v>53</v>
      </c>
    </row>
    <row r="10" spans="1:5">
      <c r="B10" s="1" t="s">
        <v>58</v>
      </c>
      <c r="C10" s="80">
        <f>Market_Yield!D16</f>
        <v>8.6999999999999994E-2</v>
      </c>
    </row>
    <row r="11" spans="1:5">
      <c r="B11" s="1" t="s">
        <v>50</v>
      </c>
      <c r="C11" s="80">
        <f>Market_Yield!C5</f>
        <v>1.9E-2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145</v>
      </c>
      <c r="C14" s="4" t="s">
        <v>146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233</v>
      </c>
    </row>
    <row r="20" spans="1:5">
      <c r="B20" s="24" t="s">
        <v>202</v>
      </c>
    </row>
    <row r="21" spans="1:5">
      <c r="B21" s="24" t="s">
        <v>144</v>
      </c>
    </row>
    <row r="23" spans="1:5">
      <c r="A23" s="25" t="s">
        <v>61</v>
      </c>
      <c r="B23" s="19" t="s">
        <v>142</v>
      </c>
      <c r="C23" s="49"/>
    </row>
    <row r="24" spans="1:5">
      <c r="A24" s="18"/>
      <c r="B24" s="116" t="s">
        <v>203</v>
      </c>
      <c r="C24" s="117"/>
      <c r="D24" s="117"/>
      <c r="E24" s="117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4</v>
      </c>
    </row>
    <row r="28" spans="1:5">
      <c r="B28" s="26" t="s">
        <v>190</v>
      </c>
      <c r="C28" s="45">
        <v>0.5</v>
      </c>
    </row>
    <row r="30" spans="1:5">
      <c r="A30" s="20" t="s">
        <v>62</v>
      </c>
      <c r="B30" s="88" t="s">
        <v>12</v>
      </c>
      <c r="C30" s="49"/>
    </row>
    <row r="31" spans="1:5">
      <c r="A31" s="20"/>
      <c r="B31" s="43" t="s">
        <v>204</v>
      </c>
      <c r="C31" s="43" t="s">
        <v>205</v>
      </c>
      <c r="D31" s="43" t="s">
        <v>206</v>
      </c>
      <c r="E31" s="43" t="s">
        <v>205</v>
      </c>
    </row>
    <row r="32" spans="1:5" ht="12" thickBot="1">
      <c r="A32" s="20"/>
      <c r="B32" s="89" t="s">
        <v>207</v>
      </c>
      <c r="C32" s="90">
        <v>0.55000000000000004</v>
      </c>
      <c r="D32" s="89" t="s">
        <v>228</v>
      </c>
      <c r="E32" s="90">
        <v>-0.5</v>
      </c>
    </row>
    <row r="33" spans="1:5">
      <c r="B33" s="92" t="s">
        <v>210</v>
      </c>
      <c r="C33" s="93">
        <v>0.45</v>
      </c>
      <c r="D33" s="94" t="s">
        <v>213</v>
      </c>
      <c r="E33" s="95">
        <f>(C32*C33+(1-C32)*C34)/(2*C33)</f>
        <v>0.25000000000000006</v>
      </c>
    </row>
    <row r="34" spans="1:5" ht="12" thickBot="1">
      <c r="B34" s="96" t="s">
        <v>209</v>
      </c>
      <c r="C34" s="97">
        <f>E32+C33</f>
        <v>-4.9999999999999989E-2</v>
      </c>
      <c r="D34" s="98" t="s">
        <v>214</v>
      </c>
      <c r="E34" s="99">
        <f>-C33/C34</f>
        <v>9.0000000000000018</v>
      </c>
    </row>
    <row r="35" spans="1:5">
      <c r="B35" s="92" t="s">
        <v>208</v>
      </c>
      <c r="C35" s="93">
        <v>0.3</v>
      </c>
      <c r="D35" s="94" t="s">
        <v>213</v>
      </c>
      <c r="E35" s="95">
        <f>(C32*C35+(1-C32)*C36)/(2*C35)</f>
        <v>0.12500000000000003</v>
      </c>
    </row>
    <row r="36" spans="1:5" ht="12" thickBot="1">
      <c r="B36" s="96" t="s">
        <v>211</v>
      </c>
      <c r="C36" s="97">
        <f>E32+C35</f>
        <v>-0.2</v>
      </c>
      <c r="D36" s="98" t="s">
        <v>214</v>
      </c>
      <c r="E36" s="99">
        <f>-C35/C36</f>
        <v>1.4999999999999998</v>
      </c>
    </row>
    <row r="37" spans="1:5">
      <c r="B37" s="100" t="s">
        <v>212</v>
      </c>
      <c r="C37" s="101">
        <v>3</v>
      </c>
      <c r="D37" s="91" t="s">
        <v>13</v>
      </c>
      <c r="E37" s="102">
        <f>MAX(6%,Market_Yield!C4:D4,Market_Yield!C6:D6)</f>
        <v>7.4999999999999997E-2</v>
      </c>
    </row>
    <row r="38" spans="1:5">
      <c r="C38" s="86"/>
    </row>
    <row r="39" spans="1:5">
      <c r="B39" s="20" t="s">
        <v>216</v>
      </c>
    </row>
    <row r="40" spans="1:5">
      <c r="B40" s="117" t="s">
        <v>215</v>
      </c>
      <c r="C40" s="117"/>
      <c r="D40" s="117"/>
      <c r="E40" s="117"/>
    </row>
    <row r="41" spans="1:5">
      <c r="B41" s="116" t="s">
        <v>231</v>
      </c>
      <c r="C41" s="117"/>
      <c r="D41" s="117"/>
      <c r="E41" s="117"/>
    </row>
    <row r="42" spans="1:5">
      <c r="B42" s="116" t="s">
        <v>229</v>
      </c>
      <c r="C42" s="117"/>
      <c r="D42" s="117"/>
      <c r="E42" s="117"/>
    </row>
    <row r="43" spans="1:5">
      <c r="B43" s="116" t="s">
        <v>230</v>
      </c>
      <c r="C43" s="116"/>
      <c r="D43" s="116"/>
      <c r="E43" s="116"/>
    </row>
    <row r="44" spans="1:5" ht="46.5" customHeight="1">
      <c r="B44" s="117" t="s">
        <v>157</v>
      </c>
      <c r="C44" s="117"/>
      <c r="D44" s="117"/>
      <c r="E44" s="117"/>
    </row>
    <row r="46" spans="1:5">
      <c r="A46" s="21" t="s">
        <v>138</v>
      </c>
      <c r="B46" s="21"/>
      <c r="C46" s="21"/>
      <c r="D46" s="21"/>
      <c r="E46" s="21"/>
    </row>
    <row r="48" spans="1:5">
      <c r="B48" s="117" t="s">
        <v>217</v>
      </c>
      <c r="C48" s="117"/>
      <c r="D48" s="117"/>
      <c r="E48" s="117"/>
    </row>
    <row r="50" spans="2:5">
      <c r="B50" s="23" t="s">
        <v>77</v>
      </c>
    </row>
    <row r="52" spans="2:5">
      <c r="B52" s="43" t="s">
        <v>78</v>
      </c>
      <c r="C52" s="43" t="s">
        <v>141</v>
      </c>
      <c r="D52" s="47"/>
      <c r="E52" s="47"/>
    </row>
    <row r="53" spans="2:5">
      <c r="B53" s="26" t="s">
        <v>199</v>
      </c>
      <c r="C53" s="29">
        <v>0.45</v>
      </c>
      <c r="D53" s="48"/>
      <c r="E53" s="46"/>
    </row>
    <row r="54" spans="2:5">
      <c r="B54" s="26" t="s">
        <v>198</v>
      </c>
      <c r="C54" s="29">
        <v>0.3</v>
      </c>
      <c r="D54" s="48"/>
      <c r="E54" s="46"/>
    </row>
    <row r="55" spans="2:5">
      <c r="B55" s="26" t="s">
        <v>197</v>
      </c>
      <c r="C55" s="29">
        <v>0.15</v>
      </c>
      <c r="D55" s="50" t="s">
        <v>150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0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194</v>
      </c>
      <c r="C62" s="26" t="s">
        <v>195</v>
      </c>
      <c r="D62" s="26" t="s">
        <v>196</v>
      </c>
      <c r="E62" s="40">
        <v>0</v>
      </c>
    </row>
    <row r="63" spans="2:5">
      <c r="B63" s="26" t="s">
        <v>192</v>
      </c>
      <c r="C63" s="26" t="s">
        <v>167</v>
      </c>
      <c r="D63" s="26" t="s">
        <v>168</v>
      </c>
      <c r="E63" s="40">
        <v>2</v>
      </c>
    </row>
    <row r="64" spans="2:5">
      <c r="B64" s="26" t="s">
        <v>193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3</v>
      </c>
    </row>
    <row r="66" spans="1:5" ht="12" thickBot="1">
      <c r="D66" s="41" t="s">
        <v>140</v>
      </c>
      <c r="E66" s="42">
        <f>IF(E65&lt;=4,C53,IF(E65&gt;=8,C55,C54))</f>
        <v>0.45</v>
      </c>
    </row>
    <row r="67" spans="1:5" ht="12" thickTop="1"/>
    <row r="68" spans="1:5">
      <c r="B68" s="1" t="s">
        <v>219</v>
      </c>
    </row>
    <row r="69" spans="1:5">
      <c r="B69" s="1" t="s">
        <v>232</v>
      </c>
    </row>
    <row r="70" spans="1:5">
      <c r="B70" s="1" t="s">
        <v>218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17" t="s">
        <v>139</v>
      </c>
      <c r="C74" s="117"/>
      <c r="D74" s="117"/>
      <c r="E74" s="117"/>
    </row>
    <row r="76" spans="1:5">
      <c r="A76" s="28" t="s">
        <v>60</v>
      </c>
      <c r="B76" s="20" t="s">
        <v>221</v>
      </c>
    </row>
    <row r="77" spans="1:5">
      <c r="B77" s="24" t="s">
        <v>151</v>
      </c>
    </row>
    <row r="79" spans="1:5">
      <c r="A79" s="28" t="s">
        <v>200</v>
      </c>
      <c r="B79" s="20" t="s">
        <v>220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04" t="s">
        <v>224</v>
      </c>
      <c r="C81" s="87" t="s">
        <v>234</v>
      </c>
    </row>
    <row r="82" spans="1:5">
      <c r="B82" s="104" t="s">
        <v>223</v>
      </c>
      <c r="C82" s="87" t="s">
        <v>191</v>
      </c>
    </row>
    <row r="83" spans="1:5">
      <c r="B83" s="103" t="str">
        <f>B20</f>
        <v>- Non-selected investments receive 50% of normal allocation.</v>
      </c>
    </row>
    <row r="85" spans="1:5">
      <c r="B85" s="20" t="s">
        <v>222</v>
      </c>
    </row>
    <row r="86" spans="1:5">
      <c r="B86" s="1" t="s">
        <v>225</v>
      </c>
    </row>
    <row r="87" spans="1:5">
      <c r="B87" s="1" t="s">
        <v>227</v>
      </c>
    </row>
    <row r="88" spans="1:5">
      <c r="B88" s="1" t="s">
        <v>226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148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4" sqref="I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0" t="s">
        <v>1</v>
      </c>
      <c r="E1" s="120"/>
      <c r="F1" s="120"/>
      <c r="G1" s="121" t="s">
        <v>85</v>
      </c>
      <c r="H1" s="121"/>
      <c r="I1" s="121"/>
      <c r="J1" s="123" t="s">
        <v>4</v>
      </c>
      <c r="K1" s="123"/>
      <c r="L1" s="123"/>
      <c r="M1" s="122" t="s">
        <v>166</v>
      </c>
      <c r="N1" s="122"/>
      <c r="O1" s="118" t="s">
        <v>8</v>
      </c>
      <c r="P1" s="118"/>
      <c r="Q1" s="125" t="s">
        <v>182</v>
      </c>
      <c r="R1" s="125"/>
      <c r="S1" s="125"/>
      <c r="T1" s="125"/>
      <c r="U1" s="124" t="s">
        <v>178</v>
      </c>
      <c r="V1" s="124"/>
      <c r="W1" s="124"/>
      <c r="X1" s="119" t="s">
        <v>49</v>
      </c>
      <c r="Y1" s="119"/>
      <c r="Z1" s="119"/>
      <c r="AA1" s="119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56</v>
      </c>
      <c r="H2" s="7" t="s">
        <v>57</v>
      </c>
      <c r="I2" s="7" t="s">
        <v>147</v>
      </c>
      <c r="J2" s="8" t="s">
        <v>7</v>
      </c>
      <c r="K2" s="8" t="s">
        <v>10</v>
      </c>
      <c r="L2" s="8" t="s">
        <v>174</v>
      </c>
      <c r="M2" s="8" t="s">
        <v>165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185</v>
      </c>
      <c r="S2" s="7" t="s">
        <v>180</v>
      </c>
      <c r="T2" s="7" t="s">
        <v>181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177</v>
      </c>
      <c r="Z2" s="9" t="s">
        <v>9</v>
      </c>
      <c r="AA2" s="10" t="s">
        <v>48</v>
      </c>
    </row>
    <row r="3" spans="1:27">
      <c r="B3" s="11" t="s">
        <v>333</v>
      </c>
      <c r="C3" s="11" t="s">
        <v>334</v>
      </c>
      <c r="D3" s="2">
        <v>55.07</v>
      </c>
      <c r="E3" s="12" t="s">
        <v>327</v>
      </c>
      <c r="F3" s="15">
        <v>0.10366108057196155</v>
      </c>
      <c r="G3" s="15">
        <f>F3 - Portfolio_Mgmt!$C$10</f>
        <v>1.6661080571961556E-2</v>
      </c>
      <c r="H3" s="15">
        <f>F3 - Portfolio_Mgmt!$C$11</f>
        <v>8.4661080571961547E-2</v>
      </c>
      <c r="I3" s="15">
        <v>0</v>
      </c>
      <c r="J3" s="2">
        <v>25.155911013083504</v>
      </c>
      <c r="K3" s="2">
        <v>66.857539212261699</v>
      </c>
      <c r="L3" s="74">
        <v>59.434818438436224</v>
      </c>
      <c r="M3" s="2">
        <v>34.354091585007595</v>
      </c>
      <c r="N3" s="2">
        <v>57.551879180502802</v>
      </c>
      <c r="O3" s="4">
        <v>7.8791013299890508E-2</v>
      </c>
      <c r="P3" s="4">
        <v>3.9222807336117674E-2</v>
      </c>
      <c r="Q3" s="4">
        <v>1.2182305488640417</v>
      </c>
      <c r="R3" s="4">
        <v>0.21117895977217718</v>
      </c>
      <c r="S3" s="82">
        <v>1.2904821269100146</v>
      </c>
      <c r="T3" s="81">
        <v>4.4701988818540466</v>
      </c>
      <c r="U3" s="15">
        <v>5.0341856510546588E-2</v>
      </c>
      <c r="V3" s="79">
        <v>4.1762542981319963E-2</v>
      </c>
      <c r="W3" s="74">
        <v>-13.312996389940134</v>
      </c>
      <c r="X3" s="13" t="s">
        <v>170</v>
      </c>
      <c r="Y3" s="11" t="s">
        <v>136</v>
      </c>
      <c r="Z3" s="14">
        <v>45900</v>
      </c>
      <c r="AA3" s="16" t="s">
        <v>183</v>
      </c>
    </row>
    <row r="4" spans="1:27">
      <c r="B4" s="11" t="s">
        <v>329</v>
      </c>
      <c r="C4" s="11" t="s">
        <v>331</v>
      </c>
      <c r="D4" s="2">
        <v>15.69</v>
      </c>
      <c r="E4" s="12" t="s">
        <v>327</v>
      </c>
      <c r="F4" s="15">
        <v>9.9379062783455874E-2</v>
      </c>
      <c r="G4" s="15">
        <f>F4 - Portfolio_Mgmt!$C$10</f>
        <v>1.237906278345588E-2</v>
      </c>
      <c r="H4" s="15">
        <f>F4 - Portfolio_Mgmt!$C$11</f>
        <v>8.0379062783455871E-2</v>
      </c>
      <c r="I4" s="15">
        <v>0</v>
      </c>
      <c r="J4" s="2">
        <v>7.2279420709207756</v>
      </c>
      <c r="K4" s="2">
        <v>17.692199895960851</v>
      </c>
      <c r="L4" s="74">
        <v>16.722424859968235</v>
      </c>
      <c r="M4" s="2">
        <v>9.7854619462725747</v>
      </c>
      <c r="N4" s="2">
        <v>16.202875796143875</v>
      </c>
      <c r="O4" s="4">
        <v>7.5017416523857142E-2</v>
      </c>
      <c r="P4" s="4">
        <v>6.0803059273422569E-2</v>
      </c>
      <c r="Q4" s="4">
        <v>0.2026552385945618</v>
      </c>
      <c r="R4" s="4">
        <v>0.16696657384597549</v>
      </c>
      <c r="S4" s="82">
        <v>0.62476296032712075</v>
      </c>
      <c r="T4" s="81">
        <v>1.9427325871638936</v>
      </c>
      <c r="U4" s="15">
        <v>6.0553888114002474E-2</v>
      </c>
      <c r="V4" s="79">
        <v>0.30099118789407647</v>
      </c>
      <c r="W4" s="74">
        <v>-0.43338518935931036</v>
      </c>
      <c r="X4" s="13" t="s">
        <v>332</v>
      </c>
      <c r="Y4" s="11" t="s">
        <v>136</v>
      </c>
      <c r="Z4" s="14">
        <v>45900</v>
      </c>
      <c r="AA4" s="16" t="s">
        <v>183</v>
      </c>
    </row>
    <row r="5" spans="1:27">
      <c r="B5" s="11" t="s">
        <v>341</v>
      </c>
      <c r="C5" s="11" t="s">
        <v>342</v>
      </c>
      <c r="D5" s="2">
        <v>10.23</v>
      </c>
      <c r="E5" s="12" t="s">
        <v>327</v>
      </c>
      <c r="F5" s="15">
        <v>7.9814229655164048E-2</v>
      </c>
      <c r="G5" s="15">
        <f>F5 - Portfolio_Mgmt!$C$10</f>
        <v>-7.1857703448359456E-3</v>
      </c>
      <c r="H5" s="15">
        <f>F5 - Portfolio_Mgmt!$C$11</f>
        <v>6.0814229655164045E-2</v>
      </c>
      <c r="I5" s="15">
        <v>0</v>
      </c>
      <c r="J5" s="2">
        <v>4.3792241541234382</v>
      </c>
      <c r="K5" s="2">
        <v>11.711712236864567</v>
      </c>
      <c r="L5" s="74">
        <v>10.363655818472994</v>
      </c>
      <c r="M5" s="2">
        <v>5.9845754378081768</v>
      </c>
      <c r="N5" s="2">
        <v>10.034835914511921</v>
      </c>
      <c r="O5" s="4">
        <v>3.4488210986028521E-2</v>
      </c>
      <c r="P5" s="4">
        <v>3.519061583577713E-2</v>
      </c>
      <c r="Q5" s="4">
        <v>3.888300021475994E-2</v>
      </c>
      <c r="R5" s="4">
        <v>7.6099586896956867E-2</v>
      </c>
      <c r="S5" s="82">
        <v>0.30413488760323032</v>
      </c>
      <c r="T5" s="81">
        <v>1.6800075256655485</v>
      </c>
      <c r="U5" s="15">
        <v>9.2587702159681276E-2</v>
      </c>
      <c r="V5" s="79">
        <v>2.0939079363495856</v>
      </c>
      <c r="W5" s="74">
        <v>2.6400638402357823</v>
      </c>
      <c r="X5" s="13" t="s">
        <v>343</v>
      </c>
      <c r="Y5" s="11" t="s">
        <v>171</v>
      </c>
      <c r="Z5" s="14">
        <v>45900</v>
      </c>
      <c r="AA5" s="16" t="s">
        <v>183</v>
      </c>
    </row>
    <row r="6" spans="1:27">
      <c r="B6" s="11" t="s">
        <v>344</v>
      </c>
      <c r="C6" s="11" t="s">
        <v>345</v>
      </c>
      <c r="D6" s="2">
        <v>5.51</v>
      </c>
      <c r="E6" s="12" t="s">
        <v>327</v>
      </c>
      <c r="F6" s="15">
        <v>6.7373654855692466E-2</v>
      </c>
      <c r="G6" s="15">
        <f>F6 - Portfolio_Mgmt!$C$10</f>
        <v>-1.9626345144307528E-2</v>
      </c>
      <c r="H6" s="15">
        <f>F6 - Portfolio_Mgmt!$C$11</f>
        <v>4.8373654855692463E-2</v>
      </c>
      <c r="I6" s="15">
        <v>0</v>
      </c>
      <c r="J6" s="2">
        <v>2.2777045899700505</v>
      </c>
      <c r="K6" s="2">
        <v>6.1203199055974453</v>
      </c>
      <c r="L6" s="74">
        <v>5.3970513031335168</v>
      </c>
      <c r="M6" s="2">
        <v>3.1142971805177257</v>
      </c>
      <c r="N6" s="2">
        <v>5.225618425612172</v>
      </c>
      <c r="O6" s="4">
        <v>4.1742304323312947E-2</v>
      </c>
      <c r="P6" s="4">
        <v>3.2831215970961884E-2</v>
      </c>
      <c r="Q6" s="4">
        <v>4.9029562887232557E-2</v>
      </c>
      <c r="R6" s="4">
        <v>5.0475725130946753E-2</v>
      </c>
      <c r="S6" s="82">
        <v>0.56944999111533989</v>
      </c>
      <c r="T6" s="81">
        <v>1.7057676125178334</v>
      </c>
      <c r="U6" s="15">
        <v>2.5694600492681609E-2</v>
      </c>
      <c r="V6" s="79">
        <v>0.53421555755411909</v>
      </c>
      <c r="W6" s="74">
        <v>-0.36074239393771346</v>
      </c>
      <c r="X6" s="13" t="s">
        <v>346</v>
      </c>
      <c r="Y6" s="11" t="s">
        <v>136</v>
      </c>
      <c r="Z6" s="14">
        <v>45900</v>
      </c>
      <c r="AA6" s="16" t="s">
        <v>183</v>
      </c>
    </row>
    <row r="7" spans="1:27">
      <c r="B7" s="11" t="s">
        <v>337</v>
      </c>
      <c r="C7" s="11" t="s">
        <v>338</v>
      </c>
      <c r="D7" s="2">
        <v>23.17</v>
      </c>
      <c r="E7" s="12" t="s">
        <v>327</v>
      </c>
      <c r="F7" s="15">
        <v>3.9766979058285523E-2</v>
      </c>
      <c r="G7" s="15">
        <f>F7 - Portfolio_Mgmt!$C$10</f>
        <v>-4.7233020941714471E-2</v>
      </c>
      <c r="H7" s="15">
        <f>F7 - Portfolio_Mgmt!$C$11</f>
        <v>2.0766979058285524E-2</v>
      </c>
      <c r="I7" s="15">
        <v>0</v>
      </c>
      <c r="J7" s="2">
        <v>8.9913803957882639</v>
      </c>
      <c r="K7" s="2">
        <v>23.068262059109994</v>
      </c>
      <c r="L7" s="74">
        <v>21.049942920535798</v>
      </c>
      <c r="M7" s="2">
        <v>12.232463386030947</v>
      </c>
      <c r="N7" s="2">
        <v>20.388648577016472</v>
      </c>
      <c r="O7" s="4">
        <v>5.7154118332939131E-2</v>
      </c>
      <c r="P7" s="4">
        <v>4.1173931808372893E-2</v>
      </c>
      <c r="Q7" s="4">
        <v>0.15648173464349882</v>
      </c>
      <c r="R7" s="4">
        <v>0.13375671427886937</v>
      </c>
      <c r="S7" s="82">
        <v>0.66633267926556194</v>
      </c>
      <c r="T7" s="81">
        <v>1.7557268340491488</v>
      </c>
      <c r="U7" s="15">
        <v>0.3857437197038544</v>
      </c>
      <c r="V7" s="79">
        <v>2.3913910654887354</v>
      </c>
      <c r="W7" s="74">
        <v>3.5427832354191278</v>
      </c>
      <c r="X7" s="13" t="s">
        <v>172</v>
      </c>
      <c r="Y7" s="11" t="s">
        <v>136</v>
      </c>
      <c r="Z7" s="14">
        <v>45900</v>
      </c>
      <c r="AA7" s="16" t="s">
        <v>183</v>
      </c>
    </row>
    <row r="8" spans="1:27">
      <c r="B8" s="11" t="s">
        <v>328</v>
      </c>
      <c r="C8" s="11" t="s">
        <v>349</v>
      </c>
      <c r="D8" s="2">
        <v>21.81</v>
      </c>
      <c r="E8" s="12" t="s">
        <v>327</v>
      </c>
      <c r="F8" s="15">
        <v>3.1386537260776004E-2</v>
      </c>
      <c r="G8" s="15">
        <f>F8 - Portfolio_Mgmt!$C$10</f>
        <v>-5.561346273922399E-2</v>
      </c>
      <c r="H8" s="15">
        <f>F8 - Portfolio_Mgmt!$C$11</f>
        <v>1.2386537260776005E-2</v>
      </c>
      <c r="I8" s="15">
        <v>0</v>
      </c>
      <c r="J8" s="2">
        <v>8.355749929850889</v>
      </c>
      <c r="K8" s="2">
        <v>20.647898129891665</v>
      </c>
      <c r="L8" s="74">
        <v>19.377301122078141</v>
      </c>
      <c r="M8" s="2">
        <v>11.323303654934758</v>
      </c>
      <c r="N8" s="2">
        <v>18.773924722806626</v>
      </c>
      <c r="O8" s="4">
        <v>0.25315755676239515</v>
      </c>
      <c r="P8" s="4">
        <v>4.8601558917927563E-2</v>
      </c>
      <c r="Q8" s="4">
        <v>0.17249144202566888</v>
      </c>
      <c r="R8" s="4">
        <v>0.71319953730480046</v>
      </c>
      <c r="S8" s="82">
        <v>2.0567862383133143E-2</v>
      </c>
      <c r="T8" s="81">
        <v>11.758917470801054</v>
      </c>
      <c r="U8" s="15" t="s">
        <v>189</v>
      </c>
      <c r="V8" s="79" t="s">
        <v>189</v>
      </c>
      <c r="W8" s="74">
        <v>-92.956751979911445</v>
      </c>
      <c r="X8" s="13" t="s">
        <v>350</v>
      </c>
      <c r="Y8" s="11" t="s">
        <v>136</v>
      </c>
      <c r="Z8" s="14">
        <v>45900</v>
      </c>
      <c r="AA8" s="16" t="s">
        <v>183</v>
      </c>
    </row>
    <row r="9" spans="1:27">
      <c r="B9" s="11" t="s">
        <v>347</v>
      </c>
      <c r="C9" s="11" t="s">
        <v>348</v>
      </c>
      <c r="D9" s="2">
        <v>20.48</v>
      </c>
      <c r="E9" s="12" t="s">
        <v>327</v>
      </c>
      <c r="F9" s="15">
        <v>2.0896877732927033E-2</v>
      </c>
      <c r="G9" s="15">
        <f>F9 - Portfolio_Mgmt!$C$10</f>
        <v>-6.6103122267072961E-2</v>
      </c>
      <c r="H9" s="15">
        <f>F9 - Portfolio_Mgmt!$C$11</f>
        <v>1.8968777329270332E-3</v>
      </c>
      <c r="I9" s="15">
        <v>0</v>
      </c>
      <c r="J9" s="2">
        <v>7.6314402727898702</v>
      </c>
      <c r="K9" s="2">
        <v>18.758424601634019</v>
      </c>
      <c r="L9" s="74">
        <v>17.674312632907508</v>
      </c>
      <c r="M9" s="2">
        <v>10.336151389000461</v>
      </c>
      <c r="N9" s="2">
        <v>17.124648599063175</v>
      </c>
      <c r="O9" s="4">
        <v>5.284398309830881E-2</v>
      </c>
      <c r="P9" s="4">
        <v>4.8339843750000007E-2</v>
      </c>
      <c r="Q9" s="4">
        <v>0.15161114820375229</v>
      </c>
      <c r="R9" s="4">
        <v>0.3932476207375345</v>
      </c>
      <c r="S9" s="82">
        <v>0.30212796693987309</v>
      </c>
      <c r="T9" s="81">
        <v>1.2760688428830085</v>
      </c>
      <c r="U9" s="15">
        <v>0.12757636177577109</v>
      </c>
      <c r="V9" s="79">
        <v>0.79731882844192148</v>
      </c>
      <c r="W9" s="74">
        <v>2.5713378719718771</v>
      </c>
      <c r="X9" s="13" t="s">
        <v>169</v>
      </c>
      <c r="Y9" s="11" t="s">
        <v>136</v>
      </c>
      <c r="Z9" s="14">
        <v>45900</v>
      </c>
      <c r="AA9" s="16" t="s">
        <v>183</v>
      </c>
    </row>
    <row r="10" spans="1:27">
      <c r="B10" s="11" t="s">
        <v>339</v>
      </c>
      <c r="C10" s="11" t="s">
        <v>340</v>
      </c>
      <c r="D10" s="2">
        <v>73.849999999999994</v>
      </c>
      <c r="E10" s="12" t="s">
        <v>327</v>
      </c>
      <c r="F10" s="15">
        <v>1.8777277751381494E-2</v>
      </c>
      <c r="G10" s="15">
        <f>F10 - Portfolio_Mgmt!$C$10</f>
        <v>-6.82227222486185E-2</v>
      </c>
      <c r="H10" s="15">
        <f>F10 - Portfolio_Mgmt!$C$11</f>
        <v>-2.2272224861850584E-4</v>
      </c>
      <c r="I10" s="15">
        <v>0</v>
      </c>
      <c r="J10" s="2">
        <v>27.666459398619363</v>
      </c>
      <c r="K10" s="2">
        <v>65.304739034115954</v>
      </c>
      <c r="L10" s="74">
        <v>63.44391872644448</v>
      </c>
      <c r="M10" s="2">
        <v>37.320034608154735</v>
      </c>
      <c r="N10" s="2">
        <v>61.489408566601746</v>
      </c>
      <c r="O10" s="4">
        <v>4.9009815507789489E-2</v>
      </c>
      <c r="P10" s="4">
        <v>5.6632362897765756E-2</v>
      </c>
      <c r="Q10" s="4">
        <v>0.14093304007128551</v>
      </c>
      <c r="R10" s="4">
        <v>0.29188024664664569</v>
      </c>
      <c r="S10" s="82">
        <v>0.37062368553626046</v>
      </c>
      <c r="T10" s="81">
        <v>1.3027915865121182</v>
      </c>
      <c r="U10" s="15">
        <v>7.7640983998987034E-4</v>
      </c>
      <c r="V10" s="79">
        <v>5.5975167910006915E-3</v>
      </c>
      <c r="W10" s="74">
        <v>15.284602440692964</v>
      </c>
      <c r="X10" s="16" t="s">
        <v>170</v>
      </c>
      <c r="Y10" s="11" t="s">
        <v>136</v>
      </c>
      <c r="Z10" s="14">
        <v>45900</v>
      </c>
      <c r="AA10" s="16" t="s">
        <v>184</v>
      </c>
    </row>
    <row r="11" spans="1:27">
      <c r="B11" s="11" t="s">
        <v>335</v>
      </c>
      <c r="C11" s="11" t="s">
        <v>336</v>
      </c>
      <c r="D11" s="2">
        <v>53.91</v>
      </c>
      <c r="E11" s="12" t="s">
        <v>327</v>
      </c>
      <c r="F11" s="15">
        <v>8.8070036260941009E-3</v>
      </c>
      <c r="G11" s="15">
        <f>F11 - Portfolio_Mgmt!$C$10</f>
        <v>-7.8192996373905893E-2</v>
      </c>
      <c r="H11" s="15">
        <f>F11 - Portfolio_Mgmt!$C$11</f>
        <v>-1.0192996373905899E-2</v>
      </c>
      <c r="I11" s="15">
        <v>0</v>
      </c>
      <c r="J11" s="2">
        <v>18.605220097652271</v>
      </c>
      <c r="K11" s="2">
        <v>52.623089120205158</v>
      </c>
      <c r="L11" s="74">
        <v>44.699984953439703</v>
      </c>
      <c r="M11" s="2">
        <v>25.586749713338708</v>
      </c>
      <c r="N11" s="2">
        <v>43.262452230628902</v>
      </c>
      <c r="O11" s="4">
        <v>4.0122042488290828E-2</v>
      </c>
      <c r="P11" s="4">
        <v>1.6694490818030053E-2</v>
      </c>
      <c r="Q11" s="4">
        <v>0.14549955248916155</v>
      </c>
      <c r="R11" s="4">
        <v>0.22405670341828193</v>
      </c>
      <c r="S11" s="82">
        <v>0.42456310191863128</v>
      </c>
      <c r="T11" s="81">
        <v>1.5295422156001708</v>
      </c>
      <c r="U11" s="15">
        <v>5.3145118525683231E-2</v>
      </c>
      <c r="V11" s="79">
        <v>0.36488435676778314</v>
      </c>
      <c r="W11" s="74">
        <v>5.6082458208015922</v>
      </c>
      <c r="X11" s="13" t="s">
        <v>332</v>
      </c>
      <c r="Y11" s="11" t="s">
        <v>136</v>
      </c>
      <c r="Z11" s="14">
        <v>45900</v>
      </c>
      <c r="AA11" s="16" t="s">
        <v>183</v>
      </c>
    </row>
    <row r="12" spans="1:27">
      <c r="B12" s="11" t="s">
        <v>351</v>
      </c>
      <c r="C12" s="11" t="s">
        <v>352</v>
      </c>
      <c r="D12" s="2">
        <v>14.83</v>
      </c>
      <c r="E12" s="12" t="s">
        <v>327</v>
      </c>
      <c r="F12" s="15">
        <v>-0.13370676797399894</v>
      </c>
      <c r="G12" s="15">
        <f>F12 - Portfolio_Mgmt!$C$10</f>
        <v>-0.22070676797399894</v>
      </c>
      <c r="H12" s="15">
        <f>F12 - Portfolio_Mgmt!$C$11</f>
        <v>-0.15270676797399893</v>
      </c>
      <c r="I12" s="15">
        <v>0</v>
      </c>
      <c r="J12" s="2">
        <v>3.3910941772119543</v>
      </c>
      <c r="K12" s="2">
        <v>8.6992744860027944</v>
      </c>
      <c r="L12" s="74">
        <v>7.9387622109270746</v>
      </c>
      <c r="M12" s="2">
        <v>4.6134157878938522</v>
      </c>
      <c r="N12" s="2">
        <v>7.6893682545464594</v>
      </c>
      <c r="O12" s="4">
        <v>2.9915048545616447E-2</v>
      </c>
      <c r="P12" s="4">
        <v>2.4275118004045856E-2</v>
      </c>
      <c r="Q12" s="4">
        <v>7.1587241945726146E-2</v>
      </c>
      <c r="R12" s="4">
        <v>0.12235120428336442</v>
      </c>
      <c r="S12" s="82">
        <v>0.50157874313934503</v>
      </c>
      <c r="T12" s="81">
        <v>1.1665094444773738</v>
      </c>
      <c r="U12" s="15">
        <v>4.1494671576720196E-2</v>
      </c>
      <c r="V12" s="79">
        <v>0.57353573509526667</v>
      </c>
      <c r="W12" s="74">
        <v>3.275077370273292</v>
      </c>
      <c r="X12" s="13" t="s">
        <v>332</v>
      </c>
      <c r="Y12" s="11" t="s">
        <v>136</v>
      </c>
      <c r="Z12" s="14">
        <v>45900</v>
      </c>
      <c r="AA12" s="16" t="s">
        <v>184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4.2199999999999994E-2</v>
      </c>
      <c r="D4" s="34">
        <v>7.4999999999999997E-2</v>
      </c>
      <c r="E4" s="35">
        <f>D4-C4</f>
        <v>3.2800000000000003E-2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  <c r="D16" s="115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29"/>
  <sheetViews>
    <sheetView showGridLines="0" zoomScaleNormal="100" workbookViewId="0">
      <selection activeCell="K16" sqref="K16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152</v>
      </c>
    </row>
    <row r="2" spans="1:12" ht="29.75" customHeight="1">
      <c r="B2" s="54" t="s">
        <v>2</v>
      </c>
      <c r="C2" s="54" t="s">
        <v>155</v>
      </c>
      <c r="D2" s="54" t="s">
        <v>154</v>
      </c>
      <c r="E2" s="54" t="s">
        <v>153</v>
      </c>
      <c r="F2" s="54" t="s">
        <v>330</v>
      </c>
      <c r="G2" s="54" t="s">
        <v>161</v>
      </c>
      <c r="H2" s="54" t="s">
        <v>147</v>
      </c>
      <c r="I2" s="54" t="s">
        <v>165</v>
      </c>
      <c r="J2" s="54" t="s">
        <v>186</v>
      </c>
      <c r="K2" s="54" t="s">
        <v>187</v>
      </c>
      <c r="L2" s="54" t="s">
        <v>188</v>
      </c>
    </row>
    <row r="3" spans="1:12">
      <c r="B3" s="65" t="s">
        <v>26</v>
      </c>
      <c r="C3" s="63" t="s">
        <v>156</v>
      </c>
      <c r="D3" s="62" t="s">
        <v>327</v>
      </c>
      <c r="E3" s="64" t="s">
        <v>156</v>
      </c>
      <c r="F3" s="59">
        <v>170000</v>
      </c>
      <c r="G3" s="61">
        <f>F3/$F$10</f>
        <v>0.54160825793296796</v>
      </c>
      <c r="H3" s="78">
        <f>Portfolio_Mgmt!E66</f>
        <v>0.45</v>
      </c>
      <c r="I3" s="83" t="s">
        <v>189</v>
      </c>
      <c r="J3" s="83" t="s">
        <v>189</v>
      </c>
      <c r="K3" s="83" t="s">
        <v>189</v>
      </c>
      <c r="L3" s="83" t="s">
        <v>189</v>
      </c>
    </row>
    <row r="4" spans="1:12">
      <c r="B4" s="66" t="s">
        <v>328</v>
      </c>
      <c r="C4" s="63">
        <f>VLOOKUP(B4,Opportunities!B$3:E$30,3,FALSE)</f>
        <v>21.81</v>
      </c>
      <c r="D4" s="62" t="str">
        <f>VLOOKUP(B4,Opportunities!B$3:E$30,4,FALSE)</f>
        <v>CNY</v>
      </c>
      <c r="E4" s="59">
        <v>3000</v>
      </c>
      <c r="F4" s="64">
        <f>E4*C4</f>
        <v>65429.999999999993</v>
      </c>
      <c r="G4" s="61">
        <f>F4/$F$10</f>
        <v>0.20845546068561233</v>
      </c>
      <c r="H4" s="61">
        <f>VLOOKUP(B4,Opportunities!B$3:I$30,8,FALSE)</f>
        <v>0</v>
      </c>
      <c r="I4" s="84">
        <f>VLOOKUP(B4,Opportunities!B$3:N$30,12,FALSE)</f>
        <v>11.323303654934758</v>
      </c>
      <c r="J4" s="84">
        <f>VLOOKUP(B4,Opportunities!B$3:N$30,9,FALSE)</f>
        <v>8.355749929850889</v>
      </c>
      <c r="K4" s="84">
        <f>VLOOKUP(B4,Opportunities!B$3:N$30,11,FALSE)</f>
        <v>19.377301122078141</v>
      </c>
      <c r="L4" s="84">
        <f>VLOOKUP(B4,Opportunities!B$3:N$30,13,FALSE)</f>
        <v>18.773924722806626</v>
      </c>
    </row>
    <row r="5" spans="1:12">
      <c r="B5" s="66" t="s">
        <v>329</v>
      </c>
      <c r="C5" s="63">
        <f>VLOOKUP(B5,Opportunities!B$3:E$30,3,FALSE)</f>
        <v>15.69</v>
      </c>
      <c r="D5" s="62" t="str">
        <f>VLOOKUP(B5,Opportunities!B$3:E$30,4,FALSE)</f>
        <v>CNY</v>
      </c>
      <c r="E5" s="59">
        <v>5000</v>
      </c>
      <c r="F5" s="64">
        <f>C5*E5</f>
        <v>78450</v>
      </c>
      <c r="G5" s="61">
        <f>F5/$F$10</f>
        <v>0.24993628138141966</v>
      </c>
      <c r="H5" s="61">
        <f>VLOOKUP(B5,Opportunities!B$3:I$30,8,FALSE)</f>
        <v>0</v>
      </c>
      <c r="I5" s="84">
        <f>VLOOKUP(B5,Opportunities!B$3:N$30,12,FALSE)</f>
        <v>9.7854619462725747</v>
      </c>
      <c r="J5" s="84">
        <f>VLOOKUP(B5,Opportunities!B$3:N$30,9,FALSE)</f>
        <v>7.2279420709207756</v>
      </c>
      <c r="K5" s="84">
        <f>VLOOKUP(B5,Opportunities!B$3:N$30,11,FALSE)</f>
        <v>16.722424859968235</v>
      </c>
      <c r="L5" s="84">
        <f>VLOOKUP(B5,Opportunities!B$3:N$30,13,FALSE)</f>
        <v>16.202875796143875</v>
      </c>
    </row>
    <row r="6" spans="1:12">
      <c r="B6" s="66"/>
      <c r="C6" s="63"/>
      <c r="D6" s="62"/>
      <c r="E6" s="59"/>
      <c r="F6" s="64"/>
      <c r="G6" s="61"/>
      <c r="H6" s="61"/>
      <c r="I6" s="84"/>
      <c r="J6" s="84"/>
      <c r="K6" s="84"/>
      <c r="L6" s="84"/>
    </row>
    <row r="7" spans="1:12">
      <c r="B7" s="66"/>
      <c r="C7" s="63"/>
      <c r="D7" s="62"/>
      <c r="E7" s="59"/>
      <c r="F7" s="64"/>
      <c r="G7" s="61"/>
      <c r="H7" s="61"/>
      <c r="I7" s="84"/>
      <c r="J7" s="84"/>
      <c r="K7" s="84"/>
      <c r="L7" s="84"/>
    </row>
    <row r="8" spans="1:12">
      <c r="B8" s="66"/>
      <c r="C8" s="63"/>
      <c r="D8" s="62"/>
      <c r="E8" s="59"/>
      <c r="F8" s="64"/>
      <c r="G8" s="61"/>
      <c r="H8" s="61"/>
      <c r="I8" s="84"/>
      <c r="J8" s="84"/>
      <c r="K8" s="84"/>
      <c r="L8" s="84"/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160</v>
      </c>
      <c r="F10" s="69">
        <f>SUM(F3:F8)</f>
        <v>313880</v>
      </c>
      <c r="G10" s="70">
        <f>SUM(G3:G8)</f>
        <v>1</v>
      </c>
      <c r="H10" s="76">
        <f>SUM(H3:H8)</f>
        <v>0.45</v>
      </c>
      <c r="I10" s="85" t="s">
        <v>189</v>
      </c>
      <c r="J10" s="85" t="s">
        <v>189</v>
      </c>
      <c r="K10" s="85" t="s">
        <v>189</v>
      </c>
      <c r="L10" s="85" t="s">
        <v>189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158</v>
      </c>
    </row>
    <row r="13" spans="1:12">
      <c r="B13" s="66"/>
      <c r="C13" s="63"/>
      <c r="D13" s="62"/>
      <c r="E13" s="59"/>
      <c r="F13" s="64"/>
      <c r="G13" s="61"/>
      <c r="H13" s="61"/>
      <c r="I13" s="84"/>
      <c r="J13" s="84"/>
      <c r="K13" s="84"/>
      <c r="L13" s="84"/>
    </row>
    <row r="14" spans="1:12">
      <c r="B14" s="66"/>
      <c r="C14" s="63"/>
      <c r="D14" s="62"/>
      <c r="E14" s="59"/>
      <c r="F14" s="64"/>
      <c r="G14" s="61"/>
      <c r="H14" s="61"/>
      <c r="I14" s="84"/>
      <c r="J14" s="84"/>
      <c r="K14" s="84"/>
      <c r="L14" s="84"/>
    </row>
    <row r="15" spans="1:12">
      <c r="B15" s="66"/>
      <c r="C15" s="63"/>
      <c r="D15" s="62"/>
      <c r="E15" s="59"/>
      <c r="F15" s="64"/>
      <c r="G15" s="61"/>
      <c r="H15" s="61"/>
      <c r="I15" s="84"/>
      <c r="J15" s="84"/>
      <c r="K15" s="84"/>
      <c r="L15" s="84"/>
    </row>
    <row r="16" spans="1:12">
      <c r="B16" s="66"/>
      <c r="C16" s="63"/>
      <c r="D16" s="62"/>
      <c r="E16" s="59"/>
      <c r="F16" s="64"/>
      <c r="G16" s="61"/>
      <c r="H16" s="61"/>
      <c r="I16" s="84"/>
      <c r="J16" s="84"/>
      <c r="K16" s="84"/>
      <c r="L16" s="84"/>
    </row>
    <row r="17" spans="2:12">
      <c r="G17" s="75"/>
      <c r="H17" s="75"/>
    </row>
    <row r="18" spans="2:12" ht="13.15">
      <c r="B18" s="71" t="s">
        <v>159</v>
      </c>
      <c r="C18" s="72" t="s">
        <v>156</v>
      </c>
      <c r="D18" s="73" t="str">
        <f>D3</f>
        <v>CNY</v>
      </c>
      <c r="E18" s="72" t="s">
        <v>156</v>
      </c>
      <c r="F18" s="69">
        <f>F3+SUM(F13:F16)</f>
        <v>170000</v>
      </c>
      <c r="G18" s="76">
        <f t="shared" ref="G18" si="0">F18/$F$10</f>
        <v>0.54160825793296796</v>
      </c>
      <c r="H18" s="76">
        <f>Portfolio_Mgmt!E66</f>
        <v>0.45</v>
      </c>
      <c r="I18" s="85" t="s">
        <v>189</v>
      </c>
      <c r="J18" s="85" t="s">
        <v>189</v>
      </c>
      <c r="K18" s="85" t="s">
        <v>189</v>
      </c>
      <c r="L18" s="85" t="s">
        <v>189</v>
      </c>
    </row>
    <row r="24" spans="2:12">
      <c r="B24" s="55"/>
      <c r="C24" s="58"/>
      <c r="D24" s="55"/>
      <c r="E24" s="59"/>
      <c r="F24" s="59"/>
    </row>
    <row r="25" spans="2:12">
      <c r="B25" s="55"/>
      <c r="C25" s="58"/>
      <c r="D25" s="55"/>
      <c r="E25" s="59"/>
      <c r="F25" s="59"/>
    </row>
    <row r="26" spans="2:12">
      <c r="B26" s="55"/>
      <c r="C26" s="58"/>
      <c r="D26" s="55"/>
      <c r="E26" s="59"/>
      <c r="F26" s="59"/>
    </row>
    <row r="27" spans="2:12">
      <c r="B27" s="55"/>
      <c r="C27" s="58"/>
      <c r="D27" s="55"/>
      <c r="E27" s="59"/>
      <c r="F27" s="59"/>
    </row>
    <row r="28" spans="2:12">
      <c r="B28" s="55"/>
      <c r="C28" s="58"/>
      <c r="D28" s="55"/>
      <c r="E28" s="59"/>
      <c r="F28" s="59"/>
    </row>
    <row r="29" spans="2:12">
      <c r="B29" s="55"/>
      <c r="C29" s="56"/>
      <c r="D29" s="55"/>
      <c r="E29" s="57"/>
      <c r="F29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26" t="s">
        <v>88</v>
      </c>
      <c r="C3" s="126"/>
      <c r="D3" s="126"/>
    </row>
    <row r="5" spans="1:4">
      <c r="B5" s="127" t="s">
        <v>90</v>
      </c>
      <c r="C5" s="128"/>
      <c r="D5" s="128"/>
    </row>
    <row r="6" spans="1:4">
      <c r="B6" s="127" t="s">
        <v>91</v>
      </c>
      <c r="C6" s="128"/>
      <c r="D6" s="128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26" t="s">
        <v>93</v>
      </c>
      <c r="C11" s="126"/>
      <c r="D11" s="126"/>
    </row>
    <row r="12" spans="1:4">
      <c r="B12" s="126" t="s">
        <v>94</v>
      </c>
      <c r="C12" s="126"/>
      <c r="D12" s="126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26" t="s">
        <v>106</v>
      </c>
      <c r="C28" s="126"/>
      <c r="D28" s="126"/>
    </row>
    <row r="29" spans="1:4">
      <c r="B29" s="126" t="s">
        <v>107</v>
      </c>
      <c r="C29" s="126"/>
      <c r="D29" s="126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2025-09-01T09:05:16Z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