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F9C0D48-9522-4985-90E5-C7155D00BC96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<sst xmlns="http://schemas.openxmlformats.org/spreadsheetml/2006/main" count="408" uniqueCount="359">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</sst>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103.84</v>
      </c>
      <c r="E3" s="12" t="s">
        <v>350</v>
      </c>
      <c r="F3" s="15">
        <v>0.22187735344450002</v>
      </c>
      <c r="G3" s="15">
        <v>4.6844568160450455E-2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8.6234062108904247E-2</v>
      </c>
      <c r="N3" s="4">
        <v>3.979969183359014E-2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102.45</v>
      </c>
      <c r="E4" s="12" t="s">
        <v>350</v>
      </c>
      <c r="F4" s="15">
        <v>0.16195140985561304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7.4942150714021299E-2</v>
      </c>
      <c r="N4" s="4">
        <v>2.7838945827232797E-2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16.8</v>
      </c>
      <c r="E5" s="12" t="s">
        <v>350</v>
      </c>
      <c r="F5" s="15">
        <v>0.15455019719783153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8.3114303142366189E-2</v>
      </c>
      <c r="N5" s="4">
        <v>6.3095238095238093E-2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4.3400000000000001E-2</v>
      </c>
      <c r="D4" s="34">
        <v>6.7500000000000004E-2</v>
      </c>
      <c r="E4" s="35">
        <f>D4-C4</f>
        <v>2.4100000000000003E-2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103.84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4.6844568160450455E-2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0.34684456816045045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103.84</v>
      </c>
      <c r="E9" s="59" t="str">
        <f>VLOOKUP(B9,Opportunities!B$3:E$30,4,FALSE)</f>
        <v>CNY</v>
      </c>
      <c r="F9" s="57">
        <v>200</v>
      </c>
      <c r="G9" s="61">
        <f>-D9*F9</f>
        <v>-20768</v>
      </c>
      <c r="H9" s="58">
        <f>-G9/$G$6</f>
        <v>4.1535999999999997E-2</v>
      </c>
      <c r="I9" s="58">
        <f>VLOOKUP(B9,Opportunities!B$3:G$30,6,FALSE)</f>
        <v>4.6844568160450455E-2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479232</v>
      </c>
      <c r="H11" s="73">
        <f t="shared" ref="H11" si="0">G11/$G$6</f>
        <v>0.95846399999999998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2026-03-25T08:56:09Z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