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68372A9-14A3-4949-99F7-002ED12198EA}"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<sst xmlns="http://schemas.openxmlformats.org/spreadsheetml/2006/main" count="334" uniqueCount="276">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</sst>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0.13212475972010163</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v>
      </c>
      <c r="E3" s="12" t="s">
        <v>232</v>
      </c>
      <c r="F3" s="15">
        <v>0.21572730031339504</v>
      </c>
      <c r="G3" s="15">
        <f>F3 - Portfolio_Mgmt!$C$10</f>
        <v>0.12872730031339505</v>
      </c>
      <c r="H3" s="15">
        <f>F3 - Portfolio_Mgmt!$C$11</f>
        <v>0.19672730031339505</v>
      </c>
      <c r="I3" s="15">
        <v>0.32007017850652086</v>
      </c>
      <c r="J3" s="2">
        <v>12.351475984935202</v>
      </c>
      <c r="K3" s="2">
        <v>25.584938697660867</v>
      </c>
      <c r="L3" s="85">
        <v>24.031661285541809</v>
      </c>
      <c r="M3" s="2">
        <v>17.349133904345301</v>
      </c>
      <c r="N3" s="2">
        <v>22.348119329440497</v>
      </c>
      <c r="O3" s="4">
        <v>8.3927123374092666E-2</v>
      </c>
      <c r="P3" s="4">
        <v>5.8888888888888893E-2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57.71</v>
      </c>
      <c r="E4" s="12" t="s">
        <v>232</v>
      </c>
      <c r="F4" s="15">
        <v>0.16094175993162163</v>
      </c>
      <c r="G4" s="15">
        <f>F4 - Portfolio_Mgmt!$C$10</f>
        <v>7.3941759931621637E-2</v>
      </c>
      <c r="H4" s="15">
        <f>F4 - Portfolio_Mgmt!$C$11</f>
        <v>0.14194175993162164</v>
      </c>
      <c r="I4" s="15">
        <v>0.23878599396383032</v>
      </c>
      <c r="J4" s="2">
        <v>38.338860273768745</v>
      </c>
      <c r="K4" s="2">
        <v>82.72003076740333</v>
      </c>
      <c r="L4" s="85">
        <v>75.227038736174251</v>
      </c>
      <c r="M4" s="2">
        <v>54.104773980226682</v>
      </c>
      <c r="N4" s="2">
        <v>69.902328891344681</v>
      </c>
      <c r="O4" s="4">
        <v>7.5186641871858778E-2</v>
      </c>
      <c r="P4" s="4">
        <v>3.742852191994455E-2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46.46</v>
      </c>
      <c r="E5" s="12" t="s">
        <v>232</v>
      </c>
      <c r="F5" s="15">
        <v>0.13423361415165758</v>
      </c>
      <c r="G5" s="15">
        <f>F5 - Portfolio_Mgmt!$C$10</f>
        <v>4.7233614151657582E-2</v>
      </c>
      <c r="H5" s="15">
        <f>F5 - Portfolio_Mgmt!$C$11</f>
        <v>0.11523361415165757</v>
      </c>
      <c r="I5" s="15">
        <v>0.14114382752964882</v>
      </c>
      <c r="J5" s="2">
        <v>28.630686160261423</v>
      </c>
      <c r="K5" s="2">
        <v>64.714648137522119</v>
      </c>
      <c r="L5" s="85">
        <v>56.741377225429467</v>
      </c>
      <c r="M5" s="2">
        <v>40.629719578204039</v>
      </c>
      <c r="N5" s="2">
        <v>52.676874362859721</v>
      </c>
      <c r="O5" s="4">
        <v>4.655573203925438E-2</v>
      </c>
      <c r="P5" s="4">
        <v>1.9371502367628066E-2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5.29</v>
      </c>
      <c r="E6" s="12" t="s">
        <v>232</v>
      </c>
      <c r="F6" s="15">
        <v>0.12862338772690407</v>
      </c>
      <c r="G6" s="15">
        <f>F6 - Portfolio_Mgmt!$C$10</f>
        <v>4.1623387726904076E-2</v>
      </c>
      <c r="H6" s="15">
        <f>F6 - Portfolio_Mgmt!$C$11</f>
        <v>0.10962338772690407</v>
      </c>
      <c r="I6" s="15">
        <v>0</v>
      </c>
      <c r="J6" s="2">
        <v>3.2367222690014161</v>
      </c>
      <c r="K6" s="2">
        <v>6.9895661568976033</v>
      </c>
      <c r="L6" s="85">
        <v>6.3521223870188166</v>
      </c>
      <c r="M6" s="2">
        <v>4.5682049056603367</v>
      </c>
      <c r="N6" s="2">
        <v>5.902408832447132</v>
      </c>
      <c r="O6" s="4">
        <v>4.3478279172297601E-2</v>
      </c>
      <c r="P6" s="4">
        <v>3.4196597353497157E-2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66.77</v>
      </c>
      <c r="E7" s="12" t="s">
        <v>232</v>
      </c>
      <c r="F7" s="15">
        <v>0.11191034793867782</v>
      </c>
      <c r="G7" s="15">
        <f>F7 - Portfolio_Mgmt!$C$10</f>
        <v>2.4910347938677829E-2</v>
      </c>
      <c r="H7" s="15">
        <f>F7 - Portfolio_Mgmt!$C$11</f>
        <v>9.291034793867782E-2</v>
      </c>
      <c r="I7" s="15">
        <v>0</v>
      </c>
      <c r="J7" s="2">
        <v>39.764265539137753</v>
      </c>
      <c r="K7" s="2">
        <v>77.785604602754844</v>
      </c>
      <c r="L7" s="85">
        <v>76.489631443032536</v>
      </c>
      <c r="M7" s="2">
        <v>55.502548055026942</v>
      </c>
      <c r="N7" s="2">
        <v>71.206942663777582</v>
      </c>
      <c r="O7" s="4">
        <v>5.4206602894267687E-2</v>
      </c>
      <c r="P7" s="4">
        <v>6.2637412011382371E-2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10.79</v>
      </c>
      <c r="E8" s="12" t="s">
        <v>232</v>
      </c>
      <c r="F8" s="15">
        <v>9.3260656320312663E-2</v>
      </c>
      <c r="G8" s="15">
        <f>F8 - Portfolio_Mgmt!$C$10</f>
        <v>6.2606563203126686E-3</v>
      </c>
      <c r="H8" s="15">
        <f>F8 - Portfolio_Mgmt!$C$11</f>
        <v>7.426065632031266E-2</v>
      </c>
      <c r="I8" s="15">
        <v>0</v>
      </c>
      <c r="J8" s="2">
        <v>6.0252106849259528</v>
      </c>
      <c r="K8" s="2">
        <v>12.91528670453229</v>
      </c>
      <c r="L8" s="85">
        <v>11.80620806482221</v>
      </c>
      <c r="M8" s="2">
        <v>8.4964380432942921</v>
      </c>
      <c r="N8" s="2">
        <v>10.971932453508362</v>
      </c>
      <c r="O8" s="4">
        <v>3.269827603216606E-2</v>
      </c>
      <c r="P8" s="4">
        <v>3.3364226135310482E-2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23.71</v>
      </c>
      <c r="E9" s="12" t="s">
        <v>232</v>
      </c>
      <c r="F9" s="15">
        <v>9.2069270412264093E-2</v>
      </c>
      <c r="G9" s="15">
        <f>F9 - Portfolio_Mgmt!$C$10</f>
        <v>5.0692704122640986E-3</v>
      </c>
      <c r="H9" s="15">
        <f>F9 - Portfolio_Mgmt!$C$11</f>
        <v>7.306927041226409E-2</v>
      </c>
      <c r="I9" s="15">
        <v>0</v>
      </c>
      <c r="J9" s="2">
        <v>13.256008806508849</v>
      </c>
      <c r="K9" s="2">
        <v>27.746753827145845</v>
      </c>
      <c r="L9" s="85">
        <v>25.846762954608369</v>
      </c>
      <c r="M9" s="2">
        <v>18.641740581682459</v>
      </c>
      <c r="N9" s="2">
        <v>24.031296839608316</v>
      </c>
      <c r="O9" s="4">
        <v>5.5852421837798392E-2</v>
      </c>
      <c r="P9" s="4">
        <v>4.0236187262758329E-2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23.98</v>
      </c>
      <c r="E10" s="12" t="s">
        <v>232</v>
      </c>
      <c r="F10" s="15">
        <v>8.1505286463246396E-2</v>
      </c>
      <c r="G10" s="15">
        <f>F10 - Portfolio_Mgmt!$C$10</f>
        <v>-5.4947135367535982E-3</v>
      </c>
      <c r="H10" s="15">
        <f>F10 - Portfolio_Mgmt!$C$11</f>
        <v>6.2505286463246393E-2</v>
      </c>
      <c r="I10" s="15">
        <v>0</v>
      </c>
      <c r="J10" s="2">
        <v>13.079690025486418</v>
      </c>
      <c r="K10" s="2">
        <v>26.888151196428591</v>
      </c>
      <c r="L10" s="85">
        <v>25.409202896038835</v>
      </c>
      <c r="M10" s="2">
        <v>18.356272555350223</v>
      </c>
      <c r="N10" s="2">
        <v>23.632551844105855</v>
      </c>
      <c r="O10" s="4">
        <v>0.23024880371091902</v>
      </c>
      <c r="P10" s="4">
        <v>4.4203502919099254E-2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22.1</v>
      </c>
      <c r="E11" s="12" t="s">
        <v>232</v>
      </c>
      <c r="F11" s="15">
        <v>5.1979747974227886E-2</v>
      </c>
      <c r="G11" s="15">
        <f>F11 - Portfolio_Mgmt!$C$10</f>
        <v>-3.5020252025772108E-2</v>
      </c>
      <c r="H11" s="15">
        <f>F11 - Portfolio_Mgmt!$C$11</f>
        <v>3.2979747974227883E-2</v>
      </c>
      <c r="I11" s="15">
        <v>0</v>
      </c>
      <c r="J11" s="2">
        <v>11.165268338950117</v>
      </c>
      <c r="K11" s="2">
        <v>22.601441956902718</v>
      </c>
      <c r="L11" s="85">
        <v>21.622888321317863</v>
      </c>
      <c r="M11" s="2">
        <v>15.642626483276317</v>
      </c>
      <c r="N11" s="2">
        <v>20.116801024749044</v>
      </c>
      <c r="O11" s="4">
        <v>4.8970351758070782E-2</v>
      </c>
      <c r="P11" s="4">
        <v>4.4796380090497738E-2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14.15</v>
      </c>
      <c r="E12" s="12" t="s">
        <v>232</v>
      </c>
      <c r="F12" s="15">
        <v>-7.3489748596123561E-2</v>
      </c>
      <c r="G12" s="15">
        <f>F12 - Portfolio_Mgmt!$C$10</f>
        <v>-0.16048974859612355</v>
      </c>
      <c r="H12" s="15">
        <f>F12 - Portfolio_Mgmt!$C$11</f>
        <v>-9.2489748596123564E-2</v>
      </c>
      <c r="I12" s="15">
        <v>0</v>
      </c>
      <c r="J12" s="2">
        <v>4.9106169541815241</v>
      </c>
      <c r="K12" s="2">
        <v>10.251430255232371</v>
      </c>
      <c r="L12" s="85">
        <v>9.5695828227600401</v>
      </c>
      <c r="M12" s="2">
        <v>6.9036475281066911</v>
      </c>
      <c r="N12" s="2">
        <v>8.8978683003699235</v>
      </c>
      <c r="O12" s="4">
        <v>3.1352662185971159E-2</v>
      </c>
      <c r="P12" s="4">
        <v>2.5441696113074206E-2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4.4900000000000002E-2</v>
      </c>
      <c r="D4" s="34">
        <v>7.4999999999999997E-2</v>
      </c>
      <c r="E4" s="35">
        <f>D4-C4</f>
        <v>3.0099999999999995E-2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0.52641357527714128</v>
      </c>
      <c r="H3" s="89">
        <f>Portfolio_Mgmt!E61</f>
        <v>0.3</v>
      </c>
      <c r="I3" s="96" t="s">
        <v>265</v>
      </c>
      <c r="J3" s="96" t="s">
        <v>265</v>
      </c>
      <c r="K3" s="96" t="s">
        <v>265</v>
      </c>
      <c r="L3" s="96" t="s">
        <v>265</v>
      </c>
    </row>
    <row r="4" spans="1:12">
      <c r="B4" s="77" t="s">
        <v>239</v>
      </c>
      <c r="C4" s="74">
        <f>VLOOKUP(B4,Opportunities!B$3:E$30,3,FALSE)</f>
        <v>23.98</v>
      </c>
      <c r="D4" s="73" t="str">
        <f>VLOOKUP(B4,Opportunities!B$3:E$30,4,FALSE)</f>
        <v>CNY</v>
      </c>
      <c r="E4" s="70">
        <v>3000</v>
      </c>
      <c r="F4" s="75">
        <f>C4*E4</f>
        <v>71940</v>
      </c>
      <c r="G4" s="72">
        <f t="shared" si="0"/>
        <v>0.22276583885551496</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16.2</v>
      </c>
      <c r="D5" s="73" t="str">
        <f>VLOOKUP(B5,Opportunities!B$3:E$30,4,FALSE)</f>
        <v>CNY</v>
      </c>
      <c r="E5" s="70">
        <v>5000</v>
      </c>
      <c r="F5" s="75">
        <f>C5*E5</f>
        <v>81000</v>
      </c>
      <c r="G5" s="72">
        <f t="shared" ref="G5" si="1">F5/$F$11</f>
        <v>0.25082058586734379</v>
      </c>
      <c r="H5" s="72">
        <f>VLOOKUP(B5,Opportunities!B$3:I$30,8,FALSE)</f>
        <v>0.32007017850652086</v>
      </c>
      <c r="I5" s="98">
        <f>VLOOKUP(B5,Opportunities!B$3:N$30,12,FALSE)</f>
        <v>17.349133904345301</v>
      </c>
      <c r="J5" s="98">
        <f>VLOOKUP(B5,Opportunities!B$3:N$30,9,FALSE)</f>
        <v>12.351475984935202</v>
      </c>
      <c r="K5" s="98">
        <f>VLOOKUP(B5,Opportunities!B$3:N$30,11,FALSE)</f>
        <v>24.031661285541809</v>
      </c>
      <c r="L5" s="98">
        <f>VLOOKUP(B5,Opportunities!B$3:N$30,13,FALSE)</f>
        <v>22.348119329440497</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322940</v>
      </c>
      <c r="G11" s="81">
        <f>SUM(G3:G9)</f>
        <v>1</v>
      </c>
      <c r="H11" s="87">
        <f>SUM(H3:H9)</f>
        <v>0.6200701785065208</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23.98</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46.46</v>
      </c>
      <c r="D15" s="73" t="str">
        <f>VLOOKUP(B15,Opportunities!B$3:E$30,4,FALSE)</f>
        <v>CNY</v>
      </c>
      <c r="E15" s="70">
        <v>0</v>
      </c>
      <c r="F15" s="75">
        <f>-C15*E15</f>
        <v>0</v>
      </c>
      <c r="G15" s="72">
        <f>-F15/$F$11</f>
        <v>0</v>
      </c>
      <c r="H15" s="72">
        <f>VLOOKUP(B15,Opportunities!B$3:I$30,8,FALSE)</f>
        <v>0.14114382752964882</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16.2</v>
      </c>
      <c r="D16" s="73" t="str">
        <f>VLOOKUP(B16,Opportunities!B$3:E$30,4,FALSE)</f>
        <v>CNY</v>
      </c>
      <c r="E16" s="70">
        <v>1000</v>
      </c>
      <c r="F16" s="75">
        <f>-C16*E16</f>
        <v>-16200</v>
      </c>
      <c r="G16" s="72">
        <f>-F16/$F$11</f>
        <v>5.0164117173468754E-2</v>
      </c>
      <c r="H16" s="72">
        <f>VLOOKUP(B16,Opportunities!B$3:I$30,8,FALSE)</f>
        <v>0.32007017850652086</v>
      </c>
      <c r="I16" s="98">
        <f>VLOOKUP(B16,Opportunities!B$3:N$30,12,FALSE)</f>
        <v>17.349133904345301</v>
      </c>
      <c r="J16" s="98">
        <f>VLOOKUP(B16,Opportunities!B$3:N$30,9,FALSE)</f>
        <v>12.351475984935202</v>
      </c>
      <c r="K16" s="98">
        <f>VLOOKUP(B16,Opportunities!B$3:N$30,11,FALSE)</f>
        <v>24.031661285541809</v>
      </c>
      <c r="L16" s="98">
        <f>VLOOKUP(B16,Opportunities!B$3:N$30,13,FALSE)</f>
        <v>22.348119329440497</v>
      </c>
    </row>
    <row r="17" spans="2:12">
      <c r="G17" s="86"/>
      <c r="H17" s="86"/>
    </row>
    <row r="18" spans="2:12" ht="13.15">
      <c r="B18" s="82" t="s">
        <v>218</v>
      </c>
      <c r="C18" s="83" t="s">
        <v>214</v>
      </c>
      <c r="D18" s="84" t="s">
        <v>153</v>
      </c>
      <c r="E18" s="83" t="s">
        <v>214</v>
      </c>
      <c r="F18" s="80">
        <f>F3+SUM(F14:F16)</f>
        <v>153800</v>
      </c>
      <c r="G18" s="87">
        <f t="shared" ref="G18" si="2">F18/$F$11</f>
        <v>0.47624945810367253</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2025-06-11T09:33:00Z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