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39DBE71-10A8-4070-94F7-F98EAEA2BD36}"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<sst xmlns="http://schemas.openxmlformats.org/spreadsheetml/2006/main" count="334" uniqueCount="276">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</sst>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100" t="s">
        <v>204</v>
      </c>
      <c r="C4" s="100"/>
      <c r="D4" s="100"/>
      <c r="E4" s="100"/>
    </row>
    <row r="6" spans="1:5">
      <c r="A6" s="20" t="s">
        <v>63</v>
      </c>
      <c r="B6" s="19" t="s">
        <v>187</v>
      </c>
      <c r="C6" s="60"/>
    </row>
    <row r="7" spans="1:5">
      <c r="B7" s="100" t="s">
        <v>192</v>
      </c>
      <c r="C7" s="100"/>
      <c r="D7" s="100"/>
      <c r="E7" s="100"/>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100" t="s">
        <v>203</v>
      </c>
      <c r="C24" s="100"/>
      <c r="D24" s="100"/>
      <c r="E24" s="100"/>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100" t="s">
        <v>151</v>
      </c>
      <c r="C39" s="100"/>
      <c r="D39" s="100"/>
      <c r="E39" s="100"/>
    </row>
    <row r="40" spans="1:5" ht="46.5" customHeight="1">
      <c r="B40" s="100" t="s">
        <v>216</v>
      </c>
      <c r="C40" s="100"/>
      <c r="D40" s="100"/>
      <c r="E40" s="100"/>
    </row>
    <row r="42" spans="1:5">
      <c r="A42" s="21" t="s">
        <v>170</v>
      </c>
      <c r="B42" s="21"/>
      <c r="C42" s="21"/>
      <c r="D42" s="21"/>
      <c r="E42" s="21"/>
    </row>
    <row r="44" spans="1:5">
      <c r="B44" s="100" t="s">
        <v>191</v>
      </c>
      <c r="C44" s="100"/>
      <c r="D44" s="100"/>
      <c r="E44" s="100"/>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100" t="s">
        <v>179</v>
      </c>
      <c r="C71" s="100"/>
      <c r="D71" s="100"/>
      <c r="E71" s="100"/>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1" t="s">
        <v>175</v>
      </c>
      <c r="C85" s="101"/>
      <c r="D85" s="101"/>
      <c r="E85" s="101"/>
    </row>
    <row r="86" spans="1:5">
      <c r="B86" s="99" t="s">
        <v>173</v>
      </c>
      <c r="C86" s="99"/>
      <c r="D86" s="99"/>
      <c r="E86" s="99"/>
    </row>
    <row r="87" spans="1:5" ht="24.5" customHeight="1">
      <c r="B87" s="100" t="s">
        <v>172</v>
      </c>
      <c r="C87" s="100"/>
      <c r="D87" s="100"/>
      <c r="E87" s="100"/>
    </row>
    <row r="88" spans="1:5" ht="24.5" customHeight="1">
      <c r="B88" s="100" t="s">
        <v>208</v>
      </c>
      <c r="C88" s="100"/>
      <c r="D88" s="100"/>
      <c r="E88" s="100"/>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2" t="s">
        <v>194</v>
      </c>
      <c r="C97" s="102"/>
      <c r="D97" s="102"/>
      <c r="E97" s="102"/>
    </row>
    <row r="99" spans="1:5">
      <c r="B99" s="24" t="s">
        <v>198</v>
      </c>
    </row>
    <row r="100" spans="1:5" ht="12.4">
      <c r="B100" s="102" t="s">
        <v>195</v>
      </c>
      <c r="C100" s="102"/>
      <c r="D100" s="102"/>
      <c r="E100" s="102"/>
    </row>
    <row r="101" spans="1:5" ht="58.5" customHeight="1">
      <c r="B101" s="100" t="s">
        <v>202</v>
      </c>
      <c r="C101" s="100"/>
      <c r="D101" s="100"/>
      <c r="E101" s="100"/>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0.1350458916800911</v>
      </c>
      <c r="D112" s="60" t="str">
        <f>IF(C112&lt;benchmark,"Warning: Return is lower than the Benchmark.","")</f>
        <v/>
      </c>
    </row>
    <row r="114" spans="1:5" ht="24.5" customHeight="1">
      <c r="B114" s="100" t="s">
        <v>200</v>
      </c>
      <c r="C114" s="100"/>
      <c r="D114" s="100"/>
      <c r="E114" s="100"/>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16.190000000000001</v>
      </c>
      <c r="E3" s="12" t="s">
        <v>232</v>
      </c>
      <c r="F3" s="15">
        <v>0.22170578839876431</v>
      </c>
      <c r="G3" s="15">
        <f>F3 - Portfolio_Mgmt!$C$10</f>
        <v>0.13470578839876432</v>
      </c>
      <c r="H3" s="15">
        <f>F3 - Portfolio_Mgmt!$C$11</f>
        <v>0.20270578839876432</v>
      </c>
      <c r="I3" s="15">
        <v>0.32894033887057023</v>
      </c>
      <c r="J3" s="2">
        <v>12.534408209968158</v>
      </c>
      <c r="K3" s="2">
        <v>25.584938697660867</v>
      </c>
      <c r="L3" s="85">
        <v>24.315000552184742</v>
      </c>
      <c r="M3" s="2">
        <v>17.577047192866189</v>
      </c>
      <c r="N3" s="2">
        <v>22.61787767563613</v>
      </c>
      <c r="O3" s="4">
        <v>8.3978962239672716E-2</v>
      </c>
      <c r="P3" s="4">
        <v>6.5472513897467569E-2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256</v>
      </c>
      <c r="C4" s="11" t="s">
        <v>257</v>
      </c>
      <c r="D4" s="2">
        <v>44.5</v>
      </c>
      <c r="E4" s="12" t="s">
        <v>232</v>
      </c>
      <c r="F4" s="15">
        <v>0.15292578874872031</v>
      </c>
      <c r="G4" s="15">
        <f>F4 - Portfolio_Mgmt!$C$10</f>
        <v>6.5925788748720321E-2</v>
      </c>
      <c r="H4" s="15">
        <f>F4 - Portfolio_Mgmt!$C$11</f>
        <v>0.13392578874872033</v>
      </c>
      <c r="I4" s="15">
        <v>0.22689286164498568</v>
      </c>
      <c r="J4" s="2">
        <v>28.803263731047231</v>
      </c>
      <c r="K4" s="2">
        <v>64.714648137522119</v>
      </c>
      <c r="L4" s="85">
        <v>57.008678420375631</v>
      </c>
      <c r="M4" s="2">
        <v>40.844732114544499</v>
      </c>
      <c r="N4" s="2">
        <v>52.931363368704652</v>
      </c>
      <c r="O4" s="4">
        <v>4.8606276641432779E-2</v>
      </c>
      <c r="P4" s="4">
        <v>2.247191011235955E-2</v>
      </c>
      <c r="Q4" s="4">
        <v>0.14549955248916155</v>
      </c>
      <c r="R4" s="4">
        <v>0.22405670341828193</v>
      </c>
      <c r="S4" s="94">
        <v>0.42456310191863128</v>
      </c>
      <c r="T4" s="95">
        <v>1.5295422156001708</v>
      </c>
      <c r="U4" s="15">
        <v>5.3145118525683231E-2</v>
      </c>
      <c r="V4" s="90">
        <v>0.36488435676778314</v>
      </c>
      <c r="W4" s="85">
        <v>5.6082458208015922</v>
      </c>
      <c r="X4" s="13" t="s">
        <v>254</v>
      </c>
      <c r="Y4" s="11" t="s">
        <v>154</v>
      </c>
      <c r="Z4" s="14">
        <v>45900</v>
      </c>
      <c r="AA4" s="16" t="s">
        <v>266</v>
      </c>
    </row>
    <row r="5" spans="1:27">
      <c r="B5" s="11" t="s">
        <v>233</v>
      </c>
      <c r="C5" s="11" t="s">
        <v>234</v>
      </c>
      <c r="D5" s="2">
        <v>59.77</v>
      </c>
      <c r="E5" s="12" t="s">
        <v>232</v>
      </c>
      <c r="F5" s="15">
        <v>0.15065982434093339</v>
      </c>
      <c r="G5" s="15">
        <f>F5 - Portfolio_Mgmt!$C$10</f>
        <v>6.3659824340933396E-2</v>
      </c>
      <c r="H5" s="15">
        <f>F5 - Portfolio_Mgmt!$C$11</f>
        <v>0.1316598243409334</v>
      </c>
      <c r="I5" s="15">
        <v>0.144166799484444</v>
      </c>
      <c r="J5" s="2">
        <v>38.753046443654675</v>
      </c>
      <c r="K5" s="2">
        <v>82.72003076740333</v>
      </c>
      <c r="L5" s="85">
        <v>75.868561604045041</v>
      </c>
      <c r="M5" s="2">
        <v>54.620804067443785</v>
      </c>
      <c r="N5" s="2">
        <v>70.513102505372515</v>
      </c>
      <c r="O5" s="4">
        <v>7.2595300358456918E-2</v>
      </c>
      <c r="P5" s="4">
        <v>4.0153923372929556E-2</v>
      </c>
      <c r="Q5" s="4">
        <v>1.2182305488640417</v>
      </c>
      <c r="R5" s="4">
        <v>0.21117895977217718</v>
      </c>
      <c r="S5" s="94">
        <v>1.2904821269100146</v>
      </c>
      <c r="T5" s="95">
        <v>4.4701988818540466</v>
      </c>
      <c r="U5" s="15">
        <v>5.0341856510546588E-2</v>
      </c>
      <c r="V5" s="90">
        <v>4.1762542981319963E-2</v>
      </c>
      <c r="W5" s="85">
        <v>-13.312996389940134</v>
      </c>
      <c r="X5" s="13" t="s">
        <v>229</v>
      </c>
      <c r="Y5" s="11" t="s">
        <v>154</v>
      </c>
      <c r="Z5" s="14">
        <v>45900</v>
      </c>
      <c r="AA5" s="16" t="s">
        <v>266</v>
      </c>
    </row>
    <row r="6" spans="1:27">
      <c r="B6" s="11" t="s">
        <v>246</v>
      </c>
      <c r="C6" s="11" t="s">
        <v>247</v>
      </c>
      <c r="D6" s="2">
        <v>5.22</v>
      </c>
      <c r="E6" s="12" t="s">
        <v>232</v>
      </c>
      <c r="F6" s="15">
        <v>0.13731567198142991</v>
      </c>
      <c r="G6" s="15">
        <f>F6 - Portfolio_Mgmt!$C$10</f>
        <v>5.0315671981429916E-2</v>
      </c>
      <c r="H6" s="15">
        <f>F6 - Portfolio_Mgmt!$C$11</f>
        <v>0.11831567198142991</v>
      </c>
      <c r="I6" s="15">
        <v>0</v>
      </c>
      <c r="J6" s="2">
        <v>3.2714103607293628</v>
      </c>
      <c r="K6" s="2">
        <v>6.9895661568976033</v>
      </c>
      <c r="L6" s="85">
        <v>6.4058499272029952</v>
      </c>
      <c r="M6" s="2">
        <v>4.6114224254647684</v>
      </c>
      <c r="N6" s="2">
        <v>5.9535611226219638</v>
      </c>
      <c r="O6" s="4">
        <v>4.4061321230163666E-2</v>
      </c>
      <c r="P6" s="4">
        <v>3.8505747126436778E-2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66.64</v>
      </c>
      <c r="E7" s="12" t="s">
        <v>232</v>
      </c>
      <c r="F7" s="15">
        <v>0.11932947216483325</v>
      </c>
      <c r="G7" s="15">
        <f>F7 - Portfolio_Mgmt!$C$10</f>
        <v>3.2329472164833256E-2</v>
      </c>
      <c r="H7" s="15">
        <f>F7 - Portfolio_Mgmt!$C$11</f>
        <v>0.10032947216483325</v>
      </c>
      <c r="I7" s="15">
        <v>0</v>
      </c>
      <c r="J7" s="2">
        <v>40.566233510579387</v>
      </c>
      <c r="K7" s="2">
        <v>77.785604602754844</v>
      </c>
      <c r="L7" s="85">
        <v>77.731780095947357</v>
      </c>
      <c r="M7" s="2">
        <v>56.501711311401053</v>
      </c>
      <c r="N7" s="2">
        <v>72.389553073938998</v>
      </c>
      <c r="O7" s="4">
        <v>5.4312348067980992E-2</v>
      </c>
      <c r="P7" s="4">
        <v>6.9732893157262901E-2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10.62</v>
      </c>
      <c r="E8" s="12" t="s">
        <v>232</v>
      </c>
      <c r="F8" s="15">
        <v>0.1027849768295388</v>
      </c>
      <c r="G8" s="15">
        <f>F8 - Portfolio_Mgmt!$C$10</f>
        <v>1.5784976829538805E-2</v>
      </c>
      <c r="H8" s="15">
        <f>F8 - Portfolio_Mgmt!$C$11</f>
        <v>8.3784976829538796E-2</v>
      </c>
      <c r="I8" s="15">
        <v>0</v>
      </c>
      <c r="J8" s="2">
        <v>6.0942417132402751</v>
      </c>
      <c r="K8" s="2">
        <v>12.91528670453229</v>
      </c>
      <c r="L8" s="85">
        <v>11.913128542800674</v>
      </c>
      <c r="M8" s="2">
        <v>8.582443057830476</v>
      </c>
      <c r="N8" s="2">
        <v>11.073728055846336</v>
      </c>
      <c r="O8" s="4">
        <v>3.322169476337776E-2</v>
      </c>
      <c r="P8" s="4">
        <v>3.7664783427495296E-2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23.58</v>
      </c>
      <c r="E9" s="12" t="s">
        <v>232</v>
      </c>
      <c r="F9" s="15">
        <v>9.8420776996342108E-2</v>
      </c>
      <c r="G9" s="15">
        <f>F9 - Portfolio_Mgmt!$C$10</f>
        <v>1.1420776996342114E-2</v>
      </c>
      <c r="H9" s="15">
        <f>F9 - Portfolio_Mgmt!$C$11</f>
        <v>7.9420776996342105E-2</v>
      </c>
      <c r="I9" s="15">
        <v>0</v>
      </c>
      <c r="J9" s="2">
        <v>13.438941031541804</v>
      </c>
      <c r="K9" s="2">
        <v>27.746753827145845</v>
      </c>
      <c r="L9" s="85">
        <v>26.130102221251306</v>
      </c>
      <c r="M9" s="2">
        <v>18.869653870203344</v>
      </c>
      <c r="N9" s="2">
        <v>24.301055185803946</v>
      </c>
      <c r="O9" s="4">
        <v>5.6160344434868531E-2</v>
      </c>
      <c r="P9" s="4">
        <v>4.4953350296861753E-2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23.61</v>
      </c>
      <c r="E10" s="12" t="s">
        <v>232</v>
      </c>
      <c r="F10" s="15">
        <v>8.736046746812165E-2</v>
      </c>
      <c r="G10" s="15">
        <f>F10 - Portfolio_Mgmt!$C$10</f>
        <v>3.6046746812165575E-4</v>
      </c>
      <c r="H10" s="15">
        <f>F10 - Portfolio_Mgmt!$C$11</f>
        <v>6.8360467468121647E-2</v>
      </c>
      <c r="I10" s="15">
        <v>0</v>
      </c>
      <c r="J10" s="2">
        <v>13.079690025486418</v>
      </c>
      <c r="K10" s="2">
        <v>26.888151196428591</v>
      </c>
      <c r="L10" s="85">
        <v>25.409202896038835</v>
      </c>
      <c r="M10" s="2">
        <v>18.356272555350223</v>
      </c>
      <c r="N10" s="2">
        <v>23.632551844105855</v>
      </c>
      <c r="O10" s="4">
        <v>0.23385710770808293</v>
      </c>
      <c r="P10" s="4">
        <v>4.4896230410842869E-2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22.24</v>
      </c>
      <c r="E11" s="12" t="s">
        <v>232</v>
      </c>
      <c r="F11" s="15">
        <v>5.4592458801828059E-2</v>
      </c>
      <c r="G11" s="15">
        <f>F11 - Portfolio_Mgmt!$C$10</f>
        <v>-3.2407541198171935E-2</v>
      </c>
      <c r="H11" s="15">
        <f>F11 - Portfolio_Mgmt!$C$11</f>
        <v>3.5592458801828056E-2</v>
      </c>
      <c r="I11" s="15">
        <v>0</v>
      </c>
      <c r="J11" s="2">
        <v>11.355103666814504</v>
      </c>
      <c r="K11" s="2">
        <v>22.601441956902718</v>
      </c>
      <c r="L11" s="85">
        <v>21.916919635758642</v>
      </c>
      <c r="M11" s="2">
        <v>15.879140273250821</v>
      </c>
      <c r="N11" s="2">
        <v>20.396738931178472</v>
      </c>
      <c r="O11" s="4">
        <v>4.8662085155277181E-2</v>
      </c>
      <c r="P11" s="4">
        <v>4.9460431654676264E-2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13.38</v>
      </c>
      <c r="E12" s="12" t="s">
        <v>232</v>
      </c>
      <c r="F12" s="15">
        <v>-5.2265440895660209E-2</v>
      </c>
      <c r="G12" s="15">
        <f>F12 - Portfolio_Mgmt!$C$10</f>
        <v>-0.1392654408956602</v>
      </c>
      <c r="H12" s="15">
        <f>F12 - Portfolio_Mgmt!$C$11</f>
        <v>-7.1265440895660212E-2</v>
      </c>
      <c r="I12" s="15">
        <v>0</v>
      </c>
      <c r="J12" s="2">
        <v>4.9796479824958464</v>
      </c>
      <c r="K12" s="2">
        <v>10.251430255232371</v>
      </c>
      <c r="L12" s="85">
        <v>9.6765033007385046</v>
      </c>
      <c r="M12" s="2">
        <v>6.9896525426428742</v>
      </c>
      <c r="N12" s="2">
        <v>8.9996639027078977</v>
      </c>
      <c r="O12" s="4">
        <v>3.3156963373056195E-2</v>
      </c>
      <c r="P12" s="4">
        <v>2.9895366218236172E-2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0.52831126856858723</v>
      </c>
      <c r="H3" s="89">
        <f>Portfolio_Mgmt!E61</f>
        <v>0.3</v>
      </c>
      <c r="I3" s="96" t="s">
        <v>265</v>
      </c>
      <c r="J3" s="96" t="s">
        <v>265</v>
      </c>
      <c r="K3" s="96" t="s">
        <v>265</v>
      </c>
      <c r="L3" s="96" t="s">
        <v>265</v>
      </c>
    </row>
    <row r="4" spans="1:12">
      <c r="B4" s="77" t="s">
        <v>239</v>
      </c>
      <c r="C4" s="74">
        <f>VLOOKUP(B4,Opportunities!B$3:E$30,3,FALSE)</f>
        <v>23.61</v>
      </c>
      <c r="D4" s="73" t="str">
        <f>VLOOKUP(B4,Opportunities!B$3:E$30,4,FALSE)</f>
        <v>CNY</v>
      </c>
      <c r="E4" s="70">
        <v>3000</v>
      </c>
      <c r="F4" s="75">
        <f>C4*E4</f>
        <v>70830</v>
      </c>
      <c r="G4" s="72">
        <f t="shared" si="0"/>
        <v>0.2201193361924296</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16.190000000000001</v>
      </c>
      <c r="D5" s="73" t="str">
        <f>VLOOKUP(B5,Opportunities!B$3:E$30,4,FALSE)</f>
        <v>CNY</v>
      </c>
      <c r="E5" s="70">
        <v>5000</v>
      </c>
      <c r="F5" s="75">
        <f>C5*E5</f>
        <v>80950</v>
      </c>
      <c r="G5" s="72">
        <f t="shared" ref="G5" si="1">F5/$F$11</f>
        <v>0.25156939523898314</v>
      </c>
      <c r="H5" s="72">
        <f>VLOOKUP(B5,Opportunities!B$3:I$30,8,FALSE)</f>
        <v>0.32894033887057023</v>
      </c>
      <c r="I5" s="98">
        <f>VLOOKUP(B5,Opportunities!B$3:N$30,12,FALSE)</f>
        <v>17.577047192866189</v>
      </c>
      <c r="J5" s="98">
        <f>VLOOKUP(B5,Opportunities!B$3:N$30,9,FALSE)</f>
        <v>12.534408209968158</v>
      </c>
      <c r="K5" s="98">
        <f>VLOOKUP(B5,Opportunities!B$3:N$30,11,FALSE)</f>
        <v>24.315000552184742</v>
      </c>
      <c r="L5" s="98">
        <f>VLOOKUP(B5,Opportunities!B$3:N$30,13,FALSE)</f>
        <v>22.61787767563613</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321780</v>
      </c>
      <c r="G11" s="81">
        <f>SUM(G3:G9)</f>
        <v>1</v>
      </c>
      <c r="H11" s="87">
        <f>SUM(H3:H9)</f>
        <v>0.62894033887057021</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23.61</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44.5</v>
      </c>
      <c r="D15" s="73" t="str">
        <f>VLOOKUP(B15,Opportunities!B$3:E$30,4,FALSE)</f>
        <v>CNY</v>
      </c>
      <c r="E15" s="70">
        <v>0</v>
      </c>
      <c r="F15" s="75">
        <f>-C15*E15</f>
        <v>0</v>
      </c>
      <c r="G15" s="72">
        <f>-F15/$F$11</f>
        <v>0</v>
      </c>
      <c r="H15" s="72">
        <f>VLOOKUP(B15,Opportunities!B$3:I$30,8,FALSE)</f>
        <v>0.22689286164498568</v>
      </c>
      <c r="I15" s="98">
        <f>VLOOKUP(B15,Opportunities!B$3:N$30,12,FALSE)</f>
        <v>40.844732114544499</v>
      </c>
      <c r="J15" s="98">
        <f>VLOOKUP(B15,Opportunities!B$3:N$30,9,FALSE)</f>
        <v>28.803263731047231</v>
      </c>
      <c r="K15" s="98">
        <f>VLOOKUP(B15,Opportunities!B$3:N$30,11,FALSE)</f>
        <v>57.008678420375631</v>
      </c>
      <c r="L15" s="98">
        <f>VLOOKUP(B15,Opportunities!B$3:N$30,13,FALSE)</f>
        <v>52.931363368704652</v>
      </c>
    </row>
    <row r="16" spans="1:12">
      <c r="B16" s="77" t="s">
        <v>252</v>
      </c>
      <c r="C16" s="74">
        <f>VLOOKUP(B16,Opportunities!B$3:E$30,3,FALSE)</f>
        <v>16.190000000000001</v>
      </c>
      <c r="D16" s="73" t="str">
        <f>VLOOKUP(B16,Opportunities!B$3:E$30,4,FALSE)</f>
        <v>CNY</v>
      </c>
      <c r="E16" s="70">
        <v>1000</v>
      </c>
      <c r="F16" s="75">
        <f>-C16*E16</f>
        <v>-16190.000000000002</v>
      </c>
      <c r="G16" s="72">
        <f>-F16/$F$11</f>
        <v>5.0313879047796634E-2</v>
      </c>
      <c r="H16" s="72">
        <f>VLOOKUP(B16,Opportunities!B$3:I$30,8,FALSE)</f>
        <v>0.32894033887057023</v>
      </c>
      <c r="I16" s="98">
        <f>VLOOKUP(B16,Opportunities!B$3:N$30,12,FALSE)</f>
        <v>17.577047192866189</v>
      </c>
      <c r="J16" s="98">
        <f>VLOOKUP(B16,Opportunities!B$3:N$30,9,FALSE)</f>
        <v>12.534408209968158</v>
      </c>
      <c r="K16" s="98">
        <f>VLOOKUP(B16,Opportunities!B$3:N$30,11,FALSE)</f>
        <v>24.315000552184742</v>
      </c>
      <c r="L16" s="98">
        <f>VLOOKUP(B16,Opportunities!B$3:N$30,13,FALSE)</f>
        <v>22.61787767563613</v>
      </c>
    </row>
    <row r="17" spans="2:12">
      <c r="G17" s="86"/>
      <c r="H17" s="86"/>
    </row>
    <row r="18" spans="2:12" ht="13.15">
      <c r="B18" s="82" t="s">
        <v>218</v>
      </c>
      <c r="C18" s="83" t="s">
        <v>214</v>
      </c>
      <c r="D18" s="84" t="s">
        <v>153</v>
      </c>
      <c r="E18" s="83" t="s">
        <v>214</v>
      </c>
      <c r="F18" s="80">
        <f>F3+SUM(F14:F16)</f>
        <v>153810</v>
      </c>
      <c r="G18" s="87">
        <f t="shared" ref="G18" si="2">F18/$F$11</f>
        <v>0.47799738952079063</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2"/>
      <c r="D5" s="102"/>
    </row>
    <row r="6" spans="1:4">
      <c r="B6" s="112" t="s">
        <v>102</v>
      </c>
      <c r="C6" s="102"/>
      <c r="D6" s="102"/>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2025-06-05T02:00:03Z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