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5D245AAB-C4DF-40F7-A84B-0ECAB0FE49D6}" xr6:coauthVersionLast="47" xr6:coauthVersionMax="47" xr10:uidLastSave="{00000000-0000-0000-0000-000000000000}"/>
  <bookViews>
    <workbookView xWindow="-98" yWindow="-98" windowWidth="17115" windowHeight="10755"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J15" i="7"/>
  <c r="J14" i="7"/>
  <c r="J5" i="7"/>
  <c r="J4" i="7"/>
  <c r="I15" i="7"/>
  <c r="K15" i="7"/>
  <c r="L15" i="7"/>
  <c r="L14" i="7"/>
  <c r="K14" i="7"/>
  <c r="I14" i="7"/>
  <c r="I5" i="7"/>
  <c r="K5" i="7"/>
  <c r="L5" i="7"/>
  <c r="L4" i="7"/>
  <c r="K4" i="7"/>
  <c r="I4" i="7"/>
  <c r="H5" i="7"/>
  <c r="C5" i="7"/>
  <c r="F5" i="7" s="1"/>
  <c r="D5" i="7"/>
  <c r="H15" i="7" l="1"/>
  <c r="C15" i="7"/>
  <c r="D15" i="7"/>
  <c r="C36" i="5"/>
  <c r="C11" i="5"/>
  <c r="C10" i="5"/>
  <c r="D4" i="7"/>
  <c r="D14" i="7"/>
  <c r="H14" i="7"/>
  <c r="H4" i="7"/>
  <c r="C14" i="7"/>
  <c r="F14" i="7" s="1"/>
  <c r="C4" i="7"/>
  <c r="E36" i="5" l="1"/>
  <c r="C35" i="5" s="1"/>
  <c r="F15" i="7"/>
  <c r="F17" i="7"/>
  <c r="F4" i="7"/>
  <c r="C31" i="5"/>
  <c r="F11" i="7" l="1"/>
  <c r="E60" i="5"/>
  <c r="G15" i="7" l="1"/>
  <c r="G5" i="7"/>
  <c r="G14" i="7"/>
  <c r="G17" i="7"/>
  <c r="E61" i="5"/>
  <c r="C16" i="2"/>
  <c r="E6" i="2"/>
  <c r="E5" i="2"/>
  <c r="E4" i="2"/>
  <c r="H17" i="7" l="1"/>
  <c r="H3" i="7"/>
  <c r="H11" i="7" s="1"/>
  <c r="D112" i="5"/>
  <c r="C64" i="5"/>
  <c r="C65" i="5" s="1"/>
  <c r="G4" i="7" l="1"/>
  <c r="G3" i="7"/>
  <c r="G11" i="7" l="1"/>
</calcChain>
</file>

<file path=xl/sharedStrings.xml><?xml version="1.0" encoding="utf-8"?>
<sst xmlns="http://schemas.openxmlformats.org/spreadsheetml/2006/main" count="333" uniqueCount="276">
  <si>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</si>
  <si>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</si>
  <si>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</si>
  <si>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</si>
  <si>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</si>
  <si>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</si>
  <si>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</si>
  <si>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</si>
  <si>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</si>
  <si>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</si>
  <si>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</si>
  <si>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</si>
  <si>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</si>
  <si>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</si>
  <si>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</si>
  <si>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</si>
  <si>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</si>
  <si>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</si>
  <si>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</si>
  <si>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</si>
  <si>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</si>
  <si>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</si>
  <si>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</si>
  <si>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</si>
  <si>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</si>
  <si>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</si>
  <si>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</si>
  <si>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</si>
  <si>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</si>
  <si>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</si>
  <si>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</si>
  <si>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</si>
  <si>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</si>
  <si>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</si>
  <si>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</si>
  <si>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</si>
  <si>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</si>
  <si>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</si>
  <si>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</si>
  <si>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</si>
  <si>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</si>
  <si>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</si>
  <si>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</si>
  <si>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</si>
  <si>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</si>
  <si>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</si>
  <si>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</si>
  <si>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</si>
  <si>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</si>
  <si>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</si>
  <si>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</si>
  <si>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</si>
  <si>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</si>
  <si>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</si>
  <si>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</si>
  <si>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</si>
  <si>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</si>
  <si>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</si>
  <si>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</si>
  <si>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</si>
  <si>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</si>
  <si>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</si>
  <si>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</si>
  <si>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</si>
  <si>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</si>
  <si>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</si>
  <si>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</si>
  <si>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</si>
  <si>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</si>
  <si>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</si>
  <si>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</si>
  <si>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</si>
  <si>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</si>
  <si>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</si>
  <si>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</si>
  <si>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</si>
  <si>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</si>
  <si>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</si>
  <si>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</si>
  <si>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</si>
  <si>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</si>
  <si>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</si>
  <si>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</si>
  <si>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</si>
  <si>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</si>
  <si>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</si>
  <si>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</si>
  <si>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</si>
  <si>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</si>
  <si>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</si>
  <si>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</si>
  <si>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</si>
  <si>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</si>
  <si>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</si>
  <si>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</si>
  <si>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</si>
  <si>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</si>
  <si>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</si>
  <si>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</si>
  <si>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</si>
  <si>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</si>
  <si>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</si>
  <si>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</si>
  <si>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</si>
  <si>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</si>
  <si>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</si>
  <si>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</si>
  <si>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</si>
  <si>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</si>
  <si>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</si>
  <si>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</si>
  <si>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</si>
  <si>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</si>
  <si>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</si>
  <si>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</si>
  <si>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</si>
  <si>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</si>
  <si>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</si>
  <si>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</si>
  <si>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</si>
  <si>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</si>
  <si>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</si>
  <si>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</si>
  <si>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</si>
  <si>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</si>
  <si>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</si>
  <si>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</si>
  <si>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</si>
  <si>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</si>
  <si>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</si>
  <si>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</si>
  <si>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</si>
  <si>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</si>
  <si>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</si>
  <si>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</si>
  <si>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</si>
  <si>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</si>
  <si>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</si>
  <si>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</si>
  <si>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</si>
  <si>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</si>
  <si>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</si>
  <si>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</si>
  <si>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</si>
  <si>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</si>
  <si>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</si>
  <si>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</si>
  <si>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</si>
  <si>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</si>
  <si>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</si>
  <si>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</si>
  <si>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</si>
  <si>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</si>
  <si>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</si>
  <si>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</si>
  <si>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</si>
  <si>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</si>
  <si>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</si>
  <si>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</si>
  <si>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</si>
  <si>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</si>
  <si>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</si>
  <si>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</si>
  <si>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</si>
  <si>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</si>
  <si>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</si>
  <si>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</si>
  <si>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</si>
  <si>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</si>
  <si>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</si>
  <si>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</si>
  <si>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</si>
  <si>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</si>
  <si>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</si>
  <si>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</si>
  <si>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</si>
  <si>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</si>
  <si>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</si>
  <si>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</si>
  <si>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</si>
  <si>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</si>
  <si>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</si>
  <si>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</si>
  <si>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</si>
  <si>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</si>
  <si>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</si>
  <si>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</si>
  <si>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</si>
  <si>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</si>
  <si>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</si>
  <si>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</si>
  <si>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</si>
  <si>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</si>
  <si>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</si>
  <si>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</si>
  <si>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</si>
  <si>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</si>
  <si>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</si>
  <si>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</si>
  <si>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</si>
  <si>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</si>
  <si>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</si>
  <si>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</si>
  <si>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</si>
  <si>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</si>
  <si>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</si>
  <si>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</si>
  <si>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</si>
  <si>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</si>
  <si>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</si>
  <si>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</si>
  <si>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</si>
  <si>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</si>
  <si>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</si>
  <si>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</si>
  <si>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</si>
  <si>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</si>
  <si>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</si>
  <si>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</si>
  <si>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</si>
  <si>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</si>
  <si>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</si>
  <si>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</si>
  <si>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</si>
  <si>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</si>
  <si>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</si>
  <si>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</si>
  <si>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</si>
  <si>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</si>
  <si>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</si>
  <si>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</si>
  <si>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</si>
  <si>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</si>
  <si>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</si>
  <si>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</si>
  <si>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</si>
  <si>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</si>
  <si>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</si>
  <si>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</si>
  <si>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</si>
  <si>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</si>
  <si>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</si>
  <si>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</si>
  <si>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</si>
  <si>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</si>
  <si>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</si>
  <si>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</si>
  <si>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</si>
  <si>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</si>
  <si>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</si>
  <si>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</si>
  <si>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</si>
  <si>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</si>
  <si>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</si>
  <si>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</si>
  <si>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</si>
  <si>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</si>
  <si>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</si>
  <si>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</si>
  <si>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</si>
  <si>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</si>
  <si>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</si>
  <si>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</si>
  <si>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</si>
  <si>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</si>
  <si>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</si>
  <si>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</si>
  <si>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</si>
  <si>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</si>
  <si>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</si>
  <si>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</si>
  <si>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</si>
  <si>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</si>
  <si>
    <t>Exit Price</t>
  </si>
  <si>
    <t>Sell Price</t>
  </si>
  <si>
    <t>Target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</si>
</sst>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3">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4" fontId="28" fillId="0" borderId="0" xfId="0" applyNumberFormat="1" applyFont="1" applyAlignment="1">
      <alignment horizontal="right"/>
    </xf>
    <xf numFmtId="4" fontId="28" fillId="0" borderId="3" xfId="0" applyNumberFormat="1" applyFont="1" applyBorder="1" applyAlignment="1">
      <alignment horizontal="right"/>
    </xf>
    <xf numFmtId="4" fontId="28"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6" zoomScaleNormal="100" workbookViewId="0">
      <selection activeCell="C57" sqref="C57"/>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9" t="s">
        <v>204</v>
      </c>
      <c r="C4" s="99"/>
      <c r="D4" s="99"/>
      <c r="E4" s="99"/>
    </row>
    <row r="6" spans="1:5">
      <c r="A6" s="20" t="s">
        <v>63</v>
      </c>
      <c r="B6" s="19" t="s">
        <v>187</v>
      </c>
      <c r="C6" s="60"/>
    </row>
    <row r="7" spans="1:5">
      <c r="B7" s="99" t="s">
        <v>192</v>
      </c>
      <c r="C7" s="99"/>
      <c r="D7" s="99"/>
      <c r="E7" s="99"/>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9" t="s">
        <v>203</v>
      </c>
      <c r="C24" s="99"/>
      <c r="D24" s="99"/>
      <c r="E24" s="99"/>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9" t="s">
        <v>151</v>
      </c>
      <c r="C39" s="99"/>
      <c r="D39" s="99"/>
      <c r="E39" s="99"/>
    </row>
    <row r="40" spans="1:5" ht="46.5" customHeight="1">
      <c r="B40" s="99" t="s">
        <v>216</v>
      </c>
      <c r="C40" s="99"/>
      <c r="D40" s="99"/>
      <c r="E40" s="99"/>
    </row>
    <row r="42" spans="1:5">
      <c r="A42" s="21" t="s">
        <v>170</v>
      </c>
      <c r="B42" s="21"/>
      <c r="C42" s="21"/>
      <c r="D42" s="21"/>
      <c r="E42" s="21"/>
    </row>
    <row r="44" spans="1:5">
      <c r="B44" s="99" t="s">
        <v>191</v>
      </c>
      <c r="C44" s="99"/>
      <c r="D44" s="99"/>
      <c r="E44" s="99"/>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9" t="s">
        <v>179</v>
      </c>
      <c r="C71" s="99"/>
      <c r="D71" s="99"/>
      <c r="E71" s="99"/>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102" t="s">
        <v>175</v>
      </c>
      <c r="C85" s="102"/>
      <c r="D85" s="102"/>
      <c r="E85" s="102"/>
    </row>
    <row r="86" spans="1:5">
      <c r="B86" s="101" t="s">
        <v>173</v>
      </c>
      <c r="C86" s="101"/>
      <c r="D86" s="101"/>
      <c r="E86" s="101"/>
    </row>
    <row r="87" spans="1:5" ht="24.5" customHeight="1">
      <c r="B87" s="99" t="s">
        <v>172</v>
      </c>
      <c r="C87" s="99"/>
      <c r="D87" s="99"/>
      <c r="E87" s="99"/>
    </row>
    <row r="88" spans="1:5" ht="24.5" customHeight="1">
      <c r="B88" s="99" t="s">
        <v>208</v>
      </c>
      <c r="C88" s="99"/>
      <c r="D88" s="99"/>
      <c r="E88" s="99"/>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100" t="s">
        <v>194</v>
      </c>
      <c r="C97" s="100"/>
      <c r="D97" s="100"/>
      <c r="E97" s="100"/>
    </row>
    <row r="99" spans="1:5">
      <c r="B99" s="24" t="s">
        <v>198</v>
      </c>
    </row>
    <row r="100" spans="1:5" ht="12.4">
      <c r="B100" s="100" t="s">
        <v>195</v>
      </c>
      <c r="C100" s="100"/>
      <c r="D100" s="100"/>
      <c r="E100" s="100"/>
    </row>
    <row r="101" spans="1:5" ht="58.5" customHeight="1">
      <c r="B101" s="99" t="s">
        <v>202</v>
      </c>
      <c r="C101" s="99"/>
      <c r="D101" s="99"/>
      <c r="E101" s="99"/>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0.14037501076975747</v>
      </c>
      <c r="D112" s="60" t="str">
        <f>IF(C112&lt;benchmark,"Warning: Return is lower than the Benchmark.","")</f>
        <v/>
      </c>
    </row>
    <row r="114" spans="1:5" ht="24.5" customHeight="1">
      <c r="B114" s="99" t="s">
        <v>200</v>
      </c>
      <c r="C114" s="99"/>
      <c r="D114" s="99"/>
      <c r="E114" s="99"/>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0" zoomScaleNormal="110" workbookViewId="0">
      <pane xSplit="3" ySplit="2" topLeftCell="D3" activePane="bottomRight" state="frozen"/>
      <selection pane="topRight" activeCell="D1" sqref="D1"/>
      <selection pane="bottomLeft" activeCell="A5" sqref="A5"/>
      <selection pane="bottomRight" activeCell="J4" sqref="J4"/>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5" t="s">
        <v>1</v>
      </c>
      <c r="E1" s="105"/>
      <c r="F1" s="105"/>
      <c r="G1" s="106" t="s">
        <v>96</v>
      </c>
      <c r="H1" s="106"/>
      <c r="I1" s="106"/>
      <c r="J1" s="108" t="s">
        <v>4</v>
      </c>
      <c r="K1" s="108"/>
      <c r="L1" s="108"/>
      <c r="M1" s="107" t="s">
        <v>226</v>
      </c>
      <c r="N1" s="107"/>
      <c r="O1" s="103" t="s">
        <v>8</v>
      </c>
      <c r="P1" s="103"/>
      <c r="Q1" s="110" t="s">
        <v>261</v>
      </c>
      <c r="R1" s="110"/>
      <c r="S1" s="110"/>
      <c r="T1" s="110"/>
      <c r="U1" s="109" t="s">
        <v>260</v>
      </c>
      <c r="V1" s="109"/>
      <c r="W1" s="109"/>
      <c r="X1" s="104" t="s">
        <v>50</v>
      </c>
      <c r="Y1" s="104"/>
      <c r="Z1" s="104"/>
      <c r="AA1" s="104"/>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15.93</v>
      </c>
      <c r="E3" s="12" t="s">
        <v>232</v>
      </c>
      <c r="F3" s="15">
        <v>0.22866974293726483</v>
      </c>
      <c r="G3" s="15">
        <f>F3 - Portfolio_Mgmt!$C$10</f>
        <v>0.14166974293726484</v>
      </c>
      <c r="H3" s="15">
        <f>F3 - Portfolio_Mgmt!$C$11</f>
        <v>0.20966974293726484</v>
      </c>
      <c r="I3" s="15">
        <v>0.33927261563392408</v>
      </c>
      <c r="J3" s="2">
        <v>12.534408209968158</v>
      </c>
      <c r="K3" s="2">
        <v>25.584938697660867</v>
      </c>
      <c r="L3" s="85">
        <v>24.315000552184742</v>
      </c>
      <c r="M3" s="2">
        <v>17.577047192866189</v>
      </c>
      <c r="N3" s="2">
        <v>22.61787767563613</v>
      </c>
      <c r="O3" s="4">
        <v>8.5349616990602714E-2</v>
      </c>
      <c r="P3" s="4">
        <v>6.6541117388575016E-2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c r="B4" s="11" t="s">
        <v>233</v>
      </c>
      <c r="C4" s="11" t="s">
        <v>234</v>
      </c>
      <c r="D4" s="2">
        <v>57.8</v>
      </c>
      <c r="E4" s="12" t="s">
        <v>232</v>
      </c>
      <c r="F4" s="15">
        <v>0.16403992868784401</v>
      </c>
      <c r="G4" s="15">
        <f>F4 - Portfolio_Mgmt!$C$10</f>
        <v>7.7039928687844011E-2</v>
      </c>
      <c r="H4" s="15">
        <f>F4 - Portfolio_Mgmt!$C$11</f>
        <v>0.14503992868784402</v>
      </c>
      <c r="I4" s="15">
        <v>0.2433826835131217</v>
      </c>
      <c r="J4" s="2">
        <v>38.753046443654675</v>
      </c>
      <c r="K4" s="2">
        <v>82.72003076740333</v>
      </c>
      <c r="L4" s="85">
        <v>75.868561604045041</v>
      </c>
      <c r="M4" s="2">
        <v>54.620804067443785</v>
      </c>
      <c r="N4" s="2">
        <v>70.513102505372515</v>
      </c>
      <c r="O4" s="4">
        <v>7.5069569246106749E-2</v>
      </c>
      <c r="P4" s="4">
        <v>4.1522491349480967E-2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45.26</v>
      </c>
      <c r="E5" s="12" t="s">
        <v>232</v>
      </c>
      <c r="F5" s="15">
        <v>0.14631381557877776</v>
      </c>
      <c r="G5" s="15">
        <f>F5 - Portfolio_Mgmt!$C$10</f>
        <v>5.9313815578777768E-2</v>
      </c>
      <c r="H5" s="15">
        <f>F5 - Portfolio_Mgmt!$C$11</f>
        <v>0.12731381557877777</v>
      </c>
      <c r="I5" s="15">
        <v>0.11734470085295423</v>
      </c>
      <c r="J5" s="2">
        <v>28.803263731047231</v>
      </c>
      <c r="K5" s="2">
        <v>64.714648137522119</v>
      </c>
      <c r="L5" s="85">
        <v>57.008678420375631</v>
      </c>
      <c r="M5" s="2">
        <v>40.844732114544499</v>
      </c>
      <c r="N5" s="2">
        <v>52.931363368704652</v>
      </c>
      <c r="O5" s="4">
        <v>4.7790086401762237E-2</v>
      </c>
      <c r="P5" s="4">
        <v>2.209456473707468E-2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246</v>
      </c>
      <c r="C6" s="11" t="s">
        <v>247</v>
      </c>
      <c r="D6" s="2">
        <v>5.23</v>
      </c>
      <c r="E6" s="12" t="s">
        <v>232</v>
      </c>
      <c r="F6" s="15">
        <v>0.13656600369515881</v>
      </c>
      <c r="G6" s="15">
        <f>F6 - Portfolio_Mgmt!$C$10</f>
        <v>4.9566003695158817E-2</v>
      </c>
      <c r="H6" s="15">
        <f>F6 - Portfolio_Mgmt!$C$11</f>
        <v>0.11756600369515881</v>
      </c>
      <c r="I6" s="15">
        <v>0</v>
      </c>
      <c r="J6" s="2">
        <v>3.2714103607293628</v>
      </c>
      <c r="K6" s="2">
        <v>6.9895661568976033</v>
      </c>
      <c r="L6" s="85">
        <v>6.4058499272029952</v>
      </c>
      <c r="M6" s="2">
        <v>4.6114224254647684</v>
      </c>
      <c r="N6" s="2">
        <v>5.9535611226219638</v>
      </c>
      <c r="O6" s="4">
        <v>4.3977073962037157E-2</v>
      </c>
      <c r="P6" s="4">
        <v>3.8432122370936898E-2</v>
      </c>
      <c r="Q6" s="4">
        <v>4.9029562887232557E-2</v>
      </c>
      <c r="R6" s="4">
        <v>5.0475725130946753E-2</v>
      </c>
      <c r="S6" s="94">
        <v>0.56944999111533989</v>
      </c>
      <c r="T6" s="95">
        <v>1.7057676125178334</v>
      </c>
      <c r="U6" s="15">
        <v>2.5694600492681609E-2</v>
      </c>
      <c r="V6" s="90">
        <v>0.53421555755411909</v>
      </c>
      <c r="W6" s="85">
        <v>-0.36074239393771346</v>
      </c>
      <c r="X6" s="13" t="s">
        <v>248</v>
      </c>
      <c r="Y6" s="11" t="s">
        <v>154</v>
      </c>
      <c r="Z6" s="14">
        <v>45900</v>
      </c>
      <c r="AA6" s="16" t="s">
        <v>266</v>
      </c>
    </row>
    <row r="7" spans="1:27">
      <c r="B7" s="11" t="s">
        <v>230</v>
      </c>
      <c r="C7" s="11" t="s">
        <v>231</v>
      </c>
      <c r="D7" s="2">
        <v>65.7</v>
      </c>
      <c r="E7" s="12" t="s">
        <v>232</v>
      </c>
      <c r="F7" s="15">
        <v>0.12498434453750562</v>
      </c>
      <c r="G7" s="15">
        <f>F7 - Portfolio_Mgmt!$C$10</f>
        <v>3.7984344537505627E-2</v>
      </c>
      <c r="H7" s="15">
        <f>F7 - Portfolio_Mgmt!$C$11</f>
        <v>0.10598434453750562</v>
      </c>
      <c r="I7" s="15">
        <v>0</v>
      </c>
      <c r="J7" s="2">
        <v>40.566233510579387</v>
      </c>
      <c r="K7" s="2">
        <v>77.785604602754844</v>
      </c>
      <c r="L7" s="85">
        <v>77.731780095947357</v>
      </c>
      <c r="M7" s="2">
        <v>56.501711311401053</v>
      </c>
      <c r="N7" s="2">
        <v>72.389553073938998</v>
      </c>
      <c r="O7" s="4">
        <v>5.5089419714615728E-2</v>
      </c>
      <c r="P7" s="4">
        <v>7.0730593607305936E-2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243</v>
      </c>
      <c r="C8" s="11" t="s">
        <v>244</v>
      </c>
      <c r="D8" s="2">
        <v>23.11</v>
      </c>
      <c r="E8" s="12" t="s">
        <v>232</v>
      </c>
      <c r="F8" s="15">
        <v>0.10612587528562245</v>
      </c>
      <c r="G8" s="15">
        <f>F8 - Portfolio_Mgmt!$C$10</f>
        <v>1.9125875285622457E-2</v>
      </c>
      <c r="H8" s="15">
        <f>F8 - Portfolio_Mgmt!$C$11</f>
        <v>8.7125875285622448E-2</v>
      </c>
      <c r="I8" s="15">
        <v>0</v>
      </c>
      <c r="J8" s="2">
        <v>13.438941031541804</v>
      </c>
      <c r="K8" s="2">
        <v>27.746753827145845</v>
      </c>
      <c r="L8" s="85">
        <v>26.130102221251306</v>
      </c>
      <c r="M8" s="2">
        <v>18.869653870203344</v>
      </c>
      <c r="N8" s="2">
        <v>24.301055185803946</v>
      </c>
      <c r="O8" s="4">
        <v>5.7302506351112066E-2</v>
      </c>
      <c r="P8" s="4">
        <v>4.5867589787970578E-2</v>
      </c>
      <c r="Q8" s="4">
        <v>0.15648173464349882</v>
      </c>
      <c r="R8" s="4">
        <v>0.13375671427886937</v>
      </c>
      <c r="S8" s="94">
        <v>0.66633267926556194</v>
      </c>
      <c r="T8" s="95">
        <v>1.7557268340491488</v>
      </c>
      <c r="U8" s="15">
        <v>0.3857437197038544</v>
      </c>
      <c r="V8" s="90">
        <v>2.3913910654887354</v>
      </c>
      <c r="W8" s="85">
        <v>3.5427832354191278</v>
      </c>
      <c r="X8" s="13" t="s">
        <v>245</v>
      </c>
      <c r="Y8" s="11" t="s">
        <v>154</v>
      </c>
      <c r="Z8" s="14">
        <v>45900</v>
      </c>
      <c r="AA8" s="16" t="s">
        <v>266</v>
      </c>
    </row>
    <row r="9" spans="1:27">
      <c r="B9" s="11" t="s">
        <v>269</v>
      </c>
      <c r="C9" s="11" t="s">
        <v>270</v>
      </c>
      <c r="D9" s="2">
        <v>10.59</v>
      </c>
      <c r="E9" s="12" t="s">
        <v>232</v>
      </c>
      <c r="F9" s="15">
        <v>0.10386099380261116</v>
      </c>
      <c r="G9" s="15">
        <f>F9 - Portfolio_Mgmt!$C$10</f>
        <v>1.6860993802611163E-2</v>
      </c>
      <c r="H9" s="15">
        <f>F9 - Portfolio_Mgmt!$C$11</f>
        <v>8.4860993802611154E-2</v>
      </c>
      <c r="I9" s="15">
        <v>0</v>
      </c>
      <c r="J9" s="2">
        <v>6.0942417132402751</v>
      </c>
      <c r="K9" s="2">
        <v>12.91528670453229</v>
      </c>
      <c r="L9" s="85">
        <v>11.913128542800674</v>
      </c>
      <c r="M9" s="2">
        <v>8.582443057830476</v>
      </c>
      <c r="N9" s="2">
        <v>11.073728055846336</v>
      </c>
      <c r="O9" s="4">
        <v>3.3315807213132369E-2</v>
      </c>
      <c r="P9" s="4">
        <v>3.7771482530689335E-2</v>
      </c>
      <c r="Q9" s="4">
        <v>3.888300021475994E-2</v>
      </c>
      <c r="R9" s="4">
        <v>7.6099586896956867E-2</v>
      </c>
      <c r="S9" s="94">
        <v>0.30413488760323032</v>
      </c>
      <c r="T9" s="95">
        <v>1.6800075256655485</v>
      </c>
      <c r="U9" s="15">
        <v>9.2587702159681276E-2</v>
      </c>
      <c r="V9" s="90">
        <v>2.0939079363495856</v>
      </c>
      <c r="W9" s="85">
        <v>2.6400638402357823</v>
      </c>
      <c r="X9" s="13" t="s">
        <v>271</v>
      </c>
      <c r="Y9" s="11" t="s">
        <v>272</v>
      </c>
      <c r="Z9" s="14">
        <v>45900</v>
      </c>
      <c r="AA9" s="16" t="s">
        <v>266</v>
      </c>
    </row>
    <row r="10" spans="1:27">
      <c r="B10" s="11" t="s">
        <v>239</v>
      </c>
      <c r="C10" s="11" t="s">
        <v>240</v>
      </c>
      <c r="D10" s="2">
        <v>22.64</v>
      </c>
      <c r="E10" s="12" t="s">
        <v>232</v>
      </c>
      <c r="F10" s="15">
        <v>0.103326455001991</v>
      </c>
      <c r="G10" s="15">
        <f>F10 - Portfolio_Mgmt!$C$10</f>
        <v>1.6326455001991008E-2</v>
      </c>
      <c r="H10" s="15">
        <f>F10 - Portfolio_Mgmt!$C$11</f>
        <v>8.4326455001990999E-2</v>
      </c>
      <c r="I10" s="15">
        <v>0</v>
      </c>
      <c r="J10" s="2">
        <v>13.079690025486418</v>
      </c>
      <c r="K10" s="2">
        <v>26.888151196428591</v>
      </c>
      <c r="L10" s="85">
        <v>25.409202896038835</v>
      </c>
      <c r="M10" s="2">
        <v>18.356272555350223</v>
      </c>
      <c r="N10" s="2">
        <v>23.632551844105855</v>
      </c>
      <c r="O10" s="4">
        <v>0.24387660393055821</v>
      </c>
      <c r="P10" s="4">
        <v>4.6819787985865724E-2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21.56</v>
      </c>
      <c r="E11" s="12" t="s">
        <v>232</v>
      </c>
      <c r="F11" s="15">
        <v>6.610289652545509E-2</v>
      </c>
      <c r="G11" s="15">
        <f>F11 - Portfolio_Mgmt!$C$10</f>
        <v>-2.0897103474544904E-2</v>
      </c>
      <c r="H11" s="15">
        <f>F11 - Portfolio_Mgmt!$C$11</f>
        <v>4.7102896525455087E-2</v>
      </c>
      <c r="I11" s="15">
        <v>0</v>
      </c>
      <c r="J11" s="2">
        <v>11.355103666814504</v>
      </c>
      <c r="K11" s="2">
        <v>22.601441956902718</v>
      </c>
      <c r="L11" s="85">
        <v>21.916919635758642</v>
      </c>
      <c r="M11" s="2">
        <v>15.879140273250821</v>
      </c>
      <c r="N11" s="2">
        <v>20.396738931178472</v>
      </c>
      <c r="O11" s="4">
        <v>5.0196881904144924E-2</v>
      </c>
      <c r="P11" s="4">
        <v>5.1020408163265314E-2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13.31</v>
      </c>
      <c r="E12" s="12" t="s">
        <v>232</v>
      </c>
      <c r="F12" s="15">
        <v>-5.0551725042324858E-2</v>
      </c>
      <c r="G12" s="15">
        <f>F12 - Portfolio_Mgmt!$C$10</f>
        <v>-0.13755172504232485</v>
      </c>
      <c r="H12" s="15">
        <f>F12 - Portfolio_Mgmt!$C$11</f>
        <v>-6.9551725042324861E-2</v>
      </c>
      <c r="I12" s="15">
        <v>0</v>
      </c>
      <c r="J12" s="2">
        <v>4.9796479824958464</v>
      </c>
      <c r="K12" s="2">
        <v>10.251430255232371</v>
      </c>
      <c r="L12" s="85">
        <v>9.6765033007385046</v>
      </c>
      <c r="M12" s="2">
        <v>6.9896525426428742</v>
      </c>
      <c r="N12" s="2">
        <v>8.9996639027078977</v>
      </c>
      <c r="O12" s="4">
        <v>3.3331342594402097E-2</v>
      </c>
      <c r="P12" s="4">
        <v>3.005259203606311E-2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4.4699999999999997E-2</v>
      </c>
      <c r="D4" s="34">
        <v>7.4999999999999997E-2</v>
      </c>
      <c r="E4" s="35">
        <f>D4-C4</f>
        <v>3.0300000000000001E-2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4"/>
  <sheetViews>
    <sheetView tabSelected="1" zoomScale="150" workbookViewId="0">
      <selection activeCell="J5" sqref="J5"/>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2" width="10" style="98" customWidth="1"/>
    <col min="13" max="16384" width="9" style="64"/>
  </cols>
  <sheetData>
    <row r="1" spans="1:12" ht="13.15">
      <c r="A1" s="62"/>
      <c r="B1" s="63" t="s">
        <v>209</v>
      </c>
      <c r="I1" s="64"/>
      <c r="J1" s="64"/>
      <c r="K1" s="64"/>
      <c r="L1" s="64"/>
    </row>
    <row r="2" spans="1:12" ht="29.75" customHeight="1">
      <c r="B2" s="65" t="s">
        <v>2</v>
      </c>
      <c r="C2" s="65" t="s">
        <v>212</v>
      </c>
      <c r="D2" s="65" t="s">
        <v>211</v>
      </c>
      <c r="E2" s="65" t="s">
        <v>210</v>
      </c>
      <c r="F2" s="65" t="s">
        <v>215</v>
      </c>
      <c r="G2" s="65" t="s">
        <v>220</v>
      </c>
      <c r="H2" s="65" t="s">
        <v>197</v>
      </c>
      <c r="I2" s="65" t="s">
        <v>225</v>
      </c>
      <c r="J2" s="65" t="s">
        <v>275</v>
      </c>
      <c r="K2" s="65" t="s">
        <v>273</v>
      </c>
      <c r="L2" s="65" t="s">
        <v>274</v>
      </c>
    </row>
    <row r="3" spans="1:12">
      <c r="B3" s="76" t="s">
        <v>27</v>
      </c>
      <c r="C3" s="74" t="s">
        <v>214</v>
      </c>
      <c r="D3" s="73" t="s">
        <v>213</v>
      </c>
      <c r="E3" s="75" t="s">
        <v>214</v>
      </c>
      <c r="F3" s="70">
        <v>141715</v>
      </c>
      <c r="G3" s="72">
        <f t="shared" ref="G3:G4" si="0">F3/$F$11</f>
        <v>0.4898802219264739</v>
      </c>
      <c r="H3" s="89">
        <f>Portfolio_Mgmt!E61</f>
        <v>0.3</v>
      </c>
      <c r="I3" s="96" t="s">
        <v>265</v>
      </c>
      <c r="J3" s="96" t="s">
        <v>265</v>
      </c>
      <c r="K3" s="96" t="s">
        <v>265</v>
      </c>
      <c r="L3" s="96" t="s">
        <v>265</v>
      </c>
    </row>
    <row r="4" spans="1:12">
      <c r="B4" s="77" t="s">
        <v>239</v>
      </c>
      <c r="C4" s="74">
        <f>VLOOKUP(B4,Opportunities!B$3:E$30,3,FALSE)</f>
        <v>22.64</v>
      </c>
      <c r="D4" s="73" t="str">
        <f>VLOOKUP(B4,Opportunities!B$3:E$30,4,FALSE)</f>
        <v>CNY</v>
      </c>
      <c r="E4" s="70">
        <v>3000</v>
      </c>
      <c r="F4" s="75">
        <f>C4*E4</f>
        <v>67920</v>
      </c>
      <c r="G4" s="72">
        <f t="shared" si="0"/>
        <v>0.23478576490312322</v>
      </c>
      <c r="H4" s="72">
        <f>VLOOKUP(B4,Opportunities!B$3:I$30,8,FALSE)</f>
        <v>0</v>
      </c>
      <c r="I4" s="98">
        <f>VLOOKUP(B4,Opportunities!B$3:N$30,12,FALSE)</f>
        <v>18.356272555350223</v>
      </c>
      <c r="J4" s="98">
        <f>VLOOKUP(B4,Opportunities!B$3:N$30,9,FALSE)</f>
        <v>13.079690025486418</v>
      </c>
      <c r="K4" s="98">
        <f>VLOOKUP(B4,Opportunities!B$3:N$30,11,FALSE)</f>
        <v>25.409202896038835</v>
      </c>
      <c r="L4" s="98">
        <f>VLOOKUP(B4,Opportunities!B$3:N$30,13,FALSE)</f>
        <v>23.632551844105855</v>
      </c>
    </row>
    <row r="5" spans="1:12">
      <c r="B5" s="77" t="s">
        <v>252</v>
      </c>
      <c r="C5" s="74">
        <f>VLOOKUP(B5,Opportunities!B$3:E$30,3,FALSE)</f>
        <v>15.93</v>
      </c>
      <c r="D5" s="73" t="str">
        <f>VLOOKUP(B5,Opportunities!B$3:E$30,4,FALSE)</f>
        <v>CNY</v>
      </c>
      <c r="E5" s="70">
        <v>5000</v>
      </c>
      <c r="F5" s="75">
        <f>C5*E5</f>
        <v>79650</v>
      </c>
      <c r="G5" s="72">
        <f t="shared" ref="G5" si="1">F5/$F$11</f>
        <v>0.2753340131704029</v>
      </c>
      <c r="H5" s="72">
        <f>VLOOKUP(B5,Opportunities!B$3:I$30,8,FALSE)</f>
        <v>0.33927261563392408</v>
      </c>
      <c r="I5" s="98">
        <f>VLOOKUP(B5,Opportunities!B$3:N$30,12,FALSE)</f>
        <v>17.577047192866189</v>
      </c>
      <c r="J5" s="98">
        <f>VLOOKUP(B5,Opportunities!B$3:N$30,9,FALSE)</f>
        <v>12.534408209968158</v>
      </c>
      <c r="K5" s="98">
        <f>VLOOKUP(B5,Opportunities!B$3:N$30,11,FALSE)</f>
        <v>24.315000552184742</v>
      </c>
      <c r="L5" s="98">
        <f>VLOOKUP(B5,Opportunities!B$3:N$30,13,FALSE)</f>
        <v>22.61787767563613</v>
      </c>
    </row>
    <row r="6" spans="1:12">
      <c r="B6" s="77"/>
      <c r="C6" s="74"/>
      <c r="D6" s="73"/>
      <c r="E6" s="70"/>
      <c r="F6" s="75"/>
      <c r="G6" s="72"/>
      <c r="H6" s="72"/>
    </row>
    <row r="7" spans="1:12">
      <c r="B7" s="77"/>
      <c r="C7" s="74"/>
      <c r="D7" s="73"/>
      <c r="E7" s="70"/>
      <c r="F7" s="75"/>
      <c r="G7" s="72"/>
      <c r="H7" s="72"/>
    </row>
    <row r="8" spans="1:12">
      <c r="B8" s="77"/>
      <c r="C8" s="74"/>
      <c r="D8" s="73"/>
      <c r="E8" s="70"/>
      <c r="F8" s="75"/>
      <c r="G8" s="72"/>
      <c r="H8" s="72"/>
    </row>
    <row r="9" spans="1:12">
      <c r="B9" s="77"/>
      <c r="C9" s="74"/>
      <c r="D9" s="73"/>
      <c r="E9" s="70"/>
      <c r="F9" s="75"/>
      <c r="G9" s="72"/>
      <c r="H9" s="72"/>
    </row>
    <row r="10" spans="1:12">
      <c r="B10" s="66"/>
      <c r="C10" s="69"/>
      <c r="D10" s="66"/>
      <c r="H10" s="88"/>
    </row>
    <row r="11" spans="1:12" ht="13.15">
      <c r="B11" s="78"/>
      <c r="C11" s="79"/>
      <c r="D11" s="78"/>
      <c r="E11" s="80" t="s">
        <v>219</v>
      </c>
      <c r="F11" s="80">
        <f>SUM(F3:F9)</f>
        <v>289285</v>
      </c>
      <c r="G11" s="81">
        <f>SUM(G3:G9)</f>
        <v>1</v>
      </c>
      <c r="H11" s="87">
        <f>SUM(H3:H9)</f>
        <v>0.63927261563392412</v>
      </c>
      <c r="I11" s="97" t="s">
        <v>265</v>
      </c>
      <c r="J11" s="97" t="s">
        <v>265</v>
      </c>
      <c r="K11" s="97" t="s">
        <v>265</v>
      </c>
      <c r="L11" s="97" t="s">
        <v>265</v>
      </c>
    </row>
    <row r="12" spans="1:12">
      <c r="B12" s="66"/>
      <c r="C12" s="69"/>
      <c r="D12" s="66"/>
      <c r="E12" s="70"/>
      <c r="F12" s="70"/>
    </row>
    <row r="13" spans="1:12" ht="13.15">
      <c r="A13" s="62"/>
      <c r="B13" s="63" t="s">
        <v>217</v>
      </c>
    </row>
    <row r="14" spans="1:12">
      <c r="B14" s="77" t="s">
        <v>239</v>
      </c>
      <c r="C14" s="74">
        <f>VLOOKUP(B14,Opportunities!B$3:E$30,3,FALSE)</f>
        <v>22.64</v>
      </c>
      <c r="D14" s="73" t="str">
        <f>VLOOKUP(B14,Opportunities!B$3:E$30,4,FALSE)</f>
        <v>CNY</v>
      </c>
      <c r="E14" s="70">
        <v>-3000</v>
      </c>
      <c r="F14" s="75">
        <f>-C14*E14</f>
        <v>67920</v>
      </c>
      <c r="G14" s="72">
        <f>-F14/$F$11</f>
        <v>-0.23478576490312322</v>
      </c>
      <c r="H14" s="72">
        <f>VLOOKUP(B14,Opportunities!B$3:I$30,8,FALSE)</f>
        <v>0</v>
      </c>
      <c r="I14" s="98">
        <f>VLOOKUP(B14,Opportunities!B$3:N$30,12,FALSE)</f>
        <v>18.356272555350223</v>
      </c>
      <c r="J14" s="98">
        <f>VLOOKUP(B14,Opportunities!B$3:N$30,9,FALSE)</f>
        <v>13.079690025486418</v>
      </c>
      <c r="K14" s="98">
        <f>VLOOKUP(B14,Opportunities!B$3:N$30,11,FALSE)</f>
        <v>25.409202896038835</v>
      </c>
      <c r="L14" s="98">
        <f>VLOOKUP(B14,Opportunities!B$3:N$30,13,FALSE)</f>
        <v>23.632551844105855</v>
      </c>
    </row>
    <row r="15" spans="1:12">
      <c r="B15" s="77" t="s">
        <v>256</v>
      </c>
      <c r="C15" s="74">
        <f>VLOOKUP(B15,Opportunities!B$3:E$30,3,FALSE)</f>
        <v>45.26</v>
      </c>
      <c r="D15" s="73" t="str">
        <f>VLOOKUP(B15,Opportunities!B$3:E$30,4,FALSE)</f>
        <v>CNY</v>
      </c>
      <c r="E15" s="70">
        <v>0</v>
      </c>
      <c r="F15" s="75">
        <f>-C15*E15</f>
        <v>0</v>
      </c>
      <c r="G15" s="72">
        <f>-F15/$F$11</f>
        <v>0</v>
      </c>
      <c r="H15" s="72">
        <f>VLOOKUP(B15,Opportunities!B$3:I$30,8,FALSE)</f>
        <v>0.11734470085295423</v>
      </c>
      <c r="I15" s="98">
        <f>VLOOKUP(B15,Opportunities!B$3:N$30,12,FALSE)</f>
        <v>40.844732114544499</v>
      </c>
      <c r="J15" s="98">
        <f>VLOOKUP(B15,Opportunities!B$3:N$30,9,FALSE)</f>
        <v>28.803263731047231</v>
      </c>
      <c r="K15" s="98">
        <f>VLOOKUP(B15,Opportunities!B$3:N$30,11,FALSE)</f>
        <v>57.008678420375631</v>
      </c>
      <c r="L15" s="98">
        <f>VLOOKUP(B15,Opportunities!B$3:N$30,13,FALSE)</f>
        <v>52.931363368704652</v>
      </c>
    </row>
    <row r="16" spans="1:12">
      <c r="G16" s="86"/>
      <c r="H16" s="86"/>
    </row>
    <row r="17" spans="2:12" ht="13.15">
      <c r="B17" s="82" t="s">
        <v>218</v>
      </c>
      <c r="C17" s="83" t="s">
        <v>214</v>
      </c>
      <c r="D17" s="84" t="s">
        <v>153</v>
      </c>
      <c r="E17" s="83" t="s">
        <v>214</v>
      </c>
      <c r="F17" s="80">
        <f>F3+SUM(F14:F14)</f>
        <v>209635</v>
      </c>
      <c r="G17" s="87">
        <f t="shared" ref="G17" si="2">F17/$F$11</f>
        <v>0.72466598682959715</v>
      </c>
      <c r="H17" s="87">
        <f>Portfolio_Mgmt!E61</f>
        <v>0.3</v>
      </c>
      <c r="I17" s="97" t="s">
        <v>265</v>
      </c>
      <c r="J17" s="97" t="s">
        <v>265</v>
      </c>
      <c r="K17" s="97" t="s">
        <v>265</v>
      </c>
      <c r="L17" s="97" t="s">
        <v>265</v>
      </c>
    </row>
    <row r="19" spans="2:12">
      <c r="B19" s="66"/>
      <c r="C19" s="69"/>
      <c r="D19" s="66"/>
      <c r="E19" s="70"/>
      <c r="F19" s="70"/>
    </row>
    <row r="29" spans="2:12">
      <c r="B29" s="66"/>
      <c r="C29" s="69"/>
      <c r="D29" s="66"/>
      <c r="E29" s="70"/>
      <c r="F29"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7"/>
      <c r="D34" s="66"/>
      <c r="E34" s="68"/>
      <c r="F34"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1" t="s">
        <v>99</v>
      </c>
      <c r="C3" s="111"/>
      <c r="D3" s="111"/>
    </row>
    <row r="5" spans="1:4">
      <c r="B5" s="112" t="s">
        <v>101</v>
      </c>
      <c r="C5" s="100"/>
      <c r="D5" s="100"/>
    </row>
    <row r="6" spans="1:4">
      <c r="B6" s="112" t="s">
        <v>102</v>
      </c>
      <c r="C6" s="100"/>
      <c r="D6" s="100"/>
    </row>
    <row r="8" spans="1:4">
      <c r="B8" s="1" t="s">
        <v>100</v>
      </c>
    </row>
    <row r="10" spans="1:4">
      <c r="A10" s="5"/>
      <c r="B10" s="6" t="s">
        <v>103</v>
      </c>
    </row>
    <row r="11" spans="1:4">
      <c r="B11" s="111" t="s">
        <v>104</v>
      </c>
      <c r="C11" s="111"/>
      <c r="D11" s="111"/>
    </row>
    <row r="12" spans="1:4">
      <c r="B12" s="111" t="s">
        <v>105</v>
      </c>
      <c r="C12" s="111"/>
      <c r="D12" s="111"/>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1" t="s">
        <v>117</v>
      </c>
      <c r="C28" s="111"/>
      <c r="D28" s="111"/>
    </row>
    <row r="29" spans="1:4">
      <c r="B29" s="111" t="s">
        <v>118</v>
      </c>
      <c r="C29" s="111"/>
      <c r="D29" s="111"/>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2025-05-30T11:24:25Z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