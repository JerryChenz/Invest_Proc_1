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8F41E15-82B2-4977-BED4-90E3BB99A789}" xr6:coauthVersionLast="47" xr6:coauthVersionMax="47" xr10:uidLastSave="{00000000-0000-0000-0000-000000000000}"/>
  <bookViews>
    <workbookView xWindow="-28920" yWindow="6150" windowWidth="29040" windowHeight="15720" firstSheet="1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<sst xmlns="http://schemas.openxmlformats.org/spreadsheetml/2006/main" count="408" uniqueCount="359">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</sst>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="83" workbookViewId="0">
      <selection activeCell="B48" sqref="B4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144</v>
      </c>
      <c r="C4" s="144"/>
      <c r="D4" s="144"/>
      <c r="E4" s="144"/>
    </row>
    <row r="6" spans="1:5">
      <c r="A6" s="20" t="s">
        <v>57</v>
      </c>
      <c r="B6" s="19" t="s">
        <v>138</v>
      </c>
      <c r="C6" s="47"/>
    </row>
    <row r="7" spans="1:5">
      <c r="B7" s="144" t="s">
        <v>198</v>
      </c>
      <c r="C7" s="144"/>
      <c r="D7" s="144"/>
      <c r="E7" s="144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44" t="s">
        <v>339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45" t="s">
        <v>200</v>
      </c>
      <c r="C27" s="144"/>
      <c r="D27" s="144"/>
      <c r="E27" s="144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44" t="s">
        <v>207</v>
      </c>
      <c r="C41" s="144"/>
      <c r="D41" s="144"/>
      <c r="E41" s="144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5" t="s">
        <v>341</v>
      </c>
      <c r="C50" s="144"/>
      <c r="D50" s="144"/>
      <c r="E50" s="144"/>
    </row>
    <row r="51" spans="1:5">
      <c r="B51" s="145" t="s">
        <v>220</v>
      </c>
      <c r="C51" s="145"/>
      <c r="D51" s="145"/>
      <c r="E51" s="145"/>
    </row>
    <row r="53" spans="1:5">
      <c r="A53" s="21" t="s">
        <v>133</v>
      </c>
      <c r="B53" s="21"/>
      <c r="C53" s="21"/>
      <c r="D53" s="21"/>
      <c r="E53" s="21"/>
    </row>
    <row r="55" spans="1:5">
      <c r="B55" s="144" t="s">
        <v>209</v>
      </c>
      <c r="C55" s="144"/>
      <c r="D55" s="144"/>
      <c r="E55" s="144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0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0</v>
      </c>
    </row>
    <row r="72" spans="1:5">
      <c r="D72" s="27" t="s">
        <v>68</v>
      </c>
      <c r="E72" s="39">
        <f>SUM(E67:E71)</f>
        <v>4</v>
      </c>
    </row>
    <row r="73" spans="1:5" ht="12" thickBot="1">
      <c r="D73" s="41" t="s">
        <v>135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44" t="s">
        <v>134</v>
      </c>
      <c r="C81" s="144"/>
      <c r="D81" s="144"/>
      <c r="E81" s="144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24" sqref="D2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8" t="s">
        <v>1</v>
      </c>
      <c r="E1" s="148"/>
      <c r="F1" s="148"/>
      <c r="G1" s="143"/>
      <c r="H1" s="150" t="s">
        <v>4</v>
      </c>
      <c r="I1" s="150"/>
      <c r="J1" s="150"/>
      <c r="K1" s="149" t="s">
        <v>162</v>
      </c>
      <c r="L1" s="149"/>
      <c r="M1" s="146" t="s">
        <v>8</v>
      </c>
      <c r="N1" s="146"/>
      <c r="O1" s="152" t="s">
        <v>174</v>
      </c>
      <c r="P1" s="152"/>
      <c r="Q1" s="152"/>
      <c r="R1" s="152"/>
      <c r="S1" s="151" t="s">
        <v>170</v>
      </c>
      <c r="T1" s="151"/>
      <c r="U1" s="151"/>
      <c r="V1" s="147" t="s">
        <v>48</v>
      </c>
      <c r="W1" s="147"/>
      <c r="X1" s="147"/>
      <c r="Y1" s="147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108.13</v>
      </c>
      <c r="E3" s="12" t="s">
        <v>350</v>
      </c>
      <c r="F3" s="15">
        <v>0.16144498911950469</v>
      </c>
      <c r="G3" s="15">
        <v>0</v>
      </c>
      <c r="H3" s="2">
        <v>78.012426135280521</v>
      </c>
      <c r="I3" s="2">
        <v>154.90342821921132</v>
      </c>
      <c r="J3" s="71">
        <v>136.36157636797898</v>
      </c>
      <c r="K3" s="2">
        <v>98.348854293525079</v>
      </c>
      <c r="L3" s="2">
        <v>131.12448893172376</v>
      </c>
      <c r="M3" s="4">
        <v>8.2812771750565228E-2</v>
      </c>
      <c r="N3" s="4">
        <v>3.8220660316285959E-2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354</v>
      </c>
      <c r="C4" s="11" t="s">
        <v>355</v>
      </c>
      <c r="D4" s="2">
        <v>17.66</v>
      </c>
      <c r="E4" s="12" t="s">
        <v>350</v>
      </c>
      <c r="F4" s="15">
        <v>0.13447044185038079</v>
      </c>
      <c r="G4" s="15">
        <v>0</v>
      </c>
      <c r="H4" s="2">
        <v>12.010833823982884</v>
      </c>
      <c r="I4" s="2">
        <v>22.158401911290397</v>
      </c>
      <c r="J4" s="71">
        <v>20.730780285650923</v>
      </c>
      <c r="K4" s="2">
        <v>15.056019624589352</v>
      </c>
      <c r="L4" s="2">
        <v>19.949994757287094</v>
      </c>
      <c r="M4" s="4">
        <v>7.9066834246418569E-2</v>
      </c>
      <c r="N4" s="4">
        <v>6.0022650056625146E-2</v>
      </c>
      <c r="O4" s="4">
        <v>0.23262925318478492</v>
      </c>
      <c r="P4" s="4">
        <v>0.17509284601323677</v>
      </c>
      <c r="Q4" s="79">
        <v>0.68288968092621871</v>
      </c>
      <c r="R4" s="78">
        <v>1.9455633401039498</v>
      </c>
      <c r="S4" s="15">
        <v>4.3380350010353987E-2</v>
      </c>
      <c r="T4" s="76">
        <v>0.18538212957704164</v>
      </c>
      <c r="U4" s="71">
        <v>-0.45026820353990077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357</v>
      </c>
      <c r="C5" s="11" t="s">
        <v>358</v>
      </c>
      <c r="D5" s="2">
        <v>104.79</v>
      </c>
      <c r="E5" s="12" t="s">
        <v>350</v>
      </c>
      <c r="F5" s="15">
        <v>0.11244042740653257</v>
      </c>
      <c r="G5" s="15">
        <v>0</v>
      </c>
      <c r="H5" s="2">
        <v>66.49378342223514</v>
      </c>
      <c r="I5" s="2">
        <v>134.70696317865062</v>
      </c>
      <c r="J5" s="71">
        <v>116.64459638273874</v>
      </c>
      <c r="K5" s="2">
        <v>83.96331433949689</v>
      </c>
      <c r="L5" s="2">
        <v>112.14039032279322</v>
      </c>
      <c r="M5" s="4">
        <v>7.3268664382588819E-2</v>
      </c>
      <c r="N5" s="4">
        <v>2.721729172630976E-2</v>
      </c>
      <c r="O5" s="4">
        <v>0.25</v>
      </c>
      <c r="P5" s="4">
        <v>0.40406742273746776</v>
      </c>
      <c r="Q5" s="79">
        <v>0.4610552539366265</v>
      </c>
      <c r="R5" s="78">
        <v>1.3419403008261008</v>
      </c>
      <c r="S5" s="15">
        <v>1.4942693904035366E-3</v>
      </c>
      <c r="T5" s="76">
        <v>5.1971735080735887E-3</v>
      </c>
      <c r="U5" s="71">
        <v>24.855396491318039</v>
      </c>
      <c r="V5" s="13" t="s">
        <v>351</v>
      </c>
      <c r="W5" s="11" t="s">
        <v>352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5" t="s">
        <v>226</v>
      </c>
      <c r="C4" s="144"/>
      <c r="D4" s="144"/>
      <c r="E4" s="144"/>
    </row>
    <row r="6" spans="1:5">
      <c r="A6" s="20" t="s">
        <v>57</v>
      </c>
      <c r="B6" s="19" t="s">
        <v>227</v>
      </c>
      <c r="C6" s="47"/>
    </row>
    <row r="7" spans="1:5">
      <c r="B7" s="145" t="s">
        <v>317</v>
      </c>
      <c r="C7" s="144"/>
      <c r="D7" s="144"/>
      <c r="E7" s="144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45" t="s">
        <v>242</v>
      </c>
      <c r="C24" s="144"/>
      <c r="D24" s="144"/>
      <c r="E24" s="144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4" t="s">
        <v>262</v>
      </c>
      <c r="C40" s="144"/>
      <c r="D40" s="144"/>
      <c r="E40" s="144"/>
    </row>
    <row r="41" spans="1:5">
      <c r="B41" s="145" t="s">
        <v>263</v>
      </c>
      <c r="C41" s="144"/>
      <c r="D41" s="144"/>
      <c r="E41" s="144"/>
    </row>
    <row r="42" spans="1:5">
      <c r="B42" s="145" t="s">
        <v>264</v>
      </c>
      <c r="C42" s="144"/>
      <c r="D42" s="144"/>
      <c r="E42" s="144"/>
    </row>
    <row r="43" spans="1:5">
      <c r="B43" s="145" t="s">
        <v>265</v>
      </c>
      <c r="C43" s="145"/>
      <c r="D43" s="145"/>
      <c r="E43" s="145"/>
    </row>
    <row r="44" spans="1:5" ht="34.25" customHeight="1">
      <c r="B44" s="144" t="s">
        <v>316</v>
      </c>
      <c r="C44" s="144"/>
      <c r="D44" s="144"/>
      <c r="E44" s="144"/>
    </row>
    <row r="46" spans="1:5">
      <c r="A46" s="21" t="s">
        <v>266</v>
      </c>
      <c r="B46" s="21"/>
      <c r="C46" s="21"/>
      <c r="D46" s="21"/>
      <c r="E46" s="21"/>
    </row>
    <row r="48" spans="1:5">
      <c r="B48" s="144" t="s">
        <v>267</v>
      </c>
      <c r="C48" s="144"/>
      <c r="D48" s="144"/>
      <c r="E48" s="144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0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0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4" t="s">
        <v>299</v>
      </c>
      <c r="C74" s="144"/>
      <c r="D74" s="144"/>
      <c r="E74" s="144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tabSelected="1" zoomScaleNormal="100" workbookViewId="0">
      <selection activeCell="F5" sqref="F5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108.13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0</v>
      </c>
      <c r="J4" s="81">
        <f>VLOOKUP(B4,Opportunities!B$3:L$30,10,FALSE)</f>
        <v>98.348854293525079</v>
      </c>
      <c r="K4" s="81">
        <f>VLOOKUP(B4,Opportunities!B$3:L$30,7,FALSE)</f>
        <v>78.012426135280521</v>
      </c>
      <c r="L4" s="81">
        <f>VLOOKUP(B4,Opportunities!B$3:L$30,9,FALSE)</f>
        <v>136.36157636797898</v>
      </c>
      <c r="M4" s="81">
        <f>VLOOKUP(B4,Opportunities!B$3:L$30,11,FALSE)</f>
        <v>131.12448893172376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0.45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108.13</v>
      </c>
      <c r="E9" s="59" t="str">
        <f>VLOOKUP(B9,Opportunities!B$3:E$30,4,FALSE)</f>
        <v>CNY</v>
      </c>
      <c r="F9" s="57">
        <v>0</v>
      </c>
      <c r="G9" s="61">
        <f>-D9*F9</f>
        <v>0</v>
      </c>
      <c r="H9" s="58">
        <f>-G9/$G$6</f>
        <v>0</v>
      </c>
      <c r="I9" s="58">
        <f>VLOOKUP(B9,Opportunities!B$3:G$30,6,FALSE)</f>
        <v>0</v>
      </c>
      <c r="J9" s="81">
        <f>VLOOKUP(B9,Opportunities!B$3:L$30,10,FALSE)</f>
        <v>98.348854293525079</v>
      </c>
      <c r="K9" s="81">
        <f>VLOOKUP(B9,Opportunities!B$3:L$30,7,FALSE)</f>
        <v>78.012426135280521</v>
      </c>
      <c r="L9" s="81">
        <f>VLOOKUP(B9,Opportunities!B$3:L$30,9,FALSE)</f>
        <v>136.36157636797898</v>
      </c>
      <c r="M9" s="81">
        <f>VLOOKUP(B9,Opportunities!B$3:L$30,11,FALSE)</f>
        <v>131.12448893172376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500000</v>
      </c>
      <c r="H11" s="73">
        <f t="shared" ref="H11" si="0">G11/$G$6</f>
        <v>1</v>
      </c>
      <c r="I11" s="73">
        <f>Portfolio_Mgmt!E73</f>
        <v>0.45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2026-03-17T10:12:18Z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