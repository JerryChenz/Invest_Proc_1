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F8B5F00-6827-45F4-9EB1-347FB9BC950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<sst xmlns="http://schemas.openxmlformats.org/spreadsheetml/2006/main" count="423" uniqueCount="356">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</sst>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55.25</v>
      </c>
      <c r="E3" s="12" t="s">
        <v>327</v>
      </c>
      <c r="F3" s="15">
        <v>0.1024185153106183</v>
      </c>
      <c r="G3" s="15">
        <f>F3 - Portfolio_Mgmt!$C$10</f>
        <v>1.5418515310618303E-2</v>
      </c>
      <c r="H3" s="15">
        <f>F3 - Portfolio_Mgmt!$C$11</f>
        <v>8.3418515310618294E-2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7.8534318595927063E-2</v>
      </c>
      <c r="P3" s="4">
        <v>3.9095022624434393E-2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15.99</v>
      </c>
      <c r="E4" s="12" t="s">
        <v>327</v>
      </c>
      <c r="F4" s="15">
        <v>9.2071429726595877E-2</v>
      </c>
      <c r="G4" s="15">
        <f>F4 - Portfolio_Mgmt!$C$10</f>
        <v>5.071429726595883E-3</v>
      </c>
      <c r="H4" s="15">
        <f>F4 - Portfolio_Mgmt!$C$11</f>
        <v>7.3071429726595874E-2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7.3609960303897354E-2</v>
      </c>
      <c r="P4" s="4">
        <v>5.966228893058162E-2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10.050000000000001</v>
      </c>
      <c r="E5" s="12" t="s">
        <v>327</v>
      </c>
      <c r="F5" s="15">
        <v>8.6434871313679995E-2</v>
      </c>
      <c r="G5" s="15">
        <f>F5 - Portfolio_Mgmt!$C$10</f>
        <v>-5.6512868631999891E-4</v>
      </c>
      <c r="H5" s="15">
        <f>F5 - Portfolio_Mgmt!$C$11</f>
        <v>6.7434871313679992E-2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3.5105910287270822E-2</v>
      </c>
      <c r="P5" s="4">
        <v>3.5820895522388062E-2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5.57</v>
      </c>
      <c r="E6" s="12" t="s">
        <v>327</v>
      </c>
      <c r="F6" s="15">
        <v>6.3408396767668407E-2</v>
      </c>
      <c r="G6" s="15">
        <f>F6 - Portfolio_Mgmt!$C$10</f>
        <v>-2.3591603232331587E-2</v>
      </c>
      <c r="H6" s="15">
        <f>F6 - Portfolio_Mgmt!$C$11</f>
        <v>4.4408396767668404E-2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4.1292656520907418E-2</v>
      </c>
      <c r="P6" s="4">
        <v>3.2477558348294432E-2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23.13</v>
      </c>
      <c r="E7" s="12" t="s">
        <v>327</v>
      </c>
      <c r="F7" s="15">
        <v>4.0390400223063061E-2</v>
      </c>
      <c r="G7" s="15">
        <f>F7 - Portfolio_Mgmt!$C$10</f>
        <v>-4.6609599776936933E-2</v>
      </c>
      <c r="H7" s="15">
        <f>F7 - Portfolio_Mgmt!$C$11</f>
        <v>2.1390400223063061E-2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5.7252958139827059E-2</v>
      </c>
      <c r="P7" s="4">
        <v>4.1245136186770434E-2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69.680000000000007</v>
      </c>
      <c r="E8" s="12" t="s">
        <v>327</v>
      </c>
      <c r="F8" s="15">
        <v>3.9904703563510946E-2</v>
      </c>
      <c r="G8" s="15">
        <f>F8 - Portfolio_Mgmt!$C$10</f>
        <v>-4.7095296436489048E-2</v>
      </c>
      <c r="H8" s="15">
        <f>F8 - Portfolio_Mgmt!$C$11</f>
        <v>2.0904703563510946E-2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5.1942808198195363E-2</v>
      </c>
      <c r="P8" s="4">
        <v>6.0021526980482208E-2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51.79</v>
      </c>
      <c r="E9" s="12" t="s">
        <v>327</v>
      </c>
      <c r="F9" s="15">
        <v>2.2620360032003184E-2</v>
      </c>
      <c r="G9" s="15">
        <f>F9 - Portfolio_Mgmt!$C$10</f>
        <v>-6.437963996799681E-2</v>
      </c>
      <c r="H9" s="15">
        <f>F9 - Portfolio_Mgmt!$C$11</f>
        <v>3.6203600320031844E-3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4.1764419975743552E-2</v>
      </c>
      <c r="P9" s="4">
        <v>1.7377872176095772E-2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20.43</v>
      </c>
      <c r="E10" s="12" t="s">
        <v>327</v>
      </c>
      <c r="F10" s="15">
        <v>2.1770151880595057E-2</v>
      </c>
      <c r="G10" s="15">
        <f>F10 - Portfolio_Mgmt!$C$10</f>
        <v>-6.5229848119404937E-2</v>
      </c>
      <c r="H10" s="15">
        <f>F10 - Portfolio_Mgmt!$C$11</f>
        <v>2.7701518805950572E-3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5.2973312474467182E-2</v>
      </c>
      <c r="P10" s="4">
        <v>4.8458149779735692E-2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22.88</v>
      </c>
      <c r="E11" s="12" t="s">
        <v>327</v>
      </c>
      <c r="F11" s="15">
        <v>1.4269346210678879E-2</v>
      </c>
      <c r="G11" s="15">
        <f>F11 - Portfolio_Mgmt!$C$10</f>
        <v>-7.2730653789321115E-2</v>
      </c>
      <c r="H11" s="15">
        <f>F11 - Portfolio_Mgmt!$C$11</f>
        <v>-4.7306537893211202E-3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0.24131845773548247</v>
      </c>
      <c r="P11" s="4">
        <v>4.6328671328671335E-2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15.62</v>
      </c>
      <c r="E12" s="12" t="s">
        <v>327</v>
      </c>
      <c r="F12" s="15">
        <v>-0.14900551678966867</v>
      </c>
      <c r="G12" s="15">
        <f>F12 - Portfolio_Mgmt!$C$10</f>
        <v>-0.23600551678966866</v>
      </c>
      <c r="H12" s="15">
        <f>F12 - Portfolio_Mgmt!$C$11</f>
        <v>-0.16800551678966866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2.8402059534666579E-2</v>
      </c>
      <c r="P12" s="4">
        <v>2.3047375160051221E-2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4.2300000000000004E-2</v>
      </c>
      <c r="D4" s="34">
        <v>7.4999999999999997E-2</v>
      </c>
      <c r="E4" s="35">
        <f>D4-C4</f>
        <v>3.2699999999999993E-2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0.53360118020025737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22.88</v>
      </c>
      <c r="D4" s="62" t="str">
        <f>VLOOKUP(B4,Opportunities!B$3:E$30,4,FALSE)</f>
        <v>CNY</v>
      </c>
      <c r="E4" s="59">
        <v>3000</v>
      </c>
      <c r="F4" s="64">
        <f>E4*C4</f>
        <v>68640</v>
      </c>
      <c r="G4" s="61">
        <f>F4/$F$10</f>
        <v>0.21544932358203334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15.99</v>
      </c>
      <c r="D5" s="62" t="str">
        <f>VLOOKUP(B5,Opportunities!B$3:E$30,4,FALSE)</f>
        <v>CNY</v>
      </c>
      <c r="E5" s="59">
        <v>5000</v>
      </c>
      <c r="F5" s="64">
        <f>C5*E5</f>
        <v>79950</v>
      </c>
      <c r="G5" s="61">
        <f>F5/$F$10</f>
        <v>0.25094949621770929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318590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0.53360118020025737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2025-08-11T10:30:32Z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