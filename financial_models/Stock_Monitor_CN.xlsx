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692BB562-BC0A-476B-9708-A70E2BD43E98}"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<sst xmlns="http://schemas.openxmlformats.org/spreadsheetml/2006/main" count="317" uniqueCount="273">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</sst>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7" t="s">
        <v>204</v>
      </c>
      <c r="C4" s="97"/>
      <c r="D4" s="97"/>
      <c r="E4" s="97"/>
    </row>
    <row r="6" spans="1:5">
      <c r="A6" s="20" t="s">
        <v>63</v>
      </c>
      <c r="B6" s="19" t="s">
        <v>187</v>
      </c>
      <c r="C6" s="60"/>
    </row>
    <row r="7" spans="1:5">
      <c r="B7" s="97" t="s">
        <v>192</v>
      </c>
      <c r="C7" s="97"/>
      <c r="D7" s="97"/>
      <c r="E7" s="97"/>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7" t="s">
        <v>203</v>
      </c>
      <c r="C24" s="97"/>
      <c r="D24" s="97"/>
      <c r="E24" s="97"/>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7" t="s">
        <v>151</v>
      </c>
      <c r="C39" s="97"/>
      <c r="D39" s="97"/>
      <c r="E39" s="97"/>
    </row>
    <row r="40" spans="1:5" ht="46.5" customHeight="1">
      <c r="B40" s="97" t="s">
        <v>216</v>
      </c>
      <c r="C40" s="97"/>
      <c r="D40" s="97"/>
      <c r="E40" s="97"/>
    </row>
    <row r="42" spans="1:5">
      <c r="A42" s="21" t="s">
        <v>170</v>
      </c>
      <c r="B42" s="21"/>
      <c r="C42" s="21"/>
      <c r="D42" s="21"/>
      <c r="E42" s="21"/>
    </row>
    <row r="44" spans="1:5">
      <c r="B44" s="97" t="s">
        <v>191</v>
      </c>
      <c r="C44" s="97"/>
      <c r="D44" s="97"/>
      <c r="E44" s="97"/>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7" t="s">
        <v>179</v>
      </c>
      <c r="C71" s="97"/>
      <c r="D71" s="97"/>
      <c r="E71" s="97"/>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8" t="s">
        <v>175</v>
      </c>
      <c r="C85" s="98"/>
      <c r="D85" s="98"/>
      <c r="E85" s="98"/>
    </row>
    <row r="86" spans="1:5">
      <c r="B86" s="96" t="s">
        <v>173</v>
      </c>
      <c r="C86" s="96"/>
      <c r="D86" s="96"/>
      <c r="E86" s="96"/>
    </row>
    <row r="87" spans="1:5" ht="24.5" customHeight="1">
      <c r="B87" s="97" t="s">
        <v>172</v>
      </c>
      <c r="C87" s="97"/>
      <c r="D87" s="97"/>
      <c r="E87" s="97"/>
    </row>
    <row r="88" spans="1:5" ht="24.5" customHeight="1">
      <c r="B88" s="97" t="s">
        <v>208</v>
      </c>
      <c r="C88" s="97"/>
      <c r="D88" s="97"/>
      <c r="E88" s="97"/>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9" t="s">
        <v>194</v>
      </c>
      <c r="C97" s="99"/>
      <c r="D97" s="99"/>
      <c r="E97" s="99"/>
    </row>
    <row r="99" spans="1:5">
      <c r="B99" s="24" t="s">
        <v>198</v>
      </c>
    </row>
    <row r="100" spans="1:5" ht="12.4">
      <c r="B100" s="99" t="s">
        <v>195</v>
      </c>
      <c r="C100" s="99"/>
      <c r="D100" s="99"/>
      <c r="E100" s="99"/>
    </row>
    <row r="101" spans="1:5" ht="58.5" customHeight="1">
      <c r="B101" s="97" t="s">
        <v>202</v>
      </c>
      <c r="C101" s="97"/>
      <c r="D101" s="97"/>
      <c r="E101" s="97"/>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0.13621164658483448</v>
      </c>
      <c r="D112" s="60" t="str">
        <f>IF(C112&lt;benchmark,"Warning: Return is lower than the Benchmark.","")</f>
        <v/>
      </c>
    </row>
    <row r="114" spans="1:5" ht="24.5" customHeight="1">
      <c r="B114" s="97" t="s">
        <v>200</v>
      </c>
      <c r="C114" s="97"/>
      <c r="D114" s="97"/>
      <c r="E114" s="97"/>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I5" sqref="I3:I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16.22</v>
      </c>
      <c r="E3" s="12" t="s">
        <v>232</v>
      </c>
      <c r="F3" s="15">
        <v>0.22091218945949698</v>
      </c>
      <c r="G3" s="15">
        <f>F3 - Portfolio_Mgmt!$C$10</f>
        <v>0.13391218945949698</v>
      </c>
      <c r="H3" s="15">
        <f>F3 - Portfolio_Mgmt!$C$11</f>
        <v>0.20191218945949699</v>
      </c>
      <c r="I3" s="15">
        <v>0.32776289237314093</v>
      </c>
      <c r="J3" s="2">
        <v>12.534408209968158</v>
      </c>
      <c r="K3" s="2">
        <v>25.584938697660867</v>
      </c>
      <c r="L3" s="85">
        <v>24.315000552184742</v>
      </c>
      <c r="M3" s="2">
        <v>17.577047192866189</v>
      </c>
      <c r="N3" s="2">
        <v>22.61787767563613</v>
      </c>
      <c r="O3" s="4">
        <v>8.3823637401991447E-2</v>
      </c>
      <c r="P3" s="4">
        <v>6.5351418002466105E-2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57.7</v>
      </c>
      <c r="E4" s="12" t="s">
        <v>232</v>
      </c>
      <c r="F4" s="15">
        <v>0.1647356777052329</v>
      </c>
      <c r="G4" s="15">
        <f>F4 - Portfolio_Mgmt!$C$10</f>
        <v>7.7735677705232903E-2</v>
      </c>
      <c r="H4" s="15">
        <f>F4 - Portfolio_Mgmt!$C$11</f>
        <v>0.14573567770523291</v>
      </c>
      <c r="I4" s="15">
        <v>0.24441495208491532</v>
      </c>
      <c r="J4" s="2">
        <v>38.753046443654675</v>
      </c>
      <c r="K4" s="2">
        <v>82.72003076740333</v>
      </c>
      <c r="L4" s="85">
        <v>75.868561604045041</v>
      </c>
      <c r="M4" s="2">
        <v>54.620804067443785</v>
      </c>
      <c r="N4" s="2">
        <v>70.513102505372515</v>
      </c>
      <c r="O4" s="4">
        <v>7.5199672485701377E-2</v>
      </c>
      <c r="P4" s="4">
        <v>4.1594454072790291E-2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246</v>
      </c>
      <c r="C5" s="11" t="s">
        <v>247</v>
      </c>
      <c r="D5" s="2">
        <v>5.19</v>
      </c>
      <c r="E5" s="12" t="s">
        <v>232</v>
      </c>
      <c r="F5" s="15">
        <v>0.13957647293979125</v>
      </c>
      <c r="G5" s="15">
        <f>F5 - Portfolio_Mgmt!$C$10</f>
        <v>5.2576472939791258E-2</v>
      </c>
      <c r="H5" s="15">
        <f>F5 - Portfolio_Mgmt!$C$11</f>
        <v>0.12057647293979125</v>
      </c>
      <c r="I5" s="15">
        <v>0.12782215554194365</v>
      </c>
      <c r="J5" s="2">
        <v>3.2714103607293628</v>
      </c>
      <c r="K5" s="2">
        <v>6.9895661568976033</v>
      </c>
      <c r="L5" s="85">
        <v>6.4058499272029952</v>
      </c>
      <c r="M5" s="2">
        <v>4.6114224254647684</v>
      </c>
      <c r="N5" s="2">
        <v>5.9535611226219638</v>
      </c>
      <c r="O5" s="4">
        <v>4.4316010948257094E-2</v>
      </c>
      <c r="P5" s="4">
        <v>3.872832369942196E-2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c r="B6" s="11" t="s">
        <v>256</v>
      </c>
      <c r="C6" s="11" t="s">
        <v>257</v>
      </c>
      <c r="D6" s="2">
        <v>46.51</v>
      </c>
      <c r="E6" s="12" t="s">
        <v>232</v>
      </c>
      <c r="F6" s="15">
        <v>0.1357585521591167</v>
      </c>
      <c r="G6" s="15">
        <f>F6 - Portfolio_Mgmt!$C$10</f>
        <v>4.8758552159116703E-2</v>
      </c>
      <c r="H6" s="15">
        <f>F6 - Portfolio_Mgmt!$C$11</f>
        <v>0.11675855215911669</v>
      </c>
      <c r="I6" s="15">
        <v>0</v>
      </c>
      <c r="J6" s="2">
        <v>28.803263731047231</v>
      </c>
      <c r="K6" s="2">
        <v>64.714648137522119</v>
      </c>
      <c r="L6" s="85">
        <v>57.008678420375631</v>
      </c>
      <c r="M6" s="2">
        <v>40.844732114544499</v>
      </c>
      <c r="N6" s="2">
        <v>52.931363368704652</v>
      </c>
      <c r="O6" s="4">
        <v>4.650568287559146E-2</v>
      </c>
      <c r="P6" s="4">
        <v>2.1500752526338422E-2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c r="B7" s="11" t="s">
        <v>230</v>
      </c>
      <c r="C7" s="11" t="s">
        <v>231</v>
      </c>
      <c r="D7" s="2">
        <v>65.98</v>
      </c>
      <c r="E7" s="12" t="s">
        <v>232</v>
      </c>
      <c r="F7" s="15">
        <v>0.1232882180025836</v>
      </c>
      <c r="G7" s="15">
        <f>F7 - Portfolio_Mgmt!$C$10</f>
        <v>3.6288218002583611E-2</v>
      </c>
      <c r="H7" s="15">
        <f>F7 - Portfolio_Mgmt!$C$11</f>
        <v>0.1042882180025836</v>
      </c>
      <c r="I7" s="15">
        <v>0</v>
      </c>
      <c r="J7" s="2">
        <v>40.566233510579387</v>
      </c>
      <c r="K7" s="2">
        <v>77.785604602754844</v>
      </c>
      <c r="L7" s="85">
        <v>77.731780095947357</v>
      </c>
      <c r="M7" s="2">
        <v>56.501711311401053</v>
      </c>
      <c r="N7" s="2">
        <v>72.389553073938998</v>
      </c>
      <c r="O7" s="4">
        <v>5.4855636181422453E-2</v>
      </c>
      <c r="P7" s="4">
        <v>7.0430433464686262E-2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10.48</v>
      </c>
      <c r="E8" s="12" t="s">
        <v>232</v>
      </c>
      <c r="F8" s="15">
        <v>0.10784223317227548</v>
      </c>
      <c r="G8" s="15">
        <f>F8 - Portfolio_Mgmt!$C$10</f>
        <v>2.0842233172275487E-2</v>
      </c>
      <c r="H8" s="15">
        <f>F8 - Portfolio_Mgmt!$C$11</f>
        <v>8.8842233172275478E-2</v>
      </c>
      <c r="I8" s="15">
        <v>0</v>
      </c>
      <c r="J8" s="2">
        <v>6.0942417132402751</v>
      </c>
      <c r="K8" s="2">
        <v>12.91528670453229</v>
      </c>
      <c r="L8" s="85">
        <v>11.913128542800674</v>
      </c>
      <c r="M8" s="2">
        <v>8.582443057830476</v>
      </c>
      <c r="N8" s="2">
        <v>11.073728055846336</v>
      </c>
      <c r="O8" s="4">
        <v>3.3665496029300739E-2</v>
      </c>
      <c r="P8" s="4">
        <v>3.8167938931297711E-2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23.08</v>
      </c>
      <c r="E9" s="12" t="s">
        <v>232</v>
      </c>
      <c r="F9" s="15">
        <v>0.10662497056700704</v>
      </c>
      <c r="G9" s="15">
        <f>F9 - Portfolio_Mgmt!$C$10</f>
        <v>1.9624970567007044E-2</v>
      </c>
      <c r="H9" s="15">
        <f>F9 - Portfolio_Mgmt!$C$11</f>
        <v>8.7624970567007035E-2</v>
      </c>
      <c r="I9" s="15">
        <v>0</v>
      </c>
      <c r="J9" s="2">
        <v>13.438941031541804</v>
      </c>
      <c r="K9" s="2">
        <v>27.746753827145845</v>
      </c>
      <c r="L9" s="85">
        <v>26.130102221251306</v>
      </c>
      <c r="M9" s="2">
        <v>18.869653870203344</v>
      </c>
      <c r="N9" s="2">
        <v>24.301055185803946</v>
      </c>
      <c r="O9" s="4">
        <v>5.7376989678258231E-2</v>
      </c>
      <c r="P9" s="4">
        <v>4.5927209705372625E-2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22.62</v>
      </c>
      <c r="E10" s="12" t="s">
        <v>232</v>
      </c>
      <c r="F10" s="15">
        <v>0.10366547931610515</v>
      </c>
      <c r="G10" s="15">
        <f>F10 - Portfolio_Mgmt!$C$10</f>
        <v>1.6665479316105153E-2</v>
      </c>
      <c r="H10" s="15">
        <f>F10 - Portfolio_Mgmt!$C$11</f>
        <v>8.4665479316105144E-2</v>
      </c>
      <c r="I10" s="15">
        <v>0</v>
      </c>
      <c r="J10" s="2">
        <v>13.079690025486418</v>
      </c>
      <c r="K10" s="2">
        <v>26.888151196428591</v>
      </c>
      <c r="L10" s="85">
        <v>25.409202896038835</v>
      </c>
      <c r="M10" s="2">
        <v>18.356272555350223</v>
      </c>
      <c r="N10" s="2">
        <v>23.632551844105855</v>
      </c>
      <c r="O10" s="4">
        <v>0.24409223311175232</v>
      </c>
      <c r="P10" s="4">
        <v>4.6861184792219276E-2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21.76</v>
      </c>
      <c r="E11" s="12" t="s">
        <v>232</v>
      </c>
      <c r="F11" s="15">
        <v>6.2666166557424186E-2</v>
      </c>
      <c r="G11" s="15">
        <f>F11 - Portfolio_Mgmt!$C$10</f>
        <v>-2.4333833442575808E-2</v>
      </c>
      <c r="H11" s="15">
        <f>F11 - Portfolio_Mgmt!$C$11</f>
        <v>4.3666166557424183E-2</v>
      </c>
      <c r="I11" s="15">
        <v>0</v>
      </c>
      <c r="J11" s="2">
        <v>11.355103666814504</v>
      </c>
      <c r="K11" s="2">
        <v>22.601441956902718</v>
      </c>
      <c r="L11" s="85">
        <v>21.916919635758642</v>
      </c>
      <c r="M11" s="2">
        <v>15.879140273250821</v>
      </c>
      <c r="N11" s="2">
        <v>20.396738931178472</v>
      </c>
      <c r="O11" s="4">
        <v>4.9735513504290646E-2</v>
      </c>
      <c r="P11" s="4">
        <v>5.0551470588235295E-2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13.53</v>
      </c>
      <c r="E12" s="12" t="s">
        <v>232</v>
      </c>
      <c r="F12" s="15">
        <v>-5.5896901541827249E-2</v>
      </c>
      <c r="G12" s="15">
        <f>F12 - Portfolio_Mgmt!$C$10</f>
        <v>-0.14289690154182724</v>
      </c>
      <c r="H12" s="15">
        <f>F12 - Portfolio_Mgmt!$C$11</f>
        <v>-7.4896901541827252E-2</v>
      </c>
      <c r="I12" s="15">
        <v>0</v>
      </c>
      <c r="J12" s="2">
        <v>4.9796479824958464</v>
      </c>
      <c r="K12" s="2">
        <v>10.251430255232371</v>
      </c>
      <c r="L12" s="85">
        <v>9.6765033007385046</v>
      </c>
      <c r="M12" s="2">
        <v>6.9896525426428742</v>
      </c>
      <c r="N12" s="2">
        <v>8.9996639027078977</v>
      </c>
      <c r="O12" s="4">
        <v>3.2789369544086615E-2</v>
      </c>
      <c r="P12" s="4">
        <v>2.9563932002956397E-2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4.5100000000000001E-2</v>
      </c>
      <c r="D4" s="34">
        <v>7.4999999999999997E-2</v>
      </c>
      <c r="E4" s="35">
        <f>D4-C4</f>
        <v>2.9899999999999996E-2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I15" sqref="I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0.4758746833820045</v>
      </c>
      <c r="H3" s="89">
        <f>Portfolio_Mgmt!E61</f>
        <v>0.3</v>
      </c>
    </row>
    <row r="4" spans="1:8">
      <c r="B4" s="77" t="s">
        <v>239</v>
      </c>
      <c r="C4" s="74">
        <f>VLOOKUP(B4,Opportunities!B$3:E$30,3,FALSE)</f>
        <v>22.62</v>
      </c>
      <c r="D4" s="73" t="str">
        <f>VLOOKUP(B4,Opportunities!B$3:E$30,4,FALSE)</f>
        <v>CNY</v>
      </c>
      <c r="E4" s="70">
        <v>3000</v>
      </c>
      <c r="F4" s="75">
        <f>C4*E4</f>
        <v>67860</v>
      </c>
      <c r="G4" s="72">
        <f t="shared" si="0"/>
        <v>0.23876976359893382</v>
      </c>
      <c r="H4" s="72">
        <f>VLOOKUP(B4,Opportunities!B$3:I$30,8,FALSE)</f>
        <v>0</v>
      </c>
    </row>
    <row r="5" spans="1:8">
      <c r="B5" s="77" t="s">
        <v>252</v>
      </c>
      <c r="C5" s="74">
        <f>VLOOKUP(B5,Opportunities!B$3:E$30,3,FALSE)</f>
        <v>16.22</v>
      </c>
      <c r="D5" s="73" t="str">
        <f>VLOOKUP(B5,Opportunities!B$3:E$30,4,FALSE)</f>
        <v>CNY</v>
      </c>
      <c r="E5" s="70">
        <v>5000</v>
      </c>
      <c r="F5" s="75">
        <f>C5*E5</f>
        <v>81100</v>
      </c>
      <c r="G5" s="72">
        <f t="shared" ref="G5" si="1">F5/$F$11</f>
        <v>0.28535555301906179</v>
      </c>
      <c r="H5" s="72">
        <f>VLOOKUP(B5,Opportunities!B$3:I$30,8,FALSE)</f>
        <v>0.32776289237314093</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284206.83999999997</v>
      </c>
      <c r="G11" s="81">
        <f>SUM(G3:G9)</f>
        <v>1</v>
      </c>
      <c r="H11" s="87">
        <f>SUM(H3:H9)</f>
        <v>0.62776289237314087</v>
      </c>
    </row>
    <row r="12" spans="1:8">
      <c r="B12" s="66"/>
      <c r="C12" s="69"/>
      <c r="D12" s="66"/>
      <c r="E12" s="70"/>
      <c r="F12" s="70"/>
    </row>
    <row r="13" spans="1:8" ht="13.15">
      <c r="A13" s="62"/>
      <c r="B13" s="63" t="s">
        <v>217</v>
      </c>
    </row>
    <row r="14" spans="1:8">
      <c r="B14" s="77" t="s">
        <v>239</v>
      </c>
      <c r="C14" s="74">
        <f>VLOOKUP(B14,Opportunities!B$3:E$30,3,FALSE)</f>
        <v>22.62</v>
      </c>
      <c r="D14" s="73" t="str">
        <f>VLOOKUP(B14,Opportunities!B$3:E$30,4,FALSE)</f>
        <v>CNY</v>
      </c>
      <c r="E14" s="70">
        <v>-3000</v>
      </c>
      <c r="F14" s="75">
        <f>-C14*E14</f>
        <v>67860</v>
      </c>
      <c r="G14" s="72">
        <f>-F14/$F$11</f>
        <v>-0.23876976359893382</v>
      </c>
      <c r="H14" s="72">
        <f>VLOOKUP(B14,Opportunities!B$3:I$30,8,FALSE)</f>
        <v>0</v>
      </c>
    </row>
    <row r="15" spans="1:8">
      <c r="B15" s="77" t="s">
        <v>252</v>
      </c>
      <c r="C15" s="74">
        <f>VLOOKUP(B15,Opportunities!B$3:E$30,3,FALSE)</f>
        <v>16.22</v>
      </c>
      <c r="D15" s="73" t="str">
        <f>VLOOKUP(B15,Opportunities!B$3:E$30,4,FALSE)</f>
        <v>CNY</v>
      </c>
      <c r="E15" s="70">
        <v>2500</v>
      </c>
      <c r="F15" s="75">
        <f>-C15*E15</f>
        <v>-40550</v>
      </c>
      <c r="G15" s="72">
        <f>-F15/$F$11</f>
        <v>0.1426777765095309</v>
      </c>
      <c r="H15" s="72">
        <f>VLOOKUP(B15,Opportunities!B$3:I$30,8,FALSE)</f>
        <v>0.32776289237314093</v>
      </c>
    </row>
    <row r="16" spans="1:8">
      <c r="G16" s="86"/>
      <c r="H16" s="86"/>
    </row>
    <row r="17" spans="2:8" ht="13.15">
      <c r="B17" s="82" t="s">
        <v>218</v>
      </c>
      <c r="C17" s="83" t="s">
        <v>214</v>
      </c>
      <c r="D17" s="84" t="s">
        <v>153</v>
      </c>
      <c r="E17" s="83" t="s">
        <v>214</v>
      </c>
      <c r="F17" s="80">
        <f>F3+SUM(F14:F14)</f>
        <v>203106.84</v>
      </c>
      <c r="G17" s="87">
        <f t="shared" ref="G17" si="2">F17/$F$11</f>
        <v>0.71464444698093832</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9"/>
      <c r="D5" s="99"/>
    </row>
    <row r="6" spans="1:4">
      <c r="B6" s="109" t="s">
        <v>102</v>
      </c>
      <c r="C6" s="99"/>
      <c r="D6" s="99"/>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2025-05-28T05:40:16Z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