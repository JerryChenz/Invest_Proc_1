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5661692-4027-45D4-8358-850EFA89EA00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<sst xmlns="http://schemas.openxmlformats.org/spreadsheetml/2006/main" count="423" uniqueCount="356">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</sst>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55.9</v>
      </c>
      <c r="E3" s="12" t="s">
        <v>327</v>
      </c>
      <c r="F3" s="15">
        <v>9.7977059820957946E-2</v>
      </c>
      <c r="G3" s="15">
        <f>F3 - Portfolio_Mgmt!$C$10</f>
        <v>1.0977059820957952E-2</v>
      </c>
      <c r="H3" s="15">
        <f>F3 - Portfolio_Mgmt!$C$11</f>
        <v>7.8977059820957943E-2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7.7621128844811621E-2</v>
      </c>
      <c r="P3" s="4">
        <v>3.8640429338103757E-2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16.25</v>
      </c>
      <c r="E4" s="12" t="s">
        <v>327</v>
      </c>
      <c r="F4" s="15">
        <v>8.5889775649045319E-2</v>
      </c>
      <c r="G4" s="15">
        <f>F4 - Portfolio_Mgmt!$C$10</f>
        <v>-1.110224350954675E-3</v>
      </c>
      <c r="H4" s="15">
        <f>F4 - Portfolio_Mgmt!$C$11</f>
        <v>6.6889775649045316E-2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7.2432200939034991E-2</v>
      </c>
      <c r="P4" s="4">
        <v>5.8707692307692315E-2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10.49</v>
      </c>
      <c r="E5" s="12" t="s">
        <v>327</v>
      </c>
      <c r="F5" s="15">
        <v>7.0526250675596147E-2</v>
      </c>
      <c r="G5" s="15">
        <f>F5 - Portfolio_Mgmt!$C$10</f>
        <v>-1.6473749324403847E-2</v>
      </c>
      <c r="H5" s="15">
        <f>F5 - Portfolio_Mgmt!$C$11</f>
        <v>5.1526250675596144E-2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3.3633403087423429E-2</v>
      </c>
      <c r="P5" s="4">
        <v>3.4318398474737846E-2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5.68</v>
      </c>
      <c r="E6" s="12" t="s">
        <v>327</v>
      </c>
      <c r="F6" s="15">
        <v>5.6287543176100963E-2</v>
      </c>
      <c r="G6" s="15">
        <f>F6 - Portfolio_Mgmt!$C$10</f>
        <v>-3.0712456823899031E-2</v>
      </c>
      <c r="H6" s="15">
        <f>F6 - Portfolio_Mgmt!$C$11</f>
        <v>3.728754317610096E-2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4.0492974792509566E-2</v>
      </c>
      <c r="P6" s="4">
        <v>3.1848591549295771E-2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23.24</v>
      </c>
      <c r="E7" s="12" t="s">
        <v>327</v>
      </c>
      <c r="F7" s="15">
        <v>3.8679529256590683E-2</v>
      </c>
      <c r="G7" s="15">
        <f>F7 - Portfolio_Mgmt!$C$10</f>
        <v>-4.8320470743409311E-2</v>
      </c>
      <c r="H7" s="15">
        <f>F7 - Portfolio_Mgmt!$C$11</f>
        <v>1.9679529256590684E-2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5.6981967374104985E-2</v>
      </c>
      <c r="P7" s="4">
        <v>4.1049913941480214E-2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339</v>
      </c>
      <c r="C8" s="11" t="s">
        <v>340</v>
      </c>
      <c r="D8" s="2">
        <v>74.42</v>
      </c>
      <c r="E8" s="12" t="s">
        <v>327</v>
      </c>
      <c r="F8" s="15">
        <v>1.6017635394818486E-2</v>
      </c>
      <c r="G8" s="15">
        <f>F8 - Portfolio_Mgmt!$C$10</f>
        <v>-7.0982364605181508E-2</v>
      </c>
      <c r="H8" s="15">
        <f>F8 - Portfolio_Mgmt!$C$11</f>
        <v>-2.9823646051815138E-3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4.8634437990462957E-2</v>
      </c>
      <c r="P8" s="4">
        <v>5.6198602526202637E-2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>
      <c r="B9" s="11" t="s">
        <v>347</v>
      </c>
      <c r="C9" s="11" t="s">
        <v>348</v>
      </c>
      <c r="D9" s="2">
        <v>20.83</v>
      </c>
      <c r="E9" s="12" t="s">
        <v>327</v>
      </c>
      <c r="F9" s="15">
        <v>1.4865029914971739E-2</v>
      </c>
      <c r="G9" s="15">
        <f>F9 - Portfolio_Mgmt!$C$10</f>
        <v>-7.2134970085028255E-2</v>
      </c>
      <c r="H9" s="15">
        <f>F9 - Portfolio_Mgmt!$C$11</f>
        <v>-4.1349700850282604E-3</v>
      </c>
      <c r="I9" s="15">
        <v>0</v>
      </c>
      <c r="J9" s="2">
        <v>7.6314402727898702</v>
      </c>
      <c r="K9" s="2">
        <v>18.758424601634019</v>
      </c>
      <c r="L9" s="74">
        <v>17.674312632907508</v>
      </c>
      <c r="M9" s="2">
        <v>10.336151389000461</v>
      </c>
      <c r="N9" s="2">
        <v>17.124648599063175</v>
      </c>
      <c r="O9" s="4">
        <v>5.1956062114899886E-2</v>
      </c>
      <c r="P9" s="4">
        <v>4.7527604416706684E-2</v>
      </c>
      <c r="Q9" s="4">
        <v>0.15161114820375229</v>
      </c>
      <c r="R9" s="4">
        <v>0.3932476207375345</v>
      </c>
      <c r="S9" s="82">
        <v>0.30212796693987309</v>
      </c>
      <c r="T9" s="81">
        <v>1.2760688428830085</v>
      </c>
      <c r="U9" s="15">
        <v>0.12757636177577109</v>
      </c>
      <c r="V9" s="79">
        <v>0.79731882844192148</v>
      </c>
      <c r="W9" s="74">
        <v>2.5713378719718771</v>
      </c>
      <c r="X9" s="13" t="s">
        <v>169</v>
      </c>
      <c r="Y9" s="11" t="s">
        <v>136</v>
      </c>
      <c r="Z9" s="14">
        <v>45900</v>
      </c>
      <c r="AA9" s="16" t="s">
        <v>183</v>
      </c>
    </row>
    <row r="10" spans="1:27">
      <c r="B10" s="11" t="s">
        <v>328</v>
      </c>
      <c r="C10" s="11" t="s">
        <v>349</v>
      </c>
      <c r="D10" s="2">
        <v>22.88</v>
      </c>
      <c r="E10" s="12" t="s">
        <v>327</v>
      </c>
      <c r="F10" s="15">
        <v>1.4269346210678879E-2</v>
      </c>
      <c r="G10" s="15">
        <f>F10 - Portfolio_Mgmt!$C$10</f>
        <v>-7.2730653789321115E-2</v>
      </c>
      <c r="H10" s="15">
        <f>F10 - Portfolio_Mgmt!$C$11</f>
        <v>-4.7306537893211202E-3</v>
      </c>
      <c r="I10" s="15">
        <v>0</v>
      </c>
      <c r="J10" s="2">
        <v>8.355749929850889</v>
      </c>
      <c r="K10" s="2">
        <v>20.647898129891665</v>
      </c>
      <c r="L10" s="74">
        <v>19.377301122078141</v>
      </c>
      <c r="M10" s="2">
        <v>11.323303654934758</v>
      </c>
      <c r="N10" s="2">
        <v>18.773924722806626</v>
      </c>
      <c r="O10" s="4">
        <v>0.24131845773548247</v>
      </c>
      <c r="P10" s="4">
        <v>4.6328671328671335E-2</v>
      </c>
      <c r="Q10" s="4">
        <v>0.17249144202566888</v>
      </c>
      <c r="R10" s="4">
        <v>0.71319953730480046</v>
      </c>
      <c r="S10" s="82">
        <v>2.0567862383133143E-2</v>
      </c>
      <c r="T10" s="81">
        <v>11.758917470801054</v>
      </c>
      <c r="U10" s="15" t="s">
        <v>189</v>
      </c>
      <c r="V10" s="79" t="s">
        <v>189</v>
      </c>
      <c r="W10" s="74">
        <v>-92.956751979911445</v>
      </c>
      <c r="X10" s="16" t="s">
        <v>350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335</v>
      </c>
      <c r="C11" s="11" t="s">
        <v>336</v>
      </c>
      <c r="D11" s="2">
        <v>55.56</v>
      </c>
      <c r="E11" s="12" t="s">
        <v>327</v>
      </c>
      <c r="F11" s="15">
        <v>-1.4468701112213544E-3</v>
      </c>
      <c r="G11" s="15">
        <f>F11 - Portfolio_Mgmt!$C$10</f>
        <v>-8.8446870111221348E-2</v>
      </c>
      <c r="H11" s="15">
        <f>F11 - Portfolio_Mgmt!$C$11</f>
        <v>-2.0446870111221354E-2</v>
      </c>
      <c r="I11" s="15">
        <v>0</v>
      </c>
      <c r="J11" s="2">
        <v>18.605220097652271</v>
      </c>
      <c r="K11" s="2">
        <v>52.623089120205158</v>
      </c>
      <c r="L11" s="74">
        <v>44.699984953439703</v>
      </c>
      <c r="M11" s="2">
        <v>25.586749713338708</v>
      </c>
      <c r="N11" s="2">
        <v>43.262452230628902</v>
      </c>
      <c r="O11" s="4">
        <v>3.8930513148735753E-2</v>
      </c>
      <c r="P11" s="4">
        <v>1.6198704103671704E-2</v>
      </c>
      <c r="Q11" s="4">
        <v>0.14549955248916155</v>
      </c>
      <c r="R11" s="4">
        <v>0.22405670341828193</v>
      </c>
      <c r="S11" s="82">
        <v>0.42456310191863128</v>
      </c>
      <c r="T11" s="81">
        <v>1.5295422156001708</v>
      </c>
      <c r="U11" s="15">
        <v>5.3145118525683231E-2</v>
      </c>
      <c r="V11" s="79">
        <v>0.36488435676778314</v>
      </c>
      <c r="W11" s="74">
        <v>5.6082458208015922</v>
      </c>
      <c r="X11" s="13" t="s">
        <v>332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15.55</v>
      </c>
      <c r="E12" s="12" t="s">
        <v>327</v>
      </c>
      <c r="F12" s="15">
        <v>-0.14769277958615201</v>
      </c>
      <c r="G12" s="15">
        <f>F12 - Portfolio_Mgmt!$C$10</f>
        <v>-0.23469277958615201</v>
      </c>
      <c r="H12" s="15">
        <f>F12 - Portfolio_Mgmt!$C$11</f>
        <v>-0.166692779586152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2.8529914465047709E-2</v>
      </c>
      <c r="P12" s="4">
        <v>2.3151125401929262E-2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0.53143267998374444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22.88</v>
      </c>
      <c r="D4" s="62" t="str">
        <f>VLOOKUP(B4,Opportunities!B$3:E$30,4,FALSE)</f>
        <v>CNY</v>
      </c>
      <c r="E4" s="59">
        <v>3000</v>
      </c>
      <c r="F4" s="64">
        <f>E4*C4</f>
        <v>68640</v>
      </c>
      <c r="G4" s="61">
        <f>F4/$F$10</f>
        <v>0.21457375972990717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16.25</v>
      </c>
      <c r="D5" s="62" t="str">
        <f>VLOOKUP(B5,Opportunities!B$3:E$30,4,FALSE)</f>
        <v>CNY</v>
      </c>
      <c r="E5" s="59">
        <v>5000</v>
      </c>
      <c r="F5" s="64">
        <f>C5*E5</f>
        <v>81250</v>
      </c>
      <c r="G5" s="61">
        <f>F5/$F$10</f>
        <v>0.25399356028634845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319890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0.53143267998374444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2025-08-26T09:12:51Z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