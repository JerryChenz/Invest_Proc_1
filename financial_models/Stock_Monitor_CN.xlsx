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DFFA9AE3-056A-44E1-A395-95FBFA46C0D6}"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<sst xmlns="http://schemas.openxmlformats.org/spreadsheetml/2006/main" count="317" uniqueCount="273">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</sst>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0.13639067144994263</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7304687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16.45</v>
      </c>
      <c r="E3" s="12" t="s">
        <v>232</v>
      </c>
      <c r="F3" s="15">
        <v>0.21489448267712397</v>
      </c>
      <c r="G3" s="15">
        <f>F3 - Portfolio_Mgmt!$C$10</f>
        <v>0.12789448267712397</v>
      </c>
      <c r="H3" s="15">
        <f>F3 - Portfolio_Mgmt!$C$11</f>
        <v>0.19589448267712398</v>
      </c>
      <c r="I3" s="15">
        <v>0.31883454403134126</v>
      </c>
      <c r="J3" s="2">
        <v>12.534408209968158</v>
      </c>
      <c r="K3" s="2">
        <v>25.584938697660867</v>
      </c>
      <c r="L3" s="85">
        <v>24.315000552184742</v>
      </c>
      <c r="M3" s="2">
        <v>17.577047192866189</v>
      </c>
      <c r="N3" s="2">
        <v>22.61787767563613</v>
      </c>
      <c r="O3" s="4">
        <v>8.2651635176918009E-2</v>
      </c>
      <c r="P3" s="4">
        <v>6.4437689969604875E-2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56.7</v>
      </c>
      <c r="E4" s="12" t="s">
        <v>232</v>
      </c>
      <c r="F4" s="15">
        <v>0.17178490416300884</v>
      </c>
      <c r="G4" s="15">
        <f>F4 - Portfolio_Mgmt!$C$10</f>
        <v>8.4784904163008851E-2</v>
      </c>
      <c r="H4" s="15">
        <f>F4 - Portfolio_Mgmt!$C$11</f>
        <v>0.15278490416300886</v>
      </c>
      <c r="I4" s="15">
        <v>0.25487374504897453</v>
      </c>
      <c r="J4" s="2">
        <v>38.753046443654675</v>
      </c>
      <c r="K4" s="2">
        <v>82.72003076740333</v>
      </c>
      <c r="L4" s="85">
        <v>75.868561604045041</v>
      </c>
      <c r="M4" s="2">
        <v>54.620804067443785</v>
      </c>
      <c r="N4" s="2">
        <v>70.513102505372515</v>
      </c>
      <c r="O4" s="4">
        <v>7.6525945369047083E-2</v>
      </c>
      <c r="P4" s="4">
        <v>4.2328042328042326E-2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45.34</v>
      </c>
      <c r="E5" s="12" t="s">
        <v>232</v>
      </c>
      <c r="F5" s="15">
        <v>0.14562654231140892</v>
      </c>
      <c r="G5" s="15">
        <f>F5 - Portfolio_Mgmt!$C$10</f>
        <v>5.862654231140893E-2</v>
      </c>
      <c r="H5" s="15">
        <f>F5 - Portfolio_Mgmt!$C$11</f>
        <v>0.12662654231140894</v>
      </c>
      <c r="I5" s="15">
        <v>0.12629171091968416</v>
      </c>
      <c r="J5" s="2">
        <v>28.803263731047231</v>
      </c>
      <c r="K5" s="2">
        <v>64.714648137522119</v>
      </c>
      <c r="L5" s="85">
        <v>57.008678420375631</v>
      </c>
      <c r="M5" s="2">
        <v>40.844732114544499</v>
      </c>
      <c r="N5" s="2">
        <v>52.931363368704652</v>
      </c>
      <c r="O5" s="4">
        <v>4.7705763355618845E-2</v>
      </c>
      <c r="P5" s="4">
        <v>2.2055580061755623E-2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5.15</v>
      </c>
      <c r="E6" s="12" t="s">
        <v>232</v>
      </c>
      <c r="F6" s="15">
        <v>0.14261873641939782</v>
      </c>
      <c r="G6" s="15">
        <f>F6 - Portfolio_Mgmt!$C$10</f>
        <v>5.5618736419397824E-2</v>
      </c>
      <c r="H6" s="15">
        <f>F6 - Portfolio_Mgmt!$C$11</f>
        <v>0.12361873641939781</v>
      </c>
      <c r="I6" s="15">
        <v>0</v>
      </c>
      <c r="J6" s="2">
        <v>3.2714103607293628</v>
      </c>
      <c r="K6" s="2">
        <v>6.9895661568976033</v>
      </c>
      <c r="L6" s="85">
        <v>6.4058499272029952</v>
      </c>
      <c r="M6" s="2">
        <v>4.6114224254647684</v>
      </c>
      <c r="N6" s="2">
        <v>5.9535611226219638</v>
      </c>
      <c r="O6" s="4">
        <v>4.4660212975039672E-2</v>
      </c>
      <c r="P6" s="4">
        <v>3.9029126213592225E-2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67.33</v>
      </c>
      <c r="E7" s="12" t="s">
        <v>232</v>
      </c>
      <c r="F7" s="15">
        <v>0.11524858955270134</v>
      </c>
      <c r="G7" s="15">
        <f>F7 - Portfolio_Mgmt!$C$10</f>
        <v>2.8248589552701348E-2</v>
      </c>
      <c r="H7" s="15">
        <f>F7 - Portfolio_Mgmt!$C$11</f>
        <v>9.6248589552701339E-2</v>
      </c>
      <c r="I7" s="15">
        <v>0</v>
      </c>
      <c r="J7" s="2">
        <v>40.566233510579387</v>
      </c>
      <c r="K7" s="2">
        <v>77.785604602754844</v>
      </c>
      <c r="L7" s="85">
        <v>77.731780095947357</v>
      </c>
      <c r="M7" s="2">
        <v>56.501711311401053</v>
      </c>
      <c r="N7" s="2">
        <v>72.389553073938998</v>
      </c>
      <c r="O7" s="4">
        <v>5.3755753382596957E-2</v>
      </c>
      <c r="P7" s="4">
        <v>6.9018268231100549E-2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10.42</v>
      </c>
      <c r="E8" s="12" t="s">
        <v>232</v>
      </c>
      <c r="F8" s="15">
        <v>0.11003791920656925</v>
      </c>
      <c r="G8" s="15">
        <f>F8 - Portfolio_Mgmt!$C$10</f>
        <v>2.3037919206569252E-2</v>
      </c>
      <c r="H8" s="15">
        <f>F8 - Portfolio_Mgmt!$C$11</f>
        <v>9.1037919206569243E-2</v>
      </c>
      <c r="I8" s="15">
        <v>0</v>
      </c>
      <c r="J8" s="2">
        <v>6.0942417132402751</v>
      </c>
      <c r="K8" s="2">
        <v>12.91528670453229</v>
      </c>
      <c r="L8" s="85">
        <v>11.913128542800674</v>
      </c>
      <c r="M8" s="2">
        <v>8.582443057830476</v>
      </c>
      <c r="N8" s="2">
        <v>11.073728055846336</v>
      </c>
      <c r="O8" s="4">
        <v>3.3859347254037601E-2</v>
      </c>
      <c r="P8" s="4">
        <v>3.8387715930902115E-2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22.99</v>
      </c>
      <c r="E9" s="12" t="s">
        <v>232</v>
      </c>
      <c r="F9" s="15">
        <v>0.10812760515631625</v>
      </c>
      <c r="G9" s="15">
        <f>F9 - Portfolio_Mgmt!$C$10</f>
        <v>2.1127605156316259E-2</v>
      </c>
      <c r="H9" s="15">
        <f>F9 - Portfolio_Mgmt!$C$11</f>
        <v>8.912760515631625E-2</v>
      </c>
      <c r="I9" s="15">
        <v>0</v>
      </c>
      <c r="J9" s="2">
        <v>13.438941031541804</v>
      </c>
      <c r="K9" s="2">
        <v>27.746753827145845</v>
      </c>
      <c r="L9" s="85">
        <v>26.130102221251306</v>
      </c>
      <c r="M9" s="2">
        <v>18.869653870203344</v>
      </c>
      <c r="N9" s="2">
        <v>24.301055185803946</v>
      </c>
      <c r="O9" s="4">
        <v>5.7601605992788157E-2</v>
      </c>
      <c r="P9" s="4">
        <v>4.6107003044802093E-2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22.81</v>
      </c>
      <c r="E10" s="12" t="s">
        <v>232</v>
      </c>
      <c r="F10" s="15">
        <v>0.10046122894835863</v>
      </c>
      <c r="G10" s="15">
        <f>F10 - Portfolio_Mgmt!$C$10</f>
        <v>1.3461228948358633E-2</v>
      </c>
      <c r="H10" s="15">
        <f>F10 - Portfolio_Mgmt!$C$11</f>
        <v>8.1461228948358624E-2</v>
      </c>
      <c r="I10" s="15">
        <v>0</v>
      </c>
      <c r="J10" s="2">
        <v>13.079690025486418</v>
      </c>
      <c r="K10" s="2">
        <v>26.888151196428591</v>
      </c>
      <c r="L10" s="85">
        <v>25.409202896038835</v>
      </c>
      <c r="M10" s="2">
        <v>18.356272555350223</v>
      </c>
      <c r="N10" s="2">
        <v>23.632551844105855</v>
      </c>
      <c r="O10" s="4">
        <v>0.24205902292800696</v>
      </c>
      <c r="P10" s="4">
        <v>4.6470846120122755E-2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21.62</v>
      </c>
      <c r="E11" s="12" t="s">
        <v>232</v>
      </c>
      <c r="F11" s="15">
        <v>6.5067285594782476E-2</v>
      </c>
      <c r="G11" s="15">
        <f>F11 - Portfolio_Mgmt!$C$10</f>
        <v>-2.1932714405217518E-2</v>
      </c>
      <c r="H11" s="15">
        <f>F11 - Portfolio_Mgmt!$C$11</f>
        <v>4.6067285594782473E-2</v>
      </c>
      <c r="I11" s="15">
        <v>0</v>
      </c>
      <c r="J11" s="2">
        <v>11.355103666814504</v>
      </c>
      <c r="K11" s="2">
        <v>22.601441956902718</v>
      </c>
      <c r="L11" s="85">
        <v>21.916919635758642</v>
      </c>
      <c r="M11" s="2">
        <v>15.879140273250821</v>
      </c>
      <c r="N11" s="2">
        <v>20.396738931178472</v>
      </c>
      <c r="O11" s="4">
        <v>5.0057575108851261E-2</v>
      </c>
      <c r="P11" s="4">
        <v>5.0878815911193344E-2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13.48</v>
      </c>
      <c r="E12" s="12" t="s">
        <v>232</v>
      </c>
      <c r="F12" s="15">
        <v>-5.4692532865156962E-2</v>
      </c>
      <c r="G12" s="15">
        <f>F12 - Portfolio_Mgmt!$C$10</f>
        <v>-0.14169253286515696</v>
      </c>
      <c r="H12" s="15">
        <f>F12 - Portfolio_Mgmt!$C$11</f>
        <v>-7.3692532865156965E-2</v>
      </c>
      <c r="I12" s="15">
        <v>0</v>
      </c>
      <c r="J12" s="2">
        <v>4.9796479824958464</v>
      </c>
      <c r="K12" s="2">
        <v>10.251430255232371</v>
      </c>
      <c r="L12" s="85">
        <v>9.6765033007385046</v>
      </c>
      <c r="M12" s="2">
        <v>6.9896525426428742</v>
      </c>
      <c r="N12" s="2">
        <v>8.9996639027078977</v>
      </c>
      <c r="O12" s="4">
        <v>3.2910991834680409E-2</v>
      </c>
      <c r="P12" s="4">
        <v>2.967359050445104E-2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4.5400000000000003E-2</v>
      </c>
      <c r="D4" s="34">
        <v>7.4999999999999997E-2</v>
      </c>
      <c r="E4" s="35">
        <f>D4-C4</f>
        <v>2.9599999999999994E-2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0.47301204741744429</v>
      </c>
      <c r="H3" s="89">
        <f>Portfolio_Mgmt!E61</f>
        <v>0.3</v>
      </c>
    </row>
    <row r="4" spans="1:8">
      <c r="B4" s="77" t="s">
        <v>239</v>
      </c>
      <c r="C4" s="74">
        <f>VLOOKUP(B4,Opportunities!B$3:E$30,3,FALSE)</f>
        <v>22.81</v>
      </c>
      <c r="D4" s="73" t="str">
        <f>VLOOKUP(B4,Opportunities!B$3:E$30,4,FALSE)</f>
        <v>CNY</v>
      </c>
      <c r="E4" s="70">
        <v>3000</v>
      </c>
      <c r="F4" s="75">
        <f>C4*E4</f>
        <v>68430</v>
      </c>
      <c r="G4" s="72">
        <f t="shared" si="0"/>
        <v>0.2393269551050192</v>
      </c>
      <c r="H4" s="72">
        <f>VLOOKUP(B4,Opportunities!B$3:I$30,8,FALSE)</f>
        <v>0</v>
      </c>
    </row>
    <row r="5" spans="1:8">
      <c r="B5" s="77" t="s">
        <v>252</v>
      </c>
      <c r="C5" s="74">
        <f>VLOOKUP(B5,Opportunities!B$3:E$30,3,FALSE)</f>
        <v>16.45</v>
      </c>
      <c r="D5" s="73" t="str">
        <f>VLOOKUP(B5,Opportunities!B$3:E$30,4,FALSE)</f>
        <v>CNY</v>
      </c>
      <c r="E5" s="70">
        <v>5000</v>
      </c>
      <c r="F5" s="75">
        <f>C5*E5</f>
        <v>82250</v>
      </c>
      <c r="G5" s="72">
        <f t="shared" ref="G5" si="1">F5/$F$11</f>
        <v>0.2876609974775366</v>
      </c>
      <c r="H5" s="72">
        <f>VLOOKUP(B5,Opportunities!B$3:I$30,8,FALSE)</f>
        <v>0.31883454403134126</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285926.83999999997</v>
      </c>
      <c r="G11" s="81">
        <f>SUM(G3:G9)</f>
        <v>1</v>
      </c>
      <c r="H11" s="87">
        <f>SUM(H3:H9)</f>
        <v>0.61883454403134119</v>
      </c>
    </row>
    <row r="12" spans="1:8">
      <c r="B12" s="66"/>
      <c r="C12" s="69"/>
      <c r="D12" s="66"/>
      <c r="E12" s="70"/>
      <c r="F12" s="70"/>
    </row>
    <row r="13" spans="1:8" ht="13.15">
      <c r="A13" s="62"/>
      <c r="B13" s="63" t="s">
        <v>217</v>
      </c>
    </row>
    <row r="14" spans="1:8">
      <c r="B14" s="77" t="s">
        <v>239</v>
      </c>
      <c r="C14" s="74">
        <f>VLOOKUP(B14,Opportunities!B$3:E$30,3,FALSE)</f>
        <v>22.81</v>
      </c>
      <c r="D14" s="73" t="str">
        <f>VLOOKUP(B14,Opportunities!B$3:E$30,4,FALSE)</f>
        <v>CNY</v>
      </c>
      <c r="E14" s="70">
        <v>-3000</v>
      </c>
      <c r="F14" s="75">
        <f>-C14*E14</f>
        <v>68430</v>
      </c>
      <c r="G14" s="72">
        <f>-F14/$F$11</f>
        <v>-0.2393269551050192</v>
      </c>
      <c r="H14" s="72">
        <f>VLOOKUP(B14,Opportunities!B$3:I$30,8,FALSE)</f>
        <v>0</v>
      </c>
    </row>
    <row r="15" spans="1:8">
      <c r="B15" s="77" t="s">
        <v>252</v>
      </c>
      <c r="C15" s="74">
        <f>VLOOKUP(B15,Opportunities!B$3:E$30,3,FALSE)</f>
        <v>16.45</v>
      </c>
      <c r="D15" s="73" t="str">
        <f>VLOOKUP(B15,Opportunities!B$3:E$30,4,FALSE)</f>
        <v>CNY</v>
      </c>
      <c r="E15" s="70">
        <v>2500</v>
      </c>
      <c r="F15" s="75">
        <f>-C15*E15</f>
        <v>-41125</v>
      </c>
      <c r="G15" s="72">
        <f>-F15/$F$11</f>
        <v>0.1438304987387683</v>
      </c>
      <c r="H15" s="72">
        <f>VLOOKUP(B15,Opportunities!B$3:I$30,8,FALSE)</f>
        <v>0.31883454403134126</v>
      </c>
    </row>
    <row r="16" spans="1:8">
      <c r="G16" s="86"/>
      <c r="H16" s="86"/>
    </row>
    <row r="17" spans="2:8" ht="13.15">
      <c r="B17" s="82" t="s">
        <v>218</v>
      </c>
      <c r="C17" s="83" t="s">
        <v>214</v>
      </c>
      <c r="D17" s="84" t="s">
        <v>153</v>
      </c>
      <c r="E17" s="83" t="s">
        <v>214</v>
      </c>
      <c r="F17" s="80">
        <f>F3+SUM(F14:F14)</f>
        <v>203676.84</v>
      </c>
      <c r="G17" s="87">
        <f t="shared" ref="G17" si="2">F17/$F$11</f>
        <v>0.71233900252246352</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2025-05-24T02:05:29Z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