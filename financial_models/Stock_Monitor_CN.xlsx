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A12EE710-99C4-4CFC-9B4E-01128816DA3D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<sst xmlns="http://schemas.openxmlformats.org/spreadsheetml/2006/main" count="423" uniqueCount="356">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</sst>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15.16</v>
      </c>
      <c r="E3" s="12" t="s">
        <v>327</v>
      </c>
      <c r="F3" s="15">
        <v>0.11277350545408416</v>
      </c>
      <c r="G3" s="15">
        <f>F3 - Portfolio_Mgmt!$C$10</f>
        <v>2.5773505454084161E-2</v>
      </c>
      <c r="H3" s="15">
        <f>F3 - Portfolio_Mgmt!$C$11</f>
        <v>9.3773505454084152E-2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7.7640057075152938E-2</v>
      </c>
      <c r="P3" s="4">
        <v>6.2928759894459105E-2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55.35</v>
      </c>
      <c r="E4" s="12" t="s">
        <v>327</v>
      </c>
      <c r="F4" s="15">
        <v>0.10173058580415351</v>
      </c>
      <c r="G4" s="15">
        <f>F4 - Portfolio_Mgmt!$C$10</f>
        <v>1.4730585804153512E-2</v>
      </c>
      <c r="H4" s="15">
        <f>F4 - Portfolio_Mgmt!$C$11</f>
        <v>8.2730585804153503E-2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7.839243184146287E-2</v>
      </c>
      <c r="P4" s="4">
        <v>3.9024390243902439E-2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</v>
      </c>
      <c r="E5" s="12" t="s">
        <v>327</v>
      </c>
      <c r="F5" s="15">
        <v>8.830266843905421E-2</v>
      </c>
      <c r="G5" s="15">
        <f>F5 - Portfolio_Mgmt!$C$10</f>
        <v>1.3026684390542165E-3</v>
      </c>
      <c r="H5" s="15">
        <f>F5 - Portfolio_Mgmt!$C$11</f>
        <v>6.9302668439054207E-2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3.5281439838707178E-2</v>
      </c>
      <c r="P5" s="4">
        <v>3.6000000000000004E-2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5.51</v>
      </c>
      <c r="E6" s="12" t="s">
        <v>327</v>
      </c>
      <c r="F6" s="15">
        <v>6.7373654855692466E-2</v>
      </c>
      <c r="G6" s="15">
        <f>F6 - Portfolio_Mgmt!$C$10</f>
        <v>-1.9626345144307528E-2</v>
      </c>
      <c r="H6" s="15">
        <f>F6 - Portfolio_Mgmt!$C$11</f>
        <v>4.8373654855692463E-2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4.1742304323312947E-2</v>
      </c>
      <c r="P6" s="4">
        <v>3.2831215970961884E-2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22.02</v>
      </c>
      <c r="E7" s="12" t="s">
        <v>327</v>
      </c>
      <c r="F7" s="15">
        <v>5.8302353716981115E-2</v>
      </c>
      <c r="G7" s="15">
        <f>F7 - Portfolio_Mgmt!$C$10</f>
        <v>-2.8697646283018879E-2</v>
      </c>
      <c r="H7" s="15">
        <f>F7 - Portfolio_Mgmt!$C$11</f>
        <v>3.9302353716981112E-2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6.0139006438428691E-2</v>
      </c>
      <c r="P7" s="4">
        <v>4.3324250681198911E-2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335</v>
      </c>
      <c r="C8" s="11" t="s">
        <v>336</v>
      </c>
      <c r="D8" s="2">
        <v>48.65</v>
      </c>
      <c r="E8" s="12" t="s">
        <v>327</v>
      </c>
      <c r="F8" s="15">
        <v>4.4544369029294151E-2</v>
      </c>
      <c r="G8" s="15">
        <f>F8 - Portfolio_Mgmt!$C$10</f>
        <v>-4.2455630970705843E-2</v>
      </c>
      <c r="H8" s="15">
        <f>F8 - Portfolio_Mgmt!$C$11</f>
        <v>2.5544369029294151E-2</v>
      </c>
      <c r="I8" s="15">
        <v>0</v>
      </c>
      <c r="J8" s="2">
        <v>18.605220097652271</v>
      </c>
      <c r="K8" s="2">
        <v>52.623089120205158</v>
      </c>
      <c r="L8" s="74">
        <v>44.699984953439703</v>
      </c>
      <c r="M8" s="2">
        <v>25.586749713338708</v>
      </c>
      <c r="N8" s="2">
        <v>43.262452230628902</v>
      </c>
      <c r="O8" s="4">
        <v>4.4460006383222173E-2</v>
      </c>
      <c r="P8" s="4">
        <v>1.8499486125385406E-2</v>
      </c>
      <c r="Q8" s="4">
        <v>0.14549955248916155</v>
      </c>
      <c r="R8" s="4">
        <v>0.22405670341828193</v>
      </c>
      <c r="S8" s="82">
        <v>0.42456310191863128</v>
      </c>
      <c r="T8" s="81">
        <v>1.5295422156001708</v>
      </c>
      <c r="U8" s="15">
        <v>5.3145118525683231E-2</v>
      </c>
      <c r="V8" s="79">
        <v>0.36488435676778314</v>
      </c>
      <c r="W8" s="74">
        <v>5.6082458208015922</v>
      </c>
      <c r="X8" s="13" t="s">
        <v>332</v>
      </c>
      <c r="Y8" s="11" t="s">
        <v>136</v>
      </c>
      <c r="Z8" s="14">
        <v>45900</v>
      </c>
      <c r="AA8" s="16" t="s">
        <v>183</v>
      </c>
    </row>
    <row r="9" spans="1:27">
      <c r="B9" s="11" t="s">
        <v>339</v>
      </c>
      <c r="C9" s="11" t="s">
        <v>340</v>
      </c>
      <c r="D9" s="2">
        <v>69.209999999999994</v>
      </c>
      <c r="E9" s="12" t="s">
        <v>327</v>
      </c>
      <c r="F9" s="15">
        <v>4.2395721469372871E-2</v>
      </c>
      <c r="G9" s="15">
        <f>F9 - Portfolio_Mgmt!$C$10</f>
        <v>-4.4604278530627123E-2</v>
      </c>
      <c r="H9" s="15">
        <f>F9 - Portfolio_Mgmt!$C$11</f>
        <v>2.3395721469372872E-2</v>
      </c>
      <c r="I9" s="15">
        <v>0</v>
      </c>
      <c r="J9" s="2">
        <v>27.666459398619363</v>
      </c>
      <c r="K9" s="2">
        <v>65.304739034115954</v>
      </c>
      <c r="L9" s="74">
        <v>63.44391872644448</v>
      </c>
      <c r="M9" s="2">
        <v>37.320034608154735</v>
      </c>
      <c r="N9" s="2">
        <v>61.489408566601746</v>
      </c>
      <c r="O9" s="4">
        <v>5.2295547973562402E-2</v>
      </c>
      <c r="P9" s="4">
        <v>6.04291287386216E-2</v>
      </c>
      <c r="Q9" s="4">
        <v>0.14093304007128551</v>
      </c>
      <c r="R9" s="4">
        <v>0.29188024664664569</v>
      </c>
      <c r="S9" s="82">
        <v>0.37062368553626046</v>
      </c>
      <c r="T9" s="81">
        <v>1.3027915865121182</v>
      </c>
      <c r="U9" s="15">
        <v>7.7640983998987034E-4</v>
      </c>
      <c r="V9" s="79">
        <v>5.5975167910006915E-3</v>
      </c>
      <c r="W9" s="74">
        <v>15.284602440692964</v>
      </c>
      <c r="X9" s="13" t="s">
        <v>170</v>
      </c>
      <c r="Y9" s="11" t="s">
        <v>136</v>
      </c>
      <c r="Z9" s="14">
        <v>45900</v>
      </c>
      <c r="AA9" s="16" t="s">
        <v>184</v>
      </c>
    </row>
    <row r="10" spans="1:27">
      <c r="B10" s="11" t="s">
        <v>347</v>
      </c>
      <c r="C10" s="11" t="s">
        <v>348</v>
      </c>
      <c r="D10" s="2">
        <v>20.79</v>
      </c>
      <c r="E10" s="12" t="s">
        <v>327</v>
      </c>
      <c r="F10" s="15">
        <v>1.5547302731855117E-2</v>
      </c>
      <c r="G10" s="15">
        <f>F10 - Portfolio_Mgmt!$C$10</f>
        <v>-7.1452697268144877E-2</v>
      </c>
      <c r="H10" s="15">
        <f>F10 - Portfolio_Mgmt!$C$11</f>
        <v>-3.4526972681448824E-3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5.2056025678372503E-2</v>
      </c>
      <c r="P10" s="4">
        <v>4.7619047619047623E-2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24.42</v>
      </c>
      <c r="E11" s="12" t="s">
        <v>327</v>
      </c>
      <c r="F11" s="15">
        <v>-8.5235755536114954E-3</v>
      </c>
      <c r="G11" s="15">
        <f>F11 - Portfolio_Mgmt!$C$10</f>
        <v>-9.5523575553611489E-2</v>
      </c>
      <c r="H11" s="15">
        <f>F11 - Portfolio_Mgmt!$C$11</f>
        <v>-2.7523575553611495E-2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0.22610017661702858</v>
      </c>
      <c r="P11" s="4">
        <v>4.3407043407043405E-2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14.88</v>
      </c>
      <c r="E12" s="12" t="s">
        <v>327</v>
      </c>
      <c r="F12" s="15">
        <v>-0.13470761287399891</v>
      </c>
      <c r="G12" s="15">
        <f>F12 - Portfolio_Mgmt!$C$10</f>
        <v>-0.2217076128739989</v>
      </c>
      <c r="H12" s="15">
        <f>F12 - Portfolio_Mgmt!$C$11</f>
        <v>-0.15370761287399889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2.9814527549159399E-2</v>
      </c>
      <c r="P12" s="4">
        <v>2.4193548387096777E-2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4.4600000000000001E-2</v>
      </c>
      <c r="D4" s="34">
        <v>7.4999999999999997E-2</v>
      </c>
      <c r="E4" s="35">
        <f>D4-C4</f>
        <v>3.0399999999999996E-2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0.53281514448693035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24.42</v>
      </c>
      <c r="D4" s="62" t="str">
        <f>VLOOKUP(B4,Opportunities!B$3:E$30,4,FALSE)</f>
        <v>CNY</v>
      </c>
      <c r="E4" s="59">
        <v>3000</v>
      </c>
      <c r="F4" s="64">
        <f>E4*C4</f>
        <v>73260</v>
      </c>
      <c r="G4" s="61">
        <f>F4/$F$10</f>
        <v>0.22961198520654422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15.16</v>
      </c>
      <c r="D5" s="62" t="str">
        <f>VLOOKUP(B5,Opportunities!B$3:E$30,4,FALSE)</f>
        <v>CNY</v>
      </c>
      <c r="E5" s="59">
        <v>5000</v>
      </c>
      <c r="F5" s="64">
        <f>C5*E5</f>
        <v>75800</v>
      </c>
      <c r="G5" s="61">
        <f>F5/$F$10</f>
        <v>0.23757287030652541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319060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0.53281514448693035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2025-07-18T09:38:29Z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