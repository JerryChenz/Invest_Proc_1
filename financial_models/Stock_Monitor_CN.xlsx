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49F5A2B-9BE8-4BA5-BCEA-BCF21CD8E033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<sst xmlns="http://schemas.openxmlformats.org/spreadsheetml/2006/main" count="408" uniqueCount="359">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</sst>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="110" zoomScaleNormal="110" workbookViewId="0">
      <selection activeCell="C70" sqref="C7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" sqref="D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105.3</v>
      </c>
      <c r="E3" s="12" t="s">
        <v>350</v>
      </c>
      <c r="F3" s="15">
        <v>0.2160259300061575</v>
      </c>
      <c r="G3" s="15">
        <v>4.2384277911539821E-2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8.5038414144241389E-2</v>
      </c>
      <c r="N3" s="4">
        <v>3.9247863247863252E-2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103.46</v>
      </c>
      <c r="E4" s="12" t="s">
        <v>350</v>
      </c>
      <c r="F4" s="15">
        <v>0.15806966595742114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7.4210548430808848E-2</v>
      </c>
      <c r="N4" s="4">
        <v>2.756717572008506E-2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17.29</v>
      </c>
      <c r="E5" s="12" t="s">
        <v>350</v>
      </c>
      <c r="F5" s="15">
        <v>0.14294023980603618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8.0758837061408448E-2</v>
      </c>
      <c r="N5" s="4">
        <v>6.1307113938692891E-2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4.4199999999999996E-2</v>
      </c>
      <c r="D4" s="34">
        <v>6.7500000000000004E-2</v>
      </c>
      <c r="E4" s="35">
        <f>D4-C4</f>
        <v>2.3300000000000008E-2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E11" sqref="E1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105.3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4.2384277911539821E-2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0.3423842779115398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105.3</v>
      </c>
      <c r="E9" s="59" t="str">
        <f>VLOOKUP(B9,Opportunities!B$3:E$30,4,FALSE)</f>
        <v>CNY</v>
      </c>
      <c r="F9" s="57">
        <v>200</v>
      </c>
      <c r="G9" s="61">
        <f>-D9*F9</f>
        <v>-21060</v>
      </c>
      <c r="H9" s="58">
        <f>-G9/$G$6</f>
        <v>4.2119999999999998E-2</v>
      </c>
      <c r="I9" s="58">
        <f>VLOOKUP(B9,Opportunities!B$3:G$30,6,FALSE)</f>
        <v>4.2384277911539821E-2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478940</v>
      </c>
      <c r="H11" s="73">
        <f t="shared" ref="H11" si="0">G11/$G$6</f>
        <v>0.95787999999999995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2026-03-30T09:58:10Z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