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F3928E1-3AD6-4350-A171-9CE3ECA57E5B}" xr6:coauthVersionLast="47" xr6:coauthVersionMax="47" xr10:uidLastSave="{00000000-0000-0000-0000-000000000000}"/>
  <bookViews>
    <workbookView xWindow="735" yWindow="735" windowWidth="12690" windowHeight="7643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<sst xmlns="http://schemas.openxmlformats.org/spreadsheetml/2006/main" count="423" uniqueCount="356">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</sst>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333</v>
      </c>
      <c r="C3" s="11" t="s">
        <v>334</v>
      </c>
      <c r="D3" s="2">
        <v>55.36</v>
      </c>
      <c r="E3" s="12" t="s">
        <v>327</v>
      </c>
      <c r="F3" s="15">
        <v>0.10166188614223426</v>
      </c>
      <c r="G3" s="15">
        <f>F3 - Portfolio_Mgmt!$C$10</f>
        <v>1.4661886142234265E-2</v>
      </c>
      <c r="H3" s="15">
        <f>F3 - Portfolio_Mgmt!$C$11</f>
        <v>8.2661886142234256E-2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7.837827135883256E-2</v>
      </c>
      <c r="P3" s="4">
        <v>3.9017341040462429E-2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>
      <c r="B4" s="11" t="s">
        <v>329</v>
      </c>
      <c r="C4" s="11" t="s">
        <v>331</v>
      </c>
      <c r="D4" s="2">
        <v>15.8</v>
      </c>
      <c r="E4" s="12" t="s">
        <v>327</v>
      </c>
      <c r="F4" s="15">
        <v>9.667733636354825E-2</v>
      </c>
      <c r="G4" s="15">
        <f>F4 - Portfolio_Mgmt!$C$10</f>
        <v>9.6773363635482557E-3</v>
      </c>
      <c r="H4" s="15">
        <f>F4 - Portfolio_Mgmt!$C$11</f>
        <v>7.7677336363548247E-2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7.4495143370842953E-2</v>
      </c>
      <c r="P4" s="4">
        <v>6.0379746835443039E-2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</v>
      </c>
      <c r="E5" s="12" t="s">
        <v>327</v>
      </c>
      <c r="F5" s="15">
        <v>8.830266843905421E-2</v>
      </c>
      <c r="G5" s="15">
        <f>F5 - Portfolio_Mgmt!$C$10</f>
        <v>1.3026684390542165E-3</v>
      </c>
      <c r="H5" s="15">
        <f>F5 - Portfolio_Mgmt!$C$11</f>
        <v>6.9302668439054207E-2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3.5281439838707178E-2</v>
      </c>
      <c r="P5" s="4">
        <v>3.6000000000000004E-2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5.6</v>
      </c>
      <c r="E6" s="12" t="s">
        <v>327</v>
      </c>
      <c r="F6" s="15">
        <v>6.1447492977676044E-2</v>
      </c>
      <c r="G6" s="15">
        <f>F6 - Portfolio_Mgmt!$C$10</f>
        <v>-2.555250702232395E-2</v>
      </c>
      <c r="H6" s="15">
        <f>F6 - Portfolio_Mgmt!$C$11</f>
        <v>4.2447492977676041E-2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4.1071445860973985E-2</v>
      </c>
      <c r="P6" s="4">
        <v>3.2303571428571425E-2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22.72</v>
      </c>
      <c r="E7" s="12" t="s">
        <v>327</v>
      </c>
      <c r="F7" s="15">
        <v>4.6866759847649986E-2</v>
      </c>
      <c r="G7" s="15">
        <f>F7 - Portfolio_Mgmt!$C$10</f>
        <v>-4.0133240152350008E-2</v>
      </c>
      <c r="H7" s="15">
        <f>F7 - Portfolio_Mgmt!$C$11</f>
        <v>2.7866759847649986E-2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5.8286132120343302E-2</v>
      </c>
      <c r="P7" s="4">
        <v>4.1989436619718316E-2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339</v>
      </c>
      <c r="C8" s="11" t="s">
        <v>340</v>
      </c>
      <c r="D8" s="2">
        <v>68.8</v>
      </c>
      <c r="E8" s="12" t="s">
        <v>327</v>
      </c>
      <c r="F8" s="15">
        <v>4.4587959036704428E-2</v>
      </c>
      <c r="G8" s="15">
        <f>F8 - Portfolio_Mgmt!$C$10</f>
        <v>-4.2412040963295566E-2</v>
      </c>
      <c r="H8" s="15">
        <f>F8 - Portfolio_Mgmt!$C$11</f>
        <v>2.5587959036704428E-2</v>
      </c>
      <c r="I8" s="15">
        <v>0</v>
      </c>
      <c r="J8" s="2">
        <v>27.666459398619363</v>
      </c>
      <c r="K8" s="2">
        <v>65.304739034115954</v>
      </c>
      <c r="L8" s="74">
        <v>63.44391872644448</v>
      </c>
      <c r="M8" s="2">
        <v>37.320034608154735</v>
      </c>
      <c r="N8" s="2">
        <v>61.489408566601746</v>
      </c>
      <c r="O8" s="4">
        <v>5.2607192954218798E-2</v>
      </c>
      <c r="P8" s="4">
        <v>6.0789244186046525E-2</v>
      </c>
      <c r="Q8" s="4">
        <v>0.14093304007128551</v>
      </c>
      <c r="R8" s="4">
        <v>0.29188024664664569</v>
      </c>
      <c r="S8" s="82">
        <v>0.37062368553626046</v>
      </c>
      <c r="T8" s="81">
        <v>1.3027915865121182</v>
      </c>
      <c r="U8" s="15">
        <v>7.7640983998987034E-4</v>
      </c>
      <c r="V8" s="79">
        <v>5.5975167910006915E-3</v>
      </c>
      <c r="W8" s="74">
        <v>15.284602440692964</v>
      </c>
      <c r="X8" s="13" t="s">
        <v>170</v>
      </c>
      <c r="Y8" s="11" t="s">
        <v>136</v>
      </c>
      <c r="Z8" s="14">
        <v>45900</v>
      </c>
      <c r="AA8" s="16" t="s">
        <v>184</v>
      </c>
    </row>
    <row r="9" spans="1:27">
      <c r="B9" s="11" t="s">
        <v>335</v>
      </c>
      <c r="C9" s="11" t="s">
        <v>336</v>
      </c>
      <c r="D9" s="2">
        <v>50.32</v>
      </c>
      <c r="E9" s="12" t="s">
        <v>327</v>
      </c>
      <c r="F9" s="15">
        <v>3.2654306422166046E-2</v>
      </c>
      <c r="G9" s="15">
        <f>F9 - Portfolio_Mgmt!$C$10</f>
        <v>-5.4345693577833948E-2</v>
      </c>
      <c r="H9" s="15">
        <f>F9 - Portfolio_Mgmt!$C$11</f>
        <v>1.3654306422166047E-2</v>
      </c>
      <c r="I9" s="15">
        <v>0</v>
      </c>
      <c r="J9" s="2">
        <v>18.605220097652271</v>
      </c>
      <c r="K9" s="2">
        <v>52.623089120205158</v>
      </c>
      <c r="L9" s="74">
        <v>44.699984953439703</v>
      </c>
      <c r="M9" s="2">
        <v>25.586749713338708</v>
      </c>
      <c r="N9" s="2">
        <v>43.262452230628902</v>
      </c>
      <c r="O9" s="4">
        <v>4.2984485503651804E-2</v>
      </c>
      <c r="P9" s="4">
        <v>1.7885532591414944E-2</v>
      </c>
      <c r="Q9" s="4">
        <v>0.14549955248916155</v>
      </c>
      <c r="R9" s="4">
        <v>0.22405670341828193</v>
      </c>
      <c r="S9" s="82">
        <v>0.42456310191863128</v>
      </c>
      <c r="T9" s="81">
        <v>1.5295422156001708</v>
      </c>
      <c r="U9" s="15">
        <v>5.3145118525683231E-2</v>
      </c>
      <c r="V9" s="79">
        <v>0.36488435676778314</v>
      </c>
      <c r="W9" s="74">
        <v>5.6082458208015922</v>
      </c>
      <c r="X9" s="13" t="s">
        <v>332</v>
      </c>
      <c r="Y9" s="11" t="s">
        <v>136</v>
      </c>
      <c r="Z9" s="14">
        <v>45900</v>
      </c>
      <c r="AA9" s="16" t="s">
        <v>183</v>
      </c>
    </row>
    <row r="10" spans="1:27">
      <c r="B10" s="11" t="s">
        <v>347</v>
      </c>
      <c r="C10" s="11" t="s">
        <v>348</v>
      </c>
      <c r="D10" s="2">
        <v>20.399999999999999</v>
      </c>
      <c r="E10" s="12" t="s">
        <v>327</v>
      </c>
      <c r="F10" s="15">
        <v>2.2295529508799428E-2</v>
      </c>
      <c r="G10" s="15">
        <f>F10 - Portfolio_Mgmt!$C$10</f>
        <v>-6.4704470491200566E-2</v>
      </c>
      <c r="H10" s="15">
        <f>F10 - Portfolio_Mgmt!$C$11</f>
        <v>3.2955295087994281E-3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5.3051214404576691E-2</v>
      </c>
      <c r="P10" s="4">
        <v>4.852941176470589E-2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22.98</v>
      </c>
      <c r="E11" s="12" t="s">
        <v>327</v>
      </c>
      <c r="F11" s="15">
        <v>1.2725937322140224E-2</v>
      </c>
      <c r="G11" s="15">
        <f>F11 - Portfolio_Mgmt!$C$10</f>
        <v>-7.427406267785977E-2</v>
      </c>
      <c r="H11" s="15">
        <f>F11 - Portfolio_Mgmt!$C$11</f>
        <v>-6.2740626778597756E-3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0.2402683338985134</v>
      </c>
      <c r="P11" s="4">
        <v>4.6127067014795478E-2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15.38</v>
      </c>
      <c r="E12" s="12" t="s">
        <v>327</v>
      </c>
      <c r="F12" s="15">
        <v>-0.144470997326691</v>
      </c>
      <c r="G12" s="15">
        <f>F12 - Portfolio_Mgmt!$C$10</f>
        <v>-0.23147099732669099</v>
      </c>
      <c r="H12" s="15">
        <f>F12 - Portfolio_Mgmt!$C$11</f>
        <v>-0.16347099732669099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2.884526462493445E-2</v>
      </c>
      <c r="P12" s="4">
        <v>2.3407022106631991E-2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4.2199999999999994E-2</v>
      </c>
      <c r="D4" s="34">
        <v>7.4999999999999997E-2</v>
      </c>
      <c r="E4" s="35">
        <f>D4-C4</f>
        <v>3.2800000000000003E-2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0.534692080266717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22.98</v>
      </c>
      <c r="D4" s="62" t="str">
        <f>VLOOKUP(B4,Opportunities!B$3:E$30,4,FALSE)</f>
        <v>CNY</v>
      </c>
      <c r="E4" s="59">
        <v>3000</v>
      </c>
      <c r="F4" s="64">
        <f>E4*C4</f>
        <v>68940</v>
      </c>
      <c r="G4" s="61">
        <f>F4/$F$10</f>
        <v>0.21683336478580864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15.8</v>
      </c>
      <c r="D5" s="62" t="str">
        <f>VLOOKUP(B5,Opportunities!B$3:E$30,4,FALSE)</f>
        <v>CNY</v>
      </c>
      <c r="E5" s="59">
        <v>5000</v>
      </c>
      <c r="F5" s="64">
        <f>C5*E5</f>
        <v>79000</v>
      </c>
      <c r="G5" s="61">
        <f>F5/$F$10</f>
        <v>0.24847455494747436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317940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0.534692080266717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2025-08-06T08:51:30Z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